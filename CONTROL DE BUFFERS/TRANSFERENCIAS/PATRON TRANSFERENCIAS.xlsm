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TRANSFERENCIA!$A$8:$BU$25</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TABLATRANSFERENCIA[[#Headers],[2016-9]]</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TRANSFERENCIA!$A$8:$BU$25</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6" r:id="rId21"/>
  </pivotCaches>
</workbook>
</file>

<file path=xl/calcChain.xml><?xml version="1.0" encoding="utf-8"?>
<calcChain xmlns="http://schemas.openxmlformats.org/spreadsheetml/2006/main">
  <c r="G2" i="16" l="1"/>
  <c r="G3" i="16"/>
  <c r="G4" i="16"/>
  <c r="G5" i="16"/>
  <c r="G6" i="16"/>
  <c r="G7"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AX11" i="1" s="1" a="1"/>
  <c r="AX11" i="1" s="1"/>
  <c r="D3" i="16"/>
  <c r="AX13" i="1" s="1" a="1"/>
  <c r="AX13" i="1" s="1"/>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H10" i="1"/>
  <c r="BH11" i="1"/>
  <c r="BH12" i="1"/>
  <c r="BH13" i="1"/>
  <c r="BH14" i="1"/>
  <c r="BH15" i="1"/>
  <c r="BH16" i="1"/>
  <c r="BH17" i="1"/>
  <c r="BH18" i="1"/>
  <c r="BH19" i="1"/>
  <c r="BH20" i="1"/>
  <c r="BH21" i="1"/>
  <c r="BH22" i="1"/>
  <c r="BH23" i="1"/>
  <c r="BH24" i="1"/>
  <c r="BH25" i="1"/>
  <c r="BI10" i="1"/>
  <c r="BI11" i="1"/>
  <c r="BI12" i="1"/>
  <c r="BI13" i="1"/>
  <c r="BI14" i="1"/>
  <c r="BI15" i="1"/>
  <c r="BI16" i="1"/>
  <c r="BI17" i="1"/>
  <c r="BI18" i="1"/>
  <c r="BI19" i="1"/>
  <c r="BI20" i="1"/>
  <c r="BI21" i="1"/>
  <c r="BI22" i="1"/>
  <c r="BI23" i="1"/>
  <c r="BI24" i="1"/>
  <c r="BI25" i="1"/>
  <c r="BJ10" i="1"/>
  <c r="BJ11" i="1"/>
  <c r="BJ12" i="1"/>
  <c r="BJ13" i="1"/>
  <c r="BJ14" i="1"/>
  <c r="BJ15" i="1"/>
  <c r="BJ16" i="1"/>
  <c r="BJ17" i="1"/>
  <c r="BJ18" i="1"/>
  <c r="BJ19" i="1"/>
  <c r="BJ20" i="1"/>
  <c r="BJ21" i="1"/>
  <c r="BJ22" i="1"/>
  <c r="BJ23" i="1"/>
  <c r="BJ24" i="1"/>
  <c r="BJ25" i="1"/>
  <c r="BK10" i="1"/>
  <c r="BK11" i="1"/>
  <c r="BK12" i="1"/>
  <c r="BK13" i="1"/>
  <c r="BK14" i="1"/>
  <c r="BK15" i="1"/>
  <c r="BK16" i="1"/>
  <c r="BK17" i="1"/>
  <c r="BK18" i="1"/>
  <c r="BK19" i="1"/>
  <c r="BK20" i="1"/>
  <c r="BK21" i="1"/>
  <c r="BK22" i="1"/>
  <c r="BK23" i="1"/>
  <c r="BK24" i="1"/>
  <c r="BK25" i="1"/>
  <c r="BL10" i="1"/>
  <c r="BL11" i="1"/>
  <c r="BL12" i="1"/>
  <c r="BL13" i="1"/>
  <c r="BL14" i="1"/>
  <c r="BL15" i="1"/>
  <c r="BL16" i="1"/>
  <c r="BL17" i="1"/>
  <c r="BL18" i="1"/>
  <c r="BL19" i="1"/>
  <c r="BL20" i="1"/>
  <c r="BL21" i="1"/>
  <c r="BL22" i="1"/>
  <c r="BL23" i="1"/>
  <c r="BL24" i="1"/>
  <c r="BL25" i="1"/>
  <c r="BQ10" i="1"/>
  <c r="BQ11" i="1"/>
  <c r="BQ12" i="1"/>
  <c r="BQ13" i="1"/>
  <c r="BQ14" i="1"/>
  <c r="BQ15" i="1"/>
  <c r="BQ16" i="1"/>
  <c r="BQ17" i="1"/>
  <c r="BQ18" i="1"/>
  <c r="BQ19" i="1"/>
  <c r="BQ20" i="1"/>
  <c r="BQ21" i="1"/>
  <c r="BQ22" i="1"/>
  <c r="BQ23" i="1"/>
  <c r="BQ24" i="1"/>
  <c r="BQ25" i="1"/>
  <c r="BT10" i="1"/>
  <c r="BT11" i="1"/>
  <c r="BT12" i="1"/>
  <c r="BT13" i="1"/>
  <c r="BT14" i="1"/>
  <c r="BT15" i="1"/>
  <c r="BT16" i="1"/>
  <c r="BT17" i="1"/>
  <c r="BT18" i="1"/>
  <c r="BT19" i="1"/>
  <c r="BT20" i="1"/>
  <c r="BT21" i="1"/>
  <c r="BT22" i="1"/>
  <c r="BT23" i="1"/>
  <c r="BT24" i="1"/>
  <c r="BT25" i="1"/>
  <c r="BT9" i="1"/>
  <c r="AX9" i="1" a="1"/>
  <c r="AX9" i="1" s="1"/>
  <c r="AZ9" i="1" a="1"/>
  <c r="AZ9" i="1" s="1"/>
  <c r="BB9" i="1" a="1"/>
  <c r="BB9" i="1" s="1"/>
  <c r="BH9" i="1"/>
  <c r="BI9" i="1"/>
  <c r="BJ9" i="1"/>
  <c r="BK9" i="1"/>
  <c r="BL9" i="1"/>
  <c r="BQ9" i="1"/>
  <c r="BV9" i="1" l="1"/>
  <c r="BV10" i="1"/>
  <c r="BV11" i="1"/>
  <c r="BV12" i="1"/>
  <c r="BV13" i="1"/>
  <c r="BV14" i="1"/>
  <c r="BV15" i="1"/>
  <c r="BU9" i="1" a="1"/>
  <c r="BU9" i="1" s="1"/>
  <c r="BN9" i="1"/>
  <c r="BU10" i="1" a="1"/>
  <c r="BU10" i="1" s="1"/>
  <c r="BN10" i="1"/>
  <c r="BU11" i="1" a="1"/>
  <c r="BU11" i="1" s="1"/>
  <c r="BN11" i="1"/>
  <c r="BU12" i="1" a="1"/>
  <c r="BU12" i="1" s="1"/>
  <c r="BN12" i="1"/>
  <c r="BU13" i="1" a="1"/>
  <c r="BU13" i="1" s="1"/>
  <c r="BN13" i="1"/>
  <c r="BU14" i="1" a="1"/>
  <c r="BU14" i="1" s="1"/>
  <c r="BN14" i="1"/>
  <c r="BU15" i="1" a="1"/>
  <c r="BU15" i="1" s="1"/>
  <c r="BN15" i="1"/>
  <c r="BU16" i="1" a="1"/>
  <c r="BU16" i="1" s="1"/>
  <c r="BV16" i="1"/>
  <c r="BV17" i="1"/>
  <c r="BV18" i="1"/>
  <c r="BV19" i="1"/>
  <c r="BV20" i="1"/>
  <c r="BV21" i="1"/>
  <c r="BV22" i="1"/>
  <c r="BV23" i="1"/>
  <c r="BV24" i="1"/>
  <c r="BV25" i="1"/>
  <c r="BN16" i="1"/>
  <c r="BU17" i="1" a="1"/>
  <c r="BU17" i="1" s="1"/>
  <c r="BN17" i="1"/>
  <c r="BU18" i="1" a="1"/>
  <c r="BU18" i="1" s="1"/>
  <c r="BN18" i="1"/>
  <c r="BU19" i="1" a="1"/>
  <c r="BU19" i="1" s="1"/>
  <c r="BN19" i="1"/>
  <c r="BU20" i="1" a="1"/>
  <c r="BU20" i="1" s="1"/>
  <c r="BN20" i="1"/>
  <c r="BU21" i="1" a="1"/>
  <c r="BU21" i="1" s="1"/>
  <c r="BN21" i="1"/>
  <c r="BU22" i="1" a="1"/>
  <c r="BU22" i="1" s="1"/>
  <c r="BN22" i="1"/>
  <c r="BU23" i="1" a="1"/>
  <c r="BU23" i="1" s="1"/>
  <c r="BN23" i="1"/>
  <c r="BU24" i="1" a="1"/>
  <c r="BU24" i="1" s="1"/>
  <c r="BN24" i="1"/>
  <c r="BU25" i="1" a="1"/>
  <c r="BU25" i="1" s="1"/>
  <c r="BN25" i="1"/>
  <c r="BC22" i="1" a="1"/>
  <c r="BC22" i="1" s="1"/>
  <c r="BC20" i="1" a="1"/>
  <c r="BC20" i="1" s="1"/>
  <c r="BC16" i="1" a="1"/>
  <c r="BC16" i="1" s="1"/>
  <c r="BC12" i="1" a="1"/>
  <c r="BC12" i="1" s="1"/>
  <c r="BB24" i="1" a="1"/>
  <c r="BB24" i="1" s="1"/>
  <c r="BB20" i="1" a="1"/>
  <c r="BB20" i="1" s="1"/>
  <c r="BB18" i="1" a="1"/>
  <c r="BB18" i="1" s="1"/>
  <c r="BB16" i="1" a="1"/>
  <c r="BB16" i="1" s="1"/>
  <c r="BB14" i="1" a="1"/>
  <c r="BB14" i="1" s="1"/>
  <c r="BB12" i="1" a="1"/>
  <c r="BB12" i="1" s="1"/>
  <c r="BB10" i="1" a="1"/>
  <c r="BB10" i="1" s="1"/>
  <c r="BA22" i="1" a="1"/>
  <c r="BA22" i="1" s="1"/>
  <c r="BA18" i="1" a="1"/>
  <c r="BA18" i="1" s="1"/>
  <c r="BA14" i="1" a="1"/>
  <c r="BA14" i="1" s="1"/>
  <c r="BA10" i="1" a="1"/>
  <c r="BA10" i="1" s="1"/>
  <c r="AZ22" i="1" a="1"/>
  <c r="AZ22" i="1" s="1"/>
  <c r="AZ18" i="1" a="1"/>
  <c r="AZ18" i="1" s="1"/>
  <c r="AZ14" i="1" a="1"/>
  <c r="AZ14" i="1" s="1"/>
  <c r="AZ10" i="1" a="1"/>
  <c r="AZ10" i="1" s="1"/>
  <c r="AY22" i="1" a="1"/>
  <c r="AY22" i="1" s="1"/>
  <c r="AY18" i="1" a="1"/>
  <c r="AY18" i="1" s="1"/>
  <c r="AY14" i="1" a="1"/>
  <c r="AY14" i="1" s="1"/>
  <c r="AY10" i="1" a="1"/>
  <c r="AY10" i="1" s="1"/>
  <c r="AX22" i="1" a="1"/>
  <c r="AX22" i="1" s="1"/>
  <c r="AX20" i="1" a="1"/>
  <c r="AX20" i="1" s="1"/>
  <c r="AX16" i="1" a="1"/>
  <c r="AX16" i="1" s="1"/>
  <c r="AX14" i="1" a="1"/>
  <c r="AX14" i="1" s="1"/>
  <c r="AX12" i="1" a="1"/>
  <c r="AX12" i="1" s="1"/>
  <c r="AX10" i="1" a="1"/>
  <c r="AX10" i="1" s="1"/>
  <c r="BC24" i="1" a="1"/>
  <c r="BC24" i="1" s="1"/>
  <c r="BC18" i="1" a="1"/>
  <c r="BC18" i="1" s="1"/>
  <c r="BC14" i="1" a="1"/>
  <c r="BC14" i="1" s="1"/>
  <c r="BC10" i="1" a="1"/>
  <c r="BC10" i="1" s="1"/>
  <c r="BB22" i="1" a="1"/>
  <c r="BB22" i="1" s="1"/>
  <c r="BA24" i="1" a="1"/>
  <c r="BA24" i="1" s="1"/>
  <c r="BA20" i="1" a="1"/>
  <c r="BA20" i="1" s="1"/>
  <c r="BA16" i="1" a="1"/>
  <c r="BA16" i="1" s="1"/>
  <c r="BA12" i="1" a="1"/>
  <c r="BA12" i="1" s="1"/>
  <c r="AZ24" i="1" a="1"/>
  <c r="AZ24" i="1" s="1"/>
  <c r="AZ20" i="1" a="1"/>
  <c r="AZ20" i="1" s="1"/>
  <c r="AZ16" i="1" a="1"/>
  <c r="AZ16" i="1" s="1"/>
  <c r="AZ12" i="1" a="1"/>
  <c r="AZ12" i="1" s="1"/>
  <c r="AY24" i="1" a="1"/>
  <c r="AY24" i="1" s="1"/>
  <c r="AY20" i="1" a="1"/>
  <c r="AY20" i="1" s="1"/>
  <c r="AY16" i="1" a="1"/>
  <c r="AY16" i="1" s="1"/>
  <c r="AY12" i="1" a="1"/>
  <c r="AY12" i="1" s="1"/>
  <c r="AX24" i="1" a="1"/>
  <c r="AX24" i="1" s="1"/>
  <c r="AX18" i="1" a="1"/>
  <c r="AX18" i="1" s="1"/>
  <c r="BC9" i="1" a="1"/>
  <c r="BC9" i="1" s="1"/>
  <c r="BA9" i="1" a="1"/>
  <c r="BA9" i="1" s="1"/>
  <c r="AY9" i="1" a="1"/>
  <c r="AY9" i="1" s="1"/>
  <c r="BC25" i="1" a="1"/>
  <c r="BC25" i="1" s="1"/>
  <c r="BC23" i="1" a="1"/>
  <c r="BC23" i="1" s="1"/>
  <c r="BC21" i="1" a="1"/>
  <c r="BC21" i="1" s="1"/>
  <c r="BC19" i="1" a="1"/>
  <c r="BC19" i="1" s="1"/>
  <c r="BC17" i="1" a="1"/>
  <c r="BC17" i="1" s="1"/>
  <c r="BC15" i="1" a="1"/>
  <c r="BC15" i="1" s="1"/>
  <c r="BC13" i="1" a="1"/>
  <c r="BC13" i="1" s="1"/>
  <c r="BC11" i="1" a="1"/>
  <c r="BC11" i="1" s="1"/>
  <c r="BB25" i="1" a="1"/>
  <c r="BB25" i="1" s="1"/>
  <c r="BB23" i="1" a="1"/>
  <c r="BB23" i="1" s="1"/>
  <c r="BB21" i="1" a="1"/>
  <c r="BB21" i="1" s="1"/>
  <c r="BB19" i="1" a="1"/>
  <c r="BB19" i="1" s="1"/>
  <c r="BB17" i="1" a="1"/>
  <c r="BB17" i="1" s="1"/>
  <c r="BB15" i="1" a="1"/>
  <c r="BB15" i="1" s="1"/>
  <c r="BB13" i="1" a="1"/>
  <c r="BB13" i="1" s="1"/>
  <c r="BB11" i="1" a="1"/>
  <c r="BB11" i="1" s="1"/>
  <c r="BA25" i="1" a="1"/>
  <c r="BA25" i="1" s="1"/>
  <c r="BA23" i="1" a="1"/>
  <c r="BA23" i="1" s="1"/>
  <c r="BA21" i="1" a="1"/>
  <c r="BA21" i="1" s="1"/>
  <c r="BA19" i="1" a="1"/>
  <c r="BA19" i="1" s="1"/>
  <c r="BA17" i="1" a="1"/>
  <c r="BA17" i="1" s="1"/>
  <c r="BA15" i="1" a="1"/>
  <c r="BA15" i="1" s="1"/>
  <c r="BA13" i="1" a="1"/>
  <c r="BA13" i="1" s="1"/>
  <c r="BA11" i="1" a="1"/>
  <c r="BA11" i="1" s="1"/>
  <c r="AZ25" i="1" a="1"/>
  <c r="AZ25" i="1" s="1"/>
  <c r="AZ23" i="1" a="1"/>
  <c r="AZ23" i="1" s="1"/>
  <c r="AZ21" i="1" a="1"/>
  <c r="AZ21" i="1" s="1"/>
  <c r="AZ19" i="1" a="1"/>
  <c r="AZ19" i="1" s="1"/>
  <c r="AZ17" i="1" a="1"/>
  <c r="AZ17" i="1" s="1"/>
  <c r="AZ15" i="1" a="1"/>
  <c r="AZ15" i="1" s="1"/>
  <c r="AZ13" i="1" a="1"/>
  <c r="AZ13" i="1" s="1"/>
  <c r="AZ11" i="1" a="1"/>
  <c r="AZ11" i="1" s="1"/>
  <c r="AY25" i="1" a="1"/>
  <c r="AY25" i="1" s="1"/>
  <c r="AY23" i="1" a="1"/>
  <c r="AY23" i="1" s="1"/>
  <c r="AY21" i="1" a="1"/>
  <c r="AY21" i="1" s="1"/>
  <c r="AY19" i="1" a="1"/>
  <c r="AY19" i="1" s="1"/>
  <c r="AY17" i="1" a="1"/>
  <c r="AY17" i="1" s="1"/>
  <c r="AY15" i="1" a="1"/>
  <c r="AY15" i="1" s="1"/>
  <c r="AY13" i="1" a="1"/>
  <c r="AY13" i="1" s="1"/>
  <c r="AY11" i="1" a="1"/>
  <c r="AY11" i="1" s="1"/>
  <c r="AX25" i="1" a="1"/>
  <c r="AX25" i="1" s="1"/>
  <c r="AX23" i="1" a="1"/>
  <c r="AX23" i="1" s="1"/>
  <c r="AX21" i="1" a="1"/>
  <c r="AX21" i="1" s="1"/>
  <c r="AX19" i="1" a="1"/>
  <c r="AX19" i="1" s="1"/>
  <c r="AX17" i="1" a="1"/>
  <c r="AX17" i="1" s="1"/>
  <c r="AX15" i="1" a="1"/>
  <c r="AX15" i="1" s="1"/>
  <c r="C4" i="1"/>
  <c r="BS2" i="21" l="1"/>
  <c r="BP2" i="21"/>
  <c r="BK2" i="21"/>
  <c r="BJ2" i="21"/>
  <c r="BI2" i="21"/>
  <c r="BH2" i="21"/>
  <c r="BG2" i="21"/>
  <c r="BC2" i="21" a="1"/>
  <c r="BC2" i="21" s="1"/>
  <c r="BB2" i="21" a="1"/>
  <c r="BB2" i="21" s="1"/>
  <c r="BA2" i="21" a="1"/>
  <c r="BA2" i="21" s="1"/>
  <c r="AZ2" i="21" a="1"/>
  <c r="AZ2" i="21" s="1"/>
  <c r="AY2" i="21" a="1"/>
  <c r="AY2" i="21" s="1"/>
  <c r="AX2" i="21" a="1"/>
  <c r="AX2" i="21" s="1"/>
  <c r="G2" i="21"/>
  <c r="AA2" i="21"/>
  <c r="H2" i="21"/>
  <c r="AR2" i="21"/>
  <c r="AE2" i="21"/>
  <c r="AM2" i="21"/>
  <c r="AT2" i="21"/>
  <c r="AF2" i="21"/>
  <c r="P2" i="21"/>
  <c r="T2" i="21"/>
  <c r="X2" i="21"/>
  <c r="N2" i="21"/>
  <c r="AH2" i="21"/>
  <c r="AO2" i="21"/>
  <c r="AU2" i="21"/>
  <c r="BV2" i="21"/>
  <c r="AQ2" i="21"/>
  <c r="AB2" i="21"/>
  <c r="I2" i="21"/>
  <c r="AK2" i="21"/>
  <c r="B2" i="21"/>
  <c r="K2" i="21"/>
  <c r="W2" i="21"/>
  <c r="D2" i="21"/>
  <c r="AV2" i="21"/>
  <c r="F2" i="21"/>
  <c r="AC2" i="21"/>
  <c r="AJ2" i="21"/>
  <c r="R2" i="21"/>
  <c r="AN2" i="21"/>
  <c r="L2" i="21"/>
  <c r="E2" i="21"/>
  <c r="V2" i="21"/>
  <c r="U2" i="21"/>
  <c r="AL2" i="21"/>
  <c r="J2" i="21"/>
  <c r="Z2" i="21"/>
  <c r="C2" i="21"/>
  <c r="Y2" i="21"/>
  <c r="BW2" i="21"/>
  <c r="AG2" i="21"/>
  <c r="AW2" i="21"/>
  <c r="M2" i="21"/>
  <c r="O2" i="21"/>
  <c r="AD2" i="21"/>
  <c r="AS2" i="21"/>
  <c r="S2" i="21"/>
  <c r="AP2" i="21"/>
  <c r="Q2" i="21"/>
  <c r="AI2" i="21"/>
  <c r="BU2" i="21" l="1"/>
  <c r="BT2" i="21" a="1"/>
  <c r="BT2" i="21" s="1"/>
  <c r="BM2" i="21"/>
  <c r="B3" i="12"/>
  <c r="A2" i="12"/>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<sst xmlns="http://schemas.openxmlformats.org/spreadsheetml/2006/main" count="4747" uniqueCount="1856">
  <si>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</si>
  <si>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</si>
  <si>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</si>
  <si>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</si>
  <si>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</si>
  <si>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</si>
  <si>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</si>
  <si>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</si>
  <si>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</si>
  <si>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</si>
  <si>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</si>
  <si>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</si>
  <si>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</si>
  <si>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</si>
  <si>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</si>
  <si>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</si>
  <si>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</si>
  <si>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</si>
  <si>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</si>
  <si>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</si>
  <si>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</si>
  <si>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</si>
  <si>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</si>
  <si>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</si>
  <si>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</si>
  <si>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</si>
  <si>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</si>
  <si>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</si>
  <si>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</si>
  <si>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</si>
  <si>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</si>
  <si>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</si>
  <si>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</si>
  <si>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</si>
  <si>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</si>
  <si>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</si>
  <si>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</si>
  <si>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</si>
  <si>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</si>
  <si>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</si>
  <si>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</si>
  <si>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</si>
  <si>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</si>
  <si>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</si>
  <si>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</si>
  <si>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</si>
  <si>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</si>
  <si>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</si>
  <si>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</si>
  <si>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</si>
  <si>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</si>
  <si>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</si>
  <si>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</si>
  <si>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</si>
  <si>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</si>
  <si>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</si>
  <si>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</si>
  <si>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</si>
  <si>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</si>
  <si>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</si>
  <si>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</si>
  <si>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</si>
  <si>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</si>
  <si>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</si>
  <si>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</si>
  <si>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</si>
  <si>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</si>
  <si>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</si>
  <si>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</si>
  <si>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</si>
  <si>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</si>
  <si>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</si>
  <si>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</si>
  <si>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</si>
  <si>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</si>
  <si>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</si>
  <si>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</si>
  <si>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</si>
  <si>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</si>
  <si>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</si>
  <si>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</si>
  <si>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</si>
  <si>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</si>
  <si>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</si>
  <si>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</si>
  <si>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</si>
  <si>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</si>
  <si>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</si>
  <si>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</si>
  <si>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</si>
  <si>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</si>
  <si>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</si>
  <si>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</si>
  <si>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</si>
  <si>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</si>
  <si>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</si>
  <si>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</si>
  <si>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</si>
  <si>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</si>
  <si>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</si>
  <si>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</si>
  <si>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</si>
  <si>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</si>
  <si>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</si>
  <si>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</si>
  <si>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</si>
  <si>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</si>
  <si>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</si>
  <si>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</si>
  <si>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</si>
  <si>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</si>
  <si>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</si>
  <si>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</si>
  <si>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</si>
  <si>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</si>
  <si>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</si>
  <si>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</si>
  <si>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</si>
  <si>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</si>
  <si>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</si>
  <si>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</si>
  <si>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</si>
  <si>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</si>
  <si>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</si>
  <si>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</si>
  <si>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</si>
  <si>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</si>
  <si>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</si>
  <si>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</si>
  <si>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</si>
  <si>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</si>
  <si>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</si>
  <si>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</si>
  <si>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</si>
  <si>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</si>
  <si>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</si>
  <si>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</si>
  <si>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</si>
  <si>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</si>
  <si>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</si>
  <si>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</si>
  <si>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</si>
  <si>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</si>
  <si>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</si>
  <si>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</si>
  <si>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</si>
  <si>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</si>
  <si>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</si>
  <si>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</si>
  <si>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</si>
  <si>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</si>
  <si>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</si>
  <si>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</si>
  <si>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</si>
  <si>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</si>
  <si>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</si>
  <si>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</si>
  <si>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</si>
  <si>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</si>
  <si>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</si>
  <si>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</si>
  <si>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</si>
  <si>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</si>
  <si>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</si>
  <si>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</si>
  <si>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</si>
  <si>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</si>
  <si>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</si>
  <si>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</si>
  <si>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</si>
  <si>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</si>
  <si>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</si>
  <si>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</si>
  <si>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</si>
  <si>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</si>
  <si>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</si>
  <si>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</si>
  <si>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</si>
  <si>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</si>
  <si>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</si>
  <si>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</si>
  <si>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</si>
  <si>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</si>
  <si>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</si>
  <si>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</si>
  <si>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</si>
  <si>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</si>
  <si>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</si>
  <si>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</si>
  <si>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</si>
  <si>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</si>
  <si>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</si>
  <si>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</si>
  <si>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</si>
  <si>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</si>
  <si>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</si>
  <si>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</si>
  <si>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</si>
  <si>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</si>
  <si>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</si>
  <si>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</si>
  <si>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</si>
  <si>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</si>
  <si>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</si>
  <si>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</si>
  <si>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</si>
  <si>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</si>
  <si>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</si>
  <si>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</si>
  <si>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</si>
  <si>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</si>
  <si>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</si>
  <si>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</si>
  <si>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</si>
  <si>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</si>
  <si>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</si>
  <si>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</si>
  <si>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</si>
  <si>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</si>
  <si>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</si>
  <si>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</si>
  <si>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</si>
  <si>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</si>
  <si>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</si>
  <si>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</si>
  <si>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</si>
  <si>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</si>
  <si>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</si>
  <si>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</si>
  <si>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</si>
  <si>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</si>
  <si>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</si>
  <si>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</si>
  <si>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</si>
  <si>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</si>
  <si>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</si>
  <si>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</si>
  <si>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</si>
  <si>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</si>
  <si>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</si>
  <si>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</si>
  <si>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</si>
  <si>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</si>
  <si>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</si>
  <si>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</si>
  <si>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</si>
  <si>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</si>
  <si>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</si>
  <si>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</si>
  <si>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</si>
  <si>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</si>
  <si>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</si>
  <si>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</si>
  <si>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</si>
  <si>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</si>
  <si>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</si>
  <si>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</si>
  <si>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</si>
  <si>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</si>
  <si>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</si>
  <si>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</si>
  <si>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</si>
  <si>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</si>
  <si>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</si>
  <si>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</si>
  <si>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</si>
  <si>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</si>
  <si>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</si>
  <si>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</si>
  <si>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</si>
  <si>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</si>
  <si>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</si>
  <si>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</si>
  <si>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</si>
  <si>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</si>
  <si>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</si>
  <si>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</si>
  <si>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</si>
  <si>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</si>
  <si>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</si>
  <si>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</si>
  <si>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</si>
  <si>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</si>
  <si>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</si>
  <si>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</si>
  <si>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</si>
  <si>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</si>
  <si>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</si>
  <si>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</si>
  <si>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</si>
  <si>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</si>
  <si>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</si>
  <si>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</si>
  <si>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</si>
  <si>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</si>
  <si>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</si>
  <si>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</si>
  <si>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</si>
  <si>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</si>
  <si>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</si>
  <si>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</si>
  <si>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</si>
  <si>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</si>
  <si>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</si>
  <si>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</si>
  <si>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</si>
  <si>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</si>
  <si>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</si>
  <si>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</si>
  <si>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</si>
  <si>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</si>
  <si>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</si>
  <si>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</si>
  <si>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</si>
  <si>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</si>
  <si>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</si>
  <si>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</si>
  <si>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</si>
  <si>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</si>
  <si>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</si>
  <si>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</si>
  <si>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</si>
  <si>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</si>
  <si>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</si>
  <si>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</si>
  <si>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</si>
  <si>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</si>
  <si>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</si>
  <si>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</si>
  <si>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</si>
  <si>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</si>
  <si>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</si>
  <si>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</si>
  <si>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</si>
  <si>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</si>
  <si>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</si>
  <si>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</si>
  <si>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</si>
  <si>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</si>
  <si>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</si>
  <si>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</si>
  <si>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</si>
  <si>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</si>
  <si>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</si>
  <si>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</si>
  <si>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</si>
  <si>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</si>
  <si>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</si>
  <si>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</si>
  <si>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</si>
  <si>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</si>
  <si>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</si>
  <si>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</si>
  <si>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</si>
  <si>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</si>
  <si>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</si>
  <si>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</si>
  <si>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</si>
  <si>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</si>
  <si>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</si>
  <si>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</si>
  <si>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</si>
  <si>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</si>
  <si>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</si>
  <si>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</si>
  <si>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</si>
  <si>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</si>
  <si>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</si>
  <si>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</si>
  <si>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</si>
  <si>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</si>
  <si>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</si>
  <si>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</si>
  <si>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</si>
  <si>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</si>
  <si>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</si>
  <si>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</si>
  <si>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</si>
  <si>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</si>
  <si>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</si>
  <si>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</si>
  <si>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</si>
  <si>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</si>
  <si>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</si>
  <si>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</si>
  <si>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</si>
  <si>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</si>
  <si>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</si>
  <si>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</si>
  <si>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</si>
  <si>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</si>
  <si>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</si>
  <si>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</si>
  <si>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</si>
  <si>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</si>
  <si>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</si>
  <si>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</si>
  <si>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</si>
  <si>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</si>
  <si>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</si>
  <si>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</si>
  <si>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</si>
  <si>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</si>
  <si>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</si>
  <si>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</si>
  <si>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</si>
  <si>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</si>
  <si>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</si>
  <si>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</si>
  <si>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</si>
  <si>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</si>
  <si>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</si>
  <si>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</si>
  <si>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</si>
  <si>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</si>
  <si>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</si>
  <si>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</si>
  <si>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</si>
  <si>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</si>
  <si>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</si>
  <si>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</si>
  <si>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</si>
  <si>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</si>
  <si>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</si>
  <si>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</si>
  <si>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</si>
  <si>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</si>
  <si>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</si>
  <si>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</si>
  <si>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</si>
  <si>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</si>
  <si>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</si>
  <si>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</si>
  <si>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</si>
  <si>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</si>
  <si>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</si>
  <si>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</si>
  <si>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</si>
  <si>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</si>
  <si>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</si>
  <si>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</si>
  <si>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</si>
  <si>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</si>
  <si>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</si>
  <si>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</si>
  <si>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</si>
  <si>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</si>
  <si>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</si>
  <si>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</si>
  <si>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</si>
  <si>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</si>
  <si>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</si>
  <si>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</si>
  <si>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</si>
  <si>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</si>
  <si>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</si>
  <si>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</si>
  <si>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</si>
  <si>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</si>
  <si>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</si>
  <si>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</si>
  <si>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</si>
  <si>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</si>
  <si>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</si>
  <si>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</si>
  <si>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</si>
  <si>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</si>
  <si>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</si>
  <si>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</si>
  <si>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</si>
  <si>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</si>
  <si>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</si>
  <si>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</si>
  <si>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</si>
  <si>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</si>
  <si>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</si>
  <si>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</si>
  <si>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</si>
  <si>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</si>
  <si>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</si>
  <si>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</si>
  <si>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</si>
  <si>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</si>
  <si>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</si>
  <si>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</si>
  <si>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</si>
  <si>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</si>
  <si>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</si>
  <si>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</si>
  <si>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</si>
  <si>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</si>
  <si>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</si>
  <si>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</si>
  <si>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</si>
  <si>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</si>
  <si>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</si>
  <si>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</si>
  <si>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</si>
  <si>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</si>
  <si>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</si>
  <si>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</si>
  <si>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</si>
  <si>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</si>
  <si>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</si>
  <si>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</si>
  <si>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</si>
  <si>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</si>
  <si>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</si>
  <si>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</si>
  <si>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</si>
  <si>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</si>
  <si>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</si>
  <si>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</si>
  <si>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</si>
  <si>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</si>
  <si>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</si>
  <si>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</si>
  <si>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</si>
  <si>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</si>
  <si>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</si>
  <si>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</si>
  <si>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</si>
  <si>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</si>
  <si>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</si>
  <si>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</si>
  <si>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</si>
  <si>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</si>
  <si>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</si>
  <si>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</si>
  <si>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</si>
  <si>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</si>
  <si>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</si>
  <si>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</si>
  <si>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</si>
  <si>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</si>
  <si>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</si>
  <si>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</si>
  <si>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</si>
  <si>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</si>
  <si>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</si>
  <si>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</si>
  <si>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</si>
  <si>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</si>
  <si>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</si>
  <si>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</si>
  <si>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</si>
  <si>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</si>
  <si>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</si>
  <si>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</si>
  <si>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</si>
  <si>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</si>
  <si>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</si>
  <si>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</si>
  <si>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</si>
  <si>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</si>
  <si>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</si>
  <si>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</si>
  <si>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</si>
  <si>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</si>
  <si>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</si>
  <si>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</si>
  <si>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</si>
  <si>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</si>
  <si>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</si>
  <si>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</si>
  <si>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</si>
  <si>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</si>
  <si>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</si>
  <si>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</si>
  <si>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</si>
  <si>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</si>
  <si>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</si>
  <si>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</si>
  <si>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</si>
  <si>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</si>
  <si>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</si>
  <si>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</si>
  <si>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</si>
  <si>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</si>
  <si>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</si>
  <si>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</si>
  <si>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</si>
  <si>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</si>
  <si>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</si>
  <si>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</si>
  <si>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</si>
  <si>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</si>
  <si>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</si>
  <si>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</si>
  <si>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</si>
  <si>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</si>
  <si>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</si>
  <si>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</si>
  <si>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</si>
  <si>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</si>
  <si>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</si>
  <si>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</si>
  <si>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</si>
  <si>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</si>
  <si>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</si>
  <si>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</si>
  <si>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</si>
  <si>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</si>
  <si>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</si>
  <si>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</si>
  <si>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</si>
  <si>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</si>
  <si>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</si>
  <si>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</si>
  <si>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</si>
  <si>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</si>
  <si>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</si>
  <si>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</si>
  <si>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</si>
  <si>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</si>
  <si>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</si>
  <si>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</si>
  <si>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</si>
  <si>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</si>
  <si>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</si>
  <si>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</si>
  <si>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</si>
  <si>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</si>
  <si>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</si>
  <si>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</si>
  <si>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</si>
  <si>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</si>
  <si>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</si>
  <si>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</si>
  <si>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</si>
  <si>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</si>
  <si>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</si>
  <si>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</si>
  <si>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</si>
  <si>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</si>
  <si>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</si>
  <si>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</si>
  <si>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</si>
  <si>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</si>
  <si>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</si>
  <si>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</si>
  <si>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</si>
  <si>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</si>
  <si>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</si>
  <si>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</si>
  <si>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</si>
  <si>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</si>
  <si>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</si>
  <si>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</si>
  <si>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</si>
  <si>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</si>
  <si>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</si>
  <si>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</si>
  <si>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</si>
  <si>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</si>
  <si>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</si>
  <si>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</si>
  <si>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</si>
  <si>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</si>
  <si>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</si>
  <si>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</si>
  <si>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</si>
  <si>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</si>
  <si>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</si>
  <si>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</si>
  <si>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</si>
  <si>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</si>
  <si>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</si>
  <si>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</si>
  <si>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</si>
  <si>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</si>
  <si>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</si>
  <si>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</si>
  <si>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</si>
  <si>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</si>
  <si>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</si>
  <si>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</si>
  <si>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</si>
  <si>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</si>
  <si>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</si>
  <si>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</si>
  <si>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</si>
  <si>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</si>
  <si>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</si>
  <si>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</si>
  <si>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</si>
  <si>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</si>
  <si>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</si>
  <si>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</si>
  <si>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</si>
  <si>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</si>
  <si>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</si>
  <si>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</si>
  <si>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</si>
  <si>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</si>
  <si>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</si>
  <si>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</si>
  <si>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</si>
  <si>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</si>
  <si>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</si>
  <si>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</si>
  <si>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</si>
  <si>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</si>
  <si>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</si>
  <si>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</si>
  <si>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</si>
  <si>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</si>
  <si>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</si>
  <si>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</si>
  <si>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</si>
  <si>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</si>
  <si>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</si>
  <si>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</si>
  <si>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</si>
  <si>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</si>
  <si>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</si>
  <si>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</si>
  <si>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</si>
  <si>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</si>
  <si>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</si>
  <si>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</si>
  <si>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</si>
  <si>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</si>
  <si>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</si>
  <si>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</si>
  <si>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</si>
  <si>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</si>
  <si>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</si>
  <si>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</si>
  <si>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</si>
  <si>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</si>
  <si>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</si>
  <si>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</si>
  <si>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</si>
  <si>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</si>
  <si>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</si>
  <si>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</si>
  <si>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</si>
  <si>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</si>
  <si>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</si>
  <si>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</si>
  <si>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</si>
  <si>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</si>
  <si>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</si>
  <si>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</si>
  <si>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</si>
  <si>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</si>
  <si>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</si>
  <si>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</si>
  <si>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</si>
  <si>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</si>
  <si>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</si>
  <si>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</si>
  <si>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</si>
  <si>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</si>
  <si>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</si>
  <si>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</si>
  <si>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</si>
  <si>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</si>
  <si>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</si>
  <si>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</si>
  <si>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</si>
  <si>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</si>
  <si>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</si>
  <si>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</si>
  <si>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</si>
  <si>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</si>
  <si>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</si>
  <si>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</si>
  <si>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</si>
  <si>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</si>
  <si>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</si>
  <si>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</si>
  <si>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</si>
  <si>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</si>
  <si>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</si>
  <si>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</si>
  <si>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</si>
  <si>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</si>
  <si>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</si>
  <si>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</si>
  <si>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</si>
  <si>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</si>
  <si>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</si>
  <si>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</si>
  <si>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</si>
  <si>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</si>
  <si>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</si>
  <si>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</si>
  <si>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</si>
  <si>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</si>
  <si>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</si>
  <si>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</si>
  <si>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</si>
  <si>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</si>
  <si>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</si>
  <si>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</si>
  <si>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</si>
  <si>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</si>
  <si>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</si>
  <si>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</si>
  <si>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</si>
  <si>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</si>
  <si>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</si>
  <si>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</si>
  <si>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</si>
  <si>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</si>
  <si>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</si>
  <si>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</si>
  <si>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</si>
  <si>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</si>
  <si>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</si>
  <si>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</si>
  <si>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</si>
  <si>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</si>
  <si>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</si>
  <si>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</si>
  <si>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</si>
  <si>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</si>
  <si>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</si>
  <si>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</si>
  <si>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</si>
  <si>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</si>
  <si>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</si>
  <si>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</si>
  <si>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</si>
  <si>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</si>
  <si>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</si>
  <si>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</si>
  <si>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</si>
  <si>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</si>
  <si>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</si>
  <si>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</si>
  <si>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</si>
  <si>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</si>
  <si>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</si>
  <si>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</si>
  <si>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</si>
  <si>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</si>
  <si>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</si>
  <si>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</si>
  <si>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</si>
  <si>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</si>
  <si>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</si>
  <si>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</si>
  <si>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</si>
  <si>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</si>
  <si>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</si>
  <si>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</si>
  <si>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</si>
  <si>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</si>
  <si>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</si>
  <si>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</si>
  <si>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</si>
  <si>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</si>
  <si>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</si>
  <si>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</si>
  <si>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</si>
  <si>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</si>
  <si>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</si>
  <si>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</si>
  <si>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</si>
  <si>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</si>
  <si>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</si>
  <si>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</si>
  <si>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</si>
  <si>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</si>
  <si>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</si>
  <si>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</si>
  <si>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</si>
  <si>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</si>
  <si>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</si>
  <si>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</si>
  <si>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</si>
  <si>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</si>
  <si>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</si>
  <si>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</si>
  <si>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</si>
  <si>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</si>
  <si>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</si>
  <si>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</si>
  <si>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</si>
  <si>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</si>
  <si>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</si>
  <si>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</si>
  <si>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</si>
  <si>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</si>
  <si>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</si>
  <si>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</si>
  <si>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</si>
  <si>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</si>
  <si>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</si>
  <si>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</si>
  <si>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</si>
  <si>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</si>
  <si>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</si>
  <si>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</si>
  <si>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</si>
  <si>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</si>
  <si>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</si>
  <si>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</si>
  <si>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</si>
  <si>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</si>
  <si>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</si>
  <si>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</si>
  <si>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</si>
  <si>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</si>
  <si>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</si>
  <si>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</si>
  <si>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</si>
  <si>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</si>
  <si>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</si>
  <si>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</si>
  <si>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</si>
  <si>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</si>
  <si>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</si>
  <si>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</si>
  <si>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</si>
  <si>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</si>
  <si>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</si>
  <si>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</si>
  <si>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</si>
  <si>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</si>
  <si>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</si>
  <si>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</si>
  <si>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</si>
  <si>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</si>
  <si>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</si>
  <si>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</si>
  <si>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</si>
  <si>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</si>
  <si>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</si>
  <si>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</si>
  <si>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</si>
  <si>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</si>
  <si>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</si>
  <si>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</si>
  <si>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</si>
  <si>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</si>
  <si>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</si>
  <si>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</si>
  <si>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</si>
  <si>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</si>
  <si>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</si>
  <si>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</si>
  <si>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</si>
  <si>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</si>
  <si>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</si>
  <si>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</si>
  <si>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</si>
  <si>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</si>
  <si>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</si>
  <si>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</si>
  <si>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</si>
  <si>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</si>
  <si>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</si>
  <si>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</si>
  <si>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</si>
  <si>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</si>
  <si>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</si>
  <si>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</si>
  <si>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</si>
  <si>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</si>
  <si>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</si>
  <si>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</si>
  <si>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</si>
  <si>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</si>
  <si>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</si>
  <si>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</si>
  <si>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</si>
  <si>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</si>
  <si>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</si>
  <si>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</si>
  <si>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</si>
  <si>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</si>
  <si>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</si>
  <si>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</si>
  <si>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</si>
  <si>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</si>
  <si>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</si>
  <si>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</si>
  <si>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</si>
  <si>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</si>
  <si>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</si>
  <si>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</si>
  <si>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</si>
  <si>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</si>
  <si>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</si>
  <si>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</si>
  <si>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</si>
  <si>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</si>
  <si>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</si>
  <si>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</si>
  <si>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</si>
  <si>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</si>
  <si>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</si>
  <si>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</si>
  <si>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</si>
  <si>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</si>
  <si>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</si>
  <si>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</si>
  <si>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</si>
  <si>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</si>
  <si>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</si>
  <si>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</si>
  <si>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</si>
  <si>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</si>
  <si>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</si>
  <si>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</si>
  <si>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</si>
  <si>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</si>
  <si>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</si>
  <si>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</si>
  <si>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</si>
  <si>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</si>
  <si>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</si>
  <si>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</si>
  <si>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</si>
  <si>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</si>
  <si>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</si>
  <si>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</si>
  <si>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</si>
  <si>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</si>
  <si>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</si>
  <si>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</si>
  <si>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</si>
  <si>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</si>
  <si>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</si>
  <si>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</si>
  <si>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</si>
  <si>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</si>
  <si>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</si>
  <si>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</si>
  <si>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</si>
  <si>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</si>
  <si>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</si>
  <si>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</si>
  <si>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</si>
  <si>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</si>
  <si>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</si>
  <si>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</si>
  <si>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</si>
  <si>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</si>
  <si>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</si>
  <si>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</si>
  <si>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</si>
  <si>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</si>
  <si>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</si>
  <si>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</si>
  <si>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</si>
  <si>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</si>
  <si>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</si>
  <si>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</si>
  <si>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</si>
  <si>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</si>
  <si>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</si>
  <si>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</si>
  <si>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</si>
  <si>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</si>
  <si>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</si>
  <si>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</si>
  <si>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</si>
  <si>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</si>
  <si>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</si>
  <si>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</si>
  <si>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</si>
  <si>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</si>
  <si>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</si>
  <si>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</si>
  <si>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</si>
  <si>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</si>
  <si>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</si>
  <si>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</si>
  <si>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</si>
  <si>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</si>
  <si>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</si>
  <si>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</si>
  <si>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</si>
  <si>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</si>
  <si>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</si>
  <si>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</si>
  <si>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</si>
  <si>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</si>
  <si>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</si>
  <si>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</si>
  <si>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</si>
  <si>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</si>
  <si>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</si>
  <si>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</si>
  <si>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</si>
  <si>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</si>
  <si>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</si>
  <si>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</si>
  <si>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</si>
  <si>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</si>
  <si>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</si>
  <si>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</si>
  <si>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</si>
  <si>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</si>
  <si>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</si>
  <si>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</si>
  <si>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</si>
  <si>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</si>
  <si>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</si>
  <si>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</si>
  <si>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</si>
  <si>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</si>
  <si>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</si>
  <si>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</si>
  <si>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</si>
  <si>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</si>
  <si>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</si>
  <si>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</si>
  <si>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</si>
  <si>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</si>
  <si>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</si>
  <si>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</si>
  <si>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</si>
  <si>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</si>
  <si>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</si>
  <si>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</si>
  <si>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</si>
  <si>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</si>
  <si>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</si>
  <si>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</si>
  <si>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</si>
  <si>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</si>
  <si>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</si>
  <si>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</si>
  <si>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</si>
  <si>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</si>
  <si>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</si>
  <si>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</si>
  <si>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</si>
  <si>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</si>
  <si>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</si>
  <si>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</si>
  <si>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</si>
  <si>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</si>
  <si>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</si>
  <si>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</si>
  <si>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</si>
  <si>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</si>
  <si>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</si>
  <si>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</si>
  <si>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</si>
  <si>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</si>
  <si>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</si>
  <si>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</si>
  <si>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</si>
  <si>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</si>
  <si>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</si>
  <si>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</si>
  <si>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</si>
  <si>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</si>
  <si>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</si>
  <si>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</si>
  <si>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</si>
  <si>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</si>
  <si>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</si>
  <si>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</si>
  <si>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</si>
  <si>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</si>
  <si>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</si>
  <si>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</si>
  <si>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</si>
  <si>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</si>
  <si>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</si>
  <si>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</si>
  <si>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</si>
  <si>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</si>
  <si>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</si>
  <si>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</si>
  <si>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</si>
  <si>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</si>
  <si>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</si>
  <si>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</si>
  <si>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</si>
  <si>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</si>
  <si>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</si>
  <si>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</si>
  <si>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</si>
  <si>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</si>
  <si>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</si>
  <si>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</si>
  <si>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</si>
  <si>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</si>
  <si>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</si>
  <si>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</si>
  <si>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</si>
  <si>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</si>
  <si>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</si>
  <si>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</si>
  <si>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</si>
  <si>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</si>
  <si>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</si>
  <si>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</si>
  <si>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</si>
  <si>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</si>
  <si>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</si>
  <si>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</si>
  <si>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</si>
  <si>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</si>
  <si>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</si>
  <si>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</si>
  <si>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</si>
  <si>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</si>
  <si>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</si>
  <si>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</si>
  <si>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</si>
  <si>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</si>
  <si>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</si>
  <si>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</si>
  <si>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</si>
  <si>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</si>
  <si>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</si>
  <si>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</si>
  <si>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</si>
  <si>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</si>
  <si>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</si>
  <si>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</si>
  <si>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</si>
  <si>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</si>
  <si>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</si>
  <si>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</si>
  <si>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</si>
  <si>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</si>
  <si>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</si>
  <si>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</si>
  <si>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</si>
  <si>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</si>
  <si>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</si>
  <si>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</si>
  <si>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</si>
  <si>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</si>
  <si>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</si>
  <si>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</si>
  <si>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</si>
  <si>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</si>
  <si>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</si>
  <si>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</si>
  <si>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</si>
  <si>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</si>
  <si>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</si>
  <si>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</si>
  <si>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</si>
  <si>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</si>
  <si>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</si>
  <si>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</si>
  <si>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</si>
  <si>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</si>
  <si>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</si>
  <si>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</si>
  <si>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</si>
  <si>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</si>
  <si>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</si>
  <si>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</si>
  <si>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</si>
  <si>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</si>
  <si>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</si>
  <si>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</si>
  <si>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</si>
  <si>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</si>
  <si>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</si>
  <si>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</si>
  <si>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</si>
  <si>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</si>
  <si>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</si>
  <si>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</si>
  <si>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</si>
  <si>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</si>
  <si>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</si>
  <si>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</si>
  <si>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</si>
  <si>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</si>
  <si>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</si>
  <si>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</si>
  <si>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</si>
  <si>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</si>
  <si>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</si>
  <si>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</si>
  <si>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</si>
  <si>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</si>
  <si>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</si>
  <si>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</si>
  <si>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</si>
  <si>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</si>
  <si>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</si>
  <si>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</si>
  <si>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</si>
  <si>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</si>
  <si>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</si>
  <si>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</si>
  <si>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</si>
  <si>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</si>
  <si>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</si>
  <si>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</si>
  <si>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</si>
  <si>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</si>
  <si>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</si>
  <si>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</si>
  <si>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</si>
  <si>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</si>
  <si>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</si>
  <si>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</si>
  <si>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</si>
  <si>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</si>
  <si>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</si>
  <si>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</si>
  <si>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</si>
  <si>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</si>
  <si>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</si>
  <si>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</si>
  <si>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</si>
  <si>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</si>
  <si>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</si>
  <si>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</si>
  <si>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</si>
  <si>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</si>
  <si>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</si>
  <si>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</si>
  <si>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</si>
  <si>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</si>
  <si>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</si>
  <si>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</si>
  <si>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</si>
  <si>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</si>
  <si>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</si>
  <si>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</si>
  <si>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</si>
  <si>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</si>
  <si>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</si>
  <si>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</si>
  <si>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</si>
  <si>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</si>
  <si>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</si>
  <si>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</si>
  <si>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</si>
  <si>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</si>
  <si>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</si>
  <si>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</si>
  <si>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</si>
  <si>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</si>
  <si>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</si>
  <si>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</si>
  <si>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</si>
  <si>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</si>
  <si>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</si>
  <si>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</si>
  <si>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</si>
  <si>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</si>
  <si>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</si>
  <si>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</si>
  <si>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</si>
  <si>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</si>
  <si>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</si>
  <si>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</si>
  <si>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</si>
  <si>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</si>
  <si>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</si>
  <si>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</si>
  <si>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</si>
  <si>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</si>
  <si>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</si>
  <si>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</si>
  <si>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</si>
  <si>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</si>
  <si>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</si>
  <si>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</si>
  <si>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</si>
  <si>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</si>
  <si>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</si>
  <si>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</si>
  <si>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</si>
  <si>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</si>
  <si>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</si>
  <si>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</si>
  <si>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</si>
  <si>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</si>
  <si>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</si>
  <si>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</si>
  <si>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</si>
  <si>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</si>
  <si>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</si>
  <si>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</si>
  <si>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</si>
  <si>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</si>
  <si>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</si>
  <si>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</si>
  <si>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</si>
  <si>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</si>
  <si>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</si>
  <si>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</si>
  <si>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</si>
  <si>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</si>
  <si>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</si>
  <si>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</si>
  <si>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</si>
  <si>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</si>
  <si>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</si>
  <si>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</si>
  <si>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10SW8006N</t>
  </si>
  <si>
    <t>10TW5006S</t>
  </si>
  <si>
    <t>10TW5007S</t>
  </si>
  <si>
    <t>10TW5008S</t>
  </si>
  <si>
    <t>10TW8008S</t>
  </si>
  <si>
    <t>11004</t>
  </si>
  <si>
    <t>11011</t>
  </si>
  <si>
    <t>13099</t>
  </si>
  <si>
    <t>13102</t>
  </si>
  <si>
    <t>13104</t>
  </si>
  <si>
    <t>13105</t>
  </si>
  <si>
    <t>13200</t>
  </si>
  <si>
    <t>13201</t>
  </si>
  <si>
    <t>14820</t>
  </si>
  <si>
    <t>14821</t>
  </si>
  <si>
    <t>14822</t>
  </si>
  <si>
    <t>14825</t>
  </si>
  <si>
    <t>15965</t>
  </si>
  <si>
    <t>16759</t>
  </si>
  <si>
    <t>16760</t>
  </si>
  <si>
    <t>16985</t>
  </si>
  <si>
    <t>20402</t>
  </si>
  <si>
    <t>20403</t>
  </si>
  <si>
    <t>20407</t>
  </si>
  <si>
    <t>20408</t>
  </si>
  <si>
    <t>20410</t>
  </si>
  <si>
    <t>20411</t>
  </si>
  <si>
    <t>20412</t>
  </si>
  <si>
    <t>20413</t>
  </si>
  <si>
    <t>20417</t>
  </si>
  <si>
    <t>20441</t>
  </si>
  <si>
    <t>20445</t>
  </si>
  <si>
    <t>20461</t>
  </si>
  <si>
    <t>20479</t>
  </si>
  <si>
    <t>20481</t>
  </si>
  <si>
    <t>20482</t>
  </si>
  <si>
    <t>20483</t>
  </si>
  <si>
    <t>20531</t>
  </si>
  <si>
    <t>20540</t>
  </si>
  <si>
    <t>20541</t>
  </si>
  <si>
    <t>20570</t>
  </si>
  <si>
    <t>20573</t>
  </si>
  <si>
    <t>20632</t>
  </si>
  <si>
    <t>20705</t>
  </si>
  <si>
    <t>22200</t>
  </si>
  <si>
    <t>22201</t>
  </si>
  <si>
    <t>22202</t>
  </si>
  <si>
    <t>22203</t>
  </si>
  <si>
    <t>22312</t>
  </si>
  <si>
    <t>23316</t>
  </si>
  <si>
    <t>23317</t>
  </si>
  <si>
    <t>24252</t>
  </si>
  <si>
    <t>25202</t>
  </si>
  <si>
    <t>25203</t>
  </si>
  <si>
    <t>25204</t>
  </si>
  <si>
    <t>25211</t>
  </si>
  <si>
    <t>25212</t>
  </si>
  <si>
    <t>25214</t>
  </si>
  <si>
    <t>25221</t>
  </si>
  <si>
    <t>25222</t>
  </si>
  <si>
    <t>25223</t>
  </si>
  <si>
    <t>25224</t>
  </si>
  <si>
    <t>25235</t>
  </si>
  <si>
    <t>25236</t>
  </si>
  <si>
    <t>25237</t>
  </si>
  <si>
    <t>25239</t>
  </si>
  <si>
    <t>25240</t>
  </si>
  <si>
    <t>25241</t>
  </si>
  <si>
    <t>25242</t>
  </si>
  <si>
    <t>25442</t>
  </si>
  <si>
    <t>30063</t>
  </si>
  <si>
    <t>30073</t>
  </si>
  <si>
    <t>30074</t>
  </si>
  <si>
    <t>30076</t>
  </si>
  <si>
    <t>30077</t>
  </si>
  <si>
    <t>30340</t>
  </si>
  <si>
    <t>31222</t>
  </si>
  <si>
    <t>35BI1608</t>
  </si>
  <si>
    <t>35BI2010</t>
  </si>
  <si>
    <t>39434</t>
  </si>
  <si>
    <t>3FKFB210106</t>
  </si>
  <si>
    <t>3FKFB210118</t>
  </si>
  <si>
    <t>3FKFB210136</t>
  </si>
  <si>
    <t>3FKFB210138</t>
  </si>
  <si>
    <t>3FKFB210146</t>
  </si>
  <si>
    <t>3FKFB210172</t>
  </si>
  <si>
    <t>3FKFB210182</t>
  </si>
  <si>
    <t>3FKFB210184</t>
  </si>
  <si>
    <t>3FKFS230102</t>
  </si>
  <si>
    <t>3FKFS230106</t>
  </si>
  <si>
    <t>3FKFS230110</t>
  </si>
  <si>
    <t>3FKFS230112</t>
  </si>
  <si>
    <t>3FKFS230114</t>
  </si>
  <si>
    <t>3FKFS230116</t>
  </si>
  <si>
    <t>3FKFS230118</t>
  </si>
  <si>
    <t>3FKFS250204</t>
  </si>
  <si>
    <t>3FKFS250206</t>
  </si>
  <si>
    <t>3FKFS250214</t>
  </si>
  <si>
    <t>3FKFS250222</t>
  </si>
  <si>
    <t>3FKSS230206</t>
  </si>
  <si>
    <t>3FKSS230210</t>
  </si>
  <si>
    <t>3FKSS230212</t>
  </si>
  <si>
    <t>3FKSS230214</t>
  </si>
  <si>
    <t>3FKSS230216</t>
  </si>
  <si>
    <t>3FKSS230218</t>
  </si>
  <si>
    <t>3FPAP310218</t>
  </si>
  <si>
    <t>41BR2410080810T</t>
  </si>
  <si>
    <t>41BR2610080810T</t>
  </si>
  <si>
    <t>41BR2810080810T</t>
  </si>
  <si>
    <t>41ST3028</t>
  </si>
  <si>
    <t>41ST3030</t>
  </si>
  <si>
    <t>41ST3032</t>
  </si>
  <si>
    <t>45ST3024</t>
  </si>
  <si>
    <t>45ST3026</t>
  </si>
  <si>
    <t>45ST3028</t>
  </si>
  <si>
    <t>45ST3030</t>
  </si>
  <si>
    <t>71271440</t>
  </si>
  <si>
    <t>71302200</t>
  </si>
  <si>
    <t>71302803</t>
  </si>
  <si>
    <t>71302808</t>
  </si>
  <si>
    <t>71303200</t>
  </si>
  <si>
    <t>71303203</t>
  </si>
  <si>
    <t>71306110</t>
  </si>
  <si>
    <t>71306611</t>
  </si>
  <si>
    <t>71306612</t>
  </si>
  <si>
    <t>71306613</t>
  </si>
  <si>
    <t>71306614</t>
  </si>
  <si>
    <t>71306712</t>
  </si>
  <si>
    <t>71316509</t>
  </si>
  <si>
    <t>71332515</t>
  </si>
  <si>
    <t>71332520</t>
  </si>
  <si>
    <t>71332525</t>
  </si>
  <si>
    <t>71332530</t>
  </si>
  <si>
    <t>71332535</t>
  </si>
  <si>
    <t>71334946</t>
  </si>
  <si>
    <t>71334948</t>
  </si>
  <si>
    <t>71334952</t>
  </si>
  <si>
    <t>71335540</t>
  </si>
  <si>
    <t>71335548</t>
  </si>
  <si>
    <t>71335550</t>
  </si>
  <si>
    <t>71335552</t>
  </si>
  <si>
    <t>71335554</t>
  </si>
  <si>
    <t>71335556</t>
  </si>
  <si>
    <t>71337140</t>
  </si>
  <si>
    <t>71337650</t>
  </si>
  <si>
    <t>71337652</t>
  </si>
  <si>
    <t>71337654</t>
  </si>
  <si>
    <t>71337656</t>
  </si>
  <si>
    <t>71337948</t>
  </si>
  <si>
    <t>71337956</t>
  </si>
  <si>
    <t>71342803</t>
  </si>
  <si>
    <t>71343200</t>
  </si>
  <si>
    <t>71343203</t>
  </si>
  <si>
    <t>71343208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</si>
  <si>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</si>
  <si>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</si>
  <si>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</si>
  <si>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</si>
  <si>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</si>
  <si>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</si>
  <si>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</si>
  <si>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</si>
  <si>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</si>
  <si>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</si>
  <si>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</si>
  <si>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</si>
  <si>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</si>
  <si>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</si>
  <si>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</si>
  <si>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</si>
  <si>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</si>
  <si>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</si>
  <si>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</si>
  <si>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</si>
  <si>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</si>
  <si>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</si>
  <si>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</si>
  <si>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</si>
  <si>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</si>
  <si>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71420546</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</si>
  <si>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</si>
  <si>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</si>
  <si>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</si>
  <si>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</si>
  <si>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</si>
  <si>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</si>
  <si>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</si>
  <si>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</si>
  <si>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</si>
  <si>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</si>
  <si>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</si>
  <si>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</si>
  <si>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</si>
  <si>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</si>
  <si>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</si>
  <si>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</si>
  <si>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</si>
  <si>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</si>
  <si>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71421013</t>
  </si>
  <si>
    <t>71421014</t>
  </si>
  <si>
    <t>71421015</t>
  </si>
  <si>
    <t>71421016</t>
  </si>
  <si>
    <t>71421113</t>
  </si>
  <si>
    <t>71421114</t>
  </si>
  <si>
    <t>71421115</t>
  </si>
  <si>
    <t>71421116</t>
  </si>
  <si>
    <t>71421117</t>
  </si>
  <si>
    <t>71421723</t>
  </si>
  <si>
    <t>71421803</t>
  </si>
  <si>
    <t>71421805</t>
  </si>
  <si>
    <t>71424002</t>
  </si>
  <si>
    <t>71424006</t>
  </si>
  <si>
    <t>71424013</t>
  </si>
  <si>
    <t>71424024</t>
  </si>
  <si>
    <t>71424026</t>
  </si>
  <si>
    <t>71424027</t>
  </si>
  <si>
    <t>71424043</t>
  </si>
  <si>
    <t>71424045</t>
  </si>
  <si>
    <t>71424048</t>
  </si>
  <si>
    <t>71424225</t>
  </si>
  <si>
    <t>71424227</t>
  </si>
  <si>
    <t>71425005</t>
  </si>
  <si>
    <t>71426003</t>
  </si>
  <si>
    <t>71453201</t>
  </si>
  <si>
    <t>71453202</t>
  </si>
  <si>
    <t>71453211</t>
  </si>
  <si>
    <t>71453212</t>
  </si>
  <si>
    <t>71453213</t>
  </si>
  <si>
    <t>71453214</t>
  </si>
  <si>
    <t>71453221</t>
  </si>
  <si>
    <t>71453222</t>
  </si>
  <si>
    <t>72202674</t>
  </si>
  <si>
    <t>72204152</t>
  </si>
  <si>
    <t>72204190</t>
  </si>
  <si>
    <t>92841</t>
  </si>
  <si>
    <t>admin</t>
  </si>
  <si>
    <t>0</t>
  </si>
  <si>
    <t>Default</t>
  </si>
  <si>
    <t>=</t>
  </si>
  <si>
    <t>G</t>
  </si>
  <si>
    <t>-</t>
  </si>
  <si>
    <t>3FKFS230104</t>
  </si>
  <si>
    <t>3FKFS250210</t>
  </si>
  <si>
    <t>3FKFS250212</t>
  </si>
  <si>
    <t>3FKFS250216</t>
  </si>
  <si>
    <t>3FKFS250218</t>
  </si>
  <si>
    <t>FUNDAS PARA ESTERILIZACION 7 5X 15 CM</t>
  </si>
  <si>
    <t>Fundas esterilización Vapor/Eto</t>
  </si>
  <si>
    <t>STERICLIN</t>
  </si>
  <si>
    <t>Fundas para esterilizacion 10 x 25cm</t>
  </si>
  <si>
    <t>FUNDAS PARA ESTERILIZACION 15 X 20 CM</t>
  </si>
  <si>
    <t>Fundas para esterilizacion 15 x 27cm</t>
  </si>
  <si>
    <t>FUNDA PARA ESTERILIZAR DE 16X22CM</t>
  </si>
  <si>
    <t>FUNDAS PARA ESTERILIZACION 30 X 42 CM</t>
  </si>
  <si>
    <t>3FKFB210176</t>
  </si>
  <si>
    <t>FUNDAS PARA ESTERILIZACION 32 X 50 CM</t>
  </si>
  <si>
    <t>3FKFB210180</t>
  </si>
  <si>
    <t>FUNDAS PARA ESTERILIZACION 38 X 50 cm</t>
  </si>
  <si>
    <t>Fundas para esterilizacion 42 x 50cm</t>
  </si>
  <si>
    <t>FUNDAS PARA ESTERILIZACION 42 X 61 cm pr</t>
  </si>
  <si>
    <t>ROLLO VAPOR ETO 5CM X 200M</t>
  </si>
  <si>
    <t>Rollos Vapor/Eto</t>
  </si>
  <si>
    <t>ROLLO DE ESTERILIZACION DE 7 5CM X 200M</t>
  </si>
  <si>
    <t>FUNDA PARA ESTERILIZAR 10CMS X 200MTS</t>
  </si>
  <si>
    <t>ROLLO VAPOR ETO 15CM X 200M</t>
  </si>
  <si>
    <t>FUNDA PARA ESTERILIZAR 20CMX200MTS SIN F</t>
  </si>
  <si>
    <t>ROLLO VAPOR ETO 25CM X 200M</t>
  </si>
  <si>
    <t>ROLLO VAPOR ETO 30CM X 200M</t>
  </si>
  <si>
    <t>FUNDA PARA ESTERILIZAR 38X200 SIN FUELLE</t>
  </si>
  <si>
    <t>ROLLO TYVEK 7 5CM X 100M</t>
  </si>
  <si>
    <t>Rollos Tyvek</t>
  </si>
  <si>
    <t>ROLLO TYVEK 10CM X 100M</t>
  </si>
  <si>
    <t>ROLLO TYVEK 15CM X 100M</t>
  </si>
  <si>
    <t>ROLLO TYVEK 20CM X 100M</t>
  </si>
  <si>
    <t>ROLLO TYVEK 25CM X 100M</t>
  </si>
  <si>
    <t>ROLLO TYVEK 30CM X 100M</t>
  </si>
  <si>
    <t>ROLLO TYVEK 38CM X 100M</t>
  </si>
  <si>
    <t>ROLLO TYVEK 50CM X 100M</t>
  </si>
  <si>
    <t>3FKFS395029</t>
  </si>
  <si>
    <t>Rollo Tybek para esterilizar 50cm 100m</t>
  </si>
  <si>
    <t>3FKLB410102</t>
  </si>
  <si>
    <t>Cinta control Vapor normal</t>
  </si>
  <si>
    <t>Cintas Control</t>
  </si>
  <si>
    <t>3FKLB410106</t>
  </si>
  <si>
    <t>Cinta control Vapor AZUL extra fuerte</t>
  </si>
  <si>
    <t>3FKLB410108</t>
  </si>
  <si>
    <t>Cinta control Gas</t>
  </si>
  <si>
    <t>3FKLB410110</t>
  </si>
  <si>
    <t>Cinta control Plasma</t>
  </si>
  <si>
    <t>3FKLB410112</t>
  </si>
  <si>
    <t>Cinta control Calor Seco</t>
  </si>
  <si>
    <t>ROLLO VAPOR ETO CON FUELLE 10CM X 100M</t>
  </si>
  <si>
    <t>Rollos Vapor/Eto con fuelle</t>
  </si>
  <si>
    <t>ROLLO VAPOR ETO CON FUELLE 15CM X 100M</t>
  </si>
  <si>
    <t>ROLLO VAPOR ETO CON FUELLE 20CM X 100M</t>
  </si>
  <si>
    <t>ROLLO VAPOR ETO CON FUELLE 25CM X 100M</t>
  </si>
  <si>
    <t>FUNDA PARA ESTERILIZAR 30 CMS X 100 MTS</t>
  </si>
  <si>
    <t>ROLLO VAPOR ETO CON FUELLE 38CM X 100M</t>
  </si>
  <si>
    <t>Papel Crepe Verde 120x120 cm</t>
  </si>
  <si>
    <t>Papel Empaque Crepe</t>
  </si>
  <si>
    <t>3FSKS615102</t>
  </si>
  <si>
    <t>Bowie &amp; Dick test hoja DIN A 4 100 unid</t>
  </si>
  <si>
    <t>Bowie &amp; Dick</t>
  </si>
  <si>
    <t>3FSKS620102</t>
  </si>
  <si>
    <t>Bowie &amp; Dick test hoja DIN A 5 200 unid</t>
  </si>
  <si>
    <t>3FSKS650104</t>
  </si>
  <si>
    <t>Tira indicadora 150 x 30 mm VAPOR</t>
  </si>
  <si>
    <t>Tiras Indicadoras</t>
  </si>
  <si>
    <t>3FSKS650106</t>
  </si>
  <si>
    <t>Tira indicadora 150 x 30 mm FORM</t>
  </si>
  <si>
    <t>3FSKS650108</t>
  </si>
  <si>
    <t>Tira indicadora 150 x 30 mm ETO</t>
  </si>
  <si>
    <t>3FSMS355118</t>
  </si>
  <si>
    <t>Material Empaque SMMMS 34g Poliprop  120</t>
  </si>
  <si>
    <t>Empaque Polipropileno</t>
  </si>
  <si>
    <t>3FSMS360118</t>
  </si>
  <si>
    <t>Material Empaque SSMMS 43g   Poliprop</t>
  </si>
  <si>
    <t>3FSZB410302</t>
  </si>
  <si>
    <t>Dispensador de cintas escritorio de meta</t>
  </si>
  <si>
    <t>Dispensadores</t>
  </si>
  <si>
    <t>10-602</t>
  </si>
  <si>
    <t>10105</t>
  </si>
  <si>
    <t>10110</t>
  </si>
  <si>
    <t>10803</t>
  </si>
  <si>
    <t>30197082</t>
  </si>
  <si>
    <t>30197085</t>
  </si>
  <si>
    <t>30209703</t>
  </si>
  <si>
    <t>8810809</t>
  </si>
  <si>
    <t>8848803</t>
  </si>
  <si>
    <t>9235403</t>
  </si>
  <si>
    <t>CIENT-01</t>
  </si>
  <si>
    <t>MEDITOP</t>
  </si>
  <si>
    <t>ECU</t>
  </si>
  <si>
    <t>LIBRE-68</t>
  </si>
  <si>
    <t>MEDITOP.xlsm</t>
  </si>
  <si>
    <t>STERICLIN MARÍTIMO</t>
  </si>
  <si>
    <t>SUSP-100</t>
  </si>
  <si>
    <t>L</t>
  </si>
  <si>
    <t>A</t>
  </si>
  <si>
    <t>BUF</t>
  </si>
  <si>
    <t>V</t>
  </si>
  <si>
    <t>R</t>
  </si>
  <si>
    <t>SUSP-48</t>
  </si>
  <si>
    <t>10-4025</t>
  </si>
  <si>
    <t>10-6000</t>
  </si>
  <si>
    <t>10035</t>
  </si>
  <si>
    <t>10102</t>
  </si>
  <si>
    <t>10167</t>
  </si>
  <si>
    <t>10191</t>
  </si>
  <si>
    <t>10314</t>
  </si>
  <si>
    <t>10356T</t>
  </si>
  <si>
    <t>10400</t>
  </si>
  <si>
    <t>10420</t>
  </si>
  <si>
    <t>10714</t>
  </si>
  <si>
    <t>10715</t>
  </si>
  <si>
    <t>10716</t>
  </si>
  <si>
    <t>10800</t>
  </si>
  <si>
    <t>10801</t>
  </si>
  <si>
    <t>10802</t>
  </si>
  <si>
    <t>1081801</t>
  </si>
  <si>
    <t>1082401</t>
  </si>
  <si>
    <t>1083001</t>
  </si>
  <si>
    <t>1083601</t>
  </si>
  <si>
    <t>1084501</t>
  </si>
  <si>
    <t>11228</t>
  </si>
  <si>
    <t>11232</t>
  </si>
  <si>
    <t>13-5024</t>
  </si>
  <si>
    <t>135100</t>
  </si>
  <si>
    <t>160</t>
  </si>
  <si>
    <t>20016</t>
  </si>
  <si>
    <t>20053</t>
  </si>
  <si>
    <t>20054</t>
  </si>
  <si>
    <t>20055</t>
  </si>
  <si>
    <t>20833</t>
  </si>
  <si>
    <t>20836</t>
  </si>
  <si>
    <t>21032</t>
  </si>
  <si>
    <t>21298</t>
  </si>
  <si>
    <t>21833</t>
  </si>
  <si>
    <t>240</t>
  </si>
  <si>
    <t>24602</t>
  </si>
  <si>
    <t>26030</t>
  </si>
  <si>
    <t>270</t>
  </si>
  <si>
    <t>30162011</t>
  </si>
  <si>
    <t>30177836</t>
  </si>
  <si>
    <t>30179615</t>
  </si>
  <si>
    <t>30193260</t>
  </si>
  <si>
    <t>30196092</t>
  </si>
  <si>
    <t>30196094</t>
  </si>
  <si>
    <t>30197006</t>
  </si>
  <si>
    <t>30200137</t>
  </si>
  <si>
    <t>30200242</t>
  </si>
  <si>
    <t>30202020</t>
  </si>
  <si>
    <t>30204303</t>
  </si>
  <si>
    <t>30204383</t>
  </si>
  <si>
    <t>30204384</t>
  </si>
  <si>
    <t>30207866</t>
  </si>
  <si>
    <t>30207867</t>
  </si>
  <si>
    <t>30209655</t>
  </si>
  <si>
    <t>30210128</t>
  </si>
  <si>
    <t>30210796</t>
  </si>
  <si>
    <t>30212902</t>
  </si>
  <si>
    <t>30212903</t>
  </si>
  <si>
    <t>30215947</t>
  </si>
  <si>
    <t>30216482</t>
  </si>
  <si>
    <t>30218777</t>
  </si>
  <si>
    <t>30218786</t>
  </si>
  <si>
    <t>30218808</t>
  </si>
  <si>
    <t>30218902</t>
  </si>
  <si>
    <t>30220934</t>
  </si>
  <si>
    <t>316</t>
  </si>
  <si>
    <t>4824727</t>
  </si>
  <si>
    <t>5060101</t>
  </si>
  <si>
    <t>5060102</t>
  </si>
  <si>
    <t>5060202</t>
  </si>
  <si>
    <t>5060301</t>
  </si>
  <si>
    <t>5060302</t>
  </si>
  <si>
    <t>6.105.285</t>
  </si>
  <si>
    <t>622</t>
  </si>
  <si>
    <t>650</t>
  </si>
  <si>
    <t>6802401</t>
  </si>
  <si>
    <t>6803001</t>
  </si>
  <si>
    <t>6803601</t>
  </si>
  <si>
    <t>6934BP</t>
  </si>
  <si>
    <t>6938BP</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</si>
  <si>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</si>
  <si>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</si>
  <si>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</si>
  <si>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</si>
  <si>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</si>
  <si>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</si>
  <si>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</si>
  <si>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</si>
  <si>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</si>
  <si>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</si>
  <si>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</si>
  <si>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</si>
  <si>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</si>
  <si>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</si>
  <si>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</si>
  <si>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</si>
  <si>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</si>
  <si>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</si>
  <si>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C-MD-S251518LF</t>
  </si>
  <si>
    <t>G020405</t>
  </si>
  <si>
    <t>HM750-3020</t>
  </si>
  <si>
    <t>MMB45</t>
  </si>
  <si>
    <t>MMB60</t>
  </si>
  <si>
    <t>MMB90</t>
  </si>
  <si>
    <t>NIBSQ51</t>
  </si>
  <si>
    <t>2016-9</t>
  </si>
  <si>
    <t>2016-10</t>
  </si>
  <si>
    <t>2016-11</t>
  </si>
  <si>
    <t>2016-12</t>
  </si>
  <si>
    <t>2017-1</t>
  </si>
  <si>
    <t>2017-2</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</si>
</sst>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4" fontId="0" fillId="0" borderId="0" xfId="0" applyNumberFormat="1" applyAlignment="1">
      <alignment horizontal="center"/>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7">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3" Type="http://schemas.openxmlformats.org/officeDocument/2006/relationships/image" Target="../media/image1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5" Type="http://schemas.openxmlformats.org/officeDocument/2006/relationships/image" Target="../media/image15.emf"/><Relationship Id="rId15" Type="http://schemas.openxmlformats.org/officeDocument/2006/relationships/image" Target="../media/image14.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276225</xdr:rowOff>
        </xdr:from>
        <xdr:to>
          <xdr:col>25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11</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276225</xdr:colOff>
          <xdr:row>0</xdr:row>
          <xdr:rowOff>276225</xdr:rowOff>
        </xdr:from>
        <xdr:to>
          <xdr:col>27</xdr:col>
          <xdr:colOff>85725</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6"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X25" totalsRowShown="0" headerRowDxfId="206">
  <autoFilter ref="A8:BX25"/>
  <tableColumns count="76">
    <tableColumn id="1" name="CODIGO" dataDxfId="0"/>
    <tableColumn id="2" name="DESCRIPCION" dataDxfId="1"/>
    <tableColumn id="36" name="CODIGO GENERICO" dataDxfId="205"/>
    <tableColumn id="45" name="CODIGO VINCULADO" dataDxfId="204"/>
    <tableColumn id="4" name="LINEA" dataDxfId="203"/>
    <tableColumn id="29" name="SUBLINEA" dataDxfId="202"/>
    <tableColumn id="3" name="GRUPO" dataDxfId="201"/>
    <tableColumn id="22" name="FAMILIA" dataDxfId="200"/>
    <tableColumn id="23" name="SUBFAMILIA" dataDxfId="199"/>
    <tableColumn id="24" name="CATEGORIA" dataDxfId="198"/>
    <tableColumn id="25" name="TIPO" dataDxfId="197"/>
    <tableColumn id="26" name="MARCA" dataDxfId="196"/>
    <tableColumn id="27" name="MODELO" dataDxfId="195"/>
    <tableColumn id="28" name="CAT MANAGEMENT" dataDxfId="194"/>
    <tableColumn id="65" name="Estatus" dataDxfId="193"/>
    <tableColumn id="14" name="CTV" dataDxfId="192"/>
    <tableColumn id="15" name="PVP" dataDxfId="191"/>
    <tableColumn id="7" name="RENTABILIDAD" dataDxfId="190"/>
    <tableColumn id="53" name="RENTABILID PROY" dataDxfId="189"/>
    <tableColumn id="19" name="VEL EFECT" dataDxfId="188"/>
    <tableColumn id="20" name="SERVICIO" dataDxfId="187"/>
    <tableColumn id="21" name="PROVEEDOR" dataDxfId="186"/>
    <tableColumn id="39" name="PERFIL" dataDxfId="185"/>
    <tableColumn id="54" name="T REP" dataDxfId="184"/>
    <tableColumn id="55" name="F REP" dataDxfId="183"/>
    <tableColumn id="5" name="BUFFER" dataDxfId="182"/>
    <tableColumn id="75" name="INV PROVEEDOR" dataDxfId="181"/>
    <tableColumn id="31" name="INV FISICO" dataDxfId="180"/>
    <tableColumn id="6" name="CONS BUFF" dataDxfId="179"/>
    <tableColumn id="50" name="COLOR" dataDxfId="178"/>
    <tableColumn id="32" name="INV TRANSITO" dataDxfId="177"/>
    <tableColumn id="41" name="NEGOCIACIÓN" dataDxfId="176"/>
    <tableColumn id="42" name="PRODUCCIÓN" dataDxfId="175"/>
    <tableColumn id="43" name="EMBARCADO" dataDxfId="174"/>
    <tableColumn id="33" name="COMPROMETIDO" dataDxfId="173"/>
    <tableColumn id="34" name="BACKORDER" dataDxfId="172"/>
    <tableColumn id="40" name="INV PROYECTADO" dataDxfId="171"/>
    <tableColumn id="46" name="CONSUMO INV PROY" dataDxfId="170"/>
    <tableColumn id="51" name="COLOR1" dataDxfId="169"/>
    <tableColumn id="37" name="PEDIDO MIN" dataDxfId="168"/>
    <tableColumn id="38" name="PEDIDO MIN GRUPO" dataDxfId="167"/>
    <tableColumn id="30" name="UNIDAD EMPAQUE" dataDxfId="166"/>
    <tableColumn id="12" name="PEDIDO PROMEDIO" dataDxfId="165"/>
    <tableColumn id="47" name="COBERT BUFFER" dataDxfId="164"/>
    <tableColumn id="48" name="COBERT INV PROY" dataDxfId="163"/>
    <tableColumn id="49" name="COBERT PEDID MIN" dataDxfId="162"/>
    <tableColumn id="52" name="DIAS DESABASTECIM" dataDxfId="161"/>
    <tableColumn id="67" name="ULT TRANSFER INI" dataDxfId="160"/>
    <tableColumn id="68" name="ULT TRANSFER FIN" dataDxfId="159"/>
    <tableColumn id="64" name="2016-9" dataDxfId="158">
      <calculatedColumnFormula array="1">IFERROR(INDEX(Datos_Consumo[CANTIDAD],MATCH(TABLATRANSFERENCIA[[#This Row],[CODIGO]]&amp;TABLATRANSFERENCIA[[#Headers],[2016-9]],Datos_Consumo[CODIGO]&amp;Datos_Consumo[FECHA_FORMATO],0)),0)</calculatedColumnFormula>
    </tableColumn>
    <tableColumn id="63" name="2016-10" dataDxfId="157">
      <calculatedColumnFormula array="1">IFERROR(INDEX(Datos_Consumo[CANTIDAD],MATCH(TABLATRANSFERENCIA[[#This Row],[CODIGO]]&amp;TABLATRANSFERENCIA[[#Headers],[2016-10]],Datos_Consumo[CODIGO]&amp;Datos_Consumo[FECHA_FORMATO],0)),0)</calculatedColumnFormula>
    </tableColumn>
    <tableColumn id="62" name="2016-11" dataDxfId="156">
      <calculatedColumnFormula array="1">IFERROR(INDEX(Datos_Consumo[CANTIDAD],MATCH(TABLATRANSFERENCIA[[#This Row],[CODIGO]]&amp;TABLATRANSFERENCIA[[#Headers],[2016-11]],Datos_Consumo[CODIGO]&amp;Datos_Consumo[FECHA_FORMATO],0)),0)</calculatedColumnFormula>
    </tableColumn>
    <tableColumn id="61" name="2016-12" dataDxfId="155">
      <calculatedColumnFormula array="1">IFERROR(INDEX(Datos_Consumo[CANTIDAD],MATCH(TABLATRANSFERENCIA[[#This Row],[CODIGO]]&amp;TABLATRANSFERENCIA[[#Headers],[2016-12]],Datos_Consumo[CODIGO]&amp;Datos_Consumo[FECHA_FORMATO],0)),0)</calculatedColumnFormula>
    </tableColumn>
    <tableColumn id="60" name="2017-1" dataDxfId="154">
      <calculatedColumnFormula array="1">IFERROR(INDEX(Datos_Consumo[CANTIDAD],MATCH(TABLATRANSFERENCIA[[#This Row],[CODIGO]]&amp;TABLATRANSFERENCIA[[#Headers],[2017-1]],Datos_Consumo[CODIGO]&amp;Datos_Consumo[FECHA_FORMATO],0)),0)</calculatedColumnFormula>
    </tableColumn>
    <tableColumn id="59" name="2017-2" dataDxfId="153">
      <calculatedColumnFormula array="1">IFERROR(INDEX(Datos_Consumo[CANTIDAD],MATCH(TABLATRANSFERENCIA[[#This Row],[CODIGO]]&amp;TABLATRANSFERENCIA[[#Headers],[2017-2]],Datos_Consumo[CODIGO]&amp;Datos_Consumo[FECHA_FORMATO],0)),0)</calculatedColumnFormula>
    </tableColumn>
    <tableColumn id="8" name="REQUERIM" dataDxfId="4"/>
    <tableColumn id="13" name="REQ TOTAL" dataDxfId="2"/>
    <tableColumn id="76" name="PO" dataDxfId="3"/>
    <tableColumn id="66" name="EMBARQUES" dataDxfId="152"/>
    <tableColumn id="69" name="Emb1" dataDxfId="151">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0">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9">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8">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7">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6"/>
    <tableColumn id="44" name="TAMAÑO RELATIVO" dataDxfId="145">
      <calculatedColumnFormula>IFERROR(TABLATRANSFERENCIA[[#This Row],[REQUERIM]]/TABLATRANSFERENCIA[[#This Row],[PEDIDO PROMEDIO]],0)</calculatedColumnFormula>
    </tableColumn>
    <tableColumn id="9" name="DESPACHO" dataDxfId="144"/>
    <tableColumn id="10" name="RECIBIDO" dataDxfId="143"/>
    <tableColumn id="11" name="TRANSITO" dataDxfId="142">
      <calculatedColumnFormula>IF(TABLATRANSFERENCIA[[#This Row],[RECIBIDO]]&lt;&gt;"",0,IF(TABLATRANSFERENCIA[[#This Row],[DESPACHO]]&lt;&gt;"",TABLATRANSFERENCIA[[#This Row],[DESPACHO]],TABLATRANSFERENCIA[[#This Row],[REQUERIM]]))</calculatedColumnFormula>
    </tableColumn>
    <tableColumn id="16" name="OBSERVACIONES DESPACHOS" dataDxfId="141"/>
    <tableColumn id="17" name="OBSERVACIONES RECEPCIONES" dataDxfId="140"/>
    <tableColumn id="18" name="TIPO TRANSF" dataDxfId="139">
      <calculatedColumnFormula>"N"</calculatedColumnFormula>
    </tableColumn>
    <tableColumn id="35" name="Error Pedid Min Grupo" dataDxfId="138">
      <calculatedColumnFormula array="1">IF(SUM(--(TABLATRANSFERENCIA[[#This Row],[CODIGO GENERICO]]=TABLATRANSFERENCIA[CODIGO GENERICO])*TABLATRANSFERENCIA[REQUERIM])&lt;TABLATRANSFERENCIA[[#This Row],[PEDIDO MIN GRUPO]],1,0)</calculatedColumnFormula>
    </tableColumn>
    <tableColumn id="56" name="Color Proyectado" dataDxfId="13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6"/>
    <tableColumn id="58" name="ZONA ROJA" dataDxfId="135"/>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134">
  <autoFilter ref="A1:BW2"/>
  <tableColumns count="75">
    <tableColumn id="1" name="CODIGO" dataDxfId="133"/>
    <tableColumn id="2" name="DESCRIPCION" dataDxfId="13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4">
      <calculatedColumnFormula array="1">IFERROR(INDEX(Datos_Consumo[CANTIDAD],MATCH(XXYY[[#This Row],[CODIGO]]&amp;XXYY[[#Headers],[2016-5]],Datos_Consumo[CODIGO]&amp;Datos_Consumo[FECHA_FORMATO],0)),0)</calculatedColumnFormula>
    </tableColumn>
    <tableColumn id="63" name="2016-6" dataDxfId="83">
      <calculatedColumnFormula array="1">IFERROR(INDEX(Datos_Consumo[CANTIDAD],MATCH(XXYY[[#This Row],[CODIGO]]&amp;XXYY[[#Headers],[2016-6]],Datos_Consumo[CODIGO]&amp;Datos_Consumo[FECHA_FORMATO],0)),0)</calculatedColumnFormula>
    </tableColumn>
    <tableColumn id="62" name="Columna3" dataDxfId="82">
      <calculatedColumnFormula array="1">IFERROR(INDEX(Datos_Consumo[CANTIDAD],MATCH(XXYY[[#This Row],[CODIGO]]&amp;XXYY[[#Headers],[Columna3]],Datos_Consumo[CODIGO]&amp;Datos_Consumo[FECHA_FORMATO],0)),0)</calculatedColumnFormula>
    </tableColumn>
    <tableColumn id="61" name="Columna4" dataDxfId="81">
      <calculatedColumnFormula array="1">IFERROR(INDEX(Datos_Consumo[CANTIDAD],MATCH(XXYY[[#This Row],[CODIGO]]&amp;XXYY[[#Headers],[Columna4]],Datos_Consumo[CODIGO]&amp;Datos_Consumo[FECHA_FORMATO],0)),0)</calculatedColumnFormula>
    </tableColumn>
    <tableColumn id="60" name="Columna5" dataDxfId="80">
      <calculatedColumnFormula array="1">IFERROR(INDEX(Datos_Consumo[CANTIDAD],MATCH(XXYY[[#This Row],[CODIGO]]&amp;XXYY[[#Headers],[Columna5]],Datos_Consumo[CODIGO]&amp;Datos_Consumo[FECHA_FORMATO],0)),0)</calculatedColumnFormula>
    </tableColumn>
    <tableColumn id="59" name="Columna6" dataDxfId="79">
      <calculatedColumnFormula array="1">IFERROR(INDEX(Datos_Consumo[CANTIDAD],MATCH(XXYY[[#This Row],[CODIGO]]&amp;XXYY[[#Headers],[Columna6]],Datos_Consumo[CODIGO]&amp;Datos_Consumo[FECHA_FORMATO],0)),0)</calculatedColumnFormula>
    </tableColumn>
    <tableColumn id="8" name="REQUERIM" dataDxfId="78"/>
    <tableColumn id="13" name="REQ TOTAL" dataDxfId="77"/>
    <tableColumn id="66" name="EMBARQUES" dataDxfId="76"/>
    <tableColumn id="69" name="Emb1" dataDxfId="75">
      <calculatedColumnFormula>IF(RIGHT(XXYY[[#Headers],[Emb1]],1)*1&lt;=XXYY[[#This Row],[EMBARQUES]],IF(ISBLANK(XXYY[[#This Row],[EMBARQUES]]),XXYY[[#This Row],[REQUERIM]],ROUND(XXYY[[#This Row],[REQUERIM]]/XXYY[[#This Row],[EMBARQUES]],0)),XXYY[[#This Row],[REQUERIM]])</calculatedColumnFormula>
    </tableColumn>
    <tableColumn id="70" name="Emb2" dataDxfId="74">
      <calculatedColumnFormula>IF(RIGHT(XXYY[[#Headers],[Emb2]],1)*1&lt;XXYY[[#This Row],[EMBARQUES]],ROUND(XXYY[[#This Row],[REQUERIM]]/XXYY[[#This Row],[EMBARQUES]],0),IF(RIGHT(XXYY[[#Headers],[Emb2]],1)*1=XXYY[[#This Row],[EMBARQUES]],XXYY[[#This Row],[REQUERIM]]-SUM(XXYY[[#This Row],[Emb1]]),0))</calculatedColumnFormula>
    </tableColumn>
    <tableColumn id="71" name="Emb3" dataDxfId="73">
      <calculatedColumnFormula>IF(RIGHT(XXYY[[#Headers],[Emb3]],1)*1&lt;XXYY[[#This Row],[EMBARQUES]],ROUND(XXYY[[#This Row],[REQUERIM]]/XXYY[[#This Row],[EMBARQUES]],0),IF(RIGHT(XXYY[[#Headers],[Emb3]],1)*1=XXYY[[#This Row],[EMBARQUES]],XXYY[[#This Row],[REQUERIM]]-SUM(XXYY[[#This Row],[Emb1]:[Emb2]]),0))</calculatedColumnFormula>
    </tableColumn>
    <tableColumn id="72" name="Emb4" dataDxfId="72">
      <calculatedColumnFormula>IF(RIGHT(XXYY[[#Headers],[Emb4]],1)*1&lt;XXYY[[#This Row],[EMBARQUES]],ROUND(XXYY[[#This Row],[REQUERIM]]/XXYY[[#This Row],[EMBARQUES]],0),IF(RIGHT(XXYY[[#Headers],[Emb4]],1)*1=XXYY[[#This Row],[EMBARQUES]],XXYY[[#This Row],[REQUERIM]]-SUM(XXYY[[#This Row],[Emb1]:[Emb3]]),0))</calculatedColumnFormula>
    </tableColumn>
    <tableColumn id="73" name="Emb5" dataDxfId="7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0"/>
    <tableColumn id="44" name="TAMAÑO RELATIVO" dataDxfId="69">
      <calculatedColumnFormula>IFERROR(XXYY[[#This Row],[REQUERIM]]/XXYY[[#This Row],[PEDIDO PROMEDIO]],0)</calculatedColumnFormula>
    </tableColumn>
    <tableColumn id="9" name="DESPACHO" dataDxfId="68"/>
    <tableColumn id="10" name="RECIBIDO" dataDxfId="67"/>
    <tableColumn id="11" name="TRANSITO" dataDxfId="66">
      <calculatedColumnFormula>IF(XXYY[[#This Row],[RECIBIDO]]&lt;&gt;"",0,IF(XXYY[[#This Row],[DESPACHO]]&lt;&gt;"",XXYY[[#This Row],[DESPACHO]],XXYY[[#This Row],[REQUERIM]]))</calculatedColumnFormula>
    </tableColumn>
    <tableColumn id="16" name="OBSERVACIONES DESPACHOS" dataDxfId="65"/>
    <tableColumn id="17" name="OBSERVACIONES RECEPCIONES" dataDxfId="64"/>
    <tableColumn id="18" name="TIPO TRANSF" dataDxfId="63">
      <calculatedColumnFormula>"N"</calculatedColumnFormula>
    </tableColumn>
    <tableColumn id="35" name="Error Pedid Min Grupo" dataDxfId="62">
      <calculatedColumnFormula array="1">IF(SUM(--(XXYY[[#This Row],[CODIGO GENERICO]]=XXYY[CODIGO GENERICO])*XXYY[REQUERIM])&lt;XXYY[[#This Row],[PEDIDO MIN GRUPO]],1,0)</calculatedColumnFormula>
    </tableColumn>
    <tableColumn id="56" name="Color Proyectado" dataDxfId="6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7"/>
    <tableColumn id="7" uniqueName="7" name="PATH" queryTableFieldId="7" dataDxfId="56"/>
    <tableColumn id="5" uniqueName="5" name="COMPLETO" queryTableFieldId="5" dataDxfId="5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3">
      <calculatedColumnFormula>IFERROR(MATCH(Tabla_Recetas[[#This Row],[Cod Padre]],TABLATRANSFERENCIA[CODIGO],0),0)</calculatedColumnFormula>
    </tableColumn>
    <tableColumn id="12" uniqueName="12" name="Cantidad Requerida" queryTableFieldId="12" dataDxfId="5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51">
  <autoFilter ref="A5:D6"/>
  <tableColumns count="4">
    <tableColumn id="1" name="CÓDIGO"/>
    <tableColumn id="2" name="DESCRIPCIÓN"/>
    <tableColumn id="3" name="CANTIDAD" dataDxfId="5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9"/>
    <tableColumn id="109" name="con_ultima_transferencia_ini" dataDxfId="48"/>
    <tableColumn id="110" name="con_ultima_transferencia_fin" dataDxfId="4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917" totalsRowShown="0">
  <autoFilter ref="A1:D917"/>
  <tableColumns count="4">
    <tableColumn id="1" name="CODIGO"/>
    <tableColumn id="2" name="CANTIDAD"/>
    <tableColumn id="3" name="FECHA"/>
    <tableColumn id="4" name="FECHA_FORMATO" dataDxfId="4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X25"/>
  <sheetViews>
    <sheetView showGridLines="0" tabSelected="1" zoomScale="80" zoomScaleNormal="80" workbookViewId="0">
      <pane xSplit="11" ySplit="8" topLeftCell="L9" activePane="bottomRight" state="frozen"/>
      <selection pane="topRight" activeCell="L1" sqref="L1"/>
      <selection pane="bottomLeft" activeCell="A9" sqref="A9"/>
      <selection pane="bottomRight" activeCell="C8" sqref="C8"/>
    </sheetView>
  </sheetViews>
  <sheetFormatPr baseColWidth="10" defaultRowHeight="15" x14ac:dyDescent="0.25"/>
  <cols>
    <col min="1" max="1" width="19.5703125" customWidth="1"/>
    <col min="2" max="2" width="46.140625" customWidth="1"/>
    <col min="3" max="3" width="21" customWidth="1"/>
    <col min="4" max="4" width="17.42578125" customWidth="1"/>
    <col min="5" max="11" width="20.7109375" hidden="1" customWidth="1"/>
    <col min="12" max="12" width="20.7109375" customWidth="1"/>
    <col min="13" max="14" width="20.7109375" hidden="1" customWidth="1"/>
    <col min="15" max="20" width="10.7109375" hidden="1" customWidth="1"/>
    <col min="21" max="21" width="15.140625" hidden="1" customWidth="1"/>
    <col min="22" max="23" width="25.7109375" hidden="1" customWidth="1"/>
    <col min="24" max="25" width="12" hidden="1" customWidth="1"/>
    <col min="26" max="26" width="16.42578125" customWidth="1"/>
    <col min="27" max="27" width="16.42578125" hidden="1" customWidth="1"/>
    <col min="28" max="28" width="11.42578125" customWidth="1"/>
    <col min="29"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hidden="1" customWidth="1"/>
    <col min="39" max="39" width="14.85546875" hidden="1" customWidth="1"/>
    <col min="40" max="40" width="11.42578125" customWidth="1"/>
    <col min="41" max="41" width="13.5703125" customWidth="1"/>
    <col min="42" max="42" width="11.42578125" customWidth="1"/>
    <col min="43" max="43" width="13.140625" customWidth="1"/>
    <col min="44"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hidden="1" customWidth="1"/>
    <col min="68" max="68" width="17.7109375" hidden="1" customWidth="1"/>
    <col min="69" max="69" width="16" hidden="1" customWidth="1"/>
    <col min="70" max="70" width="31" hidden="1" customWidth="1"/>
    <col min="71" max="71" width="33.7109375" hidden="1" customWidth="1"/>
    <col min="72" max="76" width="11.42578125" hidden="1" customWidth="1"/>
  </cols>
  <sheetData>
    <row r="1" spans="1:76"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6" x14ac:dyDescent="0.25">
      <c r="A2" s="17" t="s">
        <v>12</v>
      </c>
      <c r="B2" s="18"/>
      <c r="C2" s="19" t="s">
        <v>0</v>
      </c>
      <c r="D2" s="20">
        <v>42788</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6" x14ac:dyDescent="0.25">
      <c r="A3" s="21" t="s">
        <v>2</v>
      </c>
      <c r="B3" s="22" t="s">
        <v>1649</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6" x14ac:dyDescent="0.25">
      <c r="A4" s="21" t="s">
        <v>3</v>
      </c>
      <c r="B4" s="25" t="s">
        <v>1368</v>
      </c>
      <c r="C4" s="26" t="str">
        <f>COUNTA(TABLATRANSFERENCIA[CODIGO])&amp;"-"&amp;SUBTOTAL(3,TABLATRANSFERENCIA[CODIGO])&amp;" SKU"</f>
        <v>17-17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6" x14ac:dyDescent="0.25">
      <c r="A5" s="21" t="s">
        <v>1376</v>
      </c>
      <c r="B5" s="28"/>
      <c r="C5" s="23" t="s">
        <v>23</v>
      </c>
      <c r="D5" s="29">
        <f>IFERROR(SUMPRODUCT(TABLATRANSFERENCIA[CTV],TABLATRANSFERENCIA[TRANSITO]),"")</f>
        <v>6589.15</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6"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6"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6"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1850</v>
      </c>
      <c r="AY8" s="52" t="s">
        <v>1851</v>
      </c>
      <c r="AZ8" s="52" t="s">
        <v>1852</v>
      </c>
      <c r="BA8" s="52" t="s">
        <v>1853</v>
      </c>
      <c r="BB8" s="52" t="s">
        <v>1854</v>
      </c>
      <c r="BC8" s="52" t="s">
        <v>1855</v>
      </c>
      <c r="BD8" s="44" t="s">
        <v>11</v>
      </c>
      <c r="BE8" s="44" t="s">
        <v>17</v>
      </c>
      <c r="BF8" s="44" t="s">
        <v>1377</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row>
    <row r="9" spans="1:76" x14ac:dyDescent="0.25">
      <c r="A9" s="54" t="s">
        <v>1490</v>
      </c>
      <c r="B9" s="59" t="s">
        <v>1664</v>
      </c>
      <c r="C9" s="3" t="s">
        <v>1637</v>
      </c>
      <c r="D9" s="3" t="s">
        <v>1637</v>
      </c>
      <c r="E9" s="3">
        <v>0</v>
      </c>
      <c r="F9" s="3">
        <v>0</v>
      </c>
      <c r="G9" s="3">
        <v>0</v>
      </c>
      <c r="H9" s="3">
        <v>0</v>
      </c>
      <c r="I9" s="3" t="s">
        <v>1662</v>
      </c>
      <c r="J9" s="3">
        <v>0</v>
      </c>
      <c r="K9" s="3">
        <v>0</v>
      </c>
      <c r="L9" s="3" t="s">
        <v>1649</v>
      </c>
      <c r="M9" s="3">
        <v>0</v>
      </c>
      <c r="N9" s="3">
        <v>0</v>
      </c>
      <c r="O9" s="5" t="s">
        <v>1637</v>
      </c>
      <c r="P9" s="5">
        <v>21.17</v>
      </c>
      <c r="Q9" s="5">
        <v>61.1</v>
      </c>
      <c r="R9" s="46">
        <v>0</v>
      </c>
      <c r="S9" s="46">
        <v>5.03</v>
      </c>
      <c r="T9" s="46">
        <v>0</v>
      </c>
      <c r="U9" s="46">
        <v>1</v>
      </c>
      <c r="V9" s="49" t="s">
        <v>1649</v>
      </c>
      <c r="W9" s="49" t="s">
        <v>1736</v>
      </c>
      <c r="X9" s="51">
        <v>8</v>
      </c>
      <c r="Y9" s="51">
        <v>10</v>
      </c>
      <c r="Z9" s="51">
        <v>24</v>
      </c>
      <c r="AA9" s="51">
        <v>1000000000</v>
      </c>
      <c r="AB9" s="6">
        <v>15</v>
      </c>
      <c r="AC9" s="4">
        <v>0.38</v>
      </c>
      <c r="AD9" s="6" t="s">
        <v>1739</v>
      </c>
      <c r="AE9" s="6">
        <v>0</v>
      </c>
      <c r="AF9" s="6">
        <v>0</v>
      </c>
      <c r="AG9" s="6">
        <v>0</v>
      </c>
      <c r="AH9" s="6">
        <v>0</v>
      </c>
      <c r="AI9" s="6">
        <v>0</v>
      </c>
      <c r="AJ9" s="6">
        <v>0</v>
      </c>
      <c r="AK9" s="6">
        <v>15</v>
      </c>
      <c r="AL9" s="4">
        <v>0.38</v>
      </c>
      <c r="AM9" s="6" t="s">
        <v>1739</v>
      </c>
      <c r="AN9" s="6">
        <v>0</v>
      </c>
      <c r="AO9" s="6">
        <v>0</v>
      </c>
      <c r="AP9" s="6">
        <v>3</v>
      </c>
      <c r="AQ9" s="6">
        <v>13</v>
      </c>
      <c r="AR9" s="6">
        <v>6.45</v>
      </c>
      <c r="AS9" s="6">
        <v>4.03</v>
      </c>
      <c r="AT9" s="6">
        <v>0</v>
      </c>
      <c r="AU9" s="6">
        <v>0</v>
      </c>
      <c r="AV9" s="62">
        <v>0</v>
      </c>
      <c r="AW9" s="62">
        <v>0</v>
      </c>
      <c r="AX9" s="6">
        <f t="array" ref="AX9">IFERROR(INDEX(Datos_Consumo[CANTIDAD],MATCH(TABLATRANSFERENCIA[[#This Row],[CODIGO]]&amp;TABLATRANSFERENCIA[[#Headers],[2016-9]],Datos_Consumo[CODIGO]&amp;Datos_Consumo[FECHA_FORMATO],0)),0)</f>
        <v>4</v>
      </c>
      <c r="AY9" s="6">
        <f t="array" ref="AY9">IFERROR(INDEX(Datos_Consumo[CANTIDAD],MATCH(TABLATRANSFERENCIA[[#This Row],[CODIGO]]&amp;TABLATRANSFERENCIA[[#Headers],[2016-10]],Datos_Consumo[CODIGO]&amp;Datos_Consumo[FECHA_FORMATO],0)),0)</f>
        <v>7</v>
      </c>
      <c r="AZ9" s="6">
        <f t="array" ref="AZ9">IFERROR(INDEX(Datos_Consumo[CANTIDAD],MATCH(TABLATRANSFERENCIA[[#This Row],[CODIGO]]&amp;TABLATRANSFERENCIA[[#Headers],[2016-11]],Datos_Consumo[CODIGO]&amp;Datos_Consumo[FECHA_FORMATO],0)),0)</f>
        <v>7</v>
      </c>
      <c r="BA9" s="6">
        <f t="array" ref="BA9">IFERROR(INDEX(Datos_Consumo[CANTIDAD],MATCH(TABLATRANSFERENCIA[[#This Row],[CODIGO]]&amp;TABLATRANSFERENCIA[[#Headers],[2016-12]],Datos_Consumo[CODIGO]&amp;Datos_Consumo[FECHA_FORMATO],0)),0)</f>
        <v>5</v>
      </c>
      <c r="BB9" s="6">
        <f t="array" ref="BB9">IFERROR(INDEX(Datos_Consumo[CANTIDAD],MATCH(TABLATRANSFERENCIA[[#This Row],[CODIGO]]&amp;TABLATRANSFERENCIA[[#Headers],[2017-1]],Datos_Consumo[CODIGO]&amp;Datos_Consumo[FECHA_FORMATO],0)),0)</f>
        <v>0</v>
      </c>
      <c r="BC9" s="6">
        <f t="array" ref="BC9">IFERROR(INDEX(Datos_Consumo[CANTIDAD],MATCH(TABLATRANSFERENCIA[[#This Row],[CODIGO]]&amp;TABLATRANSFERENCIA[[#Headers],[2017-2]],Datos_Consumo[CODIGO]&amp;Datos_Consumo[FECHA_FORMATO],0)),0)</f>
        <v>0</v>
      </c>
      <c r="BD9" s="50">
        <v>9</v>
      </c>
      <c r="BE9" s="55">
        <v>9</v>
      </c>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9</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0.69230769230769229</v>
      </c>
      <c r="BO9" s="51"/>
      <c r="BP9" s="60"/>
      <c r="BQ9" s="3">
        <f>IF(TABLATRANSFERENCIA[[#This Row],[RECIBIDO]]&lt;&gt;"",0,IF(TABLATRANSFERENCIA[[#This Row],[DESPACHO]]&lt;&gt;"",TABLATRANSFERENCIA[[#This Row],[DESPACHO]],TABLATRANSFERENCIA[[#This Row],[REQUERIM]]))</f>
        <v>9</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9" s="51">
        <v>16</v>
      </c>
      <c r="BX9" s="51">
        <v>8</v>
      </c>
    </row>
    <row r="10" spans="1:76" x14ac:dyDescent="0.25">
      <c r="A10" s="54" t="s">
        <v>1491</v>
      </c>
      <c r="B10" s="3" t="s">
        <v>1665</v>
      </c>
      <c r="C10" s="3" t="s">
        <v>1637</v>
      </c>
      <c r="D10" s="3" t="s">
        <v>1637</v>
      </c>
      <c r="E10" s="3">
        <v>0</v>
      </c>
      <c r="F10" s="3">
        <v>0</v>
      </c>
      <c r="G10" s="3">
        <v>0</v>
      </c>
      <c r="H10" s="3">
        <v>0</v>
      </c>
      <c r="I10" s="3" t="s">
        <v>1662</v>
      </c>
      <c r="J10" s="3">
        <v>0</v>
      </c>
      <c r="K10" s="3">
        <v>0</v>
      </c>
      <c r="L10" s="3" t="s">
        <v>1649</v>
      </c>
      <c r="M10" s="3">
        <v>0</v>
      </c>
      <c r="N10" s="3">
        <v>0</v>
      </c>
      <c r="O10" s="5" t="s">
        <v>1637</v>
      </c>
      <c r="P10" s="5">
        <v>25.68</v>
      </c>
      <c r="Q10" s="5">
        <v>78.760000000000005</v>
      </c>
      <c r="R10" s="46">
        <v>0</v>
      </c>
      <c r="S10" s="46">
        <v>5.51</v>
      </c>
      <c r="T10" s="46">
        <v>0</v>
      </c>
      <c r="U10" s="46">
        <v>1</v>
      </c>
      <c r="V10" s="49" t="s">
        <v>1649</v>
      </c>
      <c r="W10" s="49" t="s">
        <v>1736</v>
      </c>
      <c r="X10" s="51">
        <v>8</v>
      </c>
      <c r="Y10" s="51">
        <v>10</v>
      </c>
      <c r="Z10" s="6">
        <v>24</v>
      </c>
      <c r="AA10" s="6">
        <v>1000000000</v>
      </c>
      <c r="AB10" s="6">
        <v>17</v>
      </c>
      <c r="AC10" s="4">
        <v>0.28999999999999998</v>
      </c>
      <c r="AD10" s="6" t="s">
        <v>1741</v>
      </c>
      <c r="AE10" s="6">
        <v>0</v>
      </c>
      <c r="AF10" s="6">
        <v>0</v>
      </c>
      <c r="AG10" s="6">
        <v>0</v>
      </c>
      <c r="AH10" s="6">
        <v>0</v>
      </c>
      <c r="AI10" s="6">
        <v>0</v>
      </c>
      <c r="AJ10" s="6">
        <v>0</v>
      </c>
      <c r="AK10" s="6">
        <v>17</v>
      </c>
      <c r="AL10" s="4">
        <v>0.28999999999999998</v>
      </c>
      <c r="AM10" s="6" t="s">
        <v>1741</v>
      </c>
      <c r="AN10" s="6">
        <v>0</v>
      </c>
      <c r="AO10" s="6">
        <v>0</v>
      </c>
      <c r="AP10" s="6">
        <v>2</v>
      </c>
      <c r="AQ10" s="6">
        <v>13</v>
      </c>
      <c r="AR10" s="6">
        <v>4</v>
      </c>
      <c r="AS10" s="6">
        <v>2.83</v>
      </c>
      <c r="AT10" s="6">
        <v>0</v>
      </c>
      <c r="AU10" s="6">
        <v>0</v>
      </c>
      <c r="AV10" s="63">
        <v>0</v>
      </c>
      <c r="AW10" s="63">
        <v>0</v>
      </c>
      <c r="AX10" s="6">
        <f t="array" ref="AX10">IFERROR(INDEX(Datos_Consumo[CANTIDAD],MATCH(TABLATRANSFERENCIA[[#This Row],[CODIGO]]&amp;TABLATRANSFERENCIA[[#Headers],[2016-9]],Datos_Consumo[CODIGO]&amp;Datos_Consumo[FECHA_FORMATO],0)),0)</f>
        <v>29</v>
      </c>
      <c r="AY10" s="6">
        <f t="array" ref="AY10">IFERROR(INDEX(Datos_Consumo[CANTIDAD],MATCH(TABLATRANSFERENCIA[[#This Row],[CODIGO]]&amp;TABLATRANSFERENCIA[[#Headers],[2016-10]],Datos_Consumo[CODIGO]&amp;Datos_Consumo[FECHA_FORMATO],0)),0)</f>
        <v>5</v>
      </c>
      <c r="AZ10" s="6">
        <f t="array" ref="AZ10">IFERROR(INDEX(Datos_Consumo[CANTIDAD],MATCH(TABLATRANSFERENCIA[[#This Row],[CODIGO]]&amp;TABLATRANSFERENCIA[[#Headers],[2016-11]],Datos_Consumo[CODIGO]&amp;Datos_Consumo[FECHA_FORMATO],0)),0)</f>
        <v>0</v>
      </c>
      <c r="BA10" s="6">
        <f t="array" ref="BA10">IFERROR(INDEX(Datos_Consumo[CANTIDAD],MATCH(TABLATRANSFERENCIA[[#This Row],[CODIGO]]&amp;TABLATRANSFERENCIA[[#Headers],[2016-12]],Datos_Consumo[CODIGO]&amp;Datos_Consumo[FECHA_FORMATO],0)),0)</f>
        <v>2</v>
      </c>
      <c r="BB10" s="6">
        <f t="array" ref="BB10">IFERROR(INDEX(Datos_Consumo[CANTIDAD],MATCH(TABLATRANSFERENCIA[[#This Row],[CODIGO]]&amp;TABLATRANSFERENCIA[[#Headers],[2017-1]],Datos_Consumo[CODIGO]&amp;Datos_Consumo[FECHA_FORMATO],0)),0)</f>
        <v>1</v>
      </c>
      <c r="BC10" s="6">
        <f t="array" ref="BC10">IFERROR(INDEX(Datos_Consumo[CANTIDAD],MATCH(TABLATRANSFERENCIA[[#This Row],[CODIGO]]&amp;TABLATRANSFERENCIA[[#Headers],[2017-2]],Datos_Consumo[CODIGO]&amp;Datos_Consumo[FECHA_FORMATO],0)),0)</f>
        <v>0</v>
      </c>
      <c r="BD10" s="50">
        <v>8</v>
      </c>
      <c r="BE10" s="55">
        <v>8</v>
      </c>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0.61538461538461542</v>
      </c>
      <c r="BO10" s="51"/>
      <c r="BP10" s="60"/>
      <c r="BQ10" s="3">
        <f>IF(TABLATRANSFERENCIA[[#This Row],[RECIBIDO]]&lt;&gt;"",0,IF(TABLATRANSFERENCIA[[#This Row],[DESPACHO]]&lt;&gt;"",TABLATRANSFERENCIA[[#This Row],[DESPACHO]],TABLATRANSFERENCIA[[#This Row],[REQUERIM]]))</f>
        <v>8</v>
      </c>
      <c r="BR10" s="50"/>
      <c r="BS10" s="50"/>
      <c r="BT10" s="50" t="str">
        <f t="shared" ref="BT10:BT25" si="0">"N"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0" s="51">
        <v>16</v>
      </c>
      <c r="BX10" s="51">
        <v>8</v>
      </c>
    </row>
    <row r="11" spans="1:76" x14ac:dyDescent="0.25">
      <c r="A11" s="54" t="s">
        <v>1492</v>
      </c>
      <c r="B11" s="3" t="s">
        <v>1666</v>
      </c>
      <c r="C11" s="3" t="s">
        <v>1637</v>
      </c>
      <c r="D11" s="3" t="s">
        <v>1637</v>
      </c>
      <c r="E11" s="3">
        <v>0</v>
      </c>
      <c r="F11" s="3">
        <v>0</v>
      </c>
      <c r="G11" s="3">
        <v>0</v>
      </c>
      <c r="H11" s="3">
        <v>0</v>
      </c>
      <c r="I11" s="3" t="s">
        <v>1662</v>
      </c>
      <c r="J11" s="3">
        <v>0</v>
      </c>
      <c r="K11" s="3">
        <v>0</v>
      </c>
      <c r="L11" s="3" t="s">
        <v>1649</v>
      </c>
      <c r="M11" s="3">
        <v>0</v>
      </c>
      <c r="N11" s="3">
        <v>0</v>
      </c>
      <c r="O11" s="5" t="s">
        <v>1637</v>
      </c>
      <c r="P11" s="5">
        <v>36.630000000000003</v>
      </c>
      <c r="Q11" s="5">
        <v>104.21</v>
      </c>
      <c r="R11" s="46">
        <v>0</v>
      </c>
      <c r="S11" s="46">
        <v>4.92</v>
      </c>
      <c r="T11" s="46">
        <v>0</v>
      </c>
      <c r="U11" s="46">
        <v>1</v>
      </c>
      <c r="V11" s="49" t="s">
        <v>1649</v>
      </c>
      <c r="W11" s="49" t="s">
        <v>1736</v>
      </c>
      <c r="X11" s="51">
        <v>8</v>
      </c>
      <c r="Y11" s="51">
        <v>10</v>
      </c>
      <c r="Z11" s="6">
        <v>24</v>
      </c>
      <c r="AA11" s="6">
        <v>1000000000</v>
      </c>
      <c r="AB11" s="6">
        <v>20</v>
      </c>
      <c r="AC11" s="4">
        <v>0.17</v>
      </c>
      <c r="AD11" s="6" t="s">
        <v>1741</v>
      </c>
      <c r="AE11" s="6">
        <v>0</v>
      </c>
      <c r="AF11" s="6">
        <v>0</v>
      </c>
      <c r="AG11" s="6">
        <v>0</v>
      </c>
      <c r="AH11" s="6">
        <v>0</v>
      </c>
      <c r="AI11" s="6">
        <v>0</v>
      </c>
      <c r="AJ11" s="6">
        <v>0</v>
      </c>
      <c r="AK11" s="6">
        <v>20</v>
      </c>
      <c r="AL11" s="4">
        <v>0.17</v>
      </c>
      <c r="AM11" s="6" t="s">
        <v>1741</v>
      </c>
      <c r="AN11" s="6">
        <v>0</v>
      </c>
      <c r="AO11" s="6">
        <v>0</v>
      </c>
      <c r="AP11" s="6">
        <v>2</v>
      </c>
      <c r="AQ11" s="6">
        <v>13</v>
      </c>
      <c r="AR11" s="6">
        <v>15</v>
      </c>
      <c r="AS11" s="6">
        <v>12.5</v>
      </c>
      <c r="AT11" s="6">
        <v>0</v>
      </c>
      <c r="AU11" s="6">
        <v>0</v>
      </c>
      <c r="AV11" s="63">
        <v>0</v>
      </c>
      <c r="AW11" s="63">
        <v>0</v>
      </c>
      <c r="AX11" s="6">
        <f t="array" ref="AX11">IFERROR(INDEX(Datos_Consumo[CANTIDAD],MATCH(TABLATRANSFERENCIA[[#This Row],[CODIGO]]&amp;TABLATRANSFERENCIA[[#Headers],[2016-9]],Datos_Consumo[CODIGO]&amp;Datos_Consumo[FECHA_FORMATO],0)),0)</f>
        <v>3</v>
      </c>
      <c r="AY11" s="6">
        <f t="array" ref="AY11">IFERROR(INDEX(Datos_Consumo[CANTIDAD],MATCH(TABLATRANSFERENCIA[[#This Row],[CODIGO]]&amp;TABLATRANSFERENCIA[[#Headers],[2016-10]],Datos_Consumo[CODIGO]&amp;Datos_Consumo[FECHA_FORMATO],0)),0)</f>
        <v>3</v>
      </c>
      <c r="AZ11" s="6">
        <f t="array" ref="AZ11">IFERROR(INDEX(Datos_Consumo[CANTIDAD],MATCH(TABLATRANSFERENCIA[[#This Row],[CODIGO]]&amp;TABLATRANSFERENCIA[[#Headers],[2016-11]],Datos_Consumo[CODIGO]&amp;Datos_Consumo[FECHA_FORMATO],0)),0)</f>
        <v>4</v>
      </c>
      <c r="BA11" s="6">
        <f t="array" ref="BA11">IFERROR(INDEX(Datos_Consumo[CANTIDAD],MATCH(TABLATRANSFERENCIA[[#This Row],[CODIGO]]&amp;TABLATRANSFERENCIA[[#Headers],[2016-12]],Datos_Consumo[CODIGO]&amp;Datos_Consumo[FECHA_FORMATO],0)),0)</f>
        <v>0</v>
      </c>
      <c r="BB11" s="6">
        <f t="array" ref="BB11">IFERROR(INDEX(Datos_Consumo[CANTIDAD],MATCH(TABLATRANSFERENCIA[[#This Row],[CODIGO]]&amp;TABLATRANSFERENCIA[[#Headers],[2017-1]],Datos_Consumo[CODIGO]&amp;Datos_Consumo[FECHA_FORMATO],0)),0)</f>
        <v>0</v>
      </c>
      <c r="BC11" s="6">
        <f t="array" ref="BC11">IFERROR(INDEX(Datos_Consumo[CANTIDAD],MATCH(TABLATRANSFERENCIA[[#This Row],[CODIGO]]&amp;TABLATRANSFERENCIA[[#Headers],[2017-2]],Datos_Consumo[CODIGO]&amp;Datos_Consumo[FECHA_FORMATO],0)),0)</f>
        <v>0</v>
      </c>
      <c r="BD11" s="50">
        <v>4</v>
      </c>
      <c r="BE11" s="55">
        <v>4</v>
      </c>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4</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0.30769230769230771</v>
      </c>
      <c r="BO11" s="51"/>
      <c r="BP11" s="60"/>
      <c r="BQ11" s="3">
        <f>IF(TABLATRANSFERENCIA[[#This Row],[RECIBIDO]]&lt;&gt;"",0,IF(TABLATRANSFERENCIA[[#This Row],[DESPACHO]]&lt;&gt;"",TABLATRANSFERENCIA[[#This Row],[DESPACHO]],TABLATRANSFERENCIA[[#This Row],[REQUERIM]]))</f>
        <v>4</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1" s="51">
        <v>16</v>
      </c>
      <c r="BX11" s="51">
        <v>8</v>
      </c>
    </row>
    <row r="12" spans="1:76" x14ac:dyDescent="0.25">
      <c r="A12" s="54" t="s">
        <v>1493</v>
      </c>
      <c r="B12" s="3" t="s">
        <v>1667</v>
      </c>
      <c r="C12" s="3" t="s">
        <v>1637</v>
      </c>
      <c r="D12" s="3" t="s">
        <v>1637</v>
      </c>
      <c r="E12" s="3">
        <v>0</v>
      </c>
      <c r="F12" s="3">
        <v>0</v>
      </c>
      <c r="G12" s="3">
        <v>0</v>
      </c>
      <c r="H12" s="3">
        <v>0</v>
      </c>
      <c r="I12" s="3" t="s">
        <v>1662</v>
      </c>
      <c r="J12" s="3">
        <v>0</v>
      </c>
      <c r="K12" s="3">
        <v>0</v>
      </c>
      <c r="L12" s="3" t="s">
        <v>1649</v>
      </c>
      <c r="M12" s="3">
        <v>0</v>
      </c>
      <c r="N12" s="3">
        <v>0</v>
      </c>
      <c r="O12" s="5" t="s">
        <v>1637</v>
      </c>
      <c r="P12" s="5">
        <v>69.97</v>
      </c>
      <c r="Q12" s="5">
        <v>123.87</v>
      </c>
      <c r="R12" s="46">
        <v>0</v>
      </c>
      <c r="S12" s="46">
        <v>2.0499999999999998</v>
      </c>
      <c r="T12" s="46">
        <v>0</v>
      </c>
      <c r="U12" s="46">
        <v>1</v>
      </c>
      <c r="V12" s="49" t="s">
        <v>1649</v>
      </c>
      <c r="W12" s="49" t="s">
        <v>1736</v>
      </c>
      <c r="X12" s="51">
        <v>8</v>
      </c>
      <c r="Y12" s="51">
        <v>10</v>
      </c>
      <c r="Z12" s="6">
        <v>16</v>
      </c>
      <c r="AA12" s="6">
        <v>1000000000</v>
      </c>
      <c r="AB12" s="6">
        <v>5</v>
      </c>
      <c r="AC12" s="4">
        <v>0.69</v>
      </c>
      <c r="AD12" s="6" t="s">
        <v>1742</v>
      </c>
      <c r="AE12" s="6">
        <v>0</v>
      </c>
      <c r="AF12" s="6">
        <v>0</v>
      </c>
      <c r="AG12" s="6">
        <v>0</v>
      </c>
      <c r="AH12" s="6">
        <v>0</v>
      </c>
      <c r="AI12" s="6">
        <v>0</v>
      </c>
      <c r="AJ12" s="6">
        <v>0</v>
      </c>
      <c r="AK12" s="6">
        <v>5</v>
      </c>
      <c r="AL12" s="4">
        <v>0.69</v>
      </c>
      <c r="AM12" s="6" t="s">
        <v>1742</v>
      </c>
      <c r="AN12" s="6">
        <v>0</v>
      </c>
      <c r="AO12" s="6">
        <v>0</v>
      </c>
      <c r="AP12" s="6">
        <v>2</v>
      </c>
      <c r="AQ12" s="6">
        <v>9</v>
      </c>
      <c r="AR12" s="6">
        <v>11.11</v>
      </c>
      <c r="AS12" s="6">
        <v>3.47</v>
      </c>
      <c r="AT12" s="6">
        <v>0</v>
      </c>
      <c r="AU12" s="6">
        <v>0</v>
      </c>
      <c r="AV12" s="63">
        <v>0</v>
      </c>
      <c r="AW12" s="63">
        <v>0</v>
      </c>
      <c r="AX12" s="6">
        <f t="array" ref="AX12">IFERROR(INDEX(Datos_Consumo[CANTIDAD],MATCH(TABLATRANSFERENCIA[[#This Row],[CODIGO]]&amp;TABLATRANSFERENCIA[[#Headers],[2016-9]],Datos_Consumo[CODIGO]&amp;Datos_Consumo[FECHA_FORMATO],0)),0)</f>
        <v>4</v>
      </c>
      <c r="AY12" s="6">
        <f t="array" ref="AY12">IFERROR(INDEX(Datos_Consumo[CANTIDAD],MATCH(TABLATRANSFERENCIA[[#This Row],[CODIGO]]&amp;TABLATRANSFERENCIA[[#Headers],[2016-10]],Datos_Consumo[CODIGO]&amp;Datos_Consumo[FECHA_FORMATO],0)),0)</f>
        <v>1</v>
      </c>
      <c r="AZ12" s="6">
        <f t="array" ref="AZ12">IFERROR(INDEX(Datos_Consumo[CANTIDAD],MATCH(TABLATRANSFERENCIA[[#This Row],[CODIGO]]&amp;TABLATRANSFERENCIA[[#Headers],[2016-11]],Datos_Consumo[CODIGO]&amp;Datos_Consumo[FECHA_FORMATO],0)),0)</f>
        <v>3</v>
      </c>
      <c r="BA12" s="6">
        <f t="array" ref="BA12">IFERROR(INDEX(Datos_Consumo[CANTIDAD],MATCH(TABLATRANSFERENCIA[[#This Row],[CODIGO]]&amp;TABLATRANSFERENCIA[[#Headers],[2016-12]],Datos_Consumo[CODIGO]&amp;Datos_Consumo[FECHA_FORMATO],0)),0)</f>
        <v>1</v>
      </c>
      <c r="BB12" s="6">
        <f t="array" ref="BB12">IFERROR(INDEX(Datos_Consumo[CANTIDAD],MATCH(TABLATRANSFERENCIA[[#This Row],[CODIGO]]&amp;TABLATRANSFERENCIA[[#Headers],[2017-1]],Datos_Consumo[CODIGO]&amp;Datos_Consumo[FECHA_FORMATO],0)),0)</f>
        <v>0</v>
      </c>
      <c r="BC12" s="6">
        <f t="array" ref="BC12">IFERROR(INDEX(Datos_Consumo[CANTIDAD],MATCH(TABLATRANSFERENCIA[[#This Row],[CODIGO]]&amp;TABLATRANSFERENCIA[[#Headers],[2017-2]],Datos_Consumo[CODIGO]&amp;Datos_Consumo[FECHA_FORMATO],0)),0)</f>
        <v>0</v>
      </c>
      <c r="BD12" s="50">
        <v>12</v>
      </c>
      <c r="BE12" s="55">
        <v>12</v>
      </c>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1.3333333333333333</v>
      </c>
      <c r="BO12" s="51"/>
      <c r="BP12" s="60"/>
      <c r="BQ12" s="3">
        <f>IF(TABLATRANSFERENCIA[[#This Row],[RECIBIDO]]&lt;&gt;"",0,IF(TABLATRANSFERENCIA[[#This Row],[DESPACHO]]&lt;&gt;"",TABLATRANSFERENCIA[[#This Row],[DESPACHO]],TABLATRANSFERENCIA[[#This Row],[REQUERIM]]))</f>
        <v>12</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2" s="51">
        <v>11</v>
      </c>
      <c r="BX12" s="51">
        <v>5</v>
      </c>
    </row>
    <row r="13" spans="1:76" x14ac:dyDescent="0.25">
      <c r="A13" s="54" t="s">
        <v>1494</v>
      </c>
      <c r="B13" s="3" t="s">
        <v>1668</v>
      </c>
      <c r="C13" s="3" t="s">
        <v>1637</v>
      </c>
      <c r="D13" s="3" t="s">
        <v>1637</v>
      </c>
      <c r="E13" s="3">
        <v>0</v>
      </c>
      <c r="F13" s="3">
        <v>0</v>
      </c>
      <c r="G13" s="3">
        <v>0</v>
      </c>
      <c r="H13" s="3">
        <v>0</v>
      </c>
      <c r="I13" s="3" t="s">
        <v>1662</v>
      </c>
      <c r="J13" s="3">
        <v>0</v>
      </c>
      <c r="K13" s="3">
        <v>0</v>
      </c>
      <c r="L13" s="3" t="s">
        <v>1649</v>
      </c>
      <c r="M13" s="3">
        <v>0</v>
      </c>
      <c r="N13" s="3">
        <v>0</v>
      </c>
      <c r="O13" s="5" t="s">
        <v>1637</v>
      </c>
      <c r="P13" s="5">
        <v>57.39</v>
      </c>
      <c r="Q13" s="5">
        <v>153.02000000000001</v>
      </c>
      <c r="R13" s="46">
        <v>0</v>
      </c>
      <c r="S13" s="46">
        <v>4.4400000000000004</v>
      </c>
      <c r="T13" s="46">
        <v>0</v>
      </c>
      <c r="U13" s="46">
        <v>1</v>
      </c>
      <c r="V13" s="49" t="s">
        <v>1649</v>
      </c>
      <c r="W13" s="49" t="s">
        <v>1736</v>
      </c>
      <c r="X13" s="51">
        <v>8</v>
      </c>
      <c r="Y13" s="51">
        <v>10</v>
      </c>
      <c r="Z13" s="6">
        <v>12</v>
      </c>
      <c r="AA13" s="6">
        <v>1000000000</v>
      </c>
      <c r="AB13" s="6">
        <v>7</v>
      </c>
      <c r="AC13" s="4">
        <v>0.42</v>
      </c>
      <c r="AD13" s="6" t="s">
        <v>1739</v>
      </c>
      <c r="AE13" s="6">
        <v>0</v>
      </c>
      <c r="AF13" s="6">
        <v>0</v>
      </c>
      <c r="AG13" s="6">
        <v>0</v>
      </c>
      <c r="AH13" s="6">
        <v>0</v>
      </c>
      <c r="AI13" s="6">
        <v>0</v>
      </c>
      <c r="AJ13" s="6">
        <v>0</v>
      </c>
      <c r="AK13" s="6">
        <v>7</v>
      </c>
      <c r="AL13" s="4">
        <v>0.42</v>
      </c>
      <c r="AM13" s="6" t="s">
        <v>1739</v>
      </c>
      <c r="AN13" s="6">
        <v>0</v>
      </c>
      <c r="AO13" s="6">
        <v>0</v>
      </c>
      <c r="AP13" s="6">
        <v>1</v>
      </c>
      <c r="AQ13" s="6">
        <v>7</v>
      </c>
      <c r="AR13" s="6">
        <v>3.37</v>
      </c>
      <c r="AS13" s="6">
        <v>1.97</v>
      </c>
      <c r="AT13" s="6">
        <v>0</v>
      </c>
      <c r="AU13" s="6">
        <v>0</v>
      </c>
      <c r="AV13" s="63">
        <v>0</v>
      </c>
      <c r="AW13" s="63">
        <v>0</v>
      </c>
      <c r="AX13" s="6">
        <f t="array" ref="AX13">IFERROR(INDEX(Datos_Consumo[CANTIDAD],MATCH(TABLATRANSFERENCIA[[#This Row],[CODIGO]]&amp;TABLATRANSFERENCIA[[#Headers],[2016-9]],Datos_Consumo[CODIGO]&amp;Datos_Consumo[FECHA_FORMATO],0)),0)</f>
        <v>16</v>
      </c>
      <c r="AY13" s="6">
        <f t="array" ref="AY13">IFERROR(INDEX(Datos_Consumo[CANTIDAD],MATCH(TABLATRANSFERENCIA[[#This Row],[CODIGO]]&amp;TABLATRANSFERENCIA[[#Headers],[2016-10]],Datos_Consumo[CODIGO]&amp;Datos_Consumo[FECHA_FORMATO],0)),0)</f>
        <v>2</v>
      </c>
      <c r="AZ13" s="6">
        <f t="array" ref="AZ13">IFERROR(INDEX(Datos_Consumo[CANTIDAD],MATCH(TABLATRANSFERENCIA[[#This Row],[CODIGO]]&amp;TABLATRANSFERENCIA[[#Headers],[2016-11]],Datos_Consumo[CODIGO]&amp;Datos_Consumo[FECHA_FORMATO],0)),0)</f>
        <v>2</v>
      </c>
      <c r="BA13" s="6">
        <f t="array" ref="BA13">IFERROR(INDEX(Datos_Consumo[CANTIDAD],MATCH(TABLATRANSFERENCIA[[#This Row],[CODIGO]]&amp;TABLATRANSFERENCIA[[#Headers],[2016-12]],Datos_Consumo[CODIGO]&amp;Datos_Consumo[FECHA_FORMATO],0)),0)</f>
        <v>2</v>
      </c>
      <c r="BB13" s="6">
        <f t="array" ref="BB13">IFERROR(INDEX(Datos_Consumo[CANTIDAD],MATCH(TABLATRANSFERENCIA[[#This Row],[CODIGO]]&amp;TABLATRANSFERENCIA[[#Headers],[2017-1]],Datos_Consumo[CODIGO]&amp;Datos_Consumo[FECHA_FORMATO],0)),0)</f>
        <v>0</v>
      </c>
      <c r="BC13" s="6">
        <f t="array" ref="BC13">IFERROR(INDEX(Datos_Consumo[CANTIDAD],MATCH(TABLATRANSFERENCIA[[#This Row],[CODIGO]]&amp;TABLATRANSFERENCIA[[#Headers],[2017-2]],Datos_Consumo[CODIGO]&amp;Datos_Consumo[FECHA_FORMATO],0)),0)</f>
        <v>0</v>
      </c>
      <c r="BD13" s="50">
        <v>5</v>
      </c>
      <c r="BE13" s="55">
        <v>5</v>
      </c>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0.7142857142857143</v>
      </c>
      <c r="BO13" s="51"/>
      <c r="BP13" s="60"/>
      <c r="BQ13" s="3">
        <f>IF(TABLATRANSFERENCIA[[#This Row],[RECIBIDO]]&lt;&gt;"",0,IF(TABLATRANSFERENCIA[[#This Row],[DESPACHO]]&lt;&gt;"",TABLATRANSFERENCIA[[#This Row],[DESPACHO]],TABLATRANSFERENCIA[[#This Row],[REQUERIM]]))</f>
        <v>5</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3" s="51">
        <v>8</v>
      </c>
      <c r="BX13" s="51">
        <v>4</v>
      </c>
    </row>
    <row r="14" spans="1:76" x14ac:dyDescent="0.25">
      <c r="A14" s="54" t="s">
        <v>1495</v>
      </c>
      <c r="B14" s="3" t="s">
        <v>1669</v>
      </c>
      <c r="C14" s="3" t="s">
        <v>1637</v>
      </c>
      <c r="D14" s="3" t="s">
        <v>1637</v>
      </c>
      <c r="E14" s="3">
        <v>0</v>
      </c>
      <c r="F14" s="3">
        <v>0</v>
      </c>
      <c r="G14" s="3">
        <v>0</v>
      </c>
      <c r="H14" s="3">
        <v>0</v>
      </c>
      <c r="I14" s="3" t="s">
        <v>1662</v>
      </c>
      <c r="J14" s="3">
        <v>0</v>
      </c>
      <c r="K14" s="3">
        <v>0</v>
      </c>
      <c r="L14" s="3" t="s">
        <v>1649</v>
      </c>
      <c r="M14" s="3">
        <v>0</v>
      </c>
      <c r="N14" s="3">
        <v>0</v>
      </c>
      <c r="O14" s="5" t="s">
        <v>1637</v>
      </c>
      <c r="P14" s="5">
        <v>77.56</v>
      </c>
      <c r="Q14" s="5">
        <v>202.27</v>
      </c>
      <c r="R14" s="46">
        <v>0</v>
      </c>
      <c r="S14" s="46">
        <v>4.29</v>
      </c>
      <c r="T14" s="46">
        <v>0</v>
      </c>
      <c r="U14" s="46">
        <v>1</v>
      </c>
      <c r="V14" s="49" t="s">
        <v>1649</v>
      </c>
      <c r="W14" s="49" t="s">
        <v>1736</v>
      </c>
      <c r="X14" s="51">
        <v>8</v>
      </c>
      <c r="Y14" s="51">
        <v>10</v>
      </c>
      <c r="Z14" s="6">
        <v>12</v>
      </c>
      <c r="AA14" s="6">
        <v>1000000000</v>
      </c>
      <c r="AB14" s="6">
        <v>0</v>
      </c>
      <c r="AC14" s="4">
        <v>1</v>
      </c>
      <c r="AD14" s="6" t="s">
        <v>838</v>
      </c>
      <c r="AE14" s="6">
        <v>0</v>
      </c>
      <c r="AF14" s="6">
        <v>0</v>
      </c>
      <c r="AG14" s="6">
        <v>0</v>
      </c>
      <c r="AH14" s="6">
        <v>0</v>
      </c>
      <c r="AI14" s="6">
        <v>0</v>
      </c>
      <c r="AJ14" s="6">
        <v>0</v>
      </c>
      <c r="AK14" s="6">
        <v>0</v>
      </c>
      <c r="AL14" s="4">
        <v>1</v>
      </c>
      <c r="AM14" s="6" t="s">
        <v>838</v>
      </c>
      <c r="AN14" s="6">
        <v>0</v>
      </c>
      <c r="AO14" s="6">
        <v>0</v>
      </c>
      <c r="AP14" s="6">
        <v>1</v>
      </c>
      <c r="AQ14" s="6">
        <v>7</v>
      </c>
      <c r="AR14" s="6">
        <v>3.37</v>
      </c>
      <c r="AS14" s="6">
        <v>0</v>
      </c>
      <c r="AT14" s="6">
        <v>0</v>
      </c>
      <c r="AU14" s="6">
        <v>15</v>
      </c>
      <c r="AV14" s="63">
        <v>0</v>
      </c>
      <c r="AW14" s="63">
        <v>0</v>
      </c>
      <c r="AX14" s="6">
        <f t="array" ref="AX14">IFERROR(INDEX(Datos_Consumo[CANTIDAD],MATCH(TABLATRANSFERENCIA[[#This Row],[CODIGO]]&amp;TABLATRANSFERENCIA[[#Headers],[2016-9]],Datos_Consumo[CODIGO]&amp;Datos_Consumo[FECHA_FORMATO],0)),0)</f>
        <v>11</v>
      </c>
      <c r="AY14" s="6">
        <f t="array" ref="AY14">IFERROR(INDEX(Datos_Consumo[CANTIDAD],MATCH(TABLATRANSFERENCIA[[#This Row],[CODIGO]]&amp;TABLATRANSFERENCIA[[#Headers],[2016-10]],Datos_Consumo[CODIGO]&amp;Datos_Consumo[FECHA_FORMATO],0)),0)</f>
        <v>0</v>
      </c>
      <c r="AZ14" s="6">
        <f t="array" ref="AZ14">IFERROR(INDEX(Datos_Consumo[CANTIDAD],MATCH(TABLATRANSFERENCIA[[#This Row],[CODIGO]]&amp;TABLATRANSFERENCIA[[#Headers],[2016-11]],Datos_Consumo[CODIGO]&amp;Datos_Consumo[FECHA_FORMATO],0)),0)</f>
        <v>7</v>
      </c>
      <c r="BA14" s="6">
        <f t="array" ref="BA14">IFERROR(INDEX(Datos_Consumo[CANTIDAD],MATCH(TABLATRANSFERENCIA[[#This Row],[CODIGO]]&amp;TABLATRANSFERENCIA[[#Headers],[2016-12]],Datos_Consumo[CODIGO]&amp;Datos_Consumo[FECHA_FORMATO],0)),0)</f>
        <v>1</v>
      </c>
      <c r="BB14" s="6">
        <f t="array" ref="BB14">IFERROR(INDEX(Datos_Consumo[CANTIDAD],MATCH(TABLATRANSFERENCIA[[#This Row],[CODIGO]]&amp;TABLATRANSFERENCIA[[#Headers],[2017-1]],Datos_Consumo[CODIGO]&amp;Datos_Consumo[FECHA_FORMATO],0)),0)</f>
        <v>3</v>
      </c>
      <c r="BC14" s="6">
        <f t="array" ref="BC14">IFERROR(INDEX(Datos_Consumo[CANTIDAD],MATCH(TABLATRANSFERENCIA[[#This Row],[CODIGO]]&amp;TABLATRANSFERENCIA[[#Headers],[2017-2]],Datos_Consumo[CODIGO]&amp;Datos_Consumo[FECHA_FORMATO],0)),0)</f>
        <v>0</v>
      </c>
      <c r="BD14" s="50">
        <v>12</v>
      </c>
      <c r="BE14" s="55">
        <v>12</v>
      </c>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1.7142857142857142</v>
      </c>
      <c r="BO14" s="51"/>
      <c r="BP14" s="60"/>
      <c r="BQ14" s="3">
        <f>IF(TABLATRANSFERENCIA[[#This Row],[RECIBIDO]]&lt;&gt;"",0,IF(TABLATRANSFERENCIA[[#This Row],[DESPACHO]]&lt;&gt;"",TABLATRANSFERENCIA[[#This Row],[DESPACHO]],TABLATRANSFERENCIA[[#This Row],[REQUERIM]]))</f>
        <v>12</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4" s="51">
        <v>8</v>
      </c>
      <c r="BX14" s="51">
        <v>4</v>
      </c>
    </row>
    <row r="15" spans="1:76" x14ac:dyDescent="0.25">
      <c r="A15" s="54" t="s">
        <v>1496</v>
      </c>
      <c r="B15" s="3" t="s">
        <v>1670</v>
      </c>
      <c r="C15" s="3" t="s">
        <v>1637</v>
      </c>
      <c r="D15" s="3" t="s">
        <v>1637</v>
      </c>
      <c r="E15" s="3">
        <v>0</v>
      </c>
      <c r="F15" s="3">
        <v>0</v>
      </c>
      <c r="G15" s="3">
        <v>0</v>
      </c>
      <c r="H15" s="3">
        <v>0</v>
      </c>
      <c r="I15" s="3" t="s">
        <v>1671</v>
      </c>
      <c r="J15" s="3">
        <v>0</v>
      </c>
      <c r="K15" s="3">
        <v>0</v>
      </c>
      <c r="L15" s="3" t="s">
        <v>1649</v>
      </c>
      <c r="M15" s="3">
        <v>0</v>
      </c>
      <c r="N15" s="3">
        <v>0</v>
      </c>
      <c r="O15" s="5" t="s">
        <v>1637</v>
      </c>
      <c r="P15" s="5">
        <v>56.29</v>
      </c>
      <c r="Q15" s="5">
        <v>139.94999999999999</v>
      </c>
      <c r="R15" s="46">
        <v>0</v>
      </c>
      <c r="S15" s="46">
        <v>3.96</v>
      </c>
      <c r="T15" s="46">
        <v>0</v>
      </c>
      <c r="U15" s="46">
        <v>1</v>
      </c>
      <c r="V15" s="49" t="s">
        <v>1649</v>
      </c>
      <c r="W15" s="49" t="s">
        <v>1736</v>
      </c>
      <c r="X15" s="51">
        <v>8</v>
      </c>
      <c r="Y15" s="51">
        <v>10</v>
      </c>
      <c r="Z15" s="6">
        <v>8</v>
      </c>
      <c r="AA15" s="6">
        <v>1000000000</v>
      </c>
      <c r="AB15" s="6">
        <v>2</v>
      </c>
      <c r="AC15" s="4">
        <v>0.75</v>
      </c>
      <c r="AD15" s="6" t="s">
        <v>1742</v>
      </c>
      <c r="AE15" s="6">
        <v>0</v>
      </c>
      <c r="AF15" s="6">
        <v>0</v>
      </c>
      <c r="AG15" s="6">
        <v>0</v>
      </c>
      <c r="AH15" s="6">
        <v>0</v>
      </c>
      <c r="AI15" s="6">
        <v>0</v>
      </c>
      <c r="AJ15" s="6">
        <v>0</v>
      </c>
      <c r="AK15" s="6">
        <v>2</v>
      </c>
      <c r="AL15" s="4">
        <v>0.75</v>
      </c>
      <c r="AM15" s="6" t="s">
        <v>1742</v>
      </c>
      <c r="AN15" s="6">
        <v>0</v>
      </c>
      <c r="AO15" s="6">
        <v>0</v>
      </c>
      <c r="AP15" s="6">
        <v>2</v>
      </c>
      <c r="AQ15" s="6">
        <v>4</v>
      </c>
      <c r="AR15" s="6">
        <v>25</v>
      </c>
      <c r="AS15" s="6">
        <v>6.25</v>
      </c>
      <c r="AT15" s="6">
        <v>0</v>
      </c>
      <c r="AU15" s="6">
        <v>0</v>
      </c>
      <c r="AV15" s="63">
        <v>0</v>
      </c>
      <c r="AW15" s="63">
        <v>0</v>
      </c>
      <c r="AX15" s="6">
        <f t="array" ref="AX15">IFERROR(INDEX(Datos_Consumo[CANTIDAD],MATCH(TABLATRANSFERENCIA[[#This Row],[CODIGO]]&amp;TABLATRANSFERENCIA[[#Headers],[2016-9]],Datos_Consumo[CODIGO]&amp;Datos_Consumo[FECHA_FORMATO],0)),0)</f>
        <v>0</v>
      </c>
      <c r="AY15" s="6">
        <f t="array" ref="AY15">IFERROR(INDEX(Datos_Consumo[CANTIDAD],MATCH(TABLATRANSFERENCIA[[#This Row],[CODIGO]]&amp;TABLATRANSFERENCIA[[#Headers],[2016-10]],Datos_Consumo[CODIGO]&amp;Datos_Consumo[FECHA_FORMATO],0)),0)</f>
        <v>0</v>
      </c>
      <c r="AZ15" s="6">
        <f t="array" ref="AZ15">IFERROR(INDEX(Datos_Consumo[CANTIDAD],MATCH(TABLATRANSFERENCIA[[#This Row],[CODIGO]]&amp;TABLATRANSFERENCIA[[#Headers],[2016-11]],Datos_Consumo[CODIGO]&amp;Datos_Consumo[FECHA_FORMATO],0)),0)</f>
        <v>0</v>
      </c>
      <c r="BA15" s="6">
        <f t="array" ref="BA15">IFERROR(INDEX(Datos_Consumo[CANTIDAD],MATCH(TABLATRANSFERENCIA[[#This Row],[CODIGO]]&amp;TABLATRANSFERENCIA[[#Headers],[2016-12]],Datos_Consumo[CODIGO]&amp;Datos_Consumo[FECHA_FORMATO],0)),0)</f>
        <v>0</v>
      </c>
      <c r="BB15" s="6">
        <f t="array" ref="BB15">IFERROR(INDEX(Datos_Consumo[CANTIDAD],MATCH(TABLATRANSFERENCIA[[#This Row],[CODIGO]]&amp;TABLATRANSFERENCIA[[#Headers],[2017-1]],Datos_Consumo[CODIGO]&amp;Datos_Consumo[FECHA_FORMATO],0)),0)</f>
        <v>2</v>
      </c>
      <c r="BC15" s="6">
        <f t="array" ref="BC15">IFERROR(INDEX(Datos_Consumo[CANTIDAD],MATCH(TABLATRANSFERENCIA[[#This Row],[CODIGO]]&amp;TABLATRANSFERENCIA[[#Headers],[2017-2]],Datos_Consumo[CODIGO]&amp;Datos_Consumo[FECHA_FORMATO],0)),0)</f>
        <v>0</v>
      </c>
      <c r="BD15" s="50">
        <v>6</v>
      </c>
      <c r="BE15" s="55">
        <v>6</v>
      </c>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1.5</v>
      </c>
      <c r="BO15" s="51"/>
      <c r="BP15" s="60"/>
      <c r="BQ15" s="3">
        <f>IF(TABLATRANSFERENCIA[[#This Row],[RECIBIDO]]&lt;&gt;"",0,IF(TABLATRANSFERENCIA[[#This Row],[DESPACHO]]&lt;&gt;"",TABLATRANSFERENCIA[[#This Row],[DESPACHO]],TABLATRANSFERENCIA[[#This Row],[REQUERIM]]))</f>
        <v>6</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5" s="51">
        <v>5</v>
      </c>
      <c r="BX15" s="51">
        <v>3</v>
      </c>
    </row>
    <row r="16" spans="1:76" x14ac:dyDescent="0.25">
      <c r="A16" s="54" t="s">
        <v>1497</v>
      </c>
      <c r="B16" s="3" t="s">
        <v>1672</v>
      </c>
      <c r="C16" s="3" t="s">
        <v>1637</v>
      </c>
      <c r="D16" s="3" t="s">
        <v>1637</v>
      </c>
      <c r="E16" s="3">
        <v>0</v>
      </c>
      <c r="F16" s="3">
        <v>0</v>
      </c>
      <c r="G16" s="3">
        <v>0</v>
      </c>
      <c r="H16" s="3">
        <v>0</v>
      </c>
      <c r="I16" s="3" t="s">
        <v>1671</v>
      </c>
      <c r="J16" s="3">
        <v>0</v>
      </c>
      <c r="K16" s="3">
        <v>0</v>
      </c>
      <c r="L16" s="3" t="s">
        <v>1649</v>
      </c>
      <c r="M16" s="3">
        <v>0</v>
      </c>
      <c r="N16" s="3">
        <v>0</v>
      </c>
      <c r="O16" s="5" t="s">
        <v>1637</v>
      </c>
      <c r="P16" s="5">
        <v>58.1</v>
      </c>
      <c r="Q16" s="5">
        <v>146.34</v>
      </c>
      <c r="R16" s="46">
        <v>0</v>
      </c>
      <c r="S16" s="46">
        <v>4.05</v>
      </c>
      <c r="T16" s="46">
        <v>0</v>
      </c>
      <c r="U16" s="46">
        <v>1</v>
      </c>
      <c r="V16" s="49" t="s">
        <v>1649</v>
      </c>
      <c r="W16" s="49" t="s">
        <v>1736</v>
      </c>
      <c r="X16" s="51">
        <v>8</v>
      </c>
      <c r="Y16" s="51">
        <v>10</v>
      </c>
      <c r="Z16" s="6">
        <v>10</v>
      </c>
      <c r="AA16" s="6">
        <v>1000000000</v>
      </c>
      <c r="AB16" s="6">
        <v>4</v>
      </c>
      <c r="AC16" s="4">
        <v>0.6</v>
      </c>
      <c r="AD16" s="6" t="s">
        <v>1739</v>
      </c>
      <c r="AE16" s="6">
        <v>0</v>
      </c>
      <c r="AF16" s="6">
        <v>0</v>
      </c>
      <c r="AG16" s="6">
        <v>0</v>
      </c>
      <c r="AH16" s="6">
        <v>0</v>
      </c>
      <c r="AI16" s="6">
        <v>0</v>
      </c>
      <c r="AJ16" s="6">
        <v>0</v>
      </c>
      <c r="AK16" s="6">
        <v>4</v>
      </c>
      <c r="AL16" s="4">
        <v>0.6</v>
      </c>
      <c r="AM16" s="6" t="s">
        <v>1739</v>
      </c>
      <c r="AN16" s="6">
        <v>0</v>
      </c>
      <c r="AO16" s="6">
        <v>0</v>
      </c>
      <c r="AP16" s="6">
        <v>2</v>
      </c>
      <c r="AQ16" s="6">
        <v>6</v>
      </c>
      <c r="AR16" s="6">
        <v>10.42</v>
      </c>
      <c r="AS16" s="6">
        <v>4.17</v>
      </c>
      <c r="AT16" s="6">
        <v>0</v>
      </c>
      <c r="AU16" s="6">
        <v>0</v>
      </c>
      <c r="AV16" s="63">
        <v>0</v>
      </c>
      <c r="AW16" s="63">
        <v>0</v>
      </c>
      <c r="AX16" s="6">
        <f t="array" ref="AX16">IFERROR(INDEX(Datos_Consumo[CANTIDAD],MATCH(TABLATRANSFERENCIA[[#This Row],[CODIGO]]&amp;TABLATRANSFERENCIA[[#Headers],[2016-9]],Datos_Consumo[CODIGO]&amp;Datos_Consumo[FECHA_FORMATO],0)),0)</f>
        <v>1</v>
      </c>
      <c r="AY16" s="6">
        <f t="array" ref="AY16">IFERROR(INDEX(Datos_Consumo[CANTIDAD],MATCH(TABLATRANSFERENCIA[[#This Row],[CODIGO]]&amp;TABLATRANSFERENCIA[[#Headers],[2016-10]],Datos_Consumo[CODIGO]&amp;Datos_Consumo[FECHA_FORMATO],0)),0)</f>
        <v>4</v>
      </c>
      <c r="AZ16" s="6">
        <f t="array" ref="AZ16">IFERROR(INDEX(Datos_Consumo[CANTIDAD],MATCH(TABLATRANSFERENCIA[[#This Row],[CODIGO]]&amp;TABLATRANSFERENCIA[[#Headers],[2016-11]],Datos_Consumo[CODIGO]&amp;Datos_Consumo[FECHA_FORMATO],0)),0)</f>
        <v>1</v>
      </c>
      <c r="BA16" s="6">
        <f t="array" ref="BA16">IFERROR(INDEX(Datos_Consumo[CANTIDAD],MATCH(TABLATRANSFERENCIA[[#This Row],[CODIGO]]&amp;TABLATRANSFERENCIA[[#Headers],[2016-12]],Datos_Consumo[CODIGO]&amp;Datos_Consumo[FECHA_FORMATO],0)),0)</f>
        <v>0</v>
      </c>
      <c r="BB16" s="6">
        <f t="array" ref="BB16">IFERROR(INDEX(Datos_Consumo[CANTIDAD],MATCH(TABLATRANSFERENCIA[[#This Row],[CODIGO]]&amp;TABLATRANSFERENCIA[[#Headers],[2017-1]],Datos_Consumo[CODIGO]&amp;Datos_Consumo[FECHA_FORMATO],0)),0)</f>
        <v>0</v>
      </c>
      <c r="BC16" s="6">
        <f t="array" ref="BC16">IFERROR(INDEX(Datos_Consumo[CANTIDAD],MATCH(TABLATRANSFERENCIA[[#This Row],[CODIGO]]&amp;TABLATRANSFERENCIA[[#Headers],[2017-2]],Datos_Consumo[CODIGO]&amp;Datos_Consumo[FECHA_FORMATO],0)),0)</f>
        <v>0</v>
      </c>
      <c r="BD16" s="50">
        <v>6</v>
      </c>
      <c r="BE16" s="55">
        <v>6</v>
      </c>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1</v>
      </c>
      <c r="BO16" s="51"/>
      <c r="BP16" s="60"/>
      <c r="BQ16" s="3">
        <f>IF(TABLATRANSFERENCIA[[#This Row],[RECIBIDO]]&lt;&gt;"",0,IF(TABLATRANSFERENCIA[[#This Row],[DESPACHO]]&lt;&gt;"",TABLATRANSFERENCIA[[#This Row],[DESPACHO]],TABLATRANSFERENCIA[[#This Row],[REQUERIM]]))</f>
        <v>6</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6" s="51">
        <v>7</v>
      </c>
      <c r="BX16" s="51">
        <v>3</v>
      </c>
    </row>
    <row r="17" spans="1:76" x14ac:dyDescent="0.25">
      <c r="A17" s="54" t="s">
        <v>1643</v>
      </c>
      <c r="B17" s="3" t="s">
        <v>1673</v>
      </c>
      <c r="C17" s="3" t="s">
        <v>1637</v>
      </c>
      <c r="D17" s="3" t="s">
        <v>1637</v>
      </c>
      <c r="E17" s="3">
        <v>0</v>
      </c>
      <c r="F17" s="3">
        <v>0</v>
      </c>
      <c r="G17" s="3">
        <v>0</v>
      </c>
      <c r="H17" s="3">
        <v>0</v>
      </c>
      <c r="I17" s="3" t="s">
        <v>1671</v>
      </c>
      <c r="J17" s="3">
        <v>0</v>
      </c>
      <c r="K17" s="3">
        <v>0</v>
      </c>
      <c r="L17" s="3" t="s">
        <v>1649</v>
      </c>
      <c r="M17" s="3">
        <v>0</v>
      </c>
      <c r="N17" s="3">
        <v>0</v>
      </c>
      <c r="O17" s="5" t="s">
        <v>1637</v>
      </c>
      <c r="P17" s="5">
        <v>99.44</v>
      </c>
      <c r="Q17" s="5">
        <v>182</v>
      </c>
      <c r="R17" s="46">
        <v>0</v>
      </c>
      <c r="S17" s="46">
        <v>2.21</v>
      </c>
      <c r="T17" s="46">
        <v>0</v>
      </c>
      <c r="U17" s="46">
        <v>1</v>
      </c>
      <c r="V17" s="49" t="s">
        <v>1649</v>
      </c>
      <c r="W17" s="49" t="s">
        <v>1736</v>
      </c>
      <c r="X17" s="51">
        <v>8</v>
      </c>
      <c r="Y17" s="51">
        <v>10</v>
      </c>
      <c r="Z17" s="6">
        <v>10</v>
      </c>
      <c r="AA17" s="6">
        <v>1000000000</v>
      </c>
      <c r="AB17" s="6">
        <v>7</v>
      </c>
      <c r="AC17" s="4">
        <v>0.3</v>
      </c>
      <c r="AD17" s="6" t="s">
        <v>1739</v>
      </c>
      <c r="AE17" s="6">
        <v>0</v>
      </c>
      <c r="AF17" s="6">
        <v>0</v>
      </c>
      <c r="AG17" s="6">
        <v>0</v>
      </c>
      <c r="AH17" s="6">
        <v>0</v>
      </c>
      <c r="AI17" s="6">
        <v>0</v>
      </c>
      <c r="AJ17" s="6">
        <v>0</v>
      </c>
      <c r="AK17" s="6">
        <v>7</v>
      </c>
      <c r="AL17" s="4">
        <v>0.3</v>
      </c>
      <c r="AM17" s="6" t="s">
        <v>1739</v>
      </c>
      <c r="AN17" s="6">
        <v>0</v>
      </c>
      <c r="AO17" s="6">
        <v>0</v>
      </c>
      <c r="AP17" s="6">
        <v>1</v>
      </c>
      <c r="AQ17" s="6">
        <v>6</v>
      </c>
      <c r="AR17" s="6">
        <v>0</v>
      </c>
      <c r="AS17" s="6">
        <v>0</v>
      </c>
      <c r="AT17" s="6">
        <v>0</v>
      </c>
      <c r="AU17" s="6">
        <v>0</v>
      </c>
      <c r="AV17" s="63">
        <v>0</v>
      </c>
      <c r="AW17" s="63">
        <v>0</v>
      </c>
      <c r="AX17" s="6">
        <f t="array" ref="AX17">IFERROR(INDEX(Datos_Consumo[CANTIDAD],MATCH(TABLATRANSFERENCIA[[#This Row],[CODIGO]]&amp;TABLATRANSFERENCIA[[#Headers],[2016-9]],Datos_Consumo[CODIGO]&amp;Datos_Consumo[FECHA_FORMATO],0)),0)</f>
        <v>0</v>
      </c>
      <c r="AY17" s="6">
        <f t="array" ref="AY17">IFERROR(INDEX(Datos_Consumo[CANTIDAD],MATCH(TABLATRANSFERENCIA[[#This Row],[CODIGO]]&amp;TABLATRANSFERENCIA[[#Headers],[2016-10]],Datos_Consumo[CODIGO]&amp;Datos_Consumo[FECHA_FORMATO],0)),0)</f>
        <v>0</v>
      </c>
      <c r="AZ17" s="6">
        <f t="array" ref="AZ17">IFERROR(INDEX(Datos_Consumo[CANTIDAD],MATCH(TABLATRANSFERENCIA[[#This Row],[CODIGO]]&amp;TABLATRANSFERENCIA[[#Headers],[2016-11]],Datos_Consumo[CODIGO]&amp;Datos_Consumo[FECHA_FORMATO],0)),0)</f>
        <v>0</v>
      </c>
      <c r="BA17" s="6">
        <f t="array" ref="BA17">IFERROR(INDEX(Datos_Consumo[CANTIDAD],MATCH(TABLATRANSFERENCIA[[#This Row],[CODIGO]]&amp;TABLATRANSFERENCIA[[#Headers],[2016-12]],Datos_Consumo[CODIGO]&amp;Datos_Consumo[FECHA_FORMATO],0)),0)</f>
        <v>0</v>
      </c>
      <c r="BB17" s="6">
        <f t="array" ref="BB17">IFERROR(INDEX(Datos_Consumo[CANTIDAD],MATCH(TABLATRANSFERENCIA[[#This Row],[CODIGO]]&amp;TABLATRANSFERENCIA[[#Headers],[2017-1]],Datos_Consumo[CODIGO]&amp;Datos_Consumo[FECHA_FORMATO],0)),0)</f>
        <v>0</v>
      </c>
      <c r="BC17" s="6">
        <f t="array" ref="BC17">IFERROR(INDEX(Datos_Consumo[CANTIDAD],MATCH(TABLATRANSFERENCIA[[#This Row],[CODIGO]]&amp;TABLATRANSFERENCIA[[#Headers],[2017-2]],Datos_Consumo[CODIGO]&amp;Datos_Consumo[FECHA_FORMATO],0)),0)</f>
        <v>0</v>
      </c>
      <c r="BD17" s="50">
        <v>3</v>
      </c>
      <c r="BE17" s="55">
        <v>3</v>
      </c>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0.5</v>
      </c>
      <c r="BO17" s="51"/>
      <c r="BP17" s="60"/>
      <c r="BQ17" s="3">
        <f>IF(TABLATRANSFERENCIA[[#This Row],[RECIBIDO]]&lt;&gt;"",0,IF(TABLATRANSFERENCIA[[#This Row],[DESPACHO]]&lt;&gt;"",TABLATRANSFERENCIA[[#This Row],[DESPACHO]],TABLATRANSFERENCIA[[#This Row],[REQUERIM]]))</f>
        <v>3</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7" s="51">
        <v>7</v>
      </c>
      <c r="BX17" s="51">
        <v>3</v>
      </c>
    </row>
    <row r="18" spans="1:76" x14ac:dyDescent="0.25">
      <c r="A18" s="54" t="s">
        <v>1644</v>
      </c>
      <c r="B18" s="3" t="s">
        <v>1674</v>
      </c>
      <c r="C18" s="3" t="s">
        <v>1637</v>
      </c>
      <c r="D18" s="3" t="s">
        <v>1637</v>
      </c>
      <c r="E18" s="3">
        <v>0</v>
      </c>
      <c r="F18" s="3">
        <v>0</v>
      </c>
      <c r="G18" s="3">
        <v>0</v>
      </c>
      <c r="H18" s="3">
        <v>0</v>
      </c>
      <c r="I18" s="3" t="s">
        <v>1671</v>
      </c>
      <c r="J18" s="3">
        <v>0</v>
      </c>
      <c r="K18" s="3">
        <v>0</v>
      </c>
      <c r="L18" s="3" t="s">
        <v>1649</v>
      </c>
      <c r="M18" s="3">
        <v>0</v>
      </c>
      <c r="N18" s="3">
        <v>0</v>
      </c>
      <c r="O18" s="5" t="s">
        <v>1637</v>
      </c>
      <c r="P18" s="5">
        <v>108.47</v>
      </c>
      <c r="Q18" s="5">
        <v>253.38</v>
      </c>
      <c r="R18" s="46">
        <v>0</v>
      </c>
      <c r="S18" s="46">
        <v>3.56</v>
      </c>
      <c r="T18" s="46">
        <v>0</v>
      </c>
      <c r="U18" s="46">
        <v>1</v>
      </c>
      <c r="V18" s="49" t="s">
        <v>1649</v>
      </c>
      <c r="W18" s="49" t="s">
        <v>1736</v>
      </c>
      <c r="X18" s="51">
        <v>8</v>
      </c>
      <c r="Y18" s="51">
        <v>10</v>
      </c>
      <c r="Z18" s="6">
        <v>10</v>
      </c>
      <c r="AA18" s="6">
        <v>1000000000</v>
      </c>
      <c r="AB18" s="6">
        <v>8</v>
      </c>
      <c r="AC18" s="4">
        <v>0.2</v>
      </c>
      <c r="AD18" s="6" t="s">
        <v>1741</v>
      </c>
      <c r="AE18" s="6">
        <v>0</v>
      </c>
      <c r="AF18" s="6">
        <v>0</v>
      </c>
      <c r="AG18" s="6">
        <v>0</v>
      </c>
      <c r="AH18" s="6">
        <v>0</v>
      </c>
      <c r="AI18" s="6">
        <v>0</v>
      </c>
      <c r="AJ18" s="6">
        <v>0</v>
      </c>
      <c r="AK18" s="6">
        <v>8</v>
      </c>
      <c r="AL18" s="4">
        <v>0.2</v>
      </c>
      <c r="AM18" s="6" t="s">
        <v>1741</v>
      </c>
      <c r="AN18" s="6">
        <v>0</v>
      </c>
      <c r="AO18" s="6">
        <v>0</v>
      </c>
      <c r="AP18" s="6">
        <v>1</v>
      </c>
      <c r="AQ18" s="6">
        <v>6</v>
      </c>
      <c r="AR18" s="6">
        <v>0</v>
      </c>
      <c r="AS18" s="6">
        <v>0</v>
      </c>
      <c r="AT18" s="6">
        <v>0</v>
      </c>
      <c r="AU18" s="6">
        <v>0</v>
      </c>
      <c r="AV18" s="63">
        <v>0</v>
      </c>
      <c r="AW18" s="63">
        <v>0</v>
      </c>
      <c r="AX18" s="6">
        <f t="array" ref="AX18">IFERROR(INDEX(Datos_Consumo[CANTIDAD],MATCH(TABLATRANSFERENCIA[[#This Row],[CODIGO]]&amp;TABLATRANSFERENCIA[[#Headers],[2016-9]],Datos_Consumo[CODIGO]&amp;Datos_Consumo[FECHA_FORMATO],0)),0)</f>
        <v>0</v>
      </c>
      <c r="AY18" s="6">
        <f t="array" ref="AY18">IFERROR(INDEX(Datos_Consumo[CANTIDAD],MATCH(TABLATRANSFERENCIA[[#This Row],[CODIGO]]&amp;TABLATRANSFERENCIA[[#Headers],[2016-10]],Datos_Consumo[CODIGO]&amp;Datos_Consumo[FECHA_FORMATO],0)),0)</f>
        <v>0</v>
      </c>
      <c r="AZ18" s="6">
        <f t="array" ref="AZ18">IFERROR(INDEX(Datos_Consumo[CANTIDAD],MATCH(TABLATRANSFERENCIA[[#This Row],[CODIGO]]&amp;TABLATRANSFERENCIA[[#Headers],[2016-11]],Datos_Consumo[CODIGO]&amp;Datos_Consumo[FECHA_FORMATO],0)),0)</f>
        <v>0</v>
      </c>
      <c r="BA18" s="6">
        <f t="array" ref="BA18">IFERROR(INDEX(Datos_Consumo[CANTIDAD],MATCH(TABLATRANSFERENCIA[[#This Row],[CODIGO]]&amp;TABLATRANSFERENCIA[[#Headers],[2016-12]],Datos_Consumo[CODIGO]&amp;Datos_Consumo[FECHA_FORMATO],0)),0)</f>
        <v>0</v>
      </c>
      <c r="BB18" s="6">
        <f t="array" ref="BB18">IFERROR(INDEX(Datos_Consumo[CANTIDAD],MATCH(TABLATRANSFERENCIA[[#This Row],[CODIGO]]&amp;TABLATRANSFERENCIA[[#Headers],[2017-1]],Datos_Consumo[CODIGO]&amp;Datos_Consumo[FECHA_FORMATO],0)),0)</f>
        <v>0</v>
      </c>
      <c r="BC18" s="6">
        <f t="array" ref="BC18">IFERROR(INDEX(Datos_Consumo[CANTIDAD],MATCH(TABLATRANSFERENCIA[[#This Row],[CODIGO]]&amp;TABLATRANSFERENCIA[[#Headers],[2017-2]],Datos_Consumo[CODIGO]&amp;Datos_Consumo[FECHA_FORMATO],0)),0)</f>
        <v>0</v>
      </c>
      <c r="BD18" s="50">
        <v>2</v>
      </c>
      <c r="BE18" s="55">
        <v>2</v>
      </c>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0.33333333333333331</v>
      </c>
      <c r="BO18" s="51"/>
      <c r="BP18" s="60"/>
      <c r="BQ18" s="3">
        <f>IF(TABLATRANSFERENCIA[[#This Row],[RECIBIDO]]&lt;&gt;"",0,IF(TABLATRANSFERENCIA[[#This Row],[DESPACHO]]&lt;&gt;"",TABLATRANSFERENCIA[[#This Row],[DESPACHO]],TABLATRANSFERENCIA[[#This Row],[REQUERIM]]))</f>
        <v>2</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8" s="51">
        <v>7</v>
      </c>
      <c r="BX18" s="51">
        <v>3</v>
      </c>
    </row>
    <row r="19" spans="1:76" x14ac:dyDescent="0.25">
      <c r="A19" s="54" t="s">
        <v>1498</v>
      </c>
      <c r="B19" s="3" t="s">
        <v>1675</v>
      </c>
      <c r="C19" s="3" t="s">
        <v>1637</v>
      </c>
      <c r="D19" s="3" t="s">
        <v>1637</v>
      </c>
      <c r="E19" s="3">
        <v>0</v>
      </c>
      <c r="F19" s="3">
        <v>0</v>
      </c>
      <c r="G19" s="3">
        <v>0</v>
      </c>
      <c r="H19" s="3">
        <v>0</v>
      </c>
      <c r="I19" s="3" t="s">
        <v>1671</v>
      </c>
      <c r="J19" s="3">
        <v>0</v>
      </c>
      <c r="K19" s="3">
        <v>0</v>
      </c>
      <c r="L19" s="3" t="s">
        <v>1649</v>
      </c>
      <c r="M19" s="3">
        <v>0</v>
      </c>
      <c r="N19" s="3">
        <v>0</v>
      </c>
      <c r="O19" s="5" t="s">
        <v>1637</v>
      </c>
      <c r="P19" s="5">
        <v>135.87</v>
      </c>
      <c r="Q19" s="5">
        <v>266.52</v>
      </c>
      <c r="R19" s="46">
        <v>0</v>
      </c>
      <c r="S19" s="46">
        <v>2.56</v>
      </c>
      <c r="T19" s="46">
        <v>0</v>
      </c>
      <c r="U19" s="46">
        <v>1</v>
      </c>
      <c r="V19" s="49" t="s">
        <v>1649</v>
      </c>
      <c r="W19" s="49" t="s">
        <v>1736</v>
      </c>
      <c r="X19" s="51">
        <v>8</v>
      </c>
      <c r="Y19" s="51">
        <v>10</v>
      </c>
      <c r="Z19" s="6">
        <v>10</v>
      </c>
      <c r="AA19" s="6">
        <v>1000000000</v>
      </c>
      <c r="AB19" s="6">
        <v>4</v>
      </c>
      <c r="AC19" s="4">
        <v>0.6</v>
      </c>
      <c r="AD19" s="6" t="s">
        <v>1739</v>
      </c>
      <c r="AE19" s="6">
        <v>0</v>
      </c>
      <c r="AF19" s="6">
        <v>0</v>
      </c>
      <c r="AG19" s="6">
        <v>0</v>
      </c>
      <c r="AH19" s="6">
        <v>0</v>
      </c>
      <c r="AI19" s="6">
        <v>0</v>
      </c>
      <c r="AJ19" s="6">
        <v>0</v>
      </c>
      <c r="AK19" s="6">
        <v>4</v>
      </c>
      <c r="AL19" s="4">
        <v>0.6</v>
      </c>
      <c r="AM19" s="6" t="s">
        <v>1739</v>
      </c>
      <c r="AN19" s="6">
        <v>0</v>
      </c>
      <c r="AO19" s="6">
        <v>0</v>
      </c>
      <c r="AP19" s="6">
        <v>1</v>
      </c>
      <c r="AQ19" s="6">
        <v>6</v>
      </c>
      <c r="AR19" s="6">
        <v>10.42</v>
      </c>
      <c r="AS19" s="6">
        <v>4.17</v>
      </c>
      <c r="AT19" s="6">
        <v>0</v>
      </c>
      <c r="AU19" s="6">
        <v>0</v>
      </c>
      <c r="AV19" s="63">
        <v>0</v>
      </c>
      <c r="AW19" s="63">
        <v>0</v>
      </c>
      <c r="AX19" s="6">
        <f t="array" ref="AX19">IFERROR(INDEX(Datos_Consumo[CANTIDAD],MATCH(TABLATRANSFERENCIA[[#This Row],[CODIGO]]&amp;TABLATRANSFERENCIA[[#Headers],[2016-9]],Datos_Consumo[CODIGO]&amp;Datos_Consumo[FECHA_FORMATO],0)),0)</f>
        <v>1</v>
      </c>
      <c r="AY19" s="6">
        <f t="array" ref="AY19">IFERROR(INDEX(Datos_Consumo[CANTIDAD],MATCH(TABLATRANSFERENCIA[[#This Row],[CODIGO]]&amp;TABLATRANSFERENCIA[[#Headers],[2016-10]],Datos_Consumo[CODIGO]&amp;Datos_Consumo[FECHA_FORMATO],0)),0)</f>
        <v>3</v>
      </c>
      <c r="AZ19" s="6">
        <f t="array" ref="AZ19">IFERROR(INDEX(Datos_Consumo[CANTIDAD],MATCH(TABLATRANSFERENCIA[[#This Row],[CODIGO]]&amp;TABLATRANSFERENCIA[[#Headers],[2016-11]],Datos_Consumo[CODIGO]&amp;Datos_Consumo[FECHA_FORMATO],0)),0)</f>
        <v>1</v>
      </c>
      <c r="BA19" s="6">
        <f t="array" ref="BA19">IFERROR(INDEX(Datos_Consumo[CANTIDAD],MATCH(TABLATRANSFERENCIA[[#This Row],[CODIGO]]&amp;TABLATRANSFERENCIA[[#Headers],[2016-12]],Datos_Consumo[CODIGO]&amp;Datos_Consumo[FECHA_FORMATO],0)),0)</f>
        <v>1</v>
      </c>
      <c r="BB19" s="6">
        <f t="array" ref="BB19">IFERROR(INDEX(Datos_Consumo[CANTIDAD],MATCH(TABLATRANSFERENCIA[[#This Row],[CODIGO]]&amp;TABLATRANSFERENCIA[[#Headers],[2017-1]],Datos_Consumo[CODIGO]&amp;Datos_Consumo[FECHA_FORMATO],0)),0)</f>
        <v>0</v>
      </c>
      <c r="BC19" s="6">
        <f t="array" ref="BC19">IFERROR(INDEX(Datos_Consumo[CANTIDAD],MATCH(TABLATRANSFERENCIA[[#This Row],[CODIGO]]&amp;TABLATRANSFERENCIA[[#Headers],[2017-2]],Datos_Consumo[CODIGO]&amp;Datos_Consumo[FECHA_FORMATO],0)),0)</f>
        <v>0</v>
      </c>
      <c r="BD19" s="50">
        <v>6</v>
      </c>
      <c r="BE19" s="55">
        <v>6</v>
      </c>
      <c r="BF19" s="50"/>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1</v>
      </c>
      <c r="BO19" s="51"/>
      <c r="BP19" s="60"/>
      <c r="BQ19" s="3">
        <f>IF(TABLATRANSFERENCIA[[#This Row],[RECIBIDO]]&lt;&gt;"",0,IF(TABLATRANSFERENCIA[[#This Row],[DESPACHO]]&lt;&gt;"",TABLATRANSFERENCIA[[#This Row],[DESPACHO]],TABLATRANSFERENCIA[[#This Row],[REQUERIM]]))</f>
        <v>6</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9" s="51">
        <v>7</v>
      </c>
      <c r="BX19" s="51">
        <v>3</v>
      </c>
    </row>
    <row r="20" spans="1:76" x14ac:dyDescent="0.25">
      <c r="A20" s="54" t="s">
        <v>1500</v>
      </c>
      <c r="B20" s="3" t="s">
        <v>1692</v>
      </c>
      <c r="C20" s="3" t="s">
        <v>1637</v>
      </c>
      <c r="D20" s="3" t="s">
        <v>1637</v>
      </c>
      <c r="E20" s="3">
        <v>0</v>
      </c>
      <c r="F20" s="3">
        <v>0</v>
      </c>
      <c r="G20" s="3">
        <v>0</v>
      </c>
      <c r="H20" s="3">
        <v>0</v>
      </c>
      <c r="I20" s="3" t="s">
        <v>1693</v>
      </c>
      <c r="J20" s="3">
        <v>0</v>
      </c>
      <c r="K20" s="3">
        <v>0</v>
      </c>
      <c r="L20" s="3" t="s">
        <v>1649</v>
      </c>
      <c r="M20" s="3">
        <v>0</v>
      </c>
      <c r="N20" s="3">
        <v>0</v>
      </c>
      <c r="O20" s="5" t="s">
        <v>1637</v>
      </c>
      <c r="P20" s="5">
        <v>25.11</v>
      </c>
      <c r="Q20" s="5">
        <v>75.38</v>
      </c>
      <c r="R20" s="46">
        <v>0</v>
      </c>
      <c r="S20" s="46">
        <v>5.34</v>
      </c>
      <c r="T20" s="46">
        <v>0</v>
      </c>
      <c r="U20" s="46">
        <v>1</v>
      </c>
      <c r="V20" s="49" t="s">
        <v>1649</v>
      </c>
      <c r="W20" s="49" t="s">
        <v>1736</v>
      </c>
      <c r="X20" s="51">
        <v>8</v>
      </c>
      <c r="Y20" s="51">
        <v>10</v>
      </c>
      <c r="Z20" s="6">
        <v>20</v>
      </c>
      <c r="AA20" s="6">
        <v>1000000000</v>
      </c>
      <c r="AB20" s="6">
        <v>17</v>
      </c>
      <c r="AC20" s="4">
        <v>0.15</v>
      </c>
      <c r="AD20" s="6" t="s">
        <v>1741</v>
      </c>
      <c r="AE20" s="6">
        <v>0</v>
      </c>
      <c r="AF20" s="6">
        <v>0</v>
      </c>
      <c r="AG20" s="6">
        <v>0</v>
      </c>
      <c r="AH20" s="6">
        <v>0</v>
      </c>
      <c r="AI20" s="6">
        <v>0</v>
      </c>
      <c r="AJ20" s="6">
        <v>0</v>
      </c>
      <c r="AK20" s="6">
        <v>17</v>
      </c>
      <c r="AL20" s="4">
        <v>0.15</v>
      </c>
      <c r="AM20" s="6" t="s">
        <v>1741</v>
      </c>
      <c r="AN20" s="6">
        <v>0</v>
      </c>
      <c r="AO20" s="6">
        <v>0</v>
      </c>
      <c r="AP20" s="6">
        <v>3</v>
      </c>
      <c r="AQ20" s="6">
        <v>11</v>
      </c>
      <c r="AR20" s="6">
        <v>62.5</v>
      </c>
      <c r="AS20" s="6">
        <v>53.13</v>
      </c>
      <c r="AT20" s="6">
        <v>0</v>
      </c>
      <c r="AU20" s="6">
        <v>0</v>
      </c>
      <c r="AV20" s="63">
        <v>0</v>
      </c>
      <c r="AW20" s="63">
        <v>0</v>
      </c>
      <c r="AX20" s="6">
        <f t="array" ref="AX20">IFERROR(INDEX(Datos_Consumo[CANTIDAD],MATCH(TABLATRANSFERENCIA[[#This Row],[CODIGO]]&amp;TABLATRANSFERENCIA[[#Headers],[2016-9]],Datos_Consumo[CODIGO]&amp;Datos_Consumo[FECHA_FORMATO],0)),0)</f>
        <v>0</v>
      </c>
      <c r="AY20" s="6">
        <f t="array" ref="AY20">IFERROR(INDEX(Datos_Consumo[CANTIDAD],MATCH(TABLATRANSFERENCIA[[#This Row],[CODIGO]]&amp;TABLATRANSFERENCIA[[#Headers],[2016-10]],Datos_Consumo[CODIGO]&amp;Datos_Consumo[FECHA_FORMATO],0)),0)</f>
        <v>2</v>
      </c>
      <c r="AZ20" s="6">
        <f t="array" ref="AZ20">IFERROR(INDEX(Datos_Consumo[CANTIDAD],MATCH(TABLATRANSFERENCIA[[#This Row],[CODIGO]]&amp;TABLATRANSFERENCIA[[#Headers],[2016-11]],Datos_Consumo[CODIGO]&amp;Datos_Consumo[FECHA_FORMATO],0)),0)</f>
        <v>0</v>
      </c>
      <c r="BA20" s="6">
        <f t="array" ref="BA20">IFERROR(INDEX(Datos_Consumo[CANTIDAD],MATCH(TABLATRANSFERENCIA[[#This Row],[CODIGO]]&amp;TABLATRANSFERENCIA[[#Headers],[2016-12]],Datos_Consumo[CODIGO]&amp;Datos_Consumo[FECHA_FORMATO],0)),0)</f>
        <v>0</v>
      </c>
      <c r="BB20" s="6">
        <f t="array" ref="BB20">IFERROR(INDEX(Datos_Consumo[CANTIDAD],MATCH(TABLATRANSFERENCIA[[#This Row],[CODIGO]]&amp;TABLATRANSFERENCIA[[#Headers],[2017-1]],Datos_Consumo[CODIGO]&amp;Datos_Consumo[FECHA_FORMATO],0)),0)</f>
        <v>0</v>
      </c>
      <c r="BC20" s="6">
        <f t="array" ref="BC20">IFERROR(INDEX(Datos_Consumo[CANTIDAD],MATCH(TABLATRANSFERENCIA[[#This Row],[CODIGO]]&amp;TABLATRANSFERENCIA[[#Headers],[2017-2]],Datos_Consumo[CODIGO]&amp;Datos_Consumo[FECHA_FORMATO],0)),0)</f>
        <v>0</v>
      </c>
      <c r="BD20" s="50">
        <v>3</v>
      </c>
      <c r="BE20" s="55">
        <v>3</v>
      </c>
      <c r="BF20" s="50"/>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0.27272727272727271</v>
      </c>
      <c r="BO20" s="51"/>
      <c r="BP20" s="60"/>
      <c r="BQ20" s="3">
        <f>IF(TABLATRANSFERENCIA[[#This Row],[RECIBIDO]]&lt;&gt;"",0,IF(TABLATRANSFERENCIA[[#This Row],[DESPACHO]]&lt;&gt;"",TABLATRANSFERENCIA[[#This Row],[DESPACHO]],TABLATRANSFERENCIA[[#This Row],[REQUERIM]]))</f>
        <v>3</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0" s="51">
        <v>13</v>
      </c>
      <c r="BX20" s="51">
        <v>7</v>
      </c>
    </row>
    <row r="21" spans="1:76" x14ac:dyDescent="0.25">
      <c r="A21" s="54" t="s">
        <v>1501</v>
      </c>
      <c r="B21" s="3" t="s">
        <v>1694</v>
      </c>
      <c r="C21" s="3" t="s">
        <v>1637</v>
      </c>
      <c r="D21" s="3" t="s">
        <v>1637</v>
      </c>
      <c r="E21" s="3">
        <v>0</v>
      </c>
      <c r="F21" s="3">
        <v>0</v>
      </c>
      <c r="G21" s="3">
        <v>0</v>
      </c>
      <c r="H21" s="3">
        <v>0</v>
      </c>
      <c r="I21" s="3" t="s">
        <v>1693</v>
      </c>
      <c r="J21" s="3">
        <v>0</v>
      </c>
      <c r="K21" s="3">
        <v>0</v>
      </c>
      <c r="L21" s="3" t="s">
        <v>1649</v>
      </c>
      <c r="M21" s="3">
        <v>0</v>
      </c>
      <c r="N21" s="3">
        <v>0</v>
      </c>
      <c r="O21" s="5" t="s">
        <v>1637</v>
      </c>
      <c r="P21" s="5">
        <v>27.77</v>
      </c>
      <c r="Q21" s="5">
        <v>104.78</v>
      </c>
      <c r="R21" s="46">
        <v>0</v>
      </c>
      <c r="S21" s="46">
        <v>7.4</v>
      </c>
      <c r="T21" s="46">
        <v>0</v>
      </c>
      <c r="U21" s="46">
        <v>1</v>
      </c>
      <c r="V21" s="49" t="s">
        <v>1649</v>
      </c>
      <c r="W21" s="49" t="s">
        <v>1736</v>
      </c>
      <c r="X21" s="51">
        <v>8</v>
      </c>
      <c r="Y21" s="51">
        <v>10</v>
      </c>
      <c r="Z21" s="6">
        <v>20</v>
      </c>
      <c r="AA21" s="6">
        <v>1000000000</v>
      </c>
      <c r="AB21" s="6">
        <v>12</v>
      </c>
      <c r="AC21" s="4">
        <v>0.4</v>
      </c>
      <c r="AD21" s="6" t="s">
        <v>1739</v>
      </c>
      <c r="AE21" s="6">
        <v>0</v>
      </c>
      <c r="AF21" s="6">
        <v>0</v>
      </c>
      <c r="AG21" s="6">
        <v>0</v>
      </c>
      <c r="AH21" s="6">
        <v>0</v>
      </c>
      <c r="AI21" s="6">
        <v>0</v>
      </c>
      <c r="AJ21" s="6">
        <v>0</v>
      </c>
      <c r="AK21" s="6">
        <v>12</v>
      </c>
      <c r="AL21" s="4">
        <v>0.4</v>
      </c>
      <c r="AM21" s="6" t="s">
        <v>1739</v>
      </c>
      <c r="AN21" s="6">
        <v>0</v>
      </c>
      <c r="AO21" s="6">
        <v>0</v>
      </c>
      <c r="AP21" s="6">
        <v>2</v>
      </c>
      <c r="AQ21" s="6">
        <v>11</v>
      </c>
      <c r="AR21" s="6">
        <v>17.86</v>
      </c>
      <c r="AS21" s="6">
        <v>10.71</v>
      </c>
      <c r="AT21" s="6">
        <v>0</v>
      </c>
      <c r="AU21" s="6">
        <v>0</v>
      </c>
      <c r="AV21" s="63">
        <v>0</v>
      </c>
      <c r="AW21" s="63">
        <v>0</v>
      </c>
      <c r="AX21" s="6">
        <f t="array" ref="AX21">IFERROR(INDEX(Datos_Consumo[CANTIDAD],MATCH(TABLATRANSFERENCIA[[#This Row],[CODIGO]]&amp;TABLATRANSFERENCIA[[#Headers],[2016-9]],Datos_Consumo[CODIGO]&amp;Datos_Consumo[FECHA_FORMATO],0)),0)</f>
        <v>0</v>
      </c>
      <c r="AY21" s="6">
        <f t="array" ref="AY21">IFERROR(INDEX(Datos_Consumo[CANTIDAD],MATCH(TABLATRANSFERENCIA[[#This Row],[CODIGO]]&amp;TABLATRANSFERENCIA[[#Headers],[2016-10]],Datos_Consumo[CODIGO]&amp;Datos_Consumo[FECHA_FORMATO],0)),0)</f>
        <v>0</v>
      </c>
      <c r="AZ21" s="6">
        <f t="array" ref="AZ21">IFERROR(INDEX(Datos_Consumo[CANTIDAD],MATCH(TABLATRANSFERENCIA[[#This Row],[CODIGO]]&amp;TABLATRANSFERENCIA[[#Headers],[2016-11]],Datos_Consumo[CODIGO]&amp;Datos_Consumo[FECHA_FORMATO],0)),0)</f>
        <v>0</v>
      </c>
      <c r="BA21" s="6">
        <f t="array" ref="BA21">IFERROR(INDEX(Datos_Consumo[CANTIDAD],MATCH(TABLATRANSFERENCIA[[#This Row],[CODIGO]]&amp;TABLATRANSFERENCIA[[#Headers],[2016-12]],Datos_Consumo[CODIGO]&amp;Datos_Consumo[FECHA_FORMATO],0)),0)</f>
        <v>0</v>
      </c>
      <c r="BB21" s="6">
        <f t="array" ref="BB21">IFERROR(INDEX(Datos_Consumo[CANTIDAD],MATCH(TABLATRANSFERENCIA[[#This Row],[CODIGO]]&amp;TABLATRANSFERENCIA[[#Headers],[2017-1]],Datos_Consumo[CODIGO]&amp;Datos_Consumo[FECHA_FORMATO],0)),0)</f>
        <v>7</v>
      </c>
      <c r="BC21" s="6">
        <f t="array" ref="BC21">IFERROR(INDEX(Datos_Consumo[CANTIDAD],MATCH(TABLATRANSFERENCIA[[#This Row],[CODIGO]]&amp;TABLATRANSFERENCIA[[#Headers],[2017-2]],Datos_Consumo[CODIGO]&amp;Datos_Consumo[FECHA_FORMATO],0)),0)</f>
        <v>0</v>
      </c>
      <c r="BD21" s="50">
        <v>8</v>
      </c>
      <c r="BE21" s="55">
        <v>8</v>
      </c>
      <c r="BF21" s="50"/>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0.72727272727272729</v>
      </c>
      <c r="BO21" s="51"/>
      <c r="BP21" s="60"/>
      <c r="BQ21" s="3">
        <f>IF(TABLATRANSFERENCIA[[#This Row],[RECIBIDO]]&lt;&gt;"",0,IF(TABLATRANSFERENCIA[[#This Row],[DESPACHO]]&lt;&gt;"",TABLATRANSFERENCIA[[#This Row],[DESPACHO]],TABLATRANSFERENCIA[[#This Row],[REQUERIM]]))</f>
        <v>8</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1" s="51">
        <v>13</v>
      </c>
      <c r="BX21" s="51">
        <v>7</v>
      </c>
    </row>
    <row r="22" spans="1:76" x14ac:dyDescent="0.25">
      <c r="A22" s="54" t="s">
        <v>1502</v>
      </c>
      <c r="B22" s="3" t="s">
        <v>1695</v>
      </c>
      <c r="C22" s="3" t="s">
        <v>1637</v>
      </c>
      <c r="D22" s="3" t="s">
        <v>1637</v>
      </c>
      <c r="E22" s="3">
        <v>0</v>
      </c>
      <c r="F22" s="3">
        <v>0</v>
      </c>
      <c r="G22" s="3">
        <v>0</v>
      </c>
      <c r="H22" s="3">
        <v>0</v>
      </c>
      <c r="I22" s="3" t="s">
        <v>1693</v>
      </c>
      <c r="J22" s="3">
        <v>0</v>
      </c>
      <c r="K22" s="3">
        <v>0</v>
      </c>
      <c r="L22" s="3" t="s">
        <v>1649</v>
      </c>
      <c r="M22" s="3">
        <v>0</v>
      </c>
      <c r="N22" s="3">
        <v>0</v>
      </c>
      <c r="O22" s="5" t="s">
        <v>1637</v>
      </c>
      <c r="P22" s="5">
        <v>34.68</v>
      </c>
      <c r="Q22" s="5">
        <v>118.23</v>
      </c>
      <c r="R22" s="46">
        <v>0</v>
      </c>
      <c r="S22" s="46">
        <v>6.42</v>
      </c>
      <c r="T22" s="46">
        <v>0</v>
      </c>
      <c r="U22" s="46">
        <v>1</v>
      </c>
      <c r="V22" s="49" t="s">
        <v>1649</v>
      </c>
      <c r="W22" s="49" t="s">
        <v>1736</v>
      </c>
      <c r="X22" s="51">
        <v>8</v>
      </c>
      <c r="Y22" s="51">
        <v>10</v>
      </c>
      <c r="Z22" s="6">
        <v>20</v>
      </c>
      <c r="AA22" s="6">
        <v>1000000000</v>
      </c>
      <c r="AB22" s="6">
        <v>13</v>
      </c>
      <c r="AC22" s="4">
        <v>0.35</v>
      </c>
      <c r="AD22" s="6" t="s">
        <v>1739</v>
      </c>
      <c r="AE22" s="6">
        <v>0</v>
      </c>
      <c r="AF22" s="6">
        <v>0</v>
      </c>
      <c r="AG22" s="6">
        <v>0</v>
      </c>
      <c r="AH22" s="6">
        <v>0</v>
      </c>
      <c r="AI22" s="6">
        <v>0</v>
      </c>
      <c r="AJ22" s="6">
        <v>0</v>
      </c>
      <c r="AK22" s="6">
        <v>13</v>
      </c>
      <c r="AL22" s="4">
        <v>0.35</v>
      </c>
      <c r="AM22" s="6" t="s">
        <v>1739</v>
      </c>
      <c r="AN22" s="6">
        <v>0</v>
      </c>
      <c r="AO22" s="6">
        <v>0</v>
      </c>
      <c r="AP22" s="6">
        <v>2</v>
      </c>
      <c r="AQ22" s="6">
        <v>11</v>
      </c>
      <c r="AR22" s="6">
        <v>8.1999999999999993</v>
      </c>
      <c r="AS22" s="6">
        <v>5.33</v>
      </c>
      <c r="AT22" s="6">
        <v>0</v>
      </c>
      <c r="AU22" s="6">
        <v>0</v>
      </c>
      <c r="AV22" s="63">
        <v>0</v>
      </c>
      <c r="AW22" s="63">
        <v>0</v>
      </c>
      <c r="AX22" s="6">
        <f t="array" ref="AX22">IFERROR(INDEX(Datos_Consumo[CANTIDAD],MATCH(TABLATRANSFERENCIA[[#This Row],[CODIGO]]&amp;TABLATRANSFERENCIA[[#Headers],[2016-9]],Datos_Consumo[CODIGO]&amp;Datos_Consumo[FECHA_FORMATO],0)),0)</f>
        <v>1</v>
      </c>
      <c r="AY22" s="6">
        <f t="array" ref="AY22">IFERROR(INDEX(Datos_Consumo[CANTIDAD],MATCH(TABLATRANSFERENCIA[[#This Row],[CODIGO]]&amp;TABLATRANSFERENCIA[[#Headers],[2016-10]],Datos_Consumo[CODIGO]&amp;Datos_Consumo[FECHA_FORMATO],0)),0)</f>
        <v>1</v>
      </c>
      <c r="AZ22" s="6">
        <f t="array" ref="AZ22">IFERROR(INDEX(Datos_Consumo[CANTIDAD],MATCH(TABLATRANSFERENCIA[[#This Row],[CODIGO]]&amp;TABLATRANSFERENCIA[[#Headers],[2016-11]],Datos_Consumo[CODIGO]&amp;Datos_Consumo[FECHA_FORMATO],0)),0)</f>
        <v>1</v>
      </c>
      <c r="BA22" s="6">
        <f t="array" ref="BA22">IFERROR(INDEX(Datos_Consumo[CANTIDAD],MATCH(TABLATRANSFERENCIA[[#This Row],[CODIGO]]&amp;TABLATRANSFERENCIA[[#Headers],[2016-12]],Datos_Consumo[CODIGO]&amp;Datos_Consumo[FECHA_FORMATO],0)),0)</f>
        <v>4</v>
      </c>
      <c r="BB22" s="6">
        <f t="array" ref="BB22">IFERROR(INDEX(Datos_Consumo[CANTIDAD],MATCH(TABLATRANSFERENCIA[[#This Row],[CODIGO]]&amp;TABLATRANSFERENCIA[[#Headers],[2017-1]],Datos_Consumo[CODIGO]&amp;Datos_Consumo[FECHA_FORMATO],0)),0)</f>
        <v>8</v>
      </c>
      <c r="BC22" s="6">
        <f t="array" ref="BC22">IFERROR(INDEX(Datos_Consumo[CANTIDAD],MATCH(TABLATRANSFERENCIA[[#This Row],[CODIGO]]&amp;TABLATRANSFERENCIA[[#Headers],[2017-2]],Datos_Consumo[CODIGO]&amp;Datos_Consumo[FECHA_FORMATO],0)),0)</f>
        <v>0</v>
      </c>
      <c r="BD22" s="50">
        <v>8</v>
      </c>
      <c r="BE22" s="55">
        <v>8</v>
      </c>
      <c r="BF22" s="50"/>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0.72727272727272729</v>
      </c>
      <c r="BO22" s="51"/>
      <c r="BP22" s="60"/>
      <c r="BQ22" s="3">
        <f>IF(TABLATRANSFERENCIA[[#This Row],[RECIBIDO]]&lt;&gt;"",0,IF(TABLATRANSFERENCIA[[#This Row],[DESPACHO]]&lt;&gt;"",TABLATRANSFERENCIA[[#This Row],[DESPACHO]],TABLATRANSFERENCIA[[#This Row],[REQUERIM]]))</f>
        <v>8</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2" s="51">
        <v>13</v>
      </c>
      <c r="BX22" s="51">
        <v>7</v>
      </c>
    </row>
    <row r="23" spans="1:76" x14ac:dyDescent="0.25">
      <c r="A23" s="54" t="s">
        <v>1503</v>
      </c>
      <c r="B23" s="3" t="s">
        <v>1696</v>
      </c>
      <c r="C23" s="3" t="s">
        <v>1637</v>
      </c>
      <c r="D23" s="3" t="s">
        <v>1637</v>
      </c>
      <c r="E23" s="3">
        <v>0</v>
      </c>
      <c r="F23" s="3">
        <v>0</v>
      </c>
      <c r="G23" s="3">
        <v>0</v>
      </c>
      <c r="H23" s="3">
        <v>0</v>
      </c>
      <c r="I23" s="3" t="s">
        <v>1693</v>
      </c>
      <c r="J23" s="3">
        <v>0</v>
      </c>
      <c r="K23" s="3">
        <v>0</v>
      </c>
      <c r="L23" s="3" t="s">
        <v>1649</v>
      </c>
      <c r="M23" s="3">
        <v>0</v>
      </c>
      <c r="N23" s="3">
        <v>0</v>
      </c>
      <c r="O23" s="5" t="s">
        <v>1637</v>
      </c>
      <c r="P23" s="5">
        <v>37.51</v>
      </c>
      <c r="Q23" s="5">
        <v>146.1</v>
      </c>
      <c r="R23" s="46">
        <v>0</v>
      </c>
      <c r="S23" s="46">
        <v>7.72</v>
      </c>
      <c r="T23" s="46">
        <v>0</v>
      </c>
      <c r="U23" s="46">
        <v>1</v>
      </c>
      <c r="V23" s="49" t="s">
        <v>1649</v>
      </c>
      <c r="W23" s="49" t="s">
        <v>1736</v>
      </c>
      <c r="X23" s="51">
        <v>8</v>
      </c>
      <c r="Y23" s="51">
        <v>10</v>
      </c>
      <c r="Z23" s="6">
        <v>20</v>
      </c>
      <c r="AA23" s="6">
        <v>1000000000</v>
      </c>
      <c r="AB23" s="6">
        <v>9</v>
      </c>
      <c r="AC23" s="4">
        <v>0.55000000000000004</v>
      </c>
      <c r="AD23" s="6" t="s">
        <v>1739</v>
      </c>
      <c r="AE23" s="6">
        <v>0</v>
      </c>
      <c r="AF23" s="6">
        <v>0</v>
      </c>
      <c r="AG23" s="6">
        <v>0</v>
      </c>
      <c r="AH23" s="6">
        <v>0</v>
      </c>
      <c r="AI23" s="6">
        <v>0</v>
      </c>
      <c r="AJ23" s="6">
        <v>0</v>
      </c>
      <c r="AK23" s="6">
        <v>9</v>
      </c>
      <c r="AL23" s="4">
        <v>0.55000000000000004</v>
      </c>
      <c r="AM23" s="6" t="s">
        <v>1739</v>
      </c>
      <c r="AN23" s="6">
        <v>0</v>
      </c>
      <c r="AO23" s="6">
        <v>0</v>
      </c>
      <c r="AP23" s="6">
        <v>2</v>
      </c>
      <c r="AQ23" s="6">
        <v>11</v>
      </c>
      <c r="AR23" s="6">
        <v>13.89</v>
      </c>
      <c r="AS23" s="6">
        <v>6.25</v>
      </c>
      <c r="AT23" s="6">
        <v>0</v>
      </c>
      <c r="AU23" s="6">
        <v>0</v>
      </c>
      <c r="AV23" s="63">
        <v>0</v>
      </c>
      <c r="AW23" s="63">
        <v>0</v>
      </c>
      <c r="AX23" s="6">
        <f t="array" ref="AX23">IFERROR(INDEX(Datos_Consumo[CANTIDAD],MATCH(TABLATRANSFERENCIA[[#This Row],[CODIGO]]&amp;TABLATRANSFERENCIA[[#Headers],[2016-9]],Datos_Consumo[CODIGO]&amp;Datos_Consumo[FECHA_FORMATO],0)),0)</f>
        <v>3</v>
      </c>
      <c r="AY23" s="6">
        <f t="array" ref="AY23">IFERROR(INDEX(Datos_Consumo[CANTIDAD],MATCH(TABLATRANSFERENCIA[[#This Row],[CODIGO]]&amp;TABLATRANSFERENCIA[[#Headers],[2016-10]],Datos_Consumo[CODIGO]&amp;Datos_Consumo[FECHA_FORMATO],0)),0)</f>
        <v>3</v>
      </c>
      <c r="AZ23" s="6">
        <f t="array" ref="AZ23">IFERROR(INDEX(Datos_Consumo[CANTIDAD],MATCH(TABLATRANSFERENCIA[[#This Row],[CODIGO]]&amp;TABLATRANSFERENCIA[[#Headers],[2016-11]],Datos_Consumo[CODIGO]&amp;Datos_Consumo[FECHA_FORMATO],0)),0)</f>
        <v>0</v>
      </c>
      <c r="BA23" s="6">
        <f t="array" ref="BA23">IFERROR(INDEX(Datos_Consumo[CANTIDAD],MATCH(TABLATRANSFERENCIA[[#This Row],[CODIGO]]&amp;TABLATRANSFERENCIA[[#Headers],[2016-12]],Datos_Consumo[CODIGO]&amp;Datos_Consumo[FECHA_FORMATO],0)),0)</f>
        <v>3</v>
      </c>
      <c r="BB23" s="6">
        <f t="array" ref="BB23">IFERROR(INDEX(Datos_Consumo[CANTIDAD],MATCH(TABLATRANSFERENCIA[[#This Row],[CODIGO]]&amp;TABLATRANSFERENCIA[[#Headers],[2017-1]],Datos_Consumo[CODIGO]&amp;Datos_Consumo[FECHA_FORMATO],0)),0)</f>
        <v>0</v>
      </c>
      <c r="BC23" s="6">
        <f t="array" ref="BC23">IFERROR(INDEX(Datos_Consumo[CANTIDAD],MATCH(TABLATRANSFERENCIA[[#This Row],[CODIGO]]&amp;TABLATRANSFERENCIA[[#Headers],[2017-2]],Datos_Consumo[CODIGO]&amp;Datos_Consumo[FECHA_FORMATO],0)),0)</f>
        <v>0</v>
      </c>
      <c r="BD23" s="50">
        <v>12</v>
      </c>
      <c r="BE23" s="55">
        <v>12</v>
      </c>
      <c r="BF23" s="50"/>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1.0909090909090908</v>
      </c>
      <c r="BO23" s="51"/>
      <c r="BP23" s="60"/>
      <c r="BQ23" s="3">
        <f>IF(TABLATRANSFERENCIA[[#This Row],[RECIBIDO]]&lt;&gt;"",0,IF(TABLATRANSFERENCIA[[#This Row],[DESPACHO]]&lt;&gt;"",TABLATRANSFERENCIA[[#This Row],[DESPACHO]],TABLATRANSFERENCIA[[#This Row],[REQUERIM]]))</f>
        <v>12</v>
      </c>
      <c r="BR23" s="50"/>
      <c r="BS23" s="50"/>
      <c r="BT23" s="50" t="str">
        <f t="shared" si="0"/>
        <v>N</v>
      </c>
      <c r="BU23" s="51">
        <f t="array" ref="BU23">IF(SUM(--(TABLATRANSFERENCIA[[#This Row],[CODIGO GENERICO]]=TABLATRANSFERENCIA[CODIGO GENERICO])*TABLATRANSFERENCIA[REQUERIM])&lt;TABLATRANSFERENCIA[[#This Row],[PEDIDO MIN GRUPO]],1,0)</f>
        <v>0</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3" s="51">
        <v>13</v>
      </c>
      <c r="BX23" s="51">
        <v>7</v>
      </c>
    </row>
    <row r="24" spans="1:76" x14ac:dyDescent="0.25">
      <c r="A24" s="54" t="s">
        <v>1504</v>
      </c>
      <c r="B24" s="3" t="s">
        <v>1697</v>
      </c>
      <c r="C24" s="3" t="s">
        <v>1637</v>
      </c>
      <c r="D24" s="3" t="s">
        <v>1637</v>
      </c>
      <c r="E24" s="3">
        <v>0</v>
      </c>
      <c r="F24" s="3">
        <v>0</v>
      </c>
      <c r="G24" s="3">
        <v>0</v>
      </c>
      <c r="H24" s="3">
        <v>0</v>
      </c>
      <c r="I24" s="3" t="s">
        <v>1693</v>
      </c>
      <c r="J24" s="3">
        <v>0</v>
      </c>
      <c r="K24" s="3">
        <v>0</v>
      </c>
      <c r="L24" s="3" t="s">
        <v>1649</v>
      </c>
      <c r="M24" s="3">
        <v>0</v>
      </c>
      <c r="N24" s="3">
        <v>0</v>
      </c>
      <c r="O24" s="5" t="s">
        <v>1637</v>
      </c>
      <c r="P24" s="5">
        <v>73.31</v>
      </c>
      <c r="Q24" s="5">
        <v>137.38</v>
      </c>
      <c r="R24" s="46">
        <v>0</v>
      </c>
      <c r="S24" s="46">
        <v>2.33</v>
      </c>
      <c r="T24" s="46">
        <v>0</v>
      </c>
      <c r="U24" s="46">
        <v>1</v>
      </c>
      <c r="V24" s="49" t="s">
        <v>1649</v>
      </c>
      <c r="W24" s="49" t="s">
        <v>1736</v>
      </c>
      <c r="X24" s="51">
        <v>8</v>
      </c>
      <c r="Y24" s="51">
        <v>10</v>
      </c>
      <c r="Z24" s="6">
        <v>12</v>
      </c>
      <c r="AA24" s="6">
        <v>1000000000</v>
      </c>
      <c r="AB24" s="6">
        <v>2</v>
      </c>
      <c r="AC24" s="4">
        <v>0.83</v>
      </c>
      <c r="AD24" s="6" t="s">
        <v>1742</v>
      </c>
      <c r="AE24" s="6">
        <v>0</v>
      </c>
      <c r="AF24" s="6">
        <v>0</v>
      </c>
      <c r="AG24" s="6">
        <v>0</v>
      </c>
      <c r="AH24" s="6">
        <v>0</v>
      </c>
      <c r="AI24" s="6">
        <v>0</v>
      </c>
      <c r="AJ24" s="6">
        <v>0</v>
      </c>
      <c r="AK24" s="6">
        <v>2</v>
      </c>
      <c r="AL24" s="4">
        <v>0.83</v>
      </c>
      <c r="AM24" s="6" t="s">
        <v>1742</v>
      </c>
      <c r="AN24" s="6">
        <v>0</v>
      </c>
      <c r="AO24" s="6">
        <v>0</v>
      </c>
      <c r="AP24" s="6">
        <v>1</v>
      </c>
      <c r="AQ24" s="6">
        <v>7</v>
      </c>
      <c r="AR24" s="6">
        <v>5.66</v>
      </c>
      <c r="AS24" s="6">
        <v>0.94</v>
      </c>
      <c r="AT24" s="6">
        <v>0</v>
      </c>
      <c r="AU24" s="6">
        <v>0</v>
      </c>
      <c r="AV24" s="63">
        <v>0</v>
      </c>
      <c r="AW24" s="63">
        <v>0</v>
      </c>
      <c r="AX24" s="6">
        <f t="array" ref="AX24">IFERROR(INDEX(Datos_Consumo[CANTIDAD],MATCH(TABLATRANSFERENCIA[[#This Row],[CODIGO]]&amp;TABLATRANSFERENCIA[[#Headers],[2016-9]],Datos_Consumo[CODIGO]&amp;Datos_Consumo[FECHA_FORMATO],0)),0)</f>
        <v>1</v>
      </c>
      <c r="AY24" s="6">
        <f t="array" ref="AY24">IFERROR(INDEX(Datos_Consumo[CANTIDAD],MATCH(TABLATRANSFERENCIA[[#This Row],[CODIGO]]&amp;TABLATRANSFERENCIA[[#Headers],[2016-10]],Datos_Consumo[CODIGO]&amp;Datos_Consumo[FECHA_FORMATO],0)),0)</f>
        <v>7</v>
      </c>
      <c r="AZ24" s="6">
        <f t="array" ref="AZ24">IFERROR(INDEX(Datos_Consumo[CANTIDAD],MATCH(TABLATRANSFERENCIA[[#This Row],[CODIGO]]&amp;TABLATRANSFERENCIA[[#Headers],[2016-11]],Datos_Consumo[CODIGO]&amp;Datos_Consumo[FECHA_FORMATO],0)),0)</f>
        <v>5</v>
      </c>
      <c r="BA24" s="6">
        <f t="array" ref="BA24">IFERROR(INDEX(Datos_Consumo[CANTIDAD],MATCH(TABLATRANSFERENCIA[[#This Row],[CODIGO]]&amp;TABLATRANSFERENCIA[[#Headers],[2016-12]],Datos_Consumo[CODIGO]&amp;Datos_Consumo[FECHA_FORMATO],0)),0)</f>
        <v>0</v>
      </c>
      <c r="BB24" s="6">
        <f t="array" ref="BB24">IFERROR(INDEX(Datos_Consumo[CANTIDAD],MATCH(TABLATRANSFERENCIA[[#This Row],[CODIGO]]&amp;TABLATRANSFERENCIA[[#Headers],[2017-1]],Datos_Consumo[CODIGO]&amp;Datos_Consumo[FECHA_FORMATO],0)),0)</f>
        <v>0</v>
      </c>
      <c r="BC24" s="6">
        <f t="array" ref="BC24">IFERROR(INDEX(Datos_Consumo[CANTIDAD],MATCH(TABLATRANSFERENCIA[[#This Row],[CODIGO]]&amp;TABLATRANSFERENCIA[[#Headers],[2017-2]],Datos_Consumo[CODIGO]&amp;Datos_Consumo[FECHA_FORMATO],0)),0)</f>
        <v>0</v>
      </c>
      <c r="BD24" s="50">
        <v>10</v>
      </c>
      <c r="BE24" s="55">
        <v>10</v>
      </c>
      <c r="BF24" s="50"/>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1.4285714285714286</v>
      </c>
      <c r="BO24" s="51"/>
      <c r="BP24" s="60"/>
      <c r="BQ24" s="3">
        <f>IF(TABLATRANSFERENCIA[[#This Row],[RECIBIDO]]&lt;&gt;"",0,IF(TABLATRANSFERENCIA[[#This Row],[DESPACHO]]&lt;&gt;"",TABLATRANSFERENCIA[[#This Row],[DESPACHO]],TABLATRANSFERENCIA[[#This Row],[REQUERIM]]))</f>
        <v>10</v>
      </c>
      <c r="BR24" s="50"/>
      <c r="BS24" s="50"/>
      <c r="BT24" s="50" t="str">
        <f t="shared" si="0"/>
        <v>N</v>
      </c>
      <c r="BU24" s="51">
        <f t="array" ref="BU24">IF(SUM(--(TABLATRANSFERENCIA[[#This Row],[CODIGO GENERICO]]=TABLATRANSFERENCIA[CODIGO GENERICO])*TABLATRANSFERENCIA[REQUERIM])&lt;TABLATRANSFERENCIA[[#This Row],[PEDIDO MIN GRUPO]],1,0)</f>
        <v>0</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4" s="51">
        <v>8</v>
      </c>
      <c r="BX24" s="51">
        <v>4</v>
      </c>
    </row>
    <row r="25" spans="1:76" x14ac:dyDescent="0.25">
      <c r="A25" s="54" t="s">
        <v>1505</v>
      </c>
      <c r="B25" s="3" t="s">
        <v>1698</v>
      </c>
      <c r="C25" s="3" t="s">
        <v>1637</v>
      </c>
      <c r="D25" s="3" t="s">
        <v>1637</v>
      </c>
      <c r="E25" s="3">
        <v>0</v>
      </c>
      <c r="F25" s="3">
        <v>0</v>
      </c>
      <c r="G25" s="3">
        <v>0</v>
      </c>
      <c r="H25" s="3">
        <v>0</v>
      </c>
      <c r="I25" s="3" t="s">
        <v>1693</v>
      </c>
      <c r="J25" s="3">
        <v>0</v>
      </c>
      <c r="K25" s="3">
        <v>0</v>
      </c>
      <c r="L25" s="3" t="s">
        <v>1649</v>
      </c>
      <c r="M25" s="3">
        <v>0</v>
      </c>
      <c r="N25" s="3">
        <v>0</v>
      </c>
      <c r="O25" s="5" t="s">
        <v>1637</v>
      </c>
      <c r="P25" s="5">
        <v>71.459999999999994</v>
      </c>
      <c r="Q25" s="5">
        <v>168.18</v>
      </c>
      <c r="R25" s="46">
        <v>0</v>
      </c>
      <c r="S25" s="46">
        <v>3.61</v>
      </c>
      <c r="T25" s="46">
        <v>0</v>
      </c>
      <c r="U25" s="46">
        <v>1</v>
      </c>
      <c r="V25" s="49" t="s">
        <v>1649</v>
      </c>
      <c r="W25" s="49" t="s">
        <v>1736</v>
      </c>
      <c r="X25" s="51">
        <v>8</v>
      </c>
      <c r="Y25" s="51">
        <v>10</v>
      </c>
      <c r="Z25" s="6">
        <v>12</v>
      </c>
      <c r="AA25" s="6">
        <v>1000000000</v>
      </c>
      <c r="AB25" s="6">
        <v>9</v>
      </c>
      <c r="AC25" s="4">
        <v>0.25</v>
      </c>
      <c r="AD25" s="6" t="s">
        <v>1741</v>
      </c>
      <c r="AE25" s="6">
        <v>0</v>
      </c>
      <c r="AF25" s="6">
        <v>0</v>
      </c>
      <c r="AG25" s="6">
        <v>0</v>
      </c>
      <c r="AH25" s="6">
        <v>0</v>
      </c>
      <c r="AI25" s="6">
        <v>0</v>
      </c>
      <c r="AJ25" s="6">
        <v>0</v>
      </c>
      <c r="AK25" s="6">
        <v>9</v>
      </c>
      <c r="AL25" s="4">
        <v>0.25</v>
      </c>
      <c r="AM25" s="6" t="s">
        <v>1741</v>
      </c>
      <c r="AN25" s="6">
        <v>0</v>
      </c>
      <c r="AO25" s="6">
        <v>0</v>
      </c>
      <c r="AP25" s="6">
        <v>1</v>
      </c>
      <c r="AQ25" s="6">
        <v>7</v>
      </c>
      <c r="AR25" s="6">
        <v>37.5</v>
      </c>
      <c r="AS25" s="6">
        <v>28.13</v>
      </c>
      <c r="AT25" s="6">
        <v>0</v>
      </c>
      <c r="AU25" s="6">
        <v>0</v>
      </c>
      <c r="AV25" s="63">
        <v>0</v>
      </c>
      <c r="AW25" s="63">
        <v>0</v>
      </c>
      <c r="AX25" s="6">
        <f t="array" ref="AX25">IFERROR(INDEX(Datos_Consumo[CANTIDAD],MATCH(TABLATRANSFERENCIA[[#This Row],[CODIGO]]&amp;TABLATRANSFERENCIA[[#Headers],[2016-9]],Datos_Consumo[CODIGO]&amp;Datos_Consumo[FECHA_FORMATO],0)),0)</f>
        <v>1</v>
      </c>
      <c r="AY25" s="6">
        <f t="array" ref="AY25">IFERROR(INDEX(Datos_Consumo[CANTIDAD],MATCH(TABLATRANSFERENCIA[[#This Row],[CODIGO]]&amp;TABLATRANSFERENCIA[[#Headers],[2016-10]],Datos_Consumo[CODIGO]&amp;Datos_Consumo[FECHA_FORMATO],0)),0)</f>
        <v>0</v>
      </c>
      <c r="AZ25" s="6">
        <f t="array" ref="AZ25">IFERROR(INDEX(Datos_Consumo[CANTIDAD],MATCH(TABLATRANSFERENCIA[[#This Row],[CODIGO]]&amp;TABLATRANSFERENCIA[[#Headers],[2016-11]],Datos_Consumo[CODIGO]&amp;Datos_Consumo[FECHA_FORMATO],0)),0)</f>
        <v>0</v>
      </c>
      <c r="BA25" s="6">
        <f t="array" ref="BA25">IFERROR(INDEX(Datos_Consumo[CANTIDAD],MATCH(TABLATRANSFERENCIA[[#This Row],[CODIGO]]&amp;TABLATRANSFERENCIA[[#Headers],[2016-12]],Datos_Consumo[CODIGO]&amp;Datos_Consumo[FECHA_FORMATO],0)),0)</f>
        <v>1</v>
      </c>
      <c r="BB25" s="6">
        <f t="array" ref="BB25">IFERROR(INDEX(Datos_Consumo[CANTIDAD],MATCH(TABLATRANSFERENCIA[[#This Row],[CODIGO]]&amp;TABLATRANSFERENCIA[[#Headers],[2017-1]],Datos_Consumo[CODIGO]&amp;Datos_Consumo[FECHA_FORMATO],0)),0)</f>
        <v>0</v>
      </c>
      <c r="BC25" s="6">
        <f t="array" ref="BC25">IFERROR(INDEX(Datos_Consumo[CANTIDAD],MATCH(TABLATRANSFERENCIA[[#This Row],[CODIGO]]&amp;TABLATRANSFERENCIA[[#Headers],[2017-2]],Datos_Consumo[CODIGO]&amp;Datos_Consumo[FECHA_FORMATO],0)),0)</f>
        <v>0</v>
      </c>
      <c r="BD25" s="50">
        <v>3</v>
      </c>
      <c r="BE25" s="55">
        <v>3</v>
      </c>
      <c r="BF25" s="50"/>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0.42857142857142855</v>
      </c>
      <c r="BO25" s="51"/>
      <c r="BP25" s="60"/>
      <c r="BQ25" s="3">
        <f>IF(TABLATRANSFERENCIA[[#This Row],[RECIBIDO]]&lt;&gt;"",0,IF(TABLATRANSFERENCIA[[#This Row],[DESPACHO]]&lt;&gt;"",TABLATRANSFERENCIA[[#This Row],[DESPACHO]],TABLATRANSFERENCIA[[#This Row],[REQUERIM]]))</f>
        <v>3</v>
      </c>
      <c r="BR25" s="50"/>
      <c r="BS25" s="50"/>
      <c r="BT25" s="50" t="str">
        <f t="shared" si="0"/>
        <v>N</v>
      </c>
      <c r="BU25" s="51">
        <f t="array" ref="BU25">IF(SUM(--(TABLATRANSFERENCIA[[#This Row],[CODIGO GENERICO]]=TABLATRANSFERENCIA[CODIGO GENERICO])*TABLATRANSFERENCIA[REQUERIM])&lt;TABLATRANSFERENCIA[[#This Row],[PEDIDO MIN GRUPO]],1,0)</f>
        <v>0</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5" s="51">
        <v>8</v>
      </c>
      <c r="BX25" s="51">
        <v>4</v>
      </c>
    </row>
  </sheetData>
  <sheetProtection algorithmName="SHA-512" hashValue="POEIVfMPLtxsDXIUt9ITBn3Is/5g4dS53zcpRqmCzV3xKxLIA5ZwdtZPTQ6BskoEeD0ev83KO5dhQv123px1Mw==" saltValue="oge/BeLlBbnEn+t/8PRA7g==" spinCount="100000" sheet="1" objects="1" scenarios="1" formatCells="0" sort="0" autoFilter="0"/>
  <conditionalFormatting sqref="BO9:BP25">
    <cfRule type="expression" dxfId="44" priority="34">
      <formula>ISBLANK(BO9)</formula>
    </cfRule>
  </conditionalFormatting>
  <conditionalFormatting sqref="B5">
    <cfRule type="expression" dxfId="43" priority="26">
      <formula>ISBLANK(REFERENCIA)</formula>
    </cfRule>
  </conditionalFormatting>
  <conditionalFormatting sqref="D3">
    <cfRule type="expression" dxfId="42" priority="24">
      <formula>AND(ISNUMBER($D$3),$D$3&lt;$D$2)</formula>
    </cfRule>
    <cfRule type="expression" dxfId="41" priority="33">
      <formula>ISBLANK(FECHACIERRE)</formula>
    </cfRule>
  </conditionalFormatting>
  <conditionalFormatting sqref="B6 D3">
    <cfRule type="expression" dxfId="40" priority="25">
      <formula>ISBLANK(FECHAARRIBO)</formula>
    </cfRule>
  </conditionalFormatting>
  <conditionalFormatting sqref="B7">
    <cfRule type="expression" dxfId="39" priority="23">
      <formula>NOT((B7=""))</formula>
    </cfRule>
  </conditionalFormatting>
  <conditionalFormatting sqref="AK9:AK25 AB9:AB25">
    <cfRule type="expression" dxfId="38" priority="15">
      <formula>AD9="G"</formula>
    </cfRule>
    <cfRule type="expression" dxfId="37" priority="16">
      <formula>AD9="L"</formula>
    </cfRule>
    <cfRule type="expression" dxfId="36" priority="17">
      <formula>AD9="V"</formula>
    </cfRule>
    <cfRule type="expression" dxfId="35" priority="18">
      <formula>AD9="A"</formula>
    </cfRule>
    <cfRule type="expression" dxfId="34" priority="19">
      <formula>AD9="N"</formula>
    </cfRule>
    <cfRule type="expression" dxfId="33" priority="20">
      <formula>AD9="R"</formula>
    </cfRule>
  </conditionalFormatting>
  <conditionalFormatting sqref="BS9:BS25">
    <cfRule type="expression" dxfId="32" priority="17384">
      <formula>AND(ISNUMBER($BP9),$BO9&lt;&gt;$BP9)</formula>
    </cfRule>
  </conditionalFormatting>
  <conditionalFormatting sqref="AO9:AO25">
    <cfRule type="expression" dxfId="31" priority="8">
      <formula>$BU9=1</formula>
    </cfRule>
  </conditionalFormatting>
  <conditionalFormatting sqref="BD9:BD25">
    <cfRule type="expression" dxfId="30" priority="2">
      <formula>$BV9="N"</formula>
    </cfRule>
    <cfRule type="expression" dxfId="29" priority="3">
      <formula>$BV9="R"</formula>
    </cfRule>
    <cfRule type="expression" dxfId="28" priority="4">
      <formula>$BV9="A"</formula>
    </cfRule>
    <cfRule type="expression" dxfId="27" priority="5">
      <formula>$BV9="L"</formula>
    </cfRule>
    <cfRule type="expression" dxfId="26" priority="6">
      <formula>$BV9="V"</formula>
    </cfRule>
    <cfRule type="expression" dxfId="25" priority="7">
      <formula>$BV9="G"</formula>
    </cfRule>
  </conditionalFormatting>
  <conditionalFormatting sqref="BR9:BR25">
    <cfRule type="expression" dxfId="24" priority="35604">
      <formula>AND(ISNUMBER($BO9),$BD9&lt;&gt;$BO9)</formula>
    </cfRule>
  </conditionalFormatting>
  <conditionalFormatting sqref="AV9:AV25">
    <cfRule type="expression" dxfId="23" priority="1">
      <formula>TODAY()&lt;=(AV9+Y9*7)</formula>
    </cfRule>
  </conditionalFormatting>
  <conditionalFormatting sqref="R1:S1">
    <cfRule type="expression" dxfId="22" priority="63132">
      <formula>COUNTA($BP$9:$BP$25)=0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25">
      <formula1>RangoCausas</formula1>
    </dataValidation>
    <dataValidation type="whole" allowBlank="1" showErrorMessage="1" promptTitle="Número de Embarques" sqref="BH9:BL25">
      <formula1>0</formula1>
      <formula2>1000000</formula2>
    </dataValidation>
    <dataValidation type="whole" allowBlank="1" showErrorMessage="1" promptTitle="Número de Embarques" sqref="BG9:BG25">
      <formula1>1</formula1>
      <formula2>5</formula2>
    </dataValidation>
    <dataValidation allowBlank="1" showErrorMessage="1" promptTitle="Número de Embarques" sqref="BM9:BM25"/>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209550</xdr:colOff>
                <xdr:row>0</xdr:row>
                <xdr:rowOff>28575</xdr:rowOff>
              </from>
              <to>
                <xdr:col>1</xdr:col>
                <xdr:colOff>581025</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11</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11</xdr:col>
                <xdr:colOff>1038225</xdr:colOff>
                <xdr:row>0</xdr:row>
                <xdr:rowOff>276225</xdr:rowOff>
              </from>
              <to>
                <xdr:col>25</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19050</xdr:colOff>
                <xdr:row>0</xdr:row>
                <xdr:rowOff>333375</xdr:rowOff>
              </from>
              <to>
                <xdr:col>0</xdr:col>
                <xdr:colOff>676275</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685800</xdr:colOff>
                <xdr:row>0</xdr:row>
                <xdr:rowOff>333375</xdr:rowOff>
              </from>
              <to>
                <xdr:col>1</xdr:col>
                <xdr:colOff>38100</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25</xdr:col>
                <xdr:colOff>276225</xdr:colOff>
                <xdr:row>0</xdr:row>
                <xdr:rowOff>276225</xdr:rowOff>
              </from>
              <to>
                <xdr:col>27</xdr:col>
                <xdr:colOff>85725</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828675</xdr:colOff>
                <xdr:row>0</xdr:row>
                <xdr:rowOff>28575</xdr:rowOff>
              </from>
              <to>
                <xdr:col>0</xdr:col>
                <xdr:colOff>1085850</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1370</v>
      </c>
      <c r="AY1" s="52" t="s">
        <v>1371</v>
      </c>
      <c r="AZ1" s="52" t="s">
        <v>1372</v>
      </c>
      <c r="BA1" s="52" t="s">
        <v>1373</v>
      </c>
      <c r="BB1" s="52" t="s">
        <v>1374</v>
      </c>
      <c r="BC1" s="52" t="s">
        <v>1375</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21" priority="15">
      <formula>ISBLANK(BN2)</formula>
    </cfRule>
  </conditionalFormatting>
  <conditionalFormatting sqref="AK2 AB2">
    <cfRule type="expression" dxfId="20" priority="9">
      <formula>AD2="G"</formula>
    </cfRule>
    <cfRule type="expression" dxfId="19" priority="10">
      <formula>AD2="L"</formula>
    </cfRule>
    <cfRule type="expression" dxfId="18" priority="11">
      <formula>AD2="V"</formula>
    </cfRule>
    <cfRule type="expression" dxfId="17" priority="12">
      <formula>AD2="A"</formula>
    </cfRule>
    <cfRule type="expression" dxfId="16" priority="13">
      <formula>AD2="N"</formula>
    </cfRule>
    <cfRule type="expression" dxfId="15" priority="14">
      <formula>AD2="R"</formula>
    </cfRule>
  </conditionalFormatting>
  <conditionalFormatting sqref="BR2">
    <cfRule type="expression" dxfId="14" priority="16">
      <formula>AND(ISNUMBER($BO2),$BN2&lt;&gt;$BO2)</formula>
    </cfRule>
  </conditionalFormatting>
  <conditionalFormatting sqref="AO2">
    <cfRule type="expression" dxfId="13" priority="8">
      <formula>$BT2=1</formula>
    </cfRule>
  </conditionalFormatting>
  <conditionalFormatting sqref="BD2">
    <cfRule type="expression" dxfId="12" priority="2">
      <formula>$BU2="N"</formula>
    </cfRule>
    <cfRule type="expression" dxfId="11" priority="3">
      <formula>$BU2="R"</formula>
    </cfRule>
    <cfRule type="expression" dxfId="10" priority="4">
      <formula>$BU2="A"</formula>
    </cfRule>
    <cfRule type="expression" dxfId="9" priority="5">
      <formula>$BU2="L"</formula>
    </cfRule>
    <cfRule type="expression" dxfId="8" priority="6">
      <formula>$BU2="V"</formula>
    </cfRule>
    <cfRule type="expression" dxfId="7" priority="7">
      <formula>$BU2="G"</formula>
    </cfRule>
  </conditionalFormatting>
  <conditionalFormatting sqref="BQ2">
    <cfRule type="expression" dxfId="6" priority="17">
      <formula>AND(ISNUMBER($BN2),$BD2&lt;&gt;$BN2)</formula>
    </cfRule>
  </conditionalFormatting>
  <conditionalFormatting sqref="AV2">
    <cfRule type="expression" dxfId="5"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2" sqref="A2"/>
    </sheetView>
  </sheetViews>
  <sheetFormatPr baseColWidth="10" defaultRowHeight="15" x14ac:dyDescent="0.25"/>
  <sheetData>
    <row r="1" spans="1:1" x14ac:dyDescent="0.25">
      <c r="A1" t="s">
        <v>1636</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22-2-2017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1732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1636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1732</v>
      </c>
    </row>
    <row r="3" spans="1:4" x14ac:dyDescent="0.25">
      <c r="A3" t="s">
        <v>843</v>
      </c>
      <c r="B3" s="12">
        <f ca="1">TODAY()</f>
        <v>42788</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48"/>
  <sheetViews>
    <sheetView topLeftCell="BW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1732</v>
      </c>
      <c r="B2">
        <v>1</v>
      </c>
      <c r="C2" s="56">
        <v>42787</v>
      </c>
      <c r="D2" t="s">
        <v>1733</v>
      </c>
      <c r="E2" t="s">
        <v>1481</v>
      </c>
      <c r="G2" t="s">
        <v>1637</v>
      </c>
      <c r="H2" t="s">
        <v>1637</v>
      </c>
      <c r="I2" t="s">
        <v>1637</v>
      </c>
      <c r="J2" t="s">
        <v>1637</v>
      </c>
      <c r="K2" t="s">
        <v>1637</v>
      </c>
      <c r="L2">
        <v>0.04</v>
      </c>
      <c r="M2">
        <v>2</v>
      </c>
      <c r="N2">
        <v>0</v>
      </c>
      <c r="O2" s="56"/>
      <c r="P2" s="56"/>
      <c r="Q2">
        <v>13721</v>
      </c>
      <c r="R2">
        <v>6</v>
      </c>
      <c r="S2">
        <v>18</v>
      </c>
      <c r="T2">
        <v>8</v>
      </c>
      <c r="U2">
        <v>10</v>
      </c>
      <c r="V2">
        <v>1</v>
      </c>
      <c r="X2" t="s">
        <v>1734</v>
      </c>
      <c r="AA2">
        <v>4.8600000000000003</v>
      </c>
      <c r="AB2">
        <v>132</v>
      </c>
      <c r="AC2">
        <v>0</v>
      </c>
      <c r="AD2">
        <v>115.9</v>
      </c>
      <c r="AE2">
        <v>0</v>
      </c>
      <c r="AF2">
        <v>0</v>
      </c>
      <c r="AG2">
        <v>0</v>
      </c>
      <c r="AJ2" s="56"/>
      <c r="AK2" s="56"/>
      <c r="AL2" s="56"/>
      <c r="AP2" t="s">
        <v>1638</v>
      </c>
      <c r="AR2">
        <v>2000</v>
      </c>
      <c r="AS2" t="s">
        <v>1639</v>
      </c>
      <c r="AT2">
        <v>1</v>
      </c>
      <c r="AV2">
        <v>0</v>
      </c>
      <c r="AW2">
        <v>0</v>
      </c>
      <c r="AX2">
        <v>0</v>
      </c>
      <c r="AY2" t="s">
        <v>1640</v>
      </c>
      <c r="AZ2" t="s">
        <v>1640</v>
      </c>
      <c r="BA2">
        <v>0</v>
      </c>
      <c r="BD2">
        <v>1000000000</v>
      </c>
      <c r="BE2">
        <v>2253</v>
      </c>
      <c r="BF2">
        <v>0</v>
      </c>
      <c r="BG2">
        <v>0</v>
      </c>
      <c r="BH2">
        <v>0</v>
      </c>
      <c r="BI2">
        <v>0</v>
      </c>
      <c r="BJ2">
        <v>0</v>
      </c>
      <c r="BK2">
        <v>0</v>
      </c>
      <c r="BL2">
        <v>0</v>
      </c>
      <c r="BM2">
        <v>2253</v>
      </c>
      <c r="BN2">
        <v>0</v>
      </c>
      <c r="BO2">
        <v>0</v>
      </c>
      <c r="BP2">
        <v>0</v>
      </c>
      <c r="BR2">
        <v>0</v>
      </c>
      <c r="BS2">
        <v>0</v>
      </c>
      <c r="BX2">
        <v>0</v>
      </c>
      <c r="BY2">
        <v>0</v>
      </c>
      <c r="BZ2">
        <v>0</v>
      </c>
      <c r="CA2">
        <v>0</v>
      </c>
      <c r="CC2">
        <v>1</v>
      </c>
      <c r="CD2" s="56">
        <v>42593</v>
      </c>
      <c r="CE2" s="56">
        <v>42661</v>
      </c>
      <c r="CF2" s="56">
        <v>42661</v>
      </c>
      <c r="CG2" s="56">
        <v>42787</v>
      </c>
      <c r="CH2" s="56"/>
      <c r="CI2" s="56"/>
      <c r="CJ2">
        <v>0.13</v>
      </c>
      <c r="CK2">
        <v>0</v>
      </c>
      <c r="CL2">
        <v>0.01</v>
      </c>
      <c r="CM2">
        <v>0</v>
      </c>
      <c r="CN2">
        <v>0</v>
      </c>
      <c r="CO2">
        <v>0</v>
      </c>
      <c r="CP2">
        <v>0.72</v>
      </c>
      <c r="CQ2" t="s">
        <v>1732</v>
      </c>
      <c r="CR2" t="s">
        <v>1368</v>
      </c>
      <c r="CS2" t="s">
        <v>1735</v>
      </c>
      <c r="CT2" t="s">
        <v>1649</v>
      </c>
      <c r="CU2" t="s">
        <v>1736</v>
      </c>
      <c r="CV2" t="s">
        <v>1647</v>
      </c>
      <c r="DB2" t="s">
        <v>1648</v>
      </c>
      <c r="DE2" t="s">
        <v>1649</v>
      </c>
    </row>
    <row r="3" spans="1:110" x14ac:dyDescent="0.25">
      <c r="A3" t="s">
        <v>1732</v>
      </c>
      <c r="B3">
        <v>1</v>
      </c>
      <c r="C3" s="56">
        <v>42787</v>
      </c>
      <c r="D3" t="s">
        <v>1733</v>
      </c>
      <c r="E3" t="s">
        <v>1482</v>
      </c>
      <c r="G3" t="s">
        <v>1637</v>
      </c>
      <c r="H3" t="s">
        <v>1637</v>
      </c>
      <c r="I3" t="s">
        <v>1637</v>
      </c>
      <c r="J3" t="s">
        <v>1637</v>
      </c>
      <c r="K3" t="s">
        <v>1637</v>
      </c>
      <c r="L3">
        <v>0</v>
      </c>
      <c r="M3">
        <v>0</v>
      </c>
      <c r="N3">
        <v>0</v>
      </c>
      <c r="O3" s="56"/>
      <c r="P3" s="56"/>
      <c r="Q3">
        <v>13721</v>
      </c>
      <c r="R3">
        <v>6</v>
      </c>
      <c r="S3">
        <v>18</v>
      </c>
      <c r="T3">
        <v>8</v>
      </c>
      <c r="U3">
        <v>10</v>
      </c>
      <c r="V3">
        <v>1</v>
      </c>
      <c r="X3" t="s">
        <v>1737</v>
      </c>
      <c r="AA3">
        <v>1011.56</v>
      </c>
      <c r="AB3">
        <v>27313</v>
      </c>
      <c r="AC3">
        <v>0</v>
      </c>
      <c r="AD3">
        <v>0.25</v>
      </c>
      <c r="AE3">
        <v>0</v>
      </c>
      <c r="AF3">
        <v>0</v>
      </c>
      <c r="AG3">
        <v>0</v>
      </c>
      <c r="AJ3" s="56"/>
      <c r="AK3" s="56"/>
      <c r="AL3" s="56"/>
      <c r="AP3" t="s">
        <v>1638</v>
      </c>
      <c r="AS3" t="s">
        <v>1639</v>
      </c>
      <c r="AT3">
        <v>1</v>
      </c>
      <c r="AV3">
        <v>0</v>
      </c>
      <c r="AW3">
        <v>0</v>
      </c>
      <c r="AX3">
        <v>0</v>
      </c>
      <c r="AY3" t="s">
        <v>1640</v>
      </c>
      <c r="AZ3" t="s">
        <v>1640</v>
      </c>
      <c r="BA3">
        <v>0</v>
      </c>
      <c r="BD3">
        <v>1000000000</v>
      </c>
      <c r="BE3">
        <v>1000</v>
      </c>
      <c r="BF3">
        <v>0</v>
      </c>
      <c r="BG3">
        <v>0</v>
      </c>
      <c r="BH3">
        <v>0</v>
      </c>
      <c r="BI3">
        <v>0</v>
      </c>
      <c r="BJ3">
        <v>0</v>
      </c>
      <c r="BK3">
        <v>0</v>
      </c>
      <c r="BL3">
        <v>0</v>
      </c>
      <c r="BM3">
        <v>1000</v>
      </c>
      <c r="BN3">
        <v>0</v>
      </c>
      <c r="BO3">
        <v>0</v>
      </c>
      <c r="BP3">
        <v>0</v>
      </c>
      <c r="BR3">
        <v>0</v>
      </c>
      <c r="BS3">
        <v>0</v>
      </c>
      <c r="BX3">
        <v>0</v>
      </c>
      <c r="BY3">
        <v>0</v>
      </c>
      <c r="BZ3">
        <v>0</v>
      </c>
      <c r="CA3">
        <v>0</v>
      </c>
      <c r="CC3">
        <v>1</v>
      </c>
      <c r="CD3" s="56">
        <v>42761</v>
      </c>
      <c r="CE3" s="56">
        <v>42761</v>
      </c>
      <c r="CF3" s="56">
        <v>42761</v>
      </c>
      <c r="CG3" s="56">
        <v>42887</v>
      </c>
      <c r="CH3" s="56"/>
      <c r="CI3" s="56"/>
      <c r="CJ3">
        <v>0</v>
      </c>
      <c r="CK3">
        <v>0</v>
      </c>
      <c r="CL3">
        <v>0</v>
      </c>
      <c r="CM3">
        <v>0</v>
      </c>
      <c r="CN3">
        <v>0</v>
      </c>
      <c r="CO3">
        <v>0</v>
      </c>
      <c r="CP3">
        <v>0.17</v>
      </c>
      <c r="CQ3" t="s">
        <v>1732</v>
      </c>
      <c r="CR3" t="s">
        <v>1368</v>
      </c>
      <c r="CS3" t="s">
        <v>1735</v>
      </c>
      <c r="CT3" t="s">
        <v>1649</v>
      </c>
      <c r="CU3" t="s">
        <v>1736</v>
      </c>
      <c r="CV3" t="s">
        <v>1650</v>
      </c>
      <c r="DB3" t="s">
        <v>1648</v>
      </c>
      <c r="DE3" t="s">
        <v>1649</v>
      </c>
    </row>
    <row r="4" spans="1:110" x14ac:dyDescent="0.25">
      <c r="A4" t="s">
        <v>1732</v>
      </c>
      <c r="B4">
        <v>1</v>
      </c>
      <c r="C4" s="56">
        <v>42787</v>
      </c>
      <c r="D4" t="s">
        <v>1733</v>
      </c>
      <c r="E4" t="s">
        <v>1483</v>
      </c>
      <c r="G4" t="s">
        <v>1637</v>
      </c>
      <c r="H4" t="s">
        <v>1637</v>
      </c>
      <c r="I4" t="s">
        <v>1637</v>
      </c>
      <c r="J4" t="s">
        <v>1637</v>
      </c>
      <c r="K4" t="s">
        <v>1637</v>
      </c>
      <c r="L4">
        <v>7.0000000000000007E-2</v>
      </c>
      <c r="M4">
        <v>2</v>
      </c>
      <c r="N4">
        <v>0</v>
      </c>
      <c r="O4" s="56"/>
      <c r="P4" s="56"/>
      <c r="Q4">
        <v>13721</v>
      </c>
      <c r="R4">
        <v>6</v>
      </c>
      <c r="S4">
        <v>18</v>
      </c>
      <c r="T4">
        <v>8</v>
      </c>
      <c r="U4">
        <v>10</v>
      </c>
      <c r="V4">
        <v>1</v>
      </c>
      <c r="X4" t="s">
        <v>1734</v>
      </c>
      <c r="AA4">
        <v>108.32</v>
      </c>
      <c r="AB4">
        <v>2925</v>
      </c>
      <c r="AC4">
        <v>0</v>
      </c>
      <c r="AD4">
        <v>39.729999999999997</v>
      </c>
      <c r="AE4">
        <v>0</v>
      </c>
      <c r="AF4">
        <v>0</v>
      </c>
      <c r="AG4">
        <v>0</v>
      </c>
      <c r="AJ4" s="56"/>
      <c r="AK4" s="56"/>
      <c r="AL4" s="56"/>
      <c r="AP4" t="s">
        <v>1638</v>
      </c>
      <c r="AR4">
        <v>1000</v>
      </c>
      <c r="AS4" t="s">
        <v>1639</v>
      </c>
      <c r="AT4">
        <v>1</v>
      </c>
      <c r="AV4">
        <v>0</v>
      </c>
      <c r="AW4">
        <v>0</v>
      </c>
      <c r="AX4">
        <v>0</v>
      </c>
      <c r="AY4" t="s">
        <v>1640</v>
      </c>
      <c r="AZ4" t="s">
        <v>1640</v>
      </c>
      <c r="BA4">
        <v>0</v>
      </c>
      <c r="BD4">
        <v>1000000000</v>
      </c>
      <c r="BE4">
        <v>17213</v>
      </c>
      <c r="BF4">
        <v>0</v>
      </c>
      <c r="BG4">
        <v>0</v>
      </c>
      <c r="BH4">
        <v>0</v>
      </c>
      <c r="BI4">
        <v>0</v>
      </c>
      <c r="BJ4">
        <v>0</v>
      </c>
      <c r="BK4">
        <v>0</v>
      </c>
      <c r="BL4">
        <v>0</v>
      </c>
      <c r="BM4">
        <v>17213</v>
      </c>
      <c r="BN4">
        <v>0</v>
      </c>
      <c r="BO4">
        <v>0</v>
      </c>
      <c r="BP4">
        <v>0</v>
      </c>
      <c r="BR4">
        <v>0</v>
      </c>
      <c r="BS4">
        <v>0</v>
      </c>
      <c r="BX4">
        <v>0</v>
      </c>
      <c r="BY4">
        <v>0</v>
      </c>
      <c r="BZ4">
        <v>0</v>
      </c>
      <c r="CA4">
        <v>0</v>
      </c>
      <c r="CC4">
        <v>1</v>
      </c>
      <c r="CD4" s="56">
        <v>42593</v>
      </c>
      <c r="CE4" s="56">
        <v>42661</v>
      </c>
      <c r="CF4" s="56">
        <v>42661</v>
      </c>
      <c r="CG4" s="56">
        <v>42787</v>
      </c>
      <c r="CH4" s="56"/>
      <c r="CI4" s="56"/>
      <c r="CJ4">
        <v>0.13</v>
      </c>
      <c r="CK4">
        <v>0</v>
      </c>
      <c r="CL4">
        <v>0.01</v>
      </c>
      <c r="CM4">
        <v>0</v>
      </c>
      <c r="CN4">
        <v>0</v>
      </c>
      <c r="CO4">
        <v>0</v>
      </c>
      <c r="CP4">
        <v>0.72</v>
      </c>
      <c r="CQ4" t="s">
        <v>1732</v>
      </c>
      <c r="CR4" t="s">
        <v>1368</v>
      </c>
      <c r="CS4" t="s">
        <v>1735</v>
      </c>
      <c r="CT4" t="s">
        <v>1649</v>
      </c>
      <c r="CU4" t="s">
        <v>1736</v>
      </c>
      <c r="CV4" t="s">
        <v>1651</v>
      </c>
      <c r="DB4" t="s">
        <v>1648</v>
      </c>
      <c r="DE4" t="s">
        <v>1649</v>
      </c>
    </row>
    <row r="5" spans="1:110" x14ac:dyDescent="0.25">
      <c r="A5" t="s">
        <v>1732</v>
      </c>
      <c r="B5">
        <v>1</v>
      </c>
      <c r="C5" s="56">
        <v>42787</v>
      </c>
      <c r="D5" t="s">
        <v>1733</v>
      </c>
      <c r="E5" t="s">
        <v>1484</v>
      </c>
      <c r="G5" t="s">
        <v>1637</v>
      </c>
      <c r="H5" t="s">
        <v>1637</v>
      </c>
      <c r="I5" t="s">
        <v>1637</v>
      </c>
      <c r="J5" t="s">
        <v>1637</v>
      </c>
      <c r="K5" t="s">
        <v>1637</v>
      </c>
      <c r="L5">
        <v>0</v>
      </c>
      <c r="M5">
        <v>0</v>
      </c>
      <c r="N5">
        <v>0</v>
      </c>
      <c r="O5" s="56"/>
      <c r="P5" s="56"/>
      <c r="Q5">
        <v>13721</v>
      </c>
      <c r="R5">
        <v>6</v>
      </c>
      <c r="S5">
        <v>18</v>
      </c>
      <c r="T5">
        <v>8</v>
      </c>
      <c r="U5">
        <v>10</v>
      </c>
      <c r="V5">
        <v>1</v>
      </c>
      <c r="X5" t="s">
        <v>1737</v>
      </c>
      <c r="AA5">
        <v>606.94000000000005</v>
      </c>
      <c r="AB5">
        <v>16388</v>
      </c>
      <c r="AC5">
        <v>0</v>
      </c>
      <c r="AD5">
        <v>0</v>
      </c>
      <c r="AE5">
        <v>0</v>
      </c>
      <c r="AF5">
        <v>0</v>
      </c>
      <c r="AG5">
        <v>0</v>
      </c>
      <c r="AJ5" s="56"/>
      <c r="AK5" s="56"/>
      <c r="AL5" s="56"/>
      <c r="AP5" t="s">
        <v>1638</v>
      </c>
      <c r="AS5" t="s">
        <v>1639</v>
      </c>
      <c r="AT5">
        <v>1</v>
      </c>
      <c r="AV5">
        <v>0</v>
      </c>
      <c r="AW5">
        <v>0</v>
      </c>
      <c r="AX5">
        <v>0</v>
      </c>
      <c r="AY5" t="s">
        <v>1640</v>
      </c>
      <c r="AZ5" t="s">
        <v>1640</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6">
        <v>42761</v>
      </c>
      <c r="CE5" s="56">
        <v>42761</v>
      </c>
      <c r="CF5" s="56">
        <v>42761</v>
      </c>
      <c r="CG5" s="56">
        <v>42887</v>
      </c>
      <c r="CH5" s="56"/>
      <c r="CI5" s="56"/>
      <c r="CJ5">
        <v>1</v>
      </c>
      <c r="CK5">
        <v>0</v>
      </c>
      <c r="CL5">
        <v>0.17</v>
      </c>
      <c r="CM5">
        <v>0</v>
      </c>
      <c r="CN5">
        <v>0</v>
      </c>
      <c r="CO5">
        <v>0</v>
      </c>
      <c r="CP5">
        <v>0</v>
      </c>
      <c r="CQ5" t="s">
        <v>1732</v>
      </c>
      <c r="CR5" t="s">
        <v>1368</v>
      </c>
      <c r="CS5" t="s">
        <v>1735</v>
      </c>
      <c r="CT5" t="s">
        <v>1649</v>
      </c>
      <c r="CU5" t="s">
        <v>1736</v>
      </c>
      <c r="CV5" t="s">
        <v>1652</v>
      </c>
      <c r="DB5" t="s">
        <v>1648</v>
      </c>
      <c r="DE5" t="s">
        <v>1649</v>
      </c>
    </row>
    <row r="6" spans="1:110" x14ac:dyDescent="0.25">
      <c r="A6" t="s">
        <v>1732</v>
      </c>
      <c r="B6">
        <v>1</v>
      </c>
      <c r="C6" s="56">
        <v>42787</v>
      </c>
      <c r="D6" t="s">
        <v>1733</v>
      </c>
      <c r="E6" t="s">
        <v>1485</v>
      </c>
      <c r="G6" t="s">
        <v>1637</v>
      </c>
      <c r="H6" t="s">
        <v>1637</v>
      </c>
      <c r="I6" t="s">
        <v>1637</v>
      </c>
      <c r="J6" t="s">
        <v>1637</v>
      </c>
      <c r="K6" t="s">
        <v>1637</v>
      </c>
      <c r="L6">
        <v>0.05</v>
      </c>
      <c r="M6">
        <v>2</v>
      </c>
      <c r="N6">
        <v>0</v>
      </c>
      <c r="O6" s="56"/>
      <c r="P6" s="56"/>
      <c r="Q6">
        <v>13721</v>
      </c>
      <c r="R6">
        <v>6</v>
      </c>
      <c r="S6">
        <v>18</v>
      </c>
      <c r="T6">
        <v>8</v>
      </c>
      <c r="U6">
        <v>10</v>
      </c>
      <c r="V6">
        <v>1</v>
      </c>
      <c r="X6" t="s">
        <v>1734</v>
      </c>
      <c r="AA6">
        <v>121.39</v>
      </c>
      <c r="AB6">
        <v>3278</v>
      </c>
      <c r="AC6">
        <v>0</v>
      </c>
      <c r="AD6">
        <v>169.66</v>
      </c>
      <c r="AE6">
        <v>0</v>
      </c>
      <c r="AF6">
        <v>0</v>
      </c>
      <c r="AG6">
        <v>0</v>
      </c>
      <c r="AJ6" s="56"/>
      <c r="AK6" s="56"/>
      <c r="AL6" s="56"/>
      <c r="AP6" t="s">
        <v>1638</v>
      </c>
      <c r="AR6">
        <v>1000</v>
      </c>
      <c r="AS6" t="s">
        <v>1639</v>
      </c>
      <c r="AT6">
        <v>1</v>
      </c>
      <c r="AV6">
        <v>0</v>
      </c>
      <c r="AW6">
        <v>0</v>
      </c>
      <c r="AX6">
        <v>0</v>
      </c>
      <c r="AY6" t="s">
        <v>1640</v>
      </c>
      <c r="AZ6" t="s">
        <v>1640</v>
      </c>
      <c r="BA6">
        <v>0</v>
      </c>
      <c r="BD6">
        <v>1000000000</v>
      </c>
      <c r="BE6">
        <v>82379</v>
      </c>
      <c r="BF6">
        <v>0</v>
      </c>
      <c r="BG6">
        <v>0</v>
      </c>
      <c r="BH6">
        <v>0</v>
      </c>
      <c r="BI6">
        <v>0</v>
      </c>
      <c r="BJ6">
        <v>0</v>
      </c>
      <c r="BK6">
        <v>0</v>
      </c>
      <c r="BL6">
        <v>0</v>
      </c>
      <c r="BM6">
        <v>82379</v>
      </c>
      <c r="BN6">
        <v>0</v>
      </c>
      <c r="BO6">
        <v>0</v>
      </c>
      <c r="BP6">
        <v>0</v>
      </c>
      <c r="BR6">
        <v>0</v>
      </c>
      <c r="BS6">
        <v>0</v>
      </c>
      <c r="BX6">
        <v>0</v>
      </c>
      <c r="BY6">
        <v>0</v>
      </c>
      <c r="BZ6">
        <v>0</v>
      </c>
      <c r="CA6">
        <v>0</v>
      </c>
      <c r="CC6">
        <v>1</v>
      </c>
      <c r="CD6" s="56">
        <v>42593</v>
      </c>
      <c r="CE6" s="56">
        <v>42661</v>
      </c>
      <c r="CF6" s="56">
        <v>42661</v>
      </c>
      <c r="CG6" s="56">
        <v>42787</v>
      </c>
      <c r="CH6" s="56"/>
      <c r="CI6" s="56"/>
      <c r="CJ6">
        <v>0.12</v>
      </c>
      <c r="CK6">
        <v>0</v>
      </c>
      <c r="CL6">
        <v>0.01</v>
      </c>
      <c r="CM6">
        <v>0</v>
      </c>
      <c r="CN6">
        <v>0</v>
      </c>
      <c r="CO6">
        <v>0</v>
      </c>
      <c r="CP6">
        <v>0.72</v>
      </c>
      <c r="CQ6" t="s">
        <v>1732</v>
      </c>
      <c r="CR6" t="s">
        <v>1368</v>
      </c>
      <c r="CS6" t="s">
        <v>1735</v>
      </c>
      <c r="CT6" t="s">
        <v>1649</v>
      </c>
      <c r="CU6" t="s">
        <v>1736</v>
      </c>
      <c r="CV6" t="s">
        <v>1653</v>
      </c>
      <c r="DB6" t="s">
        <v>1648</v>
      </c>
      <c r="DE6" t="s">
        <v>1649</v>
      </c>
    </row>
    <row r="7" spans="1:110" x14ac:dyDescent="0.25">
      <c r="A7" t="s">
        <v>1732</v>
      </c>
      <c r="B7">
        <v>1</v>
      </c>
      <c r="C7" s="56">
        <v>42787</v>
      </c>
      <c r="D7" t="s">
        <v>1733</v>
      </c>
      <c r="E7" t="s">
        <v>1486</v>
      </c>
      <c r="G7" t="s">
        <v>1637</v>
      </c>
      <c r="H7" t="s">
        <v>1637</v>
      </c>
      <c r="I7" t="s">
        <v>1637</v>
      </c>
      <c r="J7" t="s">
        <v>1637</v>
      </c>
      <c r="K7" t="s">
        <v>1637</v>
      </c>
      <c r="L7">
        <v>0.26</v>
      </c>
      <c r="M7">
        <v>2</v>
      </c>
      <c r="N7">
        <v>0</v>
      </c>
      <c r="O7" s="56"/>
      <c r="P7" s="56"/>
      <c r="Q7">
        <v>13721</v>
      </c>
      <c r="R7">
        <v>6</v>
      </c>
      <c r="S7">
        <v>18</v>
      </c>
      <c r="T7">
        <v>8</v>
      </c>
      <c r="U7">
        <v>10</v>
      </c>
      <c r="V7">
        <v>1</v>
      </c>
      <c r="X7" t="s">
        <v>1734</v>
      </c>
      <c r="AA7">
        <v>190.17</v>
      </c>
      <c r="AB7">
        <v>5135</v>
      </c>
      <c r="AC7">
        <v>0</v>
      </c>
      <c r="AD7">
        <v>88.98</v>
      </c>
      <c r="AE7">
        <v>0</v>
      </c>
      <c r="AF7">
        <v>0</v>
      </c>
      <c r="AG7">
        <v>0</v>
      </c>
      <c r="AJ7" s="56"/>
      <c r="AK7" s="56"/>
      <c r="AL7" s="56"/>
      <c r="AP7" t="s">
        <v>1638</v>
      </c>
      <c r="AR7">
        <v>500</v>
      </c>
      <c r="AS7" t="s">
        <v>1639</v>
      </c>
      <c r="AT7">
        <v>1</v>
      </c>
      <c r="AV7">
        <v>0</v>
      </c>
      <c r="AW7">
        <v>0</v>
      </c>
      <c r="AX7">
        <v>0</v>
      </c>
      <c r="AY7" t="s">
        <v>1640</v>
      </c>
      <c r="AZ7" t="s">
        <v>1640</v>
      </c>
      <c r="BA7">
        <v>0</v>
      </c>
      <c r="BD7">
        <v>1000000000</v>
      </c>
      <c r="BE7">
        <v>67686</v>
      </c>
      <c r="BF7">
        <v>0</v>
      </c>
      <c r="BG7">
        <v>0</v>
      </c>
      <c r="BH7">
        <v>0</v>
      </c>
      <c r="BI7">
        <v>0</v>
      </c>
      <c r="BJ7">
        <v>0</v>
      </c>
      <c r="BK7">
        <v>0</v>
      </c>
      <c r="BL7">
        <v>0</v>
      </c>
      <c r="BM7">
        <v>67686</v>
      </c>
      <c r="BN7">
        <v>0</v>
      </c>
      <c r="BO7">
        <v>0</v>
      </c>
      <c r="BP7">
        <v>0</v>
      </c>
      <c r="BR7">
        <v>0</v>
      </c>
      <c r="BS7">
        <v>0</v>
      </c>
      <c r="BX7">
        <v>0</v>
      </c>
      <c r="BY7">
        <v>0</v>
      </c>
      <c r="BZ7">
        <v>0</v>
      </c>
      <c r="CA7">
        <v>0</v>
      </c>
      <c r="CC7">
        <v>1</v>
      </c>
      <c r="CD7" s="56">
        <v>42593</v>
      </c>
      <c r="CE7" s="56">
        <v>42661</v>
      </c>
      <c r="CF7" s="56">
        <v>42661</v>
      </c>
      <c r="CG7" s="56">
        <v>42787</v>
      </c>
      <c r="CH7" s="56"/>
      <c r="CI7" s="56"/>
      <c r="CJ7">
        <v>0.12</v>
      </c>
      <c r="CK7">
        <v>0</v>
      </c>
      <c r="CL7">
        <v>0.01</v>
      </c>
      <c r="CM7">
        <v>0</v>
      </c>
      <c r="CN7">
        <v>0</v>
      </c>
      <c r="CO7">
        <v>0</v>
      </c>
      <c r="CP7">
        <v>0.72</v>
      </c>
      <c r="CQ7" t="s">
        <v>1732</v>
      </c>
      <c r="CR7" t="s">
        <v>1368</v>
      </c>
      <c r="CS7" t="s">
        <v>1735</v>
      </c>
      <c r="CT7" t="s">
        <v>1649</v>
      </c>
      <c r="CU7" t="s">
        <v>1736</v>
      </c>
      <c r="CV7" t="s">
        <v>1654</v>
      </c>
      <c r="DB7" t="s">
        <v>1648</v>
      </c>
      <c r="DE7" t="s">
        <v>1649</v>
      </c>
    </row>
    <row r="8" spans="1:110" x14ac:dyDescent="0.25">
      <c r="A8" t="s">
        <v>1732</v>
      </c>
      <c r="B8">
        <v>1</v>
      </c>
      <c r="C8" s="56">
        <v>42787</v>
      </c>
      <c r="D8" t="s">
        <v>1733</v>
      </c>
      <c r="E8" t="s">
        <v>1655</v>
      </c>
      <c r="G8" t="s">
        <v>1637</v>
      </c>
      <c r="H8" t="s">
        <v>1637</v>
      </c>
      <c r="I8" t="s">
        <v>1637</v>
      </c>
      <c r="J8" t="s">
        <v>1637</v>
      </c>
      <c r="K8" t="s">
        <v>1637</v>
      </c>
      <c r="L8">
        <v>0.38</v>
      </c>
      <c r="M8">
        <v>2</v>
      </c>
      <c r="N8">
        <v>0</v>
      </c>
      <c r="O8" s="56"/>
      <c r="P8" s="56"/>
      <c r="Q8">
        <v>13721</v>
      </c>
      <c r="R8">
        <v>6</v>
      </c>
      <c r="S8">
        <v>18</v>
      </c>
      <c r="T8">
        <v>8</v>
      </c>
      <c r="U8">
        <v>10</v>
      </c>
      <c r="V8">
        <v>1</v>
      </c>
      <c r="X8" t="s">
        <v>1734</v>
      </c>
      <c r="AA8">
        <v>0</v>
      </c>
      <c r="AB8">
        <v>0</v>
      </c>
      <c r="AC8">
        <v>0</v>
      </c>
      <c r="AD8">
        <v>0</v>
      </c>
      <c r="AE8">
        <v>0</v>
      </c>
      <c r="AF8">
        <v>0</v>
      </c>
      <c r="AG8">
        <v>0</v>
      </c>
      <c r="AJ8" s="56"/>
      <c r="AK8" s="56"/>
      <c r="AL8" s="56"/>
      <c r="AP8" t="s">
        <v>1638</v>
      </c>
      <c r="AR8">
        <v>500</v>
      </c>
      <c r="AS8" t="s">
        <v>1639</v>
      </c>
      <c r="AT8">
        <v>1</v>
      </c>
      <c r="AV8">
        <v>0</v>
      </c>
      <c r="AW8">
        <v>0</v>
      </c>
      <c r="AX8">
        <v>0</v>
      </c>
      <c r="AY8" t="s">
        <v>1640</v>
      </c>
      <c r="AZ8" t="s">
        <v>1640</v>
      </c>
      <c r="BA8">
        <v>0</v>
      </c>
      <c r="BD8">
        <v>1000000000</v>
      </c>
      <c r="BE8">
        <v>10273</v>
      </c>
      <c r="BF8">
        <v>0</v>
      </c>
      <c r="BG8">
        <v>0</v>
      </c>
      <c r="BH8">
        <v>0</v>
      </c>
      <c r="BI8">
        <v>0</v>
      </c>
      <c r="BJ8">
        <v>0</v>
      </c>
      <c r="BK8">
        <v>0</v>
      </c>
      <c r="BL8">
        <v>0</v>
      </c>
      <c r="BM8">
        <v>10273</v>
      </c>
      <c r="BN8">
        <v>0</v>
      </c>
      <c r="BO8">
        <v>0</v>
      </c>
      <c r="BP8">
        <v>0</v>
      </c>
      <c r="BR8">
        <v>0</v>
      </c>
      <c r="BS8">
        <v>0</v>
      </c>
      <c r="BX8">
        <v>0</v>
      </c>
      <c r="BY8">
        <v>0</v>
      </c>
      <c r="BZ8">
        <v>0</v>
      </c>
      <c r="CA8">
        <v>0</v>
      </c>
      <c r="CC8">
        <v>1</v>
      </c>
      <c r="CD8" s="56">
        <v>42593</v>
      </c>
      <c r="CE8" s="56">
        <v>42661</v>
      </c>
      <c r="CF8" s="56">
        <v>42661</v>
      </c>
      <c r="CG8" s="56">
        <v>42787</v>
      </c>
      <c r="CH8" s="56"/>
      <c r="CI8" s="56"/>
      <c r="CJ8">
        <v>0.12</v>
      </c>
      <c r="CK8">
        <v>0</v>
      </c>
      <c r="CL8">
        <v>0.01</v>
      </c>
      <c r="CM8">
        <v>0</v>
      </c>
      <c r="CN8">
        <v>0</v>
      </c>
      <c r="CO8">
        <v>0</v>
      </c>
      <c r="CP8">
        <v>0.72</v>
      </c>
      <c r="CQ8" t="s">
        <v>1732</v>
      </c>
      <c r="CR8" t="s">
        <v>1368</v>
      </c>
      <c r="CS8" t="s">
        <v>1735</v>
      </c>
      <c r="CT8" t="s">
        <v>1649</v>
      </c>
      <c r="CU8" t="s">
        <v>1736</v>
      </c>
      <c r="CV8" t="s">
        <v>1656</v>
      </c>
      <c r="DB8" t="s">
        <v>1648</v>
      </c>
      <c r="DE8" t="s">
        <v>1649</v>
      </c>
    </row>
    <row r="9" spans="1:110" x14ac:dyDescent="0.25">
      <c r="A9" t="s">
        <v>1732</v>
      </c>
      <c r="B9">
        <v>1</v>
      </c>
      <c r="C9" s="56">
        <v>42787</v>
      </c>
      <c r="D9" t="s">
        <v>1733</v>
      </c>
      <c r="E9" t="s">
        <v>1657</v>
      </c>
      <c r="G9" t="s">
        <v>1637</v>
      </c>
      <c r="H9" t="s">
        <v>1637</v>
      </c>
      <c r="I9" t="s">
        <v>1637</v>
      </c>
      <c r="J9" t="s">
        <v>1637</v>
      </c>
      <c r="K9" t="s">
        <v>1637</v>
      </c>
      <c r="L9">
        <v>1</v>
      </c>
      <c r="M9">
        <v>2</v>
      </c>
      <c r="N9">
        <v>0</v>
      </c>
      <c r="O9" s="56"/>
      <c r="P9" s="56"/>
      <c r="Q9">
        <v>13721</v>
      </c>
      <c r="R9">
        <v>6</v>
      </c>
      <c r="S9">
        <v>18</v>
      </c>
      <c r="T9">
        <v>8</v>
      </c>
      <c r="U9">
        <v>10</v>
      </c>
      <c r="V9">
        <v>1</v>
      </c>
      <c r="X9" t="s">
        <v>1734</v>
      </c>
      <c r="AA9">
        <v>0</v>
      </c>
      <c r="AB9">
        <v>0</v>
      </c>
      <c r="AC9">
        <v>0</v>
      </c>
      <c r="AD9">
        <v>0</v>
      </c>
      <c r="AE9">
        <v>0</v>
      </c>
      <c r="AF9">
        <v>0</v>
      </c>
      <c r="AG9">
        <v>0</v>
      </c>
      <c r="AJ9" s="56"/>
      <c r="AK9" s="56"/>
      <c r="AL9" s="56"/>
      <c r="AP9" t="s">
        <v>1638</v>
      </c>
      <c r="AR9">
        <v>500</v>
      </c>
      <c r="AS9" t="s">
        <v>1639</v>
      </c>
      <c r="AT9">
        <v>1</v>
      </c>
      <c r="AV9">
        <v>0</v>
      </c>
      <c r="AW9">
        <v>0</v>
      </c>
      <c r="AX9">
        <v>0</v>
      </c>
      <c r="AY9" t="s">
        <v>1640</v>
      </c>
      <c r="AZ9" t="s">
        <v>1640</v>
      </c>
      <c r="BA9">
        <v>0</v>
      </c>
      <c r="BD9">
        <v>1000000000</v>
      </c>
      <c r="BE9">
        <v>0</v>
      </c>
      <c r="BF9">
        <v>0</v>
      </c>
      <c r="BG9">
        <v>0</v>
      </c>
      <c r="BH9">
        <v>0</v>
      </c>
      <c r="BI9">
        <v>0</v>
      </c>
      <c r="BJ9">
        <v>0</v>
      </c>
      <c r="BK9">
        <v>0</v>
      </c>
      <c r="BL9">
        <v>0</v>
      </c>
      <c r="BM9">
        <v>0</v>
      </c>
      <c r="BN9">
        <v>0</v>
      </c>
      <c r="BO9">
        <v>0</v>
      </c>
      <c r="BP9">
        <v>0</v>
      </c>
      <c r="BR9">
        <v>0</v>
      </c>
      <c r="BS9">
        <v>0</v>
      </c>
      <c r="BX9">
        <v>0</v>
      </c>
      <c r="BY9">
        <v>0</v>
      </c>
      <c r="BZ9">
        <v>0</v>
      </c>
      <c r="CA9">
        <v>0</v>
      </c>
      <c r="CC9">
        <v>1</v>
      </c>
      <c r="CD9" s="56">
        <v>42593</v>
      </c>
      <c r="CE9" s="56">
        <v>42661</v>
      </c>
      <c r="CF9" s="56">
        <v>42661</v>
      </c>
      <c r="CG9" s="56">
        <v>42787</v>
      </c>
      <c r="CH9" s="56"/>
      <c r="CI9" s="56"/>
      <c r="CJ9">
        <v>1</v>
      </c>
      <c r="CK9">
        <v>0</v>
      </c>
      <c r="CL9">
        <v>0.73</v>
      </c>
      <c r="CM9">
        <v>0</v>
      </c>
      <c r="CN9">
        <v>0</v>
      </c>
      <c r="CO9">
        <v>0</v>
      </c>
      <c r="CP9">
        <v>0</v>
      </c>
      <c r="CQ9" t="s">
        <v>1732</v>
      </c>
      <c r="CR9" t="s">
        <v>1368</v>
      </c>
      <c r="CS9" t="s">
        <v>1735</v>
      </c>
      <c r="CT9" t="s">
        <v>1649</v>
      </c>
      <c r="CU9" t="s">
        <v>1736</v>
      </c>
      <c r="CV9" t="s">
        <v>1658</v>
      </c>
      <c r="DB9" t="s">
        <v>1648</v>
      </c>
      <c r="DE9" t="s">
        <v>1649</v>
      </c>
    </row>
    <row r="10" spans="1:110" x14ac:dyDescent="0.25">
      <c r="A10" t="s">
        <v>1732</v>
      </c>
      <c r="B10">
        <v>1</v>
      </c>
      <c r="C10" s="56">
        <v>42787</v>
      </c>
      <c r="D10" t="s">
        <v>1733</v>
      </c>
      <c r="E10" t="s">
        <v>1487</v>
      </c>
      <c r="G10" t="s">
        <v>1637</v>
      </c>
      <c r="H10" t="s">
        <v>1637</v>
      </c>
      <c r="I10" t="s">
        <v>1637</v>
      </c>
      <c r="J10" t="s">
        <v>1637</v>
      </c>
      <c r="K10" t="s">
        <v>1637</v>
      </c>
      <c r="L10">
        <v>0</v>
      </c>
      <c r="M10">
        <v>0</v>
      </c>
      <c r="N10">
        <v>0</v>
      </c>
      <c r="O10" s="56"/>
      <c r="P10" s="56"/>
      <c r="Q10">
        <v>13721</v>
      </c>
      <c r="R10">
        <v>6</v>
      </c>
      <c r="S10">
        <v>18</v>
      </c>
      <c r="T10">
        <v>8</v>
      </c>
      <c r="U10">
        <v>10</v>
      </c>
      <c r="V10">
        <v>1</v>
      </c>
      <c r="X10" t="s">
        <v>1737</v>
      </c>
      <c r="AA10">
        <v>404.62</v>
      </c>
      <c r="AB10">
        <v>10925</v>
      </c>
      <c r="AC10">
        <v>0</v>
      </c>
      <c r="AD10">
        <v>0</v>
      </c>
      <c r="AE10">
        <v>0</v>
      </c>
      <c r="AF10">
        <v>0</v>
      </c>
      <c r="AG10">
        <v>0</v>
      </c>
      <c r="AJ10" s="56"/>
      <c r="AK10" s="56"/>
      <c r="AL10" s="56"/>
      <c r="AP10" t="s">
        <v>1638</v>
      </c>
      <c r="AS10" t="s">
        <v>1639</v>
      </c>
      <c r="AT10">
        <v>1</v>
      </c>
      <c r="AV10">
        <v>0</v>
      </c>
      <c r="AW10">
        <v>0</v>
      </c>
      <c r="AX10">
        <v>0</v>
      </c>
      <c r="AY10" t="s">
        <v>1640</v>
      </c>
      <c r="AZ10" t="s">
        <v>1640</v>
      </c>
      <c r="BA10">
        <v>0</v>
      </c>
      <c r="BD10">
        <v>1000000000</v>
      </c>
      <c r="BE10">
        <v>0</v>
      </c>
      <c r="BF10">
        <v>0</v>
      </c>
      <c r="BG10">
        <v>0</v>
      </c>
      <c r="BH10">
        <v>0</v>
      </c>
      <c r="BI10">
        <v>0</v>
      </c>
      <c r="BJ10">
        <v>0</v>
      </c>
      <c r="BK10">
        <v>0</v>
      </c>
      <c r="BL10">
        <v>0</v>
      </c>
      <c r="BM10">
        <v>0</v>
      </c>
      <c r="BN10">
        <v>0</v>
      </c>
      <c r="BO10">
        <v>0</v>
      </c>
      <c r="BP10">
        <v>0</v>
      </c>
      <c r="BR10">
        <v>0</v>
      </c>
      <c r="BS10">
        <v>0</v>
      </c>
      <c r="BX10">
        <v>0</v>
      </c>
      <c r="BY10">
        <v>0</v>
      </c>
      <c r="BZ10">
        <v>0</v>
      </c>
      <c r="CA10">
        <v>0</v>
      </c>
      <c r="CC10">
        <v>1</v>
      </c>
      <c r="CD10" s="56">
        <v>42761</v>
      </c>
      <c r="CE10" s="56">
        <v>42761</v>
      </c>
      <c r="CF10" s="56">
        <v>42761</v>
      </c>
      <c r="CG10" s="56">
        <v>42887</v>
      </c>
      <c r="CH10" s="56"/>
      <c r="CI10" s="56"/>
      <c r="CJ10">
        <v>1</v>
      </c>
      <c r="CK10">
        <v>0</v>
      </c>
      <c r="CL10">
        <v>0.17</v>
      </c>
      <c r="CM10">
        <v>0</v>
      </c>
      <c r="CN10">
        <v>0</v>
      </c>
      <c r="CO10">
        <v>0</v>
      </c>
      <c r="CP10">
        <v>0</v>
      </c>
      <c r="CQ10" t="s">
        <v>1732</v>
      </c>
      <c r="CR10" t="s">
        <v>1368</v>
      </c>
      <c r="CS10" t="s">
        <v>1735</v>
      </c>
      <c r="CT10" t="s">
        <v>1649</v>
      </c>
      <c r="CU10" t="s">
        <v>1736</v>
      </c>
      <c r="CV10" t="s">
        <v>1659</v>
      </c>
      <c r="DB10" t="s">
        <v>1648</v>
      </c>
      <c r="DE10" t="s">
        <v>1649</v>
      </c>
    </row>
    <row r="11" spans="1:110" x14ac:dyDescent="0.25">
      <c r="A11" t="s">
        <v>1732</v>
      </c>
      <c r="B11">
        <v>1</v>
      </c>
      <c r="C11" s="56">
        <v>42787</v>
      </c>
      <c r="D11" t="s">
        <v>1733</v>
      </c>
      <c r="E11" t="s">
        <v>1488</v>
      </c>
      <c r="G11" t="s">
        <v>1637</v>
      </c>
      <c r="H11" t="s">
        <v>1637</v>
      </c>
      <c r="I11" t="s">
        <v>1637</v>
      </c>
      <c r="J11" t="s">
        <v>1637</v>
      </c>
      <c r="K11" t="s">
        <v>1637</v>
      </c>
      <c r="L11">
        <v>0.28999999999999998</v>
      </c>
      <c r="M11">
        <v>0.51</v>
      </c>
      <c r="N11">
        <v>0</v>
      </c>
      <c r="O11" s="56"/>
      <c r="P11" s="56"/>
      <c r="Q11">
        <v>13721</v>
      </c>
      <c r="R11">
        <v>6</v>
      </c>
      <c r="S11">
        <v>18</v>
      </c>
      <c r="T11">
        <v>8</v>
      </c>
      <c r="U11">
        <v>10</v>
      </c>
      <c r="V11">
        <v>1</v>
      </c>
      <c r="X11" t="s">
        <v>1734</v>
      </c>
      <c r="AA11">
        <v>48.23</v>
      </c>
      <c r="AB11">
        <v>1303</v>
      </c>
      <c r="AC11">
        <v>0</v>
      </c>
      <c r="AD11">
        <v>1.93</v>
      </c>
      <c r="AE11">
        <v>0</v>
      </c>
      <c r="AF11">
        <v>0</v>
      </c>
      <c r="AG11">
        <v>0</v>
      </c>
      <c r="AJ11" s="56"/>
      <c r="AK11" s="56"/>
      <c r="AL11" s="56"/>
      <c r="AP11" t="s">
        <v>1638</v>
      </c>
      <c r="AR11">
        <v>500</v>
      </c>
      <c r="AS11" t="s">
        <v>1639</v>
      </c>
      <c r="AT11">
        <v>1</v>
      </c>
      <c r="AV11">
        <v>0</v>
      </c>
      <c r="AW11">
        <v>0</v>
      </c>
      <c r="AX11">
        <v>0</v>
      </c>
      <c r="AY11" t="s">
        <v>1640</v>
      </c>
      <c r="AZ11" t="s">
        <v>1640</v>
      </c>
      <c r="BA11">
        <v>0</v>
      </c>
      <c r="BD11">
        <v>1000000000</v>
      </c>
      <c r="BE11">
        <v>373</v>
      </c>
      <c r="BF11">
        <v>0</v>
      </c>
      <c r="BG11">
        <v>0</v>
      </c>
      <c r="BH11">
        <v>0</v>
      </c>
      <c r="BI11">
        <v>0</v>
      </c>
      <c r="BJ11">
        <v>0</v>
      </c>
      <c r="BK11">
        <v>0</v>
      </c>
      <c r="BL11">
        <v>0</v>
      </c>
      <c r="BM11">
        <v>373</v>
      </c>
      <c r="BN11">
        <v>0</v>
      </c>
      <c r="BO11">
        <v>0</v>
      </c>
      <c r="BP11">
        <v>0</v>
      </c>
      <c r="BR11">
        <v>0</v>
      </c>
      <c r="BS11">
        <v>0</v>
      </c>
      <c r="BX11">
        <v>0</v>
      </c>
      <c r="BY11">
        <v>0</v>
      </c>
      <c r="BZ11">
        <v>0</v>
      </c>
      <c r="CA11">
        <v>0</v>
      </c>
      <c r="CC11">
        <v>1</v>
      </c>
      <c r="CD11" s="56">
        <v>42593</v>
      </c>
      <c r="CE11" s="56">
        <v>42661</v>
      </c>
      <c r="CF11" s="56">
        <v>42661</v>
      </c>
      <c r="CG11" s="56">
        <v>42787</v>
      </c>
      <c r="CH11" s="56"/>
      <c r="CI11" s="56"/>
      <c r="CJ11">
        <v>0.35</v>
      </c>
      <c r="CK11">
        <v>0</v>
      </c>
      <c r="CL11">
        <v>0.01</v>
      </c>
      <c r="CM11">
        <v>0</v>
      </c>
      <c r="CN11">
        <v>0</v>
      </c>
      <c r="CO11">
        <v>0</v>
      </c>
      <c r="CP11">
        <v>0.72</v>
      </c>
      <c r="CQ11" t="s">
        <v>1732</v>
      </c>
      <c r="CR11" t="s">
        <v>1368</v>
      </c>
      <c r="CS11" t="s">
        <v>1735</v>
      </c>
      <c r="CT11" t="s">
        <v>1649</v>
      </c>
      <c r="CU11" t="s">
        <v>1736</v>
      </c>
      <c r="CV11" t="s">
        <v>1660</v>
      </c>
      <c r="DB11" t="s">
        <v>1648</v>
      </c>
      <c r="DE11" t="s">
        <v>1649</v>
      </c>
    </row>
    <row r="12" spans="1:110" x14ac:dyDescent="0.25">
      <c r="A12" t="s">
        <v>1732</v>
      </c>
      <c r="B12">
        <v>1</v>
      </c>
      <c r="C12" s="56">
        <v>42787</v>
      </c>
      <c r="D12" t="s">
        <v>1733</v>
      </c>
      <c r="E12" t="s">
        <v>1489</v>
      </c>
      <c r="G12" t="s">
        <v>1637</v>
      </c>
      <c r="H12" t="s">
        <v>1637</v>
      </c>
      <c r="I12" t="s">
        <v>1637</v>
      </c>
      <c r="J12" t="s">
        <v>1637</v>
      </c>
      <c r="K12" t="s">
        <v>1637</v>
      </c>
      <c r="L12">
        <v>19.27</v>
      </c>
      <c r="M12">
        <v>42.85</v>
      </c>
      <c r="N12">
        <v>0</v>
      </c>
      <c r="O12" s="56"/>
      <c r="P12" s="56"/>
      <c r="Q12">
        <v>13721</v>
      </c>
      <c r="R12">
        <v>6</v>
      </c>
      <c r="S12">
        <v>18</v>
      </c>
      <c r="T12">
        <v>8</v>
      </c>
      <c r="U12">
        <v>10</v>
      </c>
      <c r="V12">
        <v>1</v>
      </c>
      <c r="X12" t="s">
        <v>1734</v>
      </c>
      <c r="AA12">
        <v>0.81</v>
      </c>
      <c r="AB12">
        <v>22</v>
      </c>
      <c r="AC12">
        <v>0</v>
      </c>
      <c r="AD12">
        <v>1.23</v>
      </c>
      <c r="AE12">
        <v>0</v>
      </c>
      <c r="AF12">
        <v>0</v>
      </c>
      <c r="AG12">
        <v>0</v>
      </c>
      <c r="AJ12" s="56"/>
      <c r="AK12" s="56"/>
      <c r="AL12" s="56"/>
      <c r="AP12" t="s">
        <v>1638</v>
      </c>
      <c r="AR12">
        <v>6</v>
      </c>
      <c r="AS12" t="s">
        <v>1639</v>
      </c>
      <c r="AT12">
        <v>1</v>
      </c>
      <c r="AV12">
        <v>0</v>
      </c>
      <c r="AW12">
        <v>0</v>
      </c>
      <c r="AX12">
        <v>0</v>
      </c>
      <c r="AY12" t="s">
        <v>1640</v>
      </c>
      <c r="AZ12" t="s">
        <v>1640</v>
      </c>
      <c r="BA12">
        <v>0</v>
      </c>
      <c r="BD12">
        <v>1000000000</v>
      </c>
      <c r="BE12">
        <v>4</v>
      </c>
      <c r="BF12">
        <v>0</v>
      </c>
      <c r="BG12">
        <v>0</v>
      </c>
      <c r="BH12">
        <v>0</v>
      </c>
      <c r="BI12">
        <v>0</v>
      </c>
      <c r="BJ12">
        <v>0</v>
      </c>
      <c r="BK12">
        <v>0</v>
      </c>
      <c r="BL12">
        <v>0</v>
      </c>
      <c r="BM12">
        <v>4</v>
      </c>
      <c r="BN12">
        <v>0</v>
      </c>
      <c r="BO12">
        <v>0</v>
      </c>
      <c r="BP12">
        <v>0</v>
      </c>
      <c r="BR12">
        <v>0</v>
      </c>
      <c r="BS12">
        <v>0</v>
      </c>
      <c r="BX12">
        <v>0</v>
      </c>
      <c r="BY12">
        <v>0</v>
      </c>
      <c r="BZ12">
        <v>0</v>
      </c>
      <c r="CA12">
        <v>0</v>
      </c>
      <c r="CC12">
        <v>1</v>
      </c>
      <c r="CD12" s="56">
        <v>42593</v>
      </c>
      <c r="CE12" s="56">
        <v>42661</v>
      </c>
      <c r="CF12" s="56">
        <v>42661</v>
      </c>
      <c r="CG12" s="56">
        <v>42787</v>
      </c>
      <c r="CH12" s="56"/>
      <c r="CI12" s="56"/>
      <c r="CJ12">
        <v>0.89</v>
      </c>
      <c r="CK12">
        <v>0</v>
      </c>
      <c r="CL12">
        <v>0.01</v>
      </c>
      <c r="CM12">
        <v>0</v>
      </c>
      <c r="CN12">
        <v>0</v>
      </c>
      <c r="CO12">
        <v>0</v>
      </c>
      <c r="CP12">
        <v>0.72</v>
      </c>
      <c r="CQ12" t="s">
        <v>1732</v>
      </c>
      <c r="CR12" t="s">
        <v>1368</v>
      </c>
      <c r="CS12" t="s">
        <v>1735</v>
      </c>
      <c r="CT12" t="s">
        <v>1649</v>
      </c>
      <c r="CU12" t="s">
        <v>1736</v>
      </c>
      <c r="CV12" t="s">
        <v>1661</v>
      </c>
      <c r="DB12" t="s">
        <v>1662</v>
      </c>
      <c r="DE12" t="s">
        <v>1649</v>
      </c>
    </row>
    <row r="13" spans="1:110" x14ac:dyDescent="0.25">
      <c r="A13" t="s">
        <v>1732</v>
      </c>
      <c r="B13">
        <v>1</v>
      </c>
      <c r="C13" s="56">
        <v>42787</v>
      </c>
      <c r="D13" t="s">
        <v>1733</v>
      </c>
      <c r="E13" t="s">
        <v>1642</v>
      </c>
      <c r="G13" t="s">
        <v>1637</v>
      </c>
      <c r="H13" t="s">
        <v>1637</v>
      </c>
      <c r="I13" t="s">
        <v>1637</v>
      </c>
      <c r="J13" t="s">
        <v>1637</v>
      </c>
      <c r="K13" t="s">
        <v>1637</v>
      </c>
      <c r="L13">
        <v>20.51</v>
      </c>
      <c r="M13">
        <v>52.71</v>
      </c>
      <c r="N13">
        <v>0</v>
      </c>
      <c r="O13" s="56"/>
      <c r="P13" s="56"/>
      <c r="Q13">
        <v>13721</v>
      </c>
      <c r="R13">
        <v>6</v>
      </c>
      <c r="S13">
        <v>18</v>
      </c>
      <c r="T13">
        <v>8</v>
      </c>
      <c r="U13">
        <v>10</v>
      </c>
      <c r="V13">
        <v>1</v>
      </c>
      <c r="X13" t="s">
        <v>1737</v>
      </c>
      <c r="AA13">
        <v>0</v>
      </c>
      <c r="AB13">
        <v>0</v>
      </c>
      <c r="AC13">
        <v>0</v>
      </c>
      <c r="AD13">
        <v>0</v>
      </c>
      <c r="AE13">
        <v>0</v>
      </c>
      <c r="AF13">
        <v>0</v>
      </c>
      <c r="AG13">
        <v>0</v>
      </c>
      <c r="AJ13" s="56"/>
      <c r="AK13" s="56"/>
      <c r="AL13" s="56"/>
      <c r="AP13" t="s">
        <v>1638</v>
      </c>
      <c r="AR13">
        <v>4</v>
      </c>
      <c r="AS13" t="s">
        <v>1639</v>
      </c>
      <c r="AT13">
        <v>1</v>
      </c>
      <c r="AV13">
        <v>10</v>
      </c>
      <c r="AW13">
        <v>7</v>
      </c>
      <c r="AX13">
        <v>3</v>
      </c>
      <c r="AY13" t="s">
        <v>1738</v>
      </c>
      <c r="AZ13" t="s">
        <v>1738</v>
      </c>
      <c r="BA13">
        <v>15</v>
      </c>
      <c r="BD13">
        <v>1000000000</v>
      </c>
      <c r="BE13">
        <v>26</v>
      </c>
      <c r="BF13">
        <v>-1.6</v>
      </c>
      <c r="BG13">
        <v>0</v>
      </c>
      <c r="BH13">
        <v>0</v>
      </c>
      <c r="BI13">
        <v>0</v>
      </c>
      <c r="BJ13">
        <v>0</v>
      </c>
      <c r="BK13">
        <v>0</v>
      </c>
      <c r="BL13">
        <v>0</v>
      </c>
      <c r="BM13">
        <v>26</v>
      </c>
      <c r="BN13">
        <v>-1.6</v>
      </c>
      <c r="BO13">
        <v>0</v>
      </c>
      <c r="BP13">
        <v>0</v>
      </c>
      <c r="BR13">
        <v>0</v>
      </c>
      <c r="BS13">
        <v>6</v>
      </c>
      <c r="BX13">
        <v>0</v>
      </c>
      <c r="BY13">
        <v>328.16</v>
      </c>
      <c r="BZ13">
        <v>0</v>
      </c>
      <c r="CA13">
        <v>4.1900000000000004</v>
      </c>
      <c r="CC13">
        <v>1</v>
      </c>
      <c r="CD13" s="56">
        <v>42761</v>
      </c>
      <c r="CE13" s="56">
        <v>42761</v>
      </c>
      <c r="CF13" s="56">
        <v>42761</v>
      </c>
      <c r="CG13" s="56">
        <v>42887</v>
      </c>
      <c r="CH13" s="56"/>
      <c r="CI13" s="56"/>
      <c r="CJ13">
        <v>0</v>
      </c>
      <c r="CK13">
        <v>0</v>
      </c>
      <c r="CL13">
        <v>0</v>
      </c>
      <c r="CM13">
        <v>0</v>
      </c>
      <c r="CN13">
        <v>0</v>
      </c>
      <c r="CO13">
        <v>0</v>
      </c>
      <c r="CP13">
        <v>0.17</v>
      </c>
      <c r="CQ13" t="s">
        <v>1732</v>
      </c>
      <c r="CR13" t="s">
        <v>1368</v>
      </c>
      <c r="CS13" t="s">
        <v>1735</v>
      </c>
      <c r="CT13" t="s">
        <v>1649</v>
      </c>
      <c r="CU13" t="s">
        <v>1736</v>
      </c>
      <c r="CV13" t="s">
        <v>1663</v>
      </c>
      <c r="DB13" t="s">
        <v>1662</v>
      </c>
      <c r="DE13" t="s">
        <v>1649</v>
      </c>
    </row>
    <row r="14" spans="1:110" x14ac:dyDescent="0.25">
      <c r="A14" t="s">
        <v>1732</v>
      </c>
      <c r="B14">
        <v>1</v>
      </c>
      <c r="C14" s="56">
        <v>42787</v>
      </c>
      <c r="D14" t="s">
        <v>1733</v>
      </c>
      <c r="E14" t="s">
        <v>1490</v>
      </c>
      <c r="G14" t="s">
        <v>1637</v>
      </c>
      <c r="H14" t="s">
        <v>1637</v>
      </c>
      <c r="I14" t="s">
        <v>1637</v>
      </c>
      <c r="J14" t="s">
        <v>1637</v>
      </c>
      <c r="K14" t="s">
        <v>1637</v>
      </c>
      <c r="L14">
        <v>21.17</v>
      </c>
      <c r="M14">
        <v>61.1</v>
      </c>
      <c r="N14">
        <v>0</v>
      </c>
      <c r="O14" s="56"/>
      <c r="P14" s="56"/>
      <c r="Q14">
        <v>13721</v>
      </c>
      <c r="R14">
        <v>6</v>
      </c>
      <c r="S14">
        <v>18</v>
      </c>
      <c r="T14">
        <v>8</v>
      </c>
      <c r="U14">
        <v>10</v>
      </c>
      <c r="V14">
        <v>1</v>
      </c>
      <c r="W14" t="s">
        <v>1641</v>
      </c>
      <c r="X14" t="s">
        <v>1737</v>
      </c>
      <c r="AA14">
        <v>0.93</v>
      </c>
      <c r="AB14">
        <v>26</v>
      </c>
      <c r="AC14">
        <v>6.45</v>
      </c>
      <c r="AD14">
        <v>4.03</v>
      </c>
      <c r="AE14">
        <v>0</v>
      </c>
      <c r="AF14">
        <v>0</v>
      </c>
      <c r="AG14">
        <v>0</v>
      </c>
      <c r="AJ14" s="56">
        <v>42666</v>
      </c>
      <c r="AK14" s="56"/>
      <c r="AL14" s="56"/>
      <c r="AP14" t="s">
        <v>1638</v>
      </c>
      <c r="AR14">
        <v>3</v>
      </c>
      <c r="AS14" t="s">
        <v>1639</v>
      </c>
      <c r="AT14">
        <v>1</v>
      </c>
      <c r="AV14">
        <v>24</v>
      </c>
      <c r="AW14">
        <v>16</v>
      </c>
      <c r="AX14">
        <v>8</v>
      </c>
      <c r="AY14" t="s">
        <v>1739</v>
      </c>
      <c r="AZ14" t="s">
        <v>1739</v>
      </c>
      <c r="BA14">
        <v>36</v>
      </c>
      <c r="BD14">
        <v>1000000000</v>
      </c>
      <c r="BE14">
        <v>15</v>
      </c>
      <c r="BF14">
        <v>0.38</v>
      </c>
      <c r="BG14">
        <v>0</v>
      </c>
      <c r="BH14">
        <v>0</v>
      </c>
      <c r="BI14">
        <v>0</v>
      </c>
      <c r="BJ14">
        <v>0</v>
      </c>
      <c r="BK14">
        <v>0</v>
      </c>
      <c r="BL14">
        <v>0</v>
      </c>
      <c r="BM14">
        <v>15</v>
      </c>
      <c r="BN14">
        <v>0.38</v>
      </c>
      <c r="BO14">
        <v>0</v>
      </c>
      <c r="BP14">
        <v>0</v>
      </c>
      <c r="BR14">
        <v>9</v>
      </c>
      <c r="BS14">
        <v>13</v>
      </c>
      <c r="BX14">
        <v>0</v>
      </c>
      <c r="BY14">
        <v>0</v>
      </c>
      <c r="BZ14">
        <v>0</v>
      </c>
      <c r="CA14">
        <v>5.03</v>
      </c>
      <c r="CC14">
        <v>1</v>
      </c>
      <c r="CD14" s="56">
        <v>42761</v>
      </c>
      <c r="CE14" s="56">
        <v>42761</v>
      </c>
      <c r="CF14" s="56">
        <v>42761</v>
      </c>
      <c r="CG14" s="56">
        <v>42887</v>
      </c>
      <c r="CH14" s="56"/>
      <c r="CI14" s="56"/>
      <c r="CJ14">
        <v>0</v>
      </c>
      <c r="CK14">
        <v>0</v>
      </c>
      <c r="CL14">
        <v>0</v>
      </c>
      <c r="CM14">
        <v>0</v>
      </c>
      <c r="CN14">
        <v>0.17</v>
      </c>
      <c r="CO14">
        <v>0</v>
      </c>
      <c r="CP14">
        <v>0</v>
      </c>
      <c r="CQ14" t="s">
        <v>1732</v>
      </c>
      <c r="CR14" t="s">
        <v>1368</v>
      </c>
      <c r="CS14" t="s">
        <v>1735</v>
      </c>
      <c r="CT14" t="s">
        <v>1649</v>
      </c>
      <c r="CU14" t="s">
        <v>1736</v>
      </c>
      <c r="CV14" t="s">
        <v>1664</v>
      </c>
      <c r="DB14" t="s">
        <v>1662</v>
      </c>
      <c r="DE14" t="s">
        <v>1649</v>
      </c>
    </row>
    <row r="15" spans="1:110" x14ac:dyDescent="0.25">
      <c r="A15" t="s">
        <v>1732</v>
      </c>
      <c r="B15">
        <v>1</v>
      </c>
      <c r="C15" s="56">
        <v>42787</v>
      </c>
      <c r="D15" t="s">
        <v>1733</v>
      </c>
      <c r="E15" t="s">
        <v>1491</v>
      </c>
      <c r="G15" t="s">
        <v>1637</v>
      </c>
      <c r="H15" t="s">
        <v>1637</v>
      </c>
      <c r="I15" t="s">
        <v>1637</v>
      </c>
      <c r="J15" t="s">
        <v>1637</v>
      </c>
      <c r="K15" t="s">
        <v>1637</v>
      </c>
      <c r="L15">
        <v>25.68</v>
      </c>
      <c r="M15">
        <v>78.760000000000005</v>
      </c>
      <c r="N15">
        <v>0</v>
      </c>
      <c r="O15" s="56"/>
      <c r="P15" s="56"/>
      <c r="Q15">
        <v>13721</v>
      </c>
      <c r="R15">
        <v>6</v>
      </c>
      <c r="S15">
        <v>18</v>
      </c>
      <c r="T15">
        <v>8</v>
      </c>
      <c r="U15">
        <v>10</v>
      </c>
      <c r="V15">
        <v>1</v>
      </c>
      <c r="W15" t="s">
        <v>1641</v>
      </c>
      <c r="X15" t="s">
        <v>1737</v>
      </c>
      <c r="Z15" t="s">
        <v>1740</v>
      </c>
      <c r="AA15">
        <v>1.5</v>
      </c>
      <c r="AB15">
        <v>41</v>
      </c>
      <c r="AC15">
        <v>4</v>
      </c>
      <c r="AD15">
        <v>2.83</v>
      </c>
      <c r="AE15">
        <v>0</v>
      </c>
      <c r="AF15">
        <v>0</v>
      </c>
      <c r="AG15">
        <v>0</v>
      </c>
      <c r="AJ15" s="56"/>
      <c r="AK15" s="56"/>
      <c r="AL15" s="56"/>
      <c r="AP15" t="s">
        <v>1638</v>
      </c>
      <c r="AR15">
        <v>2</v>
      </c>
      <c r="AS15" t="s">
        <v>1639</v>
      </c>
      <c r="AT15">
        <v>1</v>
      </c>
      <c r="AV15">
        <v>24</v>
      </c>
      <c r="AW15">
        <v>16</v>
      </c>
      <c r="AX15">
        <v>8</v>
      </c>
      <c r="AY15" t="s">
        <v>1741</v>
      </c>
      <c r="AZ15" t="s">
        <v>1741</v>
      </c>
      <c r="BA15">
        <v>36</v>
      </c>
      <c r="BD15">
        <v>1000000000</v>
      </c>
      <c r="BE15">
        <v>17</v>
      </c>
      <c r="BF15">
        <v>0.28999999999999998</v>
      </c>
      <c r="BG15">
        <v>0</v>
      </c>
      <c r="BH15">
        <v>0</v>
      </c>
      <c r="BI15">
        <v>0</v>
      </c>
      <c r="BJ15">
        <v>0</v>
      </c>
      <c r="BK15">
        <v>0</v>
      </c>
      <c r="BL15">
        <v>0</v>
      </c>
      <c r="BM15">
        <v>17</v>
      </c>
      <c r="BN15">
        <v>0.28999999999999998</v>
      </c>
      <c r="BO15">
        <v>0</v>
      </c>
      <c r="BP15">
        <v>0</v>
      </c>
      <c r="BR15">
        <v>8</v>
      </c>
      <c r="BS15">
        <v>13</v>
      </c>
      <c r="BX15">
        <v>0</v>
      </c>
      <c r="BY15">
        <v>0</v>
      </c>
      <c r="BZ15">
        <v>0</v>
      </c>
      <c r="CA15">
        <v>5.51</v>
      </c>
      <c r="CC15">
        <v>1</v>
      </c>
      <c r="CD15" s="56">
        <v>42761</v>
      </c>
      <c r="CE15" s="56">
        <v>42761</v>
      </c>
      <c r="CF15" s="56">
        <v>42761</v>
      </c>
      <c r="CG15" s="56">
        <v>42887</v>
      </c>
      <c r="CH15" s="56"/>
      <c r="CI15" s="56"/>
      <c r="CJ15">
        <v>0</v>
      </c>
      <c r="CK15">
        <v>0</v>
      </c>
      <c r="CL15">
        <v>0</v>
      </c>
      <c r="CM15">
        <v>0</v>
      </c>
      <c r="CN15">
        <v>0</v>
      </c>
      <c r="CO15">
        <v>0.17</v>
      </c>
      <c r="CP15">
        <v>0</v>
      </c>
      <c r="CQ15" t="s">
        <v>1732</v>
      </c>
      <c r="CR15" t="s">
        <v>1368</v>
      </c>
      <c r="CS15" t="s">
        <v>1735</v>
      </c>
      <c r="CT15" t="s">
        <v>1649</v>
      </c>
      <c r="CU15" t="s">
        <v>1736</v>
      </c>
      <c r="CV15" t="s">
        <v>1665</v>
      </c>
      <c r="DB15" t="s">
        <v>1662</v>
      </c>
      <c r="DE15" t="s">
        <v>1649</v>
      </c>
    </row>
    <row r="16" spans="1:110" x14ac:dyDescent="0.25">
      <c r="A16" t="s">
        <v>1732</v>
      </c>
      <c r="B16">
        <v>1</v>
      </c>
      <c r="C16" s="56">
        <v>42787</v>
      </c>
      <c r="D16" t="s">
        <v>1733</v>
      </c>
      <c r="E16" t="s">
        <v>1492</v>
      </c>
      <c r="G16" t="s">
        <v>1637</v>
      </c>
      <c r="H16" t="s">
        <v>1637</v>
      </c>
      <c r="I16" t="s">
        <v>1637</v>
      </c>
      <c r="J16" t="s">
        <v>1637</v>
      </c>
      <c r="K16" t="s">
        <v>1637</v>
      </c>
      <c r="L16">
        <v>36.630000000000003</v>
      </c>
      <c r="M16">
        <v>104.21</v>
      </c>
      <c r="N16">
        <v>0</v>
      </c>
      <c r="O16" s="56"/>
      <c r="P16" s="56"/>
      <c r="Q16">
        <v>13721</v>
      </c>
      <c r="R16">
        <v>6</v>
      </c>
      <c r="S16">
        <v>18</v>
      </c>
      <c r="T16">
        <v>8</v>
      </c>
      <c r="U16">
        <v>10</v>
      </c>
      <c r="V16">
        <v>1</v>
      </c>
      <c r="W16" t="s">
        <v>1641</v>
      </c>
      <c r="X16" t="s">
        <v>1737</v>
      </c>
      <c r="AA16">
        <v>0.4</v>
      </c>
      <c r="AB16">
        <v>11</v>
      </c>
      <c r="AC16">
        <v>15</v>
      </c>
      <c r="AD16">
        <v>12.5</v>
      </c>
      <c r="AE16">
        <v>0</v>
      </c>
      <c r="AF16">
        <v>0</v>
      </c>
      <c r="AG16">
        <v>0</v>
      </c>
      <c r="AJ16" s="56">
        <v>42666</v>
      </c>
      <c r="AK16" s="56"/>
      <c r="AL16" s="56"/>
      <c r="AP16" t="s">
        <v>1638</v>
      </c>
      <c r="AR16">
        <v>2</v>
      </c>
      <c r="AS16" t="s">
        <v>1639</v>
      </c>
      <c r="AT16">
        <v>1</v>
      </c>
      <c r="AV16">
        <v>24</v>
      </c>
      <c r="AW16">
        <v>16</v>
      </c>
      <c r="AX16">
        <v>8</v>
      </c>
      <c r="AY16" t="s">
        <v>1741</v>
      </c>
      <c r="AZ16" t="s">
        <v>1741</v>
      </c>
      <c r="BA16">
        <v>36</v>
      </c>
      <c r="BD16">
        <v>1000000000</v>
      </c>
      <c r="BE16">
        <v>20</v>
      </c>
      <c r="BF16">
        <v>0.17</v>
      </c>
      <c r="BG16">
        <v>0</v>
      </c>
      <c r="BH16">
        <v>0</v>
      </c>
      <c r="BI16">
        <v>0</v>
      </c>
      <c r="BJ16">
        <v>0</v>
      </c>
      <c r="BK16">
        <v>0</v>
      </c>
      <c r="BL16">
        <v>0</v>
      </c>
      <c r="BM16">
        <v>20</v>
      </c>
      <c r="BN16">
        <v>0.17</v>
      </c>
      <c r="BO16">
        <v>0</v>
      </c>
      <c r="BP16">
        <v>0</v>
      </c>
      <c r="BR16">
        <v>4</v>
      </c>
      <c r="BS16">
        <v>13</v>
      </c>
      <c r="BX16">
        <v>0</v>
      </c>
      <c r="BY16">
        <v>0</v>
      </c>
      <c r="BZ16">
        <v>0</v>
      </c>
      <c r="CA16">
        <v>4.92</v>
      </c>
      <c r="CC16">
        <v>1</v>
      </c>
      <c r="CD16" s="56">
        <v>42761</v>
      </c>
      <c r="CE16" s="56">
        <v>42761</v>
      </c>
      <c r="CF16" s="56">
        <v>42761</v>
      </c>
      <c r="CG16" s="56">
        <v>42887</v>
      </c>
      <c r="CH16" s="56"/>
      <c r="CI16" s="56"/>
      <c r="CJ16">
        <v>0</v>
      </c>
      <c r="CK16">
        <v>0</v>
      </c>
      <c r="CL16">
        <v>0</v>
      </c>
      <c r="CM16">
        <v>0</v>
      </c>
      <c r="CN16">
        <v>0</v>
      </c>
      <c r="CO16">
        <v>0.17</v>
      </c>
      <c r="CP16">
        <v>0</v>
      </c>
      <c r="CQ16" t="s">
        <v>1732</v>
      </c>
      <c r="CR16" t="s">
        <v>1368</v>
      </c>
      <c r="CS16" t="s">
        <v>1735</v>
      </c>
      <c r="CT16" t="s">
        <v>1649</v>
      </c>
      <c r="CU16" t="s">
        <v>1736</v>
      </c>
      <c r="CV16" t="s">
        <v>1666</v>
      </c>
      <c r="DB16" t="s">
        <v>1662</v>
      </c>
      <c r="DE16" t="s">
        <v>1649</v>
      </c>
    </row>
    <row r="17" spans="1:109" x14ac:dyDescent="0.25">
      <c r="A17" t="s">
        <v>1732</v>
      </c>
      <c r="B17">
        <v>1</v>
      </c>
      <c r="C17" s="56">
        <v>42787</v>
      </c>
      <c r="D17" t="s">
        <v>1733</v>
      </c>
      <c r="E17" t="s">
        <v>1493</v>
      </c>
      <c r="G17" t="s">
        <v>1637</v>
      </c>
      <c r="H17" t="s">
        <v>1637</v>
      </c>
      <c r="I17" t="s">
        <v>1637</v>
      </c>
      <c r="J17" t="s">
        <v>1637</v>
      </c>
      <c r="K17" t="s">
        <v>1637</v>
      </c>
      <c r="L17">
        <v>69.97</v>
      </c>
      <c r="M17">
        <v>123.87</v>
      </c>
      <c r="N17">
        <v>0</v>
      </c>
      <c r="O17" s="56"/>
      <c r="P17" s="56"/>
      <c r="Q17">
        <v>13721</v>
      </c>
      <c r="R17">
        <v>6</v>
      </c>
      <c r="S17">
        <v>18</v>
      </c>
      <c r="T17">
        <v>8</v>
      </c>
      <c r="U17">
        <v>10</v>
      </c>
      <c r="V17">
        <v>1</v>
      </c>
      <c r="W17" t="s">
        <v>1641</v>
      </c>
      <c r="X17" t="s">
        <v>1737</v>
      </c>
      <c r="AA17">
        <v>0.36</v>
      </c>
      <c r="AB17">
        <v>10</v>
      </c>
      <c r="AC17">
        <v>11.11</v>
      </c>
      <c r="AD17">
        <v>3.47</v>
      </c>
      <c r="AE17">
        <v>0</v>
      </c>
      <c r="AF17">
        <v>0</v>
      </c>
      <c r="AG17">
        <v>0</v>
      </c>
      <c r="AJ17" s="56"/>
      <c r="AK17" s="56"/>
      <c r="AL17" s="56"/>
      <c r="AP17" t="s">
        <v>1638</v>
      </c>
      <c r="AR17">
        <v>2</v>
      </c>
      <c r="AS17" t="s">
        <v>1639</v>
      </c>
      <c r="AT17">
        <v>1</v>
      </c>
      <c r="AV17">
        <v>16</v>
      </c>
      <c r="AW17">
        <v>11</v>
      </c>
      <c r="AX17">
        <v>5</v>
      </c>
      <c r="AY17" t="s">
        <v>1742</v>
      </c>
      <c r="AZ17" t="s">
        <v>1742</v>
      </c>
      <c r="BA17">
        <v>24</v>
      </c>
      <c r="BD17">
        <v>1000000000</v>
      </c>
      <c r="BE17">
        <v>5</v>
      </c>
      <c r="BF17">
        <v>0.69</v>
      </c>
      <c r="BG17">
        <v>0</v>
      </c>
      <c r="BH17">
        <v>0</v>
      </c>
      <c r="BI17">
        <v>0</v>
      </c>
      <c r="BJ17">
        <v>0</v>
      </c>
      <c r="BK17">
        <v>0</v>
      </c>
      <c r="BL17">
        <v>0</v>
      </c>
      <c r="BM17">
        <v>5</v>
      </c>
      <c r="BN17">
        <v>0.69</v>
      </c>
      <c r="BO17">
        <v>0</v>
      </c>
      <c r="BP17">
        <v>0</v>
      </c>
      <c r="BR17">
        <v>12</v>
      </c>
      <c r="BS17">
        <v>9</v>
      </c>
      <c r="BX17">
        <v>0</v>
      </c>
      <c r="BY17">
        <v>0</v>
      </c>
      <c r="BZ17">
        <v>0</v>
      </c>
      <c r="CA17">
        <v>2.0499999999999998</v>
      </c>
      <c r="CC17">
        <v>1</v>
      </c>
      <c r="CD17" s="56">
        <v>42761</v>
      </c>
      <c r="CE17" s="56">
        <v>42761</v>
      </c>
      <c r="CF17" s="56">
        <v>42761</v>
      </c>
      <c r="CG17" s="56">
        <v>42887</v>
      </c>
      <c r="CH17" s="56"/>
      <c r="CI17" s="56"/>
      <c r="CJ17">
        <v>0</v>
      </c>
      <c r="CK17">
        <v>0</v>
      </c>
      <c r="CL17">
        <v>0</v>
      </c>
      <c r="CM17">
        <v>0.17</v>
      </c>
      <c r="CN17">
        <v>0</v>
      </c>
      <c r="CO17">
        <v>0</v>
      </c>
      <c r="CP17">
        <v>0</v>
      </c>
      <c r="CQ17" t="s">
        <v>1732</v>
      </c>
      <c r="CR17" t="s">
        <v>1368</v>
      </c>
      <c r="CS17" t="s">
        <v>1735</v>
      </c>
      <c r="CT17" t="s">
        <v>1649</v>
      </c>
      <c r="CU17" t="s">
        <v>1736</v>
      </c>
      <c r="CV17" t="s">
        <v>1667</v>
      </c>
      <c r="DB17" t="s">
        <v>1662</v>
      </c>
      <c r="DE17" t="s">
        <v>1649</v>
      </c>
    </row>
    <row r="18" spans="1:109" x14ac:dyDescent="0.25">
      <c r="A18" t="s">
        <v>1732</v>
      </c>
      <c r="B18">
        <v>1</v>
      </c>
      <c r="C18" s="56">
        <v>42787</v>
      </c>
      <c r="D18" t="s">
        <v>1733</v>
      </c>
      <c r="E18" t="s">
        <v>1494</v>
      </c>
      <c r="G18" t="s">
        <v>1637</v>
      </c>
      <c r="H18" t="s">
        <v>1637</v>
      </c>
      <c r="I18" t="s">
        <v>1637</v>
      </c>
      <c r="J18" t="s">
        <v>1637</v>
      </c>
      <c r="K18" t="s">
        <v>1637</v>
      </c>
      <c r="L18">
        <v>57.39</v>
      </c>
      <c r="M18">
        <v>153.02000000000001</v>
      </c>
      <c r="N18">
        <v>0</v>
      </c>
      <c r="O18" s="56"/>
      <c r="P18" s="56"/>
      <c r="Q18">
        <v>13721</v>
      </c>
      <c r="R18">
        <v>6</v>
      </c>
      <c r="S18">
        <v>18</v>
      </c>
      <c r="T18">
        <v>8</v>
      </c>
      <c r="U18">
        <v>10</v>
      </c>
      <c r="V18">
        <v>1</v>
      </c>
      <c r="W18" t="s">
        <v>1641</v>
      </c>
      <c r="X18" t="s">
        <v>1737</v>
      </c>
      <c r="Z18" t="s">
        <v>1740</v>
      </c>
      <c r="AA18">
        <v>0.89</v>
      </c>
      <c r="AB18">
        <v>25</v>
      </c>
      <c r="AC18">
        <v>3.37</v>
      </c>
      <c r="AD18">
        <v>1.97</v>
      </c>
      <c r="AE18">
        <v>0</v>
      </c>
      <c r="AF18">
        <v>0</v>
      </c>
      <c r="AG18">
        <v>0</v>
      </c>
      <c r="AJ18" s="56"/>
      <c r="AK18" s="56"/>
      <c r="AL18" s="56"/>
      <c r="AP18" t="s">
        <v>1638</v>
      </c>
      <c r="AR18">
        <v>1</v>
      </c>
      <c r="AS18" t="s">
        <v>1639</v>
      </c>
      <c r="AT18">
        <v>1</v>
      </c>
      <c r="AV18">
        <v>12</v>
      </c>
      <c r="AW18">
        <v>8</v>
      </c>
      <c r="AX18">
        <v>4</v>
      </c>
      <c r="AY18" t="s">
        <v>1739</v>
      </c>
      <c r="AZ18" t="s">
        <v>1739</v>
      </c>
      <c r="BA18">
        <v>18</v>
      </c>
      <c r="BD18">
        <v>1000000000</v>
      </c>
      <c r="BE18">
        <v>7</v>
      </c>
      <c r="BF18">
        <v>0.42</v>
      </c>
      <c r="BG18">
        <v>0</v>
      </c>
      <c r="BH18">
        <v>0</v>
      </c>
      <c r="BI18">
        <v>0</v>
      </c>
      <c r="BJ18">
        <v>0</v>
      </c>
      <c r="BK18">
        <v>0</v>
      </c>
      <c r="BL18">
        <v>0</v>
      </c>
      <c r="BM18">
        <v>7</v>
      </c>
      <c r="BN18">
        <v>0.42</v>
      </c>
      <c r="BO18">
        <v>0</v>
      </c>
      <c r="BP18">
        <v>0</v>
      </c>
      <c r="BR18">
        <v>5</v>
      </c>
      <c r="BS18">
        <v>7</v>
      </c>
      <c r="BX18">
        <v>0</v>
      </c>
      <c r="BY18">
        <v>0</v>
      </c>
      <c r="BZ18">
        <v>0</v>
      </c>
      <c r="CA18">
        <v>4.4400000000000004</v>
      </c>
      <c r="CC18">
        <v>1</v>
      </c>
      <c r="CD18" s="56">
        <v>42761</v>
      </c>
      <c r="CE18" s="56">
        <v>42761</v>
      </c>
      <c r="CF18" s="56">
        <v>42761</v>
      </c>
      <c r="CG18" s="56">
        <v>42887</v>
      </c>
      <c r="CH18" s="56"/>
      <c r="CI18" s="56"/>
      <c r="CJ18">
        <v>0</v>
      </c>
      <c r="CK18">
        <v>0</v>
      </c>
      <c r="CL18">
        <v>0</v>
      </c>
      <c r="CM18">
        <v>0</v>
      </c>
      <c r="CN18">
        <v>0.17</v>
      </c>
      <c r="CO18">
        <v>0</v>
      </c>
      <c r="CP18">
        <v>0</v>
      </c>
      <c r="CQ18" t="s">
        <v>1732</v>
      </c>
      <c r="CR18" t="s">
        <v>1368</v>
      </c>
      <c r="CS18" t="s">
        <v>1735</v>
      </c>
      <c r="CT18" t="s">
        <v>1649</v>
      </c>
      <c r="CU18" t="s">
        <v>1736</v>
      </c>
      <c r="CV18" t="s">
        <v>1668</v>
      </c>
      <c r="DB18" t="s">
        <v>1662</v>
      </c>
      <c r="DE18" t="s">
        <v>1649</v>
      </c>
    </row>
    <row r="19" spans="1:109" x14ac:dyDescent="0.25">
      <c r="A19" t="s">
        <v>1732</v>
      </c>
      <c r="B19">
        <v>1</v>
      </c>
      <c r="C19" s="56">
        <v>42787</v>
      </c>
      <c r="D19" t="s">
        <v>1733</v>
      </c>
      <c r="E19" t="s">
        <v>1495</v>
      </c>
      <c r="G19" t="s">
        <v>1637</v>
      </c>
      <c r="H19" t="s">
        <v>1637</v>
      </c>
      <c r="I19" t="s">
        <v>1637</v>
      </c>
      <c r="J19" t="s">
        <v>1637</v>
      </c>
      <c r="K19" t="s">
        <v>1637</v>
      </c>
      <c r="L19">
        <v>77.56</v>
      </c>
      <c r="M19">
        <v>202.27</v>
      </c>
      <c r="N19">
        <v>0</v>
      </c>
      <c r="O19" s="56"/>
      <c r="P19" s="56"/>
      <c r="Q19">
        <v>13721</v>
      </c>
      <c r="R19">
        <v>6</v>
      </c>
      <c r="S19">
        <v>18</v>
      </c>
      <c r="T19">
        <v>8</v>
      </c>
      <c r="U19">
        <v>10</v>
      </c>
      <c r="V19">
        <v>1</v>
      </c>
      <c r="W19" t="s">
        <v>1641</v>
      </c>
      <c r="X19" t="s">
        <v>1737</v>
      </c>
      <c r="AA19">
        <v>0.89</v>
      </c>
      <c r="AB19">
        <v>25</v>
      </c>
      <c r="AC19">
        <v>3.37</v>
      </c>
      <c r="AD19">
        <v>0</v>
      </c>
      <c r="AE19">
        <v>0</v>
      </c>
      <c r="AF19">
        <v>15</v>
      </c>
      <c r="AG19">
        <v>0</v>
      </c>
      <c r="AJ19" s="56"/>
      <c r="AK19" s="56"/>
      <c r="AL19" s="56"/>
      <c r="AP19" t="s">
        <v>1638</v>
      </c>
      <c r="AR19">
        <v>1</v>
      </c>
      <c r="AS19" t="s">
        <v>1639</v>
      </c>
      <c r="AT19">
        <v>1</v>
      </c>
      <c r="AV19">
        <v>12</v>
      </c>
      <c r="AW19">
        <v>8</v>
      </c>
      <c r="AX19">
        <v>4</v>
      </c>
      <c r="AY19" t="s">
        <v>838</v>
      </c>
      <c r="AZ19" t="s">
        <v>838</v>
      </c>
      <c r="BA19">
        <v>18</v>
      </c>
      <c r="BD19">
        <v>1000000000</v>
      </c>
      <c r="BE19">
        <v>0</v>
      </c>
      <c r="BF19">
        <v>1</v>
      </c>
      <c r="BG19">
        <v>0</v>
      </c>
      <c r="BH19">
        <v>0</v>
      </c>
      <c r="BI19">
        <v>0</v>
      </c>
      <c r="BJ19">
        <v>0</v>
      </c>
      <c r="BK19">
        <v>0</v>
      </c>
      <c r="BL19">
        <v>0</v>
      </c>
      <c r="BM19">
        <v>0</v>
      </c>
      <c r="BN19">
        <v>1</v>
      </c>
      <c r="BO19">
        <v>0</v>
      </c>
      <c r="BP19">
        <v>0</v>
      </c>
      <c r="BR19">
        <v>12</v>
      </c>
      <c r="BS19">
        <v>7</v>
      </c>
      <c r="BX19">
        <v>498.84</v>
      </c>
      <c r="BY19">
        <v>0</v>
      </c>
      <c r="BZ19">
        <v>0</v>
      </c>
      <c r="CA19">
        <v>4.29</v>
      </c>
      <c r="CC19">
        <v>1</v>
      </c>
      <c r="CD19" s="56">
        <v>42761</v>
      </c>
      <c r="CE19" s="56">
        <v>42761</v>
      </c>
      <c r="CF19" s="56">
        <v>42761</v>
      </c>
      <c r="CG19" s="56">
        <v>42887</v>
      </c>
      <c r="CH19" s="56"/>
      <c r="CI19" s="56"/>
      <c r="CJ19">
        <v>4</v>
      </c>
      <c r="CK19">
        <v>0</v>
      </c>
      <c r="CL19">
        <v>0.16</v>
      </c>
      <c r="CM19">
        <v>0.01</v>
      </c>
      <c r="CN19">
        <v>0</v>
      </c>
      <c r="CO19">
        <v>0</v>
      </c>
      <c r="CP19">
        <v>0</v>
      </c>
      <c r="CQ19" t="s">
        <v>1732</v>
      </c>
      <c r="CR19" t="s">
        <v>1368</v>
      </c>
      <c r="CS19" t="s">
        <v>1735</v>
      </c>
      <c r="CT19" t="s">
        <v>1649</v>
      </c>
      <c r="CU19" t="s">
        <v>1736</v>
      </c>
      <c r="CV19" t="s">
        <v>1669</v>
      </c>
      <c r="DB19" t="s">
        <v>1662</v>
      </c>
      <c r="DE19" t="s">
        <v>1649</v>
      </c>
    </row>
    <row r="20" spans="1:109" x14ac:dyDescent="0.25">
      <c r="A20" t="s">
        <v>1732</v>
      </c>
      <c r="B20">
        <v>1</v>
      </c>
      <c r="C20" s="56">
        <v>42787</v>
      </c>
      <c r="D20" t="s">
        <v>1733</v>
      </c>
      <c r="E20" t="s">
        <v>1496</v>
      </c>
      <c r="G20" t="s">
        <v>1637</v>
      </c>
      <c r="H20" t="s">
        <v>1637</v>
      </c>
      <c r="I20" t="s">
        <v>1637</v>
      </c>
      <c r="J20" t="s">
        <v>1637</v>
      </c>
      <c r="K20" t="s">
        <v>1637</v>
      </c>
      <c r="L20">
        <v>56.29</v>
      </c>
      <c r="M20">
        <v>139.94999999999999</v>
      </c>
      <c r="N20">
        <v>0</v>
      </c>
      <c r="O20" s="56"/>
      <c r="P20" s="56"/>
      <c r="Q20">
        <v>13721</v>
      </c>
      <c r="R20">
        <v>6</v>
      </c>
      <c r="S20">
        <v>18</v>
      </c>
      <c r="T20">
        <v>8</v>
      </c>
      <c r="U20">
        <v>10</v>
      </c>
      <c r="V20">
        <v>1</v>
      </c>
      <c r="W20" t="s">
        <v>1641</v>
      </c>
      <c r="X20" t="s">
        <v>1737</v>
      </c>
      <c r="AA20">
        <v>0.08</v>
      </c>
      <c r="AB20">
        <v>3</v>
      </c>
      <c r="AC20">
        <v>25</v>
      </c>
      <c r="AD20">
        <v>6.25</v>
      </c>
      <c r="AE20">
        <v>0</v>
      </c>
      <c r="AF20">
        <v>0</v>
      </c>
      <c r="AG20">
        <v>0</v>
      </c>
      <c r="AJ20" s="56"/>
      <c r="AK20" s="56"/>
      <c r="AL20" s="56"/>
      <c r="AP20" t="s">
        <v>1638</v>
      </c>
      <c r="AR20">
        <v>2</v>
      </c>
      <c r="AS20" t="s">
        <v>1639</v>
      </c>
      <c r="AT20">
        <v>1</v>
      </c>
      <c r="AV20">
        <v>8</v>
      </c>
      <c r="AW20">
        <v>5</v>
      </c>
      <c r="AX20">
        <v>3</v>
      </c>
      <c r="AY20" t="s">
        <v>1742</v>
      </c>
      <c r="AZ20" t="s">
        <v>1742</v>
      </c>
      <c r="BA20">
        <v>12</v>
      </c>
      <c r="BD20">
        <v>1000000000</v>
      </c>
      <c r="BE20">
        <v>2</v>
      </c>
      <c r="BF20">
        <v>0.75</v>
      </c>
      <c r="BG20">
        <v>0</v>
      </c>
      <c r="BH20">
        <v>0</v>
      </c>
      <c r="BI20">
        <v>0</v>
      </c>
      <c r="BJ20">
        <v>0</v>
      </c>
      <c r="BK20">
        <v>0</v>
      </c>
      <c r="BL20">
        <v>0</v>
      </c>
      <c r="BM20">
        <v>2</v>
      </c>
      <c r="BN20">
        <v>0.75</v>
      </c>
      <c r="BO20">
        <v>0</v>
      </c>
      <c r="BP20">
        <v>0</v>
      </c>
      <c r="BR20">
        <v>6</v>
      </c>
      <c r="BS20">
        <v>4</v>
      </c>
      <c r="BX20">
        <v>83.66</v>
      </c>
      <c r="BY20">
        <v>0</v>
      </c>
      <c r="BZ20">
        <v>0</v>
      </c>
      <c r="CA20">
        <v>3.96</v>
      </c>
      <c r="CC20">
        <v>1</v>
      </c>
      <c r="CD20" s="56">
        <v>42761</v>
      </c>
      <c r="CE20" s="56">
        <v>42761</v>
      </c>
      <c r="CF20" s="56">
        <v>42761</v>
      </c>
      <c r="CG20" s="56">
        <v>42887</v>
      </c>
      <c r="CH20" s="56"/>
      <c r="CI20" s="56"/>
      <c r="CJ20">
        <v>0</v>
      </c>
      <c r="CK20">
        <v>0</v>
      </c>
      <c r="CL20">
        <v>0</v>
      </c>
      <c r="CM20">
        <v>0.17</v>
      </c>
      <c r="CN20">
        <v>0</v>
      </c>
      <c r="CO20">
        <v>0</v>
      </c>
      <c r="CP20">
        <v>0</v>
      </c>
      <c r="CQ20" t="s">
        <v>1732</v>
      </c>
      <c r="CR20" t="s">
        <v>1368</v>
      </c>
      <c r="CS20" t="s">
        <v>1735</v>
      </c>
      <c r="CT20" t="s">
        <v>1649</v>
      </c>
      <c r="CU20" t="s">
        <v>1736</v>
      </c>
      <c r="CV20" t="s">
        <v>1670</v>
      </c>
      <c r="DB20" t="s">
        <v>1671</v>
      </c>
      <c r="DE20" t="s">
        <v>1649</v>
      </c>
    </row>
    <row r="21" spans="1:109" x14ac:dyDescent="0.25">
      <c r="A21" t="s">
        <v>1732</v>
      </c>
      <c r="B21">
        <v>1</v>
      </c>
      <c r="C21" s="56">
        <v>42787</v>
      </c>
      <c r="D21" t="s">
        <v>1733</v>
      </c>
      <c r="E21" t="s">
        <v>1497</v>
      </c>
      <c r="G21" t="s">
        <v>1637</v>
      </c>
      <c r="H21" t="s">
        <v>1637</v>
      </c>
      <c r="I21" t="s">
        <v>1637</v>
      </c>
      <c r="J21" t="s">
        <v>1637</v>
      </c>
      <c r="K21" t="s">
        <v>1637</v>
      </c>
      <c r="L21">
        <v>58.1</v>
      </c>
      <c r="M21">
        <v>146.34</v>
      </c>
      <c r="N21">
        <v>0</v>
      </c>
      <c r="O21" s="56"/>
      <c r="P21" s="56"/>
      <c r="Q21">
        <v>13721</v>
      </c>
      <c r="R21">
        <v>6</v>
      </c>
      <c r="S21">
        <v>18</v>
      </c>
      <c r="T21">
        <v>8</v>
      </c>
      <c r="U21">
        <v>10</v>
      </c>
      <c r="V21">
        <v>1</v>
      </c>
      <c r="W21" t="s">
        <v>1641</v>
      </c>
      <c r="X21" t="s">
        <v>1737</v>
      </c>
      <c r="AA21">
        <v>0.24</v>
      </c>
      <c r="AB21">
        <v>7</v>
      </c>
      <c r="AC21">
        <v>10.42</v>
      </c>
      <c r="AD21">
        <v>4.17</v>
      </c>
      <c r="AE21">
        <v>0</v>
      </c>
      <c r="AF21">
        <v>0</v>
      </c>
      <c r="AG21">
        <v>0</v>
      </c>
      <c r="AJ21" s="56">
        <v>42666</v>
      </c>
      <c r="AK21" s="56"/>
      <c r="AL21" s="56"/>
      <c r="AP21" t="s">
        <v>1638</v>
      </c>
      <c r="AR21">
        <v>2</v>
      </c>
      <c r="AS21" t="s">
        <v>1639</v>
      </c>
      <c r="AT21">
        <v>1</v>
      </c>
      <c r="AV21">
        <v>10</v>
      </c>
      <c r="AW21">
        <v>7</v>
      </c>
      <c r="AX21">
        <v>3</v>
      </c>
      <c r="AY21" t="s">
        <v>1739</v>
      </c>
      <c r="AZ21" t="s">
        <v>1739</v>
      </c>
      <c r="BA21">
        <v>15</v>
      </c>
      <c r="BD21">
        <v>1000000000</v>
      </c>
      <c r="BE21">
        <v>4</v>
      </c>
      <c r="BF21">
        <v>0.6</v>
      </c>
      <c r="BG21">
        <v>0</v>
      </c>
      <c r="BH21">
        <v>0</v>
      </c>
      <c r="BI21">
        <v>0</v>
      </c>
      <c r="BJ21">
        <v>0</v>
      </c>
      <c r="BK21">
        <v>0</v>
      </c>
      <c r="BL21">
        <v>0</v>
      </c>
      <c r="BM21">
        <v>4</v>
      </c>
      <c r="BN21">
        <v>0.6</v>
      </c>
      <c r="BO21">
        <v>0</v>
      </c>
      <c r="BP21">
        <v>0</v>
      </c>
      <c r="BR21">
        <v>6</v>
      </c>
      <c r="BS21">
        <v>6</v>
      </c>
      <c r="BX21">
        <v>0</v>
      </c>
      <c r="BY21">
        <v>0</v>
      </c>
      <c r="BZ21">
        <v>0</v>
      </c>
      <c r="CA21">
        <v>4.05</v>
      </c>
      <c r="CC21">
        <v>1</v>
      </c>
      <c r="CD21" s="56">
        <v>42761</v>
      </c>
      <c r="CE21" s="56">
        <v>42761</v>
      </c>
      <c r="CF21" s="56">
        <v>42761</v>
      </c>
      <c r="CG21" s="56">
        <v>42887</v>
      </c>
      <c r="CH21" s="56"/>
      <c r="CI21" s="56"/>
      <c r="CJ21">
        <v>0</v>
      </c>
      <c r="CK21">
        <v>0</v>
      </c>
      <c r="CL21">
        <v>0</v>
      </c>
      <c r="CM21">
        <v>0</v>
      </c>
      <c r="CN21">
        <v>0.17</v>
      </c>
      <c r="CO21">
        <v>0</v>
      </c>
      <c r="CP21">
        <v>0</v>
      </c>
      <c r="CQ21" t="s">
        <v>1732</v>
      </c>
      <c r="CR21" t="s">
        <v>1368</v>
      </c>
      <c r="CS21" t="s">
        <v>1735</v>
      </c>
      <c r="CT21" t="s">
        <v>1649</v>
      </c>
      <c r="CU21" t="s">
        <v>1736</v>
      </c>
      <c r="CV21" t="s">
        <v>1672</v>
      </c>
      <c r="DB21" t="s">
        <v>1671</v>
      </c>
      <c r="DE21" t="s">
        <v>1649</v>
      </c>
    </row>
    <row r="22" spans="1:109" x14ac:dyDescent="0.25">
      <c r="A22" t="s">
        <v>1732</v>
      </c>
      <c r="B22">
        <v>1</v>
      </c>
      <c r="C22" s="56">
        <v>42787</v>
      </c>
      <c r="D22" t="s">
        <v>1733</v>
      </c>
      <c r="E22" t="s">
        <v>1643</v>
      </c>
      <c r="G22" t="s">
        <v>1637</v>
      </c>
      <c r="H22" t="s">
        <v>1637</v>
      </c>
      <c r="I22" t="s">
        <v>1637</v>
      </c>
      <c r="J22" t="s">
        <v>1637</v>
      </c>
      <c r="K22" t="s">
        <v>1637</v>
      </c>
      <c r="L22">
        <v>99.44</v>
      </c>
      <c r="M22">
        <v>182</v>
      </c>
      <c r="N22">
        <v>0</v>
      </c>
      <c r="O22" s="56"/>
      <c r="P22" s="56"/>
      <c r="Q22">
        <v>13721</v>
      </c>
      <c r="R22">
        <v>6</v>
      </c>
      <c r="S22">
        <v>18</v>
      </c>
      <c r="T22">
        <v>8</v>
      </c>
      <c r="U22">
        <v>10</v>
      </c>
      <c r="V22">
        <v>1</v>
      </c>
      <c r="W22" t="s">
        <v>1641</v>
      </c>
      <c r="X22" t="s">
        <v>1737</v>
      </c>
      <c r="AA22">
        <v>0</v>
      </c>
      <c r="AB22">
        <v>0</v>
      </c>
      <c r="AC22">
        <v>0</v>
      </c>
      <c r="AD22">
        <v>0</v>
      </c>
      <c r="AE22">
        <v>0</v>
      </c>
      <c r="AF22">
        <v>0</v>
      </c>
      <c r="AG22">
        <v>0</v>
      </c>
      <c r="AJ22" s="56"/>
      <c r="AK22" s="56"/>
      <c r="AL22" s="56"/>
      <c r="AP22" t="s">
        <v>1638</v>
      </c>
      <c r="AR22">
        <v>1</v>
      </c>
      <c r="AS22" t="s">
        <v>1639</v>
      </c>
      <c r="AT22">
        <v>1</v>
      </c>
      <c r="AV22">
        <v>10</v>
      </c>
      <c r="AW22">
        <v>7</v>
      </c>
      <c r="AX22">
        <v>3</v>
      </c>
      <c r="AY22" t="s">
        <v>1739</v>
      </c>
      <c r="AZ22" t="s">
        <v>1739</v>
      </c>
      <c r="BA22">
        <v>15</v>
      </c>
      <c r="BD22">
        <v>1000000000</v>
      </c>
      <c r="BE22">
        <v>7</v>
      </c>
      <c r="BF22">
        <v>0.3</v>
      </c>
      <c r="BG22">
        <v>0</v>
      </c>
      <c r="BH22">
        <v>0</v>
      </c>
      <c r="BI22">
        <v>0</v>
      </c>
      <c r="BJ22">
        <v>0</v>
      </c>
      <c r="BK22">
        <v>0</v>
      </c>
      <c r="BL22">
        <v>0</v>
      </c>
      <c r="BM22">
        <v>7</v>
      </c>
      <c r="BN22">
        <v>0.3</v>
      </c>
      <c r="BO22">
        <v>0</v>
      </c>
      <c r="BP22">
        <v>0</v>
      </c>
      <c r="BR22">
        <v>3</v>
      </c>
      <c r="BS22">
        <v>6</v>
      </c>
      <c r="BX22">
        <v>0</v>
      </c>
      <c r="BY22">
        <v>0</v>
      </c>
      <c r="BZ22">
        <v>0</v>
      </c>
      <c r="CA22">
        <v>2.21</v>
      </c>
      <c r="CC22">
        <v>1</v>
      </c>
      <c r="CD22" s="56">
        <v>42761</v>
      </c>
      <c r="CE22" s="56">
        <v>42761</v>
      </c>
      <c r="CF22" s="56">
        <v>42761</v>
      </c>
      <c r="CG22" s="56">
        <v>42887</v>
      </c>
      <c r="CH22" s="56"/>
      <c r="CI22" s="56"/>
      <c r="CJ22">
        <v>0</v>
      </c>
      <c r="CK22">
        <v>0</v>
      </c>
      <c r="CL22">
        <v>0</v>
      </c>
      <c r="CM22">
        <v>0</v>
      </c>
      <c r="CN22">
        <v>0.17</v>
      </c>
      <c r="CO22">
        <v>0</v>
      </c>
      <c r="CP22">
        <v>0</v>
      </c>
      <c r="CQ22" t="s">
        <v>1732</v>
      </c>
      <c r="CR22" t="s">
        <v>1368</v>
      </c>
      <c r="CS22" t="s">
        <v>1735</v>
      </c>
      <c r="CT22" t="s">
        <v>1649</v>
      </c>
      <c r="CU22" t="s">
        <v>1736</v>
      </c>
      <c r="CV22" t="s">
        <v>1673</v>
      </c>
      <c r="DB22" t="s">
        <v>1671</v>
      </c>
      <c r="DE22" t="s">
        <v>1649</v>
      </c>
    </row>
    <row r="23" spans="1:109" x14ac:dyDescent="0.25">
      <c r="A23" t="s">
        <v>1732</v>
      </c>
      <c r="B23">
        <v>1</v>
      </c>
      <c r="C23" s="56">
        <v>42787</v>
      </c>
      <c r="D23" t="s">
        <v>1733</v>
      </c>
      <c r="E23" t="s">
        <v>1644</v>
      </c>
      <c r="G23" t="s">
        <v>1637</v>
      </c>
      <c r="H23" t="s">
        <v>1637</v>
      </c>
      <c r="I23" t="s">
        <v>1637</v>
      </c>
      <c r="J23" t="s">
        <v>1637</v>
      </c>
      <c r="K23" t="s">
        <v>1637</v>
      </c>
      <c r="L23">
        <v>108.47</v>
      </c>
      <c r="M23">
        <v>253.38</v>
      </c>
      <c r="N23">
        <v>0</v>
      </c>
      <c r="O23" s="56"/>
      <c r="P23" s="56"/>
      <c r="Q23">
        <v>13721</v>
      </c>
      <c r="R23">
        <v>6</v>
      </c>
      <c r="S23">
        <v>18</v>
      </c>
      <c r="T23">
        <v>8</v>
      </c>
      <c r="U23">
        <v>10</v>
      </c>
      <c r="V23">
        <v>1</v>
      </c>
      <c r="W23" t="s">
        <v>1641</v>
      </c>
      <c r="X23" t="s">
        <v>1737</v>
      </c>
      <c r="AA23">
        <v>0</v>
      </c>
      <c r="AB23">
        <v>0</v>
      </c>
      <c r="AC23">
        <v>0</v>
      </c>
      <c r="AD23">
        <v>0</v>
      </c>
      <c r="AE23">
        <v>0</v>
      </c>
      <c r="AF23">
        <v>0</v>
      </c>
      <c r="AG23">
        <v>0</v>
      </c>
      <c r="AJ23" s="56">
        <v>42666</v>
      </c>
      <c r="AK23" s="56"/>
      <c r="AL23" s="56"/>
      <c r="AP23" t="s">
        <v>1638</v>
      </c>
      <c r="AR23">
        <v>1</v>
      </c>
      <c r="AS23" t="s">
        <v>1639</v>
      </c>
      <c r="AT23">
        <v>1</v>
      </c>
      <c r="AV23">
        <v>10</v>
      </c>
      <c r="AW23">
        <v>7</v>
      </c>
      <c r="AX23">
        <v>3</v>
      </c>
      <c r="AY23" t="s">
        <v>1741</v>
      </c>
      <c r="AZ23" t="s">
        <v>1741</v>
      </c>
      <c r="BA23">
        <v>15</v>
      </c>
      <c r="BD23">
        <v>1000000000</v>
      </c>
      <c r="BE23">
        <v>8</v>
      </c>
      <c r="BF23">
        <v>0.2</v>
      </c>
      <c r="BG23">
        <v>0</v>
      </c>
      <c r="BH23">
        <v>0</v>
      </c>
      <c r="BI23">
        <v>0</v>
      </c>
      <c r="BJ23">
        <v>0</v>
      </c>
      <c r="BK23">
        <v>0</v>
      </c>
      <c r="BL23">
        <v>0</v>
      </c>
      <c r="BM23">
        <v>8</v>
      </c>
      <c r="BN23">
        <v>0.2</v>
      </c>
      <c r="BO23">
        <v>0</v>
      </c>
      <c r="BP23">
        <v>0</v>
      </c>
      <c r="BR23">
        <v>2</v>
      </c>
      <c r="BS23">
        <v>6</v>
      </c>
      <c r="BX23">
        <v>0</v>
      </c>
      <c r="BY23">
        <v>0</v>
      </c>
      <c r="BZ23">
        <v>0</v>
      </c>
      <c r="CA23">
        <v>3.56</v>
      </c>
      <c r="CC23">
        <v>1</v>
      </c>
      <c r="CD23" s="56">
        <v>42761</v>
      </c>
      <c r="CE23" s="56">
        <v>42761</v>
      </c>
      <c r="CF23" s="56">
        <v>42761</v>
      </c>
      <c r="CG23" s="56">
        <v>42887</v>
      </c>
      <c r="CH23" s="56"/>
      <c r="CI23" s="56"/>
      <c r="CJ23">
        <v>0</v>
      </c>
      <c r="CK23">
        <v>0</v>
      </c>
      <c r="CL23">
        <v>0</v>
      </c>
      <c r="CM23">
        <v>0</v>
      </c>
      <c r="CN23">
        <v>0</v>
      </c>
      <c r="CO23">
        <v>0.17</v>
      </c>
      <c r="CP23">
        <v>0</v>
      </c>
      <c r="CQ23" t="s">
        <v>1732</v>
      </c>
      <c r="CR23" t="s">
        <v>1368</v>
      </c>
      <c r="CS23" t="s">
        <v>1735</v>
      </c>
      <c r="CT23" t="s">
        <v>1649</v>
      </c>
      <c r="CU23" t="s">
        <v>1736</v>
      </c>
      <c r="CV23" t="s">
        <v>1674</v>
      </c>
      <c r="DB23" t="s">
        <v>1671</v>
      </c>
      <c r="DE23" t="s">
        <v>1649</v>
      </c>
    </row>
    <row r="24" spans="1:109" x14ac:dyDescent="0.25">
      <c r="A24" t="s">
        <v>1732</v>
      </c>
      <c r="B24">
        <v>1</v>
      </c>
      <c r="C24" s="56">
        <v>42787</v>
      </c>
      <c r="D24" t="s">
        <v>1733</v>
      </c>
      <c r="E24" t="s">
        <v>1498</v>
      </c>
      <c r="G24" t="s">
        <v>1637</v>
      </c>
      <c r="H24" t="s">
        <v>1637</v>
      </c>
      <c r="I24" t="s">
        <v>1637</v>
      </c>
      <c r="J24" t="s">
        <v>1637</v>
      </c>
      <c r="K24" t="s">
        <v>1637</v>
      </c>
      <c r="L24">
        <v>135.87</v>
      </c>
      <c r="M24">
        <v>266.52</v>
      </c>
      <c r="N24">
        <v>0</v>
      </c>
      <c r="O24" s="56"/>
      <c r="P24" s="56"/>
      <c r="Q24">
        <v>13721</v>
      </c>
      <c r="R24">
        <v>6</v>
      </c>
      <c r="S24">
        <v>18</v>
      </c>
      <c r="T24">
        <v>8</v>
      </c>
      <c r="U24">
        <v>10</v>
      </c>
      <c r="V24">
        <v>1</v>
      </c>
      <c r="W24" t="s">
        <v>1641</v>
      </c>
      <c r="X24" t="s">
        <v>1737</v>
      </c>
      <c r="AA24">
        <v>0.24</v>
      </c>
      <c r="AB24">
        <v>7</v>
      </c>
      <c r="AC24">
        <v>10.42</v>
      </c>
      <c r="AD24">
        <v>4.17</v>
      </c>
      <c r="AE24">
        <v>0</v>
      </c>
      <c r="AF24">
        <v>0</v>
      </c>
      <c r="AG24">
        <v>0</v>
      </c>
      <c r="AJ24" s="56"/>
      <c r="AK24" s="56"/>
      <c r="AL24" s="56"/>
      <c r="AP24" t="s">
        <v>1638</v>
      </c>
      <c r="AR24">
        <v>1</v>
      </c>
      <c r="AS24" t="s">
        <v>1639</v>
      </c>
      <c r="AT24">
        <v>1</v>
      </c>
      <c r="AV24">
        <v>10</v>
      </c>
      <c r="AW24">
        <v>7</v>
      </c>
      <c r="AX24">
        <v>3</v>
      </c>
      <c r="AY24" t="s">
        <v>1739</v>
      </c>
      <c r="AZ24" t="s">
        <v>1739</v>
      </c>
      <c r="BA24">
        <v>15</v>
      </c>
      <c r="BD24">
        <v>1000000000</v>
      </c>
      <c r="BE24">
        <v>4</v>
      </c>
      <c r="BF24">
        <v>0.6</v>
      </c>
      <c r="BG24">
        <v>0</v>
      </c>
      <c r="BH24">
        <v>0</v>
      </c>
      <c r="BI24">
        <v>0</v>
      </c>
      <c r="BJ24">
        <v>0</v>
      </c>
      <c r="BK24">
        <v>0</v>
      </c>
      <c r="BL24">
        <v>0</v>
      </c>
      <c r="BM24">
        <v>4</v>
      </c>
      <c r="BN24">
        <v>0.6</v>
      </c>
      <c r="BO24">
        <v>0</v>
      </c>
      <c r="BP24">
        <v>0</v>
      </c>
      <c r="BR24">
        <v>6</v>
      </c>
      <c r="BS24">
        <v>6</v>
      </c>
      <c r="BX24">
        <v>0</v>
      </c>
      <c r="BY24">
        <v>0</v>
      </c>
      <c r="BZ24">
        <v>0</v>
      </c>
      <c r="CA24">
        <v>2.56</v>
      </c>
      <c r="CC24">
        <v>1</v>
      </c>
      <c r="CD24" s="56">
        <v>42761</v>
      </c>
      <c r="CE24" s="56">
        <v>42761</v>
      </c>
      <c r="CF24" s="56">
        <v>42761</v>
      </c>
      <c r="CG24" s="56">
        <v>42887</v>
      </c>
      <c r="CH24" s="56"/>
      <c r="CI24" s="56"/>
      <c r="CJ24">
        <v>0</v>
      </c>
      <c r="CK24">
        <v>0</v>
      </c>
      <c r="CL24">
        <v>0</v>
      </c>
      <c r="CM24">
        <v>0</v>
      </c>
      <c r="CN24">
        <v>0.17</v>
      </c>
      <c r="CO24">
        <v>0</v>
      </c>
      <c r="CP24">
        <v>0</v>
      </c>
      <c r="CQ24" t="s">
        <v>1732</v>
      </c>
      <c r="CR24" t="s">
        <v>1368</v>
      </c>
      <c r="CS24" t="s">
        <v>1735</v>
      </c>
      <c r="CT24" t="s">
        <v>1649</v>
      </c>
      <c r="CU24" t="s">
        <v>1736</v>
      </c>
      <c r="CV24" t="s">
        <v>1675</v>
      </c>
      <c r="DB24" t="s">
        <v>1671</v>
      </c>
      <c r="DE24" t="s">
        <v>1649</v>
      </c>
    </row>
    <row r="25" spans="1:109" x14ac:dyDescent="0.25">
      <c r="A25" t="s">
        <v>1732</v>
      </c>
      <c r="B25">
        <v>1</v>
      </c>
      <c r="C25" s="56">
        <v>42787</v>
      </c>
      <c r="D25" t="s">
        <v>1733</v>
      </c>
      <c r="E25" t="s">
        <v>1645</v>
      </c>
      <c r="G25" t="s">
        <v>1637</v>
      </c>
      <c r="H25" t="s">
        <v>1637</v>
      </c>
      <c r="I25" t="s">
        <v>1637</v>
      </c>
      <c r="J25" t="s">
        <v>1637</v>
      </c>
      <c r="K25" t="s">
        <v>1637</v>
      </c>
      <c r="L25">
        <v>154.79</v>
      </c>
      <c r="M25">
        <v>327.33999999999997</v>
      </c>
      <c r="N25">
        <v>0</v>
      </c>
      <c r="O25" s="56"/>
      <c r="P25" s="56"/>
      <c r="Q25">
        <v>13721</v>
      </c>
      <c r="R25">
        <v>6</v>
      </c>
      <c r="S25">
        <v>18</v>
      </c>
      <c r="T25">
        <v>8</v>
      </c>
      <c r="U25">
        <v>10</v>
      </c>
      <c r="V25">
        <v>1</v>
      </c>
      <c r="W25" t="s">
        <v>1641</v>
      </c>
      <c r="X25" t="s">
        <v>1737</v>
      </c>
      <c r="AA25">
        <v>0</v>
      </c>
      <c r="AB25">
        <v>0</v>
      </c>
      <c r="AC25">
        <v>0</v>
      </c>
      <c r="AD25">
        <v>0</v>
      </c>
      <c r="AE25">
        <v>0</v>
      </c>
      <c r="AF25">
        <v>0</v>
      </c>
      <c r="AG25">
        <v>0</v>
      </c>
      <c r="AJ25" s="56">
        <v>42666</v>
      </c>
      <c r="AK25" s="56"/>
      <c r="AL25" s="56"/>
      <c r="AP25" t="s">
        <v>1638</v>
      </c>
      <c r="AR25">
        <v>1</v>
      </c>
      <c r="AS25" t="s">
        <v>1639</v>
      </c>
      <c r="AT25">
        <v>1</v>
      </c>
      <c r="AV25">
        <v>8</v>
      </c>
      <c r="AW25">
        <v>5</v>
      </c>
      <c r="AX25">
        <v>3</v>
      </c>
      <c r="AY25" t="s">
        <v>1741</v>
      </c>
      <c r="AZ25" t="s">
        <v>1741</v>
      </c>
      <c r="BA25">
        <v>12</v>
      </c>
      <c r="BD25">
        <v>1000000000</v>
      </c>
      <c r="BE25">
        <v>8</v>
      </c>
      <c r="BF25">
        <v>0</v>
      </c>
      <c r="BG25">
        <v>0</v>
      </c>
      <c r="BH25">
        <v>0</v>
      </c>
      <c r="BI25">
        <v>0</v>
      </c>
      <c r="BJ25">
        <v>0</v>
      </c>
      <c r="BK25">
        <v>0</v>
      </c>
      <c r="BL25">
        <v>0</v>
      </c>
      <c r="BM25">
        <v>8</v>
      </c>
      <c r="BN25">
        <v>0</v>
      </c>
      <c r="BO25">
        <v>0</v>
      </c>
      <c r="BP25">
        <v>0</v>
      </c>
      <c r="BR25">
        <v>0</v>
      </c>
      <c r="BS25">
        <v>4</v>
      </c>
      <c r="BX25">
        <v>0</v>
      </c>
      <c r="BY25">
        <v>0</v>
      </c>
      <c r="BZ25">
        <v>0</v>
      </c>
      <c r="CA25">
        <v>2.97</v>
      </c>
      <c r="CC25">
        <v>1</v>
      </c>
      <c r="CD25" s="56">
        <v>42761</v>
      </c>
      <c r="CE25" s="56">
        <v>42761</v>
      </c>
      <c r="CF25" s="56">
        <v>42761</v>
      </c>
      <c r="CG25" s="56">
        <v>42887</v>
      </c>
      <c r="CH25" s="56"/>
      <c r="CI25" s="56"/>
      <c r="CJ25">
        <v>0</v>
      </c>
      <c r="CK25">
        <v>0</v>
      </c>
      <c r="CL25">
        <v>0</v>
      </c>
      <c r="CM25">
        <v>0</v>
      </c>
      <c r="CN25">
        <v>0</v>
      </c>
      <c r="CO25">
        <v>0.17</v>
      </c>
      <c r="CP25">
        <v>0</v>
      </c>
      <c r="CQ25" t="s">
        <v>1732</v>
      </c>
      <c r="CR25" t="s">
        <v>1368</v>
      </c>
      <c r="CS25" t="s">
        <v>1735</v>
      </c>
      <c r="CT25" t="s">
        <v>1649</v>
      </c>
      <c r="CU25" t="s">
        <v>1736</v>
      </c>
      <c r="CV25" t="s">
        <v>1676</v>
      </c>
      <c r="DB25" t="s">
        <v>1671</v>
      </c>
      <c r="DE25" t="s">
        <v>1649</v>
      </c>
    </row>
    <row r="26" spans="1:109" x14ac:dyDescent="0.25">
      <c r="A26" t="s">
        <v>1732</v>
      </c>
      <c r="B26">
        <v>1</v>
      </c>
      <c r="C26" s="56">
        <v>42787</v>
      </c>
      <c r="D26" t="s">
        <v>1733</v>
      </c>
      <c r="E26" t="s">
        <v>1646</v>
      </c>
      <c r="G26" t="s">
        <v>1637</v>
      </c>
      <c r="H26" t="s">
        <v>1637</v>
      </c>
      <c r="I26" t="s">
        <v>1637</v>
      </c>
      <c r="J26" t="s">
        <v>1637</v>
      </c>
      <c r="K26" t="s">
        <v>1637</v>
      </c>
      <c r="L26">
        <v>191.96</v>
      </c>
      <c r="M26">
        <v>417.35</v>
      </c>
      <c r="N26">
        <v>0</v>
      </c>
      <c r="O26" s="56"/>
      <c r="P26" s="56"/>
      <c r="Q26">
        <v>13721</v>
      </c>
      <c r="R26">
        <v>6</v>
      </c>
      <c r="S26">
        <v>18</v>
      </c>
      <c r="T26">
        <v>8</v>
      </c>
      <c r="U26">
        <v>10</v>
      </c>
      <c r="V26">
        <v>1</v>
      </c>
      <c r="W26" t="s">
        <v>1641</v>
      </c>
      <c r="X26" t="s">
        <v>1737</v>
      </c>
      <c r="AA26">
        <v>0</v>
      </c>
      <c r="AB26">
        <v>0</v>
      </c>
      <c r="AC26">
        <v>0</v>
      </c>
      <c r="AD26">
        <v>0</v>
      </c>
      <c r="AE26">
        <v>0</v>
      </c>
      <c r="AF26">
        <v>0</v>
      </c>
      <c r="AG26">
        <v>0</v>
      </c>
      <c r="AJ26" s="56">
        <v>42666</v>
      </c>
      <c r="AK26" s="56"/>
      <c r="AL26" s="56"/>
      <c r="AP26" t="s">
        <v>1638</v>
      </c>
      <c r="AR26">
        <v>1</v>
      </c>
      <c r="AS26" t="s">
        <v>1639</v>
      </c>
      <c r="AT26">
        <v>1</v>
      </c>
      <c r="AV26">
        <v>8</v>
      </c>
      <c r="AW26">
        <v>5</v>
      </c>
      <c r="AX26">
        <v>3</v>
      </c>
      <c r="AY26" t="s">
        <v>1741</v>
      </c>
      <c r="AZ26" t="s">
        <v>1741</v>
      </c>
      <c r="BA26">
        <v>12</v>
      </c>
      <c r="BD26">
        <v>1000000000</v>
      </c>
      <c r="BE26">
        <v>8</v>
      </c>
      <c r="BF26">
        <v>0</v>
      </c>
      <c r="BG26">
        <v>0</v>
      </c>
      <c r="BH26">
        <v>0</v>
      </c>
      <c r="BI26">
        <v>0</v>
      </c>
      <c r="BJ26">
        <v>0</v>
      </c>
      <c r="BK26">
        <v>0</v>
      </c>
      <c r="BL26">
        <v>0</v>
      </c>
      <c r="BM26">
        <v>8</v>
      </c>
      <c r="BN26">
        <v>0</v>
      </c>
      <c r="BO26">
        <v>0</v>
      </c>
      <c r="BP26">
        <v>0</v>
      </c>
      <c r="BR26">
        <v>0</v>
      </c>
      <c r="BS26">
        <v>4</v>
      </c>
      <c r="BX26">
        <v>0</v>
      </c>
      <c r="BY26">
        <v>0</v>
      </c>
      <c r="BZ26">
        <v>0</v>
      </c>
      <c r="CA26">
        <v>3.13</v>
      </c>
      <c r="CC26">
        <v>1</v>
      </c>
      <c r="CD26" s="56">
        <v>42761</v>
      </c>
      <c r="CE26" s="56">
        <v>42761</v>
      </c>
      <c r="CF26" s="56">
        <v>42761</v>
      </c>
      <c r="CG26" s="56">
        <v>42887</v>
      </c>
      <c r="CH26" s="56"/>
      <c r="CI26" s="56"/>
      <c r="CJ26">
        <v>0</v>
      </c>
      <c r="CK26">
        <v>0</v>
      </c>
      <c r="CL26">
        <v>0</v>
      </c>
      <c r="CM26">
        <v>0</v>
      </c>
      <c r="CN26">
        <v>0</v>
      </c>
      <c r="CO26">
        <v>0.17</v>
      </c>
      <c r="CP26">
        <v>0</v>
      </c>
      <c r="CQ26" t="s">
        <v>1732</v>
      </c>
      <c r="CR26" t="s">
        <v>1368</v>
      </c>
      <c r="CS26" t="s">
        <v>1735</v>
      </c>
      <c r="CT26" t="s">
        <v>1649</v>
      </c>
      <c r="CU26" t="s">
        <v>1736</v>
      </c>
      <c r="CV26" t="s">
        <v>1677</v>
      </c>
      <c r="DB26" t="s">
        <v>1671</v>
      </c>
      <c r="DE26" t="s">
        <v>1649</v>
      </c>
    </row>
    <row r="27" spans="1:109" x14ac:dyDescent="0.25">
      <c r="A27" t="s">
        <v>1732</v>
      </c>
      <c r="B27">
        <v>1</v>
      </c>
      <c r="C27" s="56">
        <v>42787</v>
      </c>
      <c r="D27" t="s">
        <v>1733</v>
      </c>
      <c r="E27" t="s">
        <v>1499</v>
      </c>
      <c r="G27" t="s">
        <v>1637</v>
      </c>
      <c r="H27" t="s">
        <v>1637</v>
      </c>
      <c r="I27" t="s">
        <v>1637</v>
      </c>
      <c r="J27" t="s">
        <v>1637</v>
      </c>
      <c r="K27" t="s">
        <v>1637</v>
      </c>
      <c r="L27">
        <v>388.6</v>
      </c>
      <c r="M27">
        <v>755.28</v>
      </c>
      <c r="N27">
        <v>0</v>
      </c>
      <c r="O27" s="56"/>
      <c r="P27" s="56"/>
      <c r="Q27">
        <v>13721</v>
      </c>
      <c r="R27">
        <v>6</v>
      </c>
      <c r="S27">
        <v>18</v>
      </c>
      <c r="T27">
        <v>8</v>
      </c>
      <c r="U27">
        <v>10</v>
      </c>
      <c r="V27">
        <v>1</v>
      </c>
      <c r="X27" t="s">
        <v>1734</v>
      </c>
      <c r="AA27">
        <v>0.08</v>
      </c>
      <c r="AB27">
        <v>3</v>
      </c>
      <c r="AC27">
        <v>0</v>
      </c>
      <c r="AD27">
        <v>6.25</v>
      </c>
      <c r="AE27">
        <v>0</v>
      </c>
      <c r="AF27">
        <v>0</v>
      </c>
      <c r="AG27">
        <v>0</v>
      </c>
      <c r="AJ27" s="56"/>
      <c r="AK27" s="56"/>
      <c r="AL27" s="56"/>
      <c r="AP27" t="s">
        <v>1638</v>
      </c>
      <c r="AR27">
        <v>1</v>
      </c>
      <c r="AS27" t="s">
        <v>1639</v>
      </c>
      <c r="AT27">
        <v>1</v>
      </c>
      <c r="AV27">
        <v>0</v>
      </c>
      <c r="AW27">
        <v>0</v>
      </c>
      <c r="AX27">
        <v>0</v>
      </c>
      <c r="AY27" t="s">
        <v>1640</v>
      </c>
      <c r="AZ27" t="s">
        <v>1640</v>
      </c>
      <c r="BA27">
        <v>0</v>
      </c>
      <c r="BD27">
        <v>1000000000</v>
      </c>
      <c r="BE27">
        <v>2</v>
      </c>
      <c r="BF27">
        <v>0</v>
      </c>
      <c r="BG27">
        <v>0</v>
      </c>
      <c r="BH27">
        <v>0</v>
      </c>
      <c r="BI27">
        <v>0</v>
      </c>
      <c r="BJ27">
        <v>0</v>
      </c>
      <c r="BK27">
        <v>0</v>
      </c>
      <c r="BL27">
        <v>0</v>
      </c>
      <c r="BM27">
        <v>2</v>
      </c>
      <c r="BN27">
        <v>0</v>
      </c>
      <c r="BO27">
        <v>0</v>
      </c>
      <c r="BP27">
        <v>0</v>
      </c>
      <c r="BR27">
        <v>0</v>
      </c>
      <c r="BS27">
        <v>0</v>
      </c>
      <c r="BX27">
        <v>0</v>
      </c>
      <c r="BY27">
        <v>0</v>
      </c>
      <c r="BZ27">
        <v>0</v>
      </c>
      <c r="CA27">
        <v>0</v>
      </c>
      <c r="CC27">
        <v>1</v>
      </c>
      <c r="CD27" s="56">
        <v>42593</v>
      </c>
      <c r="CE27" s="56">
        <v>42661</v>
      </c>
      <c r="CF27" s="56">
        <v>42661</v>
      </c>
      <c r="CG27" s="56">
        <v>42787</v>
      </c>
      <c r="CH27" s="56"/>
      <c r="CI27" s="56"/>
      <c r="CJ27">
        <v>0.21</v>
      </c>
      <c r="CK27">
        <v>0</v>
      </c>
      <c r="CL27">
        <v>0.01</v>
      </c>
      <c r="CM27">
        <v>0</v>
      </c>
      <c r="CN27">
        <v>0</v>
      </c>
      <c r="CO27">
        <v>0</v>
      </c>
      <c r="CP27">
        <v>0.72</v>
      </c>
      <c r="CQ27" t="s">
        <v>1732</v>
      </c>
      <c r="CR27" t="s">
        <v>1368</v>
      </c>
      <c r="CS27" t="s">
        <v>1735</v>
      </c>
      <c r="CT27" t="s">
        <v>1649</v>
      </c>
      <c r="CU27" t="s">
        <v>1736</v>
      </c>
      <c r="CV27" t="s">
        <v>1678</v>
      </c>
      <c r="DB27" t="s">
        <v>1671</v>
      </c>
      <c r="DE27" t="s">
        <v>1649</v>
      </c>
    </row>
    <row r="28" spans="1:109" x14ac:dyDescent="0.25">
      <c r="A28" t="s">
        <v>1732</v>
      </c>
      <c r="B28">
        <v>1</v>
      </c>
      <c r="C28" s="56">
        <v>42787</v>
      </c>
      <c r="D28" t="s">
        <v>1733</v>
      </c>
      <c r="E28" t="s">
        <v>1679</v>
      </c>
      <c r="G28" t="s">
        <v>1637</v>
      </c>
      <c r="H28" t="s">
        <v>1637</v>
      </c>
      <c r="I28" t="s">
        <v>1637</v>
      </c>
      <c r="J28" t="s">
        <v>1637</v>
      </c>
      <c r="K28" t="s">
        <v>1637</v>
      </c>
      <c r="L28">
        <v>500</v>
      </c>
      <c r="M28">
        <v>2</v>
      </c>
      <c r="N28">
        <v>0</v>
      </c>
      <c r="O28" s="56"/>
      <c r="P28" s="56"/>
      <c r="Q28">
        <v>13721</v>
      </c>
      <c r="R28">
        <v>6</v>
      </c>
      <c r="S28">
        <v>18</v>
      </c>
      <c r="T28">
        <v>8</v>
      </c>
      <c r="U28">
        <v>10</v>
      </c>
      <c r="V28">
        <v>1</v>
      </c>
      <c r="X28" t="s">
        <v>1734</v>
      </c>
      <c r="AA28">
        <v>0</v>
      </c>
      <c r="AB28">
        <v>0</v>
      </c>
      <c r="AC28">
        <v>0</v>
      </c>
      <c r="AD28">
        <v>0</v>
      </c>
      <c r="AE28">
        <v>0</v>
      </c>
      <c r="AF28">
        <v>0</v>
      </c>
      <c r="AG28">
        <v>0</v>
      </c>
      <c r="AJ28" s="56"/>
      <c r="AK28" s="56"/>
      <c r="AL28" s="56"/>
      <c r="AP28" t="s">
        <v>1638</v>
      </c>
      <c r="AR28">
        <v>1</v>
      </c>
      <c r="AS28" t="s">
        <v>1639</v>
      </c>
      <c r="AT28">
        <v>1</v>
      </c>
      <c r="AV28">
        <v>0</v>
      </c>
      <c r="AW28">
        <v>0</v>
      </c>
      <c r="AX28">
        <v>0</v>
      </c>
      <c r="AY28" t="s">
        <v>1640</v>
      </c>
      <c r="AZ28" t="s">
        <v>1640</v>
      </c>
      <c r="BA28">
        <v>0</v>
      </c>
      <c r="BD28">
        <v>1000000000</v>
      </c>
      <c r="BE28">
        <v>0</v>
      </c>
      <c r="BF28">
        <v>0</v>
      </c>
      <c r="BG28">
        <v>0</v>
      </c>
      <c r="BH28">
        <v>0</v>
      </c>
      <c r="BI28">
        <v>0</v>
      </c>
      <c r="BJ28">
        <v>0</v>
      </c>
      <c r="BK28">
        <v>0</v>
      </c>
      <c r="BL28">
        <v>0</v>
      </c>
      <c r="BM28">
        <v>0</v>
      </c>
      <c r="BN28">
        <v>0</v>
      </c>
      <c r="BO28">
        <v>0</v>
      </c>
      <c r="BP28">
        <v>0</v>
      </c>
      <c r="BR28">
        <v>0</v>
      </c>
      <c r="BS28">
        <v>0</v>
      </c>
      <c r="BX28">
        <v>0</v>
      </c>
      <c r="BY28">
        <v>0</v>
      </c>
      <c r="BZ28">
        <v>0</v>
      </c>
      <c r="CA28">
        <v>0</v>
      </c>
      <c r="CC28">
        <v>1</v>
      </c>
      <c r="CD28" s="56">
        <v>42593</v>
      </c>
      <c r="CE28" s="56">
        <v>42661</v>
      </c>
      <c r="CF28" s="56">
        <v>42661</v>
      </c>
      <c r="CG28" s="56">
        <v>42787</v>
      </c>
      <c r="CH28" s="56"/>
      <c r="CI28" s="56"/>
      <c r="CJ28">
        <v>1</v>
      </c>
      <c r="CK28">
        <v>0</v>
      </c>
      <c r="CL28">
        <v>0.73</v>
      </c>
      <c r="CM28">
        <v>0</v>
      </c>
      <c r="CN28">
        <v>0</v>
      </c>
      <c r="CO28">
        <v>0</v>
      </c>
      <c r="CP28">
        <v>0</v>
      </c>
      <c r="CQ28" t="s">
        <v>1732</v>
      </c>
      <c r="CR28" t="s">
        <v>1368</v>
      </c>
      <c r="CS28" t="s">
        <v>1735</v>
      </c>
      <c r="CT28" t="s">
        <v>1649</v>
      </c>
      <c r="CU28" t="s">
        <v>1736</v>
      </c>
      <c r="CV28" t="s">
        <v>1680</v>
      </c>
      <c r="DB28" t="s">
        <v>1671</v>
      </c>
      <c r="DE28" t="s">
        <v>1649</v>
      </c>
    </row>
    <row r="29" spans="1:109" x14ac:dyDescent="0.25">
      <c r="A29" t="s">
        <v>1732</v>
      </c>
      <c r="B29">
        <v>1</v>
      </c>
      <c r="C29" s="56">
        <v>42787</v>
      </c>
      <c r="D29" t="s">
        <v>1733</v>
      </c>
      <c r="E29" t="s">
        <v>1681</v>
      </c>
      <c r="G29" t="s">
        <v>1637</v>
      </c>
      <c r="H29" t="s">
        <v>1637</v>
      </c>
      <c r="I29" t="s">
        <v>1637</v>
      </c>
      <c r="J29" t="s">
        <v>1637</v>
      </c>
      <c r="K29" t="s">
        <v>1637</v>
      </c>
      <c r="L29">
        <v>3.39</v>
      </c>
      <c r="M29">
        <v>9.27</v>
      </c>
      <c r="N29">
        <v>0</v>
      </c>
      <c r="O29" s="56"/>
      <c r="P29" s="56"/>
      <c r="Q29">
        <v>13721</v>
      </c>
      <c r="R29">
        <v>6</v>
      </c>
      <c r="S29">
        <v>18</v>
      </c>
      <c r="T29">
        <v>8</v>
      </c>
      <c r="U29">
        <v>10</v>
      </c>
      <c r="V29">
        <v>1</v>
      </c>
      <c r="X29" t="s">
        <v>1734</v>
      </c>
      <c r="AA29">
        <v>0</v>
      </c>
      <c r="AB29">
        <v>0</v>
      </c>
      <c r="AC29">
        <v>0</v>
      </c>
      <c r="AD29">
        <v>0</v>
      </c>
      <c r="AE29">
        <v>0</v>
      </c>
      <c r="AF29">
        <v>0</v>
      </c>
      <c r="AG29">
        <v>0</v>
      </c>
      <c r="AJ29" s="56"/>
      <c r="AK29" s="56"/>
      <c r="AL29" s="56"/>
      <c r="AP29" t="s">
        <v>1638</v>
      </c>
      <c r="AR29">
        <v>48</v>
      </c>
      <c r="AS29" t="s">
        <v>1639</v>
      </c>
      <c r="AT29">
        <v>1</v>
      </c>
      <c r="AV29">
        <v>0</v>
      </c>
      <c r="AW29">
        <v>0</v>
      </c>
      <c r="AX29">
        <v>0</v>
      </c>
      <c r="AY29" t="s">
        <v>1640</v>
      </c>
      <c r="AZ29" t="s">
        <v>1640</v>
      </c>
      <c r="BA29">
        <v>0</v>
      </c>
      <c r="BD29">
        <v>1000000000</v>
      </c>
      <c r="BE29">
        <v>0</v>
      </c>
      <c r="BF29">
        <v>0</v>
      </c>
      <c r="BG29">
        <v>0</v>
      </c>
      <c r="BH29">
        <v>0</v>
      </c>
      <c r="BI29">
        <v>0</v>
      </c>
      <c r="BJ29">
        <v>0</v>
      </c>
      <c r="BK29">
        <v>0</v>
      </c>
      <c r="BL29">
        <v>0</v>
      </c>
      <c r="BM29">
        <v>0</v>
      </c>
      <c r="BN29">
        <v>0</v>
      </c>
      <c r="BO29">
        <v>0</v>
      </c>
      <c r="BP29">
        <v>0</v>
      </c>
      <c r="BR29">
        <v>0</v>
      </c>
      <c r="BS29">
        <v>0</v>
      </c>
      <c r="BX29">
        <v>0</v>
      </c>
      <c r="BY29">
        <v>0</v>
      </c>
      <c r="BZ29">
        <v>0</v>
      </c>
      <c r="CA29">
        <v>0</v>
      </c>
      <c r="CC29">
        <v>1</v>
      </c>
      <c r="CD29" s="56">
        <v>42593</v>
      </c>
      <c r="CE29" s="56">
        <v>42661</v>
      </c>
      <c r="CF29" s="56">
        <v>42661</v>
      </c>
      <c r="CG29" s="56">
        <v>42787</v>
      </c>
      <c r="CH29" s="56"/>
      <c r="CI29" s="56"/>
      <c r="CJ29">
        <v>1</v>
      </c>
      <c r="CK29">
        <v>0</v>
      </c>
      <c r="CL29">
        <v>0.73</v>
      </c>
      <c r="CM29">
        <v>0</v>
      </c>
      <c r="CN29">
        <v>0</v>
      </c>
      <c r="CO29">
        <v>0</v>
      </c>
      <c r="CP29">
        <v>0</v>
      </c>
      <c r="CQ29" t="s">
        <v>1732</v>
      </c>
      <c r="CR29" t="s">
        <v>1368</v>
      </c>
      <c r="CS29" t="s">
        <v>1735</v>
      </c>
      <c r="CT29" t="s">
        <v>1649</v>
      </c>
      <c r="CU29" t="s">
        <v>1736</v>
      </c>
      <c r="CV29" t="s">
        <v>1682</v>
      </c>
      <c r="DB29" t="s">
        <v>1683</v>
      </c>
      <c r="DE29" t="s">
        <v>1649</v>
      </c>
    </row>
    <row r="30" spans="1:109" x14ac:dyDescent="0.25">
      <c r="A30" t="s">
        <v>1732</v>
      </c>
      <c r="B30">
        <v>1</v>
      </c>
      <c r="C30" s="56">
        <v>42787</v>
      </c>
      <c r="D30" t="s">
        <v>1733</v>
      </c>
      <c r="E30" t="s">
        <v>1684</v>
      </c>
      <c r="G30" t="s">
        <v>1637</v>
      </c>
      <c r="H30" t="s">
        <v>1637</v>
      </c>
      <c r="I30" t="s">
        <v>1637</v>
      </c>
      <c r="J30" t="s">
        <v>1637</v>
      </c>
      <c r="K30" t="s">
        <v>1637</v>
      </c>
      <c r="L30">
        <v>3.39</v>
      </c>
      <c r="M30">
        <v>12.36</v>
      </c>
      <c r="N30">
        <v>0</v>
      </c>
      <c r="O30" s="56"/>
      <c r="P30" s="56"/>
      <c r="Q30">
        <v>13721</v>
      </c>
      <c r="R30">
        <v>6</v>
      </c>
      <c r="S30">
        <v>18</v>
      </c>
      <c r="T30">
        <v>8</v>
      </c>
      <c r="U30">
        <v>10</v>
      </c>
      <c r="V30">
        <v>1</v>
      </c>
      <c r="X30" t="s">
        <v>1734</v>
      </c>
      <c r="AA30">
        <v>0</v>
      </c>
      <c r="AB30">
        <v>0</v>
      </c>
      <c r="AC30">
        <v>0</v>
      </c>
      <c r="AD30">
        <v>0</v>
      </c>
      <c r="AE30">
        <v>0</v>
      </c>
      <c r="AF30">
        <v>0</v>
      </c>
      <c r="AG30">
        <v>0</v>
      </c>
      <c r="AJ30" s="56"/>
      <c r="AK30" s="56"/>
      <c r="AL30" s="56"/>
      <c r="AP30" t="s">
        <v>1638</v>
      </c>
      <c r="AR30">
        <v>48</v>
      </c>
      <c r="AS30" t="s">
        <v>1639</v>
      </c>
      <c r="AT30">
        <v>1</v>
      </c>
      <c r="AV30">
        <v>0</v>
      </c>
      <c r="AW30">
        <v>0</v>
      </c>
      <c r="AX30">
        <v>0</v>
      </c>
      <c r="AY30" t="s">
        <v>1640</v>
      </c>
      <c r="AZ30" t="s">
        <v>1640</v>
      </c>
      <c r="BA30">
        <v>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6">
        <v>42593</v>
      </c>
      <c r="CE30" s="56">
        <v>42661</v>
      </c>
      <c r="CF30" s="56">
        <v>42661</v>
      </c>
      <c r="CG30" s="56">
        <v>42787</v>
      </c>
      <c r="CH30" s="56"/>
      <c r="CI30" s="56"/>
      <c r="CJ30">
        <v>1</v>
      </c>
      <c r="CK30">
        <v>0</v>
      </c>
      <c r="CL30">
        <v>0.73</v>
      </c>
      <c r="CM30">
        <v>0</v>
      </c>
      <c r="CN30">
        <v>0</v>
      </c>
      <c r="CO30">
        <v>0</v>
      </c>
      <c r="CP30">
        <v>0</v>
      </c>
      <c r="CQ30" t="s">
        <v>1732</v>
      </c>
      <c r="CR30" t="s">
        <v>1368</v>
      </c>
      <c r="CS30" t="s">
        <v>1735</v>
      </c>
      <c r="CT30" t="s">
        <v>1649</v>
      </c>
      <c r="CU30" t="s">
        <v>1736</v>
      </c>
      <c r="CV30" t="s">
        <v>1685</v>
      </c>
      <c r="DB30" t="s">
        <v>1683</v>
      </c>
      <c r="DE30" t="s">
        <v>1649</v>
      </c>
    </row>
    <row r="31" spans="1:109" x14ac:dyDescent="0.25">
      <c r="A31" t="s">
        <v>1732</v>
      </c>
      <c r="B31">
        <v>1</v>
      </c>
      <c r="C31" s="56">
        <v>42787</v>
      </c>
      <c r="D31" t="s">
        <v>1733</v>
      </c>
      <c r="E31" t="s">
        <v>1686</v>
      </c>
      <c r="G31" t="s">
        <v>1637</v>
      </c>
      <c r="H31" t="s">
        <v>1637</v>
      </c>
      <c r="I31" t="s">
        <v>1637</v>
      </c>
      <c r="J31" t="s">
        <v>1637</v>
      </c>
      <c r="K31" t="s">
        <v>1637</v>
      </c>
      <c r="L31">
        <v>3.82</v>
      </c>
      <c r="M31">
        <v>17.489999999999998</v>
      </c>
      <c r="N31">
        <v>0</v>
      </c>
      <c r="O31" s="56"/>
      <c r="P31" s="56"/>
      <c r="Q31">
        <v>13721</v>
      </c>
      <c r="R31">
        <v>6</v>
      </c>
      <c r="S31">
        <v>18</v>
      </c>
      <c r="T31">
        <v>8</v>
      </c>
      <c r="U31">
        <v>10</v>
      </c>
      <c r="V31">
        <v>1</v>
      </c>
      <c r="X31" t="s">
        <v>1734</v>
      </c>
      <c r="AA31">
        <v>0</v>
      </c>
      <c r="AB31">
        <v>0</v>
      </c>
      <c r="AC31">
        <v>0</v>
      </c>
      <c r="AD31">
        <v>0</v>
      </c>
      <c r="AE31">
        <v>0</v>
      </c>
      <c r="AF31">
        <v>0</v>
      </c>
      <c r="AG31">
        <v>0</v>
      </c>
      <c r="AJ31" s="56"/>
      <c r="AK31" s="56"/>
      <c r="AL31" s="56"/>
      <c r="AP31" t="s">
        <v>1638</v>
      </c>
      <c r="AR31">
        <v>48</v>
      </c>
      <c r="AS31" t="s">
        <v>1639</v>
      </c>
      <c r="AT31">
        <v>1</v>
      </c>
      <c r="AV31">
        <v>0</v>
      </c>
      <c r="AW31">
        <v>0</v>
      </c>
      <c r="AX31">
        <v>0</v>
      </c>
      <c r="AY31" t="s">
        <v>1640</v>
      </c>
      <c r="AZ31" t="s">
        <v>1640</v>
      </c>
      <c r="BA31">
        <v>0</v>
      </c>
      <c r="BD31">
        <v>1000000000</v>
      </c>
      <c r="BE31">
        <v>0</v>
      </c>
      <c r="BF31">
        <v>0</v>
      </c>
      <c r="BG31">
        <v>0</v>
      </c>
      <c r="BH31">
        <v>0</v>
      </c>
      <c r="BI31">
        <v>0</v>
      </c>
      <c r="BJ31">
        <v>0</v>
      </c>
      <c r="BK31">
        <v>0</v>
      </c>
      <c r="BL31">
        <v>0</v>
      </c>
      <c r="BM31">
        <v>0</v>
      </c>
      <c r="BN31">
        <v>0</v>
      </c>
      <c r="BO31">
        <v>0</v>
      </c>
      <c r="BP31">
        <v>0</v>
      </c>
      <c r="BR31">
        <v>0</v>
      </c>
      <c r="BS31">
        <v>0</v>
      </c>
      <c r="BX31">
        <v>0</v>
      </c>
      <c r="BY31">
        <v>0</v>
      </c>
      <c r="BZ31">
        <v>0</v>
      </c>
      <c r="CA31">
        <v>0</v>
      </c>
      <c r="CC31">
        <v>1</v>
      </c>
      <c r="CD31" s="56">
        <v>42593</v>
      </c>
      <c r="CE31" s="56">
        <v>42661</v>
      </c>
      <c r="CF31" s="56">
        <v>42661</v>
      </c>
      <c r="CG31" s="56">
        <v>42787</v>
      </c>
      <c r="CH31" s="56"/>
      <c r="CI31" s="56"/>
      <c r="CJ31">
        <v>1</v>
      </c>
      <c r="CK31">
        <v>0</v>
      </c>
      <c r="CL31">
        <v>0.73</v>
      </c>
      <c r="CM31">
        <v>0</v>
      </c>
      <c r="CN31">
        <v>0</v>
      </c>
      <c r="CO31">
        <v>0</v>
      </c>
      <c r="CP31">
        <v>0</v>
      </c>
      <c r="CQ31" t="s">
        <v>1732</v>
      </c>
      <c r="CR31" t="s">
        <v>1368</v>
      </c>
      <c r="CS31" t="s">
        <v>1735</v>
      </c>
      <c r="CT31" t="s">
        <v>1649</v>
      </c>
      <c r="CU31" t="s">
        <v>1736</v>
      </c>
      <c r="CV31" t="s">
        <v>1687</v>
      </c>
      <c r="DB31" t="s">
        <v>1683</v>
      </c>
      <c r="DE31" t="s">
        <v>1649</v>
      </c>
    </row>
    <row r="32" spans="1:109" x14ac:dyDescent="0.25">
      <c r="A32" t="s">
        <v>1732</v>
      </c>
      <c r="B32">
        <v>1</v>
      </c>
      <c r="C32" s="56">
        <v>42787</v>
      </c>
      <c r="D32" t="s">
        <v>1733</v>
      </c>
      <c r="E32" t="s">
        <v>1688</v>
      </c>
      <c r="G32" t="s">
        <v>1637</v>
      </c>
      <c r="H32" t="s">
        <v>1637</v>
      </c>
      <c r="I32" t="s">
        <v>1637</v>
      </c>
      <c r="J32" t="s">
        <v>1637</v>
      </c>
      <c r="K32" t="s">
        <v>1637</v>
      </c>
      <c r="L32">
        <v>1</v>
      </c>
      <c r="M32">
        <v>12.97</v>
      </c>
      <c r="N32">
        <v>0</v>
      </c>
      <c r="O32" s="56"/>
      <c r="P32" s="56"/>
      <c r="Q32">
        <v>13721</v>
      </c>
      <c r="R32">
        <v>6</v>
      </c>
      <c r="S32">
        <v>18</v>
      </c>
      <c r="T32">
        <v>8</v>
      </c>
      <c r="U32">
        <v>10</v>
      </c>
      <c r="V32">
        <v>1</v>
      </c>
      <c r="X32" t="s">
        <v>1734</v>
      </c>
      <c r="AA32">
        <v>0</v>
      </c>
      <c r="AB32">
        <v>0</v>
      </c>
      <c r="AC32">
        <v>0</v>
      </c>
      <c r="AD32">
        <v>0</v>
      </c>
      <c r="AE32">
        <v>0</v>
      </c>
      <c r="AF32">
        <v>0</v>
      </c>
      <c r="AG32">
        <v>0</v>
      </c>
      <c r="AJ32" s="56"/>
      <c r="AK32" s="56"/>
      <c r="AL32" s="56"/>
      <c r="AP32" t="s">
        <v>1638</v>
      </c>
      <c r="AR32">
        <v>12</v>
      </c>
      <c r="AS32" t="s">
        <v>1639</v>
      </c>
      <c r="AT32">
        <v>1</v>
      </c>
      <c r="AV32">
        <v>0</v>
      </c>
      <c r="AW32">
        <v>0</v>
      </c>
      <c r="AX32">
        <v>0</v>
      </c>
      <c r="AY32" t="s">
        <v>1640</v>
      </c>
      <c r="AZ32" t="s">
        <v>1640</v>
      </c>
      <c r="BA32">
        <v>0</v>
      </c>
      <c r="BD32">
        <v>1000000000</v>
      </c>
      <c r="BE32">
        <v>0</v>
      </c>
      <c r="BF32">
        <v>0</v>
      </c>
      <c r="BG32">
        <v>0</v>
      </c>
      <c r="BH32">
        <v>0</v>
      </c>
      <c r="BI32">
        <v>0</v>
      </c>
      <c r="BJ32">
        <v>0</v>
      </c>
      <c r="BK32">
        <v>0</v>
      </c>
      <c r="BL32">
        <v>0</v>
      </c>
      <c r="BM32">
        <v>0</v>
      </c>
      <c r="BN32">
        <v>0</v>
      </c>
      <c r="BO32">
        <v>0</v>
      </c>
      <c r="BP32">
        <v>0</v>
      </c>
      <c r="BR32">
        <v>0</v>
      </c>
      <c r="BS32">
        <v>0</v>
      </c>
      <c r="BX32">
        <v>0</v>
      </c>
      <c r="BY32">
        <v>0</v>
      </c>
      <c r="BZ32">
        <v>0</v>
      </c>
      <c r="CA32">
        <v>0</v>
      </c>
      <c r="CC32">
        <v>1</v>
      </c>
      <c r="CD32" s="56">
        <v>42593</v>
      </c>
      <c r="CE32" s="56">
        <v>42661</v>
      </c>
      <c r="CF32" s="56">
        <v>42661</v>
      </c>
      <c r="CG32" s="56">
        <v>42787</v>
      </c>
      <c r="CH32" s="56"/>
      <c r="CI32" s="56"/>
      <c r="CJ32">
        <v>1</v>
      </c>
      <c r="CK32">
        <v>0</v>
      </c>
      <c r="CL32">
        <v>0.73</v>
      </c>
      <c r="CM32">
        <v>0</v>
      </c>
      <c r="CN32">
        <v>0</v>
      </c>
      <c r="CO32">
        <v>0</v>
      </c>
      <c r="CP32">
        <v>0</v>
      </c>
      <c r="CQ32" t="s">
        <v>1732</v>
      </c>
      <c r="CR32" t="s">
        <v>1368</v>
      </c>
      <c r="CS32" t="s">
        <v>1735</v>
      </c>
      <c r="CT32" t="s">
        <v>1649</v>
      </c>
      <c r="CU32" t="s">
        <v>1736</v>
      </c>
      <c r="CV32" t="s">
        <v>1689</v>
      </c>
      <c r="DB32" t="s">
        <v>1683</v>
      </c>
      <c r="DE32" t="s">
        <v>1649</v>
      </c>
    </row>
    <row r="33" spans="1:109" x14ac:dyDescent="0.25">
      <c r="A33" t="s">
        <v>1732</v>
      </c>
      <c r="B33">
        <v>1</v>
      </c>
      <c r="C33" s="56">
        <v>42787</v>
      </c>
      <c r="D33" t="s">
        <v>1733</v>
      </c>
      <c r="E33" t="s">
        <v>1690</v>
      </c>
      <c r="G33" t="s">
        <v>1637</v>
      </c>
      <c r="H33" t="s">
        <v>1637</v>
      </c>
      <c r="I33" t="s">
        <v>1637</v>
      </c>
      <c r="J33" t="s">
        <v>1637</v>
      </c>
      <c r="K33" t="s">
        <v>1637</v>
      </c>
      <c r="L33">
        <v>1</v>
      </c>
      <c r="M33">
        <v>42.17</v>
      </c>
      <c r="N33">
        <v>0</v>
      </c>
      <c r="O33" s="56"/>
      <c r="P33" s="56"/>
      <c r="Q33">
        <v>13721</v>
      </c>
      <c r="R33">
        <v>6</v>
      </c>
      <c r="S33">
        <v>18</v>
      </c>
      <c r="T33">
        <v>8</v>
      </c>
      <c r="U33">
        <v>10</v>
      </c>
      <c r="V33">
        <v>1</v>
      </c>
      <c r="X33" t="s">
        <v>1734</v>
      </c>
      <c r="AA33">
        <v>0</v>
      </c>
      <c r="AB33">
        <v>0</v>
      </c>
      <c r="AC33">
        <v>0</v>
      </c>
      <c r="AD33">
        <v>0</v>
      </c>
      <c r="AE33">
        <v>0</v>
      </c>
      <c r="AF33">
        <v>0</v>
      </c>
      <c r="AG33">
        <v>0</v>
      </c>
      <c r="AJ33" s="56"/>
      <c r="AK33" s="56"/>
      <c r="AL33" s="56"/>
      <c r="AP33" t="s">
        <v>1638</v>
      </c>
      <c r="AR33">
        <v>48</v>
      </c>
      <c r="AS33" t="s">
        <v>1639</v>
      </c>
      <c r="AT33">
        <v>1</v>
      </c>
      <c r="AV33">
        <v>0</v>
      </c>
      <c r="AW33">
        <v>0</v>
      </c>
      <c r="AX33">
        <v>0</v>
      </c>
      <c r="AY33" t="s">
        <v>1640</v>
      </c>
      <c r="AZ33" t="s">
        <v>1640</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1</v>
      </c>
      <c r="CD33" s="56">
        <v>42593</v>
      </c>
      <c r="CE33" s="56">
        <v>42661</v>
      </c>
      <c r="CF33" s="56">
        <v>42661</v>
      </c>
      <c r="CG33" s="56">
        <v>42787</v>
      </c>
      <c r="CH33" s="56"/>
      <c r="CI33" s="56"/>
      <c r="CJ33">
        <v>1</v>
      </c>
      <c r="CK33">
        <v>0</v>
      </c>
      <c r="CL33">
        <v>0.73</v>
      </c>
      <c r="CM33">
        <v>0</v>
      </c>
      <c r="CN33">
        <v>0</v>
      </c>
      <c r="CO33">
        <v>0</v>
      </c>
      <c r="CP33">
        <v>0</v>
      </c>
      <c r="CQ33" t="s">
        <v>1732</v>
      </c>
      <c r="CR33" t="s">
        <v>1368</v>
      </c>
      <c r="CS33" t="s">
        <v>1735</v>
      </c>
      <c r="CT33" t="s">
        <v>1649</v>
      </c>
      <c r="CU33" t="s">
        <v>1736</v>
      </c>
      <c r="CV33" t="s">
        <v>1691</v>
      </c>
      <c r="DB33" t="s">
        <v>1683</v>
      </c>
      <c r="DE33" t="s">
        <v>1649</v>
      </c>
    </row>
    <row r="34" spans="1:109" x14ac:dyDescent="0.25">
      <c r="A34" t="s">
        <v>1732</v>
      </c>
      <c r="B34">
        <v>1</v>
      </c>
      <c r="C34" s="56">
        <v>42787</v>
      </c>
      <c r="D34" t="s">
        <v>1733</v>
      </c>
      <c r="E34" t="s">
        <v>1500</v>
      </c>
      <c r="G34" t="s">
        <v>1637</v>
      </c>
      <c r="H34" t="s">
        <v>1637</v>
      </c>
      <c r="I34" t="s">
        <v>1637</v>
      </c>
      <c r="J34" t="s">
        <v>1637</v>
      </c>
      <c r="K34" t="s">
        <v>1637</v>
      </c>
      <c r="L34">
        <v>25.11</v>
      </c>
      <c r="M34">
        <v>75.38</v>
      </c>
      <c r="N34">
        <v>0</v>
      </c>
      <c r="O34" s="56"/>
      <c r="P34" s="56"/>
      <c r="Q34">
        <v>13721</v>
      </c>
      <c r="R34">
        <v>6</v>
      </c>
      <c r="S34">
        <v>18</v>
      </c>
      <c r="T34">
        <v>8</v>
      </c>
      <c r="U34">
        <v>10</v>
      </c>
      <c r="V34">
        <v>1</v>
      </c>
      <c r="W34" t="s">
        <v>1641</v>
      </c>
      <c r="X34" t="s">
        <v>1737</v>
      </c>
      <c r="Z34" t="s">
        <v>1740</v>
      </c>
      <c r="AA34">
        <v>0.08</v>
      </c>
      <c r="AB34">
        <v>3</v>
      </c>
      <c r="AC34">
        <v>62.5</v>
      </c>
      <c r="AD34">
        <v>53.13</v>
      </c>
      <c r="AE34">
        <v>0</v>
      </c>
      <c r="AF34">
        <v>0</v>
      </c>
      <c r="AG34">
        <v>0</v>
      </c>
      <c r="AJ34" s="56"/>
      <c r="AK34" s="56"/>
      <c r="AL34" s="56"/>
      <c r="AP34" t="s">
        <v>1638</v>
      </c>
      <c r="AR34">
        <v>3</v>
      </c>
      <c r="AS34" t="s">
        <v>1639</v>
      </c>
      <c r="AT34">
        <v>1</v>
      </c>
      <c r="AV34">
        <v>20</v>
      </c>
      <c r="AW34">
        <v>13</v>
      </c>
      <c r="AX34">
        <v>7</v>
      </c>
      <c r="AY34" t="s">
        <v>1741</v>
      </c>
      <c r="AZ34" t="s">
        <v>1741</v>
      </c>
      <c r="BA34">
        <v>30</v>
      </c>
      <c r="BD34">
        <v>1000000000</v>
      </c>
      <c r="BE34">
        <v>17</v>
      </c>
      <c r="BF34">
        <v>0.15</v>
      </c>
      <c r="BG34">
        <v>0</v>
      </c>
      <c r="BH34">
        <v>0</v>
      </c>
      <c r="BI34">
        <v>0</v>
      </c>
      <c r="BJ34">
        <v>0</v>
      </c>
      <c r="BK34">
        <v>0</v>
      </c>
      <c r="BL34">
        <v>0</v>
      </c>
      <c r="BM34">
        <v>17</v>
      </c>
      <c r="BN34">
        <v>0.15</v>
      </c>
      <c r="BO34">
        <v>0</v>
      </c>
      <c r="BP34">
        <v>0</v>
      </c>
      <c r="BR34">
        <v>3</v>
      </c>
      <c r="BS34">
        <v>11</v>
      </c>
      <c r="BX34">
        <v>0</v>
      </c>
      <c r="BY34">
        <v>0</v>
      </c>
      <c r="BZ34">
        <v>0</v>
      </c>
      <c r="CA34">
        <v>5.34</v>
      </c>
      <c r="CC34">
        <v>1</v>
      </c>
      <c r="CD34" s="56">
        <v>42761</v>
      </c>
      <c r="CE34" s="56">
        <v>42761</v>
      </c>
      <c r="CF34" s="56">
        <v>42761</v>
      </c>
      <c r="CG34" s="56">
        <v>42887</v>
      </c>
      <c r="CH34" s="56"/>
      <c r="CI34" s="56"/>
      <c r="CJ34">
        <v>0</v>
      </c>
      <c r="CK34">
        <v>0</v>
      </c>
      <c r="CL34">
        <v>0</v>
      </c>
      <c r="CM34">
        <v>0</v>
      </c>
      <c r="CN34">
        <v>0</v>
      </c>
      <c r="CO34">
        <v>0.17</v>
      </c>
      <c r="CP34">
        <v>0</v>
      </c>
      <c r="CQ34" t="s">
        <v>1732</v>
      </c>
      <c r="CR34" t="s">
        <v>1368</v>
      </c>
      <c r="CS34" t="s">
        <v>1735</v>
      </c>
      <c r="CT34" t="s">
        <v>1649</v>
      </c>
      <c r="CU34" t="s">
        <v>1736</v>
      </c>
      <c r="CV34" t="s">
        <v>1692</v>
      </c>
      <c r="DB34" t="s">
        <v>1693</v>
      </c>
      <c r="DE34" t="s">
        <v>1649</v>
      </c>
    </row>
    <row r="35" spans="1:109" x14ac:dyDescent="0.25">
      <c r="A35" t="s">
        <v>1732</v>
      </c>
      <c r="B35">
        <v>1</v>
      </c>
      <c r="C35" s="56">
        <v>42787</v>
      </c>
      <c r="D35" t="s">
        <v>1733</v>
      </c>
      <c r="E35" t="s">
        <v>1501</v>
      </c>
      <c r="G35" t="s">
        <v>1637</v>
      </c>
      <c r="H35" t="s">
        <v>1637</v>
      </c>
      <c r="I35" t="s">
        <v>1637</v>
      </c>
      <c r="J35" t="s">
        <v>1637</v>
      </c>
      <c r="K35" t="s">
        <v>1637</v>
      </c>
      <c r="L35">
        <v>27.77</v>
      </c>
      <c r="M35">
        <v>104.78</v>
      </c>
      <c r="N35">
        <v>0</v>
      </c>
      <c r="O35" s="56"/>
      <c r="P35" s="56"/>
      <c r="Q35">
        <v>13721</v>
      </c>
      <c r="R35">
        <v>6</v>
      </c>
      <c r="S35">
        <v>18</v>
      </c>
      <c r="T35">
        <v>8</v>
      </c>
      <c r="U35">
        <v>10</v>
      </c>
      <c r="V35">
        <v>1</v>
      </c>
      <c r="W35" t="s">
        <v>1641</v>
      </c>
      <c r="X35" t="s">
        <v>1737</v>
      </c>
      <c r="AA35">
        <v>0.28000000000000003</v>
      </c>
      <c r="AB35">
        <v>8</v>
      </c>
      <c r="AC35">
        <v>17.86</v>
      </c>
      <c r="AD35">
        <v>10.71</v>
      </c>
      <c r="AE35">
        <v>0</v>
      </c>
      <c r="AF35">
        <v>0</v>
      </c>
      <c r="AG35">
        <v>0</v>
      </c>
      <c r="AJ35" s="56"/>
      <c r="AK35" s="56"/>
      <c r="AL35" s="56"/>
      <c r="AP35" t="s">
        <v>1638</v>
      </c>
      <c r="AR35">
        <v>2</v>
      </c>
      <c r="AS35" t="s">
        <v>1639</v>
      </c>
      <c r="AT35">
        <v>1</v>
      </c>
      <c r="AV35">
        <v>20</v>
      </c>
      <c r="AW35">
        <v>13</v>
      </c>
      <c r="AX35">
        <v>7</v>
      </c>
      <c r="AY35" t="s">
        <v>1739</v>
      </c>
      <c r="AZ35" t="s">
        <v>1739</v>
      </c>
      <c r="BA35">
        <v>30</v>
      </c>
      <c r="BD35">
        <v>1000000000</v>
      </c>
      <c r="BE35">
        <v>12</v>
      </c>
      <c r="BF35">
        <v>0.4</v>
      </c>
      <c r="BG35">
        <v>0</v>
      </c>
      <c r="BH35">
        <v>0</v>
      </c>
      <c r="BI35">
        <v>0</v>
      </c>
      <c r="BJ35">
        <v>0</v>
      </c>
      <c r="BK35">
        <v>0</v>
      </c>
      <c r="BL35">
        <v>0</v>
      </c>
      <c r="BM35">
        <v>12</v>
      </c>
      <c r="BN35">
        <v>0.4</v>
      </c>
      <c r="BO35">
        <v>0</v>
      </c>
      <c r="BP35">
        <v>0</v>
      </c>
      <c r="BR35">
        <v>8</v>
      </c>
      <c r="BS35">
        <v>11</v>
      </c>
      <c r="BX35">
        <v>0</v>
      </c>
      <c r="BY35">
        <v>0</v>
      </c>
      <c r="BZ35">
        <v>0</v>
      </c>
      <c r="CA35">
        <v>7.4</v>
      </c>
      <c r="CC35">
        <v>1</v>
      </c>
      <c r="CD35" s="56">
        <v>42761</v>
      </c>
      <c r="CE35" s="56">
        <v>42761</v>
      </c>
      <c r="CF35" s="56">
        <v>42761</v>
      </c>
      <c r="CG35" s="56">
        <v>42887</v>
      </c>
      <c r="CH35" s="56"/>
      <c r="CI35" s="56"/>
      <c r="CJ35">
        <v>0.14000000000000001</v>
      </c>
      <c r="CK35">
        <v>0</v>
      </c>
      <c r="CL35">
        <v>0</v>
      </c>
      <c r="CM35">
        <v>0</v>
      </c>
      <c r="CN35">
        <v>0.16</v>
      </c>
      <c r="CO35">
        <v>0.01</v>
      </c>
      <c r="CP35">
        <v>0</v>
      </c>
      <c r="CQ35" t="s">
        <v>1732</v>
      </c>
      <c r="CR35" t="s">
        <v>1368</v>
      </c>
      <c r="CS35" t="s">
        <v>1735</v>
      </c>
      <c r="CT35" t="s">
        <v>1649</v>
      </c>
      <c r="CU35" t="s">
        <v>1736</v>
      </c>
      <c r="CV35" t="s">
        <v>1694</v>
      </c>
      <c r="DB35" t="s">
        <v>1693</v>
      </c>
      <c r="DE35" t="s">
        <v>1649</v>
      </c>
    </row>
    <row r="36" spans="1:109" x14ac:dyDescent="0.25">
      <c r="A36" t="s">
        <v>1732</v>
      </c>
      <c r="B36">
        <v>1</v>
      </c>
      <c r="C36" s="56">
        <v>42787</v>
      </c>
      <c r="D36" t="s">
        <v>1733</v>
      </c>
      <c r="E36" t="s">
        <v>1502</v>
      </c>
      <c r="G36" t="s">
        <v>1637</v>
      </c>
      <c r="H36" t="s">
        <v>1637</v>
      </c>
      <c r="I36" t="s">
        <v>1637</v>
      </c>
      <c r="J36" t="s">
        <v>1637</v>
      </c>
      <c r="K36" t="s">
        <v>1637</v>
      </c>
      <c r="L36">
        <v>34.68</v>
      </c>
      <c r="M36">
        <v>118.23</v>
      </c>
      <c r="N36">
        <v>0</v>
      </c>
      <c r="O36" s="56"/>
      <c r="P36" s="56"/>
      <c r="Q36">
        <v>13721</v>
      </c>
      <c r="R36">
        <v>6</v>
      </c>
      <c r="S36">
        <v>18</v>
      </c>
      <c r="T36">
        <v>8</v>
      </c>
      <c r="U36">
        <v>10</v>
      </c>
      <c r="V36">
        <v>1</v>
      </c>
      <c r="W36" t="s">
        <v>1641</v>
      </c>
      <c r="X36" t="s">
        <v>1737</v>
      </c>
      <c r="AA36">
        <v>0.61</v>
      </c>
      <c r="AB36">
        <v>17</v>
      </c>
      <c r="AC36">
        <v>8.1999999999999993</v>
      </c>
      <c r="AD36">
        <v>5.33</v>
      </c>
      <c r="AE36">
        <v>0</v>
      </c>
      <c r="AF36">
        <v>0</v>
      </c>
      <c r="AG36">
        <v>0</v>
      </c>
      <c r="AJ36" s="56">
        <v>42666</v>
      </c>
      <c r="AK36" s="56"/>
      <c r="AL36" s="56"/>
      <c r="AP36" t="s">
        <v>1638</v>
      </c>
      <c r="AR36">
        <v>2</v>
      </c>
      <c r="AS36" t="s">
        <v>1639</v>
      </c>
      <c r="AT36">
        <v>1</v>
      </c>
      <c r="AV36">
        <v>20</v>
      </c>
      <c r="AW36">
        <v>13</v>
      </c>
      <c r="AX36">
        <v>7</v>
      </c>
      <c r="AY36" t="s">
        <v>1739</v>
      </c>
      <c r="AZ36" t="s">
        <v>1739</v>
      </c>
      <c r="BA36">
        <v>30</v>
      </c>
      <c r="BD36">
        <v>1000000000</v>
      </c>
      <c r="BE36">
        <v>13</v>
      </c>
      <c r="BF36">
        <v>0.35</v>
      </c>
      <c r="BG36">
        <v>0</v>
      </c>
      <c r="BH36">
        <v>0</v>
      </c>
      <c r="BI36">
        <v>0</v>
      </c>
      <c r="BJ36">
        <v>0</v>
      </c>
      <c r="BK36">
        <v>0</v>
      </c>
      <c r="BL36">
        <v>0</v>
      </c>
      <c r="BM36">
        <v>13</v>
      </c>
      <c r="BN36">
        <v>0.35</v>
      </c>
      <c r="BO36">
        <v>0</v>
      </c>
      <c r="BP36">
        <v>0</v>
      </c>
      <c r="BR36">
        <v>8</v>
      </c>
      <c r="BS36">
        <v>11</v>
      </c>
      <c r="BX36">
        <v>0</v>
      </c>
      <c r="BY36">
        <v>0</v>
      </c>
      <c r="BZ36">
        <v>0</v>
      </c>
      <c r="CA36">
        <v>6.42</v>
      </c>
      <c r="CC36">
        <v>1</v>
      </c>
      <c r="CD36" s="56">
        <v>42761</v>
      </c>
      <c r="CE36" s="56">
        <v>42761</v>
      </c>
      <c r="CF36" s="56">
        <v>42761</v>
      </c>
      <c r="CG36" s="56">
        <v>42887</v>
      </c>
      <c r="CH36" s="56"/>
      <c r="CI36" s="56"/>
      <c r="CJ36">
        <v>0</v>
      </c>
      <c r="CK36">
        <v>0</v>
      </c>
      <c r="CL36">
        <v>0</v>
      </c>
      <c r="CM36">
        <v>0</v>
      </c>
      <c r="CN36">
        <v>0.17</v>
      </c>
      <c r="CO36">
        <v>0</v>
      </c>
      <c r="CP36">
        <v>0</v>
      </c>
      <c r="CQ36" t="s">
        <v>1732</v>
      </c>
      <c r="CR36" t="s">
        <v>1368</v>
      </c>
      <c r="CS36" t="s">
        <v>1735</v>
      </c>
      <c r="CT36" t="s">
        <v>1649</v>
      </c>
      <c r="CU36" t="s">
        <v>1736</v>
      </c>
      <c r="CV36" t="s">
        <v>1695</v>
      </c>
      <c r="DB36" t="s">
        <v>1693</v>
      </c>
      <c r="DE36" t="s">
        <v>1649</v>
      </c>
    </row>
    <row r="37" spans="1:109" x14ac:dyDescent="0.25">
      <c r="A37" t="s">
        <v>1732</v>
      </c>
      <c r="B37">
        <v>1</v>
      </c>
      <c r="C37" s="56">
        <v>42787</v>
      </c>
      <c r="D37" t="s">
        <v>1733</v>
      </c>
      <c r="E37" t="s">
        <v>1503</v>
      </c>
      <c r="G37" t="s">
        <v>1637</v>
      </c>
      <c r="H37" t="s">
        <v>1637</v>
      </c>
      <c r="I37" t="s">
        <v>1637</v>
      </c>
      <c r="J37" t="s">
        <v>1637</v>
      </c>
      <c r="K37" t="s">
        <v>1637</v>
      </c>
      <c r="L37">
        <v>37.51</v>
      </c>
      <c r="M37">
        <v>146.1</v>
      </c>
      <c r="N37">
        <v>0</v>
      </c>
      <c r="O37" s="56"/>
      <c r="P37" s="56"/>
      <c r="Q37">
        <v>13721</v>
      </c>
      <c r="R37">
        <v>6</v>
      </c>
      <c r="S37">
        <v>18</v>
      </c>
      <c r="T37">
        <v>8</v>
      </c>
      <c r="U37">
        <v>10</v>
      </c>
      <c r="V37">
        <v>1</v>
      </c>
      <c r="W37" t="s">
        <v>1641</v>
      </c>
      <c r="X37" t="s">
        <v>1737</v>
      </c>
      <c r="AA37">
        <v>0.36</v>
      </c>
      <c r="AB37">
        <v>10</v>
      </c>
      <c r="AC37">
        <v>13.89</v>
      </c>
      <c r="AD37">
        <v>6.25</v>
      </c>
      <c r="AE37">
        <v>0</v>
      </c>
      <c r="AF37">
        <v>0</v>
      </c>
      <c r="AG37">
        <v>0</v>
      </c>
      <c r="AJ37" s="56">
        <v>42666</v>
      </c>
      <c r="AK37" s="56"/>
      <c r="AL37" s="56"/>
      <c r="AP37" t="s">
        <v>1638</v>
      </c>
      <c r="AR37">
        <v>2</v>
      </c>
      <c r="AS37" t="s">
        <v>1639</v>
      </c>
      <c r="AT37">
        <v>1</v>
      </c>
      <c r="AV37">
        <v>20</v>
      </c>
      <c r="AW37">
        <v>13</v>
      </c>
      <c r="AX37">
        <v>7</v>
      </c>
      <c r="AY37" t="s">
        <v>1739</v>
      </c>
      <c r="AZ37" t="s">
        <v>1739</v>
      </c>
      <c r="BA37">
        <v>30</v>
      </c>
      <c r="BD37">
        <v>1000000000</v>
      </c>
      <c r="BE37">
        <v>9</v>
      </c>
      <c r="BF37">
        <v>0.55000000000000004</v>
      </c>
      <c r="BG37">
        <v>0</v>
      </c>
      <c r="BH37">
        <v>0</v>
      </c>
      <c r="BI37">
        <v>0</v>
      </c>
      <c r="BJ37">
        <v>0</v>
      </c>
      <c r="BK37">
        <v>0</v>
      </c>
      <c r="BL37">
        <v>0</v>
      </c>
      <c r="BM37">
        <v>9</v>
      </c>
      <c r="BN37">
        <v>0.55000000000000004</v>
      </c>
      <c r="BO37">
        <v>0</v>
      </c>
      <c r="BP37">
        <v>0</v>
      </c>
      <c r="BR37">
        <v>12</v>
      </c>
      <c r="BS37">
        <v>11</v>
      </c>
      <c r="BX37">
        <v>0</v>
      </c>
      <c r="BY37">
        <v>0</v>
      </c>
      <c r="BZ37">
        <v>0</v>
      </c>
      <c r="CA37">
        <v>7.72</v>
      </c>
      <c r="CC37">
        <v>1</v>
      </c>
      <c r="CD37" s="56">
        <v>42761</v>
      </c>
      <c r="CE37" s="56">
        <v>42761</v>
      </c>
      <c r="CF37" s="56">
        <v>42761</v>
      </c>
      <c r="CG37" s="56">
        <v>42887</v>
      </c>
      <c r="CH37" s="56"/>
      <c r="CI37" s="56"/>
      <c r="CJ37">
        <v>0</v>
      </c>
      <c r="CK37">
        <v>0</v>
      </c>
      <c r="CL37">
        <v>0</v>
      </c>
      <c r="CM37">
        <v>0</v>
      </c>
      <c r="CN37">
        <v>0.17</v>
      </c>
      <c r="CO37">
        <v>0</v>
      </c>
      <c r="CP37">
        <v>0</v>
      </c>
      <c r="CQ37" t="s">
        <v>1732</v>
      </c>
      <c r="CR37" t="s">
        <v>1368</v>
      </c>
      <c r="CS37" t="s">
        <v>1735</v>
      </c>
      <c r="CT37" t="s">
        <v>1649</v>
      </c>
      <c r="CU37" t="s">
        <v>1736</v>
      </c>
      <c r="CV37" t="s">
        <v>1696</v>
      </c>
      <c r="DB37" t="s">
        <v>1693</v>
      </c>
      <c r="DE37" t="s">
        <v>1649</v>
      </c>
    </row>
    <row r="38" spans="1:109" x14ac:dyDescent="0.25">
      <c r="A38" t="s">
        <v>1732</v>
      </c>
      <c r="B38">
        <v>1</v>
      </c>
      <c r="C38" s="56">
        <v>42787</v>
      </c>
      <c r="D38" t="s">
        <v>1733</v>
      </c>
      <c r="E38" t="s">
        <v>1504</v>
      </c>
      <c r="G38" t="s">
        <v>1637</v>
      </c>
      <c r="H38" t="s">
        <v>1637</v>
      </c>
      <c r="I38" t="s">
        <v>1637</v>
      </c>
      <c r="J38" t="s">
        <v>1637</v>
      </c>
      <c r="K38" t="s">
        <v>1637</v>
      </c>
      <c r="L38">
        <v>73.31</v>
      </c>
      <c r="M38">
        <v>137.38</v>
      </c>
      <c r="N38">
        <v>0</v>
      </c>
      <c r="O38" s="56"/>
      <c r="P38" s="56"/>
      <c r="Q38">
        <v>13721</v>
      </c>
      <c r="R38">
        <v>6</v>
      </c>
      <c r="S38">
        <v>18</v>
      </c>
      <c r="T38">
        <v>8</v>
      </c>
      <c r="U38">
        <v>10</v>
      </c>
      <c r="V38">
        <v>1</v>
      </c>
      <c r="W38" t="s">
        <v>1641</v>
      </c>
      <c r="X38" t="s">
        <v>1737</v>
      </c>
      <c r="AA38">
        <v>0.53</v>
      </c>
      <c r="AB38">
        <v>15</v>
      </c>
      <c r="AC38">
        <v>5.66</v>
      </c>
      <c r="AD38">
        <v>0.94</v>
      </c>
      <c r="AE38">
        <v>0</v>
      </c>
      <c r="AF38">
        <v>0</v>
      </c>
      <c r="AG38">
        <v>0</v>
      </c>
      <c r="AJ38" s="56"/>
      <c r="AK38" s="56"/>
      <c r="AL38" s="56"/>
      <c r="AP38" t="s">
        <v>1638</v>
      </c>
      <c r="AR38">
        <v>1</v>
      </c>
      <c r="AS38" t="s">
        <v>1639</v>
      </c>
      <c r="AT38">
        <v>1</v>
      </c>
      <c r="AV38">
        <v>12</v>
      </c>
      <c r="AW38">
        <v>8</v>
      </c>
      <c r="AX38">
        <v>4</v>
      </c>
      <c r="AY38" t="s">
        <v>1742</v>
      </c>
      <c r="AZ38" t="s">
        <v>1742</v>
      </c>
      <c r="BA38">
        <v>20</v>
      </c>
      <c r="BD38">
        <v>1000000000</v>
      </c>
      <c r="BE38">
        <v>2</v>
      </c>
      <c r="BF38">
        <v>0.83</v>
      </c>
      <c r="BG38">
        <v>0</v>
      </c>
      <c r="BH38">
        <v>0</v>
      </c>
      <c r="BI38">
        <v>0</v>
      </c>
      <c r="BJ38">
        <v>0</v>
      </c>
      <c r="BK38">
        <v>0</v>
      </c>
      <c r="BL38">
        <v>0</v>
      </c>
      <c r="BM38">
        <v>2</v>
      </c>
      <c r="BN38">
        <v>0.83</v>
      </c>
      <c r="BO38">
        <v>0</v>
      </c>
      <c r="BP38">
        <v>0</v>
      </c>
      <c r="BR38">
        <v>10</v>
      </c>
      <c r="BS38">
        <v>7</v>
      </c>
      <c r="BX38">
        <v>128.13999999999999</v>
      </c>
      <c r="BY38">
        <v>0</v>
      </c>
      <c r="BZ38">
        <v>0</v>
      </c>
      <c r="CA38">
        <v>2.33</v>
      </c>
      <c r="CC38">
        <v>1</v>
      </c>
      <c r="CD38" s="56">
        <v>42761</v>
      </c>
      <c r="CE38" s="56">
        <v>42761</v>
      </c>
      <c r="CF38" s="56">
        <v>42761</v>
      </c>
      <c r="CG38" s="56">
        <v>42887</v>
      </c>
      <c r="CH38" s="56"/>
      <c r="CI38" s="56"/>
      <c r="CJ38">
        <v>0</v>
      </c>
      <c r="CK38">
        <v>0</v>
      </c>
      <c r="CL38">
        <v>0</v>
      </c>
      <c r="CM38">
        <v>0.17</v>
      </c>
      <c r="CN38">
        <v>0</v>
      </c>
      <c r="CO38">
        <v>0</v>
      </c>
      <c r="CP38">
        <v>0</v>
      </c>
      <c r="CQ38" t="s">
        <v>1732</v>
      </c>
      <c r="CR38" t="s">
        <v>1368</v>
      </c>
      <c r="CS38" t="s">
        <v>1735</v>
      </c>
      <c r="CT38" t="s">
        <v>1649</v>
      </c>
      <c r="CU38" t="s">
        <v>1736</v>
      </c>
      <c r="CV38" t="s">
        <v>1697</v>
      </c>
      <c r="DB38" t="s">
        <v>1693</v>
      </c>
      <c r="DE38" t="s">
        <v>1649</v>
      </c>
    </row>
    <row r="39" spans="1:109" x14ac:dyDescent="0.25">
      <c r="A39" t="s">
        <v>1732</v>
      </c>
      <c r="B39">
        <v>1</v>
      </c>
      <c r="C39" s="56">
        <v>42787</v>
      </c>
      <c r="D39" t="s">
        <v>1733</v>
      </c>
      <c r="E39" t="s">
        <v>1505</v>
      </c>
      <c r="G39" t="s">
        <v>1637</v>
      </c>
      <c r="H39" t="s">
        <v>1637</v>
      </c>
      <c r="I39" t="s">
        <v>1637</v>
      </c>
      <c r="J39" t="s">
        <v>1637</v>
      </c>
      <c r="K39" t="s">
        <v>1637</v>
      </c>
      <c r="L39">
        <v>71.459999999999994</v>
      </c>
      <c r="M39">
        <v>168.18</v>
      </c>
      <c r="N39">
        <v>0</v>
      </c>
      <c r="O39" s="56"/>
      <c r="P39" s="56"/>
      <c r="Q39">
        <v>13721</v>
      </c>
      <c r="R39">
        <v>6</v>
      </c>
      <c r="S39">
        <v>18</v>
      </c>
      <c r="T39">
        <v>8</v>
      </c>
      <c r="U39">
        <v>10</v>
      </c>
      <c r="V39">
        <v>1</v>
      </c>
      <c r="W39" t="s">
        <v>1641</v>
      </c>
      <c r="X39" t="s">
        <v>1737</v>
      </c>
      <c r="Z39" t="s">
        <v>1740</v>
      </c>
      <c r="AA39">
        <v>0.08</v>
      </c>
      <c r="AB39">
        <v>3</v>
      </c>
      <c r="AC39">
        <v>37.5</v>
      </c>
      <c r="AD39">
        <v>28.13</v>
      </c>
      <c r="AE39">
        <v>0</v>
      </c>
      <c r="AF39">
        <v>0</v>
      </c>
      <c r="AG39">
        <v>0</v>
      </c>
      <c r="AJ39" s="56">
        <v>42666</v>
      </c>
      <c r="AK39" s="56"/>
      <c r="AL39" s="56"/>
      <c r="AP39" t="s">
        <v>1638</v>
      </c>
      <c r="AR39">
        <v>1</v>
      </c>
      <c r="AS39" t="s">
        <v>1639</v>
      </c>
      <c r="AT39">
        <v>1</v>
      </c>
      <c r="AV39">
        <v>12</v>
      </c>
      <c r="AW39">
        <v>8</v>
      </c>
      <c r="AX39">
        <v>4</v>
      </c>
      <c r="AY39" t="s">
        <v>1741</v>
      </c>
      <c r="AZ39" t="s">
        <v>1741</v>
      </c>
      <c r="BA39">
        <v>20</v>
      </c>
      <c r="BD39">
        <v>1000000000</v>
      </c>
      <c r="BE39">
        <v>9</v>
      </c>
      <c r="BF39">
        <v>0.25</v>
      </c>
      <c r="BG39">
        <v>0</v>
      </c>
      <c r="BH39">
        <v>0</v>
      </c>
      <c r="BI39">
        <v>0</v>
      </c>
      <c r="BJ39">
        <v>0</v>
      </c>
      <c r="BK39">
        <v>0</v>
      </c>
      <c r="BL39">
        <v>0</v>
      </c>
      <c r="BM39">
        <v>9</v>
      </c>
      <c r="BN39">
        <v>0.25</v>
      </c>
      <c r="BO39">
        <v>0</v>
      </c>
      <c r="BP39">
        <v>0</v>
      </c>
      <c r="BR39">
        <v>3</v>
      </c>
      <c r="BS39">
        <v>7</v>
      </c>
      <c r="BX39">
        <v>0</v>
      </c>
      <c r="BY39">
        <v>0</v>
      </c>
      <c r="BZ39">
        <v>0</v>
      </c>
      <c r="CA39">
        <v>3.61</v>
      </c>
      <c r="CC39">
        <v>1</v>
      </c>
      <c r="CD39" s="56">
        <v>42761</v>
      </c>
      <c r="CE39" s="56">
        <v>42761</v>
      </c>
      <c r="CF39" s="56">
        <v>42761</v>
      </c>
      <c r="CG39" s="56">
        <v>42887</v>
      </c>
      <c r="CH39" s="56"/>
      <c r="CI39" s="56"/>
      <c r="CJ39">
        <v>0</v>
      </c>
      <c r="CK39">
        <v>0</v>
      </c>
      <c r="CL39">
        <v>0</v>
      </c>
      <c r="CM39">
        <v>0</v>
      </c>
      <c r="CN39">
        <v>0</v>
      </c>
      <c r="CO39">
        <v>0.17</v>
      </c>
      <c r="CP39">
        <v>0</v>
      </c>
      <c r="CQ39" t="s">
        <v>1732</v>
      </c>
      <c r="CR39" t="s">
        <v>1368</v>
      </c>
      <c r="CS39" t="s">
        <v>1735</v>
      </c>
      <c r="CT39" t="s">
        <v>1649</v>
      </c>
      <c r="CU39" t="s">
        <v>1736</v>
      </c>
      <c r="CV39" t="s">
        <v>1698</v>
      </c>
      <c r="DB39" t="s">
        <v>1693</v>
      </c>
      <c r="DE39" t="s">
        <v>1649</v>
      </c>
    </row>
    <row r="40" spans="1:109" x14ac:dyDescent="0.25">
      <c r="A40" t="s">
        <v>1732</v>
      </c>
      <c r="B40">
        <v>1</v>
      </c>
      <c r="C40" s="56">
        <v>42787</v>
      </c>
      <c r="D40" t="s">
        <v>1733</v>
      </c>
      <c r="E40" t="s">
        <v>1506</v>
      </c>
      <c r="G40" t="s">
        <v>1637</v>
      </c>
      <c r="H40" t="s">
        <v>1637</v>
      </c>
      <c r="I40" t="s">
        <v>1637</v>
      </c>
      <c r="J40" t="s">
        <v>1637</v>
      </c>
      <c r="K40" t="s">
        <v>1637</v>
      </c>
      <c r="L40">
        <v>0.41</v>
      </c>
      <c r="M40">
        <v>0.96</v>
      </c>
      <c r="N40">
        <v>0</v>
      </c>
      <c r="O40" s="56"/>
      <c r="P40" s="56"/>
      <c r="Q40">
        <v>13721</v>
      </c>
      <c r="R40">
        <v>6</v>
      </c>
      <c r="S40">
        <v>18</v>
      </c>
      <c r="T40">
        <v>8</v>
      </c>
      <c r="U40">
        <v>10</v>
      </c>
      <c r="V40">
        <v>1</v>
      </c>
      <c r="X40" t="s">
        <v>1743</v>
      </c>
      <c r="Z40" t="s">
        <v>1740</v>
      </c>
      <c r="AA40">
        <v>25.25</v>
      </c>
      <c r="AB40">
        <v>682</v>
      </c>
      <c r="AC40">
        <v>74.260000000000005</v>
      </c>
      <c r="AD40">
        <v>122.52</v>
      </c>
      <c r="AE40">
        <v>0</v>
      </c>
      <c r="AF40">
        <v>0</v>
      </c>
      <c r="AG40">
        <v>0</v>
      </c>
      <c r="AJ40" s="56"/>
      <c r="AK40" s="56"/>
      <c r="AL40" s="56"/>
      <c r="AP40" t="s">
        <v>1638</v>
      </c>
      <c r="AR40">
        <v>125</v>
      </c>
      <c r="AS40" t="s">
        <v>1639</v>
      </c>
      <c r="AT40">
        <v>1</v>
      </c>
      <c r="AV40">
        <v>7500</v>
      </c>
      <c r="AW40">
        <v>4988</v>
      </c>
      <c r="AX40">
        <v>2475</v>
      </c>
      <c r="AY40" t="s">
        <v>1738</v>
      </c>
      <c r="AZ40" t="s">
        <v>1738</v>
      </c>
      <c r="BA40">
        <v>6480</v>
      </c>
      <c r="BD40">
        <v>1000000000</v>
      </c>
      <c r="BE40">
        <v>12375</v>
      </c>
      <c r="BF40">
        <v>-0.65</v>
      </c>
      <c r="BG40">
        <v>0</v>
      </c>
      <c r="BH40">
        <v>0</v>
      </c>
      <c r="BI40">
        <v>0</v>
      </c>
      <c r="BJ40">
        <v>0</v>
      </c>
      <c r="BK40">
        <v>0</v>
      </c>
      <c r="BL40">
        <v>0</v>
      </c>
      <c r="BM40">
        <v>12375</v>
      </c>
      <c r="BN40">
        <v>-0.65</v>
      </c>
      <c r="BO40">
        <v>0</v>
      </c>
      <c r="BP40">
        <v>0</v>
      </c>
      <c r="BR40">
        <v>0</v>
      </c>
      <c r="BS40">
        <v>4167</v>
      </c>
      <c r="BX40">
        <v>0</v>
      </c>
      <c r="BY40">
        <v>1998.75</v>
      </c>
      <c r="BZ40">
        <v>0</v>
      </c>
      <c r="CA40">
        <v>3.58</v>
      </c>
      <c r="CC40">
        <v>1</v>
      </c>
      <c r="CD40" s="56">
        <v>42709</v>
      </c>
      <c r="CE40" s="56">
        <v>42709</v>
      </c>
      <c r="CF40" s="56">
        <v>42709</v>
      </c>
      <c r="CG40" s="56">
        <v>42835</v>
      </c>
      <c r="CH40" s="56"/>
      <c r="CI40" s="56"/>
      <c r="CJ40">
        <v>0</v>
      </c>
      <c r="CK40">
        <v>0</v>
      </c>
      <c r="CL40">
        <v>0</v>
      </c>
      <c r="CM40">
        <v>0</v>
      </c>
      <c r="CN40">
        <v>0</v>
      </c>
      <c r="CO40">
        <v>0</v>
      </c>
      <c r="CP40">
        <v>0.54</v>
      </c>
      <c r="CQ40" t="s">
        <v>1732</v>
      </c>
      <c r="CR40" t="s">
        <v>1368</v>
      </c>
      <c r="CS40" t="s">
        <v>1735</v>
      </c>
      <c r="CT40" t="s">
        <v>1649</v>
      </c>
      <c r="CU40" t="s">
        <v>1736</v>
      </c>
      <c r="CV40" t="s">
        <v>1699</v>
      </c>
      <c r="DB40" t="s">
        <v>1700</v>
      </c>
      <c r="DE40" t="s">
        <v>1649</v>
      </c>
    </row>
    <row r="41" spans="1:109" x14ac:dyDescent="0.25">
      <c r="A41" t="s">
        <v>1732</v>
      </c>
      <c r="B41">
        <v>1</v>
      </c>
      <c r="C41" s="56">
        <v>42787</v>
      </c>
      <c r="D41" t="s">
        <v>1733</v>
      </c>
      <c r="E41" t="s">
        <v>1701</v>
      </c>
      <c r="G41" t="s">
        <v>1637</v>
      </c>
      <c r="H41" t="s">
        <v>1637</v>
      </c>
      <c r="I41" t="s">
        <v>1637</v>
      </c>
      <c r="J41" t="s">
        <v>1637</v>
      </c>
      <c r="K41" t="s">
        <v>1637</v>
      </c>
      <c r="L41">
        <v>0.89</v>
      </c>
      <c r="M41">
        <v>2</v>
      </c>
      <c r="N41">
        <v>0</v>
      </c>
      <c r="O41" s="56"/>
      <c r="P41" s="56"/>
      <c r="Q41">
        <v>13721</v>
      </c>
      <c r="R41">
        <v>6</v>
      </c>
      <c r="S41">
        <v>18</v>
      </c>
      <c r="T41">
        <v>8</v>
      </c>
      <c r="U41">
        <v>10</v>
      </c>
      <c r="V41">
        <v>1</v>
      </c>
      <c r="X41" t="s">
        <v>1734</v>
      </c>
      <c r="AA41">
        <v>0</v>
      </c>
      <c r="AB41">
        <v>0</v>
      </c>
      <c r="AC41">
        <v>0</v>
      </c>
      <c r="AD41">
        <v>0</v>
      </c>
      <c r="AE41">
        <v>0</v>
      </c>
      <c r="AF41">
        <v>0</v>
      </c>
      <c r="AG41">
        <v>0</v>
      </c>
      <c r="AJ41" s="56"/>
      <c r="AK41" s="56"/>
      <c r="AL41" s="56"/>
      <c r="AP41" t="s">
        <v>1638</v>
      </c>
      <c r="AR41">
        <v>100</v>
      </c>
      <c r="AS41" t="s">
        <v>1639</v>
      </c>
      <c r="AT41">
        <v>1</v>
      </c>
      <c r="AV41">
        <v>0</v>
      </c>
      <c r="AW41">
        <v>0</v>
      </c>
      <c r="AX41">
        <v>0</v>
      </c>
      <c r="AY41" t="s">
        <v>1640</v>
      </c>
      <c r="AZ41" t="s">
        <v>1640</v>
      </c>
      <c r="BA41">
        <v>0</v>
      </c>
      <c r="BD41">
        <v>1000000000</v>
      </c>
      <c r="BE41">
        <v>390</v>
      </c>
      <c r="BF41">
        <v>0</v>
      </c>
      <c r="BG41">
        <v>0</v>
      </c>
      <c r="BH41">
        <v>0</v>
      </c>
      <c r="BI41">
        <v>0</v>
      </c>
      <c r="BJ41">
        <v>0</v>
      </c>
      <c r="BK41">
        <v>0</v>
      </c>
      <c r="BL41">
        <v>0</v>
      </c>
      <c r="BM41">
        <v>390</v>
      </c>
      <c r="BN41">
        <v>0</v>
      </c>
      <c r="BO41">
        <v>0</v>
      </c>
      <c r="BP41">
        <v>0</v>
      </c>
      <c r="BR41">
        <v>0</v>
      </c>
      <c r="BS41">
        <v>0</v>
      </c>
      <c r="BX41">
        <v>0</v>
      </c>
      <c r="BY41">
        <v>0</v>
      </c>
      <c r="BZ41">
        <v>0</v>
      </c>
      <c r="CA41">
        <v>0</v>
      </c>
      <c r="CC41">
        <v>1</v>
      </c>
      <c r="CD41" s="56">
        <v>42593</v>
      </c>
      <c r="CE41" s="56">
        <v>42661</v>
      </c>
      <c r="CF41" s="56">
        <v>42661</v>
      </c>
      <c r="CG41" s="56">
        <v>42787</v>
      </c>
      <c r="CH41" s="56"/>
      <c r="CI41" s="56"/>
      <c r="CJ41">
        <v>0.12</v>
      </c>
      <c r="CK41">
        <v>0</v>
      </c>
      <c r="CL41">
        <v>0.01</v>
      </c>
      <c r="CM41">
        <v>0</v>
      </c>
      <c r="CN41">
        <v>0</v>
      </c>
      <c r="CO41">
        <v>0</v>
      </c>
      <c r="CP41">
        <v>0.72</v>
      </c>
      <c r="CQ41" t="s">
        <v>1732</v>
      </c>
      <c r="CR41" t="s">
        <v>1368</v>
      </c>
      <c r="CS41" t="s">
        <v>1735</v>
      </c>
      <c r="CT41" t="s">
        <v>1649</v>
      </c>
      <c r="CU41" t="s">
        <v>1736</v>
      </c>
      <c r="CV41" t="s">
        <v>1702</v>
      </c>
      <c r="DB41" t="s">
        <v>1703</v>
      </c>
      <c r="DE41" t="s">
        <v>1649</v>
      </c>
    </row>
    <row r="42" spans="1:109" x14ac:dyDescent="0.25">
      <c r="A42" t="s">
        <v>1732</v>
      </c>
      <c r="B42">
        <v>1</v>
      </c>
      <c r="C42" s="56">
        <v>42787</v>
      </c>
      <c r="D42" t="s">
        <v>1733</v>
      </c>
      <c r="E42" t="s">
        <v>1704</v>
      </c>
      <c r="G42" t="s">
        <v>1637</v>
      </c>
      <c r="H42" t="s">
        <v>1637</v>
      </c>
      <c r="I42" t="s">
        <v>1637</v>
      </c>
      <c r="J42" t="s">
        <v>1637</v>
      </c>
      <c r="K42" t="s">
        <v>1637</v>
      </c>
      <c r="L42">
        <v>0.78</v>
      </c>
      <c r="M42">
        <v>2</v>
      </c>
      <c r="N42">
        <v>0</v>
      </c>
      <c r="O42" s="56"/>
      <c r="P42" s="56"/>
      <c r="Q42">
        <v>13721</v>
      </c>
      <c r="R42">
        <v>6</v>
      </c>
      <c r="S42">
        <v>18</v>
      </c>
      <c r="T42">
        <v>8</v>
      </c>
      <c r="U42">
        <v>10</v>
      </c>
      <c r="V42">
        <v>1</v>
      </c>
      <c r="X42" t="s">
        <v>1734</v>
      </c>
      <c r="AA42">
        <v>0</v>
      </c>
      <c r="AB42">
        <v>0</v>
      </c>
      <c r="AC42">
        <v>0</v>
      </c>
      <c r="AD42">
        <v>0</v>
      </c>
      <c r="AE42">
        <v>0</v>
      </c>
      <c r="AF42">
        <v>0</v>
      </c>
      <c r="AG42">
        <v>0</v>
      </c>
      <c r="AJ42" s="56"/>
      <c r="AK42" s="56"/>
      <c r="AL42" s="56"/>
      <c r="AP42" t="s">
        <v>1638</v>
      </c>
      <c r="AR42">
        <v>200</v>
      </c>
      <c r="AS42" t="s">
        <v>1639</v>
      </c>
      <c r="AT42">
        <v>1</v>
      </c>
      <c r="AV42">
        <v>0</v>
      </c>
      <c r="AW42">
        <v>0</v>
      </c>
      <c r="AX42">
        <v>0</v>
      </c>
      <c r="AY42" t="s">
        <v>1640</v>
      </c>
      <c r="AZ42" t="s">
        <v>1640</v>
      </c>
      <c r="BA42">
        <v>0</v>
      </c>
      <c r="BD42">
        <v>1000000000</v>
      </c>
      <c r="BE42">
        <v>395</v>
      </c>
      <c r="BF42">
        <v>0</v>
      </c>
      <c r="BG42">
        <v>0</v>
      </c>
      <c r="BH42">
        <v>0</v>
      </c>
      <c r="BI42">
        <v>0</v>
      </c>
      <c r="BJ42">
        <v>0</v>
      </c>
      <c r="BK42">
        <v>0</v>
      </c>
      <c r="BL42">
        <v>0</v>
      </c>
      <c r="BM42">
        <v>395</v>
      </c>
      <c r="BN42">
        <v>0</v>
      </c>
      <c r="BO42">
        <v>0</v>
      </c>
      <c r="BP42">
        <v>0</v>
      </c>
      <c r="BR42">
        <v>0</v>
      </c>
      <c r="BS42">
        <v>0</v>
      </c>
      <c r="BX42">
        <v>0</v>
      </c>
      <c r="BY42">
        <v>0</v>
      </c>
      <c r="BZ42">
        <v>0</v>
      </c>
      <c r="CA42">
        <v>0</v>
      </c>
      <c r="CC42">
        <v>1</v>
      </c>
      <c r="CD42" s="56">
        <v>42593</v>
      </c>
      <c r="CE42" s="56">
        <v>42661</v>
      </c>
      <c r="CF42" s="56">
        <v>42661</v>
      </c>
      <c r="CG42" s="56">
        <v>42787</v>
      </c>
      <c r="CH42" s="56"/>
      <c r="CI42" s="56"/>
      <c r="CJ42">
        <v>0.12</v>
      </c>
      <c r="CK42">
        <v>0</v>
      </c>
      <c r="CL42">
        <v>0.01</v>
      </c>
      <c r="CM42">
        <v>0</v>
      </c>
      <c r="CN42">
        <v>0</v>
      </c>
      <c r="CO42">
        <v>0</v>
      </c>
      <c r="CP42">
        <v>0.72</v>
      </c>
      <c r="CQ42" t="s">
        <v>1732</v>
      </c>
      <c r="CR42" t="s">
        <v>1368</v>
      </c>
      <c r="CS42" t="s">
        <v>1735</v>
      </c>
      <c r="CT42" t="s">
        <v>1649</v>
      </c>
      <c r="CU42" t="s">
        <v>1736</v>
      </c>
      <c r="CV42" t="s">
        <v>1705</v>
      </c>
      <c r="DB42" t="s">
        <v>1703</v>
      </c>
      <c r="DE42" t="s">
        <v>1649</v>
      </c>
    </row>
    <row r="43" spans="1:109" x14ac:dyDescent="0.25">
      <c r="A43" t="s">
        <v>1732</v>
      </c>
      <c r="B43">
        <v>1</v>
      </c>
      <c r="C43" s="56">
        <v>42787</v>
      </c>
      <c r="D43" t="s">
        <v>1733</v>
      </c>
      <c r="E43" t="s">
        <v>1706</v>
      </c>
      <c r="G43" t="s">
        <v>1637</v>
      </c>
      <c r="H43" t="s">
        <v>1637</v>
      </c>
      <c r="I43" t="s">
        <v>1637</v>
      </c>
      <c r="J43" t="s">
        <v>1637</v>
      </c>
      <c r="K43" t="s">
        <v>1637</v>
      </c>
      <c r="L43">
        <v>0.09</v>
      </c>
      <c r="M43">
        <v>0.3</v>
      </c>
      <c r="N43">
        <v>0</v>
      </c>
      <c r="O43" s="56"/>
      <c r="P43" s="56"/>
      <c r="Q43">
        <v>13721</v>
      </c>
      <c r="R43">
        <v>6</v>
      </c>
      <c r="S43">
        <v>18</v>
      </c>
      <c r="T43">
        <v>8</v>
      </c>
      <c r="U43">
        <v>10</v>
      </c>
      <c r="V43">
        <v>1</v>
      </c>
      <c r="X43" t="s">
        <v>1734</v>
      </c>
      <c r="AA43">
        <v>0</v>
      </c>
      <c r="AB43">
        <v>0</v>
      </c>
      <c r="AC43">
        <v>0</v>
      </c>
      <c r="AD43">
        <v>0</v>
      </c>
      <c r="AE43">
        <v>0</v>
      </c>
      <c r="AF43">
        <v>0</v>
      </c>
      <c r="AG43">
        <v>0</v>
      </c>
      <c r="AJ43" s="56"/>
      <c r="AK43" s="56"/>
      <c r="AL43" s="56"/>
      <c r="AP43" t="s">
        <v>1638</v>
      </c>
      <c r="AR43">
        <v>250</v>
      </c>
      <c r="AS43" t="s">
        <v>1639</v>
      </c>
      <c r="AT43">
        <v>1</v>
      </c>
      <c r="AV43">
        <v>0</v>
      </c>
      <c r="AW43">
        <v>0</v>
      </c>
      <c r="AX43">
        <v>0</v>
      </c>
      <c r="AY43" t="s">
        <v>1640</v>
      </c>
      <c r="AZ43" t="s">
        <v>1640</v>
      </c>
      <c r="BA43">
        <v>0</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C43">
        <v>1</v>
      </c>
      <c r="CD43" s="56">
        <v>42593</v>
      </c>
      <c r="CE43" s="56">
        <v>42661</v>
      </c>
      <c r="CF43" s="56">
        <v>42661</v>
      </c>
      <c r="CG43" s="56">
        <v>42787</v>
      </c>
      <c r="CH43" s="56"/>
      <c r="CI43" s="56"/>
      <c r="CJ43">
        <v>1</v>
      </c>
      <c r="CK43">
        <v>0</v>
      </c>
      <c r="CL43">
        <v>0.73</v>
      </c>
      <c r="CM43">
        <v>0</v>
      </c>
      <c r="CN43">
        <v>0</v>
      </c>
      <c r="CO43">
        <v>0</v>
      </c>
      <c r="CP43">
        <v>0</v>
      </c>
      <c r="CQ43" t="s">
        <v>1732</v>
      </c>
      <c r="CR43" t="s">
        <v>1368</v>
      </c>
      <c r="CS43" t="s">
        <v>1735</v>
      </c>
      <c r="CT43" t="s">
        <v>1649</v>
      </c>
      <c r="CU43" t="s">
        <v>1736</v>
      </c>
      <c r="CV43" t="s">
        <v>1707</v>
      </c>
      <c r="DB43" t="s">
        <v>1708</v>
      </c>
      <c r="DE43" t="s">
        <v>1649</v>
      </c>
    </row>
    <row r="44" spans="1:109" x14ac:dyDescent="0.25">
      <c r="A44" t="s">
        <v>1732</v>
      </c>
      <c r="B44">
        <v>1</v>
      </c>
      <c r="C44" s="56">
        <v>42787</v>
      </c>
      <c r="D44" t="s">
        <v>1733</v>
      </c>
      <c r="E44" t="s">
        <v>1709</v>
      </c>
      <c r="G44" t="s">
        <v>1637</v>
      </c>
      <c r="H44" t="s">
        <v>1637</v>
      </c>
      <c r="I44" t="s">
        <v>1637</v>
      </c>
      <c r="J44" t="s">
        <v>1637</v>
      </c>
      <c r="K44" t="s">
        <v>1637</v>
      </c>
      <c r="L44">
        <v>1</v>
      </c>
      <c r="M44">
        <v>2</v>
      </c>
      <c r="N44">
        <v>0</v>
      </c>
      <c r="O44" s="56"/>
      <c r="P44" s="56"/>
      <c r="Q44">
        <v>13721</v>
      </c>
      <c r="R44">
        <v>6</v>
      </c>
      <c r="S44">
        <v>18</v>
      </c>
      <c r="T44">
        <v>8</v>
      </c>
      <c r="U44">
        <v>10</v>
      </c>
      <c r="V44">
        <v>1</v>
      </c>
      <c r="X44" t="s">
        <v>1734</v>
      </c>
      <c r="AA44">
        <v>0</v>
      </c>
      <c r="AB44">
        <v>0</v>
      </c>
      <c r="AC44">
        <v>0</v>
      </c>
      <c r="AD44">
        <v>0</v>
      </c>
      <c r="AE44">
        <v>0</v>
      </c>
      <c r="AF44">
        <v>0</v>
      </c>
      <c r="AG44">
        <v>0</v>
      </c>
      <c r="AJ44" s="56"/>
      <c r="AK44" s="56"/>
      <c r="AL44" s="56"/>
      <c r="AP44" t="s">
        <v>1638</v>
      </c>
      <c r="AR44">
        <v>250</v>
      </c>
      <c r="AS44" t="s">
        <v>1639</v>
      </c>
      <c r="AT44">
        <v>1</v>
      </c>
      <c r="AV44">
        <v>0</v>
      </c>
      <c r="AW44">
        <v>0</v>
      </c>
      <c r="AX44">
        <v>0</v>
      </c>
      <c r="AY44" t="s">
        <v>1640</v>
      </c>
      <c r="AZ44" t="s">
        <v>1640</v>
      </c>
      <c r="BA44">
        <v>0</v>
      </c>
      <c r="BD44">
        <v>1000000000</v>
      </c>
      <c r="BE44">
        <v>0</v>
      </c>
      <c r="BF44">
        <v>0</v>
      </c>
      <c r="BG44">
        <v>0</v>
      </c>
      <c r="BH44">
        <v>0</v>
      </c>
      <c r="BI44">
        <v>0</v>
      </c>
      <c r="BJ44">
        <v>0</v>
      </c>
      <c r="BK44">
        <v>0</v>
      </c>
      <c r="BL44">
        <v>0</v>
      </c>
      <c r="BM44">
        <v>0</v>
      </c>
      <c r="BN44">
        <v>0</v>
      </c>
      <c r="BO44">
        <v>0</v>
      </c>
      <c r="BP44">
        <v>0</v>
      </c>
      <c r="BR44">
        <v>0</v>
      </c>
      <c r="BS44">
        <v>0</v>
      </c>
      <c r="BX44">
        <v>0</v>
      </c>
      <c r="BY44">
        <v>0</v>
      </c>
      <c r="BZ44">
        <v>0</v>
      </c>
      <c r="CA44">
        <v>0</v>
      </c>
      <c r="CC44">
        <v>1</v>
      </c>
      <c r="CD44" s="56">
        <v>42593</v>
      </c>
      <c r="CE44" s="56">
        <v>42661</v>
      </c>
      <c r="CF44" s="56">
        <v>42661</v>
      </c>
      <c r="CG44" s="56">
        <v>42787</v>
      </c>
      <c r="CH44" s="56"/>
      <c r="CI44" s="56"/>
      <c r="CJ44">
        <v>1</v>
      </c>
      <c r="CK44">
        <v>0</v>
      </c>
      <c r="CL44">
        <v>0.73</v>
      </c>
      <c r="CM44">
        <v>0</v>
      </c>
      <c r="CN44">
        <v>0</v>
      </c>
      <c r="CO44">
        <v>0</v>
      </c>
      <c r="CP44">
        <v>0</v>
      </c>
      <c r="CQ44" t="s">
        <v>1732</v>
      </c>
      <c r="CR44" t="s">
        <v>1368</v>
      </c>
      <c r="CS44" t="s">
        <v>1735</v>
      </c>
      <c r="CT44" t="s">
        <v>1649</v>
      </c>
      <c r="CU44" t="s">
        <v>1736</v>
      </c>
      <c r="CV44" t="s">
        <v>1710</v>
      </c>
      <c r="DB44" t="s">
        <v>1708</v>
      </c>
      <c r="DE44" t="s">
        <v>1649</v>
      </c>
    </row>
    <row r="45" spans="1:109" x14ac:dyDescent="0.25">
      <c r="A45" t="s">
        <v>1732</v>
      </c>
      <c r="B45">
        <v>1</v>
      </c>
      <c r="C45" s="56">
        <v>42787</v>
      </c>
      <c r="D45" t="s">
        <v>1733</v>
      </c>
      <c r="E45" t="s">
        <v>1711</v>
      </c>
      <c r="G45" t="s">
        <v>1637</v>
      </c>
      <c r="H45" t="s">
        <v>1637</v>
      </c>
      <c r="I45" t="s">
        <v>1637</v>
      </c>
      <c r="J45" t="s">
        <v>1637</v>
      </c>
      <c r="K45" t="s">
        <v>1637</v>
      </c>
      <c r="L45">
        <v>0.09</v>
      </c>
      <c r="M45">
        <v>0.3</v>
      </c>
      <c r="N45">
        <v>0</v>
      </c>
      <c r="O45" s="56"/>
      <c r="P45" s="56"/>
      <c r="Q45">
        <v>13721</v>
      </c>
      <c r="R45">
        <v>6</v>
      </c>
      <c r="S45">
        <v>18</v>
      </c>
      <c r="T45">
        <v>8</v>
      </c>
      <c r="U45">
        <v>10</v>
      </c>
      <c r="V45">
        <v>1</v>
      </c>
      <c r="X45" t="s">
        <v>1734</v>
      </c>
      <c r="AA45">
        <v>0</v>
      </c>
      <c r="AB45">
        <v>0</v>
      </c>
      <c r="AC45">
        <v>0</v>
      </c>
      <c r="AD45">
        <v>0</v>
      </c>
      <c r="AE45">
        <v>0</v>
      </c>
      <c r="AF45">
        <v>0</v>
      </c>
      <c r="AG45">
        <v>0</v>
      </c>
      <c r="AJ45" s="56"/>
      <c r="AK45" s="56"/>
      <c r="AL45" s="56"/>
      <c r="AP45" t="s">
        <v>1638</v>
      </c>
      <c r="AR45">
        <v>250</v>
      </c>
      <c r="AS45" t="s">
        <v>1639</v>
      </c>
      <c r="AT45">
        <v>1</v>
      </c>
      <c r="AV45">
        <v>0</v>
      </c>
      <c r="AW45">
        <v>0</v>
      </c>
      <c r="AX45">
        <v>0</v>
      </c>
      <c r="AY45" t="s">
        <v>1640</v>
      </c>
      <c r="AZ45" t="s">
        <v>1640</v>
      </c>
      <c r="BA45">
        <v>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C45">
        <v>1</v>
      </c>
      <c r="CD45" s="56">
        <v>42593</v>
      </c>
      <c r="CE45" s="56">
        <v>42661</v>
      </c>
      <c r="CF45" s="56">
        <v>42661</v>
      </c>
      <c r="CG45" s="56">
        <v>42787</v>
      </c>
      <c r="CH45" s="56"/>
      <c r="CI45" s="56"/>
      <c r="CJ45">
        <v>1</v>
      </c>
      <c r="CK45">
        <v>0</v>
      </c>
      <c r="CL45">
        <v>0.73</v>
      </c>
      <c r="CM45">
        <v>0</v>
      </c>
      <c r="CN45">
        <v>0</v>
      </c>
      <c r="CO45">
        <v>0</v>
      </c>
      <c r="CP45">
        <v>0</v>
      </c>
      <c r="CQ45" t="s">
        <v>1732</v>
      </c>
      <c r="CR45" t="s">
        <v>1368</v>
      </c>
      <c r="CS45" t="s">
        <v>1735</v>
      </c>
      <c r="CT45" t="s">
        <v>1649</v>
      </c>
      <c r="CU45" t="s">
        <v>1736</v>
      </c>
      <c r="CV45" t="s">
        <v>1712</v>
      </c>
      <c r="DB45" t="s">
        <v>1708</v>
      </c>
      <c r="DE45" t="s">
        <v>1649</v>
      </c>
    </row>
    <row r="46" spans="1:109" x14ac:dyDescent="0.25">
      <c r="A46" t="s">
        <v>1732</v>
      </c>
      <c r="B46">
        <v>1</v>
      </c>
      <c r="C46" s="56">
        <v>42787</v>
      </c>
      <c r="D46" t="s">
        <v>1733</v>
      </c>
      <c r="E46" t="s">
        <v>1713</v>
      </c>
      <c r="G46" t="s">
        <v>1637</v>
      </c>
      <c r="H46" t="s">
        <v>1637</v>
      </c>
      <c r="I46" t="s">
        <v>1637</v>
      </c>
      <c r="J46" t="s">
        <v>1637</v>
      </c>
      <c r="K46" t="s">
        <v>1637</v>
      </c>
      <c r="L46">
        <v>0.94</v>
      </c>
      <c r="M46">
        <v>2</v>
      </c>
      <c r="N46">
        <v>0</v>
      </c>
      <c r="O46" s="56"/>
      <c r="P46" s="56"/>
      <c r="Q46">
        <v>13721</v>
      </c>
      <c r="R46">
        <v>6</v>
      </c>
      <c r="S46">
        <v>18</v>
      </c>
      <c r="T46">
        <v>8</v>
      </c>
      <c r="U46">
        <v>10</v>
      </c>
      <c r="V46">
        <v>1</v>
      </c>
      <c r="X46" t="s">
        <v>1734</v>
      </c>
      <c r="AA46">
        <v>0</v>
      </c>
      <c r="AB46">
        <v>0</v>
      </c>
      <c r="AC46">
        <v>0</v>
      </c>
      <c r="AD46">
        <v>0</v>
      </c>
      <c r="AE46">
        <v>0</v>
      </c>
      <c r="AF46">
        <v>0</v>
      </c>
      <c r="AG46">
        <v>0</v>
      </c>
      <c r="AJ46" s="56"/>
      <c r="AK46" s="56"/>
      <c r="AL46" s="56"/>
      <c r="AP46" t="s">
        <v>1638</v>
      </c>
      <c r="AR46">
        <v>120</v>
      </c>
      <c r="AS46" t="s">
        <v>1639</v>
      </c>
      <c r="AT46">
        <v>1</v>
      </c>
      <c r="AV46">
        <v>0</v>
      </c>
      <c r="AW46">
        <v>0</v>
      </c>
      <c r="AX46">
        <v>0</v>
      </c>
      <c r="AY46" t="s">
        <v>1640</v>
      </c>
      <c r="AZ46" t="s">
        <v>1640</v>
      </c>
      <c r="BA46">
        <v>0</v>
      </c>
      <c r="BD46">
        <v>1000000000</v>
      </c>
      <c r="BE46">
        <v>1668</v>
      </c>
      <c r="BF46">
        <v>0</v>
      </c>
      <c r="BG46">
        <v>0</v>
      </c>
      <c r="BH46">
        <v>0</v>
      </c>
      <c r="BI46">
        <v>0</v>
      </c>
      <c r="BJ46">
        <v>0</v>
      </c>
      <c r="BK46">
        <v>0</v>
      </c>
      <c r="BL46">
        <v>0</v>
      </c>
      <c r="BM46">
        <v>1668</v>
      </c>
      <c r="BN46">
        <v>0</v>
      </c>
      <c r="BO46">
        <v>0</v>
      </c>
      <c r="BP46">
        <v>0</v>
      </c>
      <c r="BR46">
        <v>0</v>
      </c>
      <c r="BS46">
        <v>0</v>
      </c>
      <c r="BX46">
        <v>0</v>
      </c>
      <c r="BY46">
        <v>0</v>
      </c>
      <c r="BZ46">
        <v>0</v>
      </c>
      <c r="CA46">
        <v>0</v>
      </c>
      <c r="CC46">
        <v>1</v>
      </c>
      <c r="CD46" s="56">
        <v>42593</v>
      </c>
      <c r="CE46" s="56">
        <v>42661</v>
      </c>
      <c r="CF46" s="56">
        <v>42661</v>
      </c>
      <c r="CG46" s="56">
        <v>42787</v>
      </c>
      <c r="CH46" s="56"/>
      <c r="CI46" s="56"/>
      <c r="CJ46">
        <v>0.12</v>
      </c>
      <c r="CK46">
        <v>0</v>
      </c>
      <c r="CL46">
        <v>0.01</v>
      </c>
      <c r="CM46">
        <v>0</v>
      </c>
      <c r="CN46">
        <v>0</v>
      </c>
      <c r="CO46">
        <v>0</v>
      </c>
      <c r="CP46">
        <v>0.72</v>
      </c>
      <c r="CQ46" t="s">
        <v>1732</v>
      </c>
      <c r="CR46" t="s">
        <v>1368</v>
      </c>
      <c r="CS46" t="s">
        <v>1735</v>
      </c>
      <c r="CT46" t="s">
        <v>1649</v>
      </c>
      <c r="CU46" t="s">
        <v>1736</v>
      </c>
      <c r="CV46" t="s">
        <v>1714</v>
      </c>
      <c r="DB46" t="s">
        <v>1715</v>
      </c>
      <c r="DE46" t="s">
        <v>1649</v>
      </c>
    </row>
    <row r="47" spans="1:109" x14ac:dyDescent="0.25">
      <c r="A47" t="s">
        <v>1732</v>
      </c>
      <c r="B47">
        <v>1</v>
      </c>
      <c r="C47" s="56">
        <v>42787</v>
      </c>
      <c r="D47" t="s">
        <v>1733</v>
      </c>
      <c r="E47" t="s">
        <v>1716</v>
      </c>
      <c r="G47" t="s">
        <v>1637</v>
      </c>
      <c r="H47" t="s">
        <v>1637</v>
      </c>
      <c r="I47" t="s">
        <v>1637</v>
      </c>
      <c r="J47" t="s">
        <v>1637</v>
      </c>
      <c r="K47" t="s">
        <v>1637</v>
      </c>
      <c r="L47">
        <v>0.94</v>
      </c>
      <c r="M47">
        <v>2</v>
      </c>
      <c r="N47">
        <v>0</v>
      </c>
      <c r="O47" s="56"/>
      <c r="P47" s="56"/>
      <c r="Q47">
        <v>13721</v>
      </c>
      <c r="R47">
        <v>6</v>
      </c>
      <c r="S47">
        <v>18</v>
      </c>
      <c r="T47">
        <v>8</v>
      </c>
      <c r="U47">
        <v>10</v>
      </c>
      <c r="V47">
        <v>1</v>
      </c>
      <c r="X47" t="s">
        <v>1734</v>
      </c>
      <c r="AA47">
        <v>0</v>
      </c>
      <c r="AB47">
        <v>0</v>
      </c>
      <c r="AC47">
        <v>0</v>
      </c>
      <c r="AD47">
        <v>0</v>
      </c>
      <c r="AE47">
        <v>0</v>
      </c>
      <c r="AF47">
        <v>0</v>
      </c>
      <c r="AG47">
        <v>0</v>
      </c>
      <c r="AJ47" s="56"/>
      <c r="AK47" s="56"/>
      <c r="AL47" s="56"/>
      <c r="AP47" t="s">
        <v>1638</v>
      </c>
      <c r="AR47">
        <v>120</v>
      </c>
      <c r="AS47" t="s">
        <v>1639</v>
      </c>
      <c r="AT47">
        <v>1</v>
      </c>
      <c r="AV47">
        <v>0</v>
      </c>
      <c r="AW47">
        <v>0</v>
      </c>
      <c r="AX47">
        <v>0</v>
      </c>
      <c r="AY47" t="s">
        <v>1640</v>
      </c>
      <c r="AZ47" t="s">
        <v>1640</v>
      </c>
      <c r="BA47">
        <v>0</v>
      </c>
      <c r="BD47">
        <v>1000000000</v>
      </c>
      <c r="BE47">
        <v>1184</v>
      </c>
      <c r="BF47">
        <v>0</v>
      </c>
      <c r="BG47">
        <v>0</v>
      </c>
      <c r="BH47">
        <v>0</v>
      </c>
      <c r="BI47">
        <v>0</v>
      </c>
      <c r="BJ47">
        <v>0</v>
      </c>
      <c r="BK47">
        <v>0</v>
      </c>
      <c r="BL47">
        <v>0</v>
      </c>
      <c r="BM47">
        <v>1184</v>
      </c>
      <c r="BN47">
        <v>0</v>
      </c>
      <c r="BO47">
        <v>0</v>
      </c>
      <c r="BP47">
        <v>0</v>
      </c>
      <c r="BR47">
        <v>0</v>
      </c>
      <c r="BS47">
        <v>0</v>
      </c>
      <c r="BX47">
        <v>0</v>
      </c>
      <c r="BY47">
        <v>0</v>
      </c>
      <c r="BZ47">
        <v>0</v>
      </c>
      <c r="CA47">
        <v>0</v>
      </c>
      <c r="CC47">
        <v>1</v>
      </c>
      <c r="CD47" s="56">
        <v>42593</v>
      </c>
      <c r="CE47" s="56">
        <v>42661</v>
      </c>
      <c r="CF47" s="56">
        <v>42661</v>
      </c>
      <c r="CG47" s="56">
        <v>42787</v>
      </c>
      <c r="CH47" s="56"/>
      <c r="CI47" s="56"/>
      <c r="CJ47">
        <v>0.12</v>
      </c>
      <c r="CK47">
        <v>0</v>
      </c>
      <c r="CL47">
        <v>0.01</v>
      </c>
      <c r="CM47">
        <v>0</v>
      </c>
      <c r="CN47">
        <v>0</v>
      </c>
      <c r="CO47">
        <v>0</v>
      </c>
      <c r="CP47">
        <v>0.72</v>
      </c>
      <c r="CQ47" t="s">
        <v>1732</v>
      </c>
      <c r="CR47" t="s">
        <v>1368</v>
      </c>
      <c r="CS47" t="s">
        <v>1735</v>
      </c>
      <c r="CT47" t="s">
        <v>1649</v>
      </c>
      <c r="CU47" t="s">
        <v>1736</v>
      </c>
      <c r="CV47" t="s">
        <v>1717</v>
      </c>
      <c r="DB47" t="s">
        <v>1715</v>
      </c>
      <c r="DE47" t="s">
        <v>1649</v>
      </c>
    </row>
    <row r="48" spans="1:109" x14ac:dyDescent="0.25">
      <c r="A48" t="s">
        <v>1732</v>
      </c>
      <c r="B48">
        <v>1</v>
      </c>
      <c r="C48" s="56">
        <v>42787</v>
      </c>
      <c r="D48" t="s">
        <v>1733</v>
      </c>
      <c r="E48" t="s">
        <v>1718</v>
      </c>
      <c r="G48" t="s">
        <v>1637</v>
      </c>
      <c r="H48" t="s">
        <v>1637</v>
      </c>
      <c r="I48" t="s">
        <v>1637</v>
      </c>
      <c r="J48" t="s">
        <v>1637</v>
      </c>
      <c r="K48" t="s">
        <v>1637</v>
      </c>
      <c r="L48">
        <v>80.86</v>
      </c>
      <c r="M48">
        <v>2</v>
      </c>
      <c r="N48">
        <v>0</v>
      </c>
      <c r="O48" s="56"/>
      <c r="P48" s="56"/>
      <c r="Q48">
        <v>13721</v>
      </c>
      <c r="R48">
        <v>6</v>
      </c>
      <c r="S48">
        <v>18</v>
      </c>
      <c r="T48">
        <v>8</v>
      </c>
      <c r="U48">
        <v>10</v>
      </c>
      <c r="V48">
        <v>1</v>
      </c>
      <c r="X48" t="s">
        <v>1734</v>
      </c>
      <c r="AA48">
        <v>0</v>
      </c>
      <c r="AB48">
        <v>0</v>
      </c>
      <c r="AC48">
        <v>0</v>
      </c>
      <c r="AD48">
        <v>0</v>
      </c>
      <c r="AE48">
        <v>0</v>
      </c>
      <c r="AF48">
        <v>0</v>
      </c>
      <c r="AG48">
        <v>0</v>
      </c>
      <c r="AJ48" s="56"/>
      <c r="AK48" s="56"/>
      <c r="AL48" s="56"/>
      <c r="AP48" t="s">
        <v>1638</v>
      </c>
      <c r="AR48">
        <v>1</v>
      </c>
      <c r="AS48" t="s">
        <v>1639</v>
      </c>
      <c r="AT48">
        <v>1</v>
      </c>
      <c r="AV48">
        <v>0</v>
      </c>
      <c r="AW48">
        <v>0</v>
      </c>
      <c r="AX48">
        <v>0</v>
      </c>
      <c r="AY48" t="s">
        <v>1640</v>
      </c>
      <c r="AZ48" t="s">
        <v>1640</v>
      </c>
      <c r="BA48">
        <v>0</v>
      </c>
      <c r="BD48">
        <v>1000000000</v>
      </c>
      <c r="BE48">
        <v>1</v>
      </c>
      <c r="BF48">
        <v>0</v>
      </c>
      <c r="BG48">
        <v>0</v>
      </c>
      <c r="BH48">
        <v>0</v>
      </c>
      <c r="BI48">
        <v>0</v>
      </c>
      <c r="BJ48">
        <v>0</v>
      </c>
      <c r="BK48">
        <v>0</v>
      </c>
      <c r="BL48">
        <v>0</v>
      </c>
      <c r="BM48">
        <v>1</v>
      </c>
      <c r="BN48">
        <v>0</v>
      </c>
      <c r="BO48">
        <v>0</v>
      </c>
      <c r="BP48">
        <v>0</v>
      </c>
      <c r="BR48">
        <v>0</v>
      </c>
      <c r="BS48">
        <v>0</v>
      </c>
      <c r="BX48">
        <v>0</v>
      </c>
      <c r="BY48">
        <v>0</v>
      </c>
      <c r="BZ48">
        <v>0</v>
      </c>
      <c r="CA48">
        <v>0</v>
      </c>
      <c r="CC48">
        <v>1</v>
      </c>
      <c r="CD48" s="56">
        <v>42593</v>
      </c>
      <c r="CE48" s="56">
        <v>42661</v>
      </c>
      <c r="CF48" s="56">
        <v>42661</v>
      </c>
      <c r="CG48" s="56">
        <v>42787</v>
      </c>
      <c r="CH48" s="56"/>
      <c r="CI48" s="56"/>
      <c r="CJ48">
        <v>0.12</v>
      </c>
      <c r="CK48">
        <v>0</v>
      </c>
      <c r="CL48">
        <v>0.01</v>
      </c>
      <c r="CM48">
        <v>0</v>
      </c>
      <c r="CN48">
        <v>0</v>
      </c>
      <c r="CO48">
        <v>0</v>
      </c>
      <c r="CP48">
        <v>0.72</v>
      </c>
      <c r="CQ48" t="s">
        <v>1732</v>
      </c>
      <c r="CR48" t="s">
        <v>1368</v>
      </c>
      <c r="CS48" t="s">
        <v>1735</v>
      </c>
      <c r="CT48" t="s">
        <v>1649</v>
      </c>
      <c r="CU48" t="s">
        <v>1736</v>
      </c>
      <c r="CV48" t="s">
        <v>1719</v>
      </c>
      <c r="DB48" t="s">
        <v>1720</v>
      </c>
      <c r="DE48" t="s">
        <v>1649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917"/>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1744</v>
      </c>
      <c r="B2">
        <v>25</v>
      </c>
      <c r="C2" s="47">
        <v>42614</v>
      </c>
      <c r="D2" s="3" t="str">
        <f>YEAR(Datos_Consumo[[#This Row],[FECHA]])&amp;"-"&amp;MONTH(Datos_Consumo[[#This Row],[FECHA]])</f>
        <v>2016-9</v>
      </c>
      <c r="F2" s="47">
        <v>42614</v>
      </c>
      <c r="G2" s="53" t="str">
        <f>YEAR(Fecha_Consumo[[#This Row],[FECHAS_CONSUMO]])&amp;"-"&amp;MONTH(Fecha_Consumo[[#This Row],[FECHAS_CONSUMO]])</f>
        <v>2016-9</v>
      </c>
    </row>
    <row r="3" spans="1:7" x14ac:dyDescent="0.25">
      <c r="A3" t="s">
        <v>1744</v>
      </c>
      <c r="B3">
        <v>8</v>
      </c>
      <c r="C3" s="56">
        <v>42736</v>
      </c>
      <c r="D3" s="3" t="str">
        <f>YEAR(Datos_Consumo[[#This Row],[FECHA]])&amp;"-"&amp;MONTH(Datos_Consumo[[#This Row],[FECHA]])</f>
        <v>2017-1</v>
      </c>
      <c r="F3" s="56">
        <v>42644</v>
      </c>
      <c r="G3" s="53" t="str">
        <f>YEAR(Fecha_Consumo[[#This Row],[FECHAS_CONSUMO]])&amp;"-"&amp;MONTH(Fecha_Consumo[[#This Row],[FECHAS_CONSUMO]])</f>
        <v>2016-10</v>
      </c>
    </row>
    <row r="4" spans="1:7" x14ac:dyDescent="0.25">
      <c r="A4" t="s">
        <v>1745</v>
      </c>
      <c r="B4">
        <v>205</v>
      </c>
      <c r="C4" s="56">
        <v>42614</v>
      </c>
      <c r="D4" s="3" t="str">
        <f>YEAR(Datos_Consumo[[#This Row],[FECHA]])&amp;"-"&amp;MONTH(Datos_Consumo[[#This Row],[FECHA]])</f>
        <v>2016-9</v>
      </c>
      <c r="F4" s="56">
        <v>42675</v>
      </c>
      <c r="G4" s="53" t="str">
        <f>YEAR(Fecha_Consumo[[#This Row],[FECHAS_CONSUMO]])&amp;"-"&amp;MONTH(Fecha_Consumo[[#This Row],[FECHAS_CONSUMO]])</f>
        <v>2016-11</v>
      </c>
    </row>
    <row r="5" spans="1:7" x14ac:dyDescent="0.25">
      <c r="A5" t="s">
        <v>1745</v>
      </c>
      <c r="B5">
        <v>61</v>
      </c>
      <c r="C5" s="56">
        <v>42644</v>
      </c>
      <c r="D5" s="3" t="str">
        <f>YEAR(Datos_Consumo[[#This Row],[FECHA]])&amp;"-"&amp;MONTH(Datos_Consumo[[#This Row],[FECHA]])</f>
        <v>2016-10</v>
      </c>
      <c r="F5" s="56">
        <v>42705</v>
      </c>
      <c r="G5" s="53" t="str">
        <f>YEAR(Fecha_Consumo[[#This Row],[FECHAS_CONSUMO]])&amp;"-"&amp;MONTH(Fecha_Consumo[[#This Row],[FECHAS_CONSUMO]])</f>
        <v>2016-12</v>
      </c>
    </row>
    <row r="6" spans="1:7" x14ac:dyDescent="0.25">
      <c r="A6" t="s">
        <v>1745</v>
      </c>
      <c r="B6">
        <v>4</v>
      </c>
      <c r="C6" s="56">
        <v>42675</v>
      </c>
      <c r="D6" s="3" t="str">
        <f>YEAR(Datos_Consumo[[#This Row],[FECHA]])&amp;"-"&amp;MONTH(Datos_Consumo[[#This Row],[FECHA]])</f>
        <v>2016-11</v>
      </c>
      <c r="F6" s="56">
        <v>42736</v>
      </c>
      <c r="G6" s="53" t="str">
        <f>YEAR(Fecha_Consumo[[#This Row],[FECHAS_CONSUMO]])&amp;"-"&amp;MONTH(Fecha_Consumo[[#This Row],[FECHAS_CONSUMO]])</f>
        <v>2017-1</v>
      </c>
    </row>
    <row r="7" spans="1:7" x14ac:dyDescent="0.25">
      <c r="A7" t="s">
        <v>1745</v>
      </c>
      <c r="B7">
        <v>4</v>
      </c>
      <c r="C7" s="56">
        <v>42705</v>
      </c>
      <c r="D7" s="3" t="str">
        <f>YEAR(Datos_Consumo[[#This Row],[FECHA]])&amp;"-"&amp;MONTH(Datos_Consumo[[#This Row],[FECHA]])</f>
        <v>2016-12</v>
      </c>
      <c r="F7" s="56">
        <v>42767</v>
      </c>
      <c r="G7" s="53" t="str">
        <f>YEAR(Fecha_Consumo[[#This Row],[FECHAS_CONSUMO]])&amp;"-"&amp;MONTH(Fecha_Consumo[[#This Row],[FECHAS_CONSUMO]])</f>
        <v>2017-2</v>
      </c>
    </row>
    <row r="8" spans="1:7" x14ac:dyDescent="0.25">
      <c r="A8" t="s">
        <v>1745</v>
      </c>
      <c r="B8">
        <v>108</v>
      </c>
      <c r="C8" s="56">
        <v>42736</v>
      </c>
      <c r="D8" s="3" t="str">
        <f>YEAR(Datos_Consumo[[#This Row],[FECHA]])&amp;"-"&amp;MONTH(Datos_Consumo[[#This Row],[FECHA]])</f>
        <v>2017-1</v>
      </c>
    </row>
    <row r="9" spans="1:7" x14ac:dyDescent="0.25">
      <c r="A9" t="s">
        <v>1745</v>
      </c>
      <c r="B9">
        <v>70</v>
      </c>
      <c r="C9" s="56">
        <v>42767</v>
      </c>
      <c r="D9" s="3" t="str">
        <f>YEAR(Datos_Consumo[[#This Row],[FECHA]])&amp;"-"&amp;MONTH(Datos_Consumo[[#This Row],[FECHA]])</f>
        <v>2017-2</v>
      </c>
    </row>
    <row r="10" spans="1:7" x14ac:dyDescent="0.25">
      <c r="A10" t="s">
        <v>1721</v>
      </c>
      <c r="B10">
        <v>4</v>
      </c>
      <c r="C10" s="56">
        <v>42614</v>
      </c>
      <c r="D10" s="3" t="str">
        <f>YEAR(Datos_Consumo[[#This Row],[FECHA]])&amp;"-"&amp;MONTH(Datos_Consumo[[#This Row],[FECHA]])</f>
        <v>2016-9</v>
      </c>
    </row>
    <row r="11" spans="1:7" x14ac:dyDescent="0.25">
      <c r="A11" t="s">
        <v>1721</v>
      </c>
      <c r="B11">
        <v>2</v>
      </c>
      <c r="C11" s="56">
        <v>42644</v>
      </c>
      <c r="D11" s="3" t="str">
        <f>YEAR(Datos_Consumo[[#This Row],[FECHA]])&amp;"-"&amp;MONTH(Datos_Consumo[[#This Row],[FECHA]])</f>
        <v>2016-10</v>
      </c>
    </row>
    <row r="12" spans="1:7" x14ac:dyDescent="0.25">
      <c r="A12" t="s">
        <v>1721</v>
      </c>
      <c r="B12">
        <v>1</v>
      </c>
      <c r="C12" s="56">
        <v>42675</v>
      </c>
      <c r="D12" s="3" t="str">
        <f>YEAR(Datos_Consumo[[#This Row],[FECHA]])&amp;"-"&amp;MONTH(Datos_Consumo[[#This Row],[FECHA]])</f>
        <v>2016-11</v>
      </c>
    </row>
    <row r="13" spans="1:7" x14ac:dyDescent="0.25">
      <c r="A13" t="s">
        <v>1721</v>
      </c>
      <c r="B13">
        <v>2</v>
      </c>
      <c r="C13" s="56">
        <v>42705</v>
      </c>
      <c r="D13" s="3" t="str">
        <f>YEAR(Datos_Consumo[[#This Row],[FECHA]])&amp;"-"&amp;MONTH(Datos_Consumo[[#This Row],[FECHA]])</f>
        <v>2016-12</v>
      </c>
    </row>
    <row r="14" spans="1:7" x14ac:dyDescent="0.25">
      <c r="A14" t="s">
        <v>1721</v>
      </c>
      <c r="B14">
        <v>11</v>
      </c>
      <c r="C14" s="56">
        <v>42736</v>
      </c>
      <c r="D14" s="3" t="str">
        <f>YEAR(Datos_Consumo[[#This Row],[FECHA]])&amp;"-"&amp;MONTH(Datos_Consumo[[#This Row],[FECHA]])</f>
        <v>2017-1</v>
      </c>
    </row>
    <row r="15" spans="1:7" x14ac:dyDescent="0.25">
      <c r="A15" t="s">
        <v>1746</v>
      </c>
      <c r="B15">
        <v>1</v>
      </c>
      <c r="C15" s="56">
        <v>42614</v>
      </c>
      <c r="D15" s="3" t="str">
        <f>YEAR(Datos_Consumo[[#This Row],[FECHA]])&amp;"-"&amp;MONTH(Datos_Consumo[[#This Row],[FECHA]])</f>
        <v>2016-9</v>
      </c>
    </row>
    <row r="16" spans="1:7" x14ac:dyDescent="0.25">
      <c r="A16" t="s">
        <v>1747</v>
      </c>
      <c r="B16">
        <v>8</v>
      </c>
      <c r="C16" s="56">
        <v>42644</v>
      </c>
      <c r="D16" s="3" t="str">
        <f>YEAR(Datos_Consumo[[#This Row],[FECHA]])&amp;"-"&amp;MONTH(Datos_Consumo[[#This Row],[FECHA]])</f>
        <v>2016-10</v>
      </c>
    </row>
    <row r="17" spans="1:4" x14ac:dyDescent="0.25">
      <c r="A17" t="s">
        <v>1722</v>
      </c>
      <c r="B17">
        <v>8</v>
      </c>
      <c r="C17" s="56">
        <v>42614</v>
      </c>
      <c r="D17" s="3" t="str">
        <f>YEAR(Datos_Consumo[[#This Row],[FECHA]])&amp;"-"&amp;MONTH(Datos_Consumo[[#This Row],[FECHA]])</f>
        <v>2016-9</v>
      </c>
    </row>
    <row r="18" spans="1:4" x14ac:dyDescent="0.25">
      <c r="A18" t="s">
        <v>1722</v>
      </c>
      <c r="B18">
        <v>28</v>
      </c>
      <c r="C18" s="56">
        <v>42644</v>
      </c>
      <c r="D18" s="3" t="str">
        <f>YEAR(Datos_Consumo[[#This Row],[FECHA]])&amp;"-"&amp;MONTH(Datos_Consumo[[#This Row],[FECHA]])</f>
        <v>2016-10</v>
      </c>
    </row>
    <row r="19" spans="1:4" x14ac:dyDescent="0.25">
      <c r="A19" t="s">
        <v>1722</v>
      </c>
      <c r="B19">
        <v>20</v>
      </c>
      <c r="C19" s="56">
        <v>42675</v>
      </c>
      <c r="D19" s="3" t="str">
        <f>YEAR(Datos_Consumo[[#This Row],[FECHA]])&amp;"-"&amp;MONTH(Datos_Consumo[[#This Row],[FECHA]])</f>
        <v>2016-11</v>
      </c>
    </row>
    <row r="20" spans="1:4" x14ac:dyDescent="0.25">
      <c r="A20" t="s">
        <v>1722</v>
      </c>
      <c r="B20">
        <v>42</v>
      </c>
      <c r="C20" s="56">
        <v>42705</v>
      </c>
      <c r="D20" s="3" t="str">
        <f>YEAR(Datos_Consumo[[#This Row],[FECHA]])&amp;"-"&amp;MONTH(Datos_Consumo[[#This Row],[FECHA]])</f>
        <v>2016-12</v>
      </c>
    </row>
    <row r="21" spans="1:4" x14ac:dyDescent="0.25">
      <c r="A21" t="s">
        <v>1722</v>
      </c>
      <c r="B21">
        <v>12</v>
      </c>
      <c r="C21" s="56">
        <v>42736</v>
      </c>
      <c r="D21" s="3" t="str">
        <f>YEAR(Datos_Consumo[[#This Row],[FECHA]])&amp;"-"&amp;MONTH(Datos_Consumo[[#This Row],[FECHA]])</f>
        <v>2017-1</v>
      </c>
    </row>
    <row r="22" spans="1:4" x14ac:dyDescent="0.25">
      <c r="A22" t="s">
        <v>1723</v>
      </c>
      <c r="B22">
        <v>4</v>
      </c>
      <c r="C22" s="56">
        <v>42644</v>
      </c>
      <c r="D22" s="3" t="str">
        <f>YEAR(Datos_Consumo[[#This Row],[FECHA]])&amp;"-"&amp;MONTH(Datos_Consumo[[#This Row],[FECHA]])</f>
        <v>2016-10</v>
      </c>
    </row>
    <row r="23" spans="1:4" x14ac:dyDescent="0.25">
      <c r="A23" t="s">
        <v>1723</v>
      </c>
      <c r="B23">
        <v>13</v>
      </c>
      <c r="C23" s="56">
        <v>42675</v>
      </c>
      <c r="D23" s="3" t="str">
        <f>YEAR(Datos_Consumo[[#This Row],[FECHA]])&amp;"-"&amp;MONTH(Datos_Consumo[[#This Row],[FECHA]])</f>
        <v>2016-11</v>
      </c>
    </row>
    <row r="24" spans="1:4" x14ac:dyDescent="0.25">
      <c r="A24" t="s">
        <v>1723</v>
      </c>
      <c r="B24">
        <v>12</v>
      </c>
      <c r="C24" s="56">
        <v>42705</v>
      </c>
      <c r="D24" s="3" t="str">
        <f>YEAR(Datos_Consumo[[#This Row],[FECHA]])&amp;"-"&amp;MONTH(Datos_Consumo[[#This Row],[FECHA]])</f>
        <v>2016-12</v>
      </c>
    </row>
    <row r="25" spans="1:4" x14ac:dyDescent="0.25">
      <c r="A25" t="s">
        <v>1748</v>
      </c>
      <c r="B25">
        <v>1</v>
      </c>
      <c r="C25" s="56">
        <v>42614</v>
      </c>
      <c r="D25" s="3" t="str">
        <f>YEAR(Datos_Consumo[[#This Row],[FECHA]])&amp;"-"&amp;MONTH(Datos_Consumo[[#This Row],[FECHA]])</f>
        <v>2016-9</v>
      </c>
    </row>
    <row r="26" spans="1:4" x14ac:dyDescent="0.25">
      <c r="A26" t="s">
        <v>1748</v>
      </c>
      <c r="B26">
        <v>1</v>
      </c>
      <c r="C26" s="56">
        <v>42675</v>
      </c>
      <c r="D26" s="3" t="str">
        <f>YEAR(Datos_Consumo[[#This Row],[FECHA]])&amp;"-"&amp;MONTH(Datos_Consumo[[#This Row],[FECHA]])</f>
        <v>2016-11</v>
      </c>
    </row>
    <row r="27" spans="1:4" x14ac:dyDescent="0.25">
      <c r="A27" t="s">
        <v>1748</v>
      </c>
      <c r="B27">
        <v>2</v>
      </c>
      <c r="C27" s="56">
        <v>42736</v>
      </c>
      <c r="D27" s="3" t="str">
        <f>YEAR(Datos_Consumo[[#This Row],[FECHA]])&amp;"-"&amp;MONTH(Datos_Consumo[[#This Row],[FECHA]])</f>
        <v>2017-1</v>
      </c>
    </row>
    <row r="28" spans="1:4" x14ac:dyDescent="0.25">
      <c r="A28" t="s">
        <v>1749</v>
      </c>
      <c r="B28">
        <v>1</v>
      </c>
      <c r="C28" s="56">
        <v>42614</v>
      </c>
      <c r="D28" s="3" t="str">
        <f>YEAR(Datos_Consumo[[#This Row],[FECHA]])&amp;"-"&amp;MONTH(Datos_Consumo[[#This Row],[FECHA]])</f>
        <v>2016-9</v>
      </c>
    </row>
    <row r="29" spans="1:4" x14ac:dyDescent="0.25">
      <c r="A29" t="s">
        <v>1750</v>
      </c>
      <c r="B29">
        <v>1</v>
      </c>
      <c r="C29" s="56">
        <v>42736</v>
      </c>
      <c r="D29" s="3" t="str">
        <f>YEAR(Datos_Consumo[[#This Row],[FECHA]])&amp;"-"&amp;MONTH(Datos_Consumo[[#This Row],[FECHA]])</f>
        <v>2017-1</v>
      </c>
    </row>
    <row r="30" spans="1:4" x14ac:dyDescent="0.25">
      <c r="A30" t="s">
        <v>1751</v>
      </c>
      <c r="B30">
        <v>1</v>
      </c>
      <c r="C30" s="56">
        <v>42736</v>
      </c>
      <c r="D30" s="3" t="str">
        <f>YEAR(Datos_Consumo[[#This Row],[FECHA]])&amp;"-"&amp;MONTH(Datos_Consumo[[#This Row],[FECHA]])</f>
        <v>2017-1</v>
      </c>
    </row>
    <row r="31" spans="1:4" x14ac:dyDescent="0.25">
      <c r="A31" t="s">
        <v>1752</v>
      </c>
      <c r="B31">
        <v>8</v>
      </c>
      <c r="C31" s="56">
        <v>42705</v>
      </c>
      <c r="D31" s="3" t="str">
        <f>YEAR(Datos_Consumo[[#This Row],[FECHA]])&amp;"-"&amp;MONTH(Datos_Consumo[[#This Row],[FECHA]])</f>
        <v>2016-12</v>
      </c>
    </row>
    <row r="32" spans="1:4" x14ac:dyDescent="0.25">
      <c r="A32" t="s">
        <v>1753</v>
      </c>
      <c r="B32">
        <v>1</v>
      </c>
      <c r="C32" s="56">
        <v>42736</v>
      </c>
      <c r="D32" s="3" t="str">
        <f>YEAR(Datos_Consumo[[#This Row],[FECHA]])&amp;"-"&amp;MONTH(Datos_Consumo[[#This Row],[FECHA]])</f>
        <v>2017-1</v>
      </c>
    </row>
    <row r="33" spans="1:4" x14ac:dyDescent="0.25">
      <c r="A33" t="s">
        <v>1754</v>
      </c>
      <c r="B33">
        <v>2</v>
      </c>
      <c r="C33" s="56">
        <v>42614</v>
      </c>
      <c r="D33" s="3" t="str">
        <f>YEAR(Datos_Consumo[[#This Row],[FECHA]])&amp;"-"&amp;MONTH(Datos_Consumo[[#This Row],[FECHA]])</f>
        <v>2016-9</v>
      </c>
    </row>
    <row r="34" spans="1:4" x14ac:dyDescent="0.25">
      <c r="A34" t="s">
        <v>1754</v>
      </c>
      <c r="B34">
        <v>1</v>
      </c>
      <c r="C34" s="56">
        <v>42675</v>
      </c>
      <c r="D34" s="3" t="str">
        <f>YEAR(Datos_Consumo[[#This Row],[FECHA]])&amp;"-"&amp;MONTH(Datos_Consumo[[#This Row],[FECHA]])</f>
        <v>2016-11</v>
      </c>
    </row>
    <row r="35" spans="1:4" x14ac:dyDescent="0.25">
      <c r="A35" t="s">
        <v>1755</v>
      </c>
      <c r="B35">
        <v>1</v>
      </c>
      <c r="C35" s="56">
        <v>42736</v>
      </c>
      <c r="D35" s="3" t="str">
        <f>YEAR(Datos_Consumo[[#This Row],[FECHA]])&amp;"-"&amp;MONTH(Datos_Consumo[[#This Row],[FECHA]])</f>
        <v>2017-1</v>
      </c>
    </row>
    <row r="36" spans="1:4" x14ac:dyDescent="0.25">
      <c r="A36" t="s">
        <v>1756</v>
      </c>
      <c r="B36">
        <v>1</v>
      </c>
      <c r="C36" s="56">
        <v>42736</v>
      </c>
      <c r="D36" s="3" t="str">
        <f>YEAR(Datos_Consumo[[#This Row],[FECHA]])&amp;"-"&amp;MONTH(Datos_Consumo[[#This Row],[FECHA]])</f>
        <v>2017-1</v>
      </c>
    </row>
    <row r="37" spans="1:4" x14ac:dyDescent="0.25">
      <c r="A37" t="s">
        <v>1757</v>
      </c>
      <c r="B37">
        <v>2</v>
      </c>
      <c r="C37" s="56">
        <v>42614</v>
      </c>
      <c r="D37" s="3" t="str">
        <f>YEAR(Datos_Consumo[[#This Row],[FECHA]])&amp;"-"&amp;MONTH(Datos_Consumo[[#This Row],[FECHA]])</f>
        <v>2016-9</v>
      </c>
    </row>
    <row r="38" spans="1:4" x14ac:dyDescent="0.25">
      <c r="A38" t="s">
        <v>1757</v>
      </c>
      <c r="B38">
        <v>1</v>
      </c>
      <c r="C38" s="56">
        <v>42644</v>
      </c>
      <c r="D38" s="3" t="str">
        <f>YEAR(Datos_Consumo[[#This Row],[FECHA]])&amp;"-"&amp;MONTH(Datos_Consumo[[#This Row],[FECHA]])</f>
        <v>2016-10</v>
      </c>
    </row>
    <row r="39" spans="1:4" x14ac:dyDescent="0.25">
      <c r="A39" t="s">
        <v>1758</v>
      </c>
      <c r="B39">
        <v>2</v>
      </c>
      <c r="C39" s="56">
        <v>42614</v>
      </c>
      <c r="D39" s="3" t="str">
        <f>YEAR(Datos_Consumo[[#This Row],[FECHA]])&amp;"-"&amp;MONTH(Datos_Consumo[[#This Row],[FECHA]])</f>
        <v>2016-9</v>
      </c>
    </row>
    <row r="40" spans="1:4" x14ac:dyDescent="0.25">
      <c r="A40" t="s">
        <v>1758</v>
      </c>
      <c r="B40">
        <v>2</v>
      </c>
      <c r="C40" s="56">
        <v>42675</v>
      </c>
      <c r="D40" s="3" t="str">
        <f>YEAR(Datos_Consumo[[#This Row],[FECHA]])&amp;"-"&amp;MONTH(Datos_Consumo[[#This Row],[FECHA]])</f>
        <v>2016-11</v>
      </c>
    </row>
    <row r="41" spans="1:4" x14ac:dyDescent="0.25">
      <c r="A41" t="s">
        <v>1759</v>
      </c>
      <c r="B41">
        <v>6</v>
      </c>
      <c r="C41" s="56">
        <v>42614</v>
      </c>
      <c r="D41" s="3" t="str">
        <f>YEAR(Datos_Consumo[[#This Row],[FECHA]])&amp;"-"&amp;MONTH(Datos_Consumo[[#This Row],[FECHA]])</f>
        <v>2016-9</v>
      </c>
    </row>
    <row r="42" spans="1:4" x14ac:dyDescent="0.25">
      <c r="A42" t="s">
        <v>1724</v>
      </c>
      <c r="B42">
        <v>3</v>
      </c>
      <c r="C42" s="56">
        <v>42614</v>
      </c>
      <c r="D42" s="3" t="str">
        <f>YEAR(Datos_Consumo[[#This Row],[FECHA]])&amp;"-"&amp;MONTH(Datos_Consumo[[#This Row],[FECHA]])</f>
        <v>2016-9</v>
      </c>
    </row>
    <row r="43" spans="1:4" x14ac:dyDescent="0.25">
      <c r="A43" t="s">
        <v>1724</v>
      </c>
      <c r="B43">
        <v>1</v>
      </c>
      <c r="C43" s="56">
        <v>42644</v>
      </c>
      <c r="D43" s="3" t="str">
        <f>YEAR(Datos_Consumo[[#This Row],[FECHA]])&amp;"-"&amp;MONTH(Datos_Consumo[[#This Row],[FECHA]])</f>
        <v>2016-10</v>
      </c>
    </row>
    <row r="44" spans="1:4" x14ac:dyDescent="0.25">
      <c r="A44" t="s">
        <v>1760</v>
      </c>
      <c r="B44">
        <v>500</v>
      </c>
      <c r="C44" s="56">
        <v>42614</v>
      </c>
      <c r="D44" s="3" t="str">
        <f>YEAR(Datos_Consumo[[#This Row],[FECHA]])&amp;"-"&amp;MONTH(Datos_Consumo[[#This Row],[FECHA]])</f>
        <v>2016-9</v>
      </c>
    </row>
    <row r="45" spans="1:4" x14ac:dyDescent="0.25">
      <c r="A45" t="s">
        <v>1760</v>
      </c>
      <c r="B45">
        <v>500</v>
      </c>
      <c r="C45" s="56">
        <v>42736</v>
      </c>
      <c r="D45" s="3" t="str">
        <f>YEAR(Datos_Consumo[[#This Row],[FECHA]])&amp;"-"&amp;MONTH(Datos_Consumo[[#This Row],[FECHA]])</f>
        <v>2017-1</v>
      </c>
    </row>
    <row r="46" spans="1:4" x14ac:dyDescent="0.25">
      <c r="A46" t="s">
        <v>1761</v>
      </c>
      <c r="B46">
        <v>500</v>
      </c>
      <c r="C46" s="56">
        <v>42705</v>
      </c>
      <c r="D46" s="3" t="str">
        <f>YEAR(Datos_Consumo[[#This Row],[FECHA]])&amp;"-"&amp;MONTH(Datos_Consumo[[#This Row],[FECHA]])</f>
        <v>2016-12</v>
      </c>
    </row>
    <row r="47" spans="1:4" x14ac:dyDescent="0.25">
      <c r="A47" t="s">
        <v>1762</v>
      </c>
      <c r="B47">
        <v>500</v>
      </c>
      <c r="C47" s="56">
        <v>42705</v>
      </c>
      <c r="D47" s="3" t="str">
        <f>YEAR(Datos_Consumo[[#This Row],[FECHA]])&amp;"-"&amp;MONTH(Datos_Consumo[[#This Row],[FECHA]])</f>
        <v>2016-12</v>
      </c>
    </row>
    <row r="48" spans="1:4" x14ac:dyDescent="0.25">
      <c r="A48" t="s">
        <v>1763</v>
      </c>
      <c r="B48">
        <v>500</v>
      </c>
      <c r="C48" s="56">
        <v>42705</v>
      </c>
      <c r="D48" s="3" t="str">
        <f>YEAR(Datos_Consumo[[#This Row],[FECHA]])&amp;"-"&amp;MONTH(Datos_Consumo[[#This Row],[FECHA]])</f>
        <v>2016-12</v>
      </c>
    </row>
    <row r="49" spans="1:4" x14ac:dyDescent="0.25">
      <c r="A49" t="s">
        <v>1763</v>
      </c>
      <c r="B49">
        <v>500</v>
      </c>
      <c r="C49" s="56">
        <v>42736</v>
      </c>
      <c r="D49" s="3" t="str">
        <f>YEAR(Datos_Consumo[[#This Row],[FECHA]])&amp;"-"&amp;MONTH(Datos_Consumo[[#This Row],[FECHA]])</f>
        <v>2017-1</v>
      </c>
    </row>
    <row r="50" spans="1:4" x14ac:dyDescent="0.25">
      <c r="A50" t="s">
        <v>1764</v>
      </c>
      <c r="B50">
        <v>500</v>
      </c>
      <c r="C50" s="56">
        <v>42705</v>
      </c>
      <c r="D50" s="3" t="str">
        <f>YEAR(Datos_Consumo[[#This Row],[FECHA]])&amp;"-"&amp;MONTH(Datos_Consumo[[#This Row],[FECHA]])</f>
        <v>2016-12</v>
      </c>
    </row>
    <row r="51" spans="1:4" x14ac:dyDescent="0.25">
      <c r="A51" t="s">
        <v>1764</v>
      </c>
      <c r="B51">
        <v>500</v>
      </c>
      <c r="C51" s="56">
        <v>42736</v>
      </c>
      <c r="D51" s="3" t="str">
        <f>YEAR(Datos_Consumo[[#This Row],[FECHA]])&amp;"-"&amp;MONTH(Datos_Consumo[[#This Row],[FECHA]])</f>
        <v>2017-1</v>
      </c>
    </row>
    <row r="52" spans="1:4" x14ac:dyDescent="0.25">
      <c r="A52" t="s">
        <v>1399</v>
      </c>
      <c r="B52">
        <v>1</v>
      </c>
      <c r="C52" s="56">
        <v>42614</v>
      </c>
      <c r="D52" s="3" t="str">
        <f>YEAR(Datos_Consumo[[#This Row],[FECHA]])&amp;"-"&amp;MONTH(Datos_Consumo[[#This Row],[FECHA]])</f>
        <v>2016-9</v>
      </c>
    </row>
    <row r="53" spans="1:4" x14ac:dyDescent="0.25">
      <c r="A53" t="s">
        <v>1399</v>
      </c>
      <c r="B53">
        <v>1</v>
      </c>
      <c r="C53" s="56">
        <v>42644</v>
      </c>
      <c r="D53" s="3" t="str">
        <f>YEAR(Datos_Consumo[[#This Row],[FECHA]])&amp;"-"&amp;MONTH(Datos_Consumo[[#This Row],[FECHA]])</f>
        <v>2016-10</v>
      </c>
    </row>
    <row r="54" spans="1:4" x14ac:dyDescent="0.25">
      <c r="A54" t="s">
        <v>1399</v>
      </c>
      <c r="B54">
        <v>2</v>
      </c>
      <c r="C54" s="56">
        <v>42675</v>
      </c>
      <c r="D54" s="3" t="str">
        <f>YEAR(Datos_Consumo[[#This Row],[FECHA]])&amp;"-"&amp;MONTH(Datos_Consumo[[#This Row],[FECHA]])</f>
        <v>2016-11</v>
      </c>
    </row>
    <row r="55" spans="1:4" x14ac:dyDescent="0.25">
      <c r="A55" t="s">
        <v>1400</v>
      </c>
      <c r="B55">
        <v>1</v>
      </c>
      <c r="C55" s="56">
        <v>42705</v>
      </c>
      <c r="D55" s="3" t="str">
        <f>YEAR(Datos_Consumo[[#This Row],[FECHA]])&amp;"-"&amp;MONTH(Datos_Consumo[[#This Row],[FECHA]])</f>
        <v>2016-12</v>
      </c>
    </row>
    <row r="56" spans="1:4" x14ac:dyDescent="0.25">
      <c r="A56" t="s">
        <v>1401</v>
      </c>
      <c r="B56">
        <v>1</v>
      </c>
      <c r="C56" s="56">
        <v>42644</v>
      </c>
      <c r="D56" s="3" t="str">
        <f>YEAR(Datos_Consumo[[#This Row],[FECHA]])&amp;"-"&amp;MONTH(Datos_Consumo[[#This Row],[FECHA]])</f>
        <v>2016-10</v>
      </c>
    </row>
    <row r="57" spans="1:4" x14ac:dyDescent="0.25">
      <c r="A57" t="s">
        <v>1402</v>
      </c>
      <c r="B57">
        <v>45</v>
      </c>
      <c r="C57" s="56">
        <v>42614</v>
      </c>
      <c r="D57" s="3" t="str">
        <f>YEAR(Datos_Consumo[[#This Row],[FECHA]])&amp;"-"&amp;MONTH(Datos_Consumo[[#This Row],[FECHA]])</f>
        <v>2016-9</v>
      </c>
    </row>
    <row r="58" spans="1:4" x14ac:dyDescent="0.25">
      <c r="A58" t="s">
        <v>1402</v>
      </c>
      <c r="B58">
        <v>45</v>
      </c>
      <c r="C58" s="56">
        <v>42675</v>
      </c>
      <c r="D58" s="3" t="str">
        <f>YEAR(Datos_Consumo[[#This Row],[FECHA]])&amp;"-"&amp;MONTH(Datos_Consumo[[#This Row],[FECHA]])</f>
        <v>2016-11</v>
      </c>
    </row>
    <row r="59" spans="1:4" x14ac:dyDescent="0.25">
      <c r="A59" t="s">
        <v>1403</v>
      </c>
      <c r="B59">
        <v>1</v>
      </c>
      <c r="C59" s="56">
        <v>42644</v>
      </c>
      <c r="D59" s="3" t="str">
        <f>YEAR(Datos_Consumo[[#This Row],[FECHA]])&amp;"-"&amp;MONTH(Datos_Consumo[[#This Row],[FECHA]])</f>
        <v>2016-10</v>
      </c>
    </row>
    <row r="60" spans="1:4" x14ac:dyDescent="0.25">
      <c r="A60" t="s">
        <v>1404</v>
      </c>
      <c r="B60">
        <v>20</v>
      </c>
      <c r="C60" s="56">
        <v>42614</v>
      </c>
      <c r="D60" s="3" t="str">
        <f>YEAR(Datos_Consumo[[#This Row],[FECHA]])&amp;"-"&amp;MONTH(Datos_Consumo[[#This Row],[FECHA]])</f>
        <v>2016-9</v>
      </c>
    </row>
    <row r="61" spans="1:4" x14ac:dyDescent="0.25">
      <c r="A61" t="s">
        <v>1405</v>
      </c>
      <c r="B61">
        <v>1</v>
      </c>
      <c r="C61" s="56">
        <v>42614</v>
      </c>
      <c r="D61" s="3" t="str">
        <f>YEAR(Datos_Consumo[[#This Row],[FECHA]])&amp;"-"&amp;MONTH(Datos_Consumo[[#This Row],[FECHA]])</f>
        <v>2016-9</v>
      </c>
    </row>
    <row r="62" spans="1:4" x14ac:dyDescent="0.25">
      <c r="A62" t="s">
        <v>1406</v>
      </c>
      <c r="B62">
        <v>2</v>
      </c>
      <c r="C62" s="56">
        <v>42644</v>
      </c>
      <c r="D62" s="3" t="str">
        <f>YEAR(Datos_Consumo[[#This Row],[FECHA]])&amp;"-"&amp;MONTH(Datos_Consumo[[#This Row],[FECHA]])</f>
        <v>2016-10</v>
      </c>
    </row>
    <row r="63" spans="1:4" x14ac:dyDescent="0.25">
      <c r="A63" t="s">
        <v>1406</v>
      </c>
      <c r="B63">
        <v>4</v>
      </c>
      <c r="C63" s="56">
        <v>42675</v>
      </c>
      <c r="D63" s="3" t="str">
        <f>YEAR(Datos_Consumo[[#This Row],[FECHA]])&amp;"-"&amp;MONTH(Datos_Consumo[[#This Row],[FECHA]])</f>
        <v>2016-11</v>
      </c>
    </row>
    <row r="64" spans="1:4" x14ac:dyDescent="0.25">
      <c r="A64" t="s">
        <v>1407</v>
      </c>
      <c r="B64">
        <v>6</v>
      </c>
      <c r="C64" s="56">
        <v>42614</v>
      </c>
      <c r="D64" s="3" t="str">
        <f>YEAR(Datos_Consumo[[#This Row],[FECHA]])&amp;"-"&amp;MONTH(Datos_Consumo[[#This Row],[FECHA]])</f>
        <v>2016-9</v>
      </c>
    </row>
    <row r="65" spans="1:4" x14ac:dyDescent="0.25">
      <c r="A65" t="s">
        <v>1407</v>
      </c>
      <c r="B65">
        <v>107</v>
      </c>
      <c r="C65" s="56">
        <v>42644</v>
      </c>
      <c r="D65" s="3" t="str">
        <f>YEAR(Datos_Consumo[[#This Row],[FECHA]])&amp;"-"&amp;MONTH(Datos_Consumo[[#This Row],[FECHA]])</f>
        <v>2016-10</v>
      </c>
    </row>
    <row r="66" spans="1:4" x14ac:dyDescent="0.25">
      <c r="A66" t="s">
        <v>1765</v>
      </c>
      <c r="B66">
        <v>13</v>
      </c>
      <c r="C66" s="56">
        <v>42644</v>
      </c>
      <c r="D66" s="3" t="str">
        <f>YEAR(Datos_Consumo[[#This Row],[FECHA]])&amp;"-"&amp;MONTH(Datos_Consumo[[#This Row],[FECHA]])</f>
        <v>2016-10</v>
      </c>
    </row>
    <row r="67" spans="1:4" x14ac:dyDescent="0.25">
      <c r="A67" t="s">
        <v>1765</v>
      </c>
      <c r="B67">
        <v>15</v>
      </c>
      <c r="C67" s="56">
        <v>42705</v>
      </c>
      <c r="D67" s="3" t="str">
        <f>YEAR(Datos_Consumo[[#This Row],[FECHA]])&amp;"-"&amp;MONTH(Datos_Consumo[[#This Row],[FECHA]])</f>
        <v>2016-12</v>
      </c>
    </row>
    <row r="68" spans="1:4" x14ac:dyDescent="0.25">
      <c r="A68" t="s">
        <v>1766</v>
      </c>
      <c r="B68">
        <v>7</v>
      </c>
      <c r="C68" s="56">
        <v>42644</v>
      </c>
      <c r="D68" s="3" t="str">
        <f>YEAR(Datos_Consumo[[#This Row],[FECHA]])&amp;"-"&amp;MONTH(Datos_Consumo[[#This Row],[FECHA]])</f>
        <v>2016-10</v>
      </c>
    </row>
    <row r="69" spans="1:4" x14ac:dyDescent="0.25">
      <c r="A69" t="s">
        <v>1766</v>
      </c>
      <c r="B69">
        <v>15</v>
      </c>
      <c r="C69" s="56">
        <v>42705</v>
      </c>
      <c r="D69" s="3" t="str">
        <f>YEAR(Datos_Consumo[[#This Row],[FECHA]])&amp;"-"&amp;MONTH(Datos_Consumo[[#This Row],[FECHA]])</f>
        <v>2016-12</v>
      </c>
    </row>
    <row r="70" spans="1:4" x14ac:dyDescent="0.25">
      <c r="A70" t="s">
        <v>1767</v>
      </c>
      <c r="B70">
        <v>80</v>
      </c>
      <c r="C70" s="56">
        <v>42705</v>
      </c>
      <c r="D70" s="3" t="str">
        <f>YEAR(Datos_Consumo[[#This Row],[FECHA]])&amp;"-"&amp;MONTH(Datos_Consumo[[#This Row],[FECHA]])</f>
        <v>2016-12</v>
      </c>
    </row>
    <row r="71" spans="1:4" x14ac:dyDescent="0.25">
      <c r="A71" t="s">
        <v>1767</v>
      </c>
      <c r="B71">
        <v>80</v>
      </c>
      <c r="C71" s="56">
        <v>42736</v>
      </c>
      <c r="D71" s="3" t="str">
        <f>YEAR(Datos_Consumo[[#This Row],[FECHA]])&amp;"-"&amp;MONTH(Datos_Consumo[[#This Row],[FECHA]])</f>
        <v>2017-1</v>
      </c>
    </row>
    <row r="72" spans="1:4" x14ac:dyDescent="0.25">
      <c r="A72" t="s">
        <v>1408</v>
      </c>
      <c r="B72">
        <v>5</v>
      </c>
      <c r="C72" s="56">
        <v>42614</v>
      </c>
      <c r="D72" s="3" t="str">
        <f>YEAR(Datos_Consumo[[#This Row],[FECHA]])&amp;"-"&amp;MONTH(Datos_Consumo[[#This Row],[FECHA]])</f>
        <v>2016-9</v>
      </c>
    </row>
    <row r="73" spans="1:4" x14ac:dyDescent="0.25">
      <c r="A73" t="s">
        <v>1408</v>
      </c>
      <c r="B73">
        <v>150</v>
      </c>
      <c r="C73" s="56">
        <v>42644</v>
      </c>
      <c r="D73" s="3" t="str">
        <f>YEAR(Datos_Consumo[[#This Row],[FECHA]])&amp;"-"&amp;MONTH(Datos_Consumo[[#This Row],[FECHA]])</f>
        <v>2016-10</v>
      </c>
    </row>
    <row r="74" spans="1:4" x14ac:dyDescent="0.25">
      <c r="A74" t="s">
        <v>1409</v>
      </c>
      <c r="B74">
        <v>2</v>
      </c>
      <c r="C74" s="56">
        <v>42614</v>
      </c>
      <c r="D74" s="3" t="str">
        <f>YEAR(Datos_Consumo[[#This Row],[FECHA]])&amp;"-"&amp;MONTH(Datos_Consumo[[#This Row],[FECHA]])</f>
        <v>2016-9</v>
      </c>
    </row>
    <row r="75" spans="1:4" x14ac:dyDescent="0.25">
      <c r="A75" t="s">
        <v>1410</v>
      </c>
      <c r="B75">
        <v>3</v>
      </c>
      <c r="C75" s="56">
        <v>42614</v>
      </c>
      <c r="D75" s="3" t="str">
        <f>YEAR(Datos_Consumo[[#This Row],[FECHA]])&amp;"-"&amp;MONTH(Datos_Consumo[[#This Row],[FECHA]])</f>
        <v>2016-9</v>
      </c>
    </row>
    <row r="76" spans="1:4" x14ac:dyDescent="0.25">
      <c r="A76" t="s">
        <v>1411</v>
      </c>
      <c r="B76">
        <v>78</v>
      </c>
      <c r="C76" s="56">
        <v>42614</v>
      </c>
      <c r="D76" s="3" t="str">
        <f>YEAR(Datos_Consumo[[#This Row],[FECHA]])&amp;"-"&amp;MONTH(Datos_Consumo[[#This Row],[FECHA]])</f>
        <v>2016-9</v>
      </c>
    </row>
    <row r="77" spans="1:4" x14ac:dyDescent="0.25">
      <c r="A77" t="s">
        <v>1411</v>
      </c>
      <c r="B77">
        <v>25</v>
      </c>
      <c r="C77" s="56">
        <v>42736</v>
      </c>
      <c r="D77" s="3" t="str">
        <f>YEAR(Datos_Consumo[[#This Row],[FECHA]])&amp;"-"&amp;MONTH(Datos_Consumo[[#This Row],[FECHA]])</f>
        <v>2017-1</v>
      </c>
    </row>
    <row r="78" spans="1:4" x14ac:dyDescent="0.25">
      <c r="A78" t="s">
        <v>1412</v>
      </c>
      <c r="B78">
        <v>1</v>
      </c>
      <c r="C78" s="56">
        <v>42614</v>
      </c>
      <c r="D78" s="3" t="str">
        <f>YEAR(Datos_Consumo[[#This Row],[FECHA]])&amp;"-"&amp;MONTH(Datos_Consumo[[#This Row],[FECHA]])</f>
        <v>2016-9</v>
      </c>
    </row>
    <row r="79" spans="1:4" x14ac:dyDescent="0.25">
      <c r="A79" t="s">
        <v>1413</v>
      </c>
      <c r="B79">
        <v>3</v>
      </c>
      <c r="C79" s="56">
        <v>42614</v>
      </c>
      <c r="D79" s="3" t="str">
        <f>YEAR(Datos_Consumo[[#This Row],[FECHA]])&amp;"-"&amp;MONTH(Datos_Consumo[[#This Row],[FECHA]])</f>
        <v>2016-9</v>
      </c>
    </row>
    <row r="80" spans="1:4" x14ac:dyDescent="0.25">
      <c r="A80" t="s">
        <v>1768</v>
      </c>
      <c r="B80">
        <v>1</v>
      </c>
      <c r="C80" s="56">
        <v>42644</v>
      </c>
      <c r="D80" s="3" t="str">
        <f>YEAR(Datos_Consumo[[#This Row],[FECHA]])&amp;"-"&amp;MONTH(Datos_Consumo[[#This Row],[FECHA]])</f>
        <v>2016-10</v>
      </c>
    </row>
    <row r="81" spans="1:4" x14ac:dyDescent="0.25">
      <c r="A81" t="s">
        <v>1768</v>
      </c>
      <c r="B81">
        <v>1</v>
      </c>
      <c r="C81" s="56">
        <v>42705</v>
      </c>
      <c r="D81" s="3" t="str">
        <f>YEAR(Datos_Consumo[[#This Row],[FECHA]])&amp;"-"&amp;MONTH(Datos_Consumo[[#This Row],[FECHA]])</f>
        <v>2016-12</v>
      </c>
    </row>
    <row r="82" spans="1:4" x14ac:dyDescent="0.25">
      <c r="A82" t="s">
        <v>1768</v>
      </c>
      <c r="B82">
        <v>4</v>
      </c>
      <c r="C82" s="56">
        <v>42736</v>
      </c>
      <c r="D82" s="3" t="str">
        <f>YEAR(Datos_Consumo[[#This Row],[FECHA]])&amp;"-"&amp;MONTH(Datos_Consumo[[#This Row],[FECHA]])</f>
        <v>2017-1</v>
      </c>
    </row>
    <row r="83" spans="1:4" x14ac:dyDescent="0.25">
      <c r="A83" t="s">
        <v>1414</v>
      </c>
      <c r="B83">
        <v>10</v>
      </c>
      <c r="C83" s="56">
        <v>42614</v>
      </c>
      <c r="D83" s="3" t="str">
        <f>YEAR(Datos_Consumo[[#This Row],[FECHA]])&amp;"-"&amp;MONTH(Datos_Consumo[[#This Row],[FECHA]])</f>
        <v>2016-9</v>
      </c>
    </row>
    <row r="84" spans="1:4" x14ac:dyDescent="0.25">
      <c r="A84" t="s">
        <v>1414</v>
      </c>
      <c r="B84">
        <v>1</v>
      </c>
      <c r="C84" s="56">
        <v>42644</v>
      </c>
      <c r="D84" s="3" t="str">
        <f>YEAR(Datos_Consumo[[#This Row],[FECHA]])&amp;"-"&amp;MONTH(Datos_Consumo[[#This Row],[FECHA]])</f>
        <v>2016-10</v>
      </c>
    </row>
    <row r="85" spans="1:4" x14ac:dyDescent="0.25">
      <c r="A85" t="s">
        <v>1414</v>
      </c>
      <c r="B85">
        <v>1</v>
      </c>
      <c r="C85" s="56">
        <v>42705</v>
      </c>
      <c r="D85" s="3" t="str">
        <f>YEAR(Datos_Consumo[[#This Row],[FECHA]])&amp;"-"&amp;MONTH(Datos_Consumo[[#This Row],[FECHA]])</f>
        <v>2016-12</v>
      </c>
    </row>
    <row r="86" spans="1:4" x14ac:dyDescent="0.25">
      <c r="A86" t="s">
        <v>1414</v>
      </c>
      <c r="B86">
        <v>2</v>
      </c>
      <c r="C86" s="56">
        <v>42736</v>
      </c>
      <c r="D86" s="3" t="str">
        <f>YEAR(Datos_Consumo[[#This Row],[FECHA]])&amp;"-"&amp;MONTH(Datos_Consumo[[#This Row],[FECHA]])</f>
        <v>2017-1</v>
      </c>
    </row>
    <row r="87" spans="1:4" x14ac:dyDescent="0.25">
      <c r="A87" t="s">
        <v>1415</v>
      </c>
      <c r="B87">
        <v>1</v>
      </c>
      <c r="C87" s="56">
        <v>42614</v>
      </c>
      <c r="D87" s="3" t="str">
        <f>YEAR(Datos_Consumo[[#This Row],[FECHA]])&amp;"-"&amp;MONTH(Datos_Consumo[[#This Row],[FECHA]])</f>
        <v>2016-9</v>
      </c>
    </row>
    <row r="88" spans="1:4" x14ac:dyDescent="0.25">
      <c r="A88" t="s">
        <v>1415</v>
      </c>
      <c r="B88">
        <v>3</v>
      </c>
      <c r="C88" s="56">
        <v>42644</v>
      </c>
      <c r="D88" s="3" t="str">
        <f>YEAR(Datos_Consumo[[#This Row],[FECHA]])&amp;"-"&amp;MONTH(Datos_Consumo[[#This Row],[FECHA]])</f>
        <v>2016-10</v>
      </c>
    </row>
    <row r="89" spans="1:4" x14ac:dyDescent="0.25">
      <c r="A89" t="s">
        <v>1415</v>
      </c>
      <c r="B89">
        <v>7</v>
      </c>
      <c r="C89" s="56">
        <v>42675</v>
      </c>
      <c r="D89" s="3" t="str">
        <f>YEAR(Datos_Consumo[[#This Row],[FECHA]])&amp;"-"&amp;MONTH(Datos_Consumo[[#This Row],[FECHA]])</f>
        <v>2016-11</v>
      </c>
    </row>
    <row r="90" spans="1:4" x14ac:dyDescent="0.25">
      <c r="A90" t="s">
        <v>1415</v>
      </c>
      <c r="B90">
        <v>0.4</v>
      </c>
      <c r="C90" s="56">
        <v>42705</v>
      </c>
      <c r="D90" s="3" t="str">
        <f>YEAR(Datos_Consumo[[#This Row],[FECHA]])&amp;"-"&amp;MONTH(Datos_Consumo[[#This Row],[FECHA]])</f>
        <v>2016-12</v>
      </c>
    </row>
    <row r="91" spans="1:4" x14ac:dyDescent="0.25">
      <c r="A91" t="s">
        <v>1415</v>
      </c>
      <c r="B91">
        <v>2</v>
      </c>
      <c r="C91" s="56">
        <v>42736</v>
      </c>
      <c r="D91" s="3" t="str">
        <f>YEAR(Datos_Consumo[[#This Row],[FECHA]])&amp;"-"&amp;MONTH(Datos_Consumo[[#This Row],[FECHA]])</f>
        <v>2017-1</v>
      </c>
    </row>
    <row r="92" spans="1:4" x14ac:dyDescent="0.25">
      <c r="A92" t="s">
        <v>1416</v>
      </c>
      <c r="B92">
        <v>11</v>
      </c>
      <c r="C92" s="56">
        <v>42614</v>
      </c>
      <c r="D92" s="3" t="str">
        <f>YEAR(Datos_Consumo[[#This Row],[FECHA]])&amp;"-"&amp;MONTH(Datos_Consumo[[#This Row],[FECHA]])</f>
        <v>2016-9</v>
      </c>
    </row>
    <row r="93" spans="1:4" x14ac:dyDescent="0.25">
      <c r="A93" t="s">
        <v>1416</v>
      </c>
      <c r="B93">
        <v>2</v>
      </c>
      <c r="C93" s="56">
        <v>42644</v>
      </c>
      <c r="D93" s="3" t="str">
        <f>YEAR(Datos_Consumo[[#This Row],[FECHA]])&amp;"-"&amp;MONTH(Datos_Consumo[[#This Row],[FECHA]])</f>
        <v>2016-10</v>
      </c>
    </row>
    <row r="94" spans="1:4" x14ac:dyDescent="0.25">
      <c r="A94" t="s">
        <v>1416</v>
      </c>
      <c r="B94">
        <v>2</v>
      </c>
      <c r="C94" s="56">
        <v>42675</v>
      </c>
      <c r="D94" s="3" t="str">
        <f>YEAR(Datos_Consumo[[#This Row],[FECHA]])&amp;"-"&amp;MONTH(Datos_Consumo[[#This Row],[FECHA]])</f>
        <v>2016-11</v>
      </c>
    </row>
    <row r="95" spans="1:4" x14ac:dyDescent="0.25">
      <c r="A95" t="s">
        <v>1416</v>
      </c>
      <c r="B95">
        <v>0.4</v>
      </c>
      <c r="C95" s="56">
        <v>42705</v>
      </c>
      <c r="D95" s="3" t="str">
        <f>YEAR(Datos_Consumo[[#This Row],[FECHA]])&amp;"-"&amp;MONTH(Datos_Consumo[[#This Row],[FECHA]])</f>
        <v>2016-12</v>
      </c>
    </row>
    <row r="96" spans="1:4" x14ac:dyDescent="0.25">
      <c r="A96" t="s">
        <v>1416</v>
      </c>
      <c r="B96">
        <v>3</v>
      </c>
      <c r="C96" s="56">
        <v>42736</v>
      </c>
      <c r="D96" s="3" t="str">
        <f>YEAR(Datos_Consumo[[#This Row],[FECHA]])&amp;"-"&amp;MONTH(Datos_Consumo[[#This Row],[FECHA]])</f>
        <v>2017-1</v>
      </c>
    </row>
    <row r="97" spans="1:4" x14ac:dyDescent="0.25">
      <c r="A97" t="s">
        <v>1378</v>
      </c>
      <c r="B97">
        <v>8</v>
      </c>
      <c r="C97" s="56">
        <v>42614</v>
      </c>
      <c r="D97" s="3" t="str">
        <f>YEAR(Datos_Consumo[[#This Row],[FECHA]])&amp;"-"&amp;MONTH(Datos_Consumo[[#This Row],[FECHA]])</f>
        <v>2016-9</v>
      </c>
    </row>
    <row r="98" spans="1:4" x14ac:dyDescent="0.25">
      <c r="A98" t="s">
        <v>1378</v>
      </c>
      <c r="B98">
        <v>34</v>
      </c>
      <c r="C98" s="56">
        <v>42644</v>
      </c>
      <c r="D98" s="3" t="str">
        <f>YEAR(Datos_Consumo[[#This Row],[FECHA]])&amp;"-"&amp;MONTH(Datos_Consumo[[#This Row],[FECHA]])</f>
        <v>2016-10</v>
      </c>
    </row>
    <row r="99" spans="1:4" x14ac:dyDescent="0.25">
      <c r="A99" t="s">
        <v>1378</v>
      </c>
      <c r="B99">
        <v>0.4</v>
      </c>
      <c r="C99" s="56">
        <v>42705</v>
      </c>
      <c r="D99" s="3" t="str">
        <f>YEAR(Datos_Consumo[[#This Row],[FECHA]])&amp;"-"&amp;MONTH(Datos_Consumo[[#This Row],[FECHA]])</f>
        <v>2016-12</v>
      </c>
    </row>
    <row r="100" spans="1:4" x14ac:dyDescent="0.25">
      <c r="A100" t="s">
        <v>1378</v>
      </c>
      <c r="B100">
        <v>12</v>
      </c>
      <c r="C100" s="56">
        <v>42736</v>
      </c>
      <c r="D100" s="3" t="str">
        <f>YEAR(Datos_Consumo[[#This Row],[FECHA]])&amp;"-"&amp;MONTH(Datos_Consumo[[#This Row],[FECHA]])</f>
        <v>2017-1</v>
      </c>
    </row>
    <row r="101" spans="1:4" x14ac:dyDescent="0.25">
      <c r="A101" t="s">
        <v>1417</v>
      </c>
      <c r="B101">
        <v>20</v>
      </c>
      <c r="C101" s="56">
        <v>42614</v>
      </c>
      <c r="D101" s="3" t="str">
        <f>YEAR(Datos_Consumo[[#This Row],[FECHA]])&amp;"-"&amp;MONTH(Datos_Consumo[[#This Row],[FECHA]])</f>
        <v>2016-9</v>
      </c>
    </row>
    <row r="102" spans="1:4" x14ac:dyDescent="0.25">
      <c r="A102" t="s">
        <v>1379</v>
      </c>
      <c r="B102">
        <v>1</v>
      </c>
      <c r="C102" s="56">
        <v>42675</v>
      </c>
      <c r="D102" s="3" t="str">
        <f>YEAR(Datos_Consumo[[#This Row],[FECHA]])&amp;"-"&amp;MONTH(Datos_Consumo[[#This Row],[FECHA]])</f>
        <v>2016-11</v>
      </c>
    </row>
    <row r="103" spans="1:4" x14ac:dyDescent="0.25">
      <c r="A103" t="s">
        <v>1379</v>
      </c>
      <c r="B103">
        <v>150</v>
      </c>
      <c r="C103" s="56">
        <v>42705</v>
      </c>
      <c r="D103" s="3" t="str">
        <f>YEAR(Datos_Consumo[[#This Row],[FECHA]])&amp;"-"&amp;MONTH(Datos_Consumo[[#This Row],[FECHA]])</f>
        <v>2016-12</v>
      </c>
    </row>
    <row r="104" spans="1:4" x14ac:dyDescent="0.25">
      <c r="A104" t="s">
        <v>1379</v>
      </c>
      <c r="B104">
        <v>149</v>
      </c>
      <c r="C104" s="56">
        <v>42736</v>
      </c>
      <c r="D104" s="3" t="str">
        <f>YEAR(Datos_Consumo[[#This Row],[FECHA]])&amp;"-"&amp;MONTH(Datos_Consumo[[#This Row],[FECHA]])</f>
        <v>2017-1</v>
      </c>
    </row>
    <row r="105" spans="1:4" x14ac:dyDescent="0.25">
      <c r="A105" t="s">
        <v>1418</v>
      </c>
      <c r="B105">
        <v>104</v>
      </c>
      <c r="C105" s="56">
        <v>42614</v>
      </c>
      <c r="D105" s="3" t="str">
        <f>YEAR(Datos_Consumo[[#This Row],[FECHA]])&amp;"-"&amp;MONTH(Datos_Consumo[[#This Row],[FECHA]])</f>
        <v>2016-9</v>
      </c>
    </row>
    <row r="106" spans="1:4" x14ac:dyDescent="0.25">
      <c r="A106" t="s">
        <v>1418</v>
      </c>
      <c r="B106">
        <v>120</v>
      </c>
      <c r="C106" s="56">
        <v>42644</v>
      </c>
      <c r="D106" s="3" t="str">
        <f>YEAR(Datos_Consumo[[#This Row],[FECHA]])&amp;"-"&amp;MONTH(Datos_Consumo[[#This Row],[FECHA]])</f>
        <v>2016-10</v>
      </c>
    </row>
    <row r="107" spans="1:4" x14ac:dyDescent="0.25">
      <c r="A107" t="s">
        <v>1418</v>
      </c>
      <c r="B107">
        <v>3240</v>
      </c>
      <c r="C107" s="56">
        <v>42675</v>
      </c>
      <c r="D107" s="3" t="str">
        <f>YEAR(Datos_Consumo[[#This Row],[FECHA]])&amp;"-"&amp;MONTH(Datos_Consumo[[#This Row],[FECHA]])</f>
        <v>2016-11</v>
      </c>
    </row>
    <row r="108" spans="1:4" x14ac:dyDescent="0.25">
      <c r="A108" t="s">
        <v>1418</v>
      </c>
      <c r="B108">
        <v>2014</v>
      </c>
      <c r="C108" s="56">
        <v>42705</v>
      </c>
      <c r="D108" s="3" t="str">
        <f>YEAR(Datos_Consumo[[#This Row],[FECHA]])&amp;"-"&amp;MONTH(Datos_Consumo[[#This Row],[FECHA]])</f>
        <v>2016-12</v>
      </c>
    </row>
    <row r="109" spans="1:4" x14ac:dyDescent="0.25">
      <c r="A109" t="s">
        <v>1418</v>
      </c>
      <c r="B109">
        <v>80</v>
      </c>
      <c r="C109" s="56">
        <v>42736</v>
      </c>
      <c r="D109" s="3" t="str">
        <f>YEAR(Datos_Consumo[[#This Row],[FECHA]])&amp;"-"&amp;MONTH(Datos_Consumo[[#This Row],[FECHA]])</f>
        <v>2017-1</v>
      </c>
    </row>
    <row r="110" spans="1:4" x14ac:dyDescent="0.25">
      <c r="A110" t="s">
        <v>1769</v>
      </c>
      <c r="B110">
        <v>30</v>
      </c>
      <c r="C110" s="56">
        <v>42614</v>
      </c>
      <c r="D110" s="3" t="str">
        <f>YEAR(Datos_Consumo[[#This Row],[FECHA]])&amp;"-"&amp;MONTH(Datos_Consumo[[#This Row],[FECHA]])</f>
        <v>2016-9</v>
      </c>
    </row>
    <row r="111" spans="1:4" x14ac:dyDescent="0.25">
      <c r="A111" t="s">
        <v>1769</v>
      </c>
      <c r="B111">
        <v>40</v>
      </c>
      <c r="C111" s="56">
        <v>42644</v>
      </c>
      <c r="D111" s="3" t="str">
        <f>YEAR(Datos_Consumo[[#This Row],[FECHA]])&amp;"-"&amp;MONTH(Datos_Consumo[[#This Row],[FECHA]])</f>
        <v>2016-10</v>
      </c>
    </row>
    <row r="112" spans="1:4" x14ac:dyDescent="0.25">
      <c r="A112" t="s">
        <v>1769</v>
      </c>
      <c r="B112">
        <v>70</v>
      </c>
      <c r="C112" s="56">
        <v>42675</v>
      </c>
      <c r="D112" s="3" t="str">
        <f>YEAR(Datos_Consumo[[#This Row],[FECHA]])&amp;"-"&amp;MONTH(Datos_Consumo[[#This Row],[FECHA]])</f>
        <v>2016-11</v>
      </c>
    </row>
    <row r="113" spans="1:4" x14ac:dyDescent="0.25">
      <c r="A113" t="s">
        <v>1769</v>
      </c>
      <c r="B113">
        <v>60</v>
      </c>
      <c r="C113" s="56">
        <v>42736</v>
      </c>
      <c r="D113" s="3" t="str">
        <f>YEAR(Datos_Consumo[[#This Row],[FECHA]])&amp;"-"&amp;MONTH(Datos_Consumo[[#This Row],[FECHA]])</f>
        <v>2017-1</v>
      </c>
    </row>
    <row r="114" spans="1:4" x14ac:dyDescent="0.25">
      <c r="A114" t="s">
        <v>1419</v>
      </c>
      <c r="B114">
        <v>3</v>
      </c>
      <c r="C114" s="56">
        <v>42614</v>
      </c>
      <c r="D114" s="3" t="str">
        <f>YEAR(Datos_Consumo[[#This Row],[FECHA]])&amp;"-"&amp;MONTH(Datos_Consumo[[#This Row],[FECHA]])</f>
        <v>2016-9</v>
      </c>
    </row>
    <row r="115" spans="1:4" x14ac:dyDescent="0.25">
      <c r="A115" t="s">
        <v>1419</v>
      </c>
      <c r="B115">
        <v>20</v>
      </c>
      <c r="C115" s="56">
        <v>42644</v>
      </c>
      <c r="D115" s="3" t="str">
        <f>YEAR(Datos_Consumo[[#This Row],[FECHA]])&amp;"-"&amp;MONTH(Datos_Consumo[[#This Row],[FECHA]])</f>
        <v>2016-10</v>
      </c>
    </row>
    <row r="116" spans="1:4" x14ac:dyDescent="0.25">
      <c r="A116" t="s">
        <v>1419</v>
      </c>
      <c r="B116">
        <v>15</v>
      </c>
      <c r="C116" s="56">
        <v>42675</v>
      </c>
      <c r="D116" s="3" t="str">
        <f>YEAR(Datos_Consumo[[#This Row],[FECHA]])&amp;"-"&amp;MONTH(Datos_Consumo[[#This Row],[FECHA]])</f>
        <v>2016-11</v>
      </c>
    </row>
    <row r="117" spans="1:4" x14ac:dyDescent="0.25">
      <c r="A117" t="s">
        <v>1419</v>
      </c>
      <c r="B117">
        <v>20</v>
      </c>
      <c r="C117" s="56">
        <v>42736</v>
      </c>
      <c r="D117" s="3" t="str">
        <f>YEAR(Datos_Consumo[[#This Row],[FECHA]])&amp;"-"&amp;MONTH(Datos_Consumo[[#This Row],[FECHA]])</f>
        <v>2017-1</v>
      </c>
    </row>
    <row r="118" spans="1:4" x14ac:dyDescent="0.25">
      <c r="A118" t="s">
        <v>1420</v>
      </c>
      <c r="B118">
        <v>113</v>
      </c>
      <c r="C118" s="56">
        <v>42614</v>
      </c>
      <c r="D118" s="3" t="str">
        <f>YEAR(Datos_Consumo[[#This Row],[FECHA]])&amp;"-"&amp;MONTH(Datos_Consumo[[#This Row],[FECHA]])</f>
        <v>2016-9</v>
      </c>
    </row>
    <row r="119" spans="1:4" x14ac:dyDescent="0.25">
      <c r="A119" t="s">
        <v>1420</v>
      </c>
      <c r="B119">
        <v>45</v>
      </c>
      <c r="C119" s="56">
        <v>42644</v>
      </c>
      <c r="D119" s="3" t="str">
        <f>YEAR(Datos_Consumo[[#This Row],[FECHA]])&amp;"-"&amp;MONTH(Datos_Consumo[[#This Row],[FECHA]])</f>
        <v>2016-10</v>
      </c>
    </row>
    <row r="120" spans="1:4" x14ac:dyDescent="0.25">
      <c r="A120" t="s">
        <v>1420</v>
      </c>
      <c r="B120">
        <v>59</v>
      </c>
      <c r="C120" s="56">
        <v>42675</v>
      </c>
      <c r="D120" s="3" t="str">
        <f>YEAR(Datos_Consumo[[#This Row],[FECHA]])&amp;"-"&amp;MONTH(Datos_Consumo[[#This Row],[FECHA]])</f>
        <v>2016-11</v>
      </c>
    </row>
    <row r="121" spans="1:4" x14ac:dyDescent="0.25">
      <c r="A121" t="s">
        <v>1420</v>
      </c>
      <c r="B121">
        <v>28</v>
      </c>
      <c r="C121" s="56">
        <v>42705</v>
      </c>
      <c r="D121" s="3" t="str">
        <f>YEAR(Datos_Consumo[[#This Row],[FECHA]])&amp;"-"&amp;MONTH(Datos_Consumo[[#This Row],[FECHA]])</f>
        <v>2016-12</v>
      </c>
    </row>
    <row r="122" spans="1:4" x14ac:dyDescent="0.25">
      <c r="A122" t="s">
        <v>1420</v>
      </c>
      <c r="B122">
        <v>29</v>
      </c>
      <c r="C122" s="56">
        <v>42736</v>
      </c>
      <c r="D122" s="3" t="str">
        <f>YEAR(Datos_Consumo[[#This Row],[FECHA]])&amp;"-"&amp;MONTH(Datos_Consumo[[#This Row],[FECHA]])</f>
        <v>2017-1</v>
      </c>
    </row>
    <row r="123" spans="1:4" x14ac:dyDescent="0.25">
      <c r="A123" t="s">
        <v>1421</v>
      </c>
      <c r="B123">
        <v>1</v>
      </c>
      <c r="C123" s="56">
        <v>42736</v>
      </c>
      <c r="D123" s="3" t="str">
        <f>YEAR(Datos_Consumo[[#This Row],[FECHA]])&amp;"-"&amp;MONTH(Datos_Consumo[[#This Row],[FECHA]])</f>
        <v>2017-1</v>
      </c>
    </row>
    <row r="124" spans="1:4" x14ac:dyDescent="0.25">
      <c r="A124" t="s">
        <v>1770</v>
      </c>
      <c r="B124">
        <v>1</v>
      </c>
      <c r="C124" s="56">
        <v>42736</v>
      </c>
      <c r="D124" s="3" t="str">
        <f>YEAR(Datos_Consumo[[#This Row],[FECHA]])&amp;"-"&amp;MONTH(Datos_Consumo[[#This Row],[FECHA]])</f>
        <v>2017-1</v>
      </c>
    </row>
    <row r="125" spans="1:4" x14ac:dyDescent="0.25">
      <c r="A125" t="s">
        <v>1771</v>
      </c>
      <c r="B125">
        <v>4</v>
      </c>
      <c r="C125" s="56">
        <v>42614</v>
      </c>
      <c r="D125" s="3" t="str">
        <f>YEAR(Datos_Consumo[[#This Row],[FECHA]])&amp;"-"&amp;MONTH(Datos_Consumo[[#This Row],[FECHA]])</f>
        <v>2016-9</v>
      </c>
    </row>
    <row r="126" spans="1:4" x14ac:dyDescent="0.25">
      <c r="A126" t="s">
        <v>1771</v>
      </c>
      <c r="B126">
        <v>3</v>
      </c>
      <c r="C126" s="56">
        <v>42675</v>
      </c>
      <c r="D126" s="3" t="str">
        <f>YEAR(Datos_Consumo[[#This Row],[FECHA]])&amp;"-"&amp;MONTH(Datos_Consumo[[#This Row],[FECHA]])</f>
        <v>2016-11</v>
      </c>
    </row>
    <row r="127" spans="1:4" x14ac:dyDescent="0.25">
      <c r="A127" t="s">
        <v>1771</v>
      </c>
      <c r="B127">
        <v>2</v>
      </c>
      <c r="C127" s="56">
        <v>42736</v>
      </c>
      <c r="D127" s="3" t="str">
        <f>YEAR(Datos_Consumo[[#This Row],[FECHA]])&amp;"-"&amp;MONTH(Datos_Consumo[[#This Row],[FECHA]])</f>
        <v>2017-1</v>
      </c>
    </row>
    <row r="128" spans="1:4" x14ac:dyDescent="0.25">
      <c r="A128" t="s">
        <v>1772</v>
      </c>
      <c r="B128">
        <v>2</v>
      </c>
      <c r="C128" s="56">
        <v>42675</v>
      </c>
      <c r="D128" s="3" t="str">
        <f>YEAR(Datos_Consumo[[#This Row],[FECHA]])&amp;"-"&amp;MONTH(Datos_Consumo[[#This Row],[FECHA]])</f>
        <v>2016-11</v>
      </c>
    </row>
    <row r="129" spans="1:4" x14ac:dyDescent="0.25">
      <c r="A129" t="s">
        <v>1772</v>
      </c>
      <c r="B129">
        <v>2</v>
      </c>
      <c r="C129" s="56">
        <v>42736</v>
      </c>
      <c r="D129" s="3" t="str">
        <f>YEAR(Datos_Consumo[[#This Row],[FECHA]])&amp;"-"&amp;MONTH(Datos_Consumo[[#This Row],[FECHA]])</f>
        <v>2017-1</v>
      </c>
    </row>
    <row r="130" spans="1:4" x14ac:dyDescent="0.25">
      <c r="A130" t="s">
        <v>1773</v>
      </c>
      <c r="B130">
        <v>1</v>
      </c>
      <c r="C130" s="56">
        <v>42736</v>
      </c>
      <c r="D130" s="3" t="str">
        <f>YEAR(Datos_Consumo[[#This Row],[FECHA]])&amp;"-"&amp;MONTH(Datos_Consumo[[#This Row],[FECHA]])</f>
        <v>2017-1</v>
      </c>
    </row>
    <row r="131" spans="1:4" x14ac:dyDescent="0.25">
      <c r="A131" t="s">
        <v>1380</v>
      </c>
      <c r="B131">
        <v>2</v>
      </c>
      <c r="C131" s="56">
        <v>42614</v>
      </c>
      <c r="D131" s="3" t="str">
        <f>YEAR(Datos_Consumo[[#This Row],[FECHA]])&amp;"-"&amp;MONTH(Datos_Consumo[[#This Row],[FECHA]])</f>
        <v>2016-9</v>
      </c>
    </row>
    <row r="132" spans="1:4" x14ac:dyDescent="0.25">
      <c r="A132" t="s">
        <v>1380</v>
      </c>
      <c r="B132">
        <v>5</v>
      </c>
      <c r="C132" s="56">
        <v>42675</v>
      </c>
      <c r="D132" s="3" t="str">
        <f>YEAR(Datos_Consumo[[#This Row],[FECHA]])&amp;"-"&amp;MONTH(Datos_Consumo[[#This Row],[FECHA]])</f>
        <v>2016-11</v>
      </c>
    </row>
    <row r="133" spans="1:4" x14ac:dyDescent="0.25">
      <c r="A133" t="s">
        <v>1380</v>
      </c>
      <c r="B133">
        <v>328</v>
      </c>
      <c r="C133" s="56">
        <v>42705</v>
      </c>
      <c r="D133" s="3" t="str">
        <f>YEAR(Datos_Consumo[[#This Row],[FECHA]])&amp;"-"&amp;MONTH(Datos_Consumo[[#This Row],[FECHA]])</f>
        <v>2016-12</v>
      </c>
    </row>
    <row r="134" spans="1:4" x14ac:dyDescent="0.25">
      <c r="A134" t="s">
        <v>1380</v>
      </c>
      <c r="B134">
        <v>182</v>
      </c>
      <c r="C134" s="56">
        <v>42736</v>
      </c>
      <c r="D134" s="3" t="str">
        <f>YEAR(Datos_Consumo[[#This Row],[FECHA]])&amp;"-"&amp;MONTH(Datos_Consumo[[#This Row],[FECHA]])</f>
        <v>2017-1</v>
      </c>
    </row>
    <row r="135" spans="1:4" x14ac:dyDescent="0.25">
      <c r="A135" t="s">
        <v>1422</v>
      </c>
      <c r="B135">
        <v>2</v>
      </c>
      <c r="C135" s="56">
        <v>42614</v>
      </c>
      <c r="D135" s="3" t="str">
        <f>YEAR(Datos_Consumo[[#This Row],[FECHA]])&amp;"-"&amp;MONTH(Datos_Consumo[[#This Row],[FECHA]])</f>
        <v>2016-9</v>
      </c>
    </row>
    <row r="136" spans="1:4" x14ac:dyDescent="0.25">
      <c r="A136" t="s">
        <v>1422</v>
      </c>
      <c r="B136">
        <v>400</v>
      </c>
      <c r="C136" s="56">
        <v>42675</v>
      </c>
      <c r="D136" s="3" t="str">
        <f>YEAR(Datos_Consumo[[#This Row],[FECHA]])&amp;"-"&amp;MONTH(Datos_Consumo[[#This Row],[FECHA]])</f>
        <v>2016-11</v>
      </c>
    </row>
    <row r="137" spans="1:4" x14ac:dyDescent="0.25">
      <c r="A137" t="s">
        <v>1422</v>
      </c>
      <c r="B137">
        <v>420</v>
      </c>
      <c r="C137" s="56">
        <v>42705</v>
      </c>
      <c r="D137" s="3" t="str">
        <f>YEAR(Datos_Consumo[[#This Row],[FECHA]])&amp;"-"&amp;MONTH(Datos_Consumo[[#This Row],[FECHA]])</f>
        <v>2016-12</v>
      </c>
    </row>
    <row r="138" spans="1:4" x14ac:dyDescent="0.25">
      <c r="A138" t="s">
        <v>1423</v>
      </c>
      <c r="B138">
        <v>2</v>
      </c>
      <c r="C138" s="56">
        <v>42614</v>
      </c>
      <c r="D138" s="3" t="str">
        <f>YEAR(Datos_Consumo[[#This Row],[FECHA]])&amp;"-"&amp;MONTH(Datos_Consumo[[#This Row],[FECHA]])</f>
        <v>2016-9</v>
      </c>
    </row>
    <row r="139" spans="1:4" x14ac:dyDescent="0.25">
      <c r="A139" t="s">
        <v>1423</v>
      </c>
      <c r="B139">
        <v>5</v>
      </c>
      <c r="C139" s="56">
        <v>42644</v>
      </c>
      <c r="D139" s="3" t="str">
        <f>YEAR(Datos_Consumo[[#This Row],[FECHA]])&amp;"-"&amp;MONTH(Datos_Consumo[[#This Row],[FECHA]])</f>
        <v>2016-10</v>
      </c>
    </row>
    <row r="140" spans="1:4" x14ac:dyDescent="0.25">
      <c r="A140" t="s">
        <v>1423</v>
      </c>
      <c r="B140">
        <v>95</v>
      </c>
      <c r="C140" s="56">
        <v>42705</v>
      </c>
      <c r="D140" s="3" t="str">
        <f>YEAR(Datos_Consumo[[#This Row],[FECHA]])&amp;"-"&amp;MONTH(Datos_Consumo[[#This Row],[FECHA]])</f>
        <v>2016-12</v>
      </c>
    </row>
    <row r="141" spans="1:4" x14ac:dyDescent="0.25">
      <c r="A141" t="s">
        <v>1423</v>
      </c>
      <c r="B141">
        <v>20</v>
      </c>
      <c r="C141" s="56">
        <v>42736</v>
      </c>
      <c r="D141" s="3" t="str">
        <f>YEAR(Datos_Consumo[[#This Row],[FECHA]])&amp;"-"&amp;MONTH(Datos_Consumo[[#This Row],[FECHA]])</f>
        <v>2017-1</v>
      </c>
    </row>
    <row r="142" spans="1:4" x14ac:dyDescent="0.25">
      <c r="A142" t="s">
        <v>1424</v>
      </c>
      <c r="B142">
        <v>408</v>
      </c>
      <c r="C142" s="56">
        <v>42614</v>
      </c>
      <c r="D142" s="3" t="str">
        <f>YEAR(Datos_Consumo[[#This Row],[FECHA]])&amp;"-"&amp;MONTH(Datos_Consumo[[#This Row],[FECHA]])</f>
        <v>2016-9</v>
      </c>
    </row>
    <row r="143" spans="1:4" x14ac:dyDescent="0.25">
      <c r="A143" t="s">
        <v>1425</v>
      </c>
      <c r="B143">
        <v>77</v>
      </c>
      <c r="C143" s="56">
        <v>42614</v>
      </c>
      <c r="D143" s="3" t="str">
        <f>YEAR(Datos_Consumo[[#This Row],[FECHA]])&amp;"-"&amp;MONTH(Datos_Consumo[[#This Row],[FECHA]])</f>
        <v>2016-9</v>
      </c>
    </row>
    <row r="144" spans="1:4" x14ac:dyDescent="0.25">
      <c r="A144" t="s">
        <v>1426</v>
      </c>
      <c r="B144">
        <v>700</v>
      </c>
      <c r="C144" s="56">
        <v>42614</v>
      </c>
      <c r="D144" s="3" t="str">
        <f>YEAR(Datos_Consumo[[#This Row],[FECHA]])&amp;"-"&amp;MONTH(Datos_Consumo[[#This Row],[FECHA]])</f>
        <v>2016-9</v>
      </c>
    </row>
    <row r="145" spans="1:4" x14ac:dyDescent="0.25">
      <c r="A145" t="s">
        <v>1426</v>
      </c>
      <c r="B145">
        <v>200</v>
      </c>
      <c r="C145" s="56">
        <v>42675</v>
      </c>
      <c r="D145" s="3" t="str">
        <f>YEAR(Datos_Consumo[[#This Row],[FECHA]])&amp;"-"&amp;MONTH(Datos_Consumo[[#This Row],[FECHA]])</f>
        <v>2016-11</v>
      </c>
    </row>
    <row r="146" spans="1:4" x14ac:dyDescent="0.25">
      <c r="A146" t="s">
        <v>1426</v>
      </c>
      <c r="B146">
        <v>1690</v>
      </c>
      <c r="C146" s="56">
        <v>42705</v>
      </c>
      <c r="D146" s="3" t="str">
        <f>YEAR(Datos_Consumo[[#This Row],[FECHA]])&amp;"-"&amp;MONTH(Datos_Consumo[[#This Row],[FECHA]])</f>
        <v>2016-12</v>
      </c>
    </row>
    <row r="147" spans="1:4" x14ac:dyDescent="0.25">
      <c r="A147" t="s">
        <v>1427</v>
      </c>
      <c r="B147">
        <v>700</v>
      </c>
      <c r="C147" s="56">
        <v>42614</v>
      </c>
      <c r="D147" s="3" t="str">
        <f>YEAR(Datos_Consumo[[#This Row],[FECHA]])&amp;"-"&amp;MONTH(Datos_Consumo[[#This Row],[FECHA]])</f>
        <v>2016-9</v>
      </c>
    </row>
    <row r="148" spans="1:4" x14ac:dyDescent="0.25">
      <c r="A148" t="s">
        <v>1427</v>
      </c>
      <c r="B148">
        <v>30</v>
      </c>
      <c r="C148" s="56">
        <v>42644</v>
      </c>
      <c r="D148" s="3" t="str">
        <f>YEAR(Datos_Consumo[[#This Row],[FECHA]])&amp;"-"&amp;MONTH(Datos_Consumo[[#This Row],[FECHA]])</f>
        <v>2016-10</v>
      </c>
    </row>
    <row r="149" spans="1:4" x14ac:dyDescent="0.25">
      <c r="A149" t="s">
        <v>1427</v>
      </c>
      <c r="B149">
        <v>50</v>
      </c>
      <c r="C149" s="56">
        <v>42705</v>
      </c>
      <c r="D149" s="3" t="str">
        <f>YEAR(Datos_Consumo[[#This Row],[FECHA]])&amp;"-"&amp;MONTH(Datos_Consumo[[#This Row],[FECHA]])</f>
        <v>2016-12</v>
      </c>
    </row>
    <row r="150" spans="1:4" x14ac:dyDescent="0.25">
      <c r="A150" t="s">
        <v>1428</v>
      </c>
      <c r="B150">
        <v>5</v>
      </c>
      <c r="C150" s="56">
        <v>42614</v>
      </c>
      <c r="D150" s="3" t="str">
        <f>YEAR(Datos_Consumo[[#This Row],[FECHA]])&amp;"-"&amp;MONTH(Datos_Consumo[[#This Row],[FECHA]])</f>
        <v>2016-9</v>
      </c>
    </row>
    <row r="151" spans="1:4" x14ac:dyDescent="0.25">
      <c r="A151" t="s">
        <v>1428</v>
      </c>
      <c r="B151">
        <v>10</v>
      </c>
      <c r="C151" s="56">
        <v>42675</v>
      </c>
      <c r="D151" s="3" t="str">
        <f>YEAR(Datos_Consumo[[#This Row],[FECHA]])&amp;"-"&amp;MONTH(Datos_Consumo[[#This Row],[FECHA]])</f>
        <v>2016-11</v>
      </c>
    </row>
    <row r="152" spans="1:4" x14ac:dyDescent="0.25">
      <c r="A152" t="s">
        <v>1428</v>
      </c>
      <c r="B152">
        <v>35</v>
      </c>
      <c r="C152" s="56">
        <v>42705</v>
      </c>
      <c r="D152" s="3" t="str">
        <f>YEAR(Datos_Consumo[[#This Row],[FECHA]])&amp;"-"&amp;MONTH(Datos_Consumo[[#This Row],[FECHA]])</f>
        <v>2016-12</v>
      </c>
    </row>
    <row r="153" spans="1:4" x14ac:dyDescent="0.25">
      <c r="A153" t="s">
        <v>1428</v>
      </c>
      <c r="B153">
        <v>30</v>
      </c>
      <c r="C153" s="56">
        <v>42736</v>
      </c>
      <c r="D153" s="3" t="str">
        <f>YEAR(Datos_Consumo[[#This Row],[FECHA]])&amp;"-"&amp;MONTH(Datos_Consumo[[#This Row],[FECHA]])</f>
        <v>2017-1</v>
      </c>
    </row>
    <row r="154" spans="1:4" x14ac:dyDescent="0.25">
      <c r="A154" t="s">
        <v>1429</v>
      </c>
      <c r="B154">
        <v>4504</v>
      </c>
      <c r="C154" s="56">
        <v>42614</v>
      </c>
      <c r="D154" s="3" t="str">
        <f>YEAR(Datos_Consumo[[#This Row],[FECHA]])&amp;"-"&amp;MONTH(Datos_Consumo[[#This Row],[FECHA]])</f>
        <v>2016-9</v>
      </c>
    </row>
    <row r="155" spans="1:4" x14ac:dyDescent="0.25">
      <c r="A155" t="s">
        <v>1429</v>
      </c>
      <c r="B155">
        <v>4000</v>
      </c>
      <c r="C155" s="56">
        <v>42644</v>
      </c>
      <c r="D155" s="3" t="str">
        <f>YEAR(Datos_Consumo[[#This Row],[FECHA]])&amp;"-"&amp;MONTH(Datos_Consumo[[#This Row],[FECHA]])</f>
        <v>2016-10</v>
      </c>
    </row>
    <row r="156" spans="1:4" x14ac:dyDescent="0.25">
      <c r="A156" t="s">
        <v>1429</v>
      </c>
      <c r="B156">
        <v>25</v>
      </c>
      <c r="C156" s="56">
        <v>42675</v>
      </c>
      <c r="D156" s="3" t="str">
        <f>YEAR(Datos_Consumo[[#This Row],[FECHA]])&amp;"-"&amp;MONTH(Datos_Consumo[[#This Row],[FECHA]])</f>
        <v>2016-11</v>
      </c>
    </row>
    <row r="157" spans="1:4" x14ac:dyDescent="0.25">
      <c r="A157" t="s">
        <v>1429</v>
      </c>
      <c r="B157">
        <v>455</v>
      </c>
      <c r="C157" s="56">
        <v>42705</v>
      </c>
      <c r="D157" s="3" t="str">
        <f>YEAR(Datos_Consumo[[#This Row],[FECHA]])&amp;"-"&amp;MONTH(Datos_Consumo[[#This Row],[FECHA]])</f>
        <v>2016-12</v>
      </c>
    </row>
    <row r="158" spans="1:4" x14ac:dyDescent="0.25">
      <c r="A158" t="s">
        <v>1429</v>
      </c>
      <c r="B158">
        <v>38</v>
      </c>
      <c r="C158" s="56">
        <v>42736</v>
      </c>
      <c r="D158" s="3" t="str">
        <f>YEAR(Datos_Consumo[[#This Row],[FECHA]])&amp;"-"&amp;MONTH(Datos_Consumo[[#This Row],[FECHA]])</f>
        <v>2017-1</v>
      </c>
    </row>
    <row r="159" spans="1:4" x14ac:dyDescent="0.25">
      <c r="A159" t="s">
        <v>1430</v>
      </c>
      <c r="B159">
        <v>229</v>
      </c>
      <c r="C159" s="56">
        <v>42614</v>
      </c>
      <c r="D159" s="3" t="str">
        <f>YEAR(Datos_Consumo[[#This Row],[FECHA]])&amp;"-"&amp;MONTH(Datos_Consumo[[#This Row],[FECHA]])</f>
        <v>2016-9</v>
      </c>
    </row>
    <row r="160" spans="1:4" x14ac:dyDescent="0.25">
      <c r="A160" t="s">
        <v>1431</v>
      </c>
      <c r="B160">
        <v>4502</v>
      </c>
      <c r="C160" s="56">
        <v>42614</v>
      </c>
      <c r="D160" s="3" t="str">
        <f>YEAR(Datos_Consumo[[#This Row],[FECHA]])&amp;"-"&amp;MONTH(Datos_Consumo[[#This Row],[FECHA]])</f>
        <v>2016-9</v>
      </c>
    </row>
    <row r="161" spans="1:4" x14ac:dyDescent="0.25">
      <c r="A161" t="s">
        <v>1431</v>
      </c>
      <c r="B161">
        <v>4050</v>
      </c>
      <c r="C161" s="56">
        <v>42644</v>
      </c>
      <c r="D161" s="3" t="str">
        <f>YEAR(Datos_Consumo[[#This Row],[FECHA]])&amp;"-"&amp;MONTH(Datos_Consumo[[#This Row],[FECHA]])</f>
        <v>2016-10</v>
      </c>
    </row>
    <row r="162" spans="1:4" x14ac:dyDescent="0.25">
      <c r="A162" t="s">
        <v>1431</v>
      </c>
      <c r="B162">
        <v>10</v>
      </c>
      <c r="C162" s="56">
        <v>42675</v>
      </c>
      <c r="D162" s="3" t="str">
        <f>YEAR(Datos_Consumo[[#This Row],[FECHA]])&amp;"-"&amp;MONTH(Datos_Consumo[[#This Row],[FECHA]])</f>
        <v>2016-11</v>
      </c>
    </row>
    <row r="163" spans="1:4" x14ac:dyDescent="0.25">
      <c r="A163" t="s">
        <v>1431</v>
      </c>
      <c r="B163">
        <v>20</v>
      </c>
      <c r="C163" s="56">
        <v>42705</v>
      </c>
      <c r="D163" s="3" t="str">
        <f>YEAR(Datos_Consumo[[#This Row],[FECHA]])&amp;"-"&amp;MONTH(Datos_Consumo[[#This Row],[FECHA]])</f>
        <v>2016-12</v>
      </c>
    </row>
    <row r="164" spans="1:4" x14ac:dyDescent="0.25">
      <c r="A164" t="s">
        <v>1431</v>
      </c>
      <c r="B164">
        <v>25</v>
      </c>
      <c r="C164" s="56">
        <v>42736</v>
      </c>
      <c r="D164" s="3" t="str">
        <f>YEAR(Datos_Consumo[[#This Row],[FECHA]])&amp;"-"&amp;MONTH(Datos_Consumo[[#This Row],[FECHA]])</f>
        <v>2017-1</v>
      </c>
    </row>
    <row r="165" spans="1:4" x14ac:dyDescent="0.25">
      <c r="A165" t="s">
        <v>1432</v>
      </c>
      <c r="B165">
        <v>85</v>
      </c>
      <c r="C165" s="56">
        <v>42614</v>
      </c>
      <c r="D165" s="3" t="str">
        <f>YEAR(Datos_Consumo[[#This Row],[FECHA]])&amp;"-"&amp;MONTH(Datos_Consumo[[#This Row],[FECHA]])</f>
        <v>2016-9</v>
      </c>
    </row>
    <row r="166" spans="1:4" x14ac:dyDescent="0.25">
      <c r="A166" t="s">
        <v>1432</v>
      </c>
      <c r="B166">
        <v>8</v>
      </c>
      <c r="C166" s="56">
        <v>42736</v>
      </c>
      <c r="D166" s="3" t="str">
        <f>YEAR(Datos_Consumo[[#This Row],[FECHA]])&amp;"-"&amp;MONTH(Datos_Consumo[[#This Row],[FECHA]])</f>
        <v>2017-1</v>
      </c>
    </row>
    <row r="167" spans="1:4" x14ac:dyDescent="0.25">
      <c r="A167" t="s">
        <v>1433</v>
      </c>
      <c r="B167">
        <v>3</v>
      </c>
      <c r="C167" s="56">
        <v>42614</v>
      </c>
      <c r="D167" s="3" t="str">
        <f>YEAR(Datos_Consumo[[#This Row],[FECHA]])&amp;"-"&amp;MONTH(Datos_Consumo[[#This Row],[FECHA]])</f>
        <v>2016-9</v>
      </c>
    </row>
    <row r="168" spans="1:4" x14ac:dyDescent="0.25">
      <c r="A168" t="s">
        <v>1381</v>
      </c>
      <c r="B168">
        <v>14</v>
      </c>
      <c r="C168" s="56">
        <v>42614</v>
      </c>
      <c r="D168" s="3" t="str">
        <f>YEAR(Datos_Consumo[[#This Row],[FECHA]])&amp;"-"&amp;MONTH(Datos_Consumo[[#This Row],[FECHA]])</f>
        <v>2016-9</v>
      </c>
    </row>
    <row r="169" spans="1:4" x14ac:dyDescent="0.25">
      <c r="A169" t="s">
        <v>1381</v>
      </c>
      <c r="B169">
        <v>10</v>
      </c>
      <c r="C169" s="56">
        <v>42675</v>
      </c>
      <c r="D169" s="3" t="str">
        <f>YEAR(Datos_Consumo[[#This Row],[FECHA]])&amp;"-"&amp;MONTH(Datos_Consumo[[#This Row],[FECHA]])</f>
        <v>2016-11</v>
      </c>
    </row>
    <row r="170" spans="1:4" x14ac:dyDescent="0.25">
      <c r="A170" t="s">
        <v>1382</v>
      </c>
      <c r="B170">
        <v>2</v>
      </c>
      <c r="C170" s="56">
        <v>42614</v>
      </c>
      <c r="D170" s="3" t="str">
        <f>YEAR(Datos_Consumo[[#This Row],[FECHA]])&amp;"-"&amp;MONTH(Datos_Consumo[[#This Row],[FECHA]])</f>
        <v>2016-9</v>
      </c>
    </row>
    <row r="171" spans="1:4" x14ac:dyDescent="0.25">
      <c r="A171" t="s">
        <v>1382</v>
      </c>
      <c r="B171">
        <v>5</v>
      </c>
      <c r="C171" s="56">
        <v>42736</v>
      </c>
      <c r="D171" s="3" t="str">
        <f>YEAR(Datos_Consumo[[#This Row],[FECHA]])&amp;"-"&amp;MONTH(Datos_Consumo[[#This Row],[FECHA]])</f>
        <v>2017-1</v>
      </c>
    </row>
    <row r="172" spans="1:4" x14ac:dyDescent="0.25">
      <c r="A172" t="s">
        <v>1434</v>
      </c>
      <c r="B172">
        <v>1039</v>
      </c>
      <c r="C172" s="56">
        <v>42614</v>
      </c>
      <c r="D172" s="3" t="str">
        <f>YEAR(Datos_Consumo[[#This Row],[FECHA]])&amp;"-"&amp;MONTH(Datos_Consumo[[#This Row],[FECHA]])</f>
        <v>2016-9</v>
      </c>
    </row>
    <row r="173" spans="1:4" x14ac:dyDescent="0.25">
      <c r="A173" t="s">
        <v>1434</v>
      </c>
      <c r="B173">
        <v>18</v>
      </c>
      <c r="C173" s="56">
        <v>42644</v>
      </c>
      <c r="D173" s="3" t="str">
        <f>YEAR(Datos_Consumo[[#This Row],[FECHA]])&amp;"-"&amp;MONTH(Datos_Consumo[[#This Row],[FECHA]])</f>
        <v>2016-10</v>
      </c>
    </row>
    <row r="174" spans="1:4" x14ac:dyDescent="0.25">
      <c r="A174" t="s">
        <v>1434</v>
      </c>
      <c r="B174">
        <v>36</v>
      </c>
      <c r="C174" s="56">
        <v>42675</v>
      </c>
      <c r="D174" s="3" t="str">
        <f>YEAR(Datos_Consumo[[#This Row],[FECHA]])&amp;"-"&amp;MONTH(Datos_Consumo[[#This Row],[FECHA]])</f>
        <v>2016-11</v>
      </c>
    </row>
    <row r="175" spans="1:4" x14ac:dyDescent="0.25">
      <c r="A175" t="s">
        <v>1434</v>
      </c>
      <c r="B175">
        <v>8</v>
      </c>
      <c r="C175" s="56">
        <v>42705</v>
      </c>
      <c r="D175" s="3" t="str">
        <f>YEAR(Datos_Consumo[[#This Row],[FECHA]])&amp;"-"&amp;MONTH(Datos_Consumo[[#This Row],[FECHA]])</f>
        <v>2016-12</v>
      </c>
    </row>
    <row r="176" spans="1:4" x14ac:dyDescent="0.25">
      <c r="A176" t="s">
        <v>1434</v>
      </c>
      <c r="B176">
        <v>58</v>
      </c>
      <c r="C176" s="56">
        <v>42736</v>
      </c>
      <c r="D176" s="3" t="str">
        <f>YEAR(Datos_Consumo[[#This Row],[FECHA]])&amp;"-"&amp;MONTH(Datos_Consumo[[#This Row],[FECHA]])</f>
        <v>2017-1</v>
      </c>
    </row>
    <row r="177" spans="1:4" x14ac:dyDescent="0.25">
      <c r="A177" t="s">
        <v>1435</v>
      </c>
      <c r="B177">
        <v>512</v>
      </c>
      <c r="C177" s="56">
        <v>42614</v>
      </c>
      <c r="D177" s="3" t="str">
        <f>YEAR(Datos_Consumo[[#This Row],[FECHA]])&amp;"-"&amp;MONTH(Datos_Consumo[[#This Row],[FECHA]])</f>
        <v>2016-9</v>
      </c>
    </row>
    <row r="178" spans="1:4" x14ac:dyDescent="0.25">
      <c r="A178" t="s">
        <v>1435</v>
      </c>
      <c r="B178">
        <v>5</v>
      </c>
      <c r="C178" s="56">
        <v>42644</v>
      </c>
      <c r="D178" s="3" t="str">
        <f>YEAR(Datos_Consumo[[#This Row],[FECHA]])&amp;"-"&amp;MONTH(Datos_Consumo[[#This Row],[FECHA]])</f>
        <v>2016-10</v>
      </c>
    </row>
    <row r="179" spans="1:4" x14ac:dyDescent="0.25">
      <c r="A179" t="s">
        <v>1435</v>
      </c>
      <c r="B179">
        <v>45</v>
      </c>
      <c r="C179" s="56">
        <v>42675</v>
      </c>
      <c r="D179" s="3" t="str">
        <f>YEAR(Datos_Consumo[[#This Row],[FECHA]])&amp;"-"&amp;MONTH(Datos_Consumo[[#This Row],[FECHA]])</f>
        <v>2016-11</v>
      </c>
    </row>
    <row r="180" spans="1:4" x14ac:dyDescent="0.25">
      <c r="A180" t="s">
        <v>1435</v>
      </c>
      <c r="B180">
        <v>6</v>
      </c>
      <c r="C180" s="56">
        <v>42705</v>
      </c>
      <c r="D180" s="3" t="str">
        <f>YEAR(Datos_Consumo[[#This Row],[FECHA]])&amp;"-"&amp;MONTH(Datos_Consumo[[#This Row],[FECHA]])</f>
        <v>2016-12</v>
      </c>
    </row>
    <row r="181" spans="1:4" x14ac:dyDescent="0.25">
      <c r="A181" t="s">
        <v>1435</v>
      </c>
      <c r="B181">
        <v>20</v>
      </c>
      <c r="C181" s="56">
        <v>42736</v>
      </c>
      <c r="D181" s="3" t="str">
        <f>YEAR(Datos_Consumo[[#This Row],[FECHA]])&amp;"-"&amp;MONTH(Datos_Consumo[[#This Row],[FECHA]])</f>
        <v>2017-1</v>
      </c>
    </row>
    <row r="182" spans="1:4" x14ac:dyDescent="0.25">
      <c r="A182" t="s">
        <v>1436</v>
      </c>
      <c r="B182">
        <v>2</v>
      </c>
      <c r="C182" s="56">
        <v>42614</v>
      </c>
      <c r="D182" s="3" t="str">
        <f>YEAR(Datos_Consumo[[#This Row],[FECHA]])&amp;"-"&amp;MONTH(Datos_Consumo[[#This Row],[FECHA]])</f>
        <v>2016-9</v>
      </c>
    </row>
    <row r="183" spans="1:4" x14ac:dyDescent="0.25">
      <c r="A183" t="s">
        <v>1436</v>
      </c>
      <c r="B183">
        <v>230</v>
      </c>
      <c r="C183" s="56">
        <v>42644</v>
      </c>
      <c r="D183" s="3" t="str">
        <f>YEAR(Datos_Consumo[[#This Row],[FECHA]])&amp;"-"&amp;MONTH(Datos_Consumo[[#This Row],[FECHA]])</f>
        <v>2016-10</v>
      </c>
    </row>
    <row r="184" spans="1:4" x14ac:dyDescent="0.25">
      <c r="A184" t="s">
        <v>1436</v>
      </c>
      <c r="B184">
        <v>285</v>
      </c>
      <c r="C184" s="56">
        <v>42675</v>
      </c>
      <c r="D184" s="3" t="str">
        <f>YEAR(Datos_Consumo[[#This Row],[FECHA]])&amp;"-"&amp;MONTH(Datos_Consumo[[#This Row],[FECHA]])</f>
        <v>2016-11</v>
      </c>
    </row>
    <row r="185" spans="1:4" x14ac:dyDescent="0.25">
      <c r="A185" t="s">
        <v>1436</v>
      </c>
      <c r="B185">
        <v>10</v>
      </c>
      <c r="C185" s="56">
        <v>42705</v>
      </c>
      <c r="D185" s="3" t="str">
        <f>YEAR(Datos_Consumo[[#This Row],[FECHA]])&amp;"-"&amp;MONTH(Datos_Consumo[[#This Row],[FECHA]])</f>
        <v>2016-12</v>
      </c>
    </row>
    <row r="186" spans="1:4" x14ac:dyDescent="0.25">
      <c r="A186" t="s">
        <v>1436</v>
      </c>
      <c r="B186">
        <v>620</v>
      </c>
      <c r="C186" s="56">
        <v>42736</v>
      </c>
      <c r="D186" s="3" t="str">
        <f>YEAR(Datos_Consumo[[#This Row],[FECHA]])&amp;"-"&amp;MONTH(Datos_Consumo[[#This Row],[FECHA]])</f>
        <v>2017-1</v>
      </c>
    </row>
    <row r="187" spans="1:4" x14ac:dyDescent="0.25">
      <c r="A187" t="s">
        <v>1437</v>
      </c>
      <c r="B187">
        <v>28</v>
      </c>
      <c r="C187" s="56">
        <v>42675</v>
      </c>
      <c r="D187" s="3" t="str">
        <f>YEAR(Datos_Consumo[[#This Row],[FECHA]])&amp;"-"&amp;MONTH(Datos_Consumo[[#This Row],[FECHA]])</f>
        <v>2016-11</v>
      </c>
    </row>
    <row r="188" spans="1:4" x14ac:dyDescent="0.25">
      <c r="A188" t="s">
        <v>1438</v>
      </c>
      <c r="B188">
        <v>10</v>
      </c>
      <c r="C188" s="56">
        <v>42644</v>
      </c>
      <c r="D188" s="3" t="str">
        <f>YEAR(Datos_Consumo[[#This Row],[FECHA]])&amp;"-"&amp;MONTH(Datos_Consumo[[#This Row],[FECHA]])</f>
        <v>2016-10</v>
      </c>
    </row>
    <row r="189" spans="1:4" x14ac:dyDescent="0.25">
      <c r="A189" t="s">
        <v>1439</v>
      </c>
      <c r="B189">
        <v>481</v>
      </c>
      <c r="C189" s="56">
        <v>42614</v>
      </c>
      <c r="D189" s="3" t="str">
        <f>YEAR(Datos_Consumo[[#This Row],[FECHA]])&amp;"-"&amp;MONTH(Datos_Consumo[[#This Row],[FECHA]])</f>
        <v>2016-9</v>
      </c>
    </row>
    <row r="190" spans="1:4" x14ac:dyDescent="0.25">
      <c r="A190" t="s">
        <v>1439</v>
      </c>
      <c r="B190">
        <v>5</v>
      </c>
      <c r="C190" s="56">
        <v>42736</v>
      </c>
      <c r="D190" s="3" t="str">
        <f>YEAR(Datos_Consumo[[#This Row],[FECHA]])&amp;"-"&amp;MONTH(Datos_Consumo[[#This Row],[FECHA]])</f>
        <v>2017-1</v>
      </c>
    </row>
    <row r="191" spans="1:4" x14ac:dyDescent="0.25">
      <c r="A191" t="s">
        <v>1440</v>
      </c>
      <c r="B191">
        <v>308</v>
      </c>
      <c r="C191" s="56">
        <v>42614</v>
      </c>
      <c r="D191" s="3" t="str">
        <f>YEAR(Datos_Consumo[[#This Row],[FECHA]])&amp;"-"&amp;MONTH(Datos_Consumo[[#This Row],[FECHA]])</f>
        <v>2016-9</v>
      </c>
    </row>
    <row r="192" spans="1:4" x14ac:dyDescent="0.25">
      <c r="A192" t="s">
        <v>1440</v>
      </c>
      <c r="B192">
        <v>10</v>
      </c>
      <c r="C192" s="56">
        <v>42644</v>
      </c>
      <c r="D192" s="3" t="str">
        <f>YEAR(Datos_Consumo[[#This Row],[FECHA]])&amp;"-"&amp;MONTH(Datos_Consumo[[#This Row],[FECHA]])</f>
        <v>2016-10</v>
      </c>
    </row>
    <row r="193" spans="1:4" x14ac:dyDescent="0.25">
      <c r="A193" t="s">
        <v>1440</v>
      </c>
      <c r="B193">
        <v>8</v>
      </c>
      <c r="C193" s="56">
        <v>42675</v>
      </c>
      <c r="D193" s="3" t="str">
        <f>YEAR(Datos_Consumo[[#This Row],[FECHA]])&amp;"-"&amp;MONTH(Datos_Consumo[[#This Row],[FECHA]])</f>
        <v>2016-11</v>
      </c>
    </row>
    <row r="194" spans="1:4" x14ac:dyDescent="0.25">
      <c r="A194" t="s">
        <v>1440</v>
      </c>
      <c r="B194">
        <v>13</v>
      </c>
      <c r="C194" s="56">
        <v>42705</v>
      </c>
      <c r="D194" s="3" t="str">
        <f>YEAR(Datos_Consumo[[#This Row],[FECHA]])&amp;"-"&amp;MONTH(Datos_Consumo[[#This Row],[FECHA]])</f>
        <v>2016-12</v>
      </c>
    </row>
    <row r="195" spans="1:4" x14ac:dyDescent="0.25">
      <c r="A195" t="s">
        <v>1440</v>
      </c>
      <c r="B195">
        <v>21</v>
      </c>
      <c r="C195" s="56">
        <v>42736</v>
      </c>
      <c r="D195" s="3" t="str">
        <f>YEAR(Datos_Consumo[[#This Row],[FECHA]])&amp;"-"&amp;MONTH(Datos_Consumo[[#This Row],[FECHA]])</f>
        <v>2017-1</v>
      </c>
    </row>
    <row r="196" spans="1:4" x14ac:dyDescent="0.25">
      <c r="A196" t="s">
        <v>1441</v>
      </c>
      <c r="B196">
        <v>3</v>
      </c>
      <c r="C196" s="56">
        <v>42614</v>
      </c>
      <c r="D196" s="3" t="str">
        <f>YEAR(Datos_Consumo[[#This Row],[FECHA]])&amp;"-"&amp;MONTH(Datos_Consumo[[#This Row],[FECHA]])</f>
        <v>2016-9</v>
      </c>
    </row>
    <row r="197" spans="1:4" x14ac:dyDescent="0.25">
      <c r="A197" t="s">
        <v>1441</v>
      </c>
      <c r="B197">
        <v>5</v>
      </c>
      <c r="C197" s="56">
        <v>42675</v>
      </c>
      <c r="D197" s="3" t="str">
        <f>YEAR(Datos_Consumo[[#This Row],[FECHA]])&amp;"-"&amp;MONTH(Datos_Consumo[[#This Row],[FECHA]])</f>
        <v>2016-11</v>
      </c>
    </row>
    <row r="198" spans="1:4" x14ac:dyDescent="0.25">
      <c r="A198" t="s">
        <v>1441</v>
      </c>
      <c r="B198">
        <v>10</v>
      </c>
      <c r="C198" s="56">
        <v>42705</v>
      </c>
      <c r="D198" s="3" t="str">
        <f>YEAR(Datos_Consumo[[#This Row],[FECHA]])&amp;"-"&amp;MONTH(Datos_Consumo[[#This Row],[FECHA]])</f>
        <v>2016-12</v>
      </c>
    </row>
    <row r="199" spans="1:4" x14ac:dyDescent="0.25">
      <c r="A199" t="s">
        <v>1441</v>
      </c>
      <c r="B199">
        <v>8</v>
      </c>
      <c r="C199" s="56">
        <v>42736</v>
      </c>
      <c r="D199" s="3" t="str">
        <f>YEAR(Datos_Consumo[[#This Row],[FECHA]])&amp;"-"&amp;MONTH(Datos_Consumo[[#This Row],[FECHA]])</f>
        <v>2017-1</v>
      </c>
    </row>
    <row r="200" spans="1:4" x14ac:dyDescent="0.25">
      <c r="A200" t="s">
        <v>1383</v>
      </c>
      <c r="B200">
        <v>10</v>
      </c>
      <c r="C200" s="56">
        <v>42614</v>
      </c>
      <c r="D200" s="3" t="str">
        <f>YEAR(Datos_Consumo[[#This Row],[FECHA]])&amp;"-"&amp;MONTH(Datos_Consumo[[#This Row],[FECHA]])</f>
        <v>2016-9</v>
      </c>
    </row>
    <row r="201" spans="1:4" x14ac:dyDescent="0.25">
      <c r="A201" t="s">
        <v>1383</v>
      </c>
      <c r="B201">
        <v>50</v>
      </c>
      <c r="C201" s="56">
        <v>42675</v>
      </c>
      <c r="D201" s="3" t="str">
        <f>YEAR(Datos_Consumo[[#This Row],[FECHA]])&amp;"-"&amp;MONTH(Datos_Consumo[[#This Row],[FECHA]])</f>
        <v>2016-11</v>
      </c>
    </row>
    <row r="202" spans="1:4" x14ac:dyDescent="0.25">
      <c r="A202" t="s">
        <v>1383</v>
      </c>
      <c r="B202">
        <v>18</v>
      </c>
      <c r="C202" s="56">
        <v>42705</v>
      </c>
      <c r="D202" s="3" t="str">
        <f>YEAR(Datos_Consumo[[#This Row],[FECHA]])&amp;"-"&amp;MONTH(Datos_Consumo[[#This Row],[FECHA]])</f>
        <v>2016-12</v>
      </c>
    </row>
    <row r="203" spans="1:4" x14ac:dyDescent="0.25">
      <c r="A203" t="s">
        <v>1383</v>
      </c>
      <c r="B203">
        <v>20</v>
      </c>
      <c r="C203" s="56">
        <v>42736</v>
      </c>
      <c r="D203" s="3" t="str">
        <f>YEAR(Datos_Consumo[[#This Row],[FECHA]])&amp;"-"&amp;MONTH(Datos_Consumo[[#This Row],[FECHA]])</f>
        <v>2017-1</v>
      </c>
    </row>
    <row r="204" spans="1:4" x14ac:dyDescent="0.25">
      <c r="A204" t="s">
        <v>1384</v>
      </c>
      <c r="B204">
        <v>600</v>
      </c>
      <c r="C204" s="56">
        <v>42614</v>
      </c>
      <c r="D204" s="3" t="str">
        <f>YEAR(Datos_Consumo[[#This Row],[FECHA]])&amp;"-"&amp;MONTH(Datos_Consumo[[#This Row],[FECHA]])</f>
        <v>2016-9</v>
      </c>
    </row>
    <row r="205" spans="1:4" x14ac:dyDescent="0.25">
      <c r="A205" t="s">
        <v>1384</v>
      </c>
      <c r="B205">
        <v>100</v>
      </c>
      <c r="C205" s="56">
        <v>42675</v>
      </c>
      <c r="D205" s="3" t="str">
        <f>YEAR(Datos_Consumo[[#This Row],[FECHA]])&amp;"-"&amp;MONTH(Datos_Consumo[[#This Row],[FECHA]])</f>
        <v>2016-11</v>
      </c>
    </row>
    <row r="206" spans="1:4" x14ac:dyDescent="0.25">
      <c r="A206" t="s">
        <v>1384</v>
      </c>
      <c r="B206">
        <v>500</v>
      </c>
      <c r="C206" s="56">
        <v>42705</v>
      </c>
      <c r="D206" s="3" t="str">
        <f>YEAR(Datos_Consumo[[#This Row],[FECHA]])&amp;"-"&amp;MONTH(Datos_Consumo[[#This Row],[FECHA]])</f>
        <v>2016-12</v>
      </c>
    </row>
    <row r="207" spans="1:4" x14ac:dyDescent="0.25">
      <c r="A207" t="s">
        <v>1442</v>
      </c>
      <c r="B207">
        <v>2</v>
      </c>
      <c r="C207" s="56">
        <v>42614</v>
      </c>
      <c r="D207" s="3" t="str">
        <f>YEAR(Datos_Consumo[[#This Row],[FECHA]])&amp;"-"&amp;MONTH(Datos_Consumo[[#This Row],[FECHA]])</f>
        <v>2016-9</v>
      </c>
    </row>
    <row r="208" spans="1:4" x14ac:dyDescent="0.25">
      <c r="A208" t="s">
        <v>1442</v>
      </c>
      <c r="B208">
        <v>6</v>
      </c>
      <c r="C208" s="56">
        <v>42644</v>
      </c>
      <c r="D208" s="3" t="str">
        <f>YEAR(Datos_Consumo[[#This Row],[FECHA]])&amp;"-"&amp;MONTH(Datos_Consumo[[#This Row],[FECHA]])</f>
        <v>2016-10</v>
      </c>
    </row>
    <row r="209" spans="1:4" x14ac:dyDescent="0.25">
      <c r="A209" t="s">
        <v>1442</v>
      </c>
      <c r="B209">
        <v>5</v>
      </c>
      <c r="C209" s="56">
        <v>42675</v>
      </c>
      <c r="D209" s="3" t="str">
        <f>YEAR(Datos_Consumo[[#This Row],[FECHA]])&amp;"-"&amp;MONTH(Datos_Consumo[[#This Row],[FECHA]])</f>
        <v>2016-11</v>
      </c>
    </row>
    <row r="210" spans="1:4" x14ac:dyDescent="0.25">
      <c r="A210" t="s">
        <v>1442</v>
      </c>
      <c r="B210">
        <v>6</v>
      </c>
      <c r="C210" s="56">
        <v>42705</v>
      </c>
      <c r="D210" s="3" t="str">
        <f>YEAR(Datos_Consumo[[#This Row],[FECHA]])&amp;"-"&amp;MONTH(Datos_Consumo[[#This Row],[FECHA]])</f>
        <v>2016-12</v>
      </c>
    </row>
    <row r="211" spans="1:4" x14ac:dyDescent="0.25">
      <c r="A211" t="s">
        <v>1443</v>
      </c>
      <c r="B211">
        <v>237</v>
      </c>
      <c r="C211" s="56">
        <v>42614</v>
      </c>
      <c r="D211" s="3" t="str">
        <f>YEAR(Datos_Consumo[[#This Row],[FECHA]])&amp;"-"&amp;MONTH(Datos_Consumo[[#This Row],[FECHA]])</f>
        <v>2016-9</v>
      </c>
    </row>
    <row r="212" spans="1:4" x14ac:dyDescent="0.25">
      <c r="A212" t="s">
        <v>1443</v>
      </c>
      <c r="B212">
        <v>23</v>
      </c>
      <c r="C212" s="56">
        <v>42644</v>
      </c>
      <c r="D212" s="3" t="str">
        <f>YEAR(Datos_Consumo[[#This Row],[FECHA]])&amp;"-"&amp;MONTH(Datos_Consumo[[#This Row],[FECHA]])</f>
        <v>2016-10</v>
      </c>
    </row>
    <row r="213" spans="1:4" x14ac:dyDescent="0.25">
      <c r="A213" t="s">
        <v>1443</v>
      </c>
      <c r="B213">
        <v>20</v>
      </c>
      <c r="C213" s="56">
        <v>42675</v>
      </c>
      <c r="D213" s="3" t="str">
        <f>YEAR(Datos_Consumo[[#This Row],[FECHA]])&amp;"-"&amp;MONTH(Datos_Consumo[[#This Row],[FECHA]])</f>
        <v>2016-11</v>
      </c>
    </row>
    <row r="214" spans="1:4" x14ac:dyDescent="0.25">
      <c r="A214" t="s">
        <v>1443</v>
      </c>
      <c r="B214">
        <v>65</v>
      </c>
      <c r="C214" s="56">
        <v>42705</v>
      </c>
      <c r="D214" s="3" t="str">
        <f>YEAR(Datos_Consumo[[#This Row],[FECHA]])&amp;"-"&amp;MONTH(Datos_Consumo[[#This Row],[FECHA]])</f>
        <v>2016-12</v>
      </c>
    </row>
    <row r="215" spans="1:4" x14ac:dyDescent="0.25">
      <c r="A215" t="s">
        <v>1443</v>
      </c>
      <c r="B215">
        <v>10</v>
      </c>
      <c r="C215" s="56">
        <v>42736</v>
      </c>
      <c r="D215" s="3" t="str">
        <f>YEAR(Datos_Consumo[[#This Row],[FECHA]])&amp;"-"&amp;MONTH(Datos_Consumo[[#This Row],[FECHA]])</f>
        <v>2017-1</v>
      </c>
    </row>
    <row r="216" spans="1:4" x14ac:dyDescent="0.25">
      <c r="A216" t="s">
        <v>1385</v>
      </c>
      <c r="B216">
        <v>3763</v>
      </c>
      <c r="C216" s="56">
        <v>42614</v>
      </c>
      <c r="D216" s="3" t="str">
        <f>YEAR(Datos_Consumo[[#This Row],[FECHA]])&amp;"-"&amp;MONTH(Datos_Consumo[[#This Row],[FECHA]])</f>
        <v>2016-9</v>
      </c>
    </row>
    <row r="217" spans="1:4" x14ac:dyDescent="0.25">
      <c r="A217" t="s">
        <v>1385</v>
      </c>
      <c r="B217">
        <v>3755</v>
      </c>
      <c r="C217" s="56">
        <v>42644</v>
      </c>
      <c r="D217" s="3" t="str">
        <f>YEAR(Datos_Consumo[[#This Row],[FECHA]])&amp;"-"&amp;MONTH(Datos_Consumo[[#This Row],[FECHA]])</f>
        <v>2016-10</v>
      </c>
    </row>
    <row r="218" spans="1:4" x14ac:dyDescent="0.25">
      <c r="A218" t="s">
        <v>1385</v>
      </c>
      <c r="B218">
        <v>12</v>
      </c>
      <c r="C218" s="56">
        <v>42736</v>
      </c>
      <c r="D218" s="3" t="str">
        <f>YEAR(Datos_Consumo[[#This Row],[FECHA]])&amp;"-"&amp;MONTH(Datos_Consumo[[#This Row],[FECHA]])</f>
        <v>2017-1</v>
      </c>
    </row>
    <row r="219" spans="1:4" x14ac:dyDescent="0.25">
      <c r="A219" t="s">
        <v>1444</v>
      </c>
      <c r="B219">
        <v>2</v>
      </c>
      <c r="C219" s="56">
        <v>42614</v>
      </c>
      <c r="D219" s="3" t="str">
        <f>YEAR(Datos_Consumo[[#This Row],[FECHA]])&amp;"-"&amp;MONTH(Datos_Consumo[[#This Row],[FECHA]])</f>
        <v>2016-9</v>
      </c>
    </row>
    <row r="220" spans="1:4" x14ac:dyDescent="0.25">
      <c r="A220" t="s">
        <v>1386</v>
      </c>
      <c r="B220">
        <v>20</v>
      </c>
      <c r="C220" s="56">
        <v>42675</v>
      </c>
      <c r="D220" s="3" t="str">
        <f>YEAR(Datos_Consumo[[#This Row],[FECHA]])&amp;"-"&amp;MONTH(Datos_Consumo[[#This Row],[FECHA]])</f>
        <v>2016-11</v>
      </c>
    </row>
    <row r="221" spans="1:4" x14ac:dyDescent="0.25">
      <c r="A221" t="s">
        <v>1386</v>
      </c>
      <c r="B221">
        <v>220</v>
      </c>
      <c r="C221" s="56">
        <v>42705</v>
      </c>
      <c r="D221" s="3" t="str">
        <f>YEAR(Datos_Consumo[[#This Row],[FECHA]])&amp;"-"&amp;MONTH(Datos_Consumo[[#This Row],[FECHA]])</f>
        <v>2016-12</v>
      </c>
    </row>
    <row r="222" spans="1:4" x14ac:dyDescent="0.25">
      <c r="A222" t="s">
        <v>1386</v>
      </c>
      <c r="B222">
        <v>2</v>
      </c>
      <c r="C222" s="56">
        <v>42736</v>
      </c>
      <c r="D222" s="3" t="str">
        <f>YEAR(Datos_Consumo[[#This Row],[FECHA]])&amp;"-"&amp;MONTH(Datos_Consumo[[#This Row],[FECHA]])</f>
        <v>2017-1</v>
      </c>
    </row>
    <row r="223" spans="1:4" x14ac:dyDescent="0.25">
      <c r="A223" t="s">
        <v>1774</v>
      </c>
      <c r="B223">
        <v>40</v>
      </c>
      <c r="C223" s="56">
        <v>42736</v>
      </c>
      <c r="D223" s="3" t="str">
        <f>YEAR(Datos_Consumo[[#This Row],[FECHA]])&amp;"-"&amp;MONTH(Datos_Consumo[[#This Row],[FECHA]])</f>
        <v>2017-1</v>
      </c>
    </row>
    <row r="224" spans="1:4" x14ac:dyDescent="0.25">
      <c r="A224" t="s">
        <v>1775</v>
      </c>
      <c r="B224">
        <v>6</v>
      </c>
      <c r="C224" s="56">
        <v>42614</v>
      </c>
      <c r="D224" s="3" t="str">
        <f>YEAR(Datos_Consumo[[#This Row],[FECHA]])&amp;"-"&amp;MONTH(Datos_Consumo[[#This Row],[FECHA]])</f>
        <v>2016-9</v>
      </c>
    </row>
    <row r="225" spans="1:4" x14ac:dyDescent="0.25">
      <c r="A225" t="s">
        <v>1775</v>
      </c>
      <c r="B225">
        <v>16</v>
      </c>
      <c r="C225" s="56">
        <v>42644</v>
      </c>
      <c r="D225" s="3" t="str">
        <f>YEAR(Datos_Consumo[[#This Row],[FECHA]])&amp;"-"&amp;MONTH(Datos_Consumo[[#This Row],[FECHA]])</f>
        <v>2016-10</v>
      </c>
    </row>
    <row r="226" spans="1:4" x14ac:dyDescent="0.25">
      <c r="A226" t="s">
        <v>1775</v>
      </c>
      <c r="B226">
        <v>50</v>
      </c>
      <c r="C226" s="56">
        <v>42675</v>
      </c>
      <c r="D226" s="3" t="str">
        <f>YEAR(Datos_Consumo[[#This Row],[FECHA]])&amp;"-"&amp;MONTH(Datos_Consumo[[#This Row],[FECHA]])</f>
        <v>2016-11</v>
      </c>
    </row>
    <row r="227" spans="1:4" x14ac:dyDescent="0.25">
      <c r="A227" t="s">
        <v>1775</v>
      </c>
      <c r="B227">
        <v>30</v>
      </c>
      <c r="C227" s="56">
        <v>42705</v>
      </c>
      <c r="D227" s="3" t="str">
        <f>YEAR(Datos_Consumo[[#This Row],[FECHA]])&amp;"-"&amp;MONTH(Datos_Consumo[[#This Row],[FECHA]])</f>
        <v>2016-12</v>
      </c>
    </row>
    <row r="228" spans="1:4" x14ac:dyDescent="0.25">
      <c r="A228" t="s">
        <v>1775</v>
      </c>
      <c r="B228">
        <v>5</v>
      </c>
      <c r="C228" s="56">
        <v>42736</v>
      </c>
      <c r="D228" s="3" t="str">
        <f>YEAR(Datos_Consumo[[#This Row],[FECHA]])&amp;"-"&amp;MONTH(Datos_Consumo[[#This Row],[FECHA]])</f>
        <v>2017-1</v>
      </c>
    </row>
    <row r="229" spans="1:4" x14ac:dyDescent="0.25">
      <c r="A229" t="s">
        <v>1776</v>
      </c>
      <c r="B229">
        <v>50</v>
      </c>
      <c r="C229" s="56">
        <v>42644</v>
      </c>
      <c r="D229" s="3" t="str">
        <f>YEAR(Datos_Consumo[[#This Row],[FECHA]])&amp;"-"&amp;MONTH(Datos_Consumo[[#This Row],[FECHA]])</f>
        <v>2016-10</v>
      </c>
    </row>
    <row r="230" spans="1:4" x14ac:dyDescent="0.25">
      <c r="A230" t="s">
        <v>1777</v>
      </c>
      <c r="B230">
        <v>96</v>
      </c>
      <c r="C230" s="56">
        <v>42614</v>
      </c>
      <c r="D230" s="3" t="str">
        <f>YEAR(Datos_Consumo[[#This Row],[FECHA]])&amp;"-"&amp;MONTH(Datos_Consumo[[#This Row],[FECHA]])</f>
        <v>2016-9</v>
      </c>
    </row>
    <row r="231" spans="1:4" x14ac:dyDescent="0.25">
      <c r="A231" t="s">
        <v>1777</v>
      </c>
      <c r="B231">
        <v>150</v>
      </c>
      <c r="C231" s="56">
        <v>42644</v>
      </c>
      <c r="D231" s="3" t="str">
        <f>YEAR(Datos_Consumo[[#This Row],[FECHA]])&amp;"-"&amp;MONTH(Datos_Consumo[[#This Row],[FECHA]])</f>
        <v>2016-10</v>
      </c>
    </row>
    <row r="232" spans="1:4" x14ac:dyDescent="0.25">
      <c r="A232" t="s">
        <v>1777</v>
      </c>
      <c r="B232">
        <v>72</v>
      </c>
      <c r="C232" s="56">
        <v>42675</v>
      </c>
      <c r="D232" s="3" t="str">
        <f>YEAR(Datos_Consumo[[#This Row],[FECHA]])&amp;"-"&amp;MONTH(Datos_Consumo[[#This Row],[FECHA]])</f>
        <v>2016-11</v>
      </c>
    </row>
    <row r="233" spans="1:4" x14ac:dyDescent="0.25">
      <c r="A233" t="s">
        <v>1777</v>
      </c>
      <c r="B233">
        <v>98</v>
      </c>
      <c r="C233" s="56">
        <v>42705</v>
      </c>
      <c r="D233" s="3" t="str">
        <f>YEAR(Datos_Consumo[[#This Row],[FECHA]])&amp;"-"&amp;MONTH(Datos_Consumo[[#This Row],[FECHA]])</f>
        <v>2016-12</v>
      </c>
    </row>
    <row r="234" spans="1:4" x14ac:dyDescent="0.25">
      <c r="A234" t="s">
        <v>1777</v>
      </c>
      <c r="B234">
        <v>126</v>
      </c>
      <c r="C234" s="56">
        <v>42736</v>
      </c>
      <c r="D234" s="3" t="str">
        <f>YEAR(Datos_Consumo[[#This Row],[FECHA]])&amp;"-"&amp;MONTH(Datos_Consumo[[#This Row],[FECHA]])</f>
        <v>2017-1</v>
      </c>
    </row>
    <row r="235" spans="1:4" x14ac:dyDescent="0.25">
      <c r="A235" t="s">
        <v>1778</v>
      </c>
      <c r="B235">
        <v>15</v>
      </c>
      <c r="C235" s="56">
        <v>42644</v>
      </c>
      <c r="D235" s="3" t="str">
        <f>YEAR(Datos_Consumo[[#This Row],[FECHA]])&amp;"-"&amp;MONTH(Datos_Consumo[[#This Row],[FECHA]])</f>
        <v>2016-10</v>
      </c>
    </row>
    <row r="236" spans="1:4" x14ac:dyDescent="0.25">
      <c r="A236" t="s">
        <v>1778</v>
      </c>
      <c r="B236">
        <v>20</v>
      </c>
      <c r="C236" s="56">
        <v>42675</v>
      </c>
      <c r="D236" s="3" t="str">
        <f>YEAR(Datos_Consumo[[#This Row],[FECHA]])&amp;"-"&amp;MONTH(Datos_Consumo[[#This Row],[FECHA]])</f>
        <v>2016-11</v>
      </c>
    </row>
    <row r="237" spans="1:4" x14ac:dyDescent="0.25">
      <c r="A237" t="s">
        <v>1778</v>
      </c>
      <c r="B237">
        <v>5</v>
      </c>
      <c r="C237" s="56">
        <v>42736</v>
      </c>
      <c r="D237" s="3" t="str">
        <f>YEAR(Datos_Consumo[[#This Row],[FECHA]])&amp;"-"&amp;MONTH(Datos_Consumo[[#This Row],[FECHA]])</f>
        <v>2017-1</v>
      </c>
    </row>
    <row r="238" spans="1:4" x14ac:dyDescent="0.25">
      <c r="A238" t="s">
        <v>1445</v>
      </c>
      <c r="B238">
        <v>1</v>
      </c>
      <c r="C238" s="56">
        <v>42614</v>
      </c>
      <c r="D238" s="3" t="str">
        <f>YEAR(Datos_Consumo[[#This Row],[FECHA]])&amp;"-"&amp;MONTH(Datos_Consumo[[#This Row],[FECHA]])</f>
        <v>2016-9</v>
      </c>
    </row>
    <row r="239" spans="1:4" x14ac:dyDescent="0.25">
      <c r="A239" t="s">
        <v>1446</v>
      </c>
      <c r="B239">
        <v>17</v>
      </c>
      <c r="C239" s="56">
        <v>42614</v>
      </c>
      <c r="D239" s="3" t="str">
        <f>YEAR(Datos_Consumo[[#This Row],[FECHA]])&amp;"-"&amp;MONTH(Datos_Consumo[[#This Row],[FECHA]])</f>
        <v>2016-9</v>
      </c>
    </row>
    <row r="240" spans="1:4" x14ac:dyDescent="0.25">
      <c r="A240" t="s">
        <v>1446</v>
      </c>
      <c r="B240">
        <v>2</v>
      </c>
      <c r="C240" s="56">
        <v>42644</v>
      </c>
      <c r="D240" s="3" t="str">
        <f>YEAR(Datos_Consumo[[#This Row],[FECHA]])&amp;"-"&amp;MONTH(Datos_Consumo[[#This Row],[FECHA]])</f>
        <v>2016-10</v>
      </c>
    </row>
    <row r="241" spans="1:4" x14ac:dyDescent="0.25">
      <c r="A241" t="s">
        <v>1446</v>
      </c>
      <c r="B241">
        <v>4</v>
      </c>
      <c r="C241" s="56">
        <v>42736</v>
      </c>
      <c r="D241" s="3" t="str">
        <f>YEAR(Datos_Consumo[[#This Row],[FECHA]])&amp;"-"&amp;MONTH(Datos_Consumo[[#This Row],[FECHA]])</f>
        <v>2017-1</v>
      </c>
    </row>
    <row r="242" spans="1:4" x14ac:dyDescent="0.25">
      <c r="A242" t="s">
        <v>1447</v>
      </c>
      <c r="B242">
        <v>22</v>
      </c>
      <c r="C242" s="56">
        <v>42614</v>
      </c>
      <c r="D242" s="3" t="str">
        <f>YEAR(Datos_Consumo[[#This Row],[FECHA]])&amp;"-"&amp;MONTH(Datos_Consumo[[#This Row],[FECHA]])</f>
        <v>2016-9</v>
      </c>
    </row>
    <row r="243" spans="1:4" x14ac:dyDescent="0.25">
      <c r="A243" t="s">
        <v>1447</v>
      </c>
      <c r="B243">
        <v>8</v>
      </c>
      <c r="C243" s="56">
        <v>42644</v>
      </c>
      <c r="D243" s="3" t="str">
        <f>YEAR(Datos_Consumo[[#This Row],[FECHA]])&amp;"-"&amp;MONTH(Datos_Consumo[[#This Row],[FECHA]])</f>
        <v>2016-10</v>
      </c>
    </row>
    <row r="244" spans="1:4" x14ac:dyDescent="0.25">
      <c r="A244" t="s">
        <v>1447</v>
      </c>
      <c r="B244">
        <v>600</v>
      </c>
      <c r="C244" s="56">
        <v>42705</v>
      </c>
      <c r="D244" s="3" t="str">
        <f>YEAR(Datos_Consumo[[#This Row],[FECHA]])&amp;"-"&amp;MONTH(Datos_Consumo[[#This Row],[FECHA]])</f>
        <v>2016-12</v>
      </c>
    </row>
    <row r="245" spans="1:4" x14ac:dyDescent="0.25">
      <c r="A245" t="s">
        <v>1447</v>
      </c>
      <c r="B245">
        <v>604</v>
      </c>
      <c r="C245" s="56">
        <v>42736</v>
      </c>
      <c r="D245" s="3" t="str">
        <f>YEAR(Datos_Consumo[[#This Row],[FECHA]])&amp;"-"&amp;MONTH(Datos_Consumo[[#This Row],[FECHA]])</f>
        <v>2017-1</v>
      </c>
    </row>
    <row r="246" spans="1:4" x14ac:dyDescent="0.25">
      <c r="A246" t="s">
        <v>1448</v>
      </c>
      <c r="B246">
        <v>10</v>
      </c>
      <c r="C246" s="56">
        <v>42614</v>
      </c>
      <c r="D246" s="3" t="str">
        <f>YEAR(Datos_Consumo[[#This Row],[FECHA]])&amp;"-"&amp;MONTH(Datos_Consumo[[#This Row],[FECHA]])</f>
        <v>2016-9</v>
      </c>
    </row>
    <row r="247" spans="1:4" x14ac:dyDescent="0.25">
      <c r="A247" t="s">
        <v>1449</v>
      </c>
      <c r="B247">
        <v>3</v>
      </c>
      <c r="C247" s="56">
        <v>42614</v>
      </c>
      <c r="D247" s="3" t="str">
        <f>YEAR(Datos_Consumo[[#This Row],[FECHA]])&amp;"-"&amp;MONTH(Datos_Consumo[[#This Row],[FECHA]])</f>
        <v>2016-9</v>
      </c>
    </row>
    <row r="248" spans="1:4" x14ac:dyDescent="0.25">
      <c r="A248" t="s">
        <v>1450</v>
      </c>
      <c r="B248">
        <v>400</v>
      </c>
      <c r="C248" s="56">
        <v>42614</v>
      </c>
      <c r="D248" s="3" t="str">
        <f>YEAR(Datos_Consumo[[#This Row],[FECHA]])&amp;"-"&amp;MONTH(Datos_Consumo[[#This Row],[FECHA]])</f>
        <v>2016-9</v>
      </c>
    </row>
    <row r="249" spans="1:4" x14ac:dyDescent="0.25">
      <c r="A249" t="s">
        <v>1450</v>
      </c>
      <c r="B249">
        <v>500</v>
      </c>
      <c r="C249" s="56">
        <v>42614</v>
      </c>
      <c r="D249" s="3" t="str">
        <f>YEAR(Datos_Consumo[[#This Row],[FECHA]])&amp;"-"&amp;MONTH(Datos_Consumo[[#This Row],[FECHA]])</f>
        <v>2016-9</v>
      </c>
    </row>
    <row r="250" spans="1:4" x14ac:dyDescent="0.25">
      <c r="A250" t="s">
        <v>1450</v>
      </c>
      <c r="B250">
        <v>266</v>
      </c>
      <c r="C250" s="56">
        <v>42644</v>
      </c>
      <c r="D250" s="3" t="str">
        <f>YEAR(Datos_Consumo[[#This Row],[FECHA]])&amp;"-"&amp;MONTH(Datos_Consumo[[#This Row],[FECHA]])</f>
        <v>2016-10</v>
      </c>
    </row>
    <row r="251" spans="1:4" x14ac:dyDescent="0.25">
      <c r="A251" t="s">
        <v>1450</v>
      </c>
      <c r="B251">
        <v>1236</v>
      </c>
      <c r="C251" s="56">
        <v>42675</v>
      </c>
      <c r="D251" s="3" t="str">
        <f>YEAR(Datos_Consumo[[#This Row],[FECHA]])&amp;"-"&amp;MONTH(Datos_Consumo[[#This Row],[FECHA]])</f>
        <v>2016-11</v>
      </c>
    </row>
    <row r="252" spans="1:4" x14ac:dyDescent="0.25">
      <c r="A252" t="s">
        <v>1450</v>
      </c>
      <c r="B252">
        <v>400</v>
      </c>
      <c r="C252" s="56">
        <v>42736</v>
      </c>
      <c r="D252" s="3" t="str">
        <f>YEAR(Datos_Consumo[[#This Row],[FECHA]])&amp;"-"&amp;MONTH(Datos_Consumo[[#This Row],[FECHA]])</f>
        <v>2017-1</v>
      </c>
    </row>
    <row r="253" spans="1:4" x14ac:dyDescent="0.25">
      <c r="A253" t="s">
        <v>1450</v>
      </c>
      <c r="B253">
        <v>405</v>
      </c>
      <c r="C253" s="56">
        <v>42736</v>
      </c>
      <c r="D253" s="3" t="str">
        <f>YEAR(Datos_Consumo[[#This Row],[FECHA]])&amp;"-"&amp;MONTH(Datos_Consumo[[#This Row],[FECHA]])</f>
        <v>2017-1</v>
      </c>
    </row>
    <row r="254" spans="1:4" x14ac:dyDescent="0.25">
      <c r="A254" t="s">
        <v>1451</v>
      </c>
      <c r="B254">
        <v>5000</v>
      </c>
      <c r="C254" s="56">
        <v>42614</v>
      </c>
      <c r="D254" s="3" t="str">
        <f>YEAR(Datos_Consumo[[#This Row],[FECHA]])&amp;"-"&amp;MONTH(Datos_Consumo[[#This Row],[FECHA]])</f>
        <v>2016-9</v>
      </c>
    </row>
    <row r="255" spans="1:4" x14ac:dyDescent="0.25">
      <c r="A255" t="s">
        <v>1387</v>
      </c>
      <c r="B255">
        <v>6718</v>
      </c>
      <c r="C255" s="56">
        <v>42614</v>
      </c>
      <c r="D255" s="3" t="str">
        <f>YEAR(Datos_Consumo[[#This Row],[FECHA]])&amp;"-"&amp;MONTH(Datos_Consumo[[#This Row],[FECHA]])</f>
        <v>2016-9</v>
      </c>
    </row>
    <row r="256" spans="1:4" x14ac:dyDescent="0.25">
      <c r="A256" t="s">
        <v>1387</v>
      </c>
      <c r="B256">
        <v>4625</v>
      </c>
      <c r="C256" s="56">
        <v>42644</v>
      </c>
      <c r="D256" s="3" t="str">
        <f>YEAR(Datos_Consumo[[#This Row],[FECHA]])&amp;"-"&amp;MONTH(Datos_Consumo[[#This Row],[FECHA]])</f>
        <v>2016-10</v>
      </c>
    </row>
    <row r="257" spans="1:4" x14ac:dyDescent="0.25">
      <c r="A257" t="s">
        <v>1387</v>
      </c>
      <c r="B257">
        <v>6270</v>
      </c>
      <c r="C257" s="56">
        <v>42675</v>
      </c>
      <c r="D257" s="3" t="str">
        <f>YEAR(Datos_Consumo[[#This Row],[FECHA]])&amp;"-"&amp;MONTH(Datos_Consumo[[#This Row],[FECHA]])</f>
        <v>2016-11</v>
      </c>
    </row>
    <row r="258" spans="1:4" x14ac:dyDescent="0.25">
      <c r="A258" t="s">
        <v>1387</v>
      </c>
      <c r="B258">
        <v>5020</v>
      </c>
      <c r="C258" s="56">
        <v>42705</v>
      </c>
      <c r="D258" s="3" t="str">
        <f>YEAR(Datos_Consumo[[#This Row],[FECHA]])&amp;"-"&amp;MONTH(Datos_Consumo[[#This Row],[FECHA]])</f>
        <v>2016-12</v>
      </c>
    </row>
    <row r="259" spans="1:4" x14ac:dyDescent="0.25">
      <c r="A259" t="s">
        <v>1387</v>
      </c>
      <c r="B259">
        <v>5290</v>
      </c>
      <c r="C259" s="56">
        <v>42736</v>
      </c>
      <c r="D259" s="3" t="str">
        <f>YEAR(Datos_Consumo[[#This Row],[FECHA]])&amp;"-"&amp;MONTH(Datos_Consumo[[#This Row],[FECHA]])</f>
        <v>2017-1</v>
      </c>
    </row>
    <row r="260" spans="1:4" x14ac:dyDescent="0.25">
      <c r="A260" t="s">
        <v>1779</v>
      </c>
      <c r="B260">
        <v>10</v>
      </c>
      <c r="C260" s="56">
        <v>42736</v>
      </c>
      <c r="D260" s="3" t="str">
        <f>YEAR(Datos_Consumo[[#This Row],[FECHA]])&amp;"-"&amp;MONTH(Datos_Consumo[[#This Row],[FECHA]])</f>
        <v>2017-1</v>
      </c>
    </row>
    <row r="261" spans="1:4" x14ac:dyDescent="0.25">
      <c r="A261" t="s">
        <v>1452</v>
      </c>
      <c r="B261">
        <v>1</v>
      </c>
      <c r="C261" s="56">
        <v>42614</v>
      </c>
      <c r="D261" s="3" t="str">
        <f>YEAR(Datos_Consumo[[#This Row],[FECHA]])&amp;"-"&amp;MONTH(Datos_Consumo[[#This Row],[FECHA]])</f>
        <v>2016-9</v>
      </c>
    </row>
    <row r="262" spans="1:4" x14ac:dyDescent="0.25">
      <c r="A262" t="s">
        <v>1780</v>
      </c>
      <c r="B262">
        <v>8</v>
      </c>
      <c r="C262" s="56">
        <v>42705</v>
      </c>
      <c r="D262" s="3" t="str">
        <f>YEAR(Datos_Consumo[[#This Row],[FECHA]])&amp;"-"&amp;MONTH(Datos_Consumo[[#This Row],[FECHA]])</f>
        <v>2016-12</v>
      </c>
    </row>
    <row r="263" spans="1:4" x14ac:dyDescent="0.25">
      <c r="A263" t="s">
        <v>1388</v>
      </c>
      <c r="B263">
        <v>40</v>
      </c>
      <c r="C263" s="56">
        <v>42705</v>
      </c>
      <c r="D263" s="3" t="str">
        <f>YEAR(Datos_Consumo[[#This Row],[FECHA]])&amp;"-"&amp;MONTH(Datos_Consumo[[#This Row],[FECHA]])</f>
        <v>2016-12</v>
      </c>
    </row>
    <row r="264" spans="1:4" x14ac:dyDescent="0.25">
      <c r="A264" t="s">
        <v>1388</v>
      </c>
      <c r="B264">
        <v>10</v>
      </c>
      <c r="C264" s="56">
        <v>42736</v>
      </c>
      <c r="D264" s="3" t="str">
        <f>YEAR(Datos_Consumo[[#This Row],[FECHA]])&amp;"-"&amp;MONTH(Datos_Consumo[[#This Row],[FECHA]])</f>
        <v>2017-1</v>
      </c>
    </row>
    <row r="265" spans="1:4" x14ac:dyDescent="0.25">
      <c r="A265" t="s">
        <v>1453</v>
      </c>
      <c r="B265">
        <v>1</v>
      </c>
      <c r="C265" s="56">
        <v>42614</v>
      </c>
      <c r="D265" s="3" t="str">
        <f>YEAR(Datos_Consumo[[#This Row],[FECHA]])&amp;"-"&amp;MONTH(Datos_Consumo[[#This Row],[FECHA]])</f>
        <v>2016-9</v>
      </c>
    </row>
    <row r="266" spans="1:4" x14ac:dyDescent="0.25">
      <c r="A266" t="s">
        <v>1453</v>
      </c>
      <c r="B266">
        <v>20</v>
      </c>
      <c r="C266" s="56">
        <v>42675</v>
      </c>
      <c r="D266" s="3" t="str">
        <f>YEAR(Datos_Consumo[[#This Row],[FECHA]])&amp;"-"&amp;MONTH(Datos_Consumo[[#This Row],[FECHA]])</f>
        <v>2016-11</v>
      </c>
    </row>
    <row r="267" spans="1:4" x14ac:dyDescent="0.25">
      <c r="A267" t="s">
        <v>1453</v>
      </c>
      <c r="B267">
        <v>10</v>
      </c>
      <c r="C267" s="56">
        <v>42705</v>
      </c>
      <c r="D267" s="3" t="str">
        <f>YEAR(Datos_Consumo[[#This Row],[FECHA]])&amp;"-"&amp;MONTH(Datos_Consumo[[#This Row],[FECHA]])</f>
        <v>2016-12</v>
      </c>
    </row>
    <row r="268" spans="1:4" x14ac:dyDescent="0.25">
      <c r="A268" t="s">
        <v>1453</v>
      </c>
      <c r="B268">
        <v>30</v>
      </c>
      <c r="C268" s="56">
        <v>42736</v>
      </c>
      <c r="D268" s="3" t="str">
        <f>YEAR(Datos_Consumo[[#This Row],[FECHA]])&amp;"-"&amp;MONTH(Datos_Consumo[[#This Row],[FECHA]])</f>
        <v>2017-1</v>
      </c>
    </row>
    <row r="269" spans="1:4" x14ac:dyDescent="0.25">
      <c r="A269" t="s">
        <v>1454</v>
      </c>
      <c r="B269">
        <v>20</v>
      </c>
      <c r="C269" s="56">
        <v>42614</v>
      </c>
      <c r="D269" s="3" t="str">
        <f>YEAR(Datos_Consumo[[#This Row],[FECHA]])&amp;"-"&amp;MONTH(Datos_Consumo[[#This Row],[FECHA]])</f>
        <v>2016-9</v>
      </c>
    </row>
    <row r="270" spans="1:4" x14ac:dyDescent="0.25">
      <c r="A270" t="s">
        <v>1454</v>
      </c>
      <c r="B270">
        <v>20</v>
      </c>
      <c r="C270" s="56">
        <v>42675</v>
      </c>
      <c r="D270" s="3" t="str">
        <f>YEAR(Datos_Consumo[[#This Row],[FECHA]])&amp;"-"&amp;MONTH(Datos_Consumo[[#This Row],[FECHA]])</f>
        <v>2016-11</v>
      </c>
    </row>
    <row r="271" spans="1:4" x14ac:dyDescent="0.25">
      <c r="A271" t="s">
        <v>1454</v>
      </c>
      <c r="B271">
        <v>20</v>
      </c>
      <c r="C271" s="56">
        <v>42705</v>
      </c>
      <c r="D271" s="3" t="str">
        <f>YEAR(Datos_Consumo[[#This Row],[FECHA]])&amp;"-"&amp;MONTH(Datos_Consumo[[#This Row],[FECHA]])</f>
        <v>2016-12</v>
      </c>
    </row>
    <row r="272" spans="1:4" x14ac:dyDescent="0.25">
      <c r="A272" t="s">
        <v>1454</v>
      </c>
      <c r="B272">
        <v>24</v>
      </c>
      <c r="C272" s="56">
        <v>42736</v>
      </c>
      <c r="D272" s="3" t="str">
        <f>YEAR(Datos_Consumo[[#This Row],[FECHA]])&amp;"-"&amp;MONTH(Datos_Consumo[[#This Row],[FECHA]])</f>
        <v>2017-1</v>
      </c>
    </row>
    <row r="273" spans="1:4" x14ac:dyDescent="0.25">
      <c r="A273" t="s">
        <v>1455</v>
      </c>
      <c r="B273">
        <v>1</v>
      </c>
      <c r="C273" s="56">
        <v>42614</v>
      </c>
      <c r="D273" s="3" t="str">
        <f>YEAR(Datos_Consumo[[#This Row],[FECHA]])&amp;"-"&amp;MONTH(Datos_Consumo[[#This Row],[FECHA]])</f>
        <v>2016-9</v>
      </c>
    </row>
    <row r="274" spans="1:4" x14ac:dyDescent="0.25">
      <c r="A274" t="s">
        <v>1455</v>
      </c>
      <c r="B274">
        <v>20</v>
      </c>
      <c r="C274" s="56">
        <v>42675</v>
      </c>
      <c r="D274" s="3" t="str">
        <f>YEAR(Datos_Consumo[[#This Row],[FECHA]])&amp;"-"&amp;MONTH(Datos_Consumo[[#This Row],[FECHA]])</f>
        <v>2016-11</v>
      </c>
    </row>
    <row r="275" spans="1:4" x14ac:dyDescent="0.25">
      <c r="A275" t="s">
        <v>1455</v>
      </c>
      <c r="B275">
        <v>10</v>
      </c>
      <c r="C275" s="56">
        <v>42705</v>
      </c>
      <c r="D275" s="3" t="str">
        <f>YEAR(Datos_Consumo[[#This Row],[FECHA]])&amp;"-"&amp;MONTH(Datos_Consumo[[#This Row],[FECHA]])</f>
        <v>2016-12</v>
      </c>
    </row>
    <row r="276" spans="1:4" x14ac:dyDescent="0.25">
      <c r="A276" t="s">
        <v>1455</v>
      </c>
      <c r="B276">
        <v>23</v>
      </c>
      <c r="C276" s="56">
        <v>42736</v>
      </c>
      <c r="D276" s="3" t="str">
        <f>YEAR(Datos_Consumo[[#This Row],[FECHA]])&amp;"-"&amp;MONTH(Datos_Consumo[[#This Row],[FECHA]])</f>
        <v>2017-1</v>
      </c>
    </row>
    <row r="277" spans="1:4" x14ac:dyDescent="0.25">
      <c r="A277" t="s">
        <v>1456</v>
      </c>
      <c r="B277">
        <v>8</v>
      </c>
      <c r="C277" s="56">
        <v>42644</v>
      </c>
      <c r="D277" s="3" t="str">
        <f>YEAR(Datos_Consumo[[#This Row],[FECHA]])&amp;"-"&amp;MONTH(Datos_Consumo[[#This Row],[FECHA]])</f>
        <v>2016-10</v>
      </c>
    </row>
    <row r="278" spans="1:4" x14ac:dyDescent="0.25">
      <c r="A278" t="s">
        <v>1456</v>
      </c>
      <c r="B278">
        <v>2</v>
      </c>
      <c r="C278" s="56">
        <v>42675</v>
      </c>
      <c r="D278" s="3" t="str">
        <f>YEAR(Datos_Consumo[[#This Row],[FECHA]])&amp;"-"&amp;MONTH(Datos_Consumo[[#This Row],[FECHA]])</f>
        <v>2016-11</v>
      </c>
    </row>
    <row r="279" spans="1:4" x14ac:dyDescent="0.25">
      <c r="A279" t="s">
        <v>1457</v>
      </c>
      <c r="B279">
        <v>20</v>
      </c>
      <c r="C279" s="56">
        <v>42675</v>
      </c>
      <c r="D279" s="3" t="str">
        <f>YEAR(Datos_Consumo[[#This Row],[FECHA]])&amp;"-"&amp;MONTH(Datos_Consumo[[#This Row],[FECHA]])</f>
        <v>2016-11</v>
      </c>
    </row>
    <row r="280" spans="1:4" x14ac:dyDescent="0.25">
      <c r="A280" t="s">
        <v>1457</v>
      </c>
      <c r="B280">
        <v>1</v>
      </c>
      <c r="C280" s="56">
        <v>42705</v>
      </c>
      <c r="D280" s="3" t="str">
        <f>YEAR(Datos_Consumo[[#This Row],[FECHA]])&amp;"-"&amp;MONTH(Datos_Consumo[[#This Row],[FECHA]])</f>
        <v>2016-12</v>
      </c>
    </row>
    <row r="281" spans="1:4" x14ac:dyDescent="0.25">
      <c r="A281" t="s">
        <v>1457</v>
      </c>
      <c r="B281">
        <v>34</v>
      </c>
      <c r="C281" s="56">
        <v>42736</v>
      </c>
      <c r="D281" s="3" t="str">
        <f>YEAR(Datos_Consumo[[#This Row],[FECHA]])&amp;"-"&amp;MONTH(Datos_Consumo[[#This Row],[FECHA]])</f>
        <v>2017-1</v>
      </c>
    </row>
    <row r="282" spans="1:4" x14ac:dyDescent="0.25">
      <c r="A282" t="s">
        <v>1389</v>
      </c>
      <c r="B282">
        <v>10</v>
      </c>
      <c r="C282" s="56">
        <v>42614</v>
      </c>
      <c r="D282" s="3" t="str">
        <f>YEAR(Datos_Consumo[[#This Row],[FECHA]])&amp;"-"&amp;MONTH(Datos_Consumo[[#This Row],[FECHA]])</f>
        <v>2016-9</v>
      </c>
    </row>
    <row r="283" spans="1:4" x14ac:dyDescent="0.25">
      <c r="A283" t="s">
        <v>1389</v>
      </c>
      <c r="B283">
        <v>51</v>
      </c>
      <c r="C283" s="56">
        <v>42705</v>
      </c>
      <c r="D283" s="3" t="str">
        <f>YEAR(Datos_Consumo[[#This Row],[FECHA]])&amp;"-"&amp;MONTH(Datos_Consumo[[#This Row],[FECHA]])</f>
        <v>2016-12</v>
      </c>
    </row>
    <row r="284" spans="1:4" x14ac:dyDescent="0.25">
      <c r="A284" t="s">
        <v>1389</v>
      </c>
      <c r="B284">
        <v>2</v>
      </c>
      <c r="C284" s="56">
        <v>42736</v>
      </c>
      <c r="D284" s="3" t="str">
        <f>YEAR(Datos_Consumo[[#This Row],[FECHA]])&amp;"-"&amp;MONTH(Datos_Consumo[[#This Row],[FECHA]])</f>
        <v>2017-1</v>
      </c>
    </row>
    <row r="285" spans="1:4" x14ac:dyDescent="0.25">
      <c r="A285" t="s">
        <v>1458</v>
      </c>
      <c r="B285">
        <v>20</v>
      </c>
      <c r="C285" s="56">
        <v>42675</v>
      </c>
      <c r="D285" s="3" t="str">
        <f>YEAR(Datos_Consumo[[#This Row],[FECHA]])&amp;"-"&amp;MONTH(Datos_Consumo[[#This Row],[FECHA]])</f>
        <v>2016-11</v>
      </c>
    </row>
    <row r="286" spans="1:4" x14ac:dyDescent="0.25">
      <c r="A286" t="s">
        <v>1458</v>
      </c>
      <c r="B286">
        <v>1</v>
      </c>
      <c r="C286" s="56">
        <v>42736</v>
      </c>
      <c r="D286" s="3" t="str">
        <f>YEAR(Datos_Consumo[[#This Row],[FECHA]])&amp;"-"&amp;MONTH(Datos_Consumo[[#This Row],[FECHA]])</f>
        <v>2017-1</v>
      </c>
    </row>
    <row r="287" spans="1:4" x14ac:dyDescent="0.25">
      <c r="A287" t="s">
        <v>1459</v>
      </c>
      <c r="B287">
        <v>5</v>
      </c>
      <c r="C287" s="56">
        <v>42644</v>
      </c>
      <c r="D287" s="3" t="str">
        <f>YEAR(Datos_Consumo[[#This Row],[FECHA]])&amp;"-"&amp;MONTH(Datos_Consumo[[#This Row],[FECHA]])</f>
        <v>2016-10</v>
      </c>
    </row>
    <row r="288" spans="1:4" x14ac:dyDescent="0.25">
      <c r="A288" t="s">
        <v>1459</v>
      </c>
      <c r="B288">
        <v>20</v>
      </c>
      <c r="C288" s="56">
        <v>42705</v>
      </c>
      <c r="D288" s="3" t="str">
        <f>YEAR(Datos_Consumo[[#This Row],[FECHA]])&amp;"-"&amp;MONTH(Datos_Consumo[[#This Row],[FECHA]])</f>
        <v>2016-12</v>
      </c>
    </row>
    <row r="289" spans="1:4" x14ac:dyDescent="0.25">
      <c r="A289" t="s">
        <v>1460</v>
      </c>
      <c r="B289">
        <v>10</v>
      </c>
      <c r="C289" s="56">
        <v>42614</v>
      </c>
      <c r="D289" s="3" t="str">
        <f>YEAR(Datos_Consumo[[#This Row],[FECHA]])&amp;"-"&amp;MONTH(Datos_Consumo[[#This Row],[FECHA]])</f>
        <v>2016-9</v>
      </c>
    </row>
    <row r="290" spans="1:4" x14ac:dyDescent="0.25">
      <c r="A290" t="s">
        <v>1460</v>
      </c>
      <c r="B290">
        <v>50</v>
      </c>
      <c r="C290" s="56">
        <v>42705</v>
      </c>
      <c r="D290" s="3" t="str">
        <f>YEAR(Datos_Consumo[[#This Row],[FECHA]])&amp;"-"&amp;MONTH(Datos_Consumo[[#This Row],[FECHA]])</f>
        <v>2016-12</v>
      </c>
    </row>
    <row r="291" spans="1:4" x14ac:dyDescent="0.25">
      <c r="A291" t="s">
        <v>1461</v>
      </c>
      <c r="B291">
        <v>10</v>
      </c>
      <c r="C291" s="56">
        <v>42705</v>
      </c>
      <c r="D291" s="3" t="str">
        <f>YEAR(Datos_Consumo[[#This Row],[FECHA]])&amp;"-"&amp;MONTH(Datos_Consumo[[#This Row],[FECHA]])</f>
        <v>2016-12</v>
      </c>
    </row>
    <row r="292" spans="1:4" x14ac:dyDescent="0.25">
      <c r="A292" t="s">
        <v>1461</v>
      </c>
      <c r="B292">
        <v>5</v>
      </c>
      <c r="C292" s="56">
        <v>42736</v>
      </c>
      <c r="D292" s="3" t="str">
        <f>YEAR(Datos_Consumo[[#This Row],[FECHA]])&amp;"-"&amp;MONTH(Datos_Consumo[[#This Row],[FECHA]])</f>
        <v>2017-1</v>
      </c>
    </row>
    <row r="293" spans="1:4" x14ac:dyDescent="0.25">
      <c r="A293" t="s">
        <v>1462</v>
      </c>
      <c r="B293">
        <v>4</v>
      </c>
      <c r="C293" s="56">
        <v>42614</v>
      </c>
      <c r="D293" s="3" t="str">
        <f>YEAR(Datos_Consumo[[#This Row],[FECHA]])&amp;"-"&amp;MONTH(Datos_Consumo[[#This Row],[FECHA]])</f>
        <v>2016-9</v>
      </c>
    </row>
    <row r="294" spans="1:4" x14ac:dyDescent="0.25">
      <c r="A294" t="s">
        <v>1463</v>
      </c>
      <c r="B294">
        <v>10</v>
      </c>
      <c r="C294" s="56">
        <v>42614</v>
      </c>
      <c r="D294" s="3" t="str">
        <f>YEAR(Datos_Consumo[[#This Row],[FECHA]])&amp;"-"&amp;MONTH(Datos_Consumo[[#This Row],[FECHA]])</f>
        <v>2016-9</v>
      </c>
    </row>
    <row r="295" spans="1:4" x14ac:dyDescent="0.25">
      <c r="A295" t="s">
        <v>1463</v>
      </c>
      <c r="B295">
        <v>5</v>
      </c>
      <c r="C295" s="56">
        <v>42644</v>
      </c>
      <c r="D295" s="3" t="str">
        <f>YEAR(Datos_Consumo[[#This Row],[FECHA]])&amp;"-"&amp;MONTH(Datos_Consumo[[#This Row],[FECHA]])</f>
        <v>2016-10</v>
      </c>
    </row>
    <row r="296" spans="1:4" x14ac:dyDescent="0.25">
      <c r="A296" t="s">
        <v>1463</v>
      </c>
      <c r="B296">
        <v>10</v>
      </c>
      <c r="C296" s="56">
        <v>42705</v>
      </c>
      <c r="D296" s="3" t="str">
        <f>YEAR(Datos_Consumo[[#This Row],[FECHA]])&amp;"-"&amp;MONTH(Datos_Consumo[[#This Row],[FECHA]])</f>
        <v>2016-12</v>
      </c>
    </row>
    <row r="297" spans="1:4" x14ac:dyDescent="0.25">
      <c r="A297" t="s">
        <v>1464</v>
      </c>
      <c r="B297">
        <v>10</v>
      </c>
      <c r="C297" s="56">
        <v>42614</v>
      </c>
      <c r="D297" s="3" t="str">
        <f>YEAR(Datos_Consumo[[#This Row],[FECHA]])&amp;"-"&amp;MONTH(Datos_Consumo[[#This Row],[FECHA]])</f>
        <v>2016-9</v>
      </c>
    </row>
    <row r="298" spans="1:4" x14ac:dyDescent="0.25">
      <c r="A298" t="s">
        <v>1464</v>
      </c>
      <c r="B298">
        <v>20</v>
      </c>
      <c r="C298" s="56">
        <v>42705</v>
      </c>
      <c r="D298" s="3" t="str">
        <f>YEAR(Datos_Consumo[[#This Row],[FECHA]])&amp;"-"&amp;MONTH(Datos_Consumo[[#This Row],[FECHA]])</f>
        <v>2016-12</v>
      </c>
    </row>
    <row r="299" spans="1:4" x14ac:dyDescent="0.25">
      <c r="A299" t="s">
        <v>1465</v>
      </c>
      <c r="B299">
        <v>40</v>
      </c>
      <c r="C299" s="56">
        <v>42705</v>
      </c>
      <c r="D299" s="3" t="str">
        <f>YEAR(Datos_Consumo[[#This Row],[FECHA]])&amp;"-"&amp;MONTH(Datos_Consumo[[#This Row],[FECHA]])</f>
        <v>2016-12</v>
      </c>
    </row>
    <row r="300" spans="1:4" x14ac:dyDescent="0.25">
      <c r="A300" t="s">
        <v>1466</v>
      </c>
      <c r="B300">
        <v>5</v>
      </c>
      <c r="C300" s="56">
        <v>42644</v>
      </c>
      <c r="D300" s="3" t="str">
        <f>YEAR(Datos_Consumo[[#This Row],[FECHA]])&amp;"-"&amp;MONTH(Datos_Consumo[[#This Row],[FECHA]])</f>
        <v>2016-10</v>
      </c>
    </row>
    <row r="301" spans="1:4" x14ac:dyDescent="0.25">
      <c r="A301" t="s">
        <v>1466</v>
      </c>
      <c r="B301">
        <v>30</v>
      </c>
      <c r="C301" s="56">
        <v>42705</v>
      </c>
      <c r="D301" s="3" t="str">
        <f>YEAR(Datos_Consumo[[#This Row],[FECHA]])&amp;"-"&amp;MONTH(Datos_Consumo[[#This Row],[FECHA]])</f>
        <v>2016-12</v>
      </c>
    </row>
    <row r="302" spans="1:4" x14ac:dyDescent="0.25">
      <c r="A302" t="s">
        <v>1466</v>
      </c>
      <c r="B302">
        <v>4</v>
      </c>
      <c r="C302" s="56">
        <v>42736</v>
      </c>
      <c r="D302" s="3" t="str">
        <f>YEAR(Datos_Consumo[[#This Row],[FECHA]])&amp;"-"&amp;MONTH(Datos_Consumo[[#This Row],[FECHA]])</f>
        <v>2017-1</v>
      </c>
    </row>
    <row r="303" spans="1:4" x14ac:dyDescent="0.25">
      <c r="A303" t="s">
        <v>1467</v>
      </c>
      <c r="B303">
        <v>10</v>
      </c>
      <c r="C303" s="56">
        <v>42614</v>
      </c>
      <c r="D303" s="3" t="str">
        <f>YEAR(Datos_Consumo[[#This Row],[FECHA]])&amp;"-"&amp;MONTH(Datos_Consumo[[#This Row],[FECHA]])</f>
        <v>2016-9</v>
      </c>
    </row>
    <row r="304" spans="1:4" x14ac:dyDescent="0.25">
      <c r="A304" t="s">
        <v>1467</v>
      </c>
      <c r="B304">
        <v>2</v>
      </c>
      <c r="C304" s="56">
        <v>42644</v>
      </c>
      <c r="D304" s="3" t="str">
        <f>YEAR(Datos_Consumo[[#This Row],[FECHA]])&amp;"-"&amp;MONTH(Datos_Consumo[[#This Row],[FECHA]])</f>
        <v>2016-10</v>
      </c>
    </row>
    <row r="305" spans="1:4" x14ac:dyDescent="0.25">
      <c r="A305" t="s">
        <v>1467</v>
      </c>
      <c r="B305">
        <v>20</v>
      </c>
      <c r="C305" s="56">
        <v>42705</v>
      </c>
      <c r="D305" s="3" t="str">
        <f>YEAR(Datos_Consumo[[#This Row],[FECHA]])&amp;"-"&amp;MONTH(Datos_Consumo[[#This Row],[FECHA]])</f>
        <v>2016-12</v>
      </c>
    </row>
    <row r="306" spans="1:4" x14ac:dyDescent="0.25">
      <c r="A306" t="s">
        <v>1467</v>
      </c>
      <c r="B306">
        <v>26</v>
      </c>
      <c r="C306" s="56">
        <v>42736</v>
      </c>
      <c r="D306" s="3" t="str">
        <f>YEAR(Datos_Consumo[[#This Row],[FECHA]])&amp;"-"&amp;MONTH(Datos_Consumo[[#This Row],[FECHA]])</f>
        <v>2017-1</v>
      </c>
    </row>
    <row r="307" spans="1:4" x14ac:dyDescent="0.25">
      <c r="A307" t="s">
        <v>1468</v>
      </c>
      <c r="B307">
        <v>10</v>
      </c>
      <c r="C307" s="56">
        <v>42614</v>
      </c>
      <c r="D307" s="3" t="str">
        <f>YEAR(Datos_Consumo[[#This Row],[FECHA]])&amp;"-"&amp;MONTH(Datos_Consumo[[#This Row],[FECHA]])</f>
        <v>2016-9</v>
      </c>
    </row>
    <row r="308" spans="1:4" x14ac:dyDescent="0.25">
      <c r="A308" t="s">
        <v>1468</v>
      </c>
      <c r="B308">
        <v>2</v>
      </c>
      <c r="C308" s="56">
        <v>42644</v>
      </c>
      <c r="D308" s="3" t="str">
        <f>YEAR(Datos_Consumo[[#This Row],[FECHA]])&amp;"-"&amp;MONTH(Datos_Consumo[[#This Row],[FECHA]])</f>
        <v>2016-10</v>
      </c>
    </row>
    <row r="309" spans="1:4" x14ac:dyDescent="0.25">
      <c r="A309" t="s">
        <v>1468</v>
      </c>
      <c r="B309">
        <v>10</v>
      </c>
      <c r="C309" s="56">
        <v>42705</v>
      </c>
      <c r="D309" s="3" t="str">
        <f>YEAR(Datos_Consumo[[#This Row],[FECHA]])&amp;"-"&amp;MONTH(Datos_Consumo[[#This Row],[FECHA]])</f>
        <v>2016-12</v>
      </c>
    </row>
    <row r="310" spans="1:4" x14ac:dyDescent="0.25">
      <c r="A310" t="s">
        <v>1469</v>
      </c>
      <c r="B310">
        <v>1</v>
      </c>
      <c r="C310" s="56">
        <v>42736</v>
      </c>
      <c r="D310" s="3" t="str">
        <f>YEAR(Datos_Consumo[[#This Row],[FECHA]])&amp;"-"&amp;MONTH(Datos_Consumo[[#This Row],[FECHA]])</f>
        <v>2017-1</v>
      </c>
    </row>
    <row r="311" spans="1:4" x14ac:dyDescent="0.25">
      <c r="A311" t="s">
        <v>1470</v>
      </c>
      <c r="B311">
        <v>4900</v>
      </c>
      <c r="C311" s="56">
        <v>42614</v>
      </c>
      <c r="D311" s="3" t="str">
        <f>YEAR(Datos_Consumo[[#This Row],[FECHA]])&amp;"-"&amp;MONTH(Datos_Consumo[[#This Row],[FECHA]])</f>
        <v>2016-9</v>
      </c>
    </row>
    <row r="312" spans="1:4" x14ac:dyDescent="0.25">
      <c r="A312" t="s">
        <v>1470</v>
      </c>
      <c r="B312">
        <v>40</v>
      </c>
      <c r="C312" s="56">
        <v>42644</v>
      </c>
      <c r="D312" s="3" t="str">
        <f>YEAR(Datos_Consumo[[#This Row],[FECHA]])&amp;"-"&amp;MONTH(Datos_Consumo[[#This Row],[FECHA]])</f>
        <v>2016-10</v>
      </c>
    </row>
    <row r="313" spans="1:4" x14ac:dyDescent="0.25">
      <c r="A313" t="s">
        <v>1390</v>
      </c>
      <c r="B313">
        <v>911</v>
      </c>
      <c r="C313" s="56">
        <v>42614</v>
      </c>
      <c r="D313" s="3" t="str">
        <f>YEAR(Datos_Consumo[[#This Row],[FECHA]])&amp;"-"&amp;MONTH(Datos_Consumo[[#This Row],[FECHA]])</f>
        <v>2016-9</v>
      </c>
    </row>
    <row r="314" spans="1:4" x14ac:dyDescent="0.25">
      <c r="A314" t="s">
        <v>1390</v>
      </c>
      <c r="B314">
        <v>70</v>
      </c>
      <c r="C314" s="56">
        <v>42644</v>
      </c>
      <c r="D314" s="3" t="str">
        <f>YEAR(Datos_Consumo[[#This Row],[FECHA]])&amp;"-"&amp;MONTH(Datos_Consumo[[#This Row],[FECHA]])</f>
        <v>2016-10</v>
      </c>
    </row>
    <row r="315" spans="1:4" x14ac:dyDescent="0.25">
      <c r="A315" t="s">
        <v>1390</v>
      </c>
      <c r="B315">
        <v>20</v>
      </c>
      <c r="C315" s="56">
        <v>42675</v>
      </c>
      <c r="D315" s="3" t="str">
        <f>YEAR(Datos_Consumo[[#This Row],[FECHA]])&amp;"-"&amp;MONTH(Datos_Consumo[[#This Row],[FECHA]])</f>
        <v>2016-11</v>
      </c>
    </row>
    <row r="316" spans="1:4" x14ac:dyDescent="0.25">
      <c r="A316" t="s">
        <v>1390</v>
      </c>
      <c r="B316">
        <v>20</v>
      </c>
      <c r="C316" s="56">
        <v>42736</v>
      </c>
      <c r="D316" s="3" t="str">
        <f>YEAR(Datos_Consumo[[#This Row],[FECHA]])&amp;"-"&amp;MONTH(Datos_Consumo[[#This Row],[FECHA]])</f>
        <v>2017-1</v>
      </c>
    </row>
    <row r="317" spans="1:4" x14ac:dyDescent="0.25">
      <c r="A317" t="s">
        <v>1781</v>
      </c>
      <c r="B317">
        <v>40</v>
      </c>
      <c r="C317" s="56">
        <v>42614</v>
      </c>
      <c r="D317" s="3" t="str">
        <f>YEAR(Datos_Consumo[[#This Row],[FECHA]])&amp;"-"&amp;MONTH(Datos_Consumo[[#This Row],[FECHA]])</f>
        <v>2016-9</v>
      </c>
    </row>
    <row r="318" spans="1:4" x14ac:dyDescent="0.25">
      <c r="A318" t="s">
        <v>1781</v>
      </c>
      <c r="B318">
        <v>50</v>
      </c>
      <c r="C318" s="56">
        <v>42736</v>
      </c>
      <c r="D318" s="3" t="str">
        <f>YEAR(Datos_Consumo[[#This Row],[FECHA]])&amp;"-"&amp;MONTH(Datos_Consumo[[#This Row],[FECHA]])</f>
        <v>2017-1</v>
      </c>
    </row>
    <row r="319" spans="1:4" x14ac:dyDescent="0.25">
      <c r="A319" t="s">
        <v>1782</v>
      </c>
      <c r="B319">
        <v>24</v>
      </c>
      <c r="C319" s="56">
        <v>42644</v>
      </c>
      <c r="D319" s="3" t="str">
        <f>YEAR(Datos_Consumo[[#This Row],[FECHA]])&amp;"-"&amp;MONTH(Datos_Consumo[[#This Row],[FECHA]])</f>
        <v>2016-10</v>
      </c>
    </row>
    <row r="320" spans="1:4" x14ac:dyDescent="0.25">
      <c r="A320" t="s">
        <v>1782</v>
      </c>
      <c r="B320">
        <v>20</v>
      </c>
      <c r="C320" s="56">
        <v>42675</v>
      </c>
      <c r="D320" s="3" t="str">
        <f>YEAR(Datos_Consumo[[#This Row],[FECHA]])&amp;"-"&amp;MONTH(Datos_Consumo[[#This Row],[FECHA]])</f>
        <v>2016-11</v>
      </c>
    </row>
    <row r="321" spans="1:4" x14ac:dyDescent="0.25">
      <c r="A321" t="s">
        <v>1782</v>
      </c>
      <c r="B321">
        <v>50</v>
      </c>
      <c r="C321" s="56">
        <v>42736</v>
      </c>
      <c r="D321" s="3" t="str">
        <f>YEAR(Datos_Consumo[[#This Row],[FECHA]])&amp;"-"&amp;MONTH(Datos_Consumo[[#This Row],[FECHA]])</f>
        <v>2017-1</v>
      </c>
    </row>
    <row r="322" spans="1:4" x14ac:dyDescent="0.25">
      <c r="A322" t="s">
        <v>1471</v>
      </c>
      <c r="B322">
        <v>34</v>
      </c>
      <c r="C322" s="56">
        <v>42614</v>
      </c>
      <c r="D322" s="3" t="str">
        <f>YEAR(Datos_Consumo[[#This Row],[FECHA]])&amp;"-"&amp;MONTH(Datos_Consumo[[#This Row],[FECHA]])</f>
        <v>2016-9</v>
      </c>
    </row>
    <row r="323" spans="1:4" x14ac:dyDescent="0.25">
      <c r="A323" t="s">
        <v>1471</v>
      </c>
      <c r="B323">
        <v>26</v>
      </c>
      <c r="C323" s="56">
        <v>42644</v>
      </c>
      <c r="D323" s="3" t="str">
        <f>YEAR(Datos_Consumo[[#This Row],[FECHA]])&amp;"-"&amp;MONTH(Datos_Consumo[[#This Row],[FECHA]])</f>
        <v>2016-10</v>
      </c>
    </row>
    <row r="324" spans="1:4" x14ac:dyDescent="0.25">
      <c r="A324" t="s">
        <v>1471</v>
      </c>
      <c r="B324">
        <v>20</v>
      </c>
      <c r="C324" s="56">
        <v>42675</v>
      </c>
      <c r="D324" s="3" t="str">
        <f>YEAR(Datos_Consumo[[#This Row],[FECHA]])&amp;"-"&amp;MONTH(Datos_Consumo[[#This Row],[FECHA]])</f>
        <v>2016-11</v>
      </c>
    </row>
    <row r="325" spans="1:4" x14ac:dyDescent="0.25">
      <c r="A325" t="s">
        <v>1471</v>
      </c>
      <c r="B325">
        <v>12</v>
      </c>
      <c r="C325" s="56">
        <v>42705</v>
      </c>
      <c r="D325" s="3" t="str">
        <f>YEAR(Datos_Consumo[[#This Row],[FECHA]])&amp;"-"&amp;MONTH(Datos_Consumo[[#This Row],[FECHA]])</f>
        <v>2016-12</v>
      </c>
    </row>
    <row r="326" spans="1:4" x14ac:dyDescent="0.25">
      <c r="A326" t="s">
        <v>1471</v>
      </c>
      <c r="B326">
        <v>38</v>
      </c>
      <c r="C326" s="56">
        <v>42736</v>
      </c>
      <c r="D326" s="3" t="str">
        <f>YEAR(Datos_Consumo[[#This Row],[FECHA]])&amp;"-"&amp;MONTH(Datos_Consumo[[#This Row],[FECHA]])</f>
        <v>2017-1</v>
      </c>
    </row>
    <row r="327" spans="1:4" x14ac:dyDescent="0.25">
      <c r="A327" t="s">
        <v>1391</v>
      </c>
      <c r="B327">
        <v>122</v>
      </c>
      <c r="C327" s="56">
        <v>42614</v>
      </c>
      <c r="D327" s="3" t="str">
        <f>YEAR(Datos_Consumo[[#This Row],[FECHA]])&amp;"-"&amp;MONTH(Datos_Consumo[[#This Row],[FECHA]])</f>
        <v>2016-9</v>
      </c>
    </row>
    <row r="328" spans="1:4" x14ac:dyDescent="0.25">
      <c r="A328" t="s">
        <v>1391</v>
      </c>
      <c r="B328">
        <v>73</v>
      </c>
      <c r="C328" s="56">
        <v>42644</v>
      </c>
      <c r="D328" s="3" t="str">
        <f>YEAR(Datos_Consumo[[#This Row],[FECHA]])&amp;"-"&amp;MONTH(Datos_Consumo[[#This Row],[FECHA]])</f>
        <v>2016-10</v>
      </c>
    </row>
    <row r="329" spans="1:4" x14ac:dyDescent="0.25">
      <c r="A329" t="s">
        <v>1391</v>
      </c>
      <c r="B329">
        <v>75</v>
      </c>
      <c r="C329" s="56">
        <v>42675</v>
      </c>
      <c r="D329" s="3" t="str">
        <f>YEAR(Datos_Consumo[[#This Row],[FECHA]])&amp;"-"&amp;MONTH(Datos_Consumo[[#This Row],[FECHA]])</f>
        <v>2016-11</v>
      </c>
    </row>
    <row r="330" spans="1:4" x14ac:dyDescent="0.25">
      <c r="A330" t="s">
        <v>1391</v>
      </c>
      <c r="B330">
        <v>65</v>
      </c>
      <c r="C330" s="56">
        <v>42705</v>
      </c>
      <c r="D330" s="3" t="str">
        <f>YEAR(Datos_Consumo[[#This Row],[FECHA]])&amp;"-"&amp;MONTH(Datos_Consumo[[#This Row],[FECHA]])</f>
        <v>2016-12</v>
      </c>
    </row>
    <row r="331" spans="1:4" x14ac:dyDescent="0.25">
      <c r="A331" t="s">
        <v>1391</v>
      </c>
      <c r="B331">
        <v>139</v>
      </c>
      <c r="C331" s="56">
        <v>42736</v>
      </c>
      <c r="D331" s="3" t="str">
        <f>YEAR(Datos_Consumo[[#This Row],[FECHA]])&amp;"-"&amp;MONTH(Datos_Consumo[[#This Row],[FECHA]])</f>
        <v>2017-1</v>
      </c>
    </row>
    <row r="332" spans="1:4" x14ac:dyDescent="0.25">
      <c r="A332" t="s">
        <v>1392</v>
      </c>
      <c r="B332">
        <v>115</v>
      </c>
      <c r="C332" s="56">
        <v>42614</v>
      </c>
      <c r="D332" s="3" t="str">
        <f>YEAR(Datos_Consumo[[#This Row],[FECHA]])&amp;"-"&amp;MONTH(Datos_Consumo[[#This Row],[FECHA]])</f>
        <v>2016-9</v>
      </c>
    </row>
    <row r="333" spans="1:4" x14ac:dyDescent="0.25">
      <c r="A333" t="s">
        <v>1392</v>
      </c>
      <c r="B333">
        <v>99</v>
      </c>
      <c r="C333" s="56">
        <v>42644</v>
      </c>
      <c r="D333" s="3" t="str">
        <f>YEAR(Datos_Consumo[[#This Row],[FECHA]])&amp;"-"&amp;MONTH(Datos_Consumo[[#This Row],[FECHA]])</f>
        <v>2016-10</v>
      </c>
    </row>
    <row r="334" spans="1:4" x14ac:dyDescent="0.25">
      <c r="A334" t="s">
        <v>1392</v>
      </c>
      <c r="B334">
        <v>80</v>
      </c>
      <c r="C334" s="56">
        <v>42675</v>
      </c>
      <c r="D334" s="3" t="str">
        <f>YEAR(Datos_Consumo[[#This Row],[FECHA]])&amp;"-"&amp;MONTH(Datos_Consumo[[#This Row],[FECHA]])</f>
        <v>2016-11</v>
      </c>
    </row>
    <row r="335" spans="1:4" x14ac:dyDescent="0.25">
      <c r="A335" t="s">
        <v>1392</v>
      </c>
      <c r="B335">
        <v>25</v>
      </c>
      <c r="C335" s="56">
        <v>42705</v>
      </c>
      <c r="D335" s="3" t="str">
        <f>YEAR(Datos_Consumo[[#This Row],[FECHA]])&amp;"-"&amp;MONTH(Datos_Consumo[[#This Row],[FECHA]])</f>
        <v>2016-12</v>
      </c>
    </row>
    <row r="336" spans="1:4" x14ac:dyDescent="0.25">
      <c r="A336" t="s">
        <v>1392</v>
      </c>
      <c r="B336">
        <v>115</v>
      </c>
      <c r="C336" s="56">
        <v>42736</v>
      </c>
      <c r="D336" s="3" t="str">
        <f>YEAR(Datos_Consumo[[#This Row],[FECHA]])&amp;"-"&amp;MONTH(Datos_Consumo[[#This Row],[FECHA]])</f>
        <v>2017-1</v>
      </c>
    </row>
    <row r="337" spans="1:4" x14ac:dyDescent="0.25">
      <c r="A337" t="s">
        <v>1472</v>
      </c>
      <c r="B337">
        <v>1</v>
      </c>
      <c r="C337" s="56">
        <v>42644</v>
      </c>
      <c r="D337" s="3" t="str">
        <f>YEAR(Datos_Consumo[[#This Row],[FECHA]])&amp;"-"&amp;MONTH(Datos_Consumo[[#This Row],[FECHA]])</f>
        <v>2016-10</v>
      </c>
    </row>
    <row r="338" spans="1:4" x14ac:dyDescent="0.25">
      <c r="A338" t="s">
        <v>1473</v>
      </c>
      <c r="B338">
        <v>5</v>
      </c>
      <c r="C338" s="56">
        <v>42614</v>
      </c>
      <c r="D338" s="3" t="str">
        <f>YEAR(Datos_Consumo[[#This Row],[FECHA]])&amp;"-"&amp;MONTH(Datos_Consumo[[#This Row],[FECHA]])</f>
        <v>2016-9</v>
      </c>
    </row>
    <row r="339" spans="1:4" x14ac:dyDescent="0.25">
      <c r="A339" t="s">
        <v>1473</v>
      </c>
      <c r="B339">
        <v>1</v>
      </c>
      <c r="C339" s="56">
        <v>42644</v>
      </c>
      <c r="D339" s="3" t="str">
        <f>YEAR(Datos_Consumo[[#This Row],[FECHA]])&amp;"-"&amp;MONTH(Datos_Consumo[[#This Row],[FECHA]])</f>
        <v>2016-10</v>
      </c>
    </row>
    <row r="340" spans="1:4" x14ac:dyDescent="0.25">
      <c r="A340" t="s">
        <v>1473</v>
      </c>
      <c r="B340">
        <v>5</v>
      </c>
      <c r="C340" s="56">
        <v>42736</v>
      </c>
      <c r="D340" s="3" t="str">
        <f>YEAR(Datos_Consumo[[#This Row],[FECHA]])&amp;"-"&amp;MONTH(Datos_Consumo[[#This Row],[FECHA]])</f>
        <v>2017-1</v>
      </c>
    </row>
    <row r="341" spans="1:4" x14ac:dyDescent="0.25">
      <c r="A341" t="s">
        <v>1474</v>
      </c>
      <c r="B341">
        <v>20</v>
      </c>
      <c r="C341" s="56">
        <v>42644</v>
      </c>
      <c r="D341" s="3" t="str">
        <f>YEAR(Datos_Consumo[[#This Row],[FECHA]])&amp;"-"&amp;MONTH(Datos_Consumo[[#This Row],[FECHA]])</f>
        <v>2016-10</v>
      </c>
    </row>
    <row r="342" spans="1:4" x14ac:dyDescent="0.25">
      <c r="A342" t="s">
        <v>1474</v>
      </c>
      <c r="B342">
        <v>2</v>
      </c>
      <c r="C342" s="56">
        <v>42736</v>
      </c>
      <c r="D342" s="3" t="str">
        <f>YEAR(Datos_Consumo[[#This Row],[FECHA]])&amp;"-"&amp;MONTH(Datos_Consumo[[#This Row],[FECHA]])</f>
        <v>2017-1</v>
      </c>
    </row>
    <row r="343" spans="1:4" x14ac:dyDescent="0.25">
      <c r="A343" t="s">
        <v>1475</v>
      </c>
      <c r="B343">
        <v>17</v>
      </c>
      <c r="C343" s="56">
        <v>42614</v>
      </c>
      <c r="D343" s="3" t="str">
        <f>YEAR(Datos_Consumo[[#This Row],[FECHA]])&amp;"-"&amp;MONTH(Datos_Consumo[[#This Row],[FECHA]])</f>
        <v>2016-9</v>
      </c>
    </row>
    <row r="344" spans="1:4" x14ac:dyDescent="0.25">
      <c r="A344" t="s">
        <v>1475</v>
      </c>
      <c r="B344">
        <v>1</v>
      </c>
      <c r="C344" s="56">
        <v>42644</v>
      </c>
      <c r="D344" s="3" t="str">
        <f>YEAR(Datos_Consumo[[#This Row],[FECHA]])&amp;"-"&amp;MONTH(Datos_Consumo[[#This Row],[FECHA]])</f>
        <v>2016-10</v>
      </c>
    </row>
    <row r="345" spans="1:4" x14ac:dyDescent="0.25">
      <c r="A345" t="s">
        <v>1475</v>
      </c>
      <c r="B345">
        <v>9</v>
      </c>
      <c r="C345" s="56">
        <v>42736</v>
      </c>
      <c r="D345" s="3" t="str">
        <f>YEAR(Datos_Consumo[[#This Row],[FECHA]])&amp;"-"&amp;MONTH(Datos_Consumo[[#This Row],[FECHA]])</f>
        <v>2017-1</v>
      </c>
    </row>
    <row r="346" spans="1:4" x14ac:dyDescent="0.25">
      <c r="A346" t="s">
        <v>1783</v>
      </c>
      <c r="B346">
        <v>4</v>
      </c>
      <c r="C346" s="56">
        <v>42614</v>
      </c>
      <c r="D346" s="3" t="str">
        <f>YEAR(Datos_Consumo[[#This Row],[FECHA]])&amp;"-"&amp;MONTH(Datos_Consumo[[#This Row],[FECHA]])</f>
        <v>2016-9</v>
      </c>
    </row>
    <row r="347" spans="1:4" x14ac:dyDescent="0.25">
      <c r="A347" t="s">
        <v>1784</v>
      </c>
      <c r="B347">
        <v>1</v>
      </c>
      <c r="C347" s="56">
        <v>42736</v>
      </c>
      <c r="D347" s="3" t="str">
        <f>YEAR(Datos_Consumo[[#This Row],[FECHA]])&amp;"-"&amp;MONTH(Datos_Consumo[[#This Row],[FECHA]])</f>
        <v>2017-1</v>
      </c>
    </row>
    <row r="348" spans="1:4" x14ac:dyDescent="0.25">
      <c r="A348" t="s">
        <v>1785</v>
      </c>
      <c r="B348">
        <v>7</v>
      </c>
      <c r="C348" s="56">
        <v>42614</v>
      </c>
      <c r="D348" s="3" t="str">
        <f>YEAR(Datos_Consumo[[#This Row],[FECHA]])&amp;"-"&amp;MONTH(Datos_Consumo[[#This Row],[FECHA]])</f>
        <v>2016-9</v>
      </c>
    </row>
    <row r="349" spans="1:4" x14ac:dyDescent="0.25">
      <c r="A349" t="s">
        <v>1786</v>
      </c>
      <c r="B349">
        <v>1</v>
      </c>
      <c r="C349" s="56">
        <v>42644</v>
      </c>
      <c r="D349" s="3" t="str">
        <f>YEAR(Datos_Consumo[[#This Row],[FECHA]])&amp;"-"&amp;MONTH(Datos_Consumo[[#This Row],[FECHA]])</f>
        <v>2016-10</v>
      </c>
    </row>
    <row r="350" spans="1:4" x14ac:dyDescent="0.25">
      <c r="A350" t="s">
        <v>1786</v>
      </c>
      <c r="B350">
        <v>1</v>
      </c>
      <c r="C350" s="56">
        <v>42675</v>
      </c>
      <c r="D350" s="3" t="str">
        <f>YEAR(Datos_Consumo[[#This Row],[FECHA]])&amp;"-"&amp;MONTH(Datos_Consumo[[#This Row],[FECHA]])</f>
        <v>2016-11</v>
      </c>
    </row>
    <row r="351" spans="1:4" x14ac:dyDescent="0.25">
      <c r="A351" t="s">
        <v>1787</v>
      </c>
      <c r="B351">
        <v>80</v>
      </c>
      <c r="C351" s="56">
        <v>42614</v>
      </c>
      <c r="D351" s="3" t="str">
        <f>YEAR(Datos_Consumo[[#This Row],[FECHA]])&amp;"-"&amp;MONTH(Datos_Consumo[[#This Row],[FECHA]])</f>
        <v>2016-9</v>
      </c>
    </row>
    <row r="352" spans="1:4" x14ac:dyDescent="0.25">
      <c r="A352" t="s">
        <v>1787</v>
      </c>
      <c r="B352">
        <v>144</v>
      </c>
      <c r="C352" s="56">
        <v>42644</v>
      </c>
      <c r="D352" s="3" t="str">
        <f>YEAR(Datos_Consumo[[#This Row],[FECHA]])&amp;"-"&amp;MONTH(Datos_Consumo[[#This Row],[FECHA]])</f>
        <v>2016-10</v>
      </c>
    </row>
    <row r="353" spans="1:4" x14ac:dyDescent="0.25">
      <c r="A353" t="s">
        <v>1788</v>
      </c>
      <c r="B353">
        <v>3</v>
      </c>
      <c r="C353" s="56">
        <v>42644</v>
      </c>
      <c r="D353" s="3" t="str">
        <f>YEAR(Datos_Consumo[[#This Row],[FECHA]])&amp;"-"&amp;MONTH(Datos_Consumo[[#This Row],[FECHA]])</f>
        <v>2016-10</v>
      </c>
    </row>
    <row r="354" spans="1:4" x14ac:dyDescent="0.25">
      <c r="A354" t="s">
        <v>1789</v>
      </c>
      <c r="B354">
        <v>426</v>
      </c>
      <c r="C354" s="56">
        <v>42614</v>
      </c>
      <c r="D354" s="3" t="str">
        <f>YEAR(Datos_Consumo[[#This Row],[FECHA]])&amp;"-"&amp;MONTH(Datos_Consumo[[#This Row],[FECHA]])</f>
        <v>2016-9</v>
      </c>
    </row>
    <row r="355" spans="1:4" x14ac:dyDescent="0.25">
      <c r="A355" t="s">
        <v>1789</v>
      </c>
      <c r="B355">
        <v>10</v>
      </c>
      <c r="C355" s="56">
        <v>42644</v>
      </c>
      <c r="D355" s="3" t="str">
        <f>YEAR(Datos_Consumo[[#This Row],[FECHA]])&amp;"-"&amp;MONTH(Datos_Consumo[[#This Row],[FECHA]])</f>
        <v>2016-10</v>
      </c>
    </row>
    <row r="356" spans="1:4" x14ac:dyDescent="0.25">
      <c r="A356" t="s">
        <v>1789</v>
      </c>
      <c r="B356">
        <v>500</v>
      </c>
      <c r="C356" s="56">
        <v>42675</v>
      </c>
      <c r="D356" s="3" t="str">
        <f>YEAR(Datos_Consumo[[#This Row],[FECHA]])&amp;"-"&amp;MONTH(Datos_Consumo[[#This Row],[FECHA]])</f>
        <v>2016-11</v>
      </c>
    </row>
    <row r="357" spans="1:4" x14ac:dyDescent="0.25">
      <c r="A357" t="s">
        <v>1789</v>
      </c>
      <c r="B357">
        <v>10</v>
      </c>
      <c r="C357" s="56">
        <v>42705</v>
      </c>
      <c r="D357" s="3" t="str">
        <f>YEAR(Datos_Consumo[[#This Row],[FECHA]])&amp;"-"&amp;MONTH(Datos_Consumo[[#This Row],[FECHA]])</f>
        <v>2016-12</v>
      </c>
    </row>
    <row r="358" spans="1:4" x14ac:dyDescent="0.25">
      <c r="A358" t="s">
        <v>1725</v>
      </c>
      <c r="B358">
        <v>84</v>
      </c>
      <c r="C358" s="56">
        <v>42614</v>
      </c>
      <c r="D358" s="3" t="str">
        <f>YEAR(Datos_Consumo[[#This Row],[FECHA]])&amp;"-"&amp;MONTH(Datos_Consumo[[#This Row],[FECHA]])</f>
        <v>2016-9</v>
      </c>
    </row>
    <row r="359" spans="1:4" x14ac:dyDescent="0.25">
      <c r="A359" t="s">
        <v>1725</v>
      </c>
      <c r="B359">
        <v>36</v>
      </c>
      <c r="C359" s="56">
        <v>42644</v>
      </c>
      <c r="D359" s="3" t="str">
        <f>YEAR(Datos_Consumo[[#This Row],[FECHA]])&amp;"-"&amp;MONTH(Datos_Consumo[[#This Row],[FECHA]])</f>
        <v>2016-10</v>
      </c>
    </row>
    <row r="360" spans="1:4" x14ac:dyDescent="0.25">
      <c r="A360" t="s">
        <v>1725</v>
      </c>
      <c r="B360">
        <v>54</v>
      </c>
      <c r="C360" s="56">
        <v>42675</v>
      </c>
      <c r="D360" s="3" t="str">
        <f>YEAR(Datos_Consumo[[#This Row],[FECHA]])&amp;"-"&amp;MONTH(Datos_Consumo[[#This Row],[FECHA]])</f>
        <v>2016-11</v>
      </c>
    </row>
    <row r="361" spans="1:4" x14ac:dyDescent="0.25">
      <c r="A361" t="s">
        <v>1725</v>
      </c>
      <c r="B361">
        <v>119</v>
      </c>
      <c r="C361" s="56">
        <v>42705</v>
      </c>
      <c r="D361" s="3" t="str">
        <f>YEAR(Datos_Consumo[[#This Row],[FECHA]])&amp;"-"&amp;MONTH(Datos_Consumo[[#This Row],[FECHA]])</f>
        <v>2016-12</v>
      </c>
    </row>
    <row r="362" spans="1:4" x14ac:dyDescent="0.25">
      <c r="A362" t="s">
        <v>1725</v>
      </c>
      <c r="B362">
        <v>48</v>
      </c>
      <c r="C362" s="56">
        <v>42736</v>
      </c>
      <c r="D362" s="3" t="str">
        <f>YEAR(Datos_Consumo[[#This Row],[FECHA]])&amp;"-"&amp;MONTH(Datos_Consumo[[#This Row],[FECHA]])</f>
        <v>2017-1</v>
      </c>
    </row>
    <row r="363" spans="1:4" x14ac:dyDescent="0.25">
      <c r="A363" t="s">
        <v>1726</v>
      </c>
      <c r="B363">
        <v>108</v>
      </c>
      <c r="C363" s="56">
        <v>42614</v>
      </c>
      <c r="D363" s="3" t="str">
        <f>YEAR(Datos_Consumo[[#This Row],[FECHA]])&amp;"-"&amp;MONTH(Datos_Consumo[[#This Row],[FECHA]])</f>
        <v>2016-9</v>
      </c>
    </row>
    <row r="364" spans="1:4" x14ac:dyDescent="0.25">
      <c r="A364" t="s">
        <v>1726</v>
      </c>
      <c r="B364">
        <v>164</v>
      </c>
      <c r="C364" s="56">
        <v>42644</v>
      </c>
      <c r="D364" s="3" t="str">
        <f>YEAR(Datos_Consumo[[#This Row],[FECHA]])&amp;"-"&amp;MONTH(Datos_Consumo[[#This Row],[FECHA]])</f>
        <v>2016-10</v>
      </c>
    </row>
    <row r="365" spans="1:4" x14ac:dyDescent="0.25">
      <c r="A365" t="s">
        <v>1726</v>
      </c>
      <c r="B365">
        <v>654</v>
      </c>
      <c r="C365" s="56">
        <v>42675</v>
      </c>
      <c r="D365" s="3" t="str">
        <f>YEAR(Datos_Consumo[[#This Row],[FECHA]])&amp;"-"&amp;MONTH(Datos_Consumo[[#This Row],[FECHA]])</f>
        <v>2016-11</v>
      </c>
    </row>
    <row r="366" spans="1:4" x14ac:dyDescent="0.25">
      <c r="A366" t="s">
        <v>1726</v>
      </c>
      <c r="B366">
        <v>75</v>
      </c>
      <c r="C366" s="56">
        <v>42705</v>
      </c>
      <c r="D366" s="3" t="str">
        <f>YEAR(Datos_Consumo[[#This Row],[FECHA]])&amp;"-"&amp;MONTH(Datos_Consumo[[#This Row],[FECHA]])</f>
        <v>2016-12</v>
      </c>
    </row>
    <row r="367" spans="1:4" x14ac:dyDescent="0.25">
      <c r="A367" t="s">
        <v>1726</v>
      </c>
      <c r="B367">
        <v>192</v>
      </c>
      <c r="C367" s="56">
        <v>42736</v>
      </c>
      <c r="D367" s="3" t="str">
        <f>YEAR(Datos_Consumo[[#This Row],[FECHA]])&amp;"-"&amp;MONTH(Datos_Consumo[[#This Row],[FECHA]])</f>
        <v>2017-1</v>
      </c>
    </row>
    <row r="368" spans="1:4" x14ac:dyDescent="0.25">
      <c r="A368" t="s">
        <v>1790</v>
      </c>
      <c r="B368">
        <v>8</v>
      </c>
      <c r="C368" s="56">
        <v>42614</v>
      </c>
      <c r="D368" s="3" t="str">
        <f>YEAR(Datos_Consumo[[#This Row],[FECHA]])&amp;"-"&amp;MONTH(Datos_Consumo[[#This Row],[FECHA]])</f>
        <v>2016-9</v>
      </c>
    </row>
    <row r="369" spans="1:4" x14ac:dyDescent="0.25">
      <c r="A369" t="s">
        <v>1791</v>
      </c>
      <c r="B369">
        <v>722</v>
      </c>
      <c r="C369" s="56">
        <v>42614</v>
      </c>
      <c r="D369" s="3" t="str">
        <f>YEAR(Datos_Consumo[[#This Row],[FECHA]])&amp;"-"&amp;MONTH(Datos_Consumo[[#This Row],[FECHA]])</f>
        <v>2016-9</v>
      </c>
    </row>
    <row r="370" spans="1:4" x14ac:dyDescent="0.25">
      <c r="A370" t="s">
        <v>1791</v>
      </c>
      <c r="B370">
        <v>722</v>
      </c>
      <c r="C370" s="56">
        <v>42644</v>
      </c>
      <c r="D370" s="3" t="str">
        <f>YEAR(Datos_Consumo[[#This Row],[FECHA]])&amp;"-"&amp;MONTH(Datos_Consumo[[#This Row],[FECHA]])</f>
        <v>2016-10</v>
      </c>
    </row>
    <row r="371" spans="1:4" x14ac:dyDescent="0.25">
      <c r="A371" t="s">
        <v>1791</v>
      </c>
      <c r="B371">
        <v>516</v>
      </c>
      <c r="C371" s="56">
        <v>42675</v>
      </c>
      <c r="D371" s="3" t="str">
        <f>YEAR(Datos_Consumo[[#This Row],[FECHA]])&amp;"-"&amp;MONTH(Datos_Consumo[[#This Row],[FECHA]])</f>
        <v>2016-11</v>
      </c>
    </row>
    <row r="372" spans="1:4" x14ac:dyDescent="0.25">
      <c r="A372" t="s">
        <v>1791</v>
      </c>
      <c r="B372">
        <v>508</v>
      </c>
      <c r="C372" s="56">
        <v>42705</v>
      </c>
      <c r="D372" s="3" t="str">
        <f>YEAR(Datos_Consumo[[#This Row],[FECHA]])&amp;"-"&amp;MONTH(Datos_Consumo[[#This Row],[FECHA]])</f>
        <v>2016-12</v>
      </c>
    </row>
    <row r="373" spans="1:4" x14ac:dyDescent="0.25">
      <c r="A373" t="s">
        <v>1791</v>
      </c>
      <c r="B373">
        <v>515</v>
      </c>
      <c r="C373" s="56">
        <v>42736</v>
      </c>
      <c r="D373" s="3" t="str">
        <f>YEAR(Datos_Consumo[[#This Row],[FECHA]])&amp;"-"&amp;MONTH(Datos_Consumo[[#This Row],[FECHA]])</f>
        <v>2017-1</v>
      </c>
    </row>
    <row r="374" spans="1:4" x14ac:dyDescent="0.25">
      <c r="A374" t="s">
        <v>1792</v>
      </c>
      <c r="B374">
        <v>1</v>
      </c>
      <c r="C374" s="56">
        <v>42614</v>
      </c>
      <c r="D374" s="3" t="str">
        <f>YEAR(Datos_Consumo[[#This Row],[FECHA]])&amp;"-"&amp;MONTH(Datos_Consumo[[#This Row],[FECHA]])</f>
        <v>2016-9</v>
      </c>
    </row>
    <row r="375" spans="1:4" x14ac:dyDescent="0.25">
      <c r="A375" t="s">
        <v>1793</v>
      </c>
      <c r="B375">
        <v>104</v>
      </c>
      <c r="C375" s="56">
        <v>42614</v>
      </c>
      <c r="D375" s="3" t="str">
        <f>YEAR(Datos_Consumo[[#This Row],[FECHA]])&amp;"-"&amp;MONTH(Datos_Consumo[[#This Row],[FECHA]])</f>
        <v>2016-9</v>
      </c>
    </row>
    <row r="376" spans="1:4" x14ac:dyDescent="0.25">
      <c r="A376" t="s">
        <v>1793</v>
      </c>
      <c r="B376">
        <v>102</v>
      </c>
      <c r="C376" s="56">
        <v>42675</v>
      </c>
      <c r="D376" s="3" t="str">
        <f>YEAR(Datos_Consumo[[#This Row],[FECHA]])&amp;"-"&amp;MONTH(Datos_Consumo[[#This Row],[FECHA]])</f>
        <v>2016-11</v>
      </c>
    </row>
    <row r="377" spans="1:4" x14ac:dyDescent="0.25">
      <c r="A377" t="s">
        <v>1793</v>
      </c>
      <c r="B377">
        <v>100</v>
      </c>
      <c r="C377" s="56">
        <v>42736</v>
      </c>
      <c r="D377" s="3" t="str">
        <f>YEAR(Datos_Consumo[[#This Row],[FECHA]])&amp;"-"&amp;MONTH(Datos_Consumo[[#This Row],[FECHA]])</f>
        <v>2017-1</v>
      </c>
    </row>
    <row r="378" spans="1:4" x14ac:dyDescent="0.25">
      <c r="A378" t="s">
        <v>1794</v>
      </c>
      <c r="B378">
        <v>2070</v>
      </c>
      <c r="C378" s="56">
        <v>42614</v>
      </c>
      <c r="D378" s="3" t="str">
        <f>YEAR(Datos_Consumo[[#This Row],[FECHA]])&amp;"-"&amp;MONTH(Datos_Consumo[[#This Row],[FECHA]])</f>
        <v>2016-9</v>
      </c>
    </row>
    <row r="379" spans="1:4" x14ac:dyDescent="0.25">
      <c r="A379" t="s">
        <v>1794</v>
      </c>
      <c r="B379">
        <v>2009</v>
      </c>
      <c r="C379" s="56">
        <v>42644</v>
      </c>
      <c r="D379" s="3" t="str">
        <f>YEAR(Datos_Consumo[[#This Row],[FECHA]])&amp;"-"&amp;MONTH(Datos_Consumo[[#This Row],[FECHA]])</f>
        <v>2016-10</v>
      </c>
    </row>
    <row r="380" spans="1:4" x14ac:dyDescent="0.25">
      <c r="A380" t="s">
        <v>1794</v>
      </c>
      <c r="B380">
        <v>2620</v>
      </c>
      <c r="C380" s="56">
        <v>42675</v>
      </c>
      <c r="D380" s="3" t="str">
        <f>YEAR(Datos_Consumo[[#This Row],[FECHA]])&amp;"-"&amp;MONTH(Datos_Consumo[[#This Row],[FECHA]])</f>
        <v>2016-11</v>
      </c>
    </row>
    <row r="381" spans="1:4" x14ac:dyDescent="0.25">
      <c r="A381" t="s">
        <v>1794</v>
      </c>
      <c r="B381">
        <v>2000</v>
      </c>
      <c r="C381" s="56">
        <v>42705</v>
      </c>
      <c r="D381" s="3" t="str">
        <f>YEAR(Datos_Consumo[[#This Row],[FECHA]])&amp;"-"&amp;MONTH(Datos_Consumo[[#This Row],[FECHA]])</f>
        <v>2016-12</v>
      </c>
    </row>
    <row r="382" spans="1:4" x14ac:dyDescent="0.25">
      <c r="A382" t="s">
        <v>1794</v>
      </c>
      <c r="B382">
        <v>2019</v>
      </c>
      <c r="C382" s="56">
        <v>42736</v>
      </c>
      <c r="D382" s="3" t="str">
        <f>YEAR(Datos_Consumo[[#This Row],[FECHA]])&amp;"-"&amp;MONTH(Datos_Consumo[[#This Row],[FECHA]])</f>
        <v>2017-1</v>
      </c>
    </row>
    <row r="383" spans="1:4" x14ac:dyDescent="0.25">
      <c r="A383" t="s">
        <v>1795</v>
      </c>
      <c r="B383">
        <v>1</v>
      </c>
      <c r="C383" s="56">
        <v>42614</v>
      </c>
      <c r="D383" s="3" t="str">
        <f>YEAR(Datos_Consumo[[#This Row],[FECHA]])&amp;"-"&amp;MONTH(Datos_Consumo[[#This Row],[FECHA]])</f>
        <v>2016-9</v>
      </c>
    </row>
    <row r="384" spans="1:4" x14ac:dyDescent="0.25">
      <c r="A384" t="s">
        <v>1795</v>
      </c>
      <c r="B384">
        <v>1</v>
      </c>
      <c r="C384" s="56">
        <v>42644</v>
      </c>
      <c r="D384" s="3" t="str">
        <f>YEAR(Datos_Consumo[[#This Row],[FECHA]])&amp;"-"&amp;MONTH(Datos_Consumo[[#This Row],[FECHA]])</f>
        <v>2016-10</v>
      </c>
    </row>
    <row r="385" spans="1:4" x14ac:dyDescent="0.25">
      <c r="A385" t="s">
        <v>1795</v>
      </c>
      <c r="B385">
        <v>2</v>
      </c>
      <c r="C385" s="56">
        <v>42675</v>
      </c>
      <c r="D385" s="3" t="str">
        <f>YEAR(Datos_Consumo[[#This Row],[FECHA]])&amp;"-"&amp;MONTH(Datos_Consumo[[#This Row],[FECHA]])</f>
        <v>2016-11</v>
      </c>
    </row>
    <row r="386" spans="1:4" x14ac:dyDescent="0.25">
      <c r="A386" t="s">
        <v>1796</v>
      </c>
      <c r="B386">
        <v>12</v>
      </c>
      <c r="C386" s="56">
        <v>42736</v>
      </c>
      <c r="D386" s="3" t="str">
        <f>YEAR(Datos_Consumo[[#This Row],[FECHA]])&amp;"-"&amp;MONTH(Datos_Consumo[[#This Row],[FECHA]])</f>
        <v>2017-1</v>
      </c>
    </row>
    <row r="387" spans="1:4" x14ac:dyDescent="0.25">
      <c r="A387" t="s">
        <v>1797</v>
      </c>
      <c r="B387">
        <v>12</v>
      </c>
      <c r="C387" s="56">
        <v>42614</v>
      </c>
      <c r="D387" s="3" t="str">
        <f>YEAR(Datos_Consumo[[#This Row],[FECHA]])&amp;"-"&amp;MONTH(Datos_Consumo[[#This Row],[FECHA]])</f>
        <v>2016-9</v>
      </c>
    </row>
    <row r="388" spans="1:4" x14ac:dyDescent="0.25">
      <c r="A388" t="s">
        <v>1797</v>
      </c>
      <c r="B388">
        <v>6</v>
      </c>
      <c r="C388" s="56">
        <v>42644</v>
      </c>
      <c r="D388" s="3" t="str">
        <f>YEAR(Datos_Consumo[[#This Row],[FECHA]])&amp;"-"&amp;MONTH(Datos_Consumo[[#This Row],[FECHA]])</f>
        <v>2016-10</v>
      </c>
    </row>
    <row r="389" spans="1:4" x14ac:dyDescent="0.25">
      <c r="A389" t="s">
        <v>1797</v>
      </c>
      <c r="B389">
        <v>24</v>
      </c>
      <c r="C389" s="56">
        <v>42705</v>
      </c>
      <c r="D389" s="3" t="str">
        <f>YEAR(Datos_Consumo[[#This Row],[FECHA]])&amp;"-"&amp;MONTH(Datos_Consumo[[#This Row],[FECHA]])</f>
        <v>2016-12</v>
      </c>
    </row>
    <row r="390" spans="1:4" x14ac:dyDescent="0.25">
      <c r="A390" t="s">
        <v>1798</v>
      </c>
      <c r="B390">
        <v>1</v>
      </c>
      <c r="C390" s="56">
        <v>42644</v>
      </c>
      <c r="D390" s="3" t="str">
        <f>YEAR(Datos_Consumo[[#This Row],[FECHA]])&amp;"-"&amp;MONTH(Datos_Consumo[[#This Row],[FECHA]])</f>
        <v>2016-10</v>
      </c>
    </row>
    <row r="391" spans="1:4" x14ac:dyDescent="0.25">
      <c r="A391" t="s">
        <v>1798</v>
      </c>
      <c r="B391">
        <v>1</v>
      </c>
      <c r="C391" s="56">
        <v>42705</v>
      </c>
      <c r="D391" s="3" t="str">
        <f>YEAR(Datos_Consumo[[#This Row],[FECHA]])&amp;"-"&amp;MONTH(Datos_Consumo[[#This Row],[FECHA]])</f>
        <v>2016-12</v>
      </c>
    </row>
    <row r="392" spans="1:4" x14ac:dyDescent="0.25">
      <c r="A392" t="s">
        <v>1727</v>
      </c>
      <c r="B392">
        <v>300</v>
      </c>
      <c r="C392" s="56">
        <v>42614</v>
      </c>
      <c r="D392" s="3" t="str">
        <f>YEAR(Datos_Consumo[[#This Row],[FECHA]])&amp;"-"&amp;MONTH(Datos_Consumo[[#This Row],[FECHA]])</f>
        <v>2016-9</v>
      </c>
    </row>
    <row r="393" spans="1:4" x14ac:dyDescent="0.25">
      <c r="A393" t="s">
        <v>1727</v>
      </c>
      <c r="B393">
        <v>429</v>
      </c>
      <c r="C393" s="56">
        <v>42675</v>
      </c>
      <c r="D393" s="3" t="str">
        <f>YEAR(Datos_Consumo[[#This Row],[FECHA]])&amp;"-"&amp;MONTH(Datos_Consumo[[#This Row],[FECHA]])</f>
        <v>2016-11</v>
      </c>
    </row>
    <row r="394" spans="1:4" x14ac:dyDescent="0.25">
      <c r="A394" t="s">
        <v>1727</v>
      </c>
      <c r="B394">
        <v>360</v>
      </c>
      <c r="C394" s="56">
        <v>42705</v>
      </c>
      <c r="D394" s="3" t="str">
        <f>YEAR(Datos_Consumo[[#This Row],[FECHA]])&amp;"-"&amp;MONTH(Datos_Consumo[[#This Row],[FECHA]])</f>
        <v>2016-12</v>
      </c>
    </row>
    <row r="395" spans="1:4" x14ac:dyDescent="0.25">
      <c r="A395" t="s">
        <v>1727</v>
      </c>
      <c r="B395">
        <v>81</v>
      </c>
      <c r="C395" s="56">
        <v>42736</v>
      </c>
      <c r="D395" s="3" t="str">
        <f>YEAR(Datos_Consumo[[#This Row],[FECHA]])&amp;"-"&amp;MONTH(Datos_Consumo[[#This Row],[FECHA]])</f>
        <v>2017-1</v>
      </c>
    </row>
    <row r="396" spans="1:4" x14ac:dyDescent="0.25">
      <c r="A396" t="s">
        <v>1799</v>
      </c>
      <c r="B396">
        <v>12</v>
      </c>
      <c r="C396" s="56">
        <v>42705</v>
      </c>
      <c r="D396" s="3" t="str">
        <f>YEAR(Datos_Consumo[[#This Row],[FECHA]])&amp;"-"&amp;MONTH(Datos_Consumo[[#This Row],[FECHA]])</f>
        <v>2016-12</v>
      </c>
    </row>
    <row r="397" spans="1:4" x14ac:dyDescent="0.25">
      <c r="A397" t="s">
        <v>1800</v>
      </c>
      <c r="B397">
        <v>5</v>
      </c>
      <c r="C397" s="56">
        <v>42675</v>
      </c>
      <c r="D397" s="3" t="str">
        <f>YEAR(Datos_Consumo[[#This Row],[FECHA]])&amp;"-"&amp;MONTH(Datos_Consumo[[#This Row],[FECHA]])</f>
        <v>2016-11</v>
      </c>
    </row>
    <row r="398" spans="1:4" x14ac:dyDescent="0.25">
      <c r="A398" t="s">
        <v>1801</v>
      </c>
      <c r="B398">
        <v>15</v>
      </c>
      <c r="C398" s="56">
        <v>42644</v>
      </c>
      <c r="D398" s="3" t="str">
        <f>YEAR(Datos_Consumo[[#This Row],[FECHA]])&amp;"-"&amp;MONTH(Datos_Consumo[[#This Row],[FECHA]])</f>
        <v>2016-10</v>
      </c>
    </row>
    <row r="399" spans="1:4" x14ac:dyDescent="0.25">
      <c r="A399" t="s">
        <v>1802</v>
      </c>
      <c r="B399">
        <v>15</v>
      </c>
      <c r="C399" s="56">
        <v>42644</v>
      </c>
      <c r="D399" s="3" t="str">
        <f>YEAR(Datos_Consumo[[#This Row],[FECHA]])&amp;"-"&amp;MONTH(Datos_Consumo[[#This Row],[FECHA]])</f>
        <v>2016-10</v>
      </c>
    </row>
    <row r="400" spans="1:4" x14ac:dyDescent="0.25">
      <c r="A400" t="s">
        <v>1803</v>
      </c>
      <c r="B400">
        <v>6</v>
      </c>
      <c r="C400" s="56">
        <v>42614</v>
      </c>
      <c r="D400" s="3" t="str">
        <f>YEAR(Datos_Consumo[[#This Row],[FECHA]])&amp;"-"&amp;MONTH(Datos_Consumo[[#This Row],[FECHA]])</f>
        <v>2016-9</v>
      </c>
    </row>
    <row r="401" spans="1:4" x14ac:dyDescent="0.25">
      <c r="A401" t="s">
        <v>1803</v>
      </c>
      <c r="B401">
        <v>20</v>
      </c>
      <c r="C401" s="56">
        <v>42705</v>
      </c>
      <c r="D401" s="3" t="str">
        <f>YEAR(Datos_Consumo[[#This Row],[FECHA]])&amp;"-"&amp;MONTH(Datos_Consumo[[#This Row],[FECHA]])</f>
        <v>2016-12</v>
      </c>
    </row>
    <row r="402" spans="1:4" x14ac:dyDescent="0.25">
      <c r="A402" t="s">
        <v>1803</v>
      </c>
      <c r="B402">
        <v>5</v>
      </c>
      <c r="C402" s="56">
        <v>42736</v>
      </c>
      <c r="D402" s="3" t="str">
        <f>YEAR(Datos_Consumo[[#This Row],[FECHA]])&amp;"-"&amp;MONTH(Datos_Consumo[[#This Row],[FECHA]])</f>
        <v>2017-1</v>
      </c>
    </row>
    <row r="403" spans="1:4" x14ac:dyDescent="0.25">
      <c r="A403" t="s">
        <v>1804</v>
      </c>
      <c r="B403">
        <v>17</v>
      </c>
      <c r="C403" s="56">
        <v>42614</v>
      </c>
      <c r="D403" s="3" t="str">
        <f>YEAR(Datos_Consumo[[#This Row],[FECHA]])&amp;"-"&amp;MONTH(Datos_Consumo[[#This Row],[FECHA]])</f>
        <v>2016-9</v>
      </c>
    </row>
    <row r="404" spans="1:4" x14ac:dyDescent="0.25">
      <c r="A404" t="s">
        <v>1804</v>
      </c>
      <c r="B404">
        <v>16</v>
      </c>
      <c r="C404" s="56">
        <v>42644</v>
      </c>
      <c r="D404" s="3" t="str">
        <f>YEAR(Datos_Consumo[[#This Row],[FECHA]])&amp;"-"&amp;MONTH(Datos_Consumo[[#This Row],[FECHA]])</f>
        <v>2016-10</v>
      </c>
    </row>
    <row r="405" spans="1:4" x14ac:dyDescent="0.25">
      <c r="A405" t="s">
        <v>1804</v>
      </c>
      <c r="B405">
        <v>162</v>
      </c>
      <c r="C405" s="56">
        <v>42675</v>
      </c>
      <c r="D405" s="3" t="str">
        <f>YEAR(Datos_Consumo[[#This Row],[FECHA]])&amp;"-"&amp;MONTH(Datos_Consumo[[#This Row],[FECHA]])</f>
        <v>2016-11</v>
      </c>
    </row>
    <row r="406" spans="1:4" x14ac:dyDescent="0.25">
      <c r="A406" t="s">
        <v>1804</v>
      </c>
      <c r="B406">
        <v>210</v>
      </c>
      <c r="C406" s="56">
        <v>42705</v>
      </c>
      <c r="D406" s="3" t="str">
        <f>YEAR(Datos_Consumo[[#This Row],[FECHA]])&amp;"-"&amp;MONTH(Datos_Consumo[[#This Row],[FECHA]])</f>
        <v>2016-12</v>
      </c>
    </row>
    <row r="407" spans="1:4" x14ac:dyDescent="0.25">
      <c r="A407" t="s">
        <v>1804</v>
      </c>
      <c r="B407">
        <v>28</v>
      </c>
      <c r="C407" s="56">
        <v>42736</v>
      </c>
      <c r="D407" s="3" t="str">
        <f>YEAR(Datos_Consumo[[#This Row],[FECHA]])&amp;"-"&amp;MONTH(Datos_Consumo[[#This Row],[FECHA]])</f>
        <v>2017-1</v>
      </c>
    </row>
    <row r="408" spans="1:4" x14ac:dyDescent="0.25">
      <c r="A408" t="s">
        <v>1805</v>
      </c>
      <c r="B408">
        <v>160</v>
      </c>
      <c r="C408" s="56">
        <v>42644</v>
      </c>
      <c r="D408" s="3" t="str">
        <f>YEAR(Datos_Consumo[[#This Row],[FECHA]])&amp;"-"&amp;MONTH(Datos_Consumo[[#This Row],[FECHA]])</f>
        <v>2016-10</v>
      </c>
    </row>
    <row r="409" spans="1:4" x14ac:dyDescent="0.25">
      <c r="A409" t="s">
        <v>1805</v>
      </c>
      <c r="B409">
        <v>120</v>
      </c>
      <c r="C409" s="56">
        <v>42736</v>
      </c>
      <c r="D409" s="3" t="str">
        <f>YEAR(Datos_Consumo[[#This Row],[FECHA]])&amp;"-"&amp;MONTH(Datos_Consumo[[#This Row],[FECHA]])</f>
        <v>2017-1</v>
      </c>
    </row>
    <row r="410" spans="1:4" x14ac:dyDescent="0.25">
      <c r="A410" t="s">
        <v>1806</v>
      </c>
      <c r="B410">
        <v>240</v>
      </c>
      <c r="C410" s="56">
        <v>42644</v>
      </c>
      <c r="D410" s="3" t="str">
        <f>YEAR(Datos_Consumo[[#This Row],[FECHA]])&amp;"-"&amp;MONTH(Datos_Consumo[[#This Row],[FECHA]])</f>
        <v>2016-10</v>
      </c>
    </row>
    <row r="411" spans="1:4" x14ac:dyDescent="0.25">
      <c r="A411" t="s">
        <v>1806</v>
      </c>
      <c r="B411">
        <v>160</v>
      </c>
      <c r="C411" s="56">
        <v>42705</v>
      </c>
      <c r="D411" s="3" t="str">
        <f>YEAR(Datos_Consumo[[#This Row],[FECHA]])&amp;"-"&amp;MONTH(Datos_Consumo[[#This Row],[FECHA]])</f>
        <v>2016-12</v>
      </c>
    </row>
    <row r="412" spans="1:4" x14ac:dyDescent="0.25">
      <c r="A412" t="s">
        <v>1807</v>
      </c>
      <c r="B412">
        <v>160</v>
      </c>
      <c r="C412" s="56">
        <v>42644</v>
      </c>
      <c r="D412" s="3" t="str">
        <f>YEAR(Datos_Consumo[[#This Row],[FECHA]])&amp;"-"&amp;MONTH(Datos_Consumo[[#This Row],[FECHA]])</f>
        <v>2016-10</v>
      </c>
    </row>
    <row r="413" spans="1:4" x14ac:dyDescent="0.25">
      <c r="A413" t="s">
        <v>1807</v>
      </c>
      <c r="B413">
        <v>160</v>
      </c>
      <c r="C413" s="56">
        <v>42705</v>
      </c>
      <c r="D413" s="3" t="str">
        <f>YEAR(Datos_Consumo[[#This Row],[FECHA]])&amp;"-"&amp;MONTH(Datos_Consumo[[#This Row],[FECHA]])</f>
        <v>2016-12</v>
      </c>
    </row>
    <row r="414" spans="1:4" x14ac:dyDescent="0.25">
      <c r="A414" t="s">
        <v>1808</v>
      </c>
      <c r="B414">
        <v>240</v>
      </c>
      <c r="C414" s="56">
        <v>42644</v>
      </c>
      <c r="D414" s="3" t="str">
        <f>YEAR(Datos_Consumo[[#This Row],[FECHA]])&amp;"-"&amp;MONTH(Datos_Consumo[[#This Row],[FECHA]])</f>
        <v>2016-10</v>
      </c>
    </row>
    <row r="415" spans="1:4" x14ac:dyDescent="0.25">
      <c r="A415" t="s">
        <v>1808</v>
      </c>
      <c r="B415">
        <v>160</v>
      </c>
      <c r="C415" s="56">
        <v>42736</v>
      </c>
      <c r="D415" s="3" t="str">
        <f>YEAR(Datos_Consumo[[#This Row],[FECHA]])&amp;"-"&amp;MONTH(Datos_Consumo[[#This Row],[FECHA]])</f>
        <v>2017-1</v>
      </c>
    </row>
    <row r="416" spans="1:4" x14ac:dyDescent="0.25">
      <c r="A416" t="s">
        <v>1809</v>
      </c>
      <c r="B416">
        <v>36</v>
      </c>
      <c r="C416" s="56">
        <v>42614</v>
      </c>
      <c r="D416" s="3" t="str">
        <f>YEAR(Datos_Consumo[[#This Row],[FECHA]])&amp;"-"&amp;MONTH(Datos_Consumo[[#This Row],[FECHA]])</f>
        <v>2016-9</v>
      </c>
    </row>
    <row r="417" spans="1:4" x14ac:dyDescent="0.25">
      <c r="A417" t="s">
        <v>1809</v>
      </c>
      <c r="B417">
        <v>15</v>
      </c>
      <c r="C417" s="56">
        <v>42644</v>
      </c>
      <c r="D417" s="3" t="str">
        <f>YEAR(Datos_Consumo[[#This Row],[FECHA]])&amp;"-"&amp;MONTH(Datos_Consumo[[#This Row],[FECHA]])</f>
        <v>2016-10</v>
      </c>
    </row>
    <row r="418" spans="1:4" x14ac:dyDescent="0.25">
      <c r="A418" t="s">
        <v>1809</v>
      </c>
      <c r="B418">
        <v>12</v>
      </c>
      <c r="C418" s="56">
        <v>42675</v>
      </c>
      <c r="D418" s="3" t="str">
        <f>YEAR(Datos_Consumo[[#This Row],[FECHA]])&amp;"-"&amp;MONTH(Datos_Consumo[[#This Row],[FECHA]])</f>
        <v>2016-11</v>
      </c>
    </row>
    <row r="419" spans="1:4" x14ac:dyDescent="0.25">
      <c r="A419" t="s">
        <v>1809</v>
      </c>
      <c r="B419">
        <v>4</v>
      </c>
      <c r="C419" s="56">
        <v>42705</v>
      </c>
      <c r="D419" s="3" t="str">
        <f>YEAR(Datos_Consumo[[#This Row],[FECHA]])&amp;"-"&amp;MONTH(Datos_Consumo[[#This Row],[FECHA]])</f>
        <v>2016-12</v>
      </c>
    </row>
    <row r="420" spans="1:4" x14ac:dyDescent="0.25">
      <c r="A420" t="s">
        <v>1809</v>
      </c>
      <c r="B420">
        <v>6</v>
      </c>
      <c r="C420" s="56">
        <v>42736</v>
      </c>
      <c r="D420" s="3" t="str">
        <f>YEAR(Datos_Consumo[[#This Row],[FECHA]])&amp;"-"&amp;MONTH(Datos_Consumo[[#This Row],[FECHA]])</f>
        <v>2017-1</v>
      </c>
    </row>
    <row r="421" spans="1:4" x14ac:dyDescent="0.25">
      <c r="A421" t="s">
        <v>1476</v>
      </c>
      <c r="B421">
        <v>1</v>
      </c>
      <c r="C421" s="56">
        <v>42614</v>
      </c>
      <c r="D421" s="3" t="str">
        <f>YEAR(Datos_Consumo[[#This Row],[FECHA]])&amp;"-"&amp;MONTH(Datos_Consumo[[#This Row],[FECHA]])</f>
        <v>2016-9</v>
      </c>
    </row>
    <row r="422" spans="1:4" x14ac:dyDescent="0.25">
      <c r="A422" t="s">
        <v>1477</v>
      </c>
      <c r="B422">
        <v>365</v>
      </c>
      <c r="C422" s="56">
        <v>42614</v>
      </c>
      <c r="D422" s="3" t="str">
        <f>YEAR(Datos_Consumo[[#This Row],[FECHA]])&amp;"-"&amp;MONTH(Datos_Consumo[[#This Row],[FECHA]])</f>
        <v>2016-9</v>
      </c>
    </row>
    <row r="423" spans="1:4" x14ac:dyDescent="0.25">
      <c r="A423" t="s">
        <v>1477</v>
      </c>
      <c r="B423">
        <v>5</v>
      </c>
      <c r="C423" s="56">
        <v>42644</v>
      </c>
      <c r="D423" s="3" t="str">
        <f>YEAR(Datos_Consumo[[#This Row],[FECHA]])&amp;"-"&amp;MONTH(Datos_Consumo[[#This Row],[FECHA]])</f>
        <v>2016-10</v>
      </c>
    </row>
    <row r="424" spans="1:4" x14ac:dyDescent="0.25">
      <c r="A424" t="s">
        <v>1477</v>
      </c>
      <c r="B424">
        <v>5</v>
      </c>
      <c r="C424" s="56">
        <v>42705</v>
      </c>
      <c r="D424" s="3" t="str">
        <f>YEAR(Datos_Consumo[[#This Row],[FECHA]])&amp;"-"&amp;MONTH(Datos_Consumo[[#This Row],[FECHA]])</f>
        <v>2016-12</v>
      </c>
    </row>
    <row r="425" spans="1:4" x14ac:dyDescent="0.25">
      <c r="A425" t="s">
        <v>1810</v>
      </c>
      <c r="B425">
        <v>110</v>
      </c>
      <c r="C425" s="56">
        <v>42614</v>
      </c>
      <c r="D425" s="3" t="str">
        <f>YEAR(Datos_Consumo[[#This Row],[FECHA]])&amp;"-"&amp;MONTH(Datos_Consumo[[#This Row],[FECHA]])</f>
        <v>2016-9</v>
      </c>
    </row>
    <row r="426" spans="1:4" x14ac:dyDescent="0.25">
      <c r="A426" t="s">
        <v>1810</v>
      </c>
      <c r="B426">
        <v>105</v>
      </c>
      <c r="C426" s="56">
        <v>42644</v>
      </c>
      <c r="D426" s="3" t="str">
        <f>YEAR(Datos_Consumo[[#This Row],[FECHA]])&amp;"-"&amp;MONTH(Datos_Consumo[[#This Row],[FECHA]])</f>
        <v>2016-10</v>
      </c>
    </row>
    <row r="427" spans="1:4" x14ac:dyDescent="0.25">
      <c r="A427" t="s">
        <v>1810</v>
      </c>
      <c r="B427">
        <v>69</v>
      </c>
      <c r="C427" s="56">
        <v>42675</v>
      </c>
      <c r="D427" s="3" t="str">
        <f>YEAR(Datos_Consumo[[#This Row],[FECHA]])&amp;"-"&amp;MONTH(Datos_Consumo[[#This Row],[FECHA]])</f>
        <v>2016-11</v>
      </c>
    </row>
    <row r="428" spans="1:4" x14ac:dyDescent="0.25">
      <c r="A428" t="s">
        <v>1810</v>
      </c>
      <c r="B428">
        <v>90</v>
      </c>
      <c r="C428" s="56">
        <v>42705</v>
      </c>
      <c r="D428" s="3" t="str">
        <f>YEAR(Datos_Consumo[[#This Row],[FECHA]])&amp;"-"&amp;MONTH(Datos_Consumo[[#This Row],[FECHA]])</f>
        <v>2016-12</v>
      </c>
    </row>
    <row r="429" spans="1:4" x14ac:dyDescent="0.25">
      <c r="A429" t="s">
        <v>1810</v>
      </c>
      <c r="B429">
        <v>90</v>
      </c>
      <c r="C429" s="56">
        <v>42736</v>
      </c>
      <c r="D429" s="3" t="str">
        <f>YEAR(Datos_Consumo[[#This Row],[FECHA]])&amp;"-"&amp;MONTH(Datos_Consumo[[#This Row],[FECHA]])</f>
        <v>2017-1</v>
      </c>
    </row>
    <row r="430" spans="1:4" x14ac:dyDescent="0.25">
      <c r="A430" t="s">
        <v>1478</v>
      </c>
      <c r="B430">
        <v>2</v>
      </c>
      <c r="C430" s="56">
        <v>42736</v>
      </c>
      <c r="D430" s="3" t="str">
        <f>YEAR(Datos_Consumo[[#This Row],[FECHA]])&amp;"-"&amp;MONTH(Datos_Consumo[[#This Row],[FECHA]])</f>
        <v>2017-1</v>
      </c>
    </row>
    <row r="431" spans="1:4" x14ac:dyDescent="0.25">
      <c r="A431" t="s">
        <v>1479</v>
      </c>
      <c r="B431">
        <v>1</v>
      </c>
      <c r="C431" s="56">
        <v>42644</v>
      </c>
      <c r="D431" s="3" t="str">
        <f>YEAR(Datos_Consumo[[#This Row],[FECHA]])&amp;"-"&amp;MONTH(Datos_Consumo[[#This Row],[FECHA]])</f>
        <v>2016-10</v>
      </c>
    </row>
    <row r="432" spans="1:4" x14ac:dyDescent="0.25">
      <c r="A432" t="s">
        <v>1479</v>
      </c>
      <c r="B432">
        <v>65</v>
      </c>
      <c r="C432" s="56">
        <v>42675</v>
      </c>
      <c r="D432" s="3" t="str">
        <f>YEAR(Datos_Consumo[[#This Row],[FECHA]])&amp;"-"&amp;MONTH(Datos_Consumo[[#This Row],[FECHA]])</f>
        <v>2016-11</v>
      </c>
    </row>
    <row r="433" spans="1:4" x14ac:dyDescent="0.25">
      <c r="A433" t="s">
        <v>1479</v>
      </c>
      <c r="B433">
        <v>1</v>
      </c>
      <c r="C433" s="56">
        <v>42705</v>
      </c>
      <c r="D433" s="3" t="str">
        <f>YEAR(Datos_Consumo[[#This Row],[FECHA]])&amp;"-"&amp;MONTH(Datos_Consumo[[#This Row],[FECHA]])</f>
        <v>2016-12</v>
      </c>
    </row>
    <row r="434" spans="1:4" x14ac:dyDescent="0.25">
      <c r="A434" t="s">
        <v>1480</v>
      </c>
      <c r="B434">
        <v>20</v>
      </c>
      <c r="C434" s="56">
        <v>42675</v>
      </c>
      <c r="D434" s="3" t="str">
        <f>YEAR(Datos_Consumo[[#This Row],[FECHA]])&amp;"-"&amp;MONTH(Datos_Consumo[[#This Row],[FECHA]])</f>
        <v>2016-11</v>
      </c>
    </row>
    <row r="435" spans="1:4" x14ac:dyDescent="0.25">
      <c r="A435" t="s">
        <v>1480</v>
      </c>
      <c r="B435">
        <v>40</v>
      </c>
      <c r="C435" s="56">
        <v>42736</v>
      </c>
      <c r="D435" s="3" t="str">
        <f>YEAR(Datos_Consumo[[#This Row],[FECHA]])&amp;"-"&amp;MONTH(Datos_Consumo[[#This Row],[FECHA]])</f>
        <v>2017-1</v>
      </c>
    </row>
    <row r="436" spans="1:4" x14ac:dyDescent="0.25">
      <c r="A436" t="s">
        <v>1481</v>
      </c>
      <c r="B436">
        <v>120</v>
      </c>
      <c r="C436" s="56">
        <v>42705</v>
      </c>
      <c r="D436" s="3" t="str">
        <f>YEAR(Datos_Consumo[[#This Row],[FECHA]])&amp;"-"&amp;MONTH(Datos_Consumo[[#This Row],[FECHA]])</f>
        <v>2016-12</v>
      </c>
    </row>
    <row r="437" spans="1:4" x14ac:dyDescent="0.25">
      <c r="A437" t="s">
        <v>1482</v>
      </c>
      <c r="B437">
        <v>25000</v>
      </c>
      <c r="C437" s="56">
        <v>42736</v>
      </c>
      <c r="D437" s="3" t="str">
        <f>YEAR(Datos_Consumo[[#This Row],[FECHA]])&amp;"-"&amp;MONTH(Datos_Consumo[[#This Row],[FECHA]])</f>
        <v>2017-1</v>
      </c>
    </row>
    <row r="438" spans="1:4" x14ac:dyDescent="0.25">
      <c r="A438" t="s">
        <v>1483</v>
      </c>
      <c r="B438">
        <v>2377</v>
      </c>
      <c r="C438" s="56">
        <v>42644</v>
      </c>
      <c r="D438" s="3" t="str">
        <f>YEAR(Datos_Consumo[[#This Row],[FECHA]])&amp;"-"&amp;MONTH(Datos_Consumo[[#This Row],[FECHA]])</f>
        <v>2016-10</v>
      </c>
    </row>
    <row r="439" spans="1:4" x14ac:dyDescent="0.25">
      <c r="A439" t="s">
        <v>1483</v>
      </c>
      <c r="B439">
        <v>300</v>
      </c>
      <c r="C439" s="56">
        <v>42705</v>
      </c>
      <c r="D439" s="3" t="str">
        <f>YEAR(Datos_Consumo[[#This Row],[FECHA]])&amp;"-"&amp;MONTH(Datos_Consumo[[#This Row],[FECHA]])</f>
        <v>2016-12</v>
      </c>
    </row>
    <row r="440" spans="1:4" x14ac:dyDescent="0.25">
      <c r="A440" t="s">
        <v>1484</v>
      </c>
      <c r="B440">
        <v>15000</v>
      </c>
      <c r="C440" s="56">
        <v>42736</v>
      </c>
      <c r="D440" s="3" t="str">
        <f>YEAR(Datos_Consumo[[#This Row],[FECHA]])&amp;"-"&amp;MONTH(Datos_Consumo[[#This Row],[FECHA]])</f>
        <v>2017-1</v>
      </c>
    </row>
    <row r="441" spans="1:4" x14ac:dyDescent="0.25">
      <c r="A441" t="s">
        <v>1485</v>
      </c>
      <c r="B441">
        <v>3000</v>
      </c>
      <c r="C441" s="56">
        <v>42614</v>
      </c>
      <c r="D441" s="3" t="str">
        <f>YEAR(Datos_Consumo[[#This Row],[FECHA]])&amp;"-"&amp;MONTH(Datos_Consumo[[#This Row],[FECHA]])</f>
        <v>2016-9</v>
      </c>
    </row>
    <row r="442" spans="1:4" x14ac:dyDescent="0.25">
      <c r="A442" t="s">
        <v>1486</v>
      </c>
      <c r="B442">
        <v>3200</v>
      </c>
      <c r="C442" s="56">
        <v>42614</v>
      </c>
      <c r="D442" s="3" t="str">
        <f>YEAR(Datos_Consumo[[#This Row],[FECHA]])&amp;"-"&amp;MONTH(Datos_Consumo[[#This Row],[FECHA]])</f>
        <v>2016-9</v>
      </c>
    </row>
    <row r="443" spans="1:4" x14ac:dyDescent="0.25">
      <c r="A443" t="s">
        <v>1486</v>
      </c>
      <c r="B443">
        <v>1200</v>
      </c>
      <c r="C443" s="56">
        <v>42644</v>
      </c>
      <c r="D443" s="3" t="str">
        <f>YEAR(Datos_Consumo[[#This Row],[FECHA]])&amp;"-"&amp;MONTH(Datos_Consumo[[#This Row],[FECHA]])</f>
        <v>2016-10</v>
      </c>
    </row>
    <row r="444" spans="1:4" x14ac:dyDescent="0.25">
      <c r="A444" t="s">
        <v>1486</v>
      </c>
      <c r="B444">
        <v>300</v>
      </c>
      <c r="C444" s="56">
        <v>42705</v>
      </c>
      <c r="D444" s="3" t="str">
        <f>YEAR(Datos_Consumo[[#This Row],[FECHA]])&amp;"-"&amp;MONTH(Datos_Consumo[[#This Row],[FECHA]])</f>
        <v>2016-12</v>
      </c>
    </row>
    <row r="445" spans="1:4" x14ac:dyDescent="0.25">
      <c r="A445" t="s">
        <v>1487</v>
      </c>
      <c r="B445">
        <v>10000</v>
      </c>
      <c r="C445" s="56">
        <v>42736</v>
      </c>
      <c r="D445" s="3" t="str">
        <f>YEAR(Datos_Consumo[[#This Row],[FECHA]])&amp;"-"&amp;MONTH(Datos_Consumo[[#This Row],[FECHA]])</f>
        <v>2017-1</v>
      </c>
    </row>
    <row r="446" spans="1:4" x14ac:dyDescent="0.25">
      <c r="A446" t="s">
        <v>1488</v>
      </c>
      <c r="B446">
        <v>1065</v>
      </c>
      <c r="C446" s="56">
        <v>42614</v>
      </c>
      <c r="D446" s="3" t="str">
        <f>YEAR(Datos_Consumo[[#This Row],[FECHA]])&amp;"-"&amp;MONTH(Datos_Consumo[[#This Row],[FECHA]])</f>
        <v>2016-9</v>
      </c>
    </row>
    <row r="447" spans="1:4" x14ac:dyDescent="0.25">
      <c r="A447" t="s">
        <v>1488</v>
      </c>
      <c r="B447">
        <v>127</v>
      </c>
      <c r="C447" s="56">
        <v>42675</v>
      </c>
      <c r="D447" s="3" t="str">
        <f>YEAR(Datos_Consumo[[#This Row],[FECHA]])&amp;"-"&amp;MONTH(Datos_Consumo[[#This Row],[FECHA]])</f>
        <v>2016-11</v>
      </c>
    </row>
    <row r="448" spans="1:4" x14ac:dyDescent="0.25">
      <c r="A448" t="s">
        <v>1489</v>
      </c>
      <c r="B448">
        <v>20</v>
      </c>
      <c r="C448" s="56">
        <v>42614</v>
      </c>
      <c r="D448" s="3" t="str">
        <f>YEAR(Datos_Consumo[[#This Row],[FECHA]])&amp;"-"&amp;MONTH(Datos_Consumo[[#This Row],[FECHA]])</f>
        <v>2016-9</v>
      </c>
    </row>
    <row r="449" spans="1:4" x14ac:dyDescent="0.25">
      <c r="A449" t="s">
        <v>1490</v>
      </c>
      <c r="B449">
        <v>4</v>
      </c>
      <c r="C449" s="56">
        <v>42614</v>
      </c>
      <c r="D449" s="3" t="str">
        <f>YEAR(Datos_Consumo[[#This Row],[FECHA]])&amp;"-"&amp;MONTH(Datos_Consumo[[#This Row],[FECHA]])</f>
        <v>2016-9</v>
      </c>
    </row>
    <row r="450" spans="1:4" x14ac:dyDescent="0.25">
      <c r="A450" t="s">
        <v>1490</v>
      </c>
      <c r="B450">
        <v>7</v>
      </c>
      <c r="C450" s="56">
        <v>42644</v>
      </c>
      <c r="D450" s="3" t="str">
        <f>YEAR(Datos_Consumo[[#This Row],[FECHA]])&amp;"-"&amp;MONTH(Datos_Consumo[[#This Row],[FECHA]])</f>
        <v>2016-10</v>
      </c>
    </row>
    <row r="451" spans="1:4" x14ac:dyDescent="0.25">
      <c r="A451" t="s">
        <v>1490</v>
      </c>
      <c r="B451">
        <v>7</v>
      </c>
      <c r="C451" s="56">
        <v>42675</v>
      </c>
      <c r="D451" s="3" t="str">
        <f>YEAR(Datos_Consumo[[#This Row],[FECHA]])&amp;"-"&amp;MONTH(Datos_Consumo[[#This Row],[FECHA]])</f>
        <v>2016-11</v>
      </c>
    </row>
    <row r="452" spans="1:4" x14ac:dyDescent="0.25">
      <c r="A452" t="s">
        <v>1490</v>
      </c>
      <c r="B452">
        <v>5</v>
      </c>
      <c r="C452" s="56">
        <v>42705</v>
      </c>
      <c r="D452" s="3" t="str">
        <f>YEAR(Datos_Consumo[[#This Row],[FECHA]])&amp;"-"&amp;MONTH(Datos_Consumo[[#This Row],[FECHA]])</f>
        <v>2016-12</v>
      </c>
    </row>
    <row r="453" spans="1:4" x14ac:dyDescent="0.25">
      <c r="A453" t="s">
        <v>1491</v>
      </c>
      <c r="B453">
        <v>29</v>
      </c>
      <c r="C453" s="56">
        <v>42614</v>
      </c>
      <c r="D453" s="3" t="str">
        <f>YEAR(Datos_Consumo[[#This Row],[FECHA]])&amp;"-"&amp;MONTH(Datos_Consumo[[#This Row],[FECHA]])</f>
        <v>2016-9</v>
      </c>
    </row>
    <row r="454" spans="1:4" x14ac:dyDescent="0.25">
      <c r="A454" t="s">
        <v>1491</v>
      </c>
      <c r="B454">
        <v>5</v>
      </c>
      <c r="C454" s="56">
        <v>42644</v>
      </c>
      <c r="D454" s="3" t="str">
        <f>YEAR(Datos_Consumo[[#This Row],[FECHA]])&amp;"-"&amp;MONTH(Datos_Consumo[[#This Row],[FECHA]])</f>
        <v>2016-10</v>
      </c>
    </row>
    <row r="455" spans="1:4" x14ac:dyDescent="0.25">
      <c r="A455" t="s">
        <v>1491</v>
      </c>
      <c r="B455">
        <v>2</v>
      </c>
      <c r="C455" s="56">
        <v>42705</v>
      </c>
      <c r="D455" s="3" t="str">
        <f>YEAR(Datos_Consumo[[#This Row],[FECHA]])&amp;"-"&amp;MONTH(Datos_Consumo[[#This Row],[FECHA]])</f>
        <v>2016-12</v>
      </c>
    </row>
    <row r="456" spans="1:4" x14ac:dyDescent="0.25">
      <c r="A456" t="s">
        <v>1491</v>
      </c>
      <c r="B456">
        <v>1</v>
      </c>
      <c r="C456" s="56">
        <v>42736</v>
      </c>
      <c r="D456" s="3" t="str">
        <f>YEAR(Datos_Consumo[[#This Row],[FECHA]])&amp;"-"&amp;MONTH(Datos_Consumo[[#This Row],[FECHA]])</f>
        <v>2017-1</v>
      </c>
    </row>
    <row r="457" spans="1:4" x14ac:dyDescent="0.25">
      <c r="A457" t="s">
        <v>1492</v>
      </c>
      <c r="B457">
        <v>3</v>
      </c>
      <c r="C457" s="56">
        <v>42614</v>
      </c>
      <c r="D457" s="3" t="str">
        <f>YEAR(Datos_Consumo[[#This Row],[FECHA]])&amp;"-"&amp;MONTH(Datos_Consumo[[#This Row],[FECHA]])</f>
        <v>2016-9</v>
      </c>
    </row>
    <row r="458" spans="1:4" x14ac:dyDescent="0.25">
      <c r="A458" t="s">
        <v>1492</v>
      </c>
      <c r="B458">
        <v>3</v>
      </c>
      <c r="C458" s="56">
        <v>42644</v>
      </c>
      <c r="D458" s="3" t="str">
        <f>YEAR(Datos_Consumo[[#This Row],[FECHA]])&amp;"-"&amp;MONTH(Datos_Consumo[[#This Row],[FECHA]])</f>
        <v>2016-10</v>
      </c>
    </row>
    <row r="459" spans="1:4" x14ac:dyDescent="0.25">
      <c r="A459" t="s">
        <v>1492</v>
      </c>
      <c r="B459">
        <v>4</v>
      </c>
      <c r="C459" s="56">
        <v>42675</v>
      </c>
      <c r="D459" s="3" t="str">
        <f>YEAR(Datos_Consumo[[#This Row],[FECHA]])&amp;"-"&amp;MONTH(Datos_Consumo[[#This Row],[FECHA]])</f>
        <v>2016-11</v>
      </c>
    </row>
    <row r="460" spans="1:4" x14ac:dyDescent="0.25">
      <c r="A460" t="s">
        <v>1493</v>
      </c>
      <c r="B460">
        <v>4</v>
      </c>
      <c r="C460" s="56">
        <v>42614</v>
      </c>
      <c r="D460" s="3" t="str">
        <f>YEAR(Datos_Consumo[[#This Row],[FECHA]])&amp;"-"&amp;MONTH(Datos_Consumo[[#This Row],[FECHA]])</f>
        <v>2016-9</v>
      </c>
    </row>
    <row r="461" spans="1:4" x14ac:dyDescent="0.25">
      <c r="A461" t="s">
        <v>1493</v>
      </c>
      <c r="B461">
        <v>1</v>
      </c>
      <c r="C461" s="56">
        <v>42644</v>
      </c>
      <c r="D461" s="3" t="str">
        <f>YEAR(Datos_Consumo[[#This Row],[FECHA]])&amp;"-"&amp;MONTH(Datos_Consumo[[#This Row],[FECHA]])</f>
        <v>2016-10</v>
      </c>
    </row>
    <row r="462" spans="1:4" x14ac:dyDescent="0.25">
      <c r="A462" t="s">
        <v>1493</v>
      </c>
      <c r="B462">
        <v>3</v>
      </c>
      <c r="C462" s="56">
        <v>42675</v>
      </c>
      <c r="D462" s="3" t="str">
        <f>YEAR(Datos_Consumo[[#This Row],[FECHA]])&amp;"-"&amp;MONTH(Datos_Consumo[[#This Row],[FECHA]])</f>
        <v>2016-11</v>
      </c>
    </row>
    <row r="463" spans="1:4" x14ac:dyDescent="0.25">
      <c r="A463" t="s">
        <v>1493</v>
      </c>
      <c r="B463">
        <v>1</v>
      </c>
      <c r="C463" s="56">
        <v>42705</v>
      </c>
      <c r="D463" s="3" t="str">
        <f>YEAR(Datos_Consumo[[#This Row],[FECHA]])&amp;"-"&amp;MONTH(Datos_Consumo[[#This Row],[FECHA]])</f>
        <v>2016-12</v>
      </c>
    </row>
    <row r="464" spans="1:4" x14ac:dyDescent="0.25">
      <c r="A464" t="s">
        <v>1494</v>
      </c>
      <c r="B464">
        <v>16</v>
      </c>
      <c r="C464" s="56">
        <v>42614</v>
      </c>
      <c r="D464" s="3" t="str">
        <f>YEAR(Datos_Consumo[[#This Row],[FECHA]])&amp;"-"&amp;MONTH(Datos_Consumo[[#This Row],[FECHA]])</f>
        <v>2016-9</v>
      </c>
    </row>
    <row r="465" spans="1:4" x14ac:dyDescent="0.25">
      <c r="A465" t="s">
        <v>1494</v>
      </c>
      <c r="B465">
        <v>2</v>
      </c>
      <c r="C465" s="56">
        <v>42644</v>
      </c>
      <c r="D465" s="3" t="str">
        <f>YEAR(Datos_Consumo[[#This Row],[FECHA]])&amp;"-"&amp;MONTH(Datos_Consumo[[#This Row],[FECHA]])</f>
        <v>2016-10</v>
      </c>
    </row>
    <row r="466" spans="1:4" x14ac:dyDescent="0.25">
      <c r="A466" t="s">
        <v>1494</v>
      </c>
      <c r="B466">
        <v>2</v>
      </c>
      <c r="C466" s="56">
        <v>42675</v>
      </c>
      <c r="D466" s="3" t="str">
        <f>YEAR(Datos_Consumo[[#This Row],[FECHA]])&amp;"-"&amp;MONTH(Datos_Consumo[[#This Row],[FECHA]])</f>
        <v>2016-11</v>
      </c>
    </row>
    <row r="467" spans="1:4" x14ac:dyDescent="0.25">
      <c r="A467" t="s">
        <v>1494</v>
      </c>
      <c r="B467">
        <v>2</v>
      </c>
      <c r="C467" s="56">
        <v>42705</v>
      </c>
      <c r="D467" s="3" t="str">
        <f>YEAR(Datos_Consumo[[#This Row],[FECHA]])&amp;"-"&amp;MONTH(Datos_Consumo[[#This Row],[FECHA]])</f>
        <v>2016-12</v>
      </c>
    </row>
    <row r="468" spans="1:4" x14ac:dyDescent="0.25">
      <c r="A468" t="s">
        <v>1495</v>
      </c>
      <c r="B468">
        <v>11</v>
      </c>
      <c r="C468" s="56">
        <v>42614</v>
      </c>
      <c r="D468" s="3" t="str">
        <f>YEAR(Datos_Consumo[[#This Row],[FECHA]])&amp;"-"&amp;MONTH(Datos_Consumo[[#This Row],[FECHA]])</f>
        <v>2016-9</v>
      </c>
    </row>
    <row r="469" spans="1:4" x14ac:dyDescent="0.25">
      <c r="A469" t="s">
        <v>1495</v>
      </c>
      <c r="B469">
        <v>7</v>
      </c>
      <c r="C469" s="56">
        <v>42675</v>
      </c>
      <c r="D469" s="3" t="str">
        <f>YEAR(Datos_Consumo[[#This Row],[FECHA]])&amp;"-"&amp;MONTH(Datos_Consumo[[#This Row],[FECHA]])</f>
        <v>2016-11</v>
      </c>
    </row>
    <row r="470" spans="1:4" x14ac:dyDescent="0.25">
      <c r="A470" t="s">
        <v>1495</v>
      </c>
      <c r="B470">
        <v>1</v>
      </c>
      <c r="C470" s="56">
        <v>42705</v>
      </c>
      <c r="D470" s="3" t="str">
        <f>YEAR(Datos_Consumo[[#This Row],[FECHA]])&amp;"-"&amp;MONTH(Datos_Consumo[[#This Row],[FECHA]])</f>
        <v>2016-12</v>
      </c>
    </row>
    <row r="471" spans="1:4" x14ac:dyDescent="0.25">
      <c r="A471" t="s">
        <v>1495</v>
      </c>
      <c r="B471">
        <v>3</v>
      </c>
      <c r="C471" s="56">
        <v>42736</v>
      </c>
      <c r="D471" s="3" t="str">
        <f>YEAR(Datos_Consumo[[#This Row],[FECHA]])&amp;"-"&amp;MONTH(Datos_Consumo[[#This Row],[FECHA]])</f>
        <v>2017-1</v>
      </c>
    </row>
    <row r="472" spans="1:4" x14ac:dyDescent="0.25">
      <c r="A472" t="s">
        <v>1496</v>
      </c>
      <c r="B472">
        <v>2</v>
      </c>
      <c r="C472" s="56">
        <v>42736</v>
      </c>
      <c r="D472" s="3" t="str">
        <f>YEAR(Datos_Consumo[[#This Row],[FECHA]])&amp;"-"&amp;MONTH(Datos_Consumo[[#This Row],[FECHA]])</f>
        <v>2017-1</v>
      </c>
    </row>
    <row r="473" spans="1:4" x14ac:dyDescent="0.25">
      <c r="A473" t="s">
        <v>1497</v>
      </c>
      <c r="B473">
        <v>1</v>
      </c>
      <c r="C473" s="56">
        <v>42614</v>
      </c>
      <c r="D473" s="3" t="str">
        <f>YEAR(Datos_Consumo[[#This Row],[FECHA]])&amp;"-"&amp;MONTH(Datos_Consumo[[#This Row],[FECHA]])</f>
        <v>2016-9</v>
      </c>
    </row>
    <row r="474" spans="1:4" x14ac:dyDescent="0.25">
      <c r="A474" t="s">
        <v>1497</v>
      </c>
      <c r="B474">
        <v>4</v>
      </c>
      <c r="C474" s="56">
        <v>42644</v>
      </c>
      <c r="D474" s="3" t="str">
        <f>YEAR(Datos_Consumo[[#This Row],[FECHA]])&amp;"-"&amp;MONTH(Datos_Consumo[[#This Row],[FECHA]])</f>
        <v>2016-10</v>
      </c>
    </row>
    <row r="475" spans="1:4" x14ac:dyDescent="0.25">
      <c r="A475" t="s">
        <v>1497</v>
      </c>
      <c r="B475">
        <v>1</v>
      </c>
      <c r="C475" s="56">
        <v>42675</v>
      </c>
      <c r="D475" s="3" t="str">
        <f>YEAR(Datos_Consumo[[#This Row],[FECHA]])&amp;"-"&amp;MONTH(Datos_Consumo[[#This Row],[FECHA]])</f>
        <v>2016-11</v>
      </c>
    </row>
    <row r="476" spans="1:4" x14ac:dyDescent="0.25">
      <c r="A476" t="s">
        <v>1498</v>
      </c>
      <c r="B476">
        <v>1</v>
      </c>
      <c r="C476" s="56">
        <v>42614</v>
      </c>
      <c r="D476" s="3" t="str">
        <f>YEAR(Datos_Consumo[[#This Row],[FECHA]])&amp;"-"&amp;MONTH(Datos_Consumo[[#This Row],[FECHA]])</f>
        <v>2016-9</v>
      </c>
    </row>
    <row r="477" spans="1:4" x14ac:dyDescent="0.25">
      <c r="A477" t="s">
        <v>1498</v>
      </c>
      <c r="B477">
        <v>3</v>
      </c>
      <c r="C477" s="56">
        <v>42644</v>
      </c>
      <c r="D477" s="3" t="str">
        <f>YEAR(Datos_Consumo[[#This Row],[FECHA]])&amp;"-"&amp;MONTH(Datos_Consumo[[#This Row],[FECHA]])</f>
        <v>2016-10</v>
      </c>
    </row>
    <row r="478" spans="1:4" x14ac:dyDescent="0.25">
      <c r="A478" t="s">
        <v>1498</v>
      </c>
      <c r="B478">
        <v>1</v>
      </c>
      <c r="C478" s="56">
        <v>42675</v>
      </c>
      <c r="D478" s="3" t="str">
        <f>YEAR(Datos_Consumo[[#This Row],[FECHA]])&amp;"-"&amp;MONTH(Datos_Consumo[[#This Row],[FECHA]])</f>
        <v>2016-11</v>
      </c>
    </row>
    <row r="479" spans="1:4" x14ac:dyDescent="0.25">
      <c r="A479" t="s">
        <v>1498</v>
      </c>
      <c r="B479">
        <v>1</v>
      </c>
      <c r="C479" s="56">
        <v>42705</v>
      </c>
      <c r="D479" s="3" t="str">
        <f>YEAR(Datos_Consumo[[#This Row],[FECHA]])&amp;"-"&amp;MONTH(Datos_Consumo[[#This Row],[FECHA]])</f>
        <v>2016-12</v>
      </c>
    </row>
    <row r="480" spans="1:4" x14ac:dyDescent="0.25">
      <c r="A480" t="s">
        <v>1499</v>
      </c>
      <c r="B480">
        <v>2</v>
      </c>
      <c r="C480" s="56">
        <v>42644</v>
      </c>
      <c r="D480" s="3" t="str">
        <f>YEAR(Datos_Consumo[[#This Row],[FECHA]])&amp;"-"&amp;MONTH(Datos_Consumo[[#This Row],[FECHA]])</f>
        <v>2016-10</v>
      </c>
    </row>
    <row r="481" spans="1:4" x14ac:dyDescent="0.25">
      <c r="A481" t="s">
        <v>1500</v>
      </c>
      <c r="B481">
        <v>2</v>
      </c>
      <c r="C481" s="56">
        <v>42644</v>
      </c>
      <c r="D481" s="3" t="str">
        <f>YEAR(Datos_Consumo[[#This Row],[FECHA]])&amp;"-"&amp;MONTH(Datos_Consumo[[#This Row],[FECHA]])</f>
        <v>2016-10</v>
      </c>
    </row>
    <row r="482" spans="1:4" x14ac:dyDescent="0.25">
      <c r="A482" t="s">
        <v>1501</v>
      </c>
      <c r="B482">
        <v>7</v>
      </c>
      <c r="C482" s="56">
        <v>42736</v>
      </c>
      <c r="D482" s="3" t="str">
        <f>YEAR(Datos_Consumo[[#This Row],[FECHA]])&amp;"-"&amp;MONTH(Datos_Consumo[[#This Row],[FECHA]])</f>
        <v>2017-1</v>
      </c>
    </row>
    <row r="483" spans="1:4" x14ac:dyDescent="0.25">
      <c r="A483" t="s">
        <v>1502</v>
      </c>
      <c r="B483">
        <v>1</v>
      </c>
      <c r="C483" s="56">
        <v>42614</v>
      </c>
      <c r="D483" s="3" t="str">
        <f>YEAR(Datos_Consumo[[#This Row],[FECHA]])&amp;"-"&amp;MONTH(Datos_Consumo[[#This Row],[FECHA]])</f>
        <v>2016-9</v>
      </c>
    </row>
    <row r="484" spans="1:4" x14ac:dyDescent="0.25">
      <c r="A484" t="s">
        <v>1502</v>
      </c>
      <c r="B484">
        <v>1</v>
      </c>
      <c r="C484" s="56">
        <v>42644</v>
      </c>
      <c r="D484" s="3" t="str">
        <f>YEAR(Datos_Consumo[[#This Row],[FECHA]])&amp;"-"&amp;MONTH(Datos_Consumo[[#This Row],[FECHA]])</f>
        <v>2016-10</v>
      </c>
    </row>
    <row r="485" spans="1:4" x14ac:dyDescent="0.25">
      <c r="A485" t="s">
        <v>1502</v>
      </c>
      <c r="B485">
        <v>1</v>
      </c>
      <c r="C485" s="56">
        <v>42675</v>
      </c>
      <c r="D485" s="3" t="str">
        <f>YEAR(Datos_Consumo[[#This Row],[FECHA]])&amp;"-"&amp;MONTH(Datos_Consumo[[#This Row],[FECHA]])</f>
        <v>2016-11</v>
      </c>
    </row>
    <row r="486" spans="1:4" x14ac:dyDescent="0.25">
      <c r="A486" t="s">
        <v>1502</v>
      </c>
      <c r="B486">
        <v>4</v>
      </c>
      <c r="C486" s="56">
        <v>42705</v>
      </c>
      <c r="D486" s="3" t="str">
        <f>YEAR(Datos_Consumo[[#This Row],[FECHA]])&amp;"-"&amp;MONTH(Datos_Consumo[[#This Row],[FECHA]])</f>
        <v>2016-12</v>
      </c>
    </row>
    <row r="487" spans="1:4" x14ac:dyDescent="0.25">
      <c r="A487" t="s">
        <v>1502</v>
      </c>
      <c r="B487">
        <v>8</v>
      </c>
      <c r="C487" s="56">
        <v>42736</v>
      </c>
      <c r="D487" s="3" t="str">
        <f>YEAR(Datos_Consumo[[#This Row],[FECHA]])&amp;"-"&amp;MONTH(Datos_Consumo[[#This Row],[FECHA]])</f>
        <v>2017-1</v>
      </c>
    </row>
    <row r="488" spans="1:4" x14ac:dyDescent="0.25">
      <c r="A488" t="s">
        <v>1503</v>
      </c>
      <c r="B488">
        <v>3</v>
      </c>
      <c r="C488" s="56">
        <v>42614</v>
      </c>
      <c r="D488" s="3" t="str">
        <f>YEAR(Datos_Consumo[[#This Row],[FECHA]])&amp;"-"&amp;MONTH(Datos_Consumo[[#This Row],[FECHA]])</f>
        <v>2016-9</v>
      </c>
    </row>
    <row r="489" spans="1:4" x14ac:dyDescent="0.25">
      <c r="A489" t="s">
        <v>1503</v>
      </c>
      <c r="B489">
        <v>3</v>
      </c>
      <c r="C489" s="56">
        <v>42644</v>
      </c>
      <c r="D489" s="3" t="str">
        <f>YEAR(Datos_Consumo[[#This Row],[FECHA]])&amp;"-"&amp;MONTH(Datos_Consumo[[#This Row],[FECHA]])</f>
        <v>2016-10</v>
      </c>
    </row>
    <row r="490" spans="1:4" x14ac:dyDescent="0.25">
      <c r="A490" t="s">
        <v>1503</v>
      </c>
      <c r="B490">
        <v>3</v>
      </c>
      <c r="C490" s="56">
        <v>42705</v>
      </c>
      <c r="D490" s="3" t="str">
        <f>YEAR(Datos_Consumo[[#This Row],[FECHA]])&amp;"-"&amp;MONTH(Datos_Consumo[[#This Row],[FECHA]])</f>
        <v>2016-12</v>
      </c>
    </row>
    <row r="491" spans="1:4" x14ac:dyDescent="0.25">
      <c r="A491" t="s">
        <v>1504</v>
      </c>
      <c r="B491">
        <v>1</v>
      </c>
      <c r="C491" s="56">
        <v>42614</v>
      </c>
      <c r="D491" s="3" t="str">
        <f>YEAR(Datos_Consumo[[#This Row],[FECHA]])&amp;"-"&amp;MONTH(Datos_Consumo[[#This Row],[FECHA]])</f>
        <v>2016-9</v>
      </c>
    </row>
    <row r="492" spans="1:4" x14ac:dyDescent="0.25">
      <c r="A492" t="s">
        <v>1504</v>
      </c>
      <c r="B492">
        <v>7</v>
      </c>
      <c r="C492" s="56">
        <v>42644</v>
      </c>
      <c r="D492" s="3" t="str">
        <f>YEAR(Datos_Consumo[[#This Row],[FECHA]])&amp;"-"&amp;MONTH(Datos_Consumo[[#This Row],[FECHA]])</f>
        <v>2016-10</v>
      </c>
    </row>
    <row r="493" spans="1:4" x14ac:dyDescent="0.25">
      <c r="A493" t="s">
        <v>1504</v>
      </c>
      <c r="B493">
        <v>5</v>
      </c>
      <c r="C493" s="56">
        <v>42675</v>
      </c>
      <c r="D493" s="3" t="str">
        <f>YEAR(Datos_Consumo[[#This Row],[FECHA]])&amp;"-"&amp;MONTH(Datos_Consumo[[#This Row],[FECHA]])</f>
        <v>2016-11</v>
      </c>
    </row>
    <row r="494" spans="1:4" x14ac:dyDescent="0.25">
      <c r="A494" t="s">
        <v>1505</v>
      </c>
      <c r="B494">
        <v>1</v>
      </c>
      <c r="C494" s="56">
        <v>42614</v>
      </c>
      <c r="D494" s="3" t="str">
        <f>YEAR(Datos_Consumo[[#This Row],[FECHA]])&amp;"-"&amp;MONTH(Datos_Consumo[[#This Row],[FECHA]])</f>
        <v>2016-9</v>
      </c>
    </row>
    <row r="495" spans="1:4" x14ac:dyDescent="0.25">
      <c r="A495" t="s">
        <v>1505</v>
      </c>
      <c r="B495">
        <v>1</v>
      </c>
      <c r="C495" s="56">
        <v>42705</v>
      </c>
      <c r="D495" s="3" t="str">
        <f>YEAR(Datos_Consumo[[#This Row],[FECHA]])&amp;"-"&amp;MONTH(Datos_Consumo[[#This Row],[FECHA]])</f>
        <v>2016-12</v>
      </c>
    </row>
    <row r="496" spans="1:4" x14ac:dyDescent="0.25">
      <c r="A496" t="s">
        <v>1506</v>
      </c>
      <c r="B496">
        <v>499</v>
      </c>
      <c r="C496" s="56">
        <v>42614</v>
      </c>
      <c r="D496" s="3" t="str">
        <f>YEAR(Datos_Consumo[[#This Row],[FECHA]])&amp;"-"&amp;MONTH(Datos_Consumo[[#This Row],[FECHA]])</f>
        <v>2016-9</v>
      </c>
    </row>
    <row r="497" spans="1:4" x14ac:dyDescent="0.25">
      <c r="A497" t="s">
        <v>1506</v>
      </c>
      <c r="B497">
        <v>125</v>
      </c>
      <c r="C497" s="56">
        <v>42705</v>
      </c>
      <c r="D497" s="3" t="str">
        <f>YEAR(Datos_Consumo[[#This Row],[FECHA]])&amp;"-"&amp;MONTH(Datos_Consumo[[#This Row],[FECHA]])</f>
        <v>2016-12</v>
      </c>
    </row>
    <row r="498" spans="1:4" x14ac:dyDescent="0.25">
      <c r="A498" t="s">
        <v>1507</v>
      </c>
      <c r="B498">
        <v>1</v>
      </c>
      <c r="C498" s="56">
        <v>42614</v>
      </c>
      <c r="D498" s="3" t="str">
        <f>YEAR(Datos_Consumo[[#This Row],[FECHA]])&amp;"-"&amp;MONTH(Datos_Consumo[[#This Row],[FECHA]])</f>
        <v>2016-9</v>
      </c>
    </row>
    <row r="499" spans="1:4" x14ac:dyDescent="0.25">
      <c r="A499" t="s">
        <v>1507</v>
      </c>
      <c r="B499">
        <v>1</v>
      </c>
      <c r="C499" s="56">
        <v>42644</v>
      </c>
      <c r="D499" s="3" t="str">
        <f>YEAR(Datos_Consumo[[#This Row],[FECHA]])&amp;"-"&amp;MONTH(Datos_Consumo[[#This Row],[FECHA]])</f>
        <v>2016-10</v>
      </c>
    </row>
    <row r="500" spans="1:4" x14ac:dyDescent="0.25">
      <c r="A500" t="s">
        <v>1508</v>
      </c>
      <c r="B500">
        <v>1</v>
      </c>
      <c r="C500" s="56">
        <v>42614</v>
      </c>
      <c r="D500" s="3" t="str">
        <f>YEAR(Datos_Consumo[[#This Row],[FECHA]])&amp;"-"&amp;MONTH(Datos_Consumo[[#This Row],[FECHA]])</f>
        <v>2016-9</v>
      </c>
    </row>
    <row r="501" spans="1:4" x14ac:dyDescent="0.25">
      <c r="A501" t="s">
        <v>1508</v>
      </c>
      <c r="B501">
        <v>1</v>
      </c>
      <c r="C501" s="56">
        <v>42644</v>
      </c>
      <c r="D501" s="3" t="str">
        <f>YEAR(Datos_Consumo[[#This Row],[FECHA]])&amp;"-"&amp;MONTH(Datos_Consumo[[#This Row],[FECHA]])</f>
        <v>2016-10</v>
      </c>
    </row>
    <row r="502" spans="1:4" x14ac:dyDescent="0.25">
      <c r="A502" t="s">
        <v>1509</v>
      </c>
      <c r="B502">
        <v>1</v>
      </c>
      <c r="C502" s="56">
        <v>42614</v>
      </c>
      <c r="D502" s="3" t="str">
        <f>YEAR(Datos_Consumo[[#This Row],[FECHA]])&amp;"-"&amp;MONTH(Datos_Consumo[[#This Row],[FECHA]])</f>
        <v>2016-9</v>
      </c>
    </row>
    <row r="503" spans="1:4" x14ac:dyDescent="0.25">
      <c r="A503" t="s">
        <v>1509</v>
      </c>
      <c r="B503">
        <v>1</v>
      </c>
      <c r="C503" s="56">
        <v>42644</v>
      </c>
      <c r="D503" s="3" t="str">
        <f>YEAR(Datos_Consumo[[#This Row],[FECHA]])&amp;"-"&amp;MONTH(Datos_Consumo[[#This Row],[FECHA]])</f>
        <v>2016-10</v>
      </c>
    </row>
    <row r="504" spans="1:4" x14ac:dyDescent="0.25">
      <c r="A504" t="s">
        <v>1510</v>
      </c>
      <c r="B504">
        <v>1</v>
      </c>
      <c r="C504" s="56">
        <v>42736</v>
      </c>
      <c r="D504" s="3" t="str">
        <f>YEAR(Datos_Consumo[[#This Row],[FECHA]])&amp;"-"&amp;MONTH(Datos_Consumo[[#This Row],[FECHA]])</f>
        <v>2017-1</v>
      </c>
    </row>
    <row r="505" spans="1:4" x14ac:dyDescent="0.25">
      <c r="A505" t="s">
        <v>1511</v>
      </c>
      <c r="B505">
        <v>1</v>
      </c>
      <c r="C505" s="56">
        <v>42675</v>
      </c>
      <c r="D505" s="3" t="str">
        <f>YEAR(Datos_Consumo[[#This Row],[FECHA]])&amp;"-"&amp;MONTH(Datos_Consumo[[#This Row],[FECHA]])</f>
        <v>2016-11</v>
      </c>
    </row>
    <row r="506" spans="1:4" x14ac:dyDescent="0.25">
      <c r="A506" t="s">
        <v>1512</v>
      </c>
      <c r="B506">
        <v>1</v>
      </c>
      <c r="C506" s="56">
        <v>42614</v>
      </c>
      <c r="D506" s="3" t="str">
        <f>YEAR(Datos_Consumo[[#This Row],[FECHA]])&amp;"-"&amp;MONTH(Datos_Consumo[[#This Row],[FECHA]])</f>
        <v>2016-9</v>
      </c>
    </row>
    <row r="507" spans="1:4" x14ac:dyDescent="0.25">
      <c r="A507" t="s">
        <v>1513</v>
      </c>
      <c r="B507">
        <v>1</v>
      </c>
      <c r="C507" s="56">
        <v>42705</v>
      </c>
      <c r="D507" s="3" t="str">
        <f>YEAR(Datos_Consumo[[#This Row],[FECHA]])&amp;"-"&amp;MONTH(Datos_Consumo[[#This Row],[FECHA]])</f>
        <v>2016-12</v>
      </c>
    </row>
    <row r="508" spans="1:4" x14ac:dyDescent="0.25">
      <c r="A508" t="s">
        <v>1514</v>
      </c>
      <c r="B508">
        <v>2</v>
      </c>
      <c r="C508" s="56">
        <v>42736</v>
      </c>
      <c r="D508" s="3" t="str">
        <f>YEAR(Datos_Consumo[[#This Row],[FECHA]])&amp;"-"&amp;MONTH(Datos_Consumo[[#This Row],[FECHA]])</f>
        <v>2017-1</v>
      </c>
    </row>
    <row r="509" spans="1:4" x14ac:dyDescent="0.25">
      <c r="A509" t="s">
        <v>1515</v>
      </c>
      <c r="B509">
        <v>1</v>
      </c>
      <c r="C509" s="56">
        <v>42736</v>
      </c>
      <c r="D509" s="3" t="str">
        <f>YEAR(Datos_Consumo[[#This Row],[FECHA]])&amp;"-"&amp;MONTH(Datos_Consumo[[#This Row],[FECHA]])</f>
        <v>2017-1</v>
      </c>
    </row>
    <row r="510" spans="1:4" x14ac:dyDescent="0.25">
      <c r="A510" t="s">
        <v>1516</v>
      </c>
      <c r="B510">
        <v>1</v>
      </c>
      <c r="C510" s="56">
        <v>42705</v>
      </c>
      <c r="D510" s="3" t="str">
        <f>YEAR(Datos_Consumo[[#This Row],[FECHA]])&amp;"-"&amp;MONTH(Datos_Consumo[[#This Row],[FECHA]])</f>
        <v>2016-12</v>
      </c>
    </row>
    <row r="511" spans="1:4" x14ac:dyDescent="0.25">
      <c r="A511" t="s">
        <v>1811</v>
      </c>
      <c r="B511">
        <v>50</v>
      </c>
      <c r="C511" s="56">
        <v>42614</v>
      </c>
      <c r="D511" s="3" t="str">
        <f>YEAR(Datos_Consumo[[#This Row],[FECHA]])&amp;"-"&amp;MONTH(Datos_Consumo[[#This Row],[FECHA]])</f>
        <v>2016-9</v>
      </c>
    </row>
    <row r="512" spans="1:4" x14ac:dyDescent="0.25">
      <c r="A512" t="s">
        <v>1811</v>
      </c>
      <c r="B512">
        <v>56</v>
      </c>
      <c r="C512" s="56">
        <v>42644</v>
      </c>
      <c r="D512" s="3" t="str">
        <f>YEAR(Datos_Consumo[[#This Row],[FECHA]])&amp;"-"&amp;MONTH(Datos_Consumo[[#This Row],[FECHA]])</f>
        <v>2016-10</v>
      </c>
    </row>
    <row r="513" spans="1:4" x14ac:dyDescent="0.25">
      <c r="A513" t="s">
        <v>1812</v>
      </c>
      <c r="B513">
        <v>2850</v>
      </c>
      <c r="C513" s="56">
        <v>42614</v>
      </c>
      <c r="D513" s="3" t="str">
        <f>YEAR(Datos_Consumo[[#This Row],[FECHA]])&amp;"-"&amp;MONTH(Datos_Consumo[[#This Row],[FECHA]])</f>
        <v>2016-9</v>
      </c>
    </row>
    <row r="514" spans="1:4" x14ac:dyDescent="0.25">
      <c r="A514" t="s">
        <v>1812</v>
      </c>
      <c r="B514">
        <v>1850</v>
      </c>
      <c r="C514" s="56">
        <v>42644</v>
      </c>
      <c r="D514" s="3" t="str">
        <f>YEAR(Datos_Consumo[[#This Row],[FECHA]])&amp;"-"&amp;MONTH(Datos_Consumo[[#This Row],[FECHA]])</f>
        <v>2016-10</v>
      </c>
    </row>
    <row r="515" spans="1:4" x14ac:dyDescent="0.25">
      <c r="A515" t="s">
        <v>1813</v>
      </c>
      <c r="B515">
        <v>200</v>
      </c>
      <c r="C515" s="56">
        <v>42675</v>
      </c>
      <c r="D515" s="3" t="str">
        <f>YEAR(Datos_Consumo[[#This Row],[FECHA]])&amp;"-"&amp;MONTH(Datos_Consumo[[#This Row],[FECHA]])</f>
        <v>2016-11</v>
      </c>
    </row>
    <row r="516" spans="1:4" x14ac:dyDescent="0.25">
      <c r="A516" t="s">
        <v>1813</v>
      </c>
      <c r="B516">
        <v>4200</v>
      </c>
      <c r="C516" s="56">
        <v>42736</v>
      </c>
      <c r="D516" s="3" t="str">
        <f>YEAR(Datos_Consumo[[#This Row],[FECHA]])&amp;"-"&amp;MONTH(Datos_Consumo[[#This Row],[FECHA]])</f>
        <v>2017-1</v>
      </c>
    </row>
    <row r="517" spans="1:4" x14ac:dyDescent="0.25">
      <c r="A517" t="s">
        <v>1814</v>
      </c>
      <c r="B517">
        <v>5050</v>
      </c>
      <c r="C517" s="56">
        <v>42614</v>
      </c>
      <c r="D517" s="3" t="str">
        <f>YEAR(Datos_Consumo[[#This Row],[FECHA]])&amp;"-"&amp;MONTH(Datos_Consumo[[#This Row],[FECHA]])</f>
        <v>2016-9</v>
      </c>
    </row>
    <row r="518" spans="1:4" x14ac:dyDescent="0.25">
      <c r="A518" t="s">
        <v>1814</v>
      </c>
      <c r="B518">
        <v>11550</v>
      </c>
      <c r="C518" s="56">
        <v>42644</v>
      </c>
      <c r="D518" s="3" t="str">
        <f>YEAR(Datos_Consumo[[#This Row],[FECHA]])&amp;"-"&amp;MONTH(Datos_Consumo[[#This Row],[FECHA]])</f>
        <v>2016-10</v>
      </c>
    </row>
    <row r="519" spans="1:4" x14ac:dyDescent="0.25">
      <c r="A519" t="s">
        <v>1814</v>
      </c>
      <c r="B519">
        <v>300</v>
      </c>
      <c r="C519" s="56">
        <v>42675</v>
      </c>
      <c r="D519" s="3" t="str">
        <f>YEAR(Datos_Consumo[[#This Row],[FECHA]])&amp;"-"&amp;MONTH(Datos_Consumo[[#This Row],[FECHA]])</f>
        <v>2016-11</v>
      </c>
    </row>
    <row r="520" spans="1:4" x14ac:dyDescent="0.25">
      <c r="A520" t="s">
        <v>1814</v>
      </c>
      <c r="B520">
        <v>14800</v>
      </c>
      <c r="C520" s="56">
        <v>42705</v>
      </c>
      <c r="D520" s="3" t="str">
        <f>YEAR(Datos_Consumo[[#This Row],[FECHA]])&amp;"-"&amp;MONTH(Datos_Consumo[[#This Row],[FECHA]])</f>
        <v>2016-12</v>
      </c>
    </row>
    <row r="521" spans="1:4" x14ac:dyDescent="0.25">
      <c r="A521" t="s">
        <v>1814</v>
      </c>
      <c r="B521">
        <v>2300</v>
      </c>
      <c r="C521" s="56">
        <v>42736</v>
      </c>
      <c r="D521" s="3" t="str">
        <f>YEAR(Datos_Consumo[[#This Row],[FECHA]])&amp;"-"&amp;MONTH(Datos_Consumo[[#This Row],[FECHA]])</f>
        <v>2017-1</v>
      </c>
    </row>
    <row r="522" spans="1:4" x14ac:dyDescent="0.25">
      <c r="A522" t="s">
        <v>1815</v>
      </c>
      <c r="B522">
        <v>200</v>
      </c>
      <c r="C522" s="56">
        <v>42614</v>
      </c>
      <c r="D522" s="3" t="str">
        <f>YEAR(Datos_Consumo[[#This Row],[FECHA]])&amp;"-"&amp;MONTH(Datos_Consumo[[#This Row],[FECHA]])</f>
        <v>2016-9</v>
      </c>
    </row>
    <row r="523" spans="1:4" x14ac:dyDescent="0.25">
      <c r="A523" t="s">
        <v>1816</v>
      </c>
      <c r="B523">
        <v>1000</v>
      </c>
      <c r="C523" s="56">
        <v>42614</v>
      </c>
      <c r="D523" s="3" t="str">
        <f>YEAR(Datos_Consumo[[#This Row],[FECHA]])&amp;"-"&amp;MONTH(Datos_Consumo[[#This Row],[FECHA]])</f>
        <v>2016-9</v>
      </c>
    </row>
    <row r="524" spans="1:4" x14ac:dyDescent="0.25">
      <c r="A524" t="s">
        <v>1816</v>
      </c>
      <c r="B524">
        <v>200</v>
      </c>
      <c r="C524" s="56">
        <v>42675</v>
      </c>
      <c r="D524" s="3" t="str">
        <f>YEAR(Datos_Consumo[[#This Row],[FECHA]])&amp;"-"&amp;MONTH(Datos_Consumo[[#This Row],[FECHA]])</f>
        <v>2016-11</v>
      </c>
    </row>
    <row r="525" spans="1:4" x14ac:dyDescent="0.25">
      <c r="A525" t="s">
        <v>1816</v>
      </c>
      <c r="B525">
        <v>2200</v>
      </c>
      <c r="C525" s="56">
        <v>42736</v>
      </c>
      <c r="D525" s="3" t="str">
        <f>YEAR(Datos_Consumo[[#This Row],[FECHA]])&amp;"-"&amp;MONTH(Datos_Consumo[[#This Row],[FECHA]])</f>
        <v>2017-1</v>
      </c>
    </row>
    <row r="526" spans="1:4" x14ac:dyDescent="0.25">
      <c r="A526" t="s">
        <v>1817</v>
      </c>
      <c r="B526">
        <v>1</v>
      </c>
      <c r="C526" s="56">
        <v>42675</v>
      </c>
      <c r="D526" s="3" t="str">
        <f>YEAR(Datos_Consumo[[#This Row],[FECHA]])&amp;"-"&amp;MONTH(Datos_Consumo[[#This Row],[FECHA]])</f>
        <v>2016-11</v>
      </c>
    </row>
    <row r="527" spans="1:4" x14ac:dyDescent="0.25">
      <c r="A527" t="s">
        <v>1818</v>
      </c>
      <c r="B527">
        <v>50</v>
      </c>
      <c r="C527" s="56">
        <v>42614</v>
      </c>
      <c r="D527" s="3" t="str">
        <f>YEAR(Datos_Consumo[[#This Row],[FECHA]])&amp;"-"&amp;MONTH(Datos_Consumo[[#This Row],[FECHA]])</f>
        <v>2016-9</v>
      </c>
    </row>
    <row r="528" spans="1:4" x14ac:dyDescent="0.25">
      <c r="A528" t="s">
        <v>1818</v>
      </c>
      <c r="B528">
        <v>50</v>
      </c>
      <c r="C528" s="56">
        <v>42736</v>
      </c>
      <c r="D528" s="3" t="str">
        <f>YEAR(Datos_Consumo[[#This Row],[FECHA]])&amp;"-"&amp;MONTH(Datos_Consumo[[#This Row],[FECHA]])</f>
        <v>2017-1</v>
      </c>
    </row>
    <row r="529" spans="1:4" x14ac:dyDescent="0.25">
      <c r="A529" t="s">
        <v>1819</v>
      </c>
      <c r="B529">
        <v>20</v>
      </c>
      <c r="C529" s="56">
        <v>42644</v>
      </c>
      <c r="D529" s="3" t="str">
        <f>YEAR(Datos_Consumo[[#This Row],[FECHA]])&amp;"-"&amp;MONTH(Datos_Consumo[[#This Row],[FECHA]])</f>
        <v>2016-10</v>
      </c>
    </row>
    <row r="530" spans="1:4" x14ac:dyDescent="0.25">
      <c r="A530" t="s">
        <v>1819</v>
      </c>
      <c r="B530">
        <v>10</v>
      </c>
      <c r="C530" s="56">
        <v>42675</v>
      </c>
      <c r="D530" s="3" t="str">
        <f>YEAR(Datos_Consumo[[#This Row],[FECHA]])&amp;"-"&amp;MONTH(Datos_Consumo[[#This Row],[FECHA]])</f>
        <v>2016-11</v>
      </c>
    </row>
    <row r="531" spans="1:4" x14ac:dyDescent="0.25">
      <c r="A531" t="s">
        <v>1819</v>
      </c>
      <c r="B531">
        <v>15</v>
      </c>
      <c r="C531" s="56">
        <v>42705</v>
      </c>
      <c r="D531" s="3" t="str">
        <f>YEAR(Datos_Consumo[[#This Row],[FECHA]])&amp;"-"&amp;MONTH(Datos_Consumo[[#This Row],[FECHA]])</f>
        <v>2016-12</v>
      </c>
    </row>
    <row r="532" spans="1:4" x14ac:dyDescent="0.25">
      <c r="A532" t="s">
        <v>1819</v>
      </c>
      <c r="B532">
        <v>15</v>
      </c>
      <c r="C532" s="56">
        <v>42736</v>
      </c>
      <c r="D532" s="3" t="str">
        <f>YEAR(Datos_Consumo[[#This Row],[FECHA]])&amp;"-"&amp;MONTH(Datos_Consumo[[#This Row],[FECHA]])</f>
        <v>2017-1</v>
      </c>
    </row>
    <row r="533" spans="1:4" x14ac:dyDescent="0.25">
      <c r="A533" t="s">
        <v>1820</v>
      </c>
      <c r="B533">
        <v>500</v>
      </c>
      <c r="C533" s="56">
        <v>42705</v>
      </c>
      <c r="D533" s="3" t="str">
        <f>YEAR(Datos_Consumo[[#This Row],[FECHA]])&amp;"-"&amp;MONTH(Datos_Consumo[[#This Row],[FECHA]])</f>
        <v>2016-12</v>
      </c>
    </row>
    <row r="534" spans="1:4" x14ac:dyDescent="0.25">
      <c r="A534" t="s">
        <v>1820</v>
      </c>
      <c r="B534">
        <v>500</v>
      </c>
      <c r="C534" s="56">
        <v>42736</v>
      </c>
      <c r="D534" s="3" t="str">
        <f>YEAR(Datos_Consumo[[#This Row],[FECHA]])&amp;"-"&amp;MONTH(Datos_Consumo[[#This Row],[FECHA]])</f>
        <v>2017-1</v>
      </c>
    </row>
    <row r="535" spans="1:4" x14ac:dyDescent="0.25">
      <c r="A535" t="s">
        <v>1821</v>
      </c>
      <c r="B535">
        <v>500</v>
      </c>
      <c r="C535" s="56">
        <v>42705</v>
      </c>
      <c r="D535" s="3" t="str">
        <f>YEAR(Datos_Consumo[[#This Row],[FECHA]])&amp;"-"&amp;MONTH(Datos_Consumo[[#This Row],[FECHA]])</f>
        <v>2016-12</v>
      </c>
    </row>
    <row r="536" spans="1:4" x14ac:dyDescent="0.25">
      <c r="A536" t="s">
        <v>1821</v>
      </c>
      <c r="B536">
        <v>500</v>
      </c>
      <c r="C536" s="56">
        <v>42736</v>
      </c>
      <c r="D536" s="3" t="str">
        <f>YEAR(Datos_Consumo[[#This Row],[FECHA]])&amp;"-"&amp;MONTH(Datos_Consumo[[#This Row],[FECHA]])</f>
        <v>2017-1</v>
      </c>
    </row>
    <row r="537" spans="1:4" x14ac:dyDescent="0.25">
      <c r="A537" t="s">
        <v>1822</v>
      </c>
      <c r="B537">
        <v>500</v>
      </c>
      <c r="C537" s="56">
        <v>42705</v>
      </c>
      <c r="D537" s="3" t="str">
        <f>YEAR(Datos_Consumo[[#This Row],[FECHA]])&amp;"-"&amp;MONTH(Datos_Consumo[[#This Row],[FECHA]])</f>
        <v>2016-12</v>
      </c>
    </row>
    <row r="538" spans="1:4" x14ac:dyDescent="0.25">
      <c r="A538" t="s">
        <v>1822</v>
      </c>
      <c r="B538">
        <v>500</v>
      </c>
      <c r="C538" s="56">
        <v>42736</v>
      </c>
      <c r="D538" s="3" t="str">
        <f>YEAR(Datos_Consumo[[#This Row],[FECHA]])&amp;"-"&amp;MONTH(Datos_Consumo[[#This Row],[FECHA]])</f>
        <v>2017-1</v>
      </c>
    </row>
    <row r="539" spans="1:4" x14ac:dyDescent="0.25">
      <c r="A539" t="s">
        <v>1823</v>
      </c>
      <c r="B539">
        <v>3</v>
      </c>
      <c r="C539" s="56">
        <v>42614</v>
      </c>
      <c r="D539" s="3" t="str">
        <f>YEAR(Datos_Consumo[[#This Row],[FECHA]])&amp;"-"&amp;MONTH(Datos_Consumo[[#This Row],[FECHA]])</f>
        <v>2016-9</v>
      </c>
    </row>
    <row r="540" spans="1:4" x14ac:dyDescent="0.25">
      <c r="A540" t="s">
        <v>1824</v>
      </c>
      <c r="B540">
        <v>38</v>
      </c>
      <c r="C540" s="56">
        <v>42614</v>
      </c>
      <c r="D540" s="3" t="str">
        <f>YEAR(Datos_Consumo[[#This Row],[FECHA]])&amp;"-"&amp;MONTH(Datos_Consumo[[#This Row],[FECHA]])</f>
        <v>2016-9</v>
      </c>
    </row>
    <row r="541" spans="1:4" x14ac:dyDescent="0.25">
      <c r="A541" t="s">
        <v>1517</v>
      </c>
      <c r="B541">
        <v>13</v>
      </c>
      <c r="C541" s="56">
        <v>42614</v>
      </c>
      <c r="D541" s="3" t="str">
        <f>YEAR(Datos_Consumo[[#This Row],[FECHA]])&amp;"-"&amp;MONTH(Datos_Consumo[[#This Row],[FECHA]])</f>
        <v>2016-9</v>
      </c>
    </row>
    <row r="542" spans="1:4" x14ac:dyDescent="0.25">
      <c r="A542" t="s">
        <v>1517</v>
      </c>
      <c r="B542">
        <v>9</v>
      </c>
      <c r="C542" s="56">
        <v>42644</v>
      </c>
      <c r="D542" s="3" t="str">
        <f>YEAR(Datos_Consumo[[#This Row],[FECHA]])&amp;"-"&amp;MONTH(Datos_Consumo[[#This Row],[FECHA]])</f>
        <v>2016-10</v>
      </c>
    </row>
    <row r="543" spans="1:4" x14ac:dyDescent="0.25">
      <c r="A543" t="s">
        <v>1517</v>
      </c>
      <c r="B543">
        <v>31</v>
      </c>
      <c r="C543" s="56">
        <v>42675</v>
      </c>
      <c r="D543" s="3" t="str">
        <f>YEAR(Datos_Consumo[[#This Row],[FECHA]])&amp;"-"&amp;MONTH(Datos_Consumo[[#This Row],[FECHA]])</f>
        <v>2016-11</v>
      </c>
    </row>
    <row r="544" spans="1:4" x14ac:dyDescent="0.25">
      <c r="A544" t="s">
        <v>1517</v>
      </c>
      <c r="B544">
        <v>80</v>
      </c>
      <c r="C544" s="56">
        <v>42705</v>
      </c>
      <c r="D544" s="3" t="str">
        <f>YEAR(Datos_Consumo[[#This Row],[FECHA]])&amp;"-"&amp;MONTH(Datos_Consumo[[#This Row],[FECHA]])</f>
        <v>2016-12</v>
      </c>
    </row>
    <row r="545" spans="1:4" x14ac:dyDescent="0.25">
      <c r="A545" t="s">
        <v>1517</v>
      </c>
      <c r="B545">
        <v>48</v>
      </c>
      <c r="C545" s="56">
        <v>42736</v>
      </c>
      <c r="D545" s="3" t="str">
        <f>YEAR(Datos_Consumo[[#This Row],[FECHA]])&amp;"-"&amp;MONTH(Datos_Consumo[[#This Row],[FECHA]])</f>
        <v>2017-1</v>
      </c>
    </row>
    <row r="546" spans="1:4" x14ac:dyDescent="0.25">
      <c r="A546" t="s">
        <v>1517</v>
      </c>
      <c r="B546">
        <v>1</v>
      </c>
      <c r="C546" s="56">
        <v>42767</v>
      </c>
      <c r="D546" s="3" t="str">
        <f>YEAR(Datos_Consumo[[#This Row],[FECHA]])&amp;"-"&amp;MONTH(Datos_Consumo[[#This Row],[FECHA]])</f>
        <v>2017-2</v>
      </c>
    </row>
    <row r="547" spans="1:4" x14ac:dyDescent="0.25">
      <c r="A547" t="s">
        <v>1518</v>
      </c>
      <c r="B547">
        <v>1</v>
      </c>
      <c r="C547" s="56">
        <v>42644</v>
      </c>
      <c r="D547" s="3" t="str">
        <f>YEAR(Datos_Consumo[[#This Row],[FECHA]])&amp;"-"&amp;MONTH(Datos_Consumo[[#This Row],[FECHA]])</f>
        <v>2016-10</v>
      </c>
    </row>
    <row r="548" spans="1:4" x14ac:dyDescent="0.25">
      <c r="A548" t="s">
        <v>1519</v>
      </c>
      <c r="B548">
        <v>1</v>
      </c>
      <c r="C548" s="56">
        <v>42614</v>
      </c>
      <c r="D548" s="3" t="str">
        <f>YEAR(Datos_Consumo[[#This Row],[FECHA]])&amp;"-"&amp;MONTH(Datos_Consumo[[#This Row],[FECHA]])</f>
        <v>2016-9</v>
      </c>
    </row>
    <row r="549" spans="1:4" x14ac:dyDescent="0.25">
      <c r="A549" t="s">
        <v>1519</v>
      </c>
      <c r="B549">
        <v>1</v>
      </c>
      <c r="C549" s="56">
        <v>42644</v>
      </c>
      <c r="D549" s="3" t="str">
        <f>YEAR(Datos_Consumo[[#This Row],[FECHA]])&amp;"-"&amp;MONTH(Datos_Consumo[[#This Row],[FECHA]])</f>
        <v>2016-10</v>
      </c>
    </row>
    <row r="550" spans="1:4" x14ac:dyDescent="0.25">
      <c r="A550" t="s">
        <v>1519</v>
      </c>
      <c r="B550">
        <v>2</v>
      </c>
      <c r="C550" s="56">
        <v>42675</v>
      </c>
      <c r="D550" s="3" t="str">
        <f>YEAR(Datos_Consumo[[#This Row],[FECHA]])&amp;"-"&amp;MONTH(Datos_Consumo[[#This Row],[FECHA]])</f>
        <v>2016-11</v>
      </c>
    </row>
    <row r="551" spans="1:4" x14ac:dyDescent="0.25">
      <c r="A551" t="s">
        <v>1520</v>
      </c>
      <c r="B551">
        <v>1</v>
      </c>
      <c r="C551" s="56">
        <v>42614</v>
      </c>
      <c r="D551" s="3" t="str">
        <f>YEAR(Datos_Consumo[[#This Row],[FECHA]])&amp;"-"&amp;MONTH(Datos_Consumo[[#This Row],[FECHA]])</f>
        <v>2016-9</v>
      </c>
    </row>
    <row r="552" spans="1:4" x14ac:dyDescent="0.25">
      <c r="A552" t="s">
        <v>1521</v>
      </c>
      <c r="B552">
        <v>1</v>
      </c>
      <c r="C552" s="56">
        <v>42675</v>
      </c>
      <c r="D552" s="3" t="str">
        <f>YEAR(Datos_Consumo[[#This Row],[FECHA]])&amp;"-"&amp;MONTH(Datos_Consumo[[#This Row],[FECHA]])</f>
        <v>2016-11</v>
      </c>
    </row>
    <row r="553" spans="1:4" x14ac:dyDescent="0.25">
      <c r="A553" t="s">
        <v>1522</v>
      </c>
      <c r="B553">
        <v>3</v>
      </c>
      <c r="C553" s="56">
        <v>42614</v>
      </c>
      <c r="D553" s="3" t="str">
        <f>YEAR(Datos_Consumo[[#This Row],[FECHA]])&amp;"-"&amp;MONTH(Datos_Consumo[[#This Row],[FECHA]])</f>
        <v>2016-9</v>
      </c>
    </row>
    <row r="554" spans="1:4" x14ac:dyDescent="0.25">
      <c r="A554" t="s">
        <v>1523</v>
      </c>
      <c r="B554">
        <v>1</v>
      </c>
      <c r="C554" s="56">
        <v>42644</v>
      </c>
      <c r="D554" s="3" t="str">
        <f>YEAR(Datos_Consumo[[#This Row],[FECHA]])&amp;"-"&amp;MONTH(Datos_Consumo[[#This Row],[FECHA]])</f>
        <v>2016-10</v>
      </c>
    </row>
    <row r="555" spans="1:4" x14ac:dyDescent="0.25">
      <c r="A555" t="s">
        <v>1524</v>
      </c>
      <c r="B555">
        <v>1</v>
      </c>
      <c r="C555" s="56">
        <v>42614</v>
      </c>
      <c r="D555" s="3" t="str">
        <f>YEAR(Datos_Consumo[[#This Row],[FECHA]])&amp;"-"&amp;MONTH(Datos_Consumo[[#This Row],[FECHA]])</f>
        <v>2016-9</v>
      </c>
    </row>
    <row r="556" spans="1:4" x14ac:dyDescent="0.25">
      <c r="A556" t="s">
        <v>1524</v>
      </c>
      <c r="B556">
        <v>2</v>
      </c>
      <c r="C556" s="56">
        <v>42644</v>
      </c>
      <c r="D556" s="3" t="str">
        <f>YEAR(Datos_Consumo[[#This Row],[FECHA]])&amp;"-"&amp;MONTH(Datos_Consumo[[#This Row],[FECHA]])</f>
        <v>2016-10</v>
      </c>
    </row>
    <row r="557" spans="1:4" x14ac:dyDescent="0.25">
      <c r="A557" t="s">
        <v>1525</v>
      </c>
      <c r="B557">
        <v>7</v>
      </c>
      <c r="C557" s="56">
        <v>42614</v>
      </c>
      <c r="D557" s="3" t="str">
        <f>YEAR(Datos_Consumo[[#This Row],[FECHA]])&amp;"-"&amp;MONTH(Datos_Consumo[[#This Row],[FECHA]])</f>
        <v>2016-9</v>
      </c>
    </row>
    <row r="558" spans="1:4" x14ac:dyDescent="0.25">
      <c r="A558" t="s">
        <v>1525</v>
      </c>
      <c r="B558">
        <v>3</v>
      </c>
      <c r="C558" s="56">
        <v>42644</v>
      </c>
      <c r="D558" s="3" t="str">
        <f>YEAR(Datos_Consumo[[#This Row],[FECHA]])&amp;"-"&amp;MONTH(Datos_Consumo[[#This Row],[FECHA]])</f>
        <v>2016-10</v>
      </c>
    </row>
    <row r="559" spans="1:4" x14ac:dyDescent="0.25">
      <c r="A559" t="s">
        <v>1526</v>
      </c>
      <c r="B559">
        <v>1</v>
      </c>
      <c r="C559" s="56">
        <v>42614</v>
      </c>
      <c r="D559" s="3" t="str">
        <f>YEAR(Datos_Consumo[[#This Row],[FECHA]])&amp;"-"&amp;MONTH(Datos_Consumo[[#This Row],[FECHA]])</f>
        <v>2016-9</v>
      </c>
    </row>
    <row r="560" spans="1:4" x14ac:dyDescent="0.25">
      <c r="A560" t="s">
        <v>1526</v>
      </c>
      <c r="B560">
        <v>2</v>
      </c>
      <c r="C560" s="56">
        <v>42675</v>
      </c>
      <c r="D560" s="3" t="str">
        <f>YEAR(Datos_Consumo[[#This Row],[FECHA]])&amp;"-"&amp;MONTH(Datos_Consumo[[#This Row],[FECHA]])</f>
        <v>2016-11</v>
      </c>
    </row>
    <row r="561" spans="1:4" x14ac:dyDescent="0.25">
      <c r="A561" t="s">
        <v>1527</v>
      </c>
      <c r="B561">
        <v>2</v>
      </c>
      <c r="C561" s="56">
        <v>42614</v>
      </c>
      <c r="D561" s="3" t="str">
        <f>YEAR(Datos_Consumo[[#This Row],[FECHA]])&amp;"-"&amp;MONTH(Datos_Consumo[[#This Row],[FECHA]])</f>
        <v>2016-9</v>
      </c>
    </row>
    <row r="562" spans="1:4" x14ac:dyDescent="0.25">
      <c r="A562" t="s">
        <v>1527</v>
      </c>
      <c r="B562">
        <v>1</v>
      </c>
      <c r="C562" s="56">
        <v>42675</v>
      </c>
      <c r="D562" s="3" t="str">
        <f>YEAR(Datos_Consumo[[#This Row],[FECHA]])&amp;"-"&amp;MONTH(Datos_Consumo[[#This Row],[FECHA]])</f>
        <v>2016-11</v>
      </c>
    </row>
    <row r="563" spans="1:4" x14ac:dyDescent="0.25">
      <c r="A563" t="s">
        <v>1528</v>
      </c>
      <c r="B563">
        <v>1</v>
      </c>
      <c r="C563" s="56">
        <v>42614</v>
      </c>
      <c r="D563" s="3" t="str">
        <f>YEAR(Datos_Consumo[[#This Row],[FECHA]])&amp;"-"&amp;MONTH(Datos_Consumo[[#This Row],[FECHA]])</f>
        <v>2016-9</v>
      </c>
    </row>
    <row r="564" spans="1:4" x14ac:dyDescent="0.25">
      <c r="A564" t="s">
        <v>1528</v>
      </c>
      <c r="B564">
        <v>1</v>
      </c>
      <c r="C564" s="56">
        <v>42644</v>
      </c>
      <c r="D564" s="3" t="str">
        <f>YEAR(Datos_Consumo[[#This Row],[FECHA]])&amp;"-"&amp;MONTH(Datos_Consumo[[#This Row],[FECHA]])</f>
        <v>2016-10</v>
      </c>
    </row>
    <row r="565" spans="1:4" x14ac:dyDescent="0.25">
      <c r="A565" t="s">
        <v>1529</v>
      </c>
      <c r="B565">
        <v>1</v>
      </c>
      <c r="C565" s="56">
        <v>42644</v>
      </c>
      <c r="D565" s="3" t="str">
        <f>YEAR(Datos_Consumo[[#This Row],[FECHA]])&amp;"-"&amp;MONTH(Datos_Consumo[[#This Row],[FECHA]])</f>
        <v>2016-10</v>
      </c>
    </row>
    <row r="566" spans="1:4" x14ac:dyDescent="0.25">
      <c r="A566" t="s">
        <v>1530</v>
      </c>
      <c r="B566">
        <v>2</v>
      </c>
      <c r="C566" s="56">
        <v>42644</v>
      </c>
      <c r="D566" s="3" t="str">
        <f>YEAR(Datos_Consumo[[#This Row],[FECHA]])&amp;"-"&amp;MONTH(Datos_Consumo[[#This Row],[FECHA]])</f>
        <v>2016-10</v>
      </c>
    </row>
    <row r="567" spans="1:4" x14ac:dyDescent="0.25">
      <c r="A567" t="s">
        <v>1531</v>
      </c>
      <c r="B567">
        <v>10</v>
      </c>
      <c r="C567" s="56">
        <v>42614</v>
      </c>
      <c r="D567" s="3" t="str">
        <f>YEAR(Datos_Consumo[[#This Row],[FECHA]])&amp;"-"&amp;MONTH(Datos_Consumo[[#This Row],[FECHA]])</f>
        <v>2016-9</v>
      </c>
    </row>
    <row r="568" spans="1:4" x14ac:dyDescent="0.25">
      <c r="A568" t="s">
        <v>1531</v>
      </c>
      <c r="B568">
        <v>5</v>
      </c>
      <c r="C568" s="56">
        <v>42644</v>
      </c>
      <c r="D568" s="3" t="str">
        <f>YEAR(Datos_Consumo[[#This Row],[FECHA]])&amp;"-"&amp;MONTH(Datos_Consumo[[#This Row],[FECHA]])</f>
        <v>2016-10</v>
      </c>
    </row>
    <row r="569" spans="1:4" x14ac:dyDescent="0.25">
      <c r="A569" t="s">
        <v>1531</v>
      </c>
      <c r="B569">
        <v>1</v>
      </c>
      <c r="C569" s="56">
        <v>42675</v>
      </c>
      <c r="D569" s="3" t="str">
        <f>YEAR(Datos_Consumo[[#This Row],[FECHA]])&amp;"-"&amp;MONTH(Datos_Consumo[[#This Row],[FECHA]])</f>
        <v>2016-11</v>
      </c>
    </row>
    <row r="570" spans="1:4" x14ac:dyDescent="0.25">
      <c r="A570" t="s">
        <v>1532</v>
      </c>
      <c r="B570">
        <v>4</v>
      </c>
      <c r="C570" s="56">
        <v>42614</v>
      </c>
      <c r="D570" s="3" t="str">
        <f>YEAR(Datos_Consumo[[#This Row],[FECHA]])&amp;"-"&amp;MONTH(Datos_Consumo[[#This Row],[FECHA]])</f>
        <v>2016-9</v>
      </c>
    </row>
    <row r="571" spans="1:4" x14ac:dyDescent="0.25">
      <c r="A571" t="s">
        <v>1532</v>
      </c>
      <c r="B571">
        <v>5</v>
      </c>
      <c r="C571" s="56">
        <v>42644</v>
      </c>
      <c r="D571" s="3" t="str">
        <f>YEAR(Datos_Consumo[[#This Row],[FECHA]])&amp;"-"&amp;MONTH(Datos_Consumo[[#This Row],[FECHA]])</f>
        <v>2016-10</v>
      </c>
    </row>
    <row r="572" spans="1:4" x14ac:dyDescent="0.25">
      <c r="A572" t="s">
        <v>1532</v>
      </c>
      <c r="B572">
        <v>1</v>
      </c>
      <c r="C572" s="56">
        <v>42675</v>
      </c>
      <c r="D572" s="3" t="str">
        <f>YEAR(Datos_Consumo[[#This Row],[FECHA]])&amp;"-"&amp;MONTH(Datos_Consumo[[#This Row],[FECHA]])</f>
        <v>2016-11</v>
      </c>
    </row>
    <row r="573" spans="1:4" x14ac:dyDescent="0.25">
      <c r="A573" t="s">
        <v>1533</v>
      </c>
      <c r="B573">
        <v>1</v>
      </c>
      <c r="C573" s="56">
        <v>42614</v>
      </c>
      <c r="D573" s="3" t="str">
        <f>YEAR(Datos_Consumo[[#This Row],[FECHA]])&amp;"-"&amp;MONTH(Datos_Consumo[[#This Row],[FECHA]])</f>
        <v>2016-9</v>
      </c>
    </row>
    <row r="574" spans="1:4" x14ac:dyDescent="0.25">
      <c r="A574" t="s">
        <v>1533</v>
      </c>
      <c r="B574">
        <v>3</v>
      </c>
      <c r="C574" s="56">
        <v>42644</v>
      </c>
      <c r="D574" s="3" t="str">
        <f>YEAR(Datos_Consumo[[#This Row],[FECHA]])&amp;"-"&amp;MONTH(Datos_Consumo[[#This Row],[FECHA]])</f>
        <v>2016-10</v>
      </c>
    </row>
    <row r="575" spans="1:4" x14ac:dyDescent="0.25">
      <c r="A575" t="s">
        <v>1533</v>
      </c>
      <c r="B575">
        <v>4</v>
      </c>
      <c r="C575" s="56">
        <v>42675</v>
      </c>
      <c r="D575" s="3" t="str">
        <f>YEAR(Datos_Consumo[[#This Row],[FECHA]])&amp;"-"&amp;MONTH(Datos_Consumo[[#This Row],[FECHA]])</f>
        <v>2016-11</v>
      </c>
    </row>
    <row r="576" spans="1:4" x14ac:dyDescent="0.25">
      <c r="A576" t="s">
        <v>1534</v>
      </c>
      <c r="B576">
        <v>1</v>
      </c>
      <c r="C576" s="56">
        <v>42644</v>
      </c>
      <c r="D576" s="3" t="str">
        <f>YEAR(Datos_Consumo[[#This Row],[FECHA]])&amp;"-"&amp;MONTH(Datos_Consumo[[#This Row],[FECHA]])</f>
        <v>2016-10</v>
      </c>
    </row>
    <row r="577" spans="1:4" x14ac:dyDescent="0.25">
      <c r="A577" t="s">
        <v>1535</v>
      </c>
      <c r="B577">
        <v>1</v>
      </c>
      <c r="C577" s="56">
        <v>42614</v>
      </c>
      <c r="D577" s="3" t="str">
        <f>YEAR(Datos_Consumo[[#This Row],[FECHA]])&amp;"-"&amp;MONTH(Datos_Consumo[[#This Row],[FECHA]])</f>
        <v>2016-9</v>
      </c>
    </row>
    <row r="578" spans="1:4" x14ac:dyDescent="0.25">
      <c r="A578" t="s">
        <v>1536</v>
      </c>
      <c r="B578">
        <v>1</v>
      </c>
      <c r="C578" s="56">
        <v>42644</v>
      </c>
      <c r="D578" s="3" t="str">
        <f>YEAR(Datos_Consumo[[#This Row],[FECHA]])&amp;"-"&amp;MONTH(Datos_Consumo[[#This Row],[FECHA]])</f>
        <v>2016-10</v>
      </c>
    </row>
    <row r="579" spans="1:4" x14ac:dyDescent="0.25">
      <c r="A579" t="s">
        <v>1536</v>
      </c>
      <c r="B579">
        <v>2</v>
      </c>
      <c r="C579" s="56">
        <v>42675</v>
      </c>
      <c r="D579" s="3" t="str">
        <f>YEAR(Datos_Consumo[[#This Row],[FECHA]])&amp;"-"&amp;MONTH(Datos_Consumo[[#This Row],[FECHA]])</f>
        <v>2016-11</v>
      </c>
    </row>
    <row r="580" spans="1:4" x14ac:dyDescent="0.25">
      <c r="A580" t="s">
        <v>1537</v>
      </c>
      <c r="B580">
        <v>1</v>
      </c>
      <c r="C580" s="56">
        <v>42644</v>
      </c>
      <c r="D580" s="3" t="str">
        <f>YEAR(Datos_Consumo[[#This Row],[FECHA]])&amp;"-"&amp;MONTH(Datos_Consumo[[#This Row],[FECHA]])</f>
        <v>2016-10</v>
      </c>
    </row>
    <row r="581" spans="1:4" x14ac:dyDescent="0.25">
      <c r="A581" t="s">
        <v>1538</v>
      </c>
      <c r="B581">
        <v>1</v>
      </c>
      <c r="C581" s="56">
        <v>42644</v>
      </c>
      <c r="D581" s="3" t="str">
        <f>YEAR(Datos_Consumo[[#This Row],[FECHA]])&amp;"-"&amp;MONTH(Datos_Consumo[[#This Row],[FECHA]])</f>
        <v>2016-10</v>
      </c>
    </row>
    <row r="582" spans="1:4" x14ac:dyDescent="0.25">
      <c r="A582" t="s">
        <v>1539</v>
      </c>
      <c r="B582">
        <v>1</v>
      </c>
      <c r="C582" s="56">
        <v>42614</v>
      </c>
      <c r="D582" s="3" t="str">
        <f>YEAR(Datos_Consumo[[#This Row],[FECHA]])&amp;"-"&amp;MONTH(Datos_Consumo[[#This Row],[FECHA]])</f>
        <v>2016-9</v>
      </c>
    </row>
    <row r="583" spans="1:4" x14ac:dyDescent="0.25">
      <c r="A583" t="s">
        <v>1539</v>
      </c>
      <c r="B583">
        <v>2</v>
      </c>
      <c r="C583" s="56">
        <v>42644</v>
      </c>
      <c r="D583" s="3" t="str">
        <f>YEAR(Datos_Consumo[[#This Row],[FECHA]])&amp;"-"&amp;MONTH(Datos_Consumo[[#This Row],[FECHA]])</f>
        <v>2016-10</v>
      </c>
    </row>
    <row r="584" spans="1:4" x14ac:dyDescent="0.25">
      <c r="A584" t="s">
        <v>1539</v>
      </c>
      <c r="B584">
        <v>2</v>
      </c>
      <c r="C584" s="56">
        <v>42675</v>
      </c>
      <c r="D584" s="3" t="str">
        <f>YEAR(Datos_Consumo[[#This Row],[FECHA]])&amp;"-"&amp;MONTH(Datos_Consumo[[#This Row],[FECHA]])</f>
        <v>2016-11</v>
      </c>
    </row>
    <row r="585" spans="1:4" x14ac:dyDescent="0.25">
      <c r="A585" t="s">
        <v>1540</v>
      </c>
      <c r="B585">
        <v>1</v>
      </c>
      <c r="C585" s="56">
        <v>42614</v>
      </c>
      <c r="D585" s="3" t="str">
        <f>YEAR(Datos_Consumo[[#This Row],[FECHA]])&amp;"-"&amp;MONTH(Datos_Consumo[[#This Row],[FECHA]])</f>
        <v>2016-9</v>
      </c>
    </row>
    <row r="586" spans="1:4" x14ac:dyDescent="0.25">
      <c r="A586" t="s">
        <v>1540</v>
      </c>
      <c r="B586">
        <v>1</v>
      </c>
      <c r="C586" s="56">
        <v>42644</v>
      </c>
      <c r="D586" s="3" t="str">
        <f>YEAR(Datos_Consumo[[#This Row],[FECHA]])&amp;"-"&amp;MONTH(Datos_Consumo[[#This Row],[FECHA]])</f>
        <v>2016-10</v>
      </c>
    </row>
    <row r="587" spans="1:4" x14ac:dyDescent="0.25">
      <c r="A587" t="s">
        <v>1541</v>
      </c>
      <c r="B587">
        <v>2</v>
      </c>
      <c r="C587" s="56">
        <v>42614</v>
      </c>
      <c r="D587" s="3" t="str">
        <f>YEAR(Datos_Consumo[[#This Row],[FECHA]])&amp;"-"&amp;MONTH(Datos_Consumo[[#This Row],[FECHA]])</f>
        <v>2016-9</v>
      </c>
    </row>
    <row r="588" spans="1:4" x14ac:dyDescent="0.25">
      <c r="A588" t="s">
        <v>1541</v>
      </c>
      <c r="B588">
        <v>2</v>
      </c>
      <c r="C588" s="56">
        <v>42644</v>
      </c>
      <c r="D588" s="3" t="str">
        <f>YEAR(Datos_Consumo[[#This Row],[FECHA]])&amp;"-"&amp;MONTH(Datos_Consumo[[#This Row],[FECHA]])</f>
        <v>2016-10</v>
      </c>
    </row>
    <row r="589" spans="1:4" x14ac:dyDescent="0.25">
      <c r="A589" t="s">
        <v>1542</v>
      </c>
      <c r="B589">
        <v>1</v>
      </c>
      <c r="C589" s="56">
        <v>42614</v>
      </c>
      <c r="D589" s="3" t="str">
        <f>YEAR(Datos_Consumo[[#This Row],[FECHA]])&amp;"-"&amp;MONTH(Datos_Consumo[[#This Row],[FECHA]])</f>
        <v>2016-9</v>
      </c>
    </row>
    <row r="590" spans="1:4" x14ac:dyDescent="0.25">
      <c r="A590" t="s">
        <v>1542</v>
      </c>
      <c r="B590">
        <v>2</v>
      </c>
      <c r="C590" s="56">
        <v>42644</v>
      </c>
      <c r="D590" s="3" t="str">
        <f>YEAR(Datos_Consumo[[#This Row],[FECHA]])&amp;"-"&amp;MONTH(Datos_Consumo[[#This Row],[FECHA]])</f>
        <v>2016-10</v>
      </c>
    </row>
    <row r="591" spans="1:4" x14ac:dyDescent="0.25">
      <c r="A591" t="s">
        <v>1543</v>
      </c>
      <c r="B591">
        <v>1</v>
      </c>
      <c r="C591" s="56">
        <v>42614</v>
      </c>
      <c r="D591" s="3" t="str">
        <f>YEAR(Datos_Consumo[[#This Row],[FECHA]])&amp;"-"&amp;MONTH(Datos_Consumo[[#This Row],[FECHA]])</f>
        <v>2016-9</v>
      </c>
    </row>
    <row r="592" spans="1:4" x14ac:dyDescent="0.25">
      <c r="A592" t="s">
        <v>1543</v>
      </c>
      <c r="B592">
        <v>1</v>
      </c>
      <c r="C592" s="56">
        <v>42675</v>
      </c>
      <c r="D592" s="3" t="str">
        <f>YEAR(Datos_Consumo[[#This Row],[FECHA]])&amp;"-"&amp;MONTH(Datos_Consumo[[#This Row],[FECHA]])</f>
        <v>2016-11</v>
      </c>
    </row>
    <row r="593" spans="1:4" x14ac:dyDescent="0.25">
      <c r="A593" t="s">
        <v>1544</v>
      </c>
      <c r="B593">
        <v>1</v>
      </c>
      <c r="C593" s="56">
        <v>42644</v>
      </c>
      <c r="D593" s="3" t="str">
        <f>YEAR(Datos_Consumo[[#This Row],[FECHA]])&amp;"-"&amp;MONTH(Datos_Consumo[[#This Row],[FECHA]])</f>
        <v>2016-10</v>
      </c>
    </row>
    <row r="594" spans="1:4" x14ac:dyDescent="0.25">
      <c r="A594" t="s">
        <v>1545</v>
      </c>
      <c r="B594">
        <v>1</v>
      </c>
      <c r="C594" s="56">
        <v>42614</v>
      </c>
      <c r="D594" s="3" t="str">
        <f>YEAR(Datos_Consumo[[#This Row],[FECHA]])&amp;"-"&amp;MONTH(Datos_Consumo[[#This Row],[FECHA]])</f>
        <v>2016-9</v>
      </c>
    </row>
    <row r="595" spans="1:4" x14ac:dyDescent="0.25">
      <c r="A595" t="s">
        <v>1545</v>
      </c>
      <c r="B595">
        <v>1</v>
      </c>
      <c r="C595" s="56">
        <v>42644</v>
      </c>
      <c r="D595" s="3" t="str">
        <f>YEAR(Datos_Consumo[[#This Row],[FECHA]])&amp;"-"&amp;MONTH(Datos_Consumo[[#This Row],[FECHA]])</f>
        <v>2016-10</v>
      </c>
    </row>
    <row r="596" spans="1:4" x14ac:dyDescent="0.25">
      <c r="A596" t="s">
        <v>1546</v>
      </c>
      <c r="B596">
        <v>2</v>
      </c>
      <c r="C596" s="56">
        <v>42614</v>
      </c>
      <c r="D596" s="3" t="str">
        <f>YEAR(Datos_Consumo[[#This Row],[FECHA]])&amp;"-"&amp;MONTH(Datos_Consumo[[#This Row],[FECHA]])</f>
        <v>2016-9</v>
      </c>
    </row>
    <row r="597" spans="1:4" x14ac:dyDescent="0.25">
      <c r="A597" t="s">
        <v>1546</v>
      </c>
      <c r="B597">
        <v>1</v>
      </c>
      <c r="C597" s="56">
        <v>42644</v>
      </c>
      <c r="D597" s="3" t="str">
        <f>YEAR(Datos_Consumo[[#This Row],[FECHA]])&amp;"-"&amp;MONTH(Datos_Consumo[[#This Row],[FECHA]])</f>
        <v>2016-10</v>
      </c>
    </row>
    <row r="598" spans="1:4" x14ac:dyDescent="0.25">
      <c r="A598" t="s">
        <v>1547</v>
      </c>
      <c r="B598">
        <v>1</v>
      </c>
      <c r="C598" s="56">
        <v>42614</v>
      </c>
      <c r="D598" s="3" t="str">
        <f>YEAR(Datos_Consumo[[#This Row],[FECHA]])&amp;"-"&amp;MONTH(Datos_Consumo[[#This Row],[FECHA]])</f>
        <v>2016-9</v>
      </c>
    </row>
    <row r="599" spans="1:4" x14ac:dyDescent="0.25">
      <c r="A599" t="s">
        <v>1547</v>
      </c>
      <c r="B599">
        <v>2</v>
      </c>
      <c r="C599" s="56">
        <v>42644</v>
      </c>
      <c r="D599" s="3" t="str">
        <f>YEAR(Datos_Consumo[[#This Row],[FECHA]])&amp;"-"&amp;MONTH(Datos_Consumo[[#This Row],[FECHA]])</f>
        <v>2016-10</v>
      </c>
    </row>
    <row r="600" spans="1:4" x14ac:dyDescent="0.25">
      <c r="A600" t="s">
        <v>1548</v>
      </c>
      <c r="B600">
        <v>1</v>
      </c>
      <c r="C600" s="56">
        <v>42675</v>
      </c>
      <c r="D600" s="3" t="str">
        <f>YEAR(Datos_Consumo[[#This Row],[FECHA]])&amp;"-"&amp;MONTH(Datos_Consumo[[#This Row],[FECHA]])</f>
        <v>2016-11</v>
      </c>
    </row>
    <row r="601" spans="1:4" x14ac:dyDescent="0.25">
      <c r="A601" t="s">
        <v>1549</v>
      </c>
      <c r="B601">
        <v>1</v>
      </c>
      <c r="C601" s="56">
        <v>42614</v>
      </c>
      <c r="D601" s="3" t="str">
        <f>YEAR(Datos_Consumo[[#This Row],[FECHA]])&amp;"-"&amp;MONTH(Datos_Consumo[[#This Row],[FECHA]])</f>
        <v>2016-9</v>
      </c>
    </row>
    <row r="602" spans="1:4" x14ac:dyDescent="0.25">
      <c r="A602" t="s">
        <v>1549</v>
      </c>
      <c r="B602">
        <v>1</v>
      </c>
      <c r="C602" s="56">
        <v>42644</v>
      </c>
      <c r="D602" s="3" t="str">
        <f>YEAR(Datos_Consumo[[#This Row],[FECHA]])&amp;"-"&amp;MONTH(Datos_Consumo[[#This Row],[FECHA]])</f>
        <v>2016-10</v>
      </c>
    </row>
    <row r="603" spans="1:4" x14ac:dyDescent="0.25">
      <c r="A603" t="s">
        <v>1550</v>
      </c>
      <c r="B603">
        <v>1</v>
      </c>
      <c r="C603" s="56">
        <v>42614</v>
      </c>
      <c r="D603" s="3" t="str">
        <f>YEAR(Datos_Consumo[[#This Row],[FECHA]])&amp;"-"&amp;MONTH(Datos_Consumo[[#This Row],[FECHA]])</f>
        <v>2016-9</v>
      </c>
    </row>
    <row r="604" spans="1:4" x14ac:dyDescent="0.25">
      <c r="A604" t="s">
        <v>1551</v>
      </c>
      <c r="B604">
        <v>1</v>
      </c>
      <c r="C604" s="56">
        <v>42644</v>
      </c>
      <c r="D604" s="3" t="str">
        <f>YEAR(Datos_Consumo[[#This Row],[FECHA]])&amp;"-"&amp;MONTH(Datos_Consumo[[#This Row],[FECHA]])</f>
        <v>2016-10</v>
      </c>
    </row>
    <row r="605" spans="1:4" x14ac:dyDescent="0.25">
      <c r="A605" t="s">
        <v>1552</v>
      </c>
      <c r="B605">
        <v>1</v>
      </c>
      <c r="C605" s="56">
        <v>42614</v>
      </c>
      <c r="D605" s="3" t="str">
        <f>YEAR(Datos_Consumo[[#This Row],[FECHA]])&amp;"-"&amp;MONTH(Datos_Consumo[[#This Row],[FECHA]])</f>
        <v>2016-9</v>
      </c>
    </row>
    <row r="606" spans="1:4" x14ac:dyDescent="0.25">
      <c r="A606" t="s">
        <v>1552</v>
      </c>
      <c r="B606">
        <v>2</v>
      </c>
      <c r="C606" s="56">
        <v>42644</v>
      </c>
      <c r="D606" s="3" t="str">
        <f>YEAR(Datos_Consumo[[#This Row],[FECHA]])&amp;"-"&amp;MONTH(Datos_Consumo[[#This Row],[FECHA]])</f>
        <v>2016-10</v>
      </c>
    </row>
    <row r="607" spans="1:4" x14ac:dyDescent="0.25">
      <c r="A607" t="s">
        <v>1553</v>
      </c>
      <c r="B607">
        <v>1</v>
      </c>
      <c r="C607" s="56">
        <v>42614</v>
      </c>
      <c r="D607" s="3" t="str">
        <f>YEAR(Datos_Consumo[[#This Row],[FECHA]])&amp;"-"&amp;MONTH(Datos_Consumo[[#This Row],[FECHA]])</f>
        <v>2016-9</v>
      </c>
    </row>
    <row r="608" spans="1:4" x14ac:dyDescent="0.25">
      <c r="A608" t="s">
        <v>1553</v>
      </c>
      <c r="B608">
        <v>1</v>
      </c>
      <c r="C608" s="56">
        <v>42644</v>
      </c>
      <c r="D608" s="3" t="str">
        <f>YEAR(Datos_Consumo[[#This Row],[FECHA]])&amp;"-"&amp;MONTH(Datos_Consumo[[#This Row],[FECHA]])</f>
        <v>2016-10</v>
      </c>
    </row>
    <row r="609" spans="1:4" x14ac:dyDescent="0.25">
      <c r="A609" t="s">
        <v>1554</v>
      </c>
      <c r="B609">
        <v>2</v>
      </c>
      <c r="C609" s="56">
        <v>42644</v>
      </c>
      <c r="D609" s="3" t="str">
        <f>YEAR(Datos_Consumo[[#This Row],[FECHA]])&amp;"-"&amp;MONTH(Datos_Consumo[[#This Row],[FECHA]])</f>
        <v>2016-10</v>
      </c>
    </row>
    <row r="610" spans="1:4" x14ac:dyDescent="0.25">
      <c r="A610" t="s">
        <v>1555</v>
      </c>
      <c r="B610">
        <v>2</v>
      </c>
      <c r="C610" s="56">
        <v>42614</v>
      </c>
      <c r="D610" s="3" t="str">
        <f>YEAR(Datos_Consumo[[#This Row],[FECHA]])&amp;"-"&amp;MONTH(Datos_Consumo[[#This Row],[FECHA]])</f>
        <v>2016-9</v>
      </c>
    </row>
    <row r="611" spans="1:4" x14ac:dyDescent="0.25">
      <c r="A611" t="s">
        <v>1555</v>
      </c>
      <c r="B611">
        <v>3</v>
      </c>
      <c r="C611" s="56">
        <v>42736</v>
      </c>
      <c r="D611" s="3" t="str">
        <f>YEAR(Datos_Consumo[[#This Row],[FECHA]])&amp;"-"&amp;MONTH(Datos_Consumo[[#This Row],[FECHA]])</f>
        <v>2017-1</v>
      </c>
    </row>
    <row r="612" spans="1:4" x14ac:dyDescent="0.25">
      <c r="A612" t="s">
        <v>1555</v>
      </c>
      <c r="B612">
        <v>1</v>
      </c>
      <c r="C612" s="56">
        <v>42767</v>
      </c>
      <c r="D612" s="3" t="str">
        <f>YEAR(Datos_Consumo[[#This Row],[FECHA]])&amp;"-"&amp;MONTH(Datos_Consumo[[#This Row],[FECHA]])</f>
        <v>2017-2</v>
      </c>
    </row>
    <row r="613" spans="1:4" x14ac:dyDescent="0.25">
      <c r="A613" t="s">
        <v>1556</v>
      </c>
      <c r="B613">
        <v>2</v>
      </c>
      <c r="C613" s="56">
        <v>42614</v>
      </c>
      <c r="D613" s="3" t="str">
        <f>YEAR(Datos_Consumo[[#This Row],[FECHA]])&amp;"-"&amp;MONTH(Datos_Consumo[[#This Row],[FECHA]])</f>
        <v>2016-9</v>
      </c>
    </row>
    <row r="614" spans="1:4" x14ac:dyDescent="0.25">
      <c r="A614" t="s">
        <v>1556</v>
      </c>
      <c r="B614">
        <v>2</v>
      </c>
      <c r="C614" s="56">
        <v>42644</v>
      </c>
      <c r="D614" s="3" t="str">
        <f>YEAR(Datos_Consumo[[#This Row],[FECHA]])&amp;"-"&amp;MONTH(Datos_Consumo[[#This Row],[FECHA]])</f>
        <v>2016-10</v>
      </c>
    </row>
    <row r="615" spans="1:4" x14ac:dyDescent="0.25">
      <c r="A615" t="s">
        <v>1556</v>
      </c>
      <c r="B615">
        <v>1</v>
      </c>
      <c r="C615" s="56">
        <v>42675</v>
      </c>
      <c r="D615" s="3" t="str">
        <f>YEAR(Datos_Consumo[[#This Row],[FECHA]])&amp;"-"&amp;MONTH(Datos_Consumo[[#This Row],[FECHA]])</f>
        <v>2016-11</v>
      </c>
    </row>
    <row r="616" spans="1:4" x14ac:dyDescent="0.25">
      <c r="A616" t="s">
        <v>1556</v>
      </c>
      <c r="B616">
        <v>1</v>
      </c>
      <c r="C616" s="56">
        <v>42705</v>
      </c>
      <c r="D616" s="3" t="str">
        <f>YEAR(Datos_Consumo[[#This Row],[FECHA]])&amp;"-"&amp;MONTH(Datos_Consumo[[#This Row],[FECHA]])</f>
        <v>2016-12</v>
      </c>
    </row>
    <row r="617" spans="1:4" x14ac:dyDescent="0.25">
      <c r="A617" t="s">
        <v>1556</v>
      </c>
      <c r="B617">
        <v>5</v>
      </c>
      <c r="C617" s="56">
        <v>42736</v>
      </c>
      <c r="D617" s="3" t="str">
        <f>YEAR(Datos_Consumo[[#This Row],[FECHA]])&amp;"-"&amp;MONTH(Datos_Consumo[[#This Row],[FECHA]])</f>
        <v>2017-1</v>
      </c>
    </row>
    <row r="618" spans="1:4" x14ac:dyDescent="0.25">
      <c r="A618" t="s">
        <v>1557</v>
      </c>
      <c r="B618">
        <v>2</v>
      </c>
      <c r="C618" s="56">
        <v>42614</v>
      </c>
      <c r="D618" s="3" t="str">
        <f>YEAR(Datos_Consumo[[#This Row],[FECHA]])&amp;"-"&amp;MONTH(Datos_Consumo[[#This Row],[FECHA]])</f>
        <v>2016-9</v>
      </c>
    </row>
    <row r="619" spans="1:4" x14ac:dyDescent="0.25">
      <c r="A619" t="s">
        <v>1557</v>
      </c>
      <c r="B619">
        <v>1</v>
      </c>
      <c r="C619" s="56">
        <v>42644</v>
      </c>
      <c r="D619" s="3" t="str">
        <f>YEAR(Datos_Consumo[[#This Row],[FECHA]])&amp;"-"&amp;MONTH(Datos_Consumo[[#This Row],[FECHA]])</f>
        <v>2016-10</v>
      </c>
    </row>
    <row r="620" spans="1:4" x14ac:dyDescent="0.25">
      <c r="A620" t="s">
        <v>1557</v>
      </c>
      <c r="B620">
        <v>2</v>
      </c>
      <c r="C620" s="56">
        <v>42675</v>
      </c>
      <c r="D620" s="3" t="str">
        <f>YEAR(Datos_Consumo[[#This Row],[FECHA]])&amp;"-"&amp;MONTH(Datos_Consumo[[#This Row],[FECHA]])</f>
        <v>2016-11</v>
      </c>
    </row>
    <row r="621" spans="1:4" x14ac:dyDescent="0.25">
      <c r="A621" t="s">
        <v>1557</v>
      </c>
      <c r="B621">
        <v>2</v>
      </c>
      <c r="C621" s="56">
        <v>42705</v>
      </c>
      <c r="D621" s="3" t="str">
        <f>YEAR(Datos_Consumo[[#This Row],[FECHA]])&amp;"-"&amp;MONTH(Datos_Consumo[[#This Row],[FECHA]])</f>
        <v>2016-12</v>
      </c>
    </row>
    <row r="622" spans="1:4" x14ac:dyDescent="0.25">
      <c r="A622" t="s">
        <v>1557</v>
      </c>
      <c r="B622">
        <v>3</v>
      </c>
      <c r="C622" s="56">
        <v>42736</v>
      </c>
      <c r="D622" s="3" t="str">
        <f>YEAR(Datos_Consumo[[#This Row],[FECHA]])&amp;"-"&amp;MONTH(Datos_Consumo[[#This Row],[FECHA]])</f>
        <v>2017-1</v>
      </c>
    </row>
    <row r="623" spans="1:4" x14ac:dyDescent="0.25">
      <c r="A623" t="s">
        <v>1558</v>
      </c>
      <c r="B623">
        <v>2</v>
      </c>
      <c r="C623" s="56">
        <v>42614</v>
      </c>
      <c r="D623" s="3" t="str">
        <f>YEAR(Datos_Consumo[[#This Row],[FECHA]])&amp;"-"&amp;MONTH(Datos_Consumo[[#This Row],[FECHA]])</f>
        <v>2016-9</v>
      </c>
    </row>
    <row r="624" spans="1:4" x14ac:dyDescent="0.25">
      <c r="A624" t="s">
        <v>1558</v>
      </c>
      <c r="B624">
        <v>1</v>
      </c>
      <c r="C624" s="56">
        <v>42644</v>
      </c>
      <c r="D624" s="3" t="str">
        <f>YEAR(Datos_Consumo[[#This Row],[FECHA]])&amp;"-"&amp;MONTH(Datos_Consumo[[#This Row],[FECHA]])</f>
        <v>2016-10</v>
      </c>
    </row>
    <row r="625" spans="1:4" x14ac:dyDescent="0.25">
      <c r="A625" t="s">
        <v>1558</v>
      </c>
      <c r="B625">
        <v>2</v>
      </c>
      <c r="C625" s="56">
        <v>42675</v>
      </c>
      <c r="D625" s="3" t="str">
        <f>YEAR(Datos_Consumo[[#This Row],[FECHA]])&amp;"-"&amp;MONTH(Datos_Consumo[[#This Row],[FECHA]])</f>
        <v>2016-11</v>
      </c>
    </row>
    <row r="626" spans="1:4" x14ac:dyDescent="0.25">
      <c r="A626" t="s">
        <v>1558</v>
      </c>
      <c r="B626">
        <v>3</v>
      </c>
      <c r="C626" s="56">
        <v>42705</v>
      </c>
      <c r="D626" s="3" t="str">
        <f>YEAR(Datos_Consumo[[#This Row],[FECHA]])&amp;"-"&amp;MONTH(Datos_Consumo[[#This Row],[FECHA]])</f>
        <v>2016-12</v>
      </c>
    </row>
    <row r="627" spans="1:4" x14ac:dyDescent="0.25">
      <c r="A627" t="s">
        <v>1558</v>
      </c>
      <c r="B627">
        <v>3</v>
      </c>
      <c r="C627" s="56">
        <v>42736</v>
      </c>
      <c r="D627" s="3" t="str">
        <f>YEAR(Datos_Consumo[[#This Row],[FECHA]])&amp;"-"&amp;MONTH(Datos_Consumo[[#This Row],[FECHA]])</f>
        <v>2017-1</v>
      </c>
    </row>
    <row r="628" spans="1:4" x14ac:dyDescent="0.25">
      <c r="A628" t="s">
        <v>1559</v>
      </c>
      <c r="B628">
        <v>1</v>
      </c>
      <c r="C628" s="56">
        <v>42644</v>
      </c>
      <c r="D628" s="3" t="str">
        <f>YEAR(Datos_Consumo[[#This Row],[FECHA]])&amp;"-"&amp;MONTH(Datos_Consumo[[#This Row],[FECHA]])</f>
        <v>2016-10</v>
      </c>
    </row>
    <row r="629" spans="1:4" x14ac:dyDescent="0.25">
      <c r="A629" t="s">
        <v>1559</v>
      </c>
      <c r="B629">
        <v>2</v>
      </c>
      <c r="C629" s="56">
        <v>42675</v>
      </c>
      <c r="D629" s="3" t="str">
        <f>YEAR(Datos_Consumo[[#This Row],[FECHA]])&amp;"-"&amp;MONTH(Datos_Consumo[[#This Row],[FECHA]])</f>
        <v>2016-11</v>
      </c>
    </row>
    <row r="630" spans="1:4" x14ac:dyDescent="0.25">
      <c r="A630" t="s">
        <v>1559</v>
      </c>
      <c r="B630">
        <v>1</v>
      </c>
      <c r="C630" s="56">
        <v>42705</v>
      </c>
      <c r="D630" s="3" t="str">
        <f>YEAR(Datos_Consumo[[#This Row],[FECHA]])&amp;"-"&amp;MONTH(Datos_Consumo[[#This Row],[FECHA]])</f>
        <v>2016-12</v>
      </c>
    </row>
    <row r="631" spans="1:4" x14ac:dyDescent="0.25">
      <c r="A631" t="s">
        <v>1560</v>
      </c>
      <c r="B631">
        <v>1</v>
      </c>
      <c r="C631" s="56">
        <v>42614</v>
      </c>
      <c r="D631" s="3" t="str">
        <f>YEAR(Datos_Consumo[[#This Row],[FECHA]])&amp;"-"&amp;MONTH(Datos_Consumo[[#This Row],[FECHA]])</f>
        <v>2016-9</v>
      </c>
    </row>
    <row r="632" spans="1:4" x14ac:dyDescent="0.25">
      <c r="A632" t="s">
        <v>1560</v>
      </c>
      <c r="B632">
        <v>1</v>
      </c>
      <c r="C632" s="56">
        <v>42644</v>
      </c>
      <c r="D632" s="3" t="str">
        <f>YEAR(Datos_Consumo[[#This Row],[FECHA]])&amp;"-"&amp;MONTH(Datos_Consumo[[#This Row],[FECHA]])</f>
        <v>2016-10</v>
      </c>
    </row>
    <row r="633" spans="1:4" x14ac:dyDescent="0.25">
      <c r="A633" t="s">
        <v>1560</v>
      </c>
      <c r="B633">
        <v>1</v>
      </c>
      <c r="C633" s="56">
        <v>42675</v>
      </c>
      <c r="D633" s="3" t="str">
        <f>YEAR(Datos_Consumo[[#This Row],[FECHA]])&amp;"-"&amp;MONTH(Datos_Consumo[[#This Row],[FECHA]])</f>
        <v>2016-11</v>
      </c>
    </row>
    <row r="634" spans="1:4" x14ac:dyDescent="0.25">
      <c r="A634" t="s">
        <v>1560</v>
      </c>
      <c r="B634">
        <v>1</v>
      </c>
      <c r="C634" s="56">
        <v>42705</v>
      </c>
      <c r="D634" s="3" t="str">
        <f>YEAR(Datos_Consumo[[#This Row],[FECHA]])&amp;"-"&amp;MONTH(Datos_Consumo[[#This Row],[FECHA]])</f>
        <v>2016-12</v>
      </c>
    </row>
    <row r="635" spans="1:4" x14ac:dyDescent="0.25">
      <c r="A635" t="s">
        <v>1560</v>
      </c>
      <c r="B635">
        <v>1</v>
      </c>
      <c r="C635" s="56">
        <v>42736</v>
      </c>
      <c r="D635" s="3" t="str">
        <f>YEAR(Datos_Consumo[[#This Row],[FECHA]])&amp;"-"&amp;MONTH(Datos_Consumo[[#This Row],[FECHA]])</f>
        <v>2017-1</v>
      </c>
    </row>
    <row r="636" spans="1:4" x14ac:dyDescent="0.25">
      <c r="A636" t="s">
        <v>1561</v>
      </c>
      <c r="B636">
        <v>1</v>
      </c>
      <c r="C636" s="56">
        <v>42644</v>
      </c>
      <c r="D636" s="3" t="str">
        <f>YEAR(Datos_Consumo[[#This Row],[FECHA]])&amp;"-"&amp;MONTH(Datos_Consumo[[#This Row],[FECHA]])</f>
        <v>2016-10</v>
      </c>
    </row>
    <row r="637" spans="1:4" x14ac:dyDescent="0.25">
      <c r="A637" t="s">
        <v>1561</v>
      </c>
      <c r="B637">
        <v>4</v>
      </c>
      <c r="C637" s="56">
        <v>42675</v>
      </c>
      <c r="D637" s="3" t="str">
        <f>YEAR(Datos_Consumo[[#This Row],[FECHA]])&amp;"-"&amp;MONTH(Datos_Consumo[[#This Row],[FECHA]])</f>
        <v>2016-11</v>
      </c>
    </row>
    <row r="638" spans="1:4" x14ac:dyDescent="0.25">
      <c r="A638" t="s">
        <v>1561</v>
      </c>
      <c r="B638">
        <v>4</v>
      </c>
      <c r="C638" s="56">
        <v>42705</v>
      </c>
      <c r="D638" s="3" t="str">
        <f>YEAR(Datos_Consumo[[#This Row],[FECHA]])&amp;"-"&amp;MONTH(Datos_Consumo[[#This Row],[FECHA]])</f>
        <v>2016-12</v>
      </c>
    </row>
    <row r="639" spans="1:4" x14ac:dyDescent="0.25">
      <c r="A639" t="s">
        <v>1561</v>
      </c>
      <c r="B639">
        <v>1</v>
      </c>
      <c r="C639" s="56">
        <v>42736</v>
      </c>
      <c r="D639" s="3" t="str">
        <f>YEAR(Datos_Consumo[[#This Row],[FECHA]])&amp;"-"&amp;MONTH(Datos_Consumo[[#This Row],[FECHA]])</f>
        <v>2017-1</v>
      </c>
    </row>
    <row r="640" spans="1:4" x14ac:dyDescent="0.25">
      <c r="A640" t="s">
        <v>1562</v>
      </c>
      <c r="B640">
        <v>1</v>
      </c>
      <c r="C640" s="56">
        <v>42614</v>
      </c>
      <c r="D640" s="3" t="str">
        <f>YEAR(Datos_Consumo[[#This Row],[FECHA]])&amp;"-"&amp;MONTH(Datos_Consumo[[#This Row],[FECHA]])</f>
        <v>2016-9</v>
      </c>
    </row>
    <row r="641" spans="1:4" x14ac:dyDescent="0.25">
      <c r="A641" t="s">
        <v>1562</v>
      </c>
      <c r="B641">
        <v>1</v>
      </c>
      <c r="C641" s="56">
        <v>42675</v>
      </c>
      <c r="D641" s="3" t="str">
        <f>YEAR(Datos_Consumo[[#This Row],[FECHA]])&amp;"-"&amp;MONTH(Datos_Consumo[[#This Row],[FECHA]])</f>
        <v>2016-11</v>
      </c>
    </row>
    <row r="642" spans="1:4" x14ac:dyDescent="0.25">
      <c r="A642" t="s">
        <v>1562</v>
      </c>
      <c r="B642">
        <v>1</v>
      </c>
      <c r="C642" s="56">
        <v>42705</v>
      </c>
      <c r="D642" s="3" t="str">
        <f>YEAR(Datos_Consumo[[#This Row],[FECHA]])&amp;"-"&amp;MONTH(Datos_Consumo[[#This Row],[FECHA]])</f>
        <v>2016-12</v>
      </c>
    </row>
    <row r="643" spans="1:4" x14ac:dyDescent="0.25">
      <c r="A643" t="s">
        <v>1562</v>
      </c>
      <c r="B643">
        <v>3</v>
      </c>
      <c r="C643" s="56">
        <v>42736</v>
      </c>
      <c r="D643" s="3" t="str">
        <f>YEAR(Datos_Consumo[[#This Row],[FECHA]])&amp;"-"&amp;MONTH(Datos_Consumo[[#This Row],[FECHA]])</f>
        <v>2017-1</v>
      </c>
    </row>
    <row r="644" spans="1:4" x14ac:dyDescent="0.25">
      <c r="A644" t="s">
        <v>1563</v>
      </c>
      <c r="B644">
        <v>2</v>
      </c>
      <c r="C644" s="56">
        <v>42644</v>
      </c>
      <c r="D644" s="3" t="str">
        <f>YEAR(Datos_Consumo[[#This Row],[FECHA]])&amp;"-"&amp;MONTH(Datos_Consumo[[#This Row],[FECHA]])</f>
        <v>2016-10</v>
      </c>
    </row>
    <row r="645" spans="1:4" x14ac:dyDescent="0.25">
      <c r="A645" t="s">
        <v>1563</v>
      </c>
      <c r="B645">
        <v>2</v>
      </c>
      <c r="C645" s="56">
        <v>42675</v>
      </c>
      <c r="D645" s="3" t="str">
        <f>YEAR(Datos_Consumo[[#This Row],[FECHA]])&amp;"-"&amp;MONTH(Datos_Consumo[[#This Row],[FECHA]])</f>
        <v>2016-11</v>
      </c>
    </row>
    <row r="646" spans="1:4" x14ac:dyDescent="0.25">
      <c r="A646" t="s">
        <v>1563</v>
      </c>
      <c r="B646">
        <v>4</v>
      </c>
      <c r="C646" s="56">
        <v>42705</v>
      </c>
      <c r="D646" s="3" t="str">
        <f>YEAR(Datos_Consumo[[#This Row],[FECHA]])&amp;"-"&amp;MONTH(Datos_Consumo[[#This Row],[FECHA]])</f>
        <v>2016-12</v>
      </c>
    </row>
    <row r="647" spans="1:4" x14ac:dyDescent="0.25">
      <c r="A647" t="s">
        <v>1563</v>
      </c>
      <c r="B647">
        <v>3</v>
      </c>
      <c r="C647" s="56">
        <v>42736</v>
      </c>
      <c r="D647" s="3" t="str">
        <f>YEAR(Datos_Consumo[[#This Row],[FECHA]])&amp;"-"&amp;MONTH(Datos_Consumo[[#This Row],[FECHA]])</f>
        <v>2017-1</v>
      </c>
    </row>
    <row r="648" spans="1:4" x14ac:dyDescent="0.25">
      <c r="A648" t="s">
        <v>1564</v>
      </c>
      <c r="B648">
        <v>1</v>
      </c>
      <c r="C648" s="56">
        <v>42675</v>
      </c>
      <c r="D648" s="3" t="str">
        <f>YEAR(Datos_Consumo[[#This Row],[FECHA]])&amp;"-"&amp;MONTH(Datos_Consumo[[#This Row],[FECHA]])</f>
        <v>2016-11</v>
      </c>
    </row>
    <row r="649" spans="1:4" x14ac:dyDescent="0.25">
      <c r="A649" t="s">
        <v>1564</v>
      </c>
      <c r="B649">
        <v>2</v>
      </c>
      <c r="C649" s="56">
        <v>42705</v>
      </c>
      <c r="D649" s="3" t="str">
        <f>YEAR(Datos_Consumo[[#This Row],[FECHA]])&amp;"-"&amp;MONTH(Datos_Consumo[[#This Row],[FECHA]])</f>
        <v>2016-12</v>
      </c>
    </row>
    <row r="650" spans="1:4" x14ac:dyDescent="0.25">
      <c r="A650" t="s">
        <v>1564</v>
      </c>
      <c r="B650">
        <v>1</v>
      </c>
      <c r="C650" s="56">
        <v>42736</v>
      </c>
      <c r="D650" s="3" t="str">
        <f>YEAR(Datos_Consumo[[#This Row],[FECHA]])&amp;"-"&amp;MONTH(Datos_Consumo[[#This Row],[FECHA]])</f>
        <v>2017-1</v>
      </c>
    </row>
    <row r="651" spans="1:4" x14ac:dyDescent="0.25">
      <c r="A651" t="s">
        <v>1565</v>
      </c>
      <c r="B651">
        <v>3</v>
      </c>
      <c r="C651" s="56">
        <v>42614</v>
      </c>
      <c r="D651" s="3" t="str">
        <f>YEAR(Datos_Consumo[[#This Row],[FECHA]])&amp;"-"&amp;MONTH(Datos_Consumo[[#This Row],[FECHA]])</f>
        <v>2016-9</v>
      </c>
    </row>
    <row r="652" spans="1:4" x14ac:dyDescent="0.25">
      <c r="A652" t="s">
        <v>1565</v>
      </c>
      <c r="B652">
        <v>1</v>
      </c>
      <c r="C652" s="56">
        <v>42675</v>
      </c>
      <c r="D652" s="3" t="str">
        <f>YEAR(Datos_Consumo[[#This Row],[FECHA]])&amp;"-"&amp;MONTH(Datos_Consumo[[#This Row],[FECHA]])</f>
        <v>2016-11</v>
      </c>
    </row>
    <row r="653" spans="1:4" x14ac:dyDescent="0.25">
      <c r="A653" t="s">
        <v>1565</v>
      </c>
      <c r="B653">
        <v>1</v>
      </c>
      <c r="C653" s="56">
        <v>42705</v>
      </c>
      <c r="D653" s="3" t="str">
        <f>YEAR(Datos_Consumo[[#This Row],[FECHA]])&amp;"-"&amp;MONTH(Datos_Consumo[[#This Row],[FECHA]])</f>
        <v>2016-12</v>
      </c>
    </row>
    <row r="654" spans="1:4" x14ac:dyDescent="0.25">
      <c r="A654" t="s">
        <v>1565</v>
      </c>
      <c r="B654">
        <v>3</v>
      </c>
      <c r="C654" s="56">
        <v>42736</v>
      </c>
      <c r="D654" s="3" t="str">
        <f>YEAR(Datos_Consumo[[#This Row],[FECHA]])&amp;"-"&amp;MONTH(Datos_Consumo[[#This Row],[FECHA]])</f>
        <v>2017-1</v>
      </c>
    </row>
    <row r="655" spans="1:4" x14ac:dyDescent="0.25">
      <c r="A655" t="s">
        <v>1566</v>
      </c>
      <c r="B655">
        <v>4</v>
      </c>
      <c r="C655" s="56">
        <v>42614</v>
      </c>
      <c r="D655" s="3" t="str">
        <f>YEAR(Datos_Consumo[[#This Row],[FECHA]])&amp;"-"&amp;MONTH(Datos_Consumo[[#This Row],[FECHA]])</f>
        <v>2016-9</v>
      </c>
    </row>
    <row r="656" spans="1:4" x14ac:dyDescent="0.25">
      <c r="A656" t="s">
        <v>1566</v>
      </c>
      <c r="B656">
        <v>4</v>
      </c>
      <c r="C656" s="56">
        <v>42644</v>
      </c>
      <c r="D656" s="3" t="str">
        <f>YEAR(Datos_Consumo[[#This Row],[FECHA]])&amp;"-"&amp;MONTH(Datos_Consumo[[#This Row],[FECHA]])</f>
        <v>2016-10</v>
      </c>
    </row>
    <row r="657" spans="1:4" x14ac:dyDescent="0.25">
      <c r="A657" t="s">
        <v>1566</v>
      </c>
      <c r="B657">
        <v>1</v>
      </c>
      <c r="C657" s="56">
        <v>42675</v>
      </c>
      <c r="D657" s="3" t="str">
        <f>YEAR(Datos_Consumo[[#This Row],[FECHA]])&amp;"-"&amp;MONTH(Datos_Consumo[[#This Row],[FECHA]])</f>
        <v>2016-11</v>
      </c>
    </row>
    <row r="658" spans="1:4" x14ac:dyDescent="0.25">
      <c r="A658" t="s">
        <v>1566</v>
      </c>
      <c r="B658">
        <v>1</v>
      </c>
      <c r="C658" s="56">
        <v>42705</v>
      </c>
      <c r="D658" s="3" t="str">
        <f>YEAR(Datos_Consumo[[#This Row],[FECHA]])&amp;"-"&amp;MONTH(Datos_Consumo[[#This Row],[FECHA]])</f>
        <v>2016-12</v>
      </c>
    </row>
    <row r="659" spans="1:4" x14ac:dyDescent="0.25">
      <c r="A659" t="s">
        <v>1566</v>
      </c>
      <c r="B659">
        <v>9</v>
      </c>
      <c r="C659" s="56">
        <v>42736</v>
      </c>
      <c r="D659" s="3" t="str">
        <f>YEAR(Datos_Consumo[[#This Row],[FECHA]])&amp;"-"&amp;MONTH(Datos_Consumo[[#This Row],[FECHA]])</f>
        <v>2017-1</v>
      </c>
    </row>
    <row r="660" spans="1:4" x14ac:dyDescent="0.25">
      <c r="A660" t="s">
        <v>1567</v>
      </c>
      <c r="B660">
        <v>3</v>
      </c>
      <c r="C660" s="56">
        <v>42675</v>
      </c>
      <c r="D660" s="3" t="str">
        <f>YEAR(Datos_Consumo[[#This Row],[FECHA]])&amp;"-"&amp;MONTH(Datos_Consumo[[#This Row],[FECHA]])</f>
        <v>2016-11</v>
      </c>
    </row>
    <row r="661" spans="1:4" x14ac:dyDescent="0.25">
      <c r="A661" t="s">
        <v>1567</v>
      </c>
      <c r="B661">
        <v>3</v>
      </c>
      <c r="C661" s="56">
        <v>42705</v>
      </c>
      <c r="D661" s="3" t="str">
        <f>YEAR(Datos_Consumo[[#This Row],[FECHA]])&amp;"-"&amp;MONTH(Datos_Consumo[[#This Row],[FECHA]])</f>
        <v>2016-12</v>
      </c>
    </row>
    <row r="662" spans="1:4" x14ac:dyDescent="0.25">
      <c r="A662" t="s">
        <v>1567</v>
      </c>
      <c r="B662">
        <v>2</v>
      </c>
      <c r="C662" s="56">
        <v>42736</v>
      </c>
      <c r="D662" s="3" t="str">
        <f>YEAR(Datos_Consumo[[#This Row],[FECHA]])&amp;"-"&amp;MONTH(Datos_Consumo[[#This Row],[FECHA]])</f>
        <v>2017-1</v>
      </c>
    </row>
    <row r="663" spans="1:4" x14ac:dyDescent="0.25">
      <c r="A663" t="s">
        <v>1568</v>
      </c>
      <c r="B663">
        <v>3</v>
      </c>
      <c r="C663" s="56">
        <v>42614</v>
      </c>
      <c r="D663" s="3" t="str">
        <f>YEAR(Datos_Consumo[[#This Row],[FECHA]])&amp;"-"&amp;MONTH(Datos_Consumo[[#This Row],[FECHA]])</f>
        <v>2016-9</v>
      </c>
    </row>
    <row r="664" spans="1:4" x14ac:dyDescent="0.25">
      <c r="A664" t="s">
        <v>1568</v>
      </c>
      <c r="B664">
        <v>4</v>
      </c>
      <c r="C664" s="56">
        <v>42675</v>
      </c>
      <c r="D664" s="3" t="str">
        <f>YEAR(Datos_Consumo[[#This Row],[FECHA]])&amp;"-"&amp;MONTH(Datos_Consumo[[#This Row],[FECHA]])</f>
        <v>2016-11</v>
      </c>
    </row>
    <row r="665" spans="1:4" x14ac:dyDescent="0.25">
      <c r="A665" t="s">
        <v>1568</v>
      </c>
      <c r="B665">
        <v>1</v>
      </c>
      <c r="C665" s="56">
        <v>42705</v>
      </c>
      <c r="D665" s="3" t="str">
        <f>YEAR(Datos_Consumo[[#This Row],[FECHA]])&amp;"-"&amp;MONTH(Datos_Consumo[[#This Row],[FECHA]])</f>
        <v>2016-12</v>
      </c>
    </row>
    <row r="666" spans="1:4" x14ac:dyDescent="0.25">
      <c r="A666" t="s">
        <v>1568</v>
      </c>
      <c r="B666">
        <v>2</v>
      </c>
      <c r="C666" s="56">
        <v>42736</v>
      </c>
      <c r="D666" s="3" t="str">
        <f>YEAR(Datos_Consumo[[#This Row],[FECHA]])&amp;"-"&amp;MONTH(Datos_Consumo[[#This Row],[FECHA]])</f>
        <v>2017-1</v>
      </c>
    </row>
    <row r="667" spans="1:4" x14ac:dyDescent="0.25">
      <c r="A667" t="s">
        <v>1568</v>
      </c>
      <c r="B667">
        <v>1</v>
      </c>
      <c r="C667" s="56">
        <v>42767</v>
      </c>
      <c r="D667" s="3" t="str">
        <f>YEAR(Datos_Consumo[[#This Row],[FECHA]])&amp;"-"&amp;MONTH(Datos_Consumo[[#This Row],[FECHA]])</f>
        <v>2017-2</v>
      </c>
    </row>
    <row r="668" spans="1:4" x14ac:dyDescent="0.25">
      <c r="A668" t="s">
        <v>1569</v>
      </c>
      <c r="B668">
        <v>1</v>
      </c>
      <c r="C668" s="56">
        <v>42614</v>
      </c>
      <c r="D668" s="3" t="str">
        <f>YEAR(Datos_Consumo[[#This Row],[FECHA]])&amp;"-"&amp;MONTH(Datos_Consumo[[#This Row],[FECHA]])</f>
        <v>2016-9</v>
      </c>
    </row>
    <row r="669" spans="1:4" x14ac:dyDescent="0.25">
      <c r="A669" t="s">
        <v>1569</v>
      </c>
      <c r="B669">
        <v>2</v>
      </c>
      <c r="C669" s="56">
        <v>42644</v>
      </c>
      <c r="D669" s="3" t="str">
        <f>YEAR(Datos_Consumo[[#This Row],[FECHA]])&amp;"-"&amp;MONTH(Datos_Consumo[[#This Row],[FECHA]])</f>
        <v>2016-10</v>
      </c>
    </row>
    <row r="670" spans="1:4" x14ac:dyDescent="0.25">
      <c r="A670" t="s">
        <v>1569</v>
      </c>
      <c r="B670">
        <v>3</v>
      </c>
      <c r="C670" s="56">
        <v>42675</v>
      </c>
      <c r="D670" s="3" t="str">
        <f>YEAR(Datos_Consumo[[#This Row],[FECHA]])&amp;"-"&amp;MONTH(Datos_Consumo[[#This Row],[FECHA]])</f>
        <v>2016-11</v>
      </c>
    </row>
    <row r="671" spans="1:4" x14ac:dyDescent="0.25">
      <c r="A671" t="s">
        <v>1569</v>
      </c>
      <c r="B671">
        <v>1</v>
      </c>
      <c r="C671" s="56">
        <v>42705</v>
      </c>
      <c r="D671" s="3" t="str">
        <f>YEAR(Datos_Consumo[[#This Row],[FECHA]])&amp;"-"&amp;MONTH(Datos_Consumo[[#This Row],[FECHA]])</f>
        <v>2016-12</v>
      </c>
    </row>
    <row r="672" spans="1:4" x14ac:dyDescent="0.25">
      <c r="A672" t="s">
        <v>1569</v>
      </c>
      <c r="B672">
        <v>1</v>
      </c>
      <c r="C672" s="56">
        <v>42736</v>
      </c>
      <c r="D672" s="3" t="str">
        <f>YEAR(Datos_Consumo[[#This Row],[FECHA]])&amp;"-"&amp;MONTH(Datos_Consumo[[#This Row],[FECHA]])</f>
        <v>2017-1</v>
      </c>
    </row>
    <row r="673" spans="1:4" x14ac:dyDescent="0.25">
      <c r="A673" t="s">
        <v>1570</v>
      </c>
      <c r="B673">
        <v>3</v>
      </c>
      <c r="C673" s="56">
        <v>42705</v>
      </c>
      <c r="D673" s="3" t="str">
        <f>YEAR(Datos_Consumo[[#This Row],[FECHA]])&amp;"-"&amp;MONTH(Datos_Consumo[[#This Row],[FECHA]])</f>
        <v>2016-12</v>
      </c>
    </row>
    <row r="674" spans="1:4" x14ac:dyDescent="0.25">
      <c r="A674" t="s">
        <v>1570</v>
      </c>
      <c r="B674">
        <v>1</v>
      </c>
      <c r="C674" s="56">
        <v>42736</v>
      </c>
      <c r="D674" s="3" t="str">
        <f>YEAR(Datos_Consumo[[#This Row],[FECHA]])&amp;"-"&amp;MONTH(Datos_Consumo[[#This Row],[FECHA]])</f>
        <v>2017-1</v>
      </c>
    </row>
    <row r="675" spans="1:4" x14ac:dyDescent="0.25">
      <c r="A675" t="s">
        <v>1571</v>
      </c>
      <c r="B675">
        <v>3</v>
      </c>
      <c r="C675" s="56">
        <v>42614</v>
      </c>
      <c r="D675" s="3" t="str">
        <f>YEAR(Datos_Consumo[[#This Row],[FECHA]])&amp;"-"&amp;MONTH(Datos_Consumo[[#This Row],[FECHA]])</f>
        <v>2016-9</v>
      </c>
    </row>
    <row r="676" spans="1:4" x14ac:dyDescent="0.25">
      <c r="A676" t="s">
        <v>1571</v>
      </c>
      <c r="B676">
        <v>3</v>
      </c>
      <c r="C676" s="56">
        <v>42644</v>
      </c>
      <c r="D676" s="3" t="str">
        <f>YEAR(Datos_Consumo[[#This Row],[FECHA]])&amp;"-"&amp;MONTH(Datos_Consumo[[#This Row],[FECHA]])</f>
        <v>2016-10</v>
      </c>
    </row>
    <row r="677" spans="1:4" x14ac:dyDescent="0.25">
      <c r="A677" t="s">
        <v>1571</v>
      </c>
      <c r="B677">
        <v>2</v>
      </c>
      <c r="C677" s="56">
        <v>42675</v>
      </c>
      <c r="D677" s="3" t="str">
        <f>YEAR(Datos_Consumo[[#This Row],[FECHA]])&amp;"-"&amp;MONTH(Datos_Consumo[[#This Row],[FECHA]])</f>
        <v>2016-11</v>
      </c>
    </row>
    <row r="678" spans="1:4" x14ac:dyDescent="0.25">
      <c r="A678" t="s">
        <v>1571</v>
      </c>
      <c r="B678">
        <v>2</v>
      </c>
      <c r="C678" s="56">
        <v>42705</v>
      </c>
      <c r="D678" s="3" t="str">
        <f>YEAR(Datos_Consumo[[#This Row],[FECHA]])&amp;"-"&amp;MONTH(Datos_Consumo[[#This Row],[FECHA]])</f>
        <v>2016-12</v>
      </c>
    </row>
    <row r="679" spans="1:4" x14ac:dyDescent="0.25">
      <c r="A679" t="s">
        <v>1571</v>
      </c>
      <c r="B679">
        <v>1</v>
      </c>
      <c r="C679" s="56">
        <v>42736</v>
      </c>
      <c r="D679" s="3" t="str">
        <f>YEAR(Datos_Consumo[[#This Row],[FECHA]])&amp;"-"&amp;MONTH(Datos_Consumo[[#This Row],[FECHA]])</f>
        <v>2017-1</v>
      </c>
    </row>
    <row r="680" spans="1:4" x14ac:dyDescent="0.25">
      <c r="A680" t="s">
        <v>1572</v>
      </c>
      <c r="B680">
        <v>5</v>
      </c>
      <c r="C680" s="56">
        <v>42614</v>
      </c>
      <c r="D680" s="3" t="str">
        <f>YEAR(Datos_Consumo[[#This Row],[FECHA]])&amp;"-"&amp;MONTH(Datos_Consumo[[#This Row],[FECHA]])</f>
        <v>2016-9</v>
      </c>
    </row>
    <row r="681" spans="1:4" x14ac:dyDescent="0.25">
      <c r="A681" t="s">
        <v>1572</v>
      </c>
      <c r="B681">
        <v>1</v>
      </c>
      <c r="C681" s="56">
        <v>42644</v>
      </c>
      <c r="D681" s="3" t="str">
        <f>YEAR(Datos_Consumo[[#This Row],[FECHA]])&amp;"-"&amp;MONTH(Datos_Consumo[[#This Row],[FECHA]])</f>
        <v>2016-10</v>
      </c>
    </row>
    <row r="682" spans="1:4" x14ac:dyDescent="0.25">
      <c r="A682" t="s">
        <v>1572</v>
      </c>
      <c r="B682">
        <v>5</v>
      </c>
      <c r="C682" s="56">
        <v>42675</v>
      </c>
      <c r="D682" s="3" t="str">
        <f>YEAR(Datos_Consumo[[#This Row],[FECHA]])&amp;"-"&amp;MONTH(Datos_Consumo[[#This Row],[FECHA]])</f>
        <v>2016-11</v>
      </c>
    </row>
    <row r="683" spans="1:4" x14ac:dyDescent="0.25">
      <c r="A683" t="s">
        <v>1572</v>
      </c>
      <c r="B683">
        <v>4</v>
      </c>
      <c r="C683" s="56">
        <v>42705</v>
      </c>
      <c r="D683" s="3" t="str">
        <f>YEAR(Datos_Consumo[[#This Row],[FECHA]])&amp;"-"&amp;MONTH(Datos_Consumo[[#This Row],[FECHA]])</f>
        <v>2016-12</v>
      </c>
    </row>
    <row r="684" spans="1:4" x14ac:dyDescent="0.25">
      <c r="A684" t="s">
        <v>1572</v>
      </c>
      <c r="B684">
        <v>1</v>
      </c>
      <c r="C684" s="56">
        <v>42736</v>
      </c>
      <c r="D684" s="3" t="str">
        <f>YEAR(Datos_Consumo[[#This Row],[FECHA]])&amp;"-"&amp;MONTH(Datos_Consumo[[#This Row],[FECHA]])</f>
        <v>2017-1</v>
      </c>
    </row>
    <row r="685" spans="1:4" x14ac:dyDescent="0.25">
      <c r="A685" t="s">
        <v>1573</v>
      </c>
      <c r="B685">
        <v>2</v>
      </c>
      <c r="C685" s="56">
        <v>42614</v>
      </c>
      <c r="D685" s="3" t="str">
        <f>YEAR(Datos_Consumo[[#This Row],[FECHA]])&amp;"-"&amp;MONTH(Datos_Consumo[[#This Row],[FECHA]])</f>
        <v>2016-9</v>
      </c>
    </row>
    <row r="686" spans="1:4" x14ac:dyDescent="0.25">
      <c r="A686" t="s">
        <v>1573</v>
      </c>
      <c r="B686">
        <v>3</v>
      </c>
      <c r="C686" s="56">
        <v>42675</v>
      </c>
      <c r="D686" s="3" t="str">
        <f>YEAR(Datos_Consumo[[#This Row],[FECHA]])&amp;"-"&amp;MONTH(Datos_Consumo[[#This Row],[FECHA]])</f>
        <v>2016-11</v>
      </c>
    </row>
    <row r="687" spans="1:4" x14ac:dyDescent="0.25">
      <c r="A687" t="s">
        <v>1573</v>
      </c>
      <c r="B687">
        <v>5</v>
      </c>
      <c r="C687" s="56">
        <v>42705</v>
      </c>
      <c r="D687" s="3" t="str">
        <f>YEAR(Datos_Consumo[[#This Row],[FECHA]])&amp;"-"&amp;MONTH(Datos_Consumo[[#This Row],[FECHA]])</f>
        <v>2016-12</v>
      </c>
    </row>
    <row r="688" spans="1:4" x14ac:dyDescent="0.25">
      <c r="A688" t="s">
        <v>1573</v>
      </c>
      <c r="B688">
        <v>4</v>
      </c>
      <c r="C688" s="56">
        <v>42736</v>
      </c>
      <c r="D688" s="3" t="str">
        <f>YEAR(Datos_Consumo[[#This Row],[FECHA]])&amp;"-"&amp;MONTH(Datos_Consumo[[#This Row],[FECHA]])</f>
        <v>2017-1</v>
      </c>
    </row>
    <row r="689" spans="1:4" x14ac:dyDescent="0.25">
      <c r="A689" t="s">
        <v>1574</v>
      </c>
      <c r="B689">
        <v>2</v>
      </c>
      <c r="C689" s="56">
        <v>42705</v>
      </c>
      <c r="D689" s="3" t="str">
        <f>YEAR(Datos_Consumo[[#This Row],[FECHA]])&amp;"-"&amp;MONTH(Datos_Consumo[[#This Row],[FECHA]])</f>
        <v>2016-12</v>
      </c>
    </row>
    <row r="690" spans="1:4" x14ac:dyDescent="0.25">
      <c r="A690" t="s">
        <v>1574</v>
      </c>
      <c r="B690">
        <v>2</v>
      </c>
      <c r="C690" s="56">
        <v>42736</v>
      </c>
      <c r="D690" s="3" t="str">
        <f>YEAR(Datos_Consumo[[#This Row],[FECHA]])&amp;"-"&amp;MONTH(Datos_Consumo[[#This Row],[FECHA]])</f>
        <v>2017-1</v>
      </c>
    </row>
    <row r="691" spans="1:4" x14ac:dyDescent="0.25">
      <c r="A691" t="s">
        <v>1575</v>
      </c>
      <c r="B691">
        <v>1</v>
      </c>
      <c r="C691" s="56">
        <v>42614</v>
      </c>
      <c r="D691" s="3" t="str">
        <f>YEAR(Datos_Consumo[[#This Row],[FECHA]])&amp;"-"&amp;MONTH(Datos_Consumo[[#This Row],[FECHA]])</f>
        <v>2016-9</v>
      </c>
    </row>
    <row r="692" spans="1:4" x14ac:dyDescent="0.25">
      <c r="A692" t="s">
        <v>1575</v>
      </c>
      <c r="B692">
        <v>2</v>
      </c>
      <c r="C692" s="56">
        <v>42644</v>
      </c>
      <c r="D692" s="3" t="str">
        <f>YEAR(Datos_Consumo[[#This Row],[FECHA]])&amp;"-"&amp;MONTH(Datos_Consumo[[#This Row],[FECHA]])</f>
        <v>2016-10</v>
      </c>
    </row>
    <row r="693" spans="1:4" x14ac:dyDescent="0.25">
      <c r="A693" t="s">
        <v>1575</v>
      </c>
      <c r="B693">
        <v>3</v>
      </c>
      <c r="C693" s="56">
        <v>42705</v>
      </c>
      <c r="D693" s="3" t="str">
        <f>YEAR(Datos_Consumo[[#This Row],[FECHA]])&amp;"-"&amp;MONTH(Datos_Consumo[[#This Row],[FECHA]])</f>
        <v>2016-12</v>
      </c>
    </row>
    <row r="694" spans="1:4" x14ac:dyDescent="0.25">
      <c r="A694" t="s">
        <v>1575</v>
      </c>
      <c r="B694">
        <v>1</v>
      </c>
      <c r="C694" s="56">
        <v>42736</v>
      </c>
      <c r="D694" s="3" t="str">
        <f>YEAR(Datos_Consumo[[#This Row],[FECHA]])&amp;"-"&amp;MONTH(Datos_Consumo[[#This Row],[FECHA]])</f>
        <v>2017-1</v>
      </c>
    </row>
    <row r="695" spans="1:4" x14ac:dyDescent="0.25">
      <c r="A695" t="s">
        <v>1576</v>
      </c>
      <c r="B695">
        <v>1</v>
      </c>
      <c r="C695" s="56">
        <v>42675</v>
      </c>
      <c r="D695" s="3" t="str">
        <f>YEAR(Datos_Consumo[[#This Row],[FECHA]])&amp;"-"&amp;MONTH(Datos_Consumo[[#This Row],[FECHA]])</f>
        <v>2016-11</v>
      </c>
    </row>
    <row r="696" spans="1:4" x14ac:dyDescent="0.25">
      <c r="A696" t="s">
        <v>1576</v>
      </c>
      <c r="B696">
        <v>2</v>
      </c>
      <c r="C696" s="56">
        <v>42705</v>
      </c>
      <c r="D696" s="3" t="str">
        <f>YEAR(Datos_Consumo[[#This Row],[FECHA]])&amp;"-"&amp;MONTH(Datos_Consumo[[#This Row],[FECHA]])</f>
        <v>2016-12</v>
      </c>
    </row>
    <row r="697" spans="1:4" x14ac:dyDescent="0.25">
      <c r="A697" t="s">
        <v>1576</v>
      </c>
      <c r="B697">
        <v>1</v>
      </c>
      <c r="C697" s="56">
        <v>42736</v>
      </c>
      <c r="D697" s="3" t="str">
        <f>YEAR(Datos_Consumo[[#This Row],[FECHA]])&amp;"-"&amp;MONTH(Datos_Consumo[[#This Row],[FECHA]])</f>
        <v>2017-1</v>
      </c>
    </row>
    <row r="698" spans="1:4" x14ac:dyDescent="0.25">
      <c r="A698" t="s">
        <v>1577</v>
      </c>
      <c r="B698">
        <v>1</v>
      </c>
      <c r="C698" s="56">
        <v>42675</v>
      </c>
      <c r="D698" s="3" t="str">
        <f>YEAR(Datos_Consumo[[#This Row],[FECHA]])&amp;"-"&amp;MONTH(Datos_Consumo[[#This Row],[FECHA]])</f>
        <v>2016-11</v>
      </c>
    </row>
    <row r="699" spans="1:4" x14ac:dyDescent="0.25">
      <c r="A699" t="s">
        <v>1578</v>
      </c>
      <c r="B699">
        <v>1</v>
      </c>
      <c r="C699" s="56">
        <v>42675</v>
      </c>
      <c r="D699" s="3" t="str">
        <f>YEAR(Datos_Consumo[[#This Row],[FECHA]])&amp;"-"&amp;MONTH(Datos_Consumo[[#This Row],[FECHA]])</f>
        <v>2016-11</v>
      </c>
    </row>
    <row r="700" spans="1:4" x14ac:dyDescent="0.25">
      <c r="A700" t="s">
        <v>1579</v>
      </c>
      <c r="B700">
        <v>3</v>
      </c>
      <c r="C700" s="56">
        <v>42736</v>
      </c>
      <c r="D700" s="3" t="str">
        <f>YEAR(Datos_Consumo[[#This Row],[FECHA]])&amp;"-"&amp;MONTH(Datos_Consumo[[#This Row],[FECHA]])</f>
        <v>2017-1</v>
      </c>
    </row>
    <row r="701" spans="1:4" x14ac:dyDescent="0.25">
      <c r="A701" t="s">
        <v>1580</v>
      </c>
      <c r="B701">
        <v>1</v>
      </c>
      <c r="C701" s="56">
        <v>42614</v>
      </c>
      <c r="D701" s="3" t="str">
        <f>YEAR(Datos_Consumo[[#This Row],[FECHA]])&amp;"-"&amp;MONTH(Datos_Consumo[[#This Row],[FECHA]])</f>
        <v>2016-9</v>
      </c>
    </row>
    <row r="702" spans="1:4" x14ac:dyDescent="0.25">
      <c r="A702" t="s">
        <v>1581</v>
      </c>
      <c r="B702">
        <v>2</v>
      </c>
      <c r="C702" s="56">
        <v>42675</v>
      </c>
      <c r="D702" s="3" t="str">
        <f>YEAR(Datos_Consumo[[#This Row],[FECHA]])&amp;"-"&amp;MONTH(Datos_Consumo[[#This Row],[FECHA]])</f>
        <v>2016-11</v>
      </c>
    </row>
    <row r="703" spans="1:4" x14ac:dyDescent="0.25">
      <c r="A703" t="s">
        <v>1582</v>
      </c>
      <c r="B703">
        <v>2</v>
      </c>
      <c r="C703" s="56">
        <v>42675</v>
      </c>
      <c r="D703" s="3" t="str">
        <f>YEAR(Datos_Consumo[[#This Row],[FECHA]])&amp;"-"&amp;MONTH(Datos_Consumo[[#This Row],[FECHA]])</f>
        <v>2016-11</v>
      </c>
    </row>
    <row r="704" spans="1:4" x14ac:dyDescent="0.25">
      <c r="A704" t="s">
        <v>1582</v>
      </c>
      <c r="B704">
        <v>1</v>
      </c>
      <c r="C704" s="56">
        <v>42705</v>
      </c>
      <c r="D704" s="3" t="str">
        <f>YEAR(Datos_Consumo[[#This Row],[FECHA]])&amp;"-"&amp;MONTH(Datos_Consumo[[#This Row],[FECHA]])</f>
        <v>2016-12</v>
      </c>
    </row>
    <row r="705" spans="1:4" x14ac:dyDescent="0.25">
      <c r="A705" t="s">
        <v>1583</v>
      </c>
      <c r="B705">
        <v>1</v>
      </c>
      <c r="C705" s="56">
        <v>42675</v>
      </c>
      <c r="D705" s="3" t="str">
        <f>YEAR(Datos_Consumo[[#This Row],[FECHA]])&amp;"-"&amp;MONTH(Datos_Consumo[[#This Row],[FECHA]])</f>
        <v>2016-11</v>
      </c>
    </row>
    <row r="706" spans="1:4" x14ac:dyDescent="0.25">
      <c r="A706" t="s">
        <v>1583</v>
      </c>
      <c r="B706">
        <v>2</v>
      </c>
      <c r="C706" s="56">
        <v>42705</v>
      </c>
      <c r="D706" s="3" t="str">
        <f>YEAR(Datos_Consumo[[#This Row],[FECHA]])&amp;"-"&amp;MONTH(Datos_Consumo[[#This Row],[FECHA]])</f>
        <v>2016-12</v>
      </c>
    </row>
    <row r="707" spans="1:4" x14ac:dyDescent="0.25">
      <c r="A707" t="s">
        <v>1584</v>
      </c>
      <c r="B707">
        <v>3</v>
      </c>
      <c r="C707" s="56">
        <v>42614</v>
      </c>
      <c r="D707" s="3" t="str">
        <f>YEAR(Datos_Consumo[[#This Row],[FECHA]])&amp;"-"&amp;MONTH(Datos_Consumo[[#This Row],[FECHA]])</f>
        <v>2016-9</v>
      </c>
    </row>
    <row r="708" spans="1:4" x14ac:dyDescent="0.25">
      <c r="A708" t="s">
        <v>1584</v>
      </c>
      <c r="B708">
        <v>2</v>
      </c>
      <c r="C708" s="56">
        <v>42644</v>
      </c>
      <c r="D708" s="3" t="str">
        <f>YEAR(Datos_Consumo[[#This Row],[FECHA]])&amp;"-"&amp;MONTH(Datos_Consumo[[#This Row],[FECHA]])</f>
        <v>2016-10</v>
      </c>
    </row>
    <row r="709" spans="1:4" x14ac:dyDescent="0.25">
      <c r="A709" t="s">
        <v>1584</v>
      </c>
      <c r="B709">
        <v>1</v>
      </c>
      <c r="C709" s="56">
        <v>42675</v>
      </c>
      <c r="D709" s="3" t="str">
        <f>YEAR(Datos_Consumo[[#This Row],[FECHA]])&amp;"-"&amp;MONTH(Datos_Consumo[[#This Row],[FECHA]])</f>
        <v>2016-11</v>
      </c>
    </row>
    <row r="710" spans="1:4" x14ac:dyDescent="0.25">
      <c r="A710" t="s">
        <v>1584</v>
      </c>
      <c r="B710">
        <v>2</v>
      </c>
      <c r="C710" s="56">
        <v>42705</v>
      </c>
      <c r="D710" s="3" t="str">
        <f>YEAR(Datos_Consumo[[#This Row],[FECHA]])&amp;"-"&amp;MONTH(Datos_Consumo[[#This Row],[FECHA]])</f>
        <v>2016-12</v>
      </c>
    </row>
    <row r="711" spans="1:4" x14ac:dyDescent="0.25">
      <c r="A711" t="s">
        <v>1584</v>
      </c>
      <c r="B711">
        <v>1</v>
      </c>
      <c r="C711" s="56">
        <v>42736</v>
      </c>
      <c r="D711" s="3" t="str">
        <f>YEAR(Datos_Consumo[[#This Row],[FECHA]])&amp;"-"&amp;MONTH(Datos_Consumo[[#This Row],[FECHA]])</f>
        <v>2017-1</v>
      </c>
    </row>
    <row r="712" spans="1:4" x14ac:dyDescent="0.25">
      <c r="A712" t="s">
        <v>1585</v>
      </c>
      <c r="B712">
        <v>1</v>
      </c>
      <c r="C712" s="56">
        <v>42614</v>
      </c>
      <c r="D712" s="3" t="str">
        <f>YEAR(Datos_Consumo[[#This Row],[FECHA]])&amp;"-"&amp;MONTH(Datos_Consumo[[#This Row],[FECHA]])</f>
        <v>2016-9</v>
      </c>
    </row>
    <row r="713" spans="1:4" x14ac:dyDescent="0.25">
      <c r="A713" t="s">
        <v>1585</v>
      </c>
      <c r="B713">
        <v>1</v>
      </c>
      <c r="C713" s="56">
        <v>42705</v>
      </c>
      <c r="D713" s="3" t="str">
        <f>YEAR(Datos_Consumo[[#This Row],[FECHA]])&amp;"-"&amp;MONTH(Datos_Consumo[[#This Row],[FECHA]])</f>
        <v>2016-12</v>
      </c>
    </row>
    <row r="714" spans="1:4" x14ac:dyDescent="0.25">
      <c r="A714" t="s">
        <v>1585</v>
      </c>
      <c r="B714">
        <v>1</v>
      </c>
      <c r="C714" s="56">
        <v>42736</v>
      </c>
      <c r="D714" s="3" t="str">
        <f>YEAR(Datos_Consumo[[#This Row],[FECHA]])&amp;"-"&amp;MONTH(Datos_Consumo[[#This Row],[FECHA]])</f>
        <v>2017-1</v>
      </c>
    </row>
    <row r="715" spans="1:4" x14ac:dyDescent="0.25">
      <c r="A715" t="s">
        <v>1586</v>
      </c>
      <c r="B715">
        <v>1</v>
      </c>
      <c r="C715" s="56">
        <v>42736</v>
      </c>
      <c r="D715" s="3" t="str">
        <f>YEAR(Datos_Consumo[[#This Row],[FECHA]])&amp;"-"&amp;MONTH(Datos_Consumo[[#This Row],[FECHA]])</f>
        <v>2017-1</v>
      </c>
    </row>
    <row r="716" spans="1:4" x14ac:dyDescent="0.25">
      <c r="A716" t="s">
        <v>1587</v>
      </c>
      <c r="B716">
        <v>1</v>
      </c>
      <c r="C716" s="56">
        <v>42675</v>
      </c>
      <c r="D716" s="3" t="str">
        <f>YEAR(Datos_Consumo[[#This Row],[FECHA]])&amp;"-"&amp;MONTH(Datos_Consumo[[#This Row],[FECHA]])</f>
        <v>2016-11</v>
      </c>
    </row>
    <row r="717" spans="1:4" x14ac:dyDescent="0.25">
      <c r="A717" t="s">
        <v>1588</v>
      </c>
      <c r="B717">
        <v>2</v>
      </c>
      <c r="C717" s="56">
        <v>42614</v>
      </c>
      <c r="D717" s="3" t="str">
        <f>YEAR(Datos_Consumo[[#This Row],[FECHA]])&amp;"-"&amp;MONTH(Datos_Consumo[[#This Row],[FECHA]])</f>
        <v>2016-9</v>
      </c>
    </row>
    <row r="718" spans="1:4" x14ac:dyDescent="0.25">
      <c r="A718" t="s">
        <v>1588</v>
      </c>
      <c r="B718">
        <v>3</v>
      </c>
      <c r="C718" s="56">
        <v>42644</v>
      </c>
      <c r="D718" s="3" t="str">
        <f>YEAR(Datos_Consumo[[#This Row],[FECHA]])&amp;"-"&amp;MONTH(Datos_Consumo[[#This Row],[FECHA]])</f>
        <v>2016-10</v>
      </c>
    </row>
    <row r="719" spans="1:4" x14ac:dyDescent="0.25">
      <c r="A719" t="s">
        <v>1588</v>
      </c>
      <c r="B719">
        <v>5</v>
      </c>
      <c r="C719" s="56">
        <v>42675</v>
      </c>
      <c r="D719" s="3" t="str">
        <f>YEAR(Datos_Consumo[[#This Row],[FECHA]])&amp;"-"&amp;MONTH(Datos_Consumo[[#This Row],[FECHA]])</f>
        <v>2016-11</v>
      </c>
    </row>
    <row r="720" spans="1:4" x14ac:dyDescent="0.25">
      <c r="A720" t="s">
        <v>1588</v>
      </c>
      <c r="B720">
        <v>6</v>
      </c>
      <c r="C720" s="56">
        <v>42705</v>
      </c>
      <c r="D720" s="3" t="str">
        <f>YEAR(Datos_Consumo[[#This Row],[FECHA]])&amp;"-"&amp;MONTH(Datos_Consumo[[#This Row],[FECHA]])</f>
        <v>2016-12</v>
      </c>
    </row>
    <row r="721" spans="1:4" x14ac:dyDescent="0.25">
      <c r="A721" t="s">
        <v>1588</v>
      </c>
      <c r="B721">
        <v>6</v>
      </c>
      <c r="C721" s="56">
        <v>42736</v>
      </c>
      <c r="D721" s="3" t="str">
        <f>YEAR(Datos_Consumo[[#This Row],[FECHA]])&amp;"-"&amp;MONTH(Datos_Consumo[[#This Row],[FECHA]])</f>
        <v>2017-1</v>
      </c>
    </row>
    <row r="722" spans="1:4" x14ac:dyDescent="0.25">
      <c r="A722" t="s">
        <v>1589</v>
      </c>
      <c r="B722">
        <v>1</v>
      </c>
      <c r="C722" s="56">
        <v>42614</v>
      </c>
      <c r="D722" s="3" t="str">
        <f>YEAR(Datos_Consumo[[#This Row],[FECHA]])&amp;"-"&amp;MONTH(Datos_Consumo[[#This Row],[FECHA]])</f>
        <v>2016-9</v>
      </c>
    </row>
    <row r="723" spans="1:4" x14ac:dyDescent="0.25">
      <c r="A723" t="s">
        <v>1589</v>
      </c>
      <c r="B723">
        <v>3</v>
      </c>
      <c r="C723" s="56">
        <v>42675</v>
      </c>
      <c r="D723" s="3" t="str">
        <f>YEAR(Datos_Consumo[[#This Row],[FECHA]])&amp;"-"&amp;MONTH(Datos_Consumo[[#This Row],[FECHA]])</f>
        <v>2016-11</v>
      </c>
    </row>
    <row r="724" spans="1:4" x14ac:dyDescent="0.25">
      <c r="A724" t="s">
        <v>1589</v>
      </c>
      <c r="B724">
        <v>1</v>
      </c>
      <c r="C724" s="56">
        <v>42705</v>
      </c>
      <c r="D724" s="3" t="str">
        <f>YEAR(Datos_Consumo[[#This Row],[FECHA]])&amp;"-"&amp;MONTH(Datos_Consumo[[#This Row],[FECHA]])</f>
        <v>2016-12</v>
      </c>
    </row>
    <row r="725" spans="1:4" x14ac:dyDescent="0.25">
      <c r="A725" t="s">
        <v>1589</v>
      </c>
      <c r="B725">
        <v>3</v>
      </c>
      <c r="C725" s="56">
        <v>42736</v>
      </c>
      <c r="D725" s="3" t="str">
        <f>YEAR(Datos_Consumo[[#This Row],[FECHA]])&amp;"-"&amp;MONTH(Datos_Consumo[[#This Row],[FECHA]])</f>
        <v>2017-1</v>
      </c>
    </row>
    <row r="726" spans="1:4" x14ac:dyDescent="0.25">
      <c r="A726" t="s">
        <v>1590</v>
      </c>
      <c r="B726">
        <v>1</v>
      </c>
      <c r="C726" s="56">
        <v>42614</v>
      </c>
      <c r="D726" s="3" t="str">
        <f>YEAR(Datos_Consumo[[#This Row],[FECHA]])&amp;"-"&amp;MONTH(Datos_Consumo[[#This Row],[FECHA]])</f>
        <v>2016-9</v>
      </c>
    </row>
    <row r="727" spans="1:4" x14ac:dyDescent="0.25">
      <c r="A727" t="s">
        <v>1590</v>
      </c>
      <c r="B727">
        <v>1</v>
      </c>
      <c r="C727" s="56">
        <v>42675</v>
      </c>
      <c r="D727" s="3" t="str">
        <f>YEAR(Datos_Consumo[[#This Row],[FECHA]])&amp;"-"&amp;MONTH(Datos_Consumo[[#This Row],[FECHA]])</f>
        <v>2016-11</v>
      </c>
    </row>
    <row r="728" spans="1:4" x14ac:dyDescent="0.25">
      <c r="A728" t="s">
        <v>1590</v>
      </c>
      <c r="B728">
        <v>1</v>
      </c>
      <c r="C728" s="56">
        <v>42705</v>
      </c>
      <c r="D728" s="3" t="str">
        <f>YEAR(Datos_Consumo[[#This Row],[FECHA]])&amp;"-"&amp;MONTH(Datos_Consumo[[#This Row],[FECHA]])</f>
        <v>2016-12</v>
      </c>
    </row>
    <row r="729" spans="1:4" x14ac:dyDescent="0.25">
      <c r="A729" t="s">
        <v>1590</v>
      </c>
      <c r="B729">
        <v>1</v>
      </c>
      <c r="C729" s="56">
        <v>42736</v>
      </c>
      <c r="D729" s="3" t="str">
        <f>YEAR(Datos_Consumo[[#This Row],[FECHA]])&amp;"-"&amp;MONTH(Datos_Consumo[[#This Row],[FECHA]])</f>
        <v>2017-1</v>
      </c>
    </row>
    <row r="730" spans="1:4" x14ac:dyDescent="0.25">
      <c r="A730" t="s">
        <v>1591</v>
      </c>
      <c r="B730">
        <v>2</v>
      </c>
      <c r="C730" s="56">
        <v>42614</v>
      </c>
      <c r="D730" s="3" t="str">
        <f>YEAR(Datos_Consumo[[#This Row],[FECHA]])&amp;"-"&amp;MONTH(Datos_Consumo[[#This Row],[FECHA]])</f>
        <v>2016-9</v>
      </c>
    </row>
    <row r="731" spans="1:4" x14ac:dyDescent="0.25">
      <c r="A731" t="s">
        <v>1591</v>
      </c>
      <c r="B731">
        <v>1</v>
      </c>
      <c r="C731" s="56">
        <v>42705</v>
      </c>
      <c r="D731" s="3" t="str">
        <f>YEAR(Datos_Consumo[[#This Row],[FECHA]])&amp;"-"&amp;MONTH(Datos_Consumo[[#This Row],[FECHA]])</f>
        <v>2016-12</v>
      </c>
    </row>
    <row r="732" spans="1:4" x14ac:dyDescent="0.25">
      <c r="A732" t="s">
        <v>1591</v>
      </c>
      <c r="B732">
        <v>2</v>
      </c>
      <c r="C732" s="56">
        <v>42736</v>
      </c>
      <c r="D732" s="3" t="str">
        <f>YEAR(Datos_Consumo[[#This Row],[FECHA]])&amp;"-"&amp;MONTH(Datos_Consumo[[#This Row],[FECHA]])</f>
        <v>2017-1</v>
      </c>
    </row>
    <row r="733" spans="1:4" x14ac:dyDescent="0.25">
      <c r="A733" t="s">
        <v>1592</v>
      </c>
      <c r="B733">
        <v>3</v>
      </c>
      <c r="C733" s="56">
        <v>42614</v>
      </c>
      <c r="D733" s="3" t="str">
        <f>YEAR(Datos_Consumo[[#This Row],[FECHA]])&amp;"-"&amp;MONTH(Datos_Consumo[[#This Row],[FECHA]])</f>
        <v>2016-9</v>
      </c>
    </row>
    <row r="734" spans="1:4" x14ac:dyDescent="0.25">
      <c r="A734" t="s">
        <v>1592</v>
      </c>
      <c r="B734">
        <v>2</v>
      </c>
      <c r="C734" s="56">
        <v>42644</v>
      </c>
      <c r="D734" s="3" t="str">
        <f>YEAR(Datos_Consumo[[#This Row],[FECHA]])&amp;"-"&amp;MONTH(Datos_Consumo[[#This Row],[FECHA]])</f>
        <v>2016-10</v>
      </c>
    </row>
    <row r="735" spans="1:4" x14ac:dyDescent="0.25">
      <c r="A735" t="s">
        <v>1592</v>
      </c>
      <c r="B735">
        <v>4</v>
      </c>
      <c r="C735" s="56">
        <v>42675</v>
      </c>
      <c r="D735" s="3" t="str">
        <f>YEAR(Datos_Consumo[[#This Row],[FECHA]])&amp;"-"&amp;MONTH(Datos_Consumo[[#This Row],[FECHA]])</f>
        <v>2016-11</v>
      </c>
    </row>
    <row r="736" spans="1:4" x14ac:dyDescent="0.25">
      <c r="A736" t="s">
        <v>1592</v>
      </c>
      <c r="B736">
        <v>3</v>
      </c>
      <c r="C736" s="56">
        <v>42705</v>
      </c>
      <c r="D736" s="3" t="str">
        <f>YEAR(Datos_Consumo[[#This Row],[FECHA]])&amp;"-"&amp;MONTH(Datos_Consumo[[#This Row],[FECHA]])</f>
        <v>2016-12</v>
      </c>
    </row>
    <row r="737" spans="1:4" x14ac:dyDescent="0.25">
      <c r="A737" t="s">
        <v>1592</v>
      </c>
      <c r="B737">
        <v>1</v>
      </c>
      <c r="C737" s="56">
        <v>42767</v>
      </c>
      <c r="D737" s="3" t="str">
        <f>YEAR(Datos_Consumo[[#This Row],[FECHA]])&amp;"-"&amp;MONTH(Datos_Consumo[[#This Row],[FECHA]])</f>
        <v>2017-2</v>
      </c>
    </row>
    <row r="738" spans="1:4" x14ac:dyDescent="0.25">
      <c r="A738" t="s">
        <v>1593</v>
      </c>
      <c r="B738">
        <v>2</v>
      </c>
      <c r="C738" s="56">
        <v>42644</v>
      </c>
      <c r="D738" s="3" t="str">
        <f>YEAR(Datos_Consumo[[#This Row],[FECHA]])&amp;"-"&amp;MONTH(Datos_Consumo[[#This Row],[FECHA]])</f>
        <v>2016-10</v>
      </c>
    </row>
    <row r="739" spans="1:4" x14ac:dyDescent="0.25">
      <c r="A739" t="s">
        <v>1593</v>
      </c>
      <c r="B739">
        <v>1</v>
      </c>
      <c r="C739" s="56">
        <v>42675</v>
      </c>
      <c r="D739" s="3" t="str">
        <f>YEAR(Datos_Consumo[[#This Row],[FECHA]])&amp;"-"&amp;MONTH(Datos_Consumo[[#This Row],[FECHA]])</f>
        <v>2016-11</v>
      </c>
    </row>
    <row r="740" spans="1:4" x14ac:dyDescent="0.25">
      <c r="A740" t="s">
        <v>1593</v>
      </c>
      <c r="B740">
        <v>3</v>
      </c>
      <c r="C740" s="56">
        <v>42705</v>
      </c>
      <c r="D740" s="3" t="str">
        <f>YEAR(Datos_Consumo[[#This Row],[FECHA]])&amp;"-"&amp;MONTH(Datos_Consumo[[#This Row],[FECHA]])</f>
        <v>2016-12</v>
      </c>
    </row>
    <row r="741" spans="1:4" x14ac:dyDescent="0.25">
      <c r="A741" t="s">
        <v>1593</v>
      </c>
      <c r="B741">
        <v>1</v>
      </c>
      <c r="C741" s="56">
        <v>42736</v>
      </c>
      <c r="D741" s="3" t="str">
        <f>YEAR(Datos_Consumo[[#This Row],[FECHA]])&amp;"-"&amp;MONTH(Datos_Consumo[[#This Row],[FECHA]])</f>
        <v>2017-1</v>
      </c>
    </row>
    <row r="742" spans="1:4" x14ac:dyDescent="0.25">
      <c r="A742" t="s">
        <v>1594</v>
      </c>
      <c r="B742">
        <v>1</v>
      </c>
      <c r="C742" s="56">
        <v>42614</v>
      </c>
      <c r="D742" s="3" t="str">
        <f>YEAR(Datos_Consumo[[#This Row],[FECHA]])&amp;"-"&amp;MONTH(Datos_Consumo[[#This Row],[FECHA]])</f>
        <v>2016-9</v>
      </c>
    </row>
    <row r="743" spans="1:4" x14ac:dyDescent="0.25">
      <c r="A743" t="s">
        <v>1594</v>
      </c>
      <c r="B743">
        <v>2</v>
      </c>
      <c r="C743" s="56">
        <v>42705</v>
      </c>
      <c r="D743" s="3" t="str">
        <f>YEAR(Datos_Consumo[[#This Row],[FECHA]])&amp;"-"&amp;MONTH(Datos_Consumo[[#This Row],[FECHA]])</f>
        <v>2016-12</v>
      </c>
    </row>
    <row r="744" spans="1:4" x14ac:dyDescent="0.25">
      <c r="A744" t="s">
        <v>1594</v>
      </c>
      <c r="B744">
        <v>2</v>
      </c>
      <c r="C744" s="56">
        <v>42736</v>
      </c>
      <c r="D744" s="3" t="str">
        <f>YEAR(Datos_Consumo[[#This Row],[FECHA]])&amp;"-"&amp;MONTH(Datos_Consumo[[#This Row],[FECHA]])</f>
        <v>2017-1</v>
      </c>
    </row>
    <row r="745" spans="1:4" x14ac:dyDescent="0.25">
      <c r="A745" t="s">
        <v>1595</v>
      </c>
      <c r="B745">
        <v>1</v>
      </c>
      <c r="C745" s="56">
        <v>42675</v>
      </c>
      <c r="D745" s="3" t="str">
        <f>YEAR(Datos_Consumo[[#This Row],[FECHA]])&amp;"-"&amp;MONTH(Datos_Consumo[[#This Row],[FECHA]])</f>
        <v>2016-11</v>
      </c>
    </row>
    <row r="746" spans="1:4" x14ac:dyDescent="0.25">
      <c r="A746" t="s">
        <v>1595</v>
      </c>
      <c r="B746">
        <v>1</v>
      </c>
      <c r="C746" s="56">
        <v>42705</v>
      </c>
      <c r="D746" s="3" t="str">
        <f>YEAR(Datos_Consumo[[#This Row],[FECHA]])&amp;"-"&amp;MONTH(Datos_Consumo[[#This Row],[FECHA]])</f>
        <v>2016-12</v>
      </c>
    </row>
    <row r="747" spans="1:4" x14ac:dyDescent="0.25">
      <c r="A747" t="s">
        <v>1595</v>
      </c>
      <c r="B747">
        <v>2</v>
      </c>
      <c r="C747" s="56">
        <v>42736</v>
      </c>
      <c r="D747" s="3" t="str">
        <f>YEAR(Datos_Consumo[[#This Row],[FECHA]])&amp;"-"&amp;MONTH(Datos_Consumo[[#This Row],[FECHA]])</f>
        <v>2017-1</v>
      </c>
    </row>
    <row r="748" spans="1:4" x14ac:dyDescent="0.25">
      <c r="A748" t="s">
        <v>1596</v>
      </c>
      <c r="B748">
        <v>2</v>
      </c>
      <c r="C748" s="56">
        <v>42705</v>
      </c>
      <c r="D748" s="3" t="str">
        <f>YEAR(Datos_Consumo[[#This Row],[FECHA]])&amp;"-"&amp;MONTH(Datos_Consumo[[#This Row],[FECHA]])</f>
        <v>2016-12</v>
      </c>
    </row>
    <row r="749" spans="1:4" x14ac:dyDescent="0.25">
      <c r="A749" t="s">
        <v>1597</v>
      </c>
      <c r="B749">
        <v>2</v>
      </c>
      <c r="C749" s="56">
        <v>42705</v>
      </c>
      <c r="D749" s="3" t="str">
        <f>YEAR(Datos_Consumo[[#This Row],[FECHA]])&amp;"-"&amp;MONTH(Datos_Consumo[[#This Row],[FECHA]])</f>
        <v>2016-12</v>
      </c>
    </row>
    <row r="750" spans="1:4" x14ac:dyDescent="0.25">
      <c r="A750" t="s">
        <v>1598</v>
      </c>
      <c r="B750">
        <v>1</v>
      </c>
      <c r="C750" s="56">
        <v>42705</v>
      </c>
      <c r="D750" s="3" t="str">
        <f>YEAR(Datos_Consumo[[#This Row],[FECHA]])&amp;"-"&amp;MONTH(Datos_Consumo[[#This Row],[FECHA]])</f>
        <v>2016-12</v>
      </c>
    </row>
    <row r="751" spans="1:4" x14ac:dyDescent="0.25">
      <c r="A751" t="s">
        <v>1599</v>
      </c>
      <c r="B751">
        <v>1</v>
      </c>
      <c r="C751" s="56">
        <v>42614</v>
      </c>
      <c r="D751" s="3" t="str">
        <f>YEAR(Datos_Consumo[[#This Row],[FECHA]])&amp;"-"&amp;MONTH(Datos_Consumo[[#This Row],[FECHA]])</f>
        <v>2016-9</v>
      </c>
    </row>
    <row r="752" spans="1:4" x14ac:dyDescent="0.25">
      <c r="A752" t="s">
        <v>1600</v>
      </c>
      <c r="B752">
        <v>5</v>
      </c>
      <c r="C752" s="56">
        <v>42614</v>
      </c>
      <c r="D752" s="3" t="str">
        <f>YEAR(Datos_Consumo[[#This Row],[FECHA]])&amp;"-"&amp;MONTH(Datos_Consumo[[#This Row],[FECHA]])</f>
        <v>2016-9</v>
      </c>
    </row>
    <row r="753" spans="1:4" x14ac:dyDescent="0.25">
      <c r="A753" t="s">
        <v>1600</v>
      </c>
      <c r="B753">
        <v>1</v>
      </c>
      <c r="C753" s="56">
        <v>42644</v>
      </c>
      <c r="D753" s="3" t="str">
        <f>YEAR(Datos_Consumo[[#This Row],[FECHA]])&amp;"-"&amp;MONTH(Datos_Consumo[[#This Row],[FECHA]])</f>
        <v>2016-10</v>
      </c>
    </row>
    <row r="754" spans="1:4" x14ac:dyDescent="0.25">
      <c r="A754" t="s">
        <v>1600</v>
      </c>
      <c r="B754">
        <v>2</v>
      </c>
      <c r="C754" s="56">
        <v>42675</v>
      </c>
      <c r="D754" s="3" t="str">
        <f>YEAR(Datos_Consumo[[#This Row],[FECHA]])&amp;"-"&amp;MONTH(Datos_Consumo[[#This Row],[FECHA]])</f>
        <v>2016-11</v>
      </c>
    </row>
    <row r="755" spans="1:4" x14ac:dyDescent="0.25">
      <c r="A755" t="s">
        <v>1600</v>
      </c>
      <c r="B755">
        <v>1</v>
      </c>
      <c r="C755" s="56">
        <v>42705</v>
      </c>
      <c r="D755" s="3" t="str">
        <f>YEAR(Datos_Consumo[[#This Row],[FECHA]])&amp;"-"&amp;MONTH(Datos_Consumo[[#This Row],[FECHA]])</f>
        <v>2016-12</v>
      </c>
    </row>
    <row r="756" spans="1:4" x14ac:dyDescent="0.25">
      <c r="A756" t="s">
        <v>1600</v>
      </c>
      <c r="B756">
        <v>2</v>
      </c>
      <c r="C756" s="56">
        <v>42736</v>
      </c>
      <c r="D756" s="3" t="str">
        <f>YEAR(Datos_Consumo[[#This Row],[FECHA]])&amp;"-"&amp;MONTH(Datos_Consumo[[#This Row],[FECHA]])</f>
        <v>2017-1</v>
      </c>
    </row>
    <row r="757" spans="1:4" x14ac:dyDescent="0.25">
      <c r="A757" t="s">
        <v>1601</v>
      </c>
      <c r="B757">
        <v>3</v>
      </c>
      <c r="C757" s="56">
        <v>42614</v>
      </c>
      <c r="D757" s="3" t="str">
        <f>YEAR(Datos_Consumo[[#This Row],[FECHA]])&amp;"-"&amp;MONTH(Datos_Consumo[[#This Row],[FECHA]])</f>
        <v>2016-9</v>
      </c>
    </row>
    <row r="758" spans="1:4" x14ac:dyDescent="0.25">
      <c r="A758" t="s">
        <v>1601</v>
      </c>
      <c r="B758">
        <v>2</v>
      </c>
      <c r="C758" s="56">
        <v>42675</v>
      </c>
      <c r="D758" s="3" t="str">
        <f>YEAR(Datos_Consumo[[#This Row],[FECHA]])&amp;"-"&amp;MONTH(Datos_Consumo[[#This Row],[FECHA]])</f>
        <v>2016-11</v>
      </c>
    </row>
    <row r="759" spans="1:4" x14ac:dyDescent="0.25">
      <c r="A759" t="s">
        <v>1601</v>
      </c>
      <c r="B759">
        <v>2</v>
      </c>
      <c r="C759" s="56">
        <v>42736</v>
      </c>
      <c r="D759" s="3" t="str">
        <f>YEAR(Datos_Consumo[[#This Row],[FECHA]])&amp;"-"&amp;MONTH(Datos_Consumo[[#This Row],[FECHA]])</f>
        <v>2017-1</v>
      </c>
    </row>
    <row r="760" spans="1:4" x14ac:dyDescent="0.25">
      <c r="A760" t="s">
        <v>1602</v>
      </c>
      <c r="B760">
        <v>1</v>
      </c>
      <c r="C760" s="56">
        <v>42614</v>
      </c>
      <c r="D760" s="3" t="str">
        <f>YEAR(Datos_Consumo[[#This Row],[FECHA]])&amp;"-"&amp;MONTH(Datos_Consumo[[#This Row],[FECHA]])</f>
        <v>2016-9</v>
      </c>
    </row>
    <row r="761" spans="1:4" x14ac:dyDescent="0.25">
      <c r="A761" t="s">
        <v>1602</v>
      </c>
      <c r="B761">
        <v>1</v>
      </c>
      <c r="C761" s="56">
        <v>42675</v>
      </c>
      <c r="D761" s="3" t="str">
        <f>YEAR(Datos_Consumo[[#This Row],[FECHA]])&amp;"-"&amp;MONTH(Datos_Consumo[[#This Row],[FECHA]])</f>
        <v>2016-11</v>
      </c>
    </row>
    <row r="762" spans="1:4" x14ac:dyDescent="0.25">
      <c r="A762" t="s">
        <v>1602</v>
      </c>
      <c r="B762">
        <v>3</v>
      </c>
      <c r="C762" s="56">
        <v>42705</v>
      </c>
      <c r="D762" s="3" t="str">
        <f>YEAR(Datos_Consumo[[#This Row],[FECHA]])&amp;"-"&amp;MONTH(Datos_Consumo[[#This Row],[FECHA]])</f>
        <v>2016-12</v>
      </c>
    </row>
    <row r="763" spans="1:4" x14ac:dyDescent="0.25">
      <c r="A763" t="s">
        <v>1603</v>
      </c>
      <c r="B763">
        <v>5</v>
      </c>
      <c r="C763" s="56">
        <v>42614</v>
      </c>
      <c r="D763" s="3" t="str">
        <f>YEAR(Datos_Consumo[[#This Row],[FECHA]])&amp;"-"&amp;MONTH(Datos_Consumo[[#This Row],[FECHA]])</f>
        <v>2016-9</v>
      </c>
    </row>
    <row r="764" spans="1:4" x14ac:dyDescent="0.25">
      <c r="A764" t="s">
        <v>1603</v>
      </c>
      <c r="B764">
        <v>1</v>
      </c>
      <c r="C764" s="56">
        <v>42644</v>
      </c>
      <c r="D764" s="3" t="str">
        <f>YEAR(Datos_Consumo[[#This Row],[FECHA]])&amp;"-"&amp;MONTH(Datos_Consumo[[#This Row],[FECHA]])</f>
        <v>2016-10</v>
      </c>
    </row>
    <row r="765" spans="1:4" x14ac:dyDescent="0.25">
      <c r="A765" t="s">
        <v>1604</v>
      </c>
      <c r="B765">
        <v>6</v>
      </c>
      <c r="C765" s="56">
        <v>42614</v>
      </c>
      <c r="D765" s="3" t="str">
        <f>YEAR(Datos_Consumo[[#This Row],[FECHA]])&amp;"-"&amp;MONTH(Datos_Consumo[[#This Row],[FECHA]])</f>
        <v>2016-9</v>
      </c>
    </row>
    <row r="766" spans="1:4" x14ac:dyDescent="0.25">
      <c r="A766" t="s">
        <v>1604</v>
      </c>
      <c r="B766">
        <v>1</v>
      </c>
      <c r="C766" s="56">
        <v>42644</v>
      </c>
      <c r="D766" s="3" t="str">
        <f>YEAR(Datos_Consumo[[#This Row],[FECHA]])&amp;"-"&amp;MONTH(Datos_Consumo[[#This Row],[FECHA]])</f>
        <v>2016-10</v>
      </c>
    </row>
    <row r="767" spans="1:4" x14ac:dyDescent="0.25">
      <c r="A767" t="s">
        <v>1604</v>
      </c>
      <c r="B767">
        <v>2</v>
      </c>
      <c r="C767" s="56">
        <v>42705</v>
      </c>
      <c r="D767" s="3" t="str">
        <f>YEAR(Datos_Consumo[[#This Row],[FECHA]])&amp;"-"&amp;MONTH(Datos_Consumo[[#This Row],[FECHA]])</f>
        <v>2016-12</v>
      </c>
    </row>
    <row r="768" spans="1:4" x14ac:dyDescent="0.25">
      <c r="A768" t="s">
        <v>1604</v>
      </c>
      <c r="B768">
        <v>1</v>
      </c>
      <c r="C768" s="56">
        <v>42736</v>
      </c>
      <c r="D768" s="3" t="str">
        <f>YEAR(Datos_Consumo[[#This Row],[FECHA]])&amp;"-"&amp;MONTH(Datos_Consumo[[#This Row],[FECHA]])</f>
        <v>2017-1</v>
      </c>
    </row>
    <row r="769" spans="1:4" x14ac:dyDescent="0.25">
      <c r="A769" t="s">
        <v>1605</v>
      </c>
      <c r="B769">
        <v>4</v>
      </c>
      <c r="C769" s="56">
        <v>42614</v>
      </c>
      <c r="D769" s="3" t="str">
        <f>YEAR(Datos_Consumo[[#This Row],[FECHA]])&amp;"-"&amp;MONTH(Datos_Consumo[[#This Row],[FECHA]])</f>
        <v>2016-9</v>
      </c>
    </row>
    <row r="770" spans="1:4" x14ac:dyDescent="0.25">
      <c r="A770" t="s">
        <v>1605</v>
      </c>
      <c r="B770">
        <v>1</v>
      </c>
      <c r="C770" s="56">
        <v>42675</v>
      </c>
      <c r="D770" s="3" t="str">
        <f>YEAR(Datos_Consumo[[#This Row],[FECHA]])&amp;"-"&amp;MONTH(Datos_Consumo[[#This Row],[FECHA]])</f>
        <v>2016-11</v>
      </c>
    </row>
    <row r="771" spans="1:4" x14ac:dyDescent="0.25">
      <c r="A771" t="s">
        <v>1606</v>
      </c>
      <c r="B771">
        <v>1</v>
      </c>
      <c r="C771" s="56">
        <v>42705</v>
      </c>
      <c r="D771" s="3" t="str">
        <f>YEAR(Datos_Consumo[[#This Row],[FECHA]])&amp;"-"&amp;MONTH(Datos_Consumo[[#This Row],[FECHA]])</f>
        <v>2016-12</v>
      </c>
    </row>
    <row r="772" spans="1:4" x14ac:dyDescent="0.25">
      <c r="A772" t="s">
        <v>1607</v>
      </c>
      <c r="B772">
        <v>3</v>
      </c>
      <c r="C772" s="56">
        <v>42705</v>
      </c>
      <c r="D772" s="3" t="str">
        <f>YEAR(Datos_Consumo[[#This Row],[FECHA]])&amp;"-"&amp;MONTH(Datos_Consumo[[#This Row],[FECHA]])</f>
        <v>2016-12</v>
      </c>
    </row>
    <row r="773" spans="1:4" x14ac:dyDescent="0.25">
      <c r="A773" t="s">
        <v>1608</v>
      </c>
      <c r="B773">
        <v>1</v>
      </c>
      <c r="C773" s="56">
        <v>42675</v>
      </c>
      <c r="D773" s="3" t="str">
        <f>YEAR(Datos_Consumo[[#This Row],[FECHA]])&amp;"-"&amp;MONTH(Datos_Consumo[[#This Row],[FECHA]])</f>
        <v>2016-11</v>
      </c>
    </row>
    <row r="774" spans="1:4" x14ac:dyDescent="0.25">
      <c r="A774" t="s">
        <v>1609</v>
      </c>
      <c r="B774">
        <v>1</v>
      </c>
      <c r="C774" s="56">
        <v>42675</v>
      </c>
      <c r="D774" s="3" t="str">
        <f>YEAR(Datos_Consumo[[#This Row],[FECHA]])&amp;"-"&amp;MONTH(Datos_Consumo[[#This Row],[FECHA]])</f>
        <v>2016-11</v>
      </c>
    </row>
    <row r="775" spans="1:4" x14ac:dyDescent="0.25">
      <c r="A775" t="s">
        <v>1610</v>
      </c>
      <c r="B775">
        <v>2</v>
      </c>
      <c r="C775" s="56">
        <v>42614</v>
      </c>
      <c r="D775" s="3" t="str">
        <f>YEAR(Datos_Consumo[[#This Row],[FECHA]])&amp;"-"&amp;MONTH(Datos_Consumo[[#This Row],[FECHA]])</f>
        <v>2016-9</v>
      </c>
    </row>
    <row r="776" spans="1:4" x14ac:dyDescent="0.25">
      <c r="A776" t="s">
        <v>1611</v>
      </c>
      <c r="B776">
        <v>1</v>
      </c>
      <c r="C776" s="56">
        <v>42705</v>
      </c>
      <c r="D776" s="3" t="str">
        <f>YEAR(Datos_Consumo[[#This Row],[FECHA]])&amp;"-"&amp;MONTH(Datos_Consumo[[#This Row],[FECHA]])</f>
        <v>2016-12</v>
      </c>
    </row>
    <row r="777" spans="1:4" x14ac:dyDescent="0.25">
      <c r="A777" t="s">
        <v>1612</v>
      </c>
      <c r="B777">
        <v>1</v>
      </c>
      <c r="C777" s="56">
        <v>42614</v>
      </c>
      <c r="D777" s="3" t="str">
        <f>YEAR(Datos_Consumo[[#This Row],[FECHA]])&amp;"-"&amp;MONTH(Datos_Consumo[[#This Row],[FECHA]])</f>
        <v>2016-9</v>
      </c>
    </row>
    <row r="778" spans="1:4" x14ac:dyDescent="0.25">
      <c r="A778" t="s">
        <v>1613</v>
      </c>
      <c r="B778">
        <v>1</v>
      </c>
      <c r="C778" s="56">
        <v>42675</v>
      </c>
      <c r="D778" s="3" t="str">
        <f>YEAR(Datos_Consumo[[#This Row],[FECHA]])&amp;"-"&amp;MONTH(Datos_Consumo[[#This Row],[FECHA]])</f>
        <v>2016-11</v>
      </c>
    </row>
    <row r="779" spans="1:4" x14ac:dyDescent="0.25">
      <c r="A779" t="s">
        <v>1614</v>
      </c>
      <c r="B779">
        <v>1</v>
      </c>
      <c r="C779" s="56">
        <v>42675</v>
      </c>
      <c r="D779" s="3" t="str">
        <f>YEAR(Datos_Consumo[[#This Row],[FECHA]])&amp;"-"&amp;MONTH(Datos_Consumo[[#This Row],[FECHA]])</f>
        <v>2016-11</v>
      </c>
    </row>
    <row r="780" spans="1:4" x14ac:dyDescent="0.25">
      <c r="A780" t="s">
        <v>1615</v>
      </c>
      <c r="B780">
        <v>1</v>
      </c>
      <c r="C780" s="56">
        <v>42675</v>
      </c>
      <c r="D780" s="3" t="str">
        <f>YEAR(Datos_Consumo[[#This Row],[FECHA]])&amp;"-"&amp;MONTH(Datos_Consumo[[#This Row],[FECHA]])</f>
        <v>2016-11</v>
      </c>
    </row>
    <row r="781" spans="1:4" x14ac:dyDescent="0.25">
      <c r="A781" t="s">
        <v>1616</v>
      </c>
      <c r="B781">
        <v>1</v>
      </c>
      <c r="C781" s="56">
        <v>42614</v>
      </c>
      <c r="D781" s="3" t="str">
        <f>YEAR(Datos_Consumo[[#This Row],[FECHA]])&amp;"-"&amp;MONTH(Datos_Consumo[[#This Row],[FECHA]])</f>
        <v>2016-9</v>
      </c>
    </row>
    <row r="782" spans="1:4" x14ac:dyDescent="0.25">
      <c r="A782" t="s">
        <v>1617</v>
      </c>
      <c r="B782">
        <v>1</v>
      </c>
      <c r="C782" s="56">
        <v>42614</v>
      </c>
      <c r="D782" s="3" t="str">
        <f>YEAR(Datos_Consumo[[#This Row],[FECHA]])&amp;"-"&amp;MONTH(Datos_Consumo[[#This Row],[FECHA]])</f>
        <v>2016-9</v>
      </c>
    </row>
    <row r="783" spans="1:4" x14ac:dyDescent="0.25">
      <c r="A783" t="s">
        <v>1617</v>
      </c>
      <c r="B783">
        <v>1</v>
      </c>
      <c r="C783" s="56">
        <v>42705</v>
      </c>
      <c r="D783" s="3" t="str">
        <f>YEAR(Datos_Consumo[[#This Row],[FECHA]])&amp;"-"&amp;MONTH(Datos_Consumo[[#This Row],[FECHA]])</f>
        <v>2016-12</v>
      </c>
    </row>
    <row r="784" spans="1:4" x14ac:dyDescent="0.25">
      <c r="A784" t="s">
        <v>1618</v>
      </c>
      <c r="B784">
        <v>1</v>
      </c>
      <c r="C784" s="56">
        <v>42675</v>
      </c>
      <c r="D784" s="3" t="str">
        <f>YEAR(Datos_Consumo[[#This Row],[FECHA]])&amp;"-"&amp;MONTH(Datos_Consumo[[#This Row],[FECHA]])</f>
        <v>2016-11</v>
      </c>
    </row>
    <row r="785" spans="1:4" x14ac:dyDescent="0.25">
      <c r="A785" t="s">
        <v>1619</v>
      </c>
      <c r="B785">
        <v>1</v>
      </c>
      <c r="C785" s="56">
        <v>42614</v>
      </c>
      <c r="D785" s="3" t="str">
        <f>YEAR(Datos_Consumo[[#This Row],[FECHA]])&amp;"-"&amp;MONTH(Datos_Consumo[[#This Row],[FECHA]])</f>
        <v>2016-9</v>
      </c>
    </row>
    <row r="786" spans="1:4" x14ac:dyDescent="0.25">
      <c r="A786" t="s">
        <v>1620</v>
      </c>
      <c r="B786">
        <v>1</v>
      </c>
      <c r="C786" s="56">
        <v>42614</v>
      </c>
      <c r="D786" s="3" t="str">
        <f>YEAR(Datos_Consumo[[#This Row],[FECHA]])&amp;"-"&amp;MONTH(Datos_Consumo[[#This Row],[FECHA]])</f>
        <v>2016-9</v>
      </c>
    </row>
    <row r="787" spans="1:4" x14ac:dyDescent="0.25">
      <c r="A787" t="s">
        <v>1620</v>
      </c>
      <c r="B787">
        <v>1</v>
      </c>
      <c r="C787" s="56">
        <v>42675</v>
      </c>
      <c r="D787" s="3" t="str">
        <f>YEAR(Datos_Consumo[[#This Row],[FECHA]])&amp;"-"&amp;MONTH(Datos_Consumo[[#This Row],[FECHA]])</f>
        <v>2016-11</v>
      </c>
    </row>
    <row r="788" spans="1:4" x14ac:dyDescent="0.25">
      <c r="A788" t="s">
        <v>1621</v>
      </c>
      <c r="B788">
        <v>1</v>
      </c>
      <c r="C788" s="56">
        <v>42614</v>
      </c>
      <c r="D788" s="3" t="str">
        <f>YEAR(Datos_Consumo[[#This Row],[FECHA]])&amp;"-"&amp;MONTH(Datos_Consumo[[#This Row],[FECHA]])</f>
        <v>2016-9</v>
      </c>
    </row>
    <row r="789" spans="1:4" x14ac:dyDescent="0.25">
      <c r="A789" t="s">
        <v>1621</v>
      </c>
      <c r="B789">
        <v>1</v>
      </c>
      <c r="C789" s="56">
        <v>42705</v>
      </c>
      <c r="D789" s="3" t="str">
        <f>YEAR(Datos_Consumo[[#This Row],[FECHA]])&amp;"-"&amp;MONTH(Datos_Consumo[[#This Row],[FECHA]])</f>
        <v>2016-12</v>
      </c>
    </row>
    <row r="790" spans="1:4" x14ac:dyDescent="0.25">
      <c r="A790" t="s">
        <v>1622</v>
      </c>
      <c r="B790">
        <v>1</v>
      </c>
      <c r="C790" s="56">
        <v>42614</v>
      </c>
      <c r="D790" s="3" t="str">
        <f>YEAR(Datos_Consumo[[#This Row],[FECHA]])&amp;"-"&amp;MONTH(Datos_Consumo[[#This Row],[FECHA]])</f>
        <v>2016-9</v>
      </c>
    </row>
    <row r="791" spans="1:4" x14ac:dyDescent="0.25">
      <c r="A791" t="s">
        <v>1623</v>
      </c>
      <c r="B791">
        <v>2</v>
      </c>
      <c r="C791" s="56">
        <v>42675</v>
      </c>
      <c r="D791" s="3" t="str">
        <f>YEAR(Datos_Consumo[[#This Row],[FECHA]])&amp;"-"&amp;MONTH(Datos_Consumo[[#This Row],[FECHA]])</f>
        <v>2016-11</v>
      </c>
    </row>
    <row r="792" spans="1:4" x14ac:dyDescent="0.25">
      <c r="A792" t="s">
        <v>1624</v>
      </c>
      <c r="B792">
        <v>2</v>
      </c>
      <c r="C792" s="56">
        <v>42614</v>
      </c>
      <c r="D792" s="3" t="str">
        <f>YEAR(Datos_Consumo[[#This Row],[FECHA]])&amp;"-"&amp;MONTH(Datos_Consumo[[#This Row],[FECHA]])</f>
        <v>2016-9</v>
      </c>
    </row>
    <row r="793" spans="1:4" x14ac:dyDescent="0.25">
      <c r="A793" t="s">
        <v>1624</v>
      </c>
      <c r="B793">
        <v>1</v>
      </c>
      <c r="C793" s="56">
        <v>42675</v>
      </c>
      <c r="D793" s="3" t="str">
        <f>YEAR(Datos_Consumo[[#This Row],[FECHA]])&amp;"-"&amp;MONTH(Datos_Consumo[[#This Row],[FECHA]])</f>
        <v>2016-11</v>
      </c>
    </row>
    <row r="794" spans="1:4" x14ac:dyDescent="0.25">
      <c r="A794" t="s">
        <v>1624</v>
      </c>
      <c r="B794">
        <v>1</v>
      </c>
      <c r="C794" s="56">
        <v>42736</v>
      </c>
      <c r="D794" s="3" t="str">
        <f>YEAR(Datos_Consumo[[#This Row],[FECHA]])&amp;"-"&amp;MONTH(Datos_Consumo[[#This Row],[FECHA]])</f>
        <v>2017-1</v>
      </c>
    </row>
    <row r="795" spans="1:4" x14ac:dyDescent="0.25">
      <c r="A795" t="s">
        <v>1625</v>
      </c>
      <c r="B795">
        <v>1</v>
      </c>
      <c r="C795" s="56">
        <v>42644</v>
      </c>
      <c r="D795" s="3" t="str">
        <f>YEAR(Datos_Consumo[[#This Row],[FECHA]])&amp;"-"&amp;MONTH(Datos_Consumo[[#This Row],[FECHA]])</f>
        <v>2016-10</v>
      </c>
    </row>
    <row r="796" spans="1:4" x14ac:dyDescent="0.25">
      <c r="A796" t="s">
        <v>1626</v>
      </c>
      <c r="B796">
        <v>2</v>
      </c>
      <c r="C796" s="56">
        <v>42614</v>
      </c>
      <c r="D796" s="3" t="str">
        <f>YEAR(Datos_Consumo[[#This Row],[FECHA]])&amp;"-"&amp;MONTH(Datos_Consumo[[#This Row],[FECHA]])</f>
        <v>2016-9</v>
      </c>
    </row>
    <row r="797" spans="1:4" x14ac:dyDescent="0.25">
      <c r="A797" t="s">
        <v>1626</v>
      </c>
      <c r="B797">
        <v>1</v>
      </c>
      <c r="C797" s="56">
        <v>42644</v>
      </c>
      <c r="D797" s="3" t="str">
        <f>YEAR(Datos_Consumo[[#This Row],[FECHA]])&amp;"-"&amp;MONTH(Datos_Consumo[[#This Row],[FECHA]])</f>
        <v>2016-10</v>
      </c>
    </row>
    <row r="798" spans="1:4" x14ac:dyDescent="0.25">
      <c r="A798" t="s">
        <v>1626</v>
      </c>
      <c r="B798">
        <v>4</v>
      </c>
      <c r="C798" s="56">
        <v>42705</v>
      </c>
      <c r="D798" s="3" t="str">
        <f>YEAR(Datos_Consumo[[#This Row],[FECHA]])&amp;"-"&amp;MONTH(Datos_Consumo[[#This Row],[FECHA]])</f>
        <v>2016-12</v>
      </c>
    </row>
    <row r="799" spans="1:4" x14ac:dyDescent="0.25">
      <c r="A799" t="s">
        <v>1626</v>
      </c>
      <c r="B799">
        <v>4</v>
      </c>
      <c r="C799" s="56">
        <v>42736</v>
      </c>
      <c r="D799" s="3" t="str">
        <f>YEAR(Datos_Consumo[[#This Row],[FECHA]])&amp;"-"&amp;MONTH(Datos_Consumo[[#This Row],[FECHA]])</f>
        <v>2017-1</v>
      </c>
    </row>
    <row r="800" spans="1:4" x14ac:dyDescent="0.25">
      <c r="A800" t="s">
        <v>1627</v>
      </c>
      <c r="B800">
        <v>2</v>
      </c>
      <c r="C800" s="56">
        <v>42614</v>
      </c>
      <c r="D800" s="3" t="str">
        <f>YEAR(Datos_Consumo[[#This Row],[FECHA]])&amp;"-"&amp;MONTH(Datos_Consumo[[#This Row],[FECHA]])</f>
        <v>2016-9</v>
      </c>
    </row>
    <row r="801" spans="1:4" x14ac:dyDescent="0.25">
      <c r="A801" t="s">
        <v>1627</v>
      </c>
      <c r="B801">
        <v>1</v>
      </c>
      <c r="C801" s="56">
        <v>42675</v>
      </c>
      <c r="D801" s="3" t="str">
        <f>YEAR(Datos_Consumo[[#This Row],[FECHA]])&amp;"-"&amp;MONTH(Datos_Consumo[[#This Row],[FECHA]])</f>
        <v>2016-11</v>
      </c>
    </row>
    <row r="802" spans="1:4" x14ac:dyDescent="0.25">
      <c r="A802" t="s">
        <v>1628</v>
      </c>
      <c r="B802">
        <v>1</v>
      </c>
      <c r="C802" s="56">
        <v>42644</v>
      </c>
      <c r="D802" s="3" t="str">
        <f>YEAR(Datos_Consumo[[#This Row],[FECHA]])&amp;"-"&amp;MONTH(Datos_Consumo[[#This Row],[FECHA]])</f>
        <v>2016-10</v>
      </c>
    </row>
    <row r="803" spans="1:4" x14ac:dyDescent="0.25">
      <c r="A803" t="s">
        <v>1628</v>
      </c>
      <c r="B803">
        <v>1</v>
      </c>
      <c r="C803" s="56">
        <v>42675</v>
      </c>
      <c r="D803" s="3" t="str">
        <f>YEAR(Datos_Consumo[[#This Row],[FECHA]])&amp;"-"&amp;MONTH(Datos_Consumo[[#This Row],[FECHA]])</f>
        <v>2016-11</v>
      </c>
    </row>
    <row r="804" spans="1:4" x14ac:dyDescent="0.25">
      <c r="A804" t="s">
        <v>1629</v>
      </c>
      <c r="B804">
        <v>1</v>
      </c>
      <c r="C804" s="56">
        <v>42614</v>
      </c>
      <c r="D804" s="3" t="str">
        <f>YEAR(Datos_Consumo[[#This Row],[FECHA]])&amp;"-"&amp;MONTH(Datos_Consumo[[#This Row],[FECHA]])</f>
        <v>2016-9</v>
      </c>
    </row>
    <row r="805" spans="1:4" x14ac:dyDescent="0.25">
      <c r="A805" t="s">
        <v>1630</v>
      </c>
      <c r="B805">
        <v>1</v>
      </c>
      <c r="C805" s="56">
        <v>42675</v>
      </c>
      <c r="D805" s="3" t="str">
        <f>YEAR(Datos_Consumo[[#This Row],[FECHA]])&amp;"-"&amp;MONTH(Datos_Consumo[[#This Row],[FECHA]])</f>
        <v>2016-11</v>
      </c>
    </row>
    <row r="806" spans="1:4" x14ac:dyDescent="0.25">
      <c r="A806" t="s">
        <v>1631</v>
      </c>
      <c r="B806">
        <v>1</v>
      </c>
      <c r="C806" s="56">
        <v>42614</v>
      </c>
      <c r="D806" s="3" t="str">
        <f>YEAR(Datos_Consumo[[#This Row],[FECHA]])&amp;"-"&amp;MONTH(Datos_Consumo[[#This Row],[FECHA]])</f>
        <v>2016-9</v>
      </c>
    </row>
    <row r="807" spans="1:4" x14ac:dyDescent="0.25">
      <c r="A807" t="s">
        <v>1631</v>
      </c>
      <c r="B807">
        <v>1</v>
      </c>
      <c r="C807" s="56">
        <v>42675</v>
      </c>
      <c r="D807" s="3" t="str">
        <f>YEAR(Datos_Consumo[[#This Row],[FECHA]])&amp;"-"&amp;MONTH(Datos_Consumo[[#This Row],[FECHA]])</f>
        <v>2016-11</v>
      </c>
    </row>
    <row r="808" spans="1:4" x14ac:dyDescent="0.25">
      <c r="A808" t="s">
        <v>1825</v>
      </c>
      <c r="B808">
        <v>1</v>
      </c>
      <c r="C808" s="56">
        <v>42705</v>
      </c>
      <c r="D808" s="3" t="str">
        <f>YEAR(Datos_Consumo[[#This Row],[FECHA]])&amp;"-"&amp;MONTH(Datos_Consumo[[#This Row],[FECHA]])</f>
        <v>2016-12</v>
      </c>
    </row>
    <row r="809" spans="1:4" x14ac:dyDescent="0.25">
      <c r="A809" t="s">
        <v>1826</v>
      </c>
      <c r="B809">
        <v>1</v>
      </c>
      <c r="C809" s="56">
        <v>42705</v>
      </c>
      <c r="D809" s="3" t="str">
        <f>YEAR(Datos_Consumo[[#This Row],[FECHA]])&amp;"-"&amp;MONTH(Datos_Consumo[[#This Row],[FECHA]])</f>
        <v>2016-12</v>
      </c>
    </row>
    <row r="810" spans="1:4" x14ac:dyDescent="0.25">
      <c r="A810" t="s">
        <v>1827</v>
      </c>
      <c r="B810">
        <v>1</v>
      </c>
      <c r="C810" s="56">
        <v>42675</v>
      </c>
      <c r="D810" s="3" t="str">
        <f>YEAR(Datos_Consumo[[#This Row],[FECHA]])&amp;"-"&amp;MONTH(Datos_Consumo[[#This Row],[FECHA]])</f>
        <v>2016-11</v>
      </c>
    </row>
    <row r="811" spans="1:4" x14ac:dyDescent="0.25">
      <c r="A811" t="s">
        <v>1827</v>
      </c>
      <c r="B811">
        <v>1</v>
      </c>
      <c r="C811" s="56">
        <v>42705</v>
      </c>
      <c r="D811" s="3" t="str">
        <f>YEAR(Datos_Consumo[[#This Row],[FECHA]])&amp;"-"&amp;MONTH(Datos_Consumo[[#This Row],[FECHA]])</f>
        <v>2016-12</v>
      </c>
    </row>
    <row r="812" spans="1:4" x14ac:dyDescent="0.25">
      <c r="A812" t="s">
        <v>1828</v>
      </c>
      <c r="B812">
        <v>1</v>
      </c>
      <c r="C812" s="56">
        <v>42675</v>
      </c>
      <c r="D812" s="3" t="str">
        <f>YEAR(Datos_Consumo[[#This Row],[FECHA]])&amp;"-"&amp;MONTH(Datos_Consumo[[#This Row],[FECHA]])</f>
        <v>2016-11</v>
      </c>
    </row>
    <row r="813" spans="1:4" x14ac:dyDescent="0.25">
      <c r="A813" t="s">
        <v>1829</v>
      </c>
      <c r="B813">
        <v>1</v>
      </c>
      <c r="C813" s="56">
        <v>42736</v>
      </c>
      <c r="D813" s="3" t="str">
        <f>YEAR(Datos_Consumo[[#This Row],[FECHA]])&amp;"-"&amp;MONTH(Datos_Consumo[[#This Row],[FECHA]])</f>
        <v>2017-1</v>
      </c>
    </row>
    <row r="814" spans="1:4" x14ac:dyDescent="0.25">
      <c r="A814" t="s">
        <v>1830</v>
      </c>
      <c r="B814">
        <v>2</v>
      </c>
      <c r="C814" s="56">
        <v>42675</v>
      </c>
      <c r="D814" s="3" t="str">
        <f>YEAR(Datos_Consumo[[#This Row],[FECHA]])&amp;"-"&amp;MONTH(Datos_Consumo[[#This Row],[FECHA]])</f>
        <v>2016-11</v>
      </c>
    </row>
    <row r="815" spans="1:4" x14ac:dyDescent="0.25">
      <c r="A815" t="s">
        <v>1632</v>
      </c>
      <c r="B815">
        <v>1</v>
      </c>
      <c r="C815" s="56">
        <v>42675</v>
      </c>
      <c r="D815" s="3" t="str">
        <f>YEAR(Datos_Consumo[[#This Row],[FECHA]])&amp;"-"&amp;MONTH(Datos_Consumo[[#This Row],[FECHA]])</f>
        <v>2016-11</v>
      </c>
    </row>
    <row r="816" spans="1:4" x14ac:dyDescent="0.25">
      <c r="A816" t="s">
        <v>1633</v>
      </c>
      <c r="B816">
        <v>1</v>
      </c>
      <c r="C816" s="56">
        <v>42614</v>
      </c>
      <c r="D816" s="3" t="str">
        <f>YEAR(Datos_Consumo[[#This Row],[FECHA]])&amp;"-"&amp;MONTH(Datos_Consumo[[#This Row],[FECHA]])</f>
        <v>2016-9</v>
      </c>
    </row>
    <row r="817" spans="1:4" x14ac:dyDescent="0.25">
      <c r="A817" t="s">
        <v>1633</v>
      </c>
      <c r="B817">
        <v>1</v>
      </c>
      <c r="C817" s="56">
        <v>42644</v>
      </c>
      <c r="D817" s="3" t="str">
        <f>YEAR(Datos_Consumo[[#This Row],[FECHA]])&amp;"-"&amp;MONTH(Datos_Consumo[[#This Row],[FECHA]])</f>
        <v>2016-10</v>
      </c>
    </row>
    <row r="818" spans="1:4" x14ac:dyDescent="0.25">
      <c r="A818" t="s">
        <v>1633</v>
      </c>
      <c r="B818">
        <v>3</v>
      </c>
      <c r="C818" s="56">
        <v>42675</v>
      </c>
      <c r="D818" s="3" t="str">
        <f>YEAR(Datos_Consumo[[#This Row],[FECHA]])&amp;"-"&amp;MONTH(Datos_Consumo[[#This Row],[FECHA]])</f>
        <v>2016-11</v>
      </c>
    </row>
    <row r="819" spans="1:4" x14ac:dyDescent="0.25">
      <c r="A819" t="s">
        <v>1633</v>
      </c>
      <c r="B819">
        <v>2</v>
      </c>
      <c r="C819" s="56">
        <v>42705</v>
      </c>
      <c r="D819" s="3" t="str">
        <f>YEAR(Datos_Consumo[[#This Row],[FECHA]])&amp;"-"&amp;MONTH(Datos_Consumo[[#This Row],[FECHA]])</f>
        <v>2016-12</v>
      </c>
    </row>
    <row r="820" spans="1:4" x14ac:dyDescent="0.25">
      <c r="A820" t="s">
        <v>1633</v>
      </c>
      <c r="B820">
        <v>4</v>
      </c>
      <c r="C820" s="56">
        <v>42736</v>
      </c>
      <c r="D820" s="3" t="str">
        <f>YEAR(Datos_Consumo[[#This Row],[FECHA]])&amp;"-"&amp;MONTH(Datos_Consumo[[#This Row],[FECHA]])</f>
        <v>2017-1</v>
      </c>
    </row>
    <row r="821" spans="1:4" x14ac:dyDescent="0.25">
      <c r="A821" t="s">
        <v>1634</v>
      </c>
      <c r="B821">
        <v>1</v>
      </c>
      <c r="C821" s="56">
        <v>42644</v>
      </c>
      <c r="D821" s="3" t="str">
        <f>YEAR(Datos_Consumo[[#This Row],[FECHA]])&amp;"-"&amp;MONTH(Datos_Consumo[[#This Row],[FECHA]])</f>
        <v>2016-10</v>
      </c>
    </row>
    <row r="822" spans="1:4" x14ac:dyDescent="0.25">
      <c r="A822" t="s">
        <v>1634</v>
      </c>
      <c r="B822">
        <v>1</v>
      </c>
      <c r="C822" s="56">
        <v>42675</v>
      </c>
      <c r="D822" s="3" t="str">
        <f>YEAR(Datos_Consumo[[#This Row],[FECHA]])&amp;"-"&amp;MONTH(Datos_Consumo[[#This Row],[FECHA]])</f>
        <v>2016-11</v>
      </c>
    </row>
    <row r="823" spans="1:4" x14ac:dyDescent="0.25">
      <c r="A823" t="s">
        <v>1634</v>
      </c>
      <c r="B823">
        <v>4</v>
      </c>
      <c r="C823" s="56">
        <v>42705</v>
      </c>
      <c r="D823" s="3" t="str">
        <f>YEAR(Datos_Consumo[[#This Row],[FECHA]])&amp;"-"&amp;MONTH(Datos_Consumo[[#This Row],[FECHA]])</f>
        <v>2016-12</v>
      </c>
    </row>
    <row r="824" spans="1:4" x14ac:dyDescent="0.25">
      <c r="A824" t="s">
        <v>1831</v>
      </c>
      <c r="B824">
        <v>5</v>
      </c>
      <c r="C824" s="56">
        <v>42644</v>
      </c>
      <c r="D824" s="3" t="str">
        <f>YEAR(Datos_Consumo[[#This Row],[FECHA]])&amp;"-"&amp;MONTH(Datos_Consumo[[#This Row],[FECHA]])</f>
        <v>2016-10</v>
      </c>
    </row>
    <row r="825" spans="1:4" x14ac:dyDescent="0.25">
      <c r="A825" t="s">
        <v>1831</v>
      </c>
      <c r="B825">
        <v>1</v>
      </c>
      <c r="C825" s="56">
        <v>42675</v>
      </c>
      <c r="D825" s="3" t="str">
        <f>YEAR(Datos_Consumo[[#This Row],[FECHA]])&amp;"-"&amp;MONTH(Datos_Consumo[[#This Row],[FECHA]])</f>
        <v>2016-11</v>
      </c>
    </row>
    <row r="826" spans="1:4" x14ac:dyDescent="0.25">
      <c r="A826" t="s">
        <v>1832</v>
      </c>
      <c r="B826">
        <v>3333</v>
      </c>
      <c r="C826" s="56">
        <v>42614</v>
      </c>
      <c r="D826" s="3" t="str">
        <f>YEAR(Datos_Consumo[[#This Row],[FECHA]])&amp;"-"&amp;MONTH(Datos_Consumo[[#This Row],[FECHA]])</f>
        <v>2016-9</v>
      </c>
    </row>
    <row r="827" spans="1:4" x14ac:dyDescent="0.25">
      <c r="A827" t="s">
        <v>1832</v>
      </c>
      <c r="B827">
        <v>542</v>
      </c>
      <c r="C827" s="56">
        <v>42644</v>
      </c>
      <c r="D827" s="3" t="str">
        <f>YEAR(Datos_Consumo[[#This Row],[FECHA]])&amp;"-"&amp;MONTH(Datos_Consumo[[#This Row],[FECHA]])</f>
        <v>2016-10</v>
      </c>
    </row>
    <row r="828" spans="1:4" x14ac:dyDescent="0.25">
      <c r="A828" t="s">
        <v>1832</v>
      </c>
      <c r="B828">
        <v>1509</v>
      </c>
      <c r="C828" s="56">
        <v>42675</v>
      </c>
      <c r="D828" s="3" t="str">
        <f>YEAR(Datos_Consumo[[#This Row],[FECHA]])&amp;"-"&amp;MONTH(Datos_Consumo[[#This Row],[FECHA]])</f>
        <v>2016-11</v>
      </c>
    </row>
    <row r="829" spans="1:4" x14ac:dyDescent="0.25">
      <c r="A829" t="s">
        <v>1832</v>
      </c>
      <c r="B829">
        <v>2071</v>
      </c>
      <c r="C829" s="56">
        <v>42705</v>
      </c>
      <c r="D829" s="3" t="str">
        <f>YEAR(Datos_Consumo[[#This Row],[FECHA]])&amp;"-"&amp;MONTH(Datos_Consumo[[#This Row],[FECHA]])</f>
        <v>2016-12</v>
      </c>
    </row>
    <row r="830" spans="1:4" x14ac:dyDescent="0.25">
      <c r="A830" t="s">
        <v>1832</v>
      </c>
      <c r="B830">
        <v>2926</v>
      </c>
      <c r="C830" s="56">
        <v>42736</v>
      </c>
      <c r="D830" s="3" t="str">
        <f>YEAR(Datos_Consumo[[#This Row],[FECHA]])&amp;"-"&amp;MONTH(Datos_Consumo[[#This Row],[FECHA]])</f>
        <v>2017-1</v>
      </c>
    </row>
    <row r="831" spans="1:4" x14ac:dyDescent="0.25">
      <c r="A831" t="s">
        <v>1728</v>
      </c>
      <c r="B831">
        <v>3</v>
      </c>
      <c r="C831" s="56">
        <v>42675</v>
      </c>
      <c r="D831" s="3" t="str">
        <f>YEAR(Datos_Consumo[[#This Row],[FECHA]])&amp;"-"&amp;MONTH(Datos_Consumo[[#This Row],[FECHA]])</f>
        <v>2016-11</v>
      </c>
    </row>
    <row r="832" spans="1:4" x14ac:dyDescent="0.25">
      <c r="A832" t="s">
        <v>1728</v>
      </c>
      <c r="B832">
        <v>1</v>
      </c>
      <c r="C832" s="56">
        <v>42705</v>
      </c>
      <c r="D832" s="3" t="str">
        <f>YEAR(Datos_Consumo[[#This Row],[FECHA]])&amp;"-"&amp;MONTH(Datos_Consumo[[#This Row],[FECHA]])</f>
        <v>2016-12</v>
      </c>
    </row>
    <row r="833" spans="1:4" x14ac:dyDescent="0.25">
      <c r="A833" t="s">
        <v>1833</v>
      </c>
      <c r="B833">
        <v>9</v>
      </c>
      <c r="C833" s="56">
        <v>42614</v>
      </c>
      <c r="D833" s="3" t="str">
        <f>YEAR(Datos_Consumo[[#This Row],[FECHA]])&amp;"-"&amp;MONTH(Datos_Consumo[[#This Row],[FECHA]])</f>
        <v>2016-9</v>
      </c>
    </row>
    <row r="834" spans="1:4" x14ac:dyDescent="0.25">
      <c r="A834" t="s">
        <v>1833</v>
      </c>
      <c r="B834">
        <v>12</v>
      </c>
      <c r="C834" s="56">
        <v>42644</v>
      </c>
      <c r="D834" s="3" t="str">
        <f>YEAR(Datos_Consumo[[#This Row],[FECHA]])&amp;"-"&amp;MONTH(Datos_Consumo[[#This Row],[FECHA]])</f>
        <v>2016-10</v>
      </c>
    </row>
    <row r="835" spans="1:4" x14ac:dyDescent="0.25">
      <c r="A835" t="s">
        <v>1833</v>
      </c>
      <c r="B835">
        <v>8</v>
      </c>
      <c r="C835" s="56">
        <v>42675</v>
      </c>
      <c r="D835" s="3" t="str">
        <f>YEAR(Datos_Consumo[[#This Row],[FECHA]])&amp;"-"&amp;MONTH(Datos_Consumo[[#This Row],[FECHA]])</f>
        <v>2016-11</v>
      </c>
    </row>
    <row r="836" spans="1:4" x14ac:dyDescent="0.25">
      <c r="A836" t="s">
        <v>1833</v>
      </c>
      <c r="B836">
        <v>7</v>
      </c>
      <c r="C836" s="56">
        <v>42705</v>
      </c>
      <c r="D836" s="3" t="str">
        <f>YEAR(Datos_Consumo[[#This Row],[FECHA]])&amp;"-"&amp;MONTH(Datos_Consumo[[#This Row],[FECHA]])</f>
        <v>2016-12</v>
      </c>
    </row>
    <row r="837" spans="1:4" x14ac:dyDescent="0.25">
      <c r="A837" t="s">
        <v>1833</v>
      </c>
      <c r="B837">
        <v>9</v>
      </c>
      <c r="C837" s="56">
        <v>42736</v>
      </c>
      <c r="D837" s="3" t="str">
        <f>YEAR(Datos_Consumo[[#This Row],[FECHA]])&amp;"-"&amp;MONTH(Datos_Consumo[[#This Row],[FECHA]])</f>
        <v>2017-1</v>
      </c>
    </row>
    <row r="838" spans="1:4" x14ac:dyDescent="0.25">
      <c r="A838" t="s">
        <v>1834</v>
      </c>
      <c r="B838">
        <v>5</v>
      </c>
      <c r="C838" s="56">
        <v>42614</v>
      </c>
      <c r="D838" s="3" t="str">
        <f>YEAR(Datos_Consumo[[#This Row],[FECHA]])&amp;"-"&amp;MONTH(Datos_Consumo[[#This Row],[FECHA]])</f>
        <v>2016-9</v>
      </c>
    </row>
    <row r="839" spans="1:4" x14ac:dyDescent="0.25">
      <c r="A839" t="s">
        <v>1834</v>
      </c>
      <c r="B839">
        <v>1</v>
      </c>
      <c r="C839" s="56">
        <v>42644</v>
      </c>
      <c r="D839" s="3" t="str">
        <f>YEAR(Datos_Consumo[[#This Row],[FECHA]])&amp;"-"&amp;MONTH(Datos_Consumo[[#This Row],[FECHA]])</f>
        <v>2016-10</v>
      </c>
    </row>
    <row r="840" spans="1:4" x14ac:dyDescent="0.25">
      <c r="A840" t="s">
        <v>1834</v>
      </c>
      <c r="B840">
        <v>9</v>
      </c>
      <c r="C840" s="56">
        <v>42675</v>
      </c>
      <c r="D840" s="3" t="str">
        <f>YEAR(Datos_Consumo[[#This Row],[FECHA]])&amp;"-"&amp;MONTH(Datos_Consumo[[#This Row],[FECHA]])</f>
        <v>2016-11</v>
      </c>
    </row>
    <row r="841" spans="1:4" x14ac:dyDescent="0.25">
      <c r="A841" t="s">
        <v>1729</v>
      </c>
      <c r="B841">
        <v>25</v>
      </c>
      <c r="C841" s="56">
        <v>42614</v>
      </c>
      <c r="D841" s="3" t="str">
        <f>YEAR(Datos_Consumo[[#This Row],[FECHA]])&amp;"-"&amp;MONTH(Datos_Consumo[[#This Row],[FECHA]])</f>
        <v>2016-9</v>
      </c>
    </row>
    <row r="842" spans="1:4" x14ac:dyDescent="0.25">
      <c r="A842" t="s">
        <v>1729</v>
      </c>
      <c r="B842">
        <v>23</v>
      </c>
      <c r="C842" s="56">
        <v>42644</v>
      </c>
      <c r="D842" s="3" t="str">
        <f>YEAR(Datos_Consumo[[#This Row],[FECHA]])&amp;"-"&amp;MONTH(Datos_Consumo[[#This Row],[FECHA]])</f>
        <v>2016-10</v>
      </c>
    </row>
    <row r="843" spans="1:4" x14ac:dyDescent="0.25">
      <c r="A843" t="s">
        <v>1729</v>
      </c>
      <c r="B843">
        <v>11</v>
      </c>
      <c r="C843" s="56">
        <v>42675</v>
      </c>
      <c r="D843" s="3" t="str">
        <f>YEAR(Datos_Consumo[[#This Row],[FECHA]])&amp;"-"&amp;MONTH(Datos_Consumo[[#This Row],[FECHA]])</f>
        <v>2016-11</v>
      </c>
    </row>
    <row r="844" spans="1:4" x14ac:dyDescent="0.25">
      <c r="A844" t="s">
        <v>1729</v>
      </c>
      <c r="B844">
        <v>10</v>
      </c>
      <c r="C844" s="56">
        <v>42705</v>
      </c>
      <c r="D844" s="3" t="str">
        <f>YEAR(Datos_Consumo[[#This Row],[FECHA]])&amp;"-"&amp;MONTH(Datos_Consumo[[#This Row],[FECHA]])</f>
        <v>2016-12</v>
      </c>
    </row>
    <row r="845" spans="1:4" x14ac:dyDescent="0.25">
      <c r="A845" t="s">
        <v>1729</v>
      </c>
      <c r="B845">
        <v>9</v>
      </c>
      <c r="C845" s="56">
        <v>42736</v>
      </c>
      <c r="D845" s="3" t="str">
        <f>YEAR(Datos_Consumo[[#This Row],[FECHA]])&amp;"-"&amp;MONTH(Datos_Consumo[[#This Row],[FECHA]])</f>
        <v>2017-1</v>
      </c>
    </row>
    <row r="846" spans="1:4" x14ac:dyDescent="0.25">
      <c r="A846" t="s">
        <v>1835</v>
      </c>
      <c r="B846">
        <v>1</v>
      </c>
      <c r="C846" s="56">
        <v>42675</v>
      </c>
      <c r="D846" s="3" t="str">
        <f>YEAR(Datos_Consumo[[#This Row],[FECHA]])&amp;"-"&amp;MONTH(Datos_Consumo[[#This Row],[FECHA]])</f>
        <v>2016-11</v>
      </c>
    </row>
    <row r="847" spans="1:4" x14ac:dyDescent="0.25">
      <c r="A847" t="s">
        <v>1836</v>
      </c>
      <c r="B847">
        <v>20</v>
      </c>
      <c r="C847" s="56">
        <v>42614</v>
      </c>
      <c r="D847" s="3" t="str">
        <f>YEAR(Datos_Consumo[[#This Row],[FECHA]])&amp;"-"&amp;MONTH(Datos_Consumo[[#This Row],[FECHA]])</f>
        <v>2016-9</v>
      </c>
    </row>
    <row r="848" spans="1:4" x14ac:dyDescent="0.25">
      <c r="A848" t="s">
        <v>1836</v>
      </c>
      <c r="B848">
        <v>10</v>
      </c>
      <c r="C848" s="56">
        <v>42644</v>
      </c>
      <c r="D848" s="3" t="str">
        <f>YEAR(Datos_Consumo[[#This Row],[FECHA]])&amp;"-"&amp;MONTH(Datos_Consumo[[#This Row],[FECHA]])</f>
        <v>2016-10</v>
      </c>
    </row>
    <row r="849" spans="1:4" x14ac:dyDescent="0.25">
      <c r="A849" t="s">
        <v>1836</v>
      </c>
      <c r="B849">
        <v>10</v>
      </c>
      <c r="C849" s="56">
        <v>42705</v>
      </c>
      <c r="D849" s="3" t="str">
        <f>YEAR(Datos_Consumo[[#This Row],[FECHA]])&amp;"-"&amp;MONTH(Datos_Consumo[[#This Row],[FECHA]])</f>
        <v>2016-12</v>
      </c>
    </row>
    <row r="850" spans="1:4" x14ac:dyDescent="0.25">
      <c r="A850" t="s">
        <v>1393</v>
      </c>
      <c r="B850">
        <v>422</v>
      </c>
      <c r="C850" s="56">
        <v>42614</v>
      </c>
      <c r="D850" s="3" t="str">
        <f>YEAR(Datos_Consumo[[#This Row],[FECHA]])&amp;"-"&amp;MONTH(Datos_Consumo[[#This Row],[FECHA]])</f>
        <v>2016-9</v>
      </c>
    </row>
    <row r="851" spans="1:4" x14ac:dyDescent="0.25">
      <c r="A851" t="s">
        <v>1393</v>
      </c>
      <c r="B851">
        <v>2210</v>
      </c>
      <c r="C851" s="56">
        <v>42644</v>
      </c>
      <c r="D851" s="3" t="str">
        <f>YEAR(Datos_Consumo[[#This Row],[FECHA]])&amp;"-"&amp;MONTH(Datos_Consumo[[#This Row],[FECHA]])</f>
        <v>2016-10</v>
      </c>
    </row>
    <row r="852" spans="1:4" x14ac:dyDescent="0.25">
      <c r="A852" t="s">
        <v>1393</v>
      </c>
      <c r="B852">
        <v>3070</v>
      </c>
      <c r="C852" s="56">
        <v>42675</v>
      </c>
      <c r="D852" s="3" t="str">
        <f>YEAR(Datos_Consumo[[#This Row],[FECHA]])&amp;"-"&amp;MONTH(Datos_Consumo[[#This Row],[FECHA]])</f>
        <v>2016-11</v>
      </c>
    </row>
    <row r="853" spans="1:4" x14ac:dyDescent="0.25">
      <c r="A853" t="s">
        <v>1393</v>
      </c>
      <c r="B853">
        <v>2985</v>
      </c>
      <c r="C853" s="56">
        <v>42705</v>
      </c>
      <c r="D853" s="3" t="str">
        <f>YEAR(Datos_Consumo[[#This Row],[FECHA]])&amp;"-"&amp;MONTH(Datos_Consumo[[#This Row],[FECHA]])</f>
        <v>2016-12</v>
      </c>
    </row>
    <row r="854" spans="1:4" x14ac:dyDescent="0.25">
      <c r="A854" t="s">
        <v>1393</v>
      </c>
      <c r="B854">
        <v>1317</v>
      </c>
      <c r="C854" s="56">
        <v>42736</v>
      </c>
      <c r="D854" s="3" t="str">
        <f>YEAR(Datos_Consumo[[#This Row],[FECHA]])&amp;"-"&amp;MONTH(Datos_Consumo[[#This Row],[FECHA]])</f>
        <v>2017-1</v>
      </c>
    </row>
    <row r="855" spans="1:4" x14ac:dyDescent="0.25">
      <c r="A855" t="s">
        <v>1394</v>
      </c>
      <c r="B855">
        <v>2232</v>
      </c>
      <c r="C855" s="56">
        <v>42614</v>
      </c>
      <c r="D855" s="3" t="str">
        <f>YEAR(Datos_Consumo[[#This Row],[FECHA]])&amp;"-"&amp;MONTH(Datos_Consumo[[#This Row],[FECHA]])</f>
        <v>2016-9</v>
      </c>
    </row>
    <row r="856" spans="1:4" x14ac:dyDescent="0.25">
      <c r="A856" t="s">
        <v>1394</v>
      </c>
      <c r="B856">
        <v>3746</v>
      </c>
      <c r="C856" s="56">
        <v>42644</v>
      </c>
      <c r="D856" s="3" t="str">
        <f>YEAR(Datos_Consumo[[#This Row],[FECHA]])&amp;"-"&amp;MONTH(Datos_Consumo[[#This Row],[FECHA]])</f>
        <v>2016-10</v>
      </c>
    </row>
    <row r="857" spans="1:4" x14ac:dyDescent="0.25">
      <c r="A857" t="s">
        <v>1394</v>
      </c>
      <c r="B857">
        <v>4898</v>
      </c>
      <c r="C857" s="56">
        <v>42675</v>
      </c>
      <c r="D857" s="3" t="str">
        <f>YEAR(Datos_Consumo[[#This Row],[FECHA]])&amp;"-"&amp;MONTH(Datos_Consumo[[#This Row],[FECHA]])</f>
        <v>2016-11</v>
      </c>
    </row>
    <row r="858" spans="1:4" x14ac:dyDescent="0.25">
      <c r="A858" t="s">
        <v>1394</v>
      </c>
      <c r="B858">
        <v>4791</v>
      </c>
      <c r="C858" s="56">
        <v>42705</v>
      </c>
      <c r="D858" s="3" t="str">
        <f>YEAR(Datos_Consumo[[#This Row],[FECHA]])&amp;"-"&amp;MONTH(Datos_Consumo[[#This Row],[FECHA]])</f>
        <v>2016-12</v>
      </c>
    </row>
    <row r="859" spans="1:4" x14ac:dyDescent="0.25">
      <c r="A859" t="s">
        <v>1394</v>
      </c>
      <c r="B859">
        <v>2126</v>
      </c>
      <c r="C859" s="56">
        <v>42736</v>
      </c>
      <c r="D859" s="3" t="str">
        <f>YEAR(Datos_Consumo[[#This Row],[FECHA]])&amp;"-"&amp;MONTH(Datos_Consumo[[#This Row],[FECHA]])</f>
        <v>2017-1</v>
      </c>
    </row>
    <row r="860" spans="1:4" x14ac:dyDescent="0.25">
      <c r="A860" t="s">
        <v>1394</v>
      </c>
      <c r="B860">
        <v>258</v>
      </c>
      <c r="C860" s="56">
        <v>42767</v>
      </c>
      <c r="D860" s="3" t="str">
        <f>YEAR(Datos_Consumo[[#This Row],[FECHA]])&amp;"-"&amp;MONTH(Datos_Consumo[[#This Row],[FECHA]])</f>
        <v>2017-2</v>
      </c>
    </row>
    <row r="861" spans="1:4" x14ac:dyDescent="0.25">
      <c r="A861" t="s">
        <v>1395</v>
      </c>
      <c r="B861">
        <v>161</v>
      </c>
      <c r="C861" s="56">
        <v>42614</v>
      </c>
      <c r="D861" s="3" t="str">
        <f>YEAR(Datos_Consumo[[#This Row],[FECHA]])&amp;"-"&amp;MONTH(Datos_Consumo[[#This Row],[FECHA]])</f>
        <v>2016-9</v>
      </c>
    </row>
    <row r="862" spans="1:4" x14ac:dyDescent="0.25">
      <c r="A862" t="s">
        <v>1395</v>
      </c>
      <c r="B862">
        <v>1021</v>
      </c>
      <c r="C862" s="56">
        <v>42644</v>
      </c>
      <c r="D862" s="3" t="str">
        <f>YEAR(Datos_Consumo[[#This Row],[FECHA]])&amp;"-"&amp;MONTH(Datos_Consumo[[#This Row],[FECHA]])</f>
        <v>2016-10</v>
      </c>
    </row>
    <row r="863" spans="1:4" x14ac:dyDescent="0.25">
      <c r="A863" t="s">
        <v>1395</v>
      </c>
      <c r="B863">
        <v>2270</v>
      </c>
      <c r="C863" s="56">
        <v>42675</v>
      </c>
      <c r="D863" s="3" t="str">
        <f>YEAR(Datos_Consumo[[#This Row],[FECHA]])&amp;"-"&amp;MONTH(Datos_Consumo[[#This Row],[FECHA]])</f>
        <v>2016-11</v>
      </c>
    </row>
    <row r="864" spans="1:4" x14ac:dyDescent="0.25">
      <c r="A864" t="s">
        <v>1395</v>
      </c>
      <c r="B864">
        <v>3170</v>
      </c>
      <c r="C864" s="56">
        <v>42705</v>
      </c>
      <c r="D864" s="3" t="str">
        <f>YEAR(Datos_Consumo[[#This Row],[FECHA]])&amp;"-"&amp;MONTH(Datos_Consumo[[#This Row],[FECHA]])</f>
        <v>2016-12</v>
      </c>
    </row>
    <row r="865" spans="1:4" x14ac:dyDescent="0.25">
      <c r="A865" t="s">
        <v>1395</v>
      </c>
      <c r="B865">
        <v>740</v>
      </c>
      <c r="C865" s="56">
        <v>42736</v>
      </c>
      <c r="D865" s="3" t="str">
        <f>YEAR(Datos_Consumo[[#This Row],[FECHA]])&amp;"-"&amp;MONTH(Datos_Consumo[[#This Row],[FECHA]])</f>
        <v>2017-1</v>
      </c>
    </row>
    <row r="866" spans="1:4" x14ac:dyDescent="0.25">
      <c r="A866" t="s">
        <v>1837</v>
      </c>
      <c r="B866">
        <v>10</v>
      </c>
      <c r="C866" s="56">
        <v>42675</v>
      </c>
      <c r="D866" s="3" t="str">
        <f>YEAR(Datos_Consumo[[#This Row],[FECHA]])&amp;"-"&amp;MONTH(Datos_Consumo[[#This Row],[FECHA]])</f>
        <v>2016-11</v>
      </c>
    </row>
    <row r="867" spans="1:4" x14ac:dyDescent="0.25">
      <c r="A867" t="s">
        <v>1838</v>
      </c>
      <c r="B867">
        <v>20</v>
      </c>
      <c r="C867" s="56">
        <v>42614</v>
      </c>
      <c r="D867" s="3" t="str">
        <f>YEAR(Datos_Consumo[[#This Row],[FECHA]])&amp;"-"&amp;MONTH(Datos_Consumo[[#This Row],[FECHA]])</f>
        <v>2016-9</v>
      </c>
    </row>
    <row r="868" spans="1:4" x14ac:dyDescent="0.25">
      <c r="A868" t="s">
        <v>1838</v>
      </c>
      <c r="B868">
        <v>80</v>
      </c>
      <c r="C868" s="56">
        <v>42644</v>
      </c>
      <c r="D868" s="3" t="str">
        <f>YEAR(Datos_Consumo[[#This Row],[FECHA]])&amp;"-"&amp;MONTH(Datos_Consumo[[#This Row],[FECHA]])</f>
        <v>2016-10</v>
      </c>
    </row>
    <row r="869" spans="1:4" x14ac:dyDescent="0.25">
      <c r="A869" t="s">
        <v>1838</v>
      </c>
      <c r="B869">
        <v>91</v>
      </c>
      <c r="C869" s="56">
        <v>42675</v>
      </c>
      <c r="D869" s="3" t="str">
        <f>YEAR(Datos_Consumo[[#This Row],[FECHA]])&amp;"-"&amp;MONTH(Datos_Consumo[[#This Row],[FECHA]])</f>
        <v>2016-11</v>
      </c>
    </row>
    <row r="870" spans="1:4" x14ac:dyDescent="0.25">
      <c r="A870" t="s">
        <v>1838</v>
      </c>
      <c r="B870">
        <v>20</v>
      </c>
      <c r="C870" s="56">
        <v>42705</v>
      </c>
      <c r="D870" s="3" t="str">
        <f>YEAR(Datos_Consumo[[#This Row],[FECHA]])&amp;"-"&amp;MONTH(Datos_Consumo[[#This Row],[FECHA]])</f>
        <v>2016-12</v>
      </c>
    </row>
    <row r="871" spans="1:4" x14ac:dyDescent="0.25">
      <c r="A871" t="s">
        <v>1838</v>
      </c>
      <c r="B871">
        <v>4</v>
      </c>
      <c r="C871" s="56">
        <v>42736</v>
      </c>
      <c r="D871" s="3" t="str">
        <f>YEAR(Datos_Consumo[[#This Row],[FECHA]])&amp;"-"&amp;MONTH(Datos_Consumo[[#This Row],[FECHA]])</f>
        <v>2017-1</v>
      </c>
    </row>
    <row r="872" spans="1:4" x14ac:dyDescent="0.25">
      <c r="A872" t="s">
        <v>1730</v>
      </c>
      <c r="B872">
        <v>34</v>
      </c>
      <c r="C872" s="56">
        <v>42736</v>
      </c>
      <c r="D872" s="3" t="str">
        <f>YEAR(Datos_Consumo[[#This Row],[FECHA]])&amp;"-"&amp;MONTH(Datos_Consumo[[#This Row],[FECHA]])</f>
        <v>2017-1</v>
      </c>
    </row>
    <row r="873" spans="1:4" x14ac:dyDescent="0.25">
      <c r="A873" t="s">
        <v>1839</v>
      </c>
      <c r="B873">
        <v>40</v>
      </c>
      <c r="C873" s="56">
        <v>42614</v>
      </c>
      <c r="D873" s="3" t="str">
        <f>YEAR(Datos_Consumo[[#This Row],[FECHA]])&amp;"-"&amp;MONTH(Datos_Consumo[[#This Row],[FECHA]])</f>
        <v>2016-9</v>
      </c>
    </row>
    <row r="874" spans="1:4" x14ac:dyDescent="0.25">
      <c r="A874" t="s">
        <v>1839</v>
      </c>
      <c r="B874">
        <v>18</v>
      </c>
      <c r="C874" s="56">
        <v>42644</v>
      </c>
      <c r="D874" s="3" t="str">
        <f>YEAR(Datos_Consumo[[#This Row],[FECHA]])&amp;"-"&amp;MONTH(Datos_Consumo[[#This Row],[FECHA]])</f>
        <v>2016-10</v>
      </c>
    </row>
    <row r="875" spans="1:4" x14ac:dyDescent="0.25">
      <c r="A875" t="s">
        <v>1839</v>
      </c>
      <c r="B875">
        <v>10</v>
      </c>
      <c r="C875" s="56">
        <v>42705</v>
      </c>
      <c r="D875" s="3" t="str">
        <f>YEAR(Datos_Consumo[[#This Row],[FECHA]])&amp;"-"&amp;MONTH(Datos_Consumo[[#This Row],[FECHA]])</f>
        <v>2016-12</v>
      </c>
    </row>
    <row r="876" spans="1:4" x14ac:dyDescent="0.25">
      <c r="A876" t="s">
        <v>1839</v>
      </c>
      <c r="B876">
        <v>10</v>
      </c>
      <c r="C876" s="56">
        <v>42736</v>
      </c>
      <c r="D876" s="3" t="str">
        <f>YEAR(Datos_Consumo[[#This Row],[FECHA]])&amp;"-"&amp;MONTH(Datos_Consumo[[#This Row],[FECHA]])</f>
        <v>2017-1</v>
      </c>
    </row>
    <row r="877" spans="1:4" x14ac:dyDescent="0.25">
      <c r="A877" t="s">
        <v>1840</v>
      </c>
      <c r="B877">
        <v>30</v>
      </c>
      <c r="C877" s="56">
        <v>42736</v>
      </c>
      <c r="D877" s="3" t="str">
        <f>YEAR(Datos_Consumo[[#This Row],[FECHA]])&amp;"-"&amp;MONTH(Datos_Consumo[[#This Row],[FECHA]])</f>
        <v>2017-1</v>
      </c>
    </row>
    <row r="878" spans="1:4" x14ac:dyDescent="0.25">
      <c r="A878" t="s">
        <v>1635</v>
      </c>
      <c r="B878">
        <v>10</v>
      </c>
      <c r="C878" s="56">
        <v>42675</v>
      </c>
      <c r="D878" s="3" t="str">
        <f>YEAR(Datos_Consumo[[#This Row],[FECHA]])&amp;"-"&amp;MONTH(Datos_Consumo[[#This Row],[FECHA]])</f>
        <v>2016-11</v>
      </c>
    </row>
    <row r="879" spans="1:4" x14ac:dyDescent="0.25">
      <c r="A879" t="s">
        <v>1635</v>
      </c>
      <c r="B879">
        <v>12</v>
      </c>
      <c r="C879" s="56">
        <v>42705</v>
      </c>
      <c r="D879" s="3" t="str">
        <f>YEAR(Datos_Consumo[[#This Row],[FECHA]])&amp;"-"&amp;MONTH(Datos_Consumo[[#This Row],[FECHA]])</f>
        <v>2016-12</v>
      </c>
    </row>
    <row r="880" spans="1:4" x14ac:dyDescent="0.25">
      <c r="A880" t="s">
        <v>1396</v>
      </c>
      <c r="B880">
        <v>219</v>
      </c>
      <c r="C880" s="56">
        <v>42614</v>
      </c>
      <c r="D880" s="3" t="str">
        <f>YEAR(Datos_Consumo[[#This Row],[FECHA]])&amp;"-"&amp;MONTH(Datos_Consumo[[#This Row],[FECHA]])</f>
        <v>2016-9</v>
      </c>
    </row>
    <row r="881" spans="1:4" x14ac:dyDescent="0.25">
      <c r="A881" t="s">
        <v>1396</v>
      </c>
      <c r="B881">
        <v>920</v>
      </c>
      <c r="C881" s="56">
        <v>42644</v>
      </c>
      <c r="D881" s="3" t="str">
        <f>YEAR(Datos_Consumo[[#This Row],[FECHA]])&amp;"-"&amp;MONTH(Datos_Consumo[[#This Row],[FECHA]])</f>
        <v>2016-10</v>
      </c>
    </row>
    <row r="882" spans="1:4" x14ac:dyDescent="0.25">
      <c r="A882" t="s">
        <v>1396</v>
      </c>
      <c r="B882">
        <v>713</v>
      </c>
      <c r="C882" s="56">
        <v>42675</v>
      </c>
      <c r="D882" s="3" t="str">
        <f>YEAR(Datos_Consumo[[#This Row],[FECHA]])&amp;"-"&amp;MONTH(Datos_Consumo[[#This Row],[FECHA]])</f>
        <v>2016-11</v>
      </c>
    </row>
    <row r="883" spans="1:4" x14ac:dyDescent="0.25">
      <c r="A883" t="s">
        <v>1396</v>
      </c>
      <c r="B883">
        <v>352</v>
      </c>
      <c r="C883" s="56">
        <v>42705</v>
      </c>
      <c r="D883" s="3" t="str">
        <f>YEAR(Datos_Consumo[[#This Row],[FECHA]])&amp;"-"&amp;MONTH(Datos_Consumo[[#This Row],[FECHA]])</f>
        <v>2016-12</v>
      </c>
    </row>
    <row r="884" spans="1:4" x14ac:dyDescent="0.25">
      <c r="A884" t="s">
        <v>1396</v>
      </c>
      <c r="B884">
        <v>502</v>
      </c>
      <c r="C884" s="56">
        <v>42736</v>
      </c>
      <c r="D884" s="3" t="str">
        <f>YEAR(Datos_Consumo[[#This Row],[FECHA]])&amp;"-"&amp;MONTH(Datos_Consumo[[#This Row],[FECHA]])</f>
        <v>2017-1</v>
      </c>
    </row>
    <row r="885" spans="1:4" x14ac:dyDescent="0.25">
      <c r="A885" t="s">
        <v>1397</v>
      </c>
      <c r="B885">
        <v>2379</v>
      </c>
      <c r="C885" s="56">
        <v>42614</v>
      </c>
      <c r="D885" s="3" t="str">
        <f>YEAR(Datos_Consumo[[#This Row],[FECHA]])&amp;"-"&amp;MONTH(Datos_Consumo[[#This Row],[FECHA]])</f>
        <v>2016-9</v>
      </c>
    </row>
    <row r="886" spans="1:4" x14ac:dyDescent="0.25">
      <c r="A886" t="s">
        <v>1397</v>
      </c>
      <c r="B886">
        <v>635</v>
      </c>
      <c r="C886" s="56">
        <v>42644</v>
      </c>
      <c r="D886" s="3" t="str">
        <f>YEAR(Datos_Consumo[[#This Row],[FECHA]])&amp;"-"&amp;MONTH(Datos_Consumo[[#This Row],[FECHA]])</f>
        <v>2016-10</v>
      </c>
    </row>
    <row r="887" spans="1:4" x14ac:dyDescent="0.25">
      <c r="A887" t="s">
        <v>1397</v>
      </c>
      <c r="B887">
        <v>1594</v>
      </c>
      <c r="C887" s="56">
        <v>42675</v>
      </c>
      <c r="D887" s="3" t="str">
        <f>YEAR(Datos_Consumo[[#This Row],[FECHA]])&amp;"-"&amp;MONTH(Datos_Consumo[[#This Row],[FECHA]])</f>
        <v>2016-11</v>
      </c>
    </row>
    <row r="888" spans="1:4" x14ac:dyDescent="0.25">
      <c r="A888" t="s">
        <v>1397</v>
      </c>
      <c r="B888">
        <v>5238</v>
      </c>
      <c r="C888" s="56">
        <v>42705</v>
      </c>
      <c r="D888" s="3" t="str">
        <f>YEAR(Datos_Consumo[[#This Row],[FECHA]])&amp;"-"&amp;MONTH(Datos_Consumo[[#This Row],[FECHA]])</f>
        <v>2016-12</v>
      </c>
    </row>
    <row r="889" spans="1:4" x14ac:dyDescent="0.25">
      <c r="A889" t="s">
        <v>1397</v>
      </c>
      <c r="B889">
        <v>710</v>
      </c>
      <c r="C889" s="56">
        <v>42736</v>
      </c>
      <c r="D889" s="3" t="str">
        <f>YEAR(Datos_Consumo[[#This Row],[FECHA]])&amp;"-"&amp;MONTH(Datos_Consumo[[#This Row],[FECHA]])</f>
        <v>2017-1</v>
      </c>
    </row>
    <row r="890" spans="1:4" x14ac:dyDescent="0.25">
      <c r="A890" t="s">
        <v>1398</v>
      </c>
      <c r="B890">
        <v>240</v>
      </c>
      <c r="C890" s="56">
        <v>42644</v>
      </c>
      <c r="D890" s="3" t="str">
        <f>YEAR(Datos_Consumo[[#This Row],[FECHA]])&amp;"-"&amp;MONTH(Datos_Consumo[[#This Row],[FECHA]])</f>
        <v>2016-10</v>
      </c>
    </row>
    <row r="891" spans="1:4" x14ac:dyDescent="0.25">
      <c r="A891" t="s">
        <v>1398</v>
      </c>
      <c r="B891">
        <v>30</v>
      </c>
      <c r="C891" s="56">
        <v>42675</v>
      </c>
      <c r="D891" s="3" t="str">
        <f>YEAR(Datos_Consumo[[#This Row],[FECHA]])&amp;"-"&amp;MONTH(Datos_Consumo[[#This Row],[FECHA]])</f>
        <v>2016-11</v>
      </c>
    </row>
    <row r="892" spans="1:4" x14ac:dyDescent="0.25">
      <c r="A892" t="s">
        <v>1398</v>
      </c>
      <c r="B892">
        <v>20</v>
      </c>
      <c r="C892" s="56">
        <v>42736</v>
      </c>
      <c r="D892" s="3" t="str">
        <f>YEAR(Datos_Consumo[[#This Row],[FECHA]])&amp;"-"&amp;MONTH(Datos_Consumo[[#This Row],[FECHA]])</f>
        <v>2017-1</v>
      </c>
    </row>
    <row r="893" spans="1:4" x14ac:dyDescent="0.25">
      <c r="A893" t="s">
        <v>1841</v>
      </c>
      <c r="B893">
        <v>30</v>
      </c>
      <c r="C893" s="56">
        <v>42614</v>
      </c>
      <c r="D893" s="3" t="str">
        <f>YEAR(Datos_Consumo[[#This Row],[FECHA]])&amp;"-"&amp;MONTH(Datos_Consumo[[#This Row],[FECHA]])</f>
        <v>2016-9</v>
      </c>
    </row>
    <row r="894" spans="1:4" x14ac:dyDescent="0.25">
      <c r="A894" t="s">
        <v>1841</v>
      </c>
      <c r="B894">
        <v>20</v>
      </c>
      <c r="C894" s="56">
        <v>42644</v>
      </c>
      <c r="D894" s="3" t="str">
        <f>YEAR(Datos_Consumo[[#This Row],[FECHA]])&amp;"-"&amp;MONTH(Datos_Consumo[[#This Row],[FECHA]])</f>
        <v>2016-10</v>
      </c>
    </row>
    <row r="895" spans="1:4" x14ac:dyDescent="0.25">
      <c r="A895" t="s">
        <v>1841</v>
      </c>
      <c r="B895">
        <v>20</v>
      </c>
      <c r="C895" s="56">
        <v>42675</v>
      </c>
      <c r="D895" s="3" t="str">
        <f>YEAR(Datos_Consumo[[#This Row],[FECHA]])&amp;"-"&amp;MONTH(Datos_Consumo[[#This Row],[FECHA]])</f>
        <v>2016-11</v>
      </c>
    </row>
    <row r="896" spans="1:4" x14ac:dyDescent="0.25">
      <c r="A896" t="s">
        <v>1841</v>
      </c>
      <c r="B896">
        <v>20</v>
      </c>
      <c r="C896" s="56">
        <v>42705</v>
      </c>
      <c r="D896" s="3" t="str">
        <f>YEAR(Datos_Consumo[[#This Row],[FECHA]])&amp;"-"&amp;MONTH(Datos_Consumo[[#This Row],[FECHA]])</f>
        <v>2016-12</v>
      </c>
    </row>
    <row r="897" spans="1:4" x14ac:dyDescent="0.25">
      <c r="A897" t="s">
        <v>1841</v>
      </c>
      <c r="B897">
        <v>20</v>
      </c>
      <c r="C897" s="56">
        <v>42736</v>
      </c>
      <c r="D897" s="3" t="str">
        <f>YEAR(Datos_Consumo[[#This Row],[FECHA]])&amp;"-"&amp;MONTH(Datos_Consumo[[#This Row],[FECHA]])</f>
        <v>2017-1</v>
      </c>
    </row>
    <row r="898" spans="1:4" x14ac:dyDescent="0.25">
      <c r="A898" t="s">
        <v>1842</v>
      </c>
      <c r="B898">
        <v>10</v>
      </c>
      <c r="C898" s="56">
        <v>42705</v>
      </c>
      <c r="D898" s="3" t="str">
        <f>YEAR(Datos_Consumo[[#This Row],[FECHA]])&amp;"-"&amp;MONTH(Datos_Consumo[[#This Row],[FECHA]])</f>
        <v>2016-12</v>
      </c>
    </row>
    <row r="899" spans="1:4" x14ac:dyDescent="0.25">
      <c r="A899" t="s">
        <v>1842</v>
      </c>
      <c r="B899">
        <v>20</v>
      </c>
      <c r="C899" s="56">
        <v>42736</v>
      </c>
      <c r="D899" s="3" t="str">
        <f>YEAR(Datos_Consumo[[#This Row],[FECHA]])&amp;"-"&amp;MONTH(Datos_Consumo[[#This Row],[FECHA]])</f>
        <v>2017-1</v>
      </c>
    </row>
    <row r="900" spans="1:4" x14ac:dyDescent="0.25">
      <c r="A900" t="s">
        <v>1843</v>
      </c>
      <c r="B900">
        <v>200</v>
      </c>
      <c r="C900" s="56">
        <v>42614</v>
      </c>
      <c r="D900" s="3" t="str">
        <f>YEAR(Datos_Consumo[[#This Row],[FECHA]])&amp;"-"&amp;MONTH(Datos_Consumo[[#This Row],[FECHA]])</f>
        <v>2016-9</v>
      </c>
    </row>
    <row r="901" spans="1:4" x14ac:dyDescent="0.25">
      <c r="A901" t="s">
        <v>1731</v>
      </c>
      <c r="B901">
        <v>2</v>
      </c>
      <c r="C901" s="56">
        <v>42675</v>
      </c>
      <c r="D901" s="3" t="str">
        <f>YEAR(Datos_Consumo[[#This Row],[FECHA]])&amp;"-"&amp;MONTH(Datos_Consumo[[#This Row],[FECHA]])</f>
        <v>2016-11</v>
      </c>
    </row>
    <row r="902" spans="1:4" x14ac:dyDescent="0.25">
      <c r="A902" t="s">
        <v>1731</v>
      </c>
      <c r="B902">
        <v>3</v>
      </c>
      <c r="C902" s="56">
        <v>42705</v>
      </c>
      <c r="D902" s="3" t="str">
        <f>YEAR(Datos_Consumo[[#This Row],[FECHA]])&amp;"-"&amp;MONTH(Datos_Consumo[[#This Row],[FECHA]])</f>
        <v>2016-12</v>
      </c>
    </row>
    <row r="903" spans="1:4" x14ac:dyDescent="0.25">
      <c r="A903" t="s">
        <v>1844</v>
      </c>
      <c r="B903">
        <v>1</v>
      </c>
      <c r="C903" s="56">
        <v>42675</v>
      </c>
      <c r="D903" s="3" t="str">
        <f>YEAR(Datos_Consumo[[#This Row],[FECHA]])&amp;"-"&amp;MONTH(Datos_Consumo[[#This Row],[FECHA]])</f>
        <v>2016-11</v>
      </c>
    </row>
    <row r="904" spans="1:4" x14ac:dyDescent="0.25">
      <c r="A904" t="s">
        <v>1845</v>
      </c>
      <c r="B904">
        <v>2</v>
      </c>
      <c r="C904" s="56">
        <v>42675</v>
      </c>
      <c r="D904" s="3" t="str">
        <f>YEAR(Datos_Consumo[[#This Row],[FECHA]])&amp;"-"&amp;MONTH(Datos_Consumo[[#This Row],[FECHA]])</f>
        <v>2016-11</v>
      </c>
    </row>
    <row r="905" spans="1:4" x14ac:dyDescent="0.25">
      <c r="A905" t="s">
        <v>1846</v>
      </c>
      <c r="B905">
        <v>2</v>
      </c>
      <c r="C905" s="56">
        <v>42614</v>
      </c>
      <c r="D905" s="3" t="str">
        <f>YEAR(Datos_Consumo[[#This Row],[FECHA]])&amp;"-"&amp;MONTH(Datos_Consumo[[#This Row],[FECHA]])</f>
        <v>2016-9</v>
      </c>
    </row>
    <row r="906" spans="1:4" x14ac:dyDescent="0.25">
      <c r="A906" t="s">
        <v>1846</v>
      </c>
      <c r="B906">
        <v>4</v>
      </c>
      <c r="C906" s="56">
        <v>42644</v>
      </c>
      <c r="D906" s="3" t="str">
        <f>YEAR(Datos_Consumo[[#This Row],[FECHA]])&amp;"-"&amp;MONTH(Datos_Consumo[[#This Row],[FECHA]])</f>
        <v>2016-10</v>
      </c>
    </row>
    <row r="907" spans="1:4" x14ac:dyDescent="0.25">
      <c r="A907" t="s">
        <v>1846</v>
      </c>
      <c r="B907">
        <v>10</v>
      </c>
      <c r="C907" s="56">
        <v>42736</v>
      </c>
      <c r="D907" s="3" t="str">
        <f>YEAR(Datos_Consumo[[#This Row],[FECHA]])&amp;"-"&amp;MONTH(Datos_Consumo[[#This Row],[FECHA]])</f>
        <v>2017-1</v>
      </c>
    </row>
    <row r="908" spans="1:4" x14ac:dyDescent="0.25">
      <c r="A908" t="s">
        <v>1847</v>
      </c>
      <c r="B908">
        <v>6</v>
      </c>
      <c r="C908" s="56">
        <v>42644</v>
      </c>
      <c r="D908" s="3" t="str">
        <f>YEAR(Datos_Consumo[[#This Row],[FECHA]])&amp;"-"&amp;MONTH(Datos_Consumo[[#This Row],[FECHA]])</f>
        <v>2016-10</v>
      </c>
    </row>
    <row r="909" spans="1:4" x14ac:dyDescent="0.25">
      <c r="A909" t="s">
        <v>1847</v>
      </c>
      <c r="B909">
        <v>15</v>
      </c>
      <c r="C909" s="56">
        <v>42675</v>
      </c>
      <c r="D909" s="3" t="str">
        <f>YEAR(Datos_Consumo[[#This Row],[FECHA]])&amp;"-"&amp;MONTH(Datos_Consumo[[#This Row],[FECHA]])</f>
        <v>2016-11</v>
      </c>
    </row>
    <row r="910" spans="1:4" x14ac:dyDescent="0.25">
      <c r="A910" t="s">
        <v>1847</v>
      </c>
      <c r="B910">
        <v>59</v>
      </c>
      <c r="C910" s="56">
        <v>42705</v>
      </c>
      <c r="D910" s="3" t="str">
        <f>YEAR(Datos_Consumo[[#This Row],[FECHA]])&amp;"-"&amp;MONTH(Datos_Consumo[[#This Row],[FECHA]])</f>
        <v>2016-12</v>
      </c>
    </row>
    <row r="911" spans="1:4" x14ac:dyDescent="0.25">
      <c r="A911" t="s">
        <v>1847</v>
      </c>
      <c r="B911">
        <v>26</v>
      </c>
      <c r="C911" s="56">
        <v>42736</v>
      </c>
      <c r="D911" s="3" t="str">
        <f>YEAR(Datos_Consumo[[#This Row],[FECHA]])&amp;"-"&amp;MONTH(Datos_Consumo[[#This Row],[FECHA]])</f>
        <v>2017-1</v>
      </c>
    </row>
    <row r="912" spans="1:4" x14ac:dyDescent="0.25">
      <c r="A912" t="s">
        <v>1848</v>
      </c>
      <c r="B912">
        <v>134</v>
      </c>
      <c r="C912" s="56">
        <v>42614</v>
      </c>
      <c r="D912" s="3" t="str">
        <f>YEAR(Datos_Consumo[[#This Row],[FECHA]])&amp;"-"&amp;MONTH(Datos_Consumo[[#This Row],[FECHA]])</f>
        <v>2016-9</v>
      </c>
    </row>
    <row r="913" spans="1:4" x14ac:dyDescent="0.25">
      <c r="A913" t="s">
        <v>1848</v>
      </c>
      <c r="B913">
        <v>40</v>
      </c>
      <c r="C913" s="56">
        <v>42644</v>
      </c>
      <c r="D913" s="3" t="str">
        <f>YEAR(Datos_Consumo[[#This Row],[FECHA]])&amp;"-"&amp;MONTH(Datos_Consumo[[#This Row],[FECHA]])</f>
        <v>2016-10</v>
      </c>
    </row>
    <row r="914" spans="1:4" x14ac:dyDescent="0.25">
      <c r="A914" t="s">
        <v>1848</v>
      </c>
      <c r="B914">
        <v>90</v>
      </c>
      <c r="C914" s="56">
        <v>42675</v>
      </c>
      <c r="D914" s="3" t="str">
        <f>YEAR(Datos_Consumo[[#This Row],[FECHA]])&amp;"-"&amp;MONTH(Datos_Consumo[[#This Row],[FECHA]])</f>
        <v>2016-11</v>
      </c>
    </row>
    <row r="915" spans="1:4" x14ac:dyDescent="0.25">
      <c r="A915" t="s">
        <v>1848</v>
      </c>
      <c r="B915">
        <v>83</v>
      </c>
      <c r="C915" s="56">
        <v>42705</v>
      </c>
      <c r="D915" s="3" t="str">
        <f>YEAR(Datos_Consumo[[#This Row],[FECHA]])&amp;"-"&amp;MONTH(Datos_Consumo[[#This Row],[FECHA]])</f>
        <v>2016-12</v>
      </c>
    </row>
    <row r="916" spans="1:4" x14ac:dyDescent="0.25">
      <c r="A916" t="s">
        <v>1848</v>
      </c>
      <c r="B916">
        <v>36</v>
      </c>
      <c r="C916" s="56">
        <v>42736</v>
      </c>
      <c r="D916" s="3" t="str">
        <f>YEAR(Datos_Consumo[[#This Row],[FECHA]])&amp;"-"&amp;MONTH(Datos_Consumo[[#This Row],[FECHA]])</f>
        <v>2017-1</v>
      </c>
    </row>
    <row r="917" spans="1:4" x14ac:dyDescent="0.25">
      <c r="A917" t="s">
        <v>1849</v>
      </c>
      <c r="B917">
        <v>1</v>
      </c>
      <c r="C917" s="56">
        <v>42675</v>
      </c>
      <c r="D917"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2017-02-23T04:37:15Z</dcterms:modified>
</cp:coreProperties>
</file>