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1.xml" ContentType="application/vnd.ms-office.activeX+xml"/>
  <Override PartName="/xl/activeX/activeX21.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csema\Documents\RAM CAS\MEJORA CONTINUA\CONTROL DE BUFFERS\TRANSFERENCIAS\"/>
    </mc:Choice>
  </mc:AlternateContent>
  <bookViews>
    <workbookView xWindow="240" yWindow="37920" windowWidth="15480" windowHeight="8565"/>
  </bookViews>
  <sheets>
    <sheet name="TRANSFERENCIA" sheetId="1" r:id="rId1"/>
    <sheet name="Form" sheetId="21" state="hidden" r:id="rId2"/>
    <sheet name="DUE" sheetId="19" state="hidden" r:id="rId3"/>
    <sheet name="US" sheetId="17" state="veryHidden" r:id="rId4"/>
    <sheet name="PATH" sheetId="13" state="hidden" r:id="rId5"/>
    <sheet name="DATOS" sheetId="3" state="hidden" r:id="rId6"/>
    <sheet name="REPETIDO" sheetId="4" state="hidden" r:id="rId7"/>
    <sheet name="USER" sheetId="18" state="hidden" r:id="rId8"/>
    <sheet name="CUBICAJE" sheetId="5" state="hidden" r:id="rId9"/>
    <sheet name="RECETAS" sheetId="7" state="hidden" r:id="rId10"/>
    <sheet name="ASIGNACION" sheetId="8" state="hidden" r:id="rId11"/>
    <sheet name="MPyPT" sheetId="9" state="hidden" r:id="rId12"/>
    <sheet name="Causas" sheetId="10" state="hidden" r:id="rId13"/>
    <sheet name="IMPRESION" sheetId="11" state="hidden" r:id="rId14"/>
    <sheet name="CriteriosFiltros" sheetId="12" state="hidden" r:id="rId15"/>
    <sheet name="CONSOLIDADOS" sheetId="15" state="hidden" r:id="rId16"/>
    <sheet name="v_buffer_hist_hoy" sheetId="20" state="hidden" r:id="rId17"/>
    <sheet name="CONSUMO" sheetId="16" state="hidden" r:id="rId18"/>
  </sheets>
  <functionGroups builtInGroupCount="18"/>
  <externalReferences>
    <externalReference r:id="rId19"/>
    <externalReference r:id="rId20"/>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scaItem_Range" localSheetId="0" hidden="1">{21,0,TRUE,3,2.25,21.75}</definedName>
    <definedName name="_cmdCambiarPropiedad_Range" localSheetId="0" hidden="1">{21,106.5,TRUE,3,26.25,51.75}</definedName>
    <definedName name="_cmdCancelar_Range" localSheetId="0" hidden="1">{21,54,TRUE,3,26.25,51.75}</definedName>
    <definedName name="_cmdConfirmar_Range" localSheetId="0" hidden="1">{21,1.5,TRUE,3,26.25,51.75}</definedName>
    <definedName name="_cmdConsumo_Range" localSheetId="0" hidden="1">{21,21,TRUE,1,2.25,21}</definedName>
    <definedName name="_cmdDarDeBaja_Range" localSheetId="0" hidden="1">{21,88.5,TRUE,3,2.25,31.5}</definedName>
    <definedName name="_cmdDescendente_Range" localSheetId="0" hidden="1">{18.75,315,TRUE,3,2.25,13.5}</definedName>
    <definedName name="_cmdFechaArribo_Range" localSheetId="0" hidden="1">{16.5,331.5,TRUE,2,111.75,12.75}</definedName>
    <definedName name="_cmdFechaCierre_Range" localSheetId="0" hidden="1">{16.5,531.75,TRUE,2,50.25,14.25}</definedName>
    <definedName name="_cmdImprimir_Range" localSheetId="0" hidden="1">{21,119.25,TRUE,3,2.25,29.25}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{21,65.25,TRUE,3,2.25,20.25}</definedName>
    <definedName name="_cmdVistas_Range" localSheetId="0" hidden="1">{21,42,TRUE,3,2.25,23.25}</definedName>
    <definedName name="_xlnm._FilterDatabase" localSheetId="0" hidden="1">TRANSFERENCIA!$A$8:$BY$18</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4" hidden="1">PATH!$G$1:$I$2</definedName>
    <definedName name="Consulta_desde_DatosConsolidados" localSheetId="4" hidden="1">PATH!$A$1:$D$2</definedName>
    <definedName name="Consulta_desde_ODBC_MySQL_en_AGROTA" localSheetId="12" hidden="1">Causas!$A$1:$A$4</definedName>
    <definedName name="Consulta_desde_ODBC_RAMCAS1" localSheetId="4" hidden="1">PATH!$K$1:$M$2</definedName>
    <definedName name="Consulta_desde_ODBC_RAMCAS1_1" localSheetId="4" hidden="1">PATH!$Q$1:$R$3</definedName>
    <definedName name="Consulta_desde_ODBC_RAMCAS1_2" localSheetId="4" hidden="1">PATH!$T$1:$W$111</definedName>
    <definedName name="Consulta_desde_REPORTES_en_Access" localSheetId="11" hidden="1">MPyPT!$A$1:$B$745</definedName>
    <definedName name="Consulta_desde_REPORTES_en_Access" localSheetId="9" hidden="1">RECETAS!$A$1:$G$24</definedName>
    <definedName name="DESTINO">TRANSFERENCIA!$B$4</definedName>
    <definedName name="EMPRESA" comment="Rango que se utiliza para llenar el combobox donde se elije en qué empresa se está trabajando." localSheetId="4">[1]!Tabla_EMPRESA[NombreEmpresa]</definedName>
    <definedName name="EMPRESA">DATOS!$A$7</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TABLATRANSFERENCIA[[#Headers],[2016-11]]</definedName>
    <definedName name="INICIO">TABLATRANSFERENCIA[[#Headers],[CODIGO]]</definedName>
    <definedName name="ItemsSeleccionados">[1]!tblItemsSeleccionados[#Data]</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4">OFFSET([0]!INICIO,0,0,COUNTA([2]TRANSFERENCIA!$A:$A)-4,COUNTA([2]TRANSFERENCIA!$8:$8))</definedName>
    <definedName name="TABLA">TRANSFERENCIA!$A$8:$BU$18</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s>
  <calcPr calcId="152511"/>
  <pivotCaches>
    <pivotCache cacheId="10" r:id="rId21"/>
  </pivotCaches>
</workbook>
</file>

<file path=xl/calcChain.xml><?xml version="1.0" encoding="utf-8"?>
<calcChain xmlns="http://schemas.openxmlformats.org/spreadsheetml/2006/main">
  <c r="AX10" i="1" l="1" a="1"/>
  <c r="AX10" i="1" s="1"/>
  <c r="AX11" i="1" a="1"/>
  <c r="AX11" i="1" s="1"/>
  <c r="AX12" i="1" a="1"/>
  <c r="AX12" i="1" s="1"/>
  <c r="AX13" i="1" a="1"/>
  <c r="AX13" i="1" s="1"/>
  <c r="AX14" i="1" a="1"/>
  <c r="AX14" i="1" s="1"/>
  <c r="AX15" i="1" a="1"/>
  <c r="AX15" i="1" s="1"/>
  <c r="AX16" i="1" a="1"/>
  <c r="AX16" i="1" s="1"/>
  <c r="AX17" i="1" a="1"/>
  <c r="AX17" i="1" s="1"/>
  <c r="AX18" i="1" a="1"/>
  <c r="AX18" i="1" s="1"/>
  <c r="AY10" i="1" a="1"/>
  <c r="AY10" i="1" s="1"/>
  <c r="AY11" i="1" a="1"/>
  <c r="AY11" i="1" s="1"/>
  <c r="AY12" i="1" a="1"/>
  <c r="AY12" i="1" s="1"/>
  <c r="AY13" i="1" a="1"/>
  <c r="AY13" i="1" s="1"/>
  <c r="AY14" i="1" a="1"/>
  <c r="AY14" i="1" s="1"/>
  <c r="AY15" i="1" a="1"/>
  <c r="AY15" i="1" s="1"/>
  <c r="AY16" i="1" a="1"/>
  <c r="AY16" i="1" s="1"/>
  <c r="AY17" i="1" a="1"/>
  <c r="AY17" i="1" s="1"/>
  <c r="AY18" i="1" a="1"/>
  <c r="AY18" i="1" s="1"/>
  <c r="AZ10" i="1" a="1"/>
  <c r="AZ10" i="1" s="1"/>
  <c r="AZ11" i="1" a="1"/>
  <c r="AZ11" i="1" s="1"/>
  <c r="AZ12" i="1" a="1"/>
  <c r="AZ12" i="1" s="1"/>
  <c r="AZ13" i="1" a="1"/>
  <c r="AZ13" i="1" s="1"/>
  <c r="AZ14" i="1" a="1"/>
  <c r="AZ14" i="1" s="1"/>
  <c r="AZ15" i="1" a="1"/>
  <c r="AZ15" i="1" s="1"/>
  <c r="AZ16" i="1" a="1"/>
  <c r="AZ16" i="1" s="1"/>
  <c r="AZ17" i="1" a="1"/>
  <c r="AZ17" i="1" s="1"/>
  <c r="AZ18" i="1" a="1"/>
  <c r="AZ18" i="1" s="1"/>
  <c r="BA10" i="1" a="1"/>
  <c r="BA10" i="1" s="1"/>
  <c r="BA11" i="1" a="1"/>
  <c r="BA11" i="1" s="1"/>
  <c r="BA12" i="1" a="1"/>
  <c r="BA12" i="1" s="1"/>
  <c r="BA13" i="1" a="1"/>
  <c r="BA13" i="1" s="1"/>
  <c r="BA14" i="1" a="1"/>
  <c r="BA14" i="1" s="1"/>
  <c r="BA15" i="1" a="1"/>
  <c r="BA15" i="1" s="1"/>
  <c r="BA16" i="1" a="1"/>
  <c r="BA16" i="1" s="1"/>
  <c r="BA17" i="1" a="1"/>
  <c r="BA17" i="1" s="1"/>
  <c r="BA18" i="1" a="1"/>
  <c r="BA18" i="1" s="1"/>
  <c r="BB10" i="1" a="1"/>
  <c r="BB10" i="1" s="1"/>
  <c r="BB11" i="1" a="1"/>
  <c r="BB11" i="1" s="1"/>
  <c r="BB12" i="1" a="1"/>
  <c r="BB12" i="1" s="1"/>
  <c r="BB13" i="1" a="1"/>
  <c r="BB13" i="1" s="1"/>
  <c r="BB14" i="1" a="1"/>
  <c r="BB14" i="1" s="1"/>
  <c r="BB15" i="1" a="1"/>
  <c r="BB15" i="1" s="1"/>
  <c r="BB16" i="1" a="1"/>
  <c r="BB16" i="1" s="1"/>
  <c r="BB17" i="1" a="1"/>
  <c r="BB17" i="1" s="1"/>
  <c r="BB18" i="1" a="1"/>
  <c r="BB18" i="1" s="1"/>
  <c r="BC10" i="1" a="1"/>
  <c r="BC10" i="1" s="1"/>
  <c r="BC11" i="1" a="1"/>
  <c r="BC11" i="1" s="1"/>
  <c r="BC12" i="1" a="1"/>
  <c r="BC12" i="1" s="1"/>
  <c r="BC13" i="1" a="1"/>
  <c r="BC13" i="1" s="1"/>
  <c r="BC14" i="1" a="1"/>
  <c r="BC14" i="1" s="1"/>
  <c r="BC15" i="1" a="1"/>
  <c r="BC15" i="1" s="1"/>
  <c r="BC16" i="1" a="1"/>
  <c r="BC16" i="1" s="1"/>
  <c r="BC17" i="1" a="1"/>
  <c r="BC17" i="1" s="1"/>
  <c r="BC18" i="1" a="1"/>
  <c r="BC18" i="1" s="1"/>
  <c r="BH10" i="1"/>
  <c r="BH11" i="1"/>
  <c r="BH12" i="1"/>
  <c r="BH13" i="1"/>
  <c r="BH14" i="1"/>
  <c r="BH15" i="1"/>
  <c r="BH16" i="1"/>
  <c r="BH17" i="1"/>
  <c r="BH18" i="1"/>
  <c r="BI10" i="1"/>
  <c r="BI11" i="1"/>
  <c r="BI12" i="1"/>
  <c r="BI13" i="1"/>
  <c r="BI14" i="1"/>
  <c r="BI15" i="1"/>
  <c r="BI16" i="1"/>
  <c r="BI17" i="1"/>
  <c r="BI18" i="1"/>
  <c r="BJ10" i="1"/>
  <c r="BJ11" i="1"/>
  <c r="BJ12" i="1"/>
  <c r="BJ13" i="1"/>
  <c r="BJ14" i="1"/>
  <c r="BJ15" i="1"/>
  <c r="BJ16" i="1"/>
  <c r="BJ17" i="1"/>
  <c r="BJ18" i="1"/>
  <c r="BK10" i="1"/>
  <c r="BK11" i="1"/>
  <c r="BK12" i="1"/>
  <c r="BK13" i="1"/>
  <c r="BK14" i="1"/>
  <c r="BK15" i="1"/>
  <c r="BK16" i="1"/>
  <c r="BK17" i="1"/>
  <c r="BK18" i="1"/>
  <c r="BL10" i="1"/>
  <c r="BL11" i="1"/>
  <c r="BL12" i="1"/>
  <c r="BL13" i="1"/>
  <c r="BL14" i="1"/>
  <c r="BL15" i="1"/>
  <c r="BL16" i="1"/>
  <c r="BL17" i="1"/>
  <c r="BL18" i="1"/>
  <c r="BN10" i="1"/>
  <c r="BN11" i="1"/>
  <c r="BN12" i="1"/>
  <c r="BN13" i="1"/>
  <c r="BN14" i="1"/>
  <c r="BN15" i="1"/>
  <c r="BN16" i="1"/>
  <c r="BN17" i="1"/>
  <c r="BN18" i="1"/>
  <c r="BQ10" i="1"/>
  <c r="BQ11" i="1"/>
  <c r="BQ12" i="1"/>
  <c r="BQ13" i="1"/>
  <c r="BQ14" i="1"/>
  <c r="BQ15" i="1"/>
  <c r="BQ16" i="1"/>
  <c r="BQ17" i="1"/>
  <c r="BQ18" i="1"/>
  <c r="BT10" i="1"/>
  <c r="BT11" i="1"/>
  <c r="BT12" i="1"/>
  <c r="BT13" i="1"/>
  <c r="BT14" i="1"/>
  <c r="BT15" i="1"/>
  <c r="BT16" i="1"/>
  <c r="BT17" i="1"/>
  <c r="BT18" i="1"/>
  <c r="BU10" i="1" a="1"/>
  <c r="BU10" i="1" s="1"/>
  <c r="BU11" i="1" a="1"/>
  <c r="BU11" i="1" s="1"/>
  <c r="BU12" i="1" a="1"/>
  <c r="BU12" i="1" s="1"/>
  <c r="BU13" i="1" a="1"/>
  <c r="BU13" i="1" s="1"/>
  <c r="BU14" i="1" a="1"/>
  <c r="BU14" i="1" s="1"/>
  <c r="BU15" i="1" a="1"/>
  <c r="BU15" i="1" s="1"/>
  <c r="BU16" i="1" a="1"/>
  <c r="BU16" i="1" s="1"/>
  <c r="BU17" i="1" a="1"/>
  <c r="BU17" i="1" s="1"/>
  <c r="BU18" i="1" a="1"/>
  <c r="BU18" i="1" s="1"/>
  <c r="BV10" i="1"/>
  <c r="BV11" i="1"/>
  <c r="BV12" i="1"/>
  <c r="BV13" i="1"/>
  <c r="BV14" i="1"/>
  <c r="BV15" i="1"/>
  <c r="BV16" i="1"/>
  <c r="BV17" i="1"/>
  <c r="BV18" i="1"/>
  <c r="AX9" i="1" a="1"/>
  <c r="AX9" i="1" s="1"/>
  <c r="AY9" i="1" a="1"/>
  <c r="AY9" i="1" s="1"/>
  <c r="AZ9" i="1" a="1"/>
  <c r="AZ9" i="1" s="1"/>
  <c r="BA9" i="1" a="1"/>
  <c r="BA9" i="1" s="1"/>
  <c r="BB9" i="1" a="1"/>
  <c r="BB9" i="1" s="1"/>
  <c r="BC9" i="1" a="1"/>
  <c r="BC9" i="1" s="1"/>
  <c r="BH9" i="1"/>
  <c r="BI9" i="1"/>
  <c r="BJ9" i="1"/>
  <c r="BK9" i="1"/>
  <c r="BL9" i="1"/>
  <c r="BN9" i="1"/>
  <c r="BQ9" i="1"/>
  <c r="BT9" i="1"/>
  <c r="BU9" i="1" a="1"/>
  <c r="BU9" i="1" s="1"/>
  <c r="BV9" i="1"/>
  <c r="G2" i="16"/>
  <c r="G3" i="16"/>
  <c r="G4" i="16"/>
  <c r="G5" i="16"/>
  <c r="D514" i="16"/>
  <c r="D515" i="16"/>
  <c r="D516" i="16"/>
  <c r="D517" i="16"/>
  <c r="D518"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B3" i="12" l="1"/>
  <c r="A2" i="12"/>
  <c r="C4" i="1" l="1"/>
  <c r="BS2" i="21" l="1"/>
  <c r="BP2" i="21"/>
  <c r="BK2" i="21"/>
  <c r="BJ2" i="21"/>
  <c r="BI2" i="21"/>
  <c r="BH2" i="21"/>
  <c r="BG2" i="21"/>
  <c r="BC2" i="21" a="1"/>
  <c r="BC2" i="21" s="1"/>
  <c r="BB2" i="21" a="1"/>
  <c r="BB2" i="21" s="1"/>
  <c r="BA2" i="21" a="1"/>
  <c r="BA2" i="21" s="1"/>
  <c r="AZ2" i="21" a="1"/>
  <c r="AZ2" i="21" s="1"/>
  <c r="AY2" i="21" a="1"/>
  <c r="AY2" i="21" s="1"/>
  <c r="AX2" i="21" a="1"/>
  <c r="AX2" i="21" s="1"/>
  <c r="M2" i="21"/>
  <c r="J2" i="21"/>
  <c r="AE2" i="21"/>
  <c r="AN2" i="21"/>
  <c r="F2" i="21"/>
  <c r="AH2" i="21"/>
  <c r="AB2" i="21"/>
  <c r="H2" i="21"/>
  <c r="AF2" i="21"/>
  <c r="W2" i="21"/>
  <c r="AI2" i="21"/>
  <c r="AM2" i="21"/>
  <c r="AR2" i="21"/>
  <c r="I2" i="21"/>
  <c r="O2" i="21"/>
  <c r="AU2" i="21"/>
  <c r="N2" i="21"/>
  <c r="R2" i="21"/>
  <c r="AW2" i="21"/>
  <c r="AJ2" i="21"/>
  <c r="AP2" i="21"/>
  <c r="Y2" i="21"/>
  <c r="V2" i="21"/>
  <c r="C2" i="21"/>
  <c r="Q2" i="21"/>
  <c r="AG2" i="21"/>
  <c r="BV2" i="21"/>
  <c r="AD2" i="21"/>
  <c r="Z2" i="21"/>
  <c r="AK2" i="21"/>
  <c r="BW2" i="21"/>
  <c r="P2" i="21"/>
  <c r="U2" i="21"/>
  <c r="AS2" i="21"/>
  <c r="AQ2" i="21"/>
  <c r="G2" i="21"/>
  <c r="K2" i="21"/>
  <c r="X2" i="21"/>
  <c r="AV2" i="21"/>
  <c r="AL2" i="21"/>
  <c r="T2" i="21"/>
  <c r="AO2" i="21"/>
  <c r="E2" i="21"/>
  <c r="L2" i="21"/>
  <c r="S2" i="21"/>
  <c r="AC2" i="21"/>
  <c r="AA2" i="21"/>
  <c r="AT2" i="21"/>
  <c r="D2" i="21"/>
  <c r="B2" i="21"/>
  <c r="BU2" i="21" l="1"/>
  <c r="BT2" i="21" a="1"/>
  <c r="BT2" i="21" s="1"/>
  <c r="BM2" i="21"/>
  <c r="B3" i="11" l="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alcChain>
</file>

<file path=xl/comments1.xml><?xml version="1.0" encoding="utf-8"?>
<comments xmlns="http://schemas.openxmlformats.org/spreadsheetml/2006/main">
  <authors>
    <author>CAS</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RAMCAS:</t>
        </r>
        <r>
          <rPr>
            <sz val="9"/>
            <color indexed="81"/>
            <rFont val="Tahoma"/>
            <family val="2"/>
          </rPr>
          <t xml:space="preserve">
Identificación opcional de la Orden de Compra (PO) a la cual pertenece el ítem.</t>
        </r>
      </text>
    </comment>
    <comment ref="BG8" authorId="0" shapeId="0">
      <text>
        <r>
          <rPr>
            <b/>
            <sz val="9"/>
            <color indexed="81"/>
            <rFont val="Tahoma"/>
            <family val="2"/>
          </rPr>
          <t>CAS:</t>
        </r>
        <r>
          <rPr>
            <sz val="9"/>
            <color indexed="81"/>
            <rFont val="Tahoma"/>
            <family val="2"/>
          </rPr>
          <t xml:space="preserve">
Número de embarques en los cuales se va a dividir el REQUERIM.</t>
        </r>
      </text>
    </comment>
    <comment ref="BO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P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R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S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<sst xmlns="http://schemas.openxmlformats.org/spreadsheetml/2006/main" count="3311" uniqueCount="1698">
  <si>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</si>
  <si>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</si>
  <si>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</si>
  <si>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</si>
  <si>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</si>
  <si>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</si>
  <si>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</si>
  <si>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</si>
  <si>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</si>
  <si>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</si>
  <si>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</si>
  <si>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</si>
  <si>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</si>
  <si>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</si>
  <si>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</si>
  <si>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</si>
  <si>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</si>
  <si>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</si>
  <si>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</si>
  <si>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</si>
  <si>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</si>
  <si>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</si>
  <si>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</si>
  <si>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</si>
  <si>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</si>
  <si>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</si>
  <si>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</si>
  <si>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</si>
  <si>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</si>
  <si>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</si>
  <si>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</si>
  <si>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</si>
  <si>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</si>
  <si>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</si>
  <si>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</si>
  <si>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</si>
  <si>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</si>
  <si>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</si>
  <si>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</si>
  <si>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</si>
  <si>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</si>
  <si>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</si>
  <si>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</si>
  <si>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</si>
  <si>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</si>
  <si>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</si>
  <si>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</si>
  <si>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</si>
  <si>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</si>
  <si>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</si>
  <si>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</si>
  <si>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</si>
  <si>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</si>
  <si>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</si>
  <si>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</si>
  <si>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</si>
  <si>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</si>
  <si>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</si>
  <si>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</si>
  <si>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</si>
  <si>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</si>
  <si>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</si>
  <si>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</si>
  <si>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</si>
  <si>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</si>
  <si>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</si>
  <si>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</si>
  <si>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</si>
  <si>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</si>
  <si>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</si>
  <si>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</si>
  <si>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</si>
  <si>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</si>
  <si>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</si>
  <si>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</si>
  <si>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</si>
  <si>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</si>
  <si>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</si>
  <si>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</si>
  <si>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</si>
  <si>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</si>
  <si>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</si>
  <si>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</si>
  <si>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</si>
  <si>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</si>
  <si>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</si>
  <si>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</si>
  <si>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</si>
  <si>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</si>
  <si>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</si>
  <si>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</si>
  <si>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</si>
  <si>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</si>
  <si>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</si>
  <si>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</si>
  <si>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</si>
  <si>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</si>
  <si>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</si>
  <si>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</si>
  <si>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</si>
  <si>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</si>
  <si>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</si>
  <si>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</si>
  <si>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</si>
  <si>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</si>
  <si>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</si>
  <si>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</si>
  <si>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</si>
  <si>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</si>
  <si>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</si>
  <si>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</si>
  <si>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</si>
  <si>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</si>
  <si>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</si>
  <si>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</si>
  <si>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</si>
  <si>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</si>
  <si>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</si>
  <si>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</si>
  <si>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</si>
  <si>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</si>
  <si>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</si>
  <si>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</si>
  <si>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</si>
  <si>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</si>
  <si>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</si>
  <si>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</si>
  <si>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</si>
  <si>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</si>
  <si>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</si>
  <si>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</si>
  <si>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</si>
  <si>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</si>
  <si>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</si>
  <si>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</si>
  <si>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</si>
  <si>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</si>
  <si>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</si>
  <si>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</si>
  <si>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</si>
  <si>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</si>
  <si>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</si>
  <si>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</si>
  <si>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</si>
  <si>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</si>
  <si>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</si>
  <si>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</si>
  <si>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</si>
  <si>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</si>
  <si>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</si>
  <si>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</si>
  <si>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</si>
  <si>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</si>
  <si>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</si>
  <si>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</si>
  <si>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</si>
  <si>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</si>
  <si>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</si>
  <si>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</si>
  <si>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</si>
  <si>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</si>
  <si>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</si>
  <si>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</si>
  <si>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</si>
  <si>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</si>
  <si>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</si>
  <si>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</si>
  <si>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</si>
  <si>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</si>
  <si>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</si>
  <si>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</si>
  <si>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</si>
  <si>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</si>
  <si>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</si>
  <si>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</si>
  <si>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</si>
  <si>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</si>
  <si>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</si>
  <si>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</si>
  <si>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</si>
  <si>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</si>
  <si>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</si>
  <si>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</si>
  <si>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</si>
  <si>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</si>
  <si>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</si>
  <si>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</si>
  <si>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</si>
  <si>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</si>
  <si>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</si>
  <si>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</si>
  <si>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</si>
  <si>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</si>
  <si>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</si>
  <si>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</si>
  <si>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</si>
  <si>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</si>
  <si>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</si>
  <si>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</si>
  <si>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</si>
  <si>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</si>
  <si>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</si>
  <si>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</si>
  <si>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</si>
  <si>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</si>
  <si>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</si>
  <si>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</si>
  <si>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</si>
  <si>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</si>
  <si>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</si>
  <si>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</si>
  <si>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</si>
  <si>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</si>
  <si>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</si>
  <si>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</si>
  <si>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</si>
  <si>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</si>
  <si>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</si>
  <si>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</si>
  <si>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</si>
  <si>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</si>
  <si>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</si>
  <si>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</si>
  <si>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</si>
  <si>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</si>
  <si>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</si>
  <si>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</si>
  <si>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</si>
  <si>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</si>
  <si>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</si>
  <si>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</si>
  <si>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</si>
  <si>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</si>
  <si>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</si>
  <si>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</si>
  <si>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</si>
  <si>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</si>
  <si>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</si>
  <si>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</si>
  <si>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</si>
  <si>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</si>
  <si>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</si>
  <si>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</si>
  <si>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</si>
  <si>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</si>
  <si>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</si>
  <si>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</si>
  <si>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</si>
  <si>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</si>
  <si>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</si>
  <si>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</si>
  <si>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</si>
  <si>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</si>
  <si>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</si>
  <si>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</si>
  <si>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</si>
  <si>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</si>
  <si>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</si>
  <si>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</si>
  <si>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</si>
  <si>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</si>
  <si>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</si>
  <si>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</si>
  <si>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</si>
  <si>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</si>
  <si>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</si>
  <si>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</si>
  <si>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</si>
  <si>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</si>
  <si>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</si>
  <si>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</si>
  <si>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</si>
  <si>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</si>
  <si>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</si>
  <si>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</si>
  <si>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</si>
  <si>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</si>
  <si>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</si>
  <si>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</si>
  <si>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</si>
  <si>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</si>
  <si>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</si>
  <si>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</si>
  <si>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</si>
  <si>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</si>
  <si>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</si>
  <si>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</si>
  <si>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</si>
  <si>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</si>
  <si>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</si>
  <si>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</si>
  <si>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</si>
  <si>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</si>
  <si>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</si>
  <si>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</si>
  <si>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</si>
  <si>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</si>
  <si>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</si>
  <si>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</si>
  <si>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</si>
  <si>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</si>
  <si>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</si>
  <si>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</si>
  <si>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</si>
  <si>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</si>
  <si>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</si>
  <si>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</si>
  <si>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</si>
  <si>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</si>
  <si>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</si>
  <si>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</si>
  <si>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</si>
  <si>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</si>
  <si>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</si>
  <si>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</si>
  <si>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</si>
  <si>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</si>
  <si>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</si>
  <si>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</si>
  <si>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</si>
  <si>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</si>
  <si>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</si>
  <si>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</si>
  <si>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</si>
  <si>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</si>
  <si>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</si>
  <si>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</si>
  <si>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</si>
  <si>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</si>
  <si>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</si>
  <si>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</si>
  <si>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</si>
  <si>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</si>
  <si>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</si>
  <si>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</si>
  <si>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</si>
  <si>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</si>
  <si>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</si>
  <si>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</si>
  <si>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</si>
  <si>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</si>
  <si>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</si>
  <si>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</si>
  <si>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</si>
  <si>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</si>
  <si>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</si>
  <si>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</si>
  <si>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</si>
  <si>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</si>
  <si>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</si>
  <si>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</si>
  <si>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</si>
  <si>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</si>
  <si>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</si>
  <si>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</si>
  <si>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</si>
  <si>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</si>
  <si>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</si>
  <si>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</si>
  <si>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</si>
  <si>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</si>
  <si>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</si>
  <si>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</si>
  <si>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</si>
  <si>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</si>
  <si>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</si>
  <si>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</si>
  <si>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</si>
  <si>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</si>
  <si>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</si>
  <si>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</si>
  <si>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</si>
  <si>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</si>
  <si>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</si>
  <si>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</si>
  <si>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</si>
  <si>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</si>
  <si>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</si>
  <si>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</si>
  <si>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</si>
  <si>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</si>
  <si>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</si>
  <si>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</si>
  <si>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</si>
  <si>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</si>
  <si>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</si>
  <si>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</si>
  <si>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</si>
  <si>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</si>
  <si>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</si>
  <si>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</si>
  <si>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</si>
  <si>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</si>
  <si>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</si>
  <si>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</si>
  <si>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</si>
  <si>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</si>
  <si>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</si>
  <si>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</si>
  <si>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</si>
  <si>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</si>
  <si>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</si>
  <si>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</si>
  <si>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</si>
  <si>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</si>
  <si>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</si>
  <si>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</si>
  <si>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</si>
  <si>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</si>
  <si>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</si>
  <si>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</si>
  <si>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</si>
  <si>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</si>
  <si>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</si>
  <si>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</si>
  <si>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</si>
  <si>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</si>
  <si>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</si>
  <si>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</si>
  <si>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</si>
  <si>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</si>
  <si>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</si>
  <si>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</si>
  <si>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</si>
  <si>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</si>
  <si>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</si>
  <si>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</si>
  <si>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</si>
  <si>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</si>
  <si>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</si>
  <si>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</si>
  <si>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</si>
  <si>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</si>
  <si>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</si>
  <si>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</si>
  <si>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</si>
  <si>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</si>
  <si>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</si>
  <si>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</si>
  <si>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</si>
  <si>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</si>
  <si>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</si>
  <si>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</si>
  <si>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</si>
  <si>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</si>
  <si>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</si>
  <si>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</si>
  <si>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</si>
  <si>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</si>
  <si>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</si>
  <si>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</si>
  <si>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</si>
  <si>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</si>
  <si>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</si>
  <si>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</si>
  <si>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</si>
  <si>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</si>
  <si>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</si>
  <si>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</si>
  <si>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</si>
  <si>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</si>
  <si>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</si>
  <si>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</si>
  <si>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</si>
  <si>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</si>
  <si>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</si>
  <si>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</si>
  <si>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</si>
  <si>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</si>
  <si>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</si>
  <si>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</si>
  <si>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</si>
  <si>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</si>
  <si>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</si>
  <si>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</si>
  <si>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</si>
  <si>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</si>
  <si>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</si>
  <si>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</si>
  <si>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</si>
  <si>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</si>
  <si>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</si>
  <si>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</si>
  <si>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</si>
  <si>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</si>
  <si>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</si>
  <si>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</si>
  <si>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</si>
  <si>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</si>
  <si>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</si>
  <si>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</si>
  <si>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</si>
  <si>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</si>
  <si>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</si>
  <si>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</si>
  <si>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</si>
  <si>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</si>
  <si>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</si>
  <si>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</si>
  <si>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</si>
  <si>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</si>
  <si>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</si>
  <si>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</si>
  <si>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</si>
  <si>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</si>
  <si>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</si>
  <si>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</si>
  <si>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</si>
  <si>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</si>
  <si>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</si>
  <si>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</si>
  <si>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</si>
  <si>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</si>
  <si>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</si>
  <si>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</si>
  <si>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</si>
  <si>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</si>
  <si>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</si>
  <si>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</si>
  <si>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</si>
  <si>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</si>
  <si>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</si>
  <si>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</si>
  <si>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</si>
  <si>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</si>
  <si>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</si>
  <si>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</si>
  <si>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</si>
  <si>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</si>
  <si>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</si>
  <si>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</si>
  <si>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</si>
  <si>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</si>
  <si>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</si>
  <si>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</si>
  <si>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</si>
  <si>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</si>
  <si>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</si>
  <si>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</si>
  <si>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</si>
  <si>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</si>
  <si>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</si>
  <si>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</si>
  <si>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</si>
  <si>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</si>
  <si>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</si>
  <si>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</si>
  <si>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</si>
  <si>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</si>
  <si>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</si>
  <si>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</si>
  <si>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</si>
  <si>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</si>
  <si>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</si>
  <si>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</si>
  <si>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</si>
  <si>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</si>
  <si>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</si>
  <si>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</si>
  <si>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</si>
  <si>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</si>
  <si>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</si>
  <si>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</si>
  <si>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</si>
  <si>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</si>
  <si>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</si>
  <si>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</si>
  <si>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</si>
  <si>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</si>
  <si>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</si>
  <si>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</si>
  <si>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</si>
  <si>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</si>
  <si>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</si>
  <si>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</si>
  <si>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</si>
  <si>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</si>
  <si>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</si>
  <si>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</si>
  <si>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</si>
  <si>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</si>
  <si>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</si>
  <si>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</si>
  <si>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</si>
  <si>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</si>
  <si>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</si>
  <si>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</si>
  <si>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</si>
  <si>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</si>
  <si>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</si>
  <si>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</si>
  <si>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</si>
  <si>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</si>
  <si>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</si>
  <si>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</si>
  <si>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</si>
  <si>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</si>
  <si>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</si>
  <si>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</si>
  <si>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</si>
  <si>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</si>
  <si>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</si>
  <si>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</si>
  <si>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</si>
  <si>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</si>
  <si>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</si>
  <si>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</si>
  <si>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</si>
  <si>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</si>
  <si>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</si>
  <si>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</si>
  <si>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</si>
  <si>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</si>
  <si>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</si>
  <si>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</si>
  <si>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</si>
  <si>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</si>
  <si>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</si>
  <si>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</si>
  <si>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</si>
  <si>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</si>
  <si>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</si>
  <si>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</si>
  <si>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</si>
  <si>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</si>
  <si>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</si>
  <si>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</si>
  <si>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</si>
  <si>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</si>
  <si>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</si>
  <si>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</si>
  <si>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</si>
  <si>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</si>
  <si>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</si>
  <si>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</si>
  <si>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</si>
  <si>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</si>
  <si>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</si>
  <si>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</si>
  <si>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</si>
  <si>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</si>
  <si>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</si>
  <si>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</si>
  <si>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</si>
  <si>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</si>
  <si>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</si>
  <si>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</si>
  <si>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</si>
  <si>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</si>
  <si>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</si>
  <si>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</si>
  <si>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</si>
  <si>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</si>
  <si>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</si>
  <si>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</si>
  <si>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</si>
  <si>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</si>
  <si>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</si>
  <si>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</si>
  <si>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</si>
  <si>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</si>
  <si>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</si>
  <si>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</si>
  <si>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</si>
  <si>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</si>
  <si>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</si>
  <si>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</si>
  <si>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</si>
  <si>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</si>
  <si>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</si>
  <si>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</si>
  <si>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</si>
  <si>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</si>
  <si>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</si>
  <si>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</si>
  <si>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</si>
  <si>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</si>
  <si>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</si>
  <si>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</si>
  <si>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</si>
  <si>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</si>
  <si>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</si>
  <si>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</si>
  <si>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</si>
  <si>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</si>
  <si>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</si>
  <si>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</si>
  <si>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</si>
  <si>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</si>
  <si>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</si>
  <si>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</si>
  <si>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</si>
  <si>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</si>
  <si>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</si>
  <si>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</si>
  <si>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</si>
  <si>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</si>
  <si>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</si>
  <si>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</si>
  <si>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</si>
  <si>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</si>
  <si>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</si>
  <si>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</si>
  <si>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</si>
  <si>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</si>
  <si>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</si>
  <si>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</si>
  <si>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</si>
  <si>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</si>
  <si>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</si>
  <si>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</si>
  <si>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</si>
  <si>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</si>
  <si>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</si>
  <si>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</si>
  <si>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</si>
  <si>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</si>
  <si>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</si>
  <si>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</si>
  <si>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</si>
  <si>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</si>
  <si>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</si>
  <si>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</si>
  <si>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</si>
  <si>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</si>
  <si>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</si>
  <si>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</si>
  <si>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</si>
  <si>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</si>
  <si>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</si>
  <si>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</si>
  <si>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</si>
  <si>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</si>
  <si>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</si>
  <si>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</si>
  <si>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</si>
  <si>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</si>
  <si>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</si>
  <si>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</si>
  <si>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</si>
  <si>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</si>
  <si>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</si>
  <si>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</si>
  <si>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</si>
  <si>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</si>
  <si>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</si>
  <si>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</si>
  <si>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</si>
  <si>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</si>
  <si>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</si>
  <si>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</si>
  <si>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</si>
  <si>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</si>
  <si>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</si>
  <si>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</si>
  <si>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</si>
  <si>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</si>
  <si>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</si>
  <si>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</si>
  <si>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</si>
  <si>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</si>
  <si>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</si>
  <si>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</si>
  <si>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</si>
  <si>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</si>
  <si>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</si>
  <si>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</si>
  <si>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</si>
  <si>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</si>
  <si>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</si>
  <si>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</si>
  <si>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</si>
  <si>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</si>
  <si>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</si>
  <si>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</si>
  <si>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</si>
  <si>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</si>
  <si>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</si>
  <si>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</si>
  <si>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</si>
  <si>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</si>
  <si>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</si>
  <si>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</si>
  <si>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</si>
  <si>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</si>
  <si>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</si>
  <si>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</si>
  <si>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</si>
  <si>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</si>
  <si>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</si>
  <si>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</si>
  <si>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</si>
  <si>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</si>
  <si>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</si>
  <si>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</si>
  <si>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</si>
  <si>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</si>
  <si>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</si>
  <si>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</si>
  <si>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</si>
  <si>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</si>
  <si>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</si>
  <si>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</si>
  <si>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</si>
  <si>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</si>
  <si>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</si>
  <si>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</si>
  <si>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</si>
  <si>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</si>
  <si>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</si>
  <si>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</si>
  <si>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</si>
  <si>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</si>
  <si>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</si>
  <si>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</si>
  <si>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</si>
  <si>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</si>
  <si>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</si>
  <si>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</si>
  <si>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</si>
  <si>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</si>
  <si>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</si>
  <si>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</si>
  <si>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</si>
  <si>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</si>
  <si>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</si>
  <si>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</si>
  <si>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</si>
  <si>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</si>
  <si>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</si>
  <si>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</si>
  <si>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</si>
  <si>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</si>
  <si>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</si>
  <si>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</si>
  <si>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</si>
  <si>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</si>
  <si>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</si>
  <si>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</si>
  <si>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</si>
  <si>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</si>
  <si>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</si>
  <si>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</si>
  <si>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</si>
  <si>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</si>
  <si>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</si>
  <si>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</si>
  <si>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</si>
  <si>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</si>
  <si>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</si>
  <si>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</si>
  <si>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</si>
  <si>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</si>
  <si>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</si>
  <si>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</si>
  <si>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</si>
  <si>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</si>
  <si>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</si>
  <si>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</si>
  <si>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</si>
  <si>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</si>
  <si>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</si>
  <si>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</si>
  <si>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</si>
  <si>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</si>
  <si>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</si>
  <si>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</si>
  <si>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</si>
  <si>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</si>
  <si>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</si>
  <si>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</si>
  <si>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</si>
  <si>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</si>
  <si>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</si>
  <si>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</si>
  <si>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</si>
  <si>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</si>
  <si>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</si>
  <si>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</si>
  <si>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</si>
  <si>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</si>
  <si>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</si>
  <si>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</si>
  <si>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</si>
  <si>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</si>
  <si>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</si>
  <si>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</si>
  <si>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</si>
  <si>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</si>
  <si>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</si>
  <si>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</si>
  <si>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</si>
  <si>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</si>
  <si>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</si>
  <si>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</si>
  <si>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</si>
  <si>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</si>
  <si>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</si>
  <si>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</si>
  <si>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</si>
  <si>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</si>
  <si>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</si>
  <si>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</si>
  <si>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</si>
  <si>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</si>
  <si>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</si>
  <si>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</si>
  <si>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</si>
  <si>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</si>
  <si>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</si>
  <si>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</si>
  <si>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</si>
  <si>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</si>
  <si>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</si>
  <si>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</si>
  <si>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</si>
  <si>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</si>
  <si>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</si>
  <si>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</si>
  <si>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</si>
  <si>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</si>
  <si>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</si>
  <si>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</si>
  <si>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</si>
  <si>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</si>
  <si>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</si>
  <si>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</si>
  <si>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</si>
  <si>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</si>
  <si>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</si>
  <si>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</si>
  <si>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</si>
  <si>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</si>
  <si>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</si>
  <si>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</si>
  <si>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</si>
  <si>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</si>
  <si>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</si>
  <si>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</si>
  <si>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</si>
  <si>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</si>
  <si>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</si>
  <si>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</si>
  <si>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</si>
  <si>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</si>
  <si>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</si>
  <si>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</si>
  <si>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</si>
  <si>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</si>
  <si>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</si>
  <si>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</si>
  <si>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</si>
  <si>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</si>
  <si>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</si>
  <si>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</si>
  <si>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</si>
  <si>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</si>
  <si>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</si>
  <si>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</si>
  <si>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</si>
  <si>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</si>
  <si>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</si>
  <si>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</si>
  <si>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</si>
  <si>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</si>
  <si>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</si>
  <si>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</si>
  <si>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</si>
  <si>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</si>
  <si>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</si>
  <si>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</si>
  <si>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</si>
  <si>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</si>
  <si>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</si>
  <si>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</si>
  <si>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</si>
  <si>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</si>
  <si>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</si>
  <si>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</si>
  <si>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</si>
  <si>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</si>
  <si>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</si>
  <si>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</si>
  <si>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</si>
  <si>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</si>
  <si>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</si>
  <si>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</si>
  <si>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</si>
  <si>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</si>
  <si>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</si>
  <si>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</si>
  <si>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</si>
  <si>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</si>
  <si>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</si>
  <si>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</si>
  <si>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</si>
  <si>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</si>
  <si>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</si>
  <si>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</si>
  <si>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</si>
  <si>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</si>
  <si>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</si>
  <si>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</si>
  <si>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</si>
  <si>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</si>
  <si>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</si>
  <si>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</si>
  <si>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</si>
  <si>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</si>
  <si>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</si>
  <si>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</si>
  <si>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</si>
  <si>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</si>
  <si>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</si>
  <si>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</si>
  <si>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</si>
  <si>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</si>
  <si>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</si>
  <si>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</si>
  <si>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</si>
  <si>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</si>
  <si>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</si>
  <si>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</si>
  <si>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</si>
  <si>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</si>
  <si>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</si>
  <si>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</si>
  <si>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</si>
  <si>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</si>
  <si>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</si>
  <si>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</si>
  <si>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</si>
  <si>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</si>
  <si>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</si>
  <si>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</si>
  <si>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</si>
  <si>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</si>
  <si>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</si>
  <si>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</si>
  <si>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</si>
  <si>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</si>
  <si>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</si>
  <si>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</si>
  <si>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</si>
  <si>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</si>
  <si>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</si>
  <si>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</si>
  <si>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</si>
  <si>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</si>
  <si>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</si>
  <si>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</si>
  <si>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</si>
  <si>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</si>
  <si>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</si>
  <si>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</si>
  <si>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</si>
  <si>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</si>
  <si>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</si>
  <si>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</si>
  <si>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</si>
  <si>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</si>
  <si>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</si>
  <si>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</si>
  <si>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</si>
  <si>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</si>
  <si>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</si>
  <si>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</si>
  <si>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</si>
  <si>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</si>
  <si>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</si>
  <si>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</si>
  <si>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</si>
  <si>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</si>
  <si>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</si>
  <si>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</si>
  <si>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</si>
  <si>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</si>
  <si>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</si>
  <si>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</si>
  <si>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</si>
  <si>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</si>
  <si>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</si>
  <si>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</si>
  <si>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</si>
  <si>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</si>
  <si>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</si>
  <si>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</si>
  <si>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</si>
  <si>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</si>
  <si>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</si>
  <si>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</si>
  <si>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</si>
  <si>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</si>
  <si>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</si>
  <si>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</si>
  <si>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</si>
  <si>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</si>
  <si>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</si>
  <si>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</si>
  <si>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</si>
  <si>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</si>
  <si>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</si>
  <si>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</si>
  <si>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</si>
  <si>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</si>
  <si>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</si>
  <si>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</si>
  <si>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</si>
  <si>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</si>
  <si>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</si>
  <si>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</si>
  <si>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</si>
  <si>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</si>
  <si>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</si>
  <si>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</si>
  <si>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</si>
  <si>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</si>
  <si>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</si>
  <si>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</si>
  <si>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</si>
  <si>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</si>
  <si>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</si>
  <si>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</si>
  <si>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</si>
  <si>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</si>
  <si>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</si>
  <si>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</si>
  <si>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</si>
  <si>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</si>
  <si>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</si>
  <si>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</si>
  <si>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</si>
  <si>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</si>
  <si>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</si>
  <si>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</si>
  <si>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</si>
  <si>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</si>
  <si>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</si>
  <si>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</si>
  <si>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</si>
  <si>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</si>
  <si>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</si>
  <si>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</si>
  <si>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</si>
  <si>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</si>
  <si>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</si>
  <si>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</si>
  <si>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</si>
  <si>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</si>
  <si>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</si>
  <si>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</si>
  <si>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</si>
  <si>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</si>
  <si>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</si>
  <si>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</si>
  <si>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</si>
  <si>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</si>
  <si>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</si>
  <si>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</si>
  <si>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</si>
  <si>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</si>
  <si>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</si>
  <si>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</si>
  <si>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</si>
  <si>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</si>
  <si>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</si>
  <si>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</si>
  <si>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</si>
  <si>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</si>
  <si>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</si>
  <si>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</si>
  <si>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</si>
  <si>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</si>
  <si>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</si>
  <si>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</si>
  <si>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</si>
  <si>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</si>
  <si>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</si>
  <si>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</si>
  <si>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</si>
  <si>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</si>
  <si>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</si>
  <si>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</si>
  <si>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</si>
  <si>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</si>
  <si>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</si>
  <si>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</si>
  <si>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</si>
  <si>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</si>
  <si>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</si>
  <si>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</si>
  <si>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</si>
  <si>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</si>
  <si>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</si>
  <si>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</si>
  <si>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</si>
  <si>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</si>
  <si>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</si>
  <si>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</si>
  <si>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</si>
  <si>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</si>
  <si>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</si>
  <si>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</si>
  <si>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</si>
  <si>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</si>
  <si>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</si>
  <si>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</si>
  <si>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</si>
  <si>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</si>
  <si>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</si>
  <si>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</si>
  <si>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</si>
  <si>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</si>
  <si>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</si>
  <si>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</si>
  <si>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</si>
  <si>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</si>
  <si>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</si>
  <si>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</si>
  <si>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</si>
  <si>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</si>
  <si>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</si>
  <si>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</si>
  <si>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</si>
  <si>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</si>
  <si>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</si>
  <si>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</si>
  <si>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</si>
  <si>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</si>
  <si>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</si>
  <si>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</si>
  <si>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</si>
  <si>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</si>
  <si>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</si>
  <si>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</si>
  <si>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</si>
  <si>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</si>
  <si>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</si>
  <si>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</si>
  <si>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</si>
  <si>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</si>
  <si>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</si>
  <si>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</si>
  <si>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</si>
  <si>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</si>
  <si>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</si>
  <si>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</si>
  <si>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</si>
  <si>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</si>
  <si>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</si>
  <si>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</si>
  <si>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</si>
  <si>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</si>
  <si>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</si>
  <si>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</si>
  <si>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</si>
  <si>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</si>
  <si>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</si>
  <si>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</si>
  <si>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</si>
  <si>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</si>
  <si>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</si>
  <si>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</si>
  <si>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</si>
  <si>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</si>
  <si>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</si>
  <si>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</si>
  <si>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</si>
  <si>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</si>
  <si>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</si>
  <si>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</si>
  <si>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</si>
  <si>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</si>
  <si>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</si>
  <si>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</si>
  <si>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</si>
  <si>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</si>
  <si>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</si>
  <si>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</si>
  <si>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</si>
  <si>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</si>
  <si>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</si>
  <si>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</si>
  <si>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</si>
  <si>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</si>
  <si>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</si>
  <si>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</si>
  <si>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</si>
  <si>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</si>
  <si>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</si>
  <si>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</si>
  <si>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</si>
  <si>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</si>
  <si>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</si>
  <si>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</si>
  <si>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</si>
  <si>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</si>
  <si>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</si>
  <si>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</si>
  <si>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</si>
  <si>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</si>
  <si>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</si>
  <si>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</si>
  <si>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</si>
  <si>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</si>
  <si>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</si>
  <si>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</si>
  <si>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</si>
  <si>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</si>
  <si>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</si>
  <si>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</si>
  <si>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</si>
  <si>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</si>
  <si>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</si>
  <si>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</si>
  <si>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</si>
  <si>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</si>
  <si>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</si>
  <si>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</si>
  <si>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</si>
  <si>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</si>
  <si>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</si>
  <si>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</si>
  <si>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</si>
  <si>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</si>
  <si>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</si>
  <si>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</si>
  <si>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</si>
  <si>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</si>
  <si>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</si>
  <si>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</si>
  <si>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</si>
  <si>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</si>
  <si>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</si>
  <si>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</si>
  <si>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</si>
  <si>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</si>
  <si>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</si>
  <si>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</si>
  <si>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</si>
  <si>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</si>
  <si>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</si>
  <si>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</si>
  <si>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</si>
  <si>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</si>
  <si>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</si>
  <si>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</si>
  <si>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</si>
  <si>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</si>
  <si>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</si>
  <si>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</si>
  <si>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</si>
  <si>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</si>
  <si>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</si>
  <si>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</si>
  <si>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</si>
  <si>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</si>
  <si>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</si>
  <si>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</si>
  <si>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</si>
  <si>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</si>
  <si>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</si>
  <si>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</si>
  <si>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</si>
  <si>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</si>
  <si>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</si>
  <si>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</si>
  <si>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</si>
  <si>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</si>
  <si>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</si>
  <si>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2016-5</t>
  </si>
  <si>
    <t>2016-6</t>
  </si>
  <si>
    <t>Columna3</t>
  </si>
  <si>
    <t>Columna4</t>
  </si>
  <si>
    <t>Columna5</t>
  </si>
  <si>
    <t>Columna6</t>
  </si>
  <si>
    <t>CÓD REFERENCIAL</t>
  </si>
  <si>
    <t>PO</t>
  </si>
  <si>
    <t>14824</t>
  </si>
  <si>
    <t>15101</t>
  </si>
  <si>
    <t>20401</t>
  </si>
  <si>
    <t>20463</t>
  </si>
  <si>
    <t>20471</t>
  </si>
  <si>
    <t>20571</t>
  </si>
  <si>
    <t>20572</t>
  </si>
  <si>
    <t>20701</t>
  </si>
  <si>
    <t>20706</t>
  </si>
  <si>
    <t>23318</t>
  </si>
  <si>
    <t>25201</t>
  </si>
  <si>
    <t>25213</t>
  </si>
  <si>
    <t>25446</t>
  </si>
  <si>
    <t>30065</t>
  </si>
  <si>
    <t>30067</t>
  </si>
  <si>
    <t>91182</t>
  </si>
  <si>
    <t>91184</t>
  </si>
  <si>
    <t>91185</t>
  </si>
  <si>
    <t>92842</t>
  </si>
  <si>
    <t>92843</t>
  </si>
  <si>
    <t>92844</t>
  </si>
  <si>
    <t>10SW5006N</t>
  </si>
  <si>
    <t>10SW5007N</t>
  </si>
  <si>
    <t>10TW5006S</t>
  </si>
  <si>
    <t>11004</t>
  </si>
  <si>
    <t>13105</t>
  </si>
  <si>
    <t>14820</t>
  </si>
  <si>
    <t>14821</t>
  </si>
  <si>
    <t>14822</t>
  </si>
  <si>
    <t>15965</t>
  </si>
  <si>
    <t>16759</t>
  </si>
  <si>
    <t>16760</t>
  </si>
  <si>
    <t>16985</t>
  </si>
  <si>
    <t>20402</t>
  </si>
  <si>
    <t>20403</t>
  </si>
  <si>
    <t>20410</t>
  </si>
  <si>
    <t>20411</t>
  </si>
  <si>
    <t>20412</t>
  </si>
  <si>
    <t>20413</t>
  </si>
  <si>
    <t>20441</t>
  </si>
  <si>
    <t>20445</t>
  </si>
  <si>
    <t>20479</t>
  </si>
  <si>
    <t>20481</t>
  </si>
  <si>
    <t>20482</t>
  </si>
  <si>
    <t>20483</t>
  </si>
  <si>
    <t>20540</t>
  </si>
  <si>
    <t>20541</t>
  </si>
  <si>
    <t>20570</t>
  </si>
  <si>
    <t>20573</t>
  </si>
  <si>
    <t>20632</t>
  </si>
  <si>
    <t>22201</t>
  </si>
  <si>
    <t>22202</t>
  </si>
  <si>
    <t>23316</t>
  </si>
  <si>
    <t>25202</t>
  </si>
  <si>
    <t>25203</t>
  </si>
  <si>
    <t>25204</t>
  </si>
  <si>
    <t>25211</t>
  </si>
  <si>
    <t>25212</t>
  </si>
  <si>
    <t>25214</t>
  </si>
  <si>
    <t>25221</t>
  </si>
  <si>
    <t>25222</t>
  </si>
  <si>
    <t>25223</t>
  </si>
  <si>
    <t>25235</t>
  </si>
  <si>
    <t>25236</t>
  </si>
  <si>
    <t>25237</t>
  </si>
  <si>
    <t>25239</t>
  </si>
  <si>
    <t>25240</t>
  </si>
  <si>
    <t>25241</t>
  </si>
  <si>
    <t>25242</t>
  </si>
  <si>
    <t>30063</t>
  </si>
  <si>
    <t>30074</t>
  </si>
  <si>
    <t>30076</t>
  </si>
  <si>
    <t>30077</t>
  </si>
  <si>
    <t>31222</t>
  </si>
  <si>
    <t>35BI1608</t>
  </si>
  <si>
    <t>35BI2010</t>
  </si>
  <si>
    <t>39434</t>
  </si>
  <si>
    <t>3FKFB210106</t>
  </si>
  <si>
    <t>3FKFB210118</t>
  </si>
  <si>
    <t>3FKFB210136</t>
  </si>
  <si>
    <t>3FKFB210138</t>
  </si>
  <si>
    <t>3FKFB210172</t>
  </si>
  <si>
    <t>3FKFB210182</t>
  </si>
  <si>
    <t>3FKFB210184</t>
  </si>
  <si>
    <t>3FKFS230106</t>
  </si>
  <si>
    <t>3FKFS230110</t>
  </si>
  <si>
    <t>3FKFS230112</t>
  </si>
  <si>
    <t>3FKFS230114</t>
  </si>
  <si>
    <t>3FKFS230116</t>
  </si>
  <si>
    <t>3FKFS230118</t>
  </si>
  <si>
    <t>3FKFS250204</t>
  </si>
  <si>
    <t>3FKFS250206</t>
  </si>
  <si>
    <t>3FKFS250214</t>
  </si>
  <si>
    <t>3FKSS230210</t>
  </si>
  <si>
    <t>3FKSS230212</t>
  </si>
  <si>
    <t>3FKSS230214</t>
  </si>
  <si>
    <t>3FKSS230216</t>
  </si>
  <si>
    <t>3FKSS230218</t>
  </si>
  <si>
    <t>3FPAP310218</t>
  </si>
  <si>
    <t>41ST3028</t>
  </si>
  <si>
    <t>41ST3030</t>
  </si>
  <si>
    <t>45ST3024</t>
  </si>
  <si>
    <t>45ST3026</t>
  </si>
  <si>
    <t>45ST3028</t>
  </si>
  <si>
    <t>45ST3030</t>
  </si>
  <si>
    <t>71271440</t>
  </si>
  <si>
    <t>71302803</t>
  </si>
  <si>
    <t>71303200</t>
  </si>
  <si>
    <t>71306613</t>
  </si>
  <si>
    <t>71306614</t>
  </si>
  <si>
    <t>71332520</t>
  </si>
  <si>
    <t>71332525</t>
  </si>
  <si>
    <t>71332530</t>
  </si>
  <si>
    <t>71334948</t>
  </si>
  <si>
    <t>71335548</t>
  </si>
  <si>
    <t>71335556</t>
  </si>
  <si>
    <t>71337656</t>
  </si>
  <si>
    <t>71420100</t>
  </si>
  <si>
    <t>71420102</t>
  </si>
  <si>
    <t>71420104</t>
  </si>
  <si>
    <t>71420106</t>
  </si>
  <si>
    <t>71420108</t>
  </si>
  <si>
    <t>71420116</t>
  </si>
  <si>
    <t>71420118</t>
  </si>
  <si>
    <t>71420120</t>
  </si>
  <si>
    <t>71420122</t>
  </si>
  <si>
    <t>71420124</t>
  </si>
  <si>
    <t>71420162</t>
  </si>
  <si>
    <t>71420164</t>
  </si>
  <si>
    <t>71420166</t>
  </si>
  <si>
    <t>71420168</t>
  </si>
  <si>
    <t>71420170</t>
  </si>
  <si>
    <t>71420172</t>
  </si>
  <si>
    <t>71420180</t>
  </si>
  <si>
    <t>71420182</t>
  </si>
  <si>
    <t>71420184</t>
  </si>
  <si>
    <t>71420186</t>
  </si>
  <si>
    <t>71420188</t>
  </si>
  <si>
    <t>71420190</t>
  </si>
  <si>
    <t>71420524</t>
  </si>
  <si>
    <t>71420532</t>
  </si>
  <si>
    <t>71420537</t>
  </si>
  <si>
    <t>71420574</t>
  </si>
  <si>
    <t>71420576</t>
  </si>
  <si>
    <t>71420578</t>
  </si>
  <si>
    <t>71420802</t>
  </si>
  <si>
    <t>71420804</t>
  </si>
  <si>
    <t>71420806</t>
  </si>
  <si>
    <t>71420814</t>
  </si>
  <si>
    <t>71420816</t>
  </si>
  <si>
    <t>71420818</t>
  </si>
  <si>
    <t>71420820</t>
  </si>
  <si>
    <t>71420822</t>
  </si>
  <si>
    <t>71420830</t>
  </si>
  <si>
    <t>71420832</t>
  </si>
  <si>
    <t>71420834</t>
  </si>
  <si>
    <t>71420844</t>
  </si>
  <si>
    <t>71420846</t>
  </si>
  <si>
    <t>71420850</t>
  </si>
  <si>
    <t>71420966</t>
  </si>
  <si>
    <t>71421014</t>
  </si>
  <si>
    <t>71421015</t>
  </si>
  <si>
    <t>71421016</t>
  </si>
  <si>
    <t>71421114</t>
  </si>
  <si>
    <t>71421115</t>
  </si>
  <si>
    <t>71421116</t>
  </si>
  <si>
    <t>71421117</t>
  </si>
  <si>
    <t>71421723</t>
  </si>
  <si>
    <t>71421803</t>
  </si>
  <si>
    <t>71424002</t>
  </si>
  <si>
    <t>71424013</t>
  </si>
  <si>
    <t>71424024</t>
  </si>
  <si>
    <t>71424026</t>
  </si>
  <si>
    <t>71424043</t>
  </si>
  <si>
    <t>71424045</t>
  </si>
  <si>
    <t>71424225</t>
  </si>
  <si>
    <t>71424227</t>
  </si>
  <si>
    <t>71426003</t>
  </si>
  <si>
    <t>71453201</t>
  </si>
  <si>
    <t>71453211</t>
  </si>
  <si>
    <t>71453212</t>
  </si>
  <si>
    <t>71453213</t>
  </si>
  <si>
    <t>71453221</t>
  </si>
  <si>
    <t>71453222</t>
  </si>
  <si>
    <t>72202674</t>
  </si>
  <si>
    <t>72204152</t>
  </si>
  <si>
    <t>72204190</t>
  </si>
  <si>
    <t>92841</t>
  </si>
  <si>
    <t>admin</t>
  </si>
  <si>
    <t>0</t>
  </si>
  <si>
    <t>Default</t>
  </si>
  <si>
    <t>=</t>
  </si>
  <si>
    <t>G</t>
  </si>
  <si>
    <t>10-602</t>
  </si>
  <si>
    <t>10105</t>
  </si>
  <si>
    <t>10110</t>
  </si>
  <si>
    <t>30197082</t>
  </si>
  <si>
    <t>30197085</t>
  </si>
  <si>
    <t>30209703</t>
  </si>
  <si>
    <t>8810809</t>
  </si>
  <si>
    <t>8848803</t>
  </si>
  <si>
    <t>9235403</t>
  </si>
  <si>
    <t>CIENT-01</t>
  </si>
  <si>
    <t>MEDITOP</t>
  </si>
  <si>
    <t>ECU</t>
  </si>
  <si>
    <t>10-4025</t>
  </si>
  <si>
    <t>10-6000</t>
  </si>
  <si>
    <t>10167</t>
  </si>
  <si>
    <t>10314</t>
  </si>
  <si>
    <t>10356T</t>
  </si>
  <si>
    <t>10400</t>
  </si>
  <si>
    <t>10420</t>
  </si>
  <si>
    <t>10714</t>
  </si>
  <si>
    <t>10715</t>
  </si>
  <si>
    <t>10716</t>
  </si>
  <si>
    <t>10801</t>
  </si>
  <si>
    <t>1081801</t>
  </si>
  <si>
    <t>1082401</t>
  </si>
  <si>
    <t>1083001</t>
  </si>
  <si>
    <t>1083601</t>
  </si>
  <si>
    <t>1084501</t>
  </si>
  <si>
    <t>11228</t>
  </si>
  <si>
    <t>11232</t>
  </si>
  <si>
    <t>13-5024</t>
  </si>
  <si>
    <t>135100</t>
  </si>
  <si>
    <t>160</t>
  </si>
  <si>
    <t>20016</t>
  </si>
  <si>
    <t>20053</t>
  </si>
  <si>
    <t>20054</t>
  </si>
  <si>
    <t>20055</t>
  </si>
  <si>
    <t>20833</t>
  </si>
  <si>
    <t>20836</t>
  </si>
  <si>
    <t>21298</t>
  </si>
  <si>
    <t>21833</t>
  </si>
  <si>
    <t>240</t>
  </si>
  <si>
    <t>24602</t>
  </si>
  <si>
    <t>26030</t>
  </si>
  <si>
    <t>270</t>
  </si>
  <si>
    <t>30177836</t>
  </si>
  <si>
    <t>30193260</t>
  </si>
  <si>
    <t>30197006</t>
  </si>
  <si>
    <t>30200242</t>
  </si>
  <si>
    <t>30204303</t>
  </si>
  <si>
    <t>30204383</t>
  </si>
  <si>
    <t>30204384</t>
  </si>
  <si>
    <t>30207866</t>
  </si>
  <si>
    <t>30207867</t>
  </si>
  <si>
    <t>30209655</t>
  </si>
  <si>
    <t>30210128</t>
  </si>
  <si>
    <t>30210796</t>
  </si>
  <si>
    <t>30215947</t>
  </si>
  <si>
    <t>30216482</t>
  </si>
  <si>
    <t>30218777</t>
  </si>
  <si>
    <t>30218786</t>
  </si>
  <si>
    <t>30218808</t>
  </si>
  <si>
    <t>30218902</t>
  </si>
  <si>
    <t>30220934</t>
  </si>
  <si>
    <t>316</t>
  </si>
  <si>
    <t>5060102</t>
  </si>
  <si>
    <t>5060202</t>
  </si>
  <si>
    <t>5060302</t>
  </si>
  <si>
    <t>6.105.285</t>
  </si>
  <si>
    <t>622</t>
  </si>
  <si>
    <t>650</t>
  </si>
  <si>
    <t>6802401</t>
  </si>
  <si>
    <t>6803001</t>
  </si>
  <si>
    <t>6803601</t>
  </si>
  <si>
    <t>71461012</t>
  </si>
  <si>
    <t>71461013</t>
  </si>
  <si>
    <t>71461014</t>
  </si>
  <si>
    <t>71461015</t>
  </si>
  <si>
    <t>72200903</t>
  </si>
  <si>
    <t>72202468</t>
  </si>
  <si>
    <t>7790300</t>
  </si>
  <si>
    <t>78198</t>
  </si>
  <si>
    <t>88411</t>
  </si>
  <si>
    <t>8841106</t>
  </si>
  <si>
    <t>8907001</t>
  </si>
  <si>
    <t>8926535</t>
  </si>
  <si>
    <t>9235302</t>
  </si>
  <si>
    <t>9235402</t>
  </si>
  <si>
    <t>9235502</t>
  </si>
  <si>
    <t>9235503</t>
  </si>
  <si>
    <t>9511101</t>
  </si>
  <si>
    <t>9511102</t>
  </si>
  <si>
    <t>G020405</t>
  </si>
  <si>
    <t>HM750-3020</t>
  </si>
  <si>
    <t>MMB45</t>
  </si>
  <si>
    <t>MMB60</t>
  </si>
  <si>
    <t>MMB90</t>
  </si>
  <si>
    <t>NIBSQ51</t>
  </si>
  <si>
    <t>2016-11</t>
  </si>
  <si>
    <t>2016-12</t>
  </si>
  <si>
    <t>2017-1</t>
  </si>
  <si>
    <t>2017-2</t>
  </si>
  <si>
    <t>Borrar</t>
  </si>
  <si>
    <t>+-</t>
  </si>
  <si>
    <t>V</t>
  </si>
  <si>
    <t>L</t>
  </si>
  <si>
    <t>-</t>
  </si>
  <si>
    <t>METREX</t>
  </si>
  <si>
    <t>HOSPICARE</t>
  </si>
  <si>
    <t>135150</t>
  </si>
  <si>
    <t>SUSP-14</t>
  </si>
  <si>
    <t>HOSPICARE.xlsm</t>
  </si>
  <si>
    <t>METREX MARITIMO</t>
  </si>
  <si>
    <t>METRISPONGE ESPONJA SATURADA CON DETERGE</t>
  </si>
  <si>
    <t>METRISPONGE</t>
  </si>
  <si>
    <t>LIBRE-43</t>
  </si>
  <si>
    <t>METRICIDE OPA PLUS DESINFECTANTE DE QUIR</t>
  </si>
  <si>
    <t xml:space="preserve"> METRICIDE</t>
  </si>
  <si>
    <t>OPA TEST STRIPS TIRAS REACTIVAS ENVASE X</t>
  </si>
  <si>
    <t>TIRAS REACTIVAS</t>
  </si>
  <si>
    <t>CAVICIDE1 FRASCO 710ML CON APLICADOR</t>
  </si>
  <si>
    <t>CAVICIDE</t>
  </si>
  <si>
    <t>CAVIWIPES 1</t>
  </si>
  <si>
    <t>CAVIWIPES 1 XL</t>
  </si>
  <si>
    <t>135155</t>
  </si>
  <si>
    <t>"CAVIWIPE1 XL, PAÑOS DESINFECTANTES DE US"</t>
  </si>
  <si>
    <t>NUEVO</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</si>
</sst>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 #,##0"/>
    <numFmt numFmtId="165" formatCode="0.0"/>
    <numFmt numFmtId="166" formatCode="0.0%"/>
    <numFmt numFmtId="167" formatCode="&quot;$&quot;\ #,##0.00"/>
    <numFmt numFmtId="168" formatCode="dd/mmm/yyyy"/>
    <numFmt numFmtId="169" formatCode="yyyy\-mm"/>
    <numFmt numFmtId="170" formatCode="m/d/yyyy"/>
  </numFmts>
  <fonts count="13"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s>
  <fills count="12">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3">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10" xfId="0" applyFill="1" applyBorder="1"/>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70" fontId="0" fillId="0" borderId="0" xfId="0" applyNumberFormat="1" applyAlignment="1">
      <alignment horizontal="center"/>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08">
    <dxf>
      <protection locked="1" hidden="0"/>
    </dxf>
    <dxf>
      <numFmt numFmtId="0" formatCode="General"/>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ont>
        <color theme="0"/>
      </font>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17.emf"/><Relationship Id="rId18" Type="http://schemas.openxmlformats.org/officeDocument/2006/relationships/image" Target="../media/image19.emf"/><Relationship Id="rId3" Type="http://schemas.openxmlformats.org/officeDocument/2006/relationships/image" Target="../media/image10.emf"/><Relationship Id="rId7" Type="http://schemas.openxmlformats.org/officeDocument/2006/relationships/image" Target="../media/image13.emf"/><Relationship Id="rId12" Type="http://schemas.openxmlformats.org/officeDocument/2006/relationships/image" Target="../media/image16.emf"/><Relationship Id="rId17" Type="http://schemas.openxmlformats.org/officeDocument/2006/relationships/image" Target="../media/image2.emf"/><Relationship Id="rId2" Type="http://schemas.openxmlformats.org/officeDocument/2006/relationships/image" Target="../media/image8.emf"/><Relationship Id="rId16" Type="http://schemas.openxmlformats.org/officeDocument/2006/relationships/image" Target="../media/image3.emf"/><Relationship Id="rId20" Type="http://schemas.openxmlformats.org/officeDocument/2006/relationships/image" Target="../media/image1.emf"/><Relationship Id="rId1" Type="http://schemas.openxmlformats.org/officeDocument/2006/relationships/image" Target="../media/image9.emf"/><Relationship Id="rId6" Type="http://schemas.openxmlformats.org/officeDocument/2006/relationships/image" Target="../media/image12.emf"/><Relationship Id="rId11" Type="http://schemas.openxmlformats.org/officeDocument/2006/relationships/image" Target="../media/image4.emf"/><Relationship Id="rId5" Type="http://schemas.openxmlformats.org/officeDocument/2006/relationships/image" Target="../media/image6.emf"/><Relationship Id="rId15" Type="http://schemas.openxmlformats.org/officeDocument/2006/relationships/image" Target="../media/image7.emf"/><Relationship Id="rId10" Type="http://schemas.openxmlformats.org/officeDocument/2006/relationships/image" Target="../media/image5.emf"/><Relationship Id="rId19" Type="http://schemas.openxmlformats.org/officeDocument/2006/relationships/image" Target="../media/image20.emf"/><Relationship Id="rId4" Type="http://schemas.openxmlformats.org/officeDocument/2006/relationships/image" Target="../media/image11.emf"/><Relationship Id="rId9" Type="http://schemas.openxmlformats.org/officeDocument/2006/relationships/image" Target="../media/image15.emf"/><Relationship Id="rId14" Type="http://schemas.openxmlformats.org/officeDocument/2006/relationships/image" Target="../media/image1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19050</xdr:colOff>
          <xdr:row>0</xdr:row>
          <xdr:rowOff>333375</xdr:rowOff>
        </xdr:from>
        <xdr:to>
          <xdr:col>0</xdr:col>
          <xdr:colOff>676275</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685800</xdr:colOff>
          <xdr:row>0</xdr:row>
          <xdr:rowOff>333375</xdr:rowOff>
        </xdr:from>
        <xdr:to>
          <xdr:col>1</xdr:col>
          <xdr:colOff>38100</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5</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209550</xdr:colOff>
          <xdr:row>0</xdr:row>
          <xdr:rowOff>28575</xdr:rowOff>
        </xdr:from>
        <xdr:to>
          <xdr:col>1</xdr:col>
          <xdr:colOff>581025</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276225</xdr:colOff>
          <xdr:row>0</xdr:row>
          <xdr:rowOff>276225</xdr:rowOff>
        </xdr:from>
        <xdr:to>
          <xdr:col>5</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828675</xdr:colOff>
          <xdr:row>0</xdr:row>
          <xdr:rowOff>28575</xdr:rowOff>
        </xdr:from>
        <xdr:to>
          <xdr:col>0</xdr:col>
          <xdr:colOff>1085850</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10"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BY18" totalsRowShown="0" headerRowDxfId="207">
  <autoFilter ref="A8:BY18"/>
  <tableColumns count="77">
    <tableColumn id="1" name="CODIGO" dataDxfId="0"/>
    <tableColumn id="2" name="DESCRIPCION" dataDxfId="1"/>
    <tableColumn id="36" name="CODIGO GENERICO" dataDxfId="206"/>
    <tableColumn id="45" name="CODIGO VINCULADO" dataDxfId="205"/>
    <tableColumn id="4" name="LINEA" dataDxfId="204"/>
    <tableColumn id="29" name="SUBLINEA" dataDxfId="203"/>
    <tableColumn id="3" name="GRUPO" dataDxfId="202"/>
    <tableColumn id="22" name="FAMILIA" dataDxfId="201"/>
    <tableColumn id="23" name="SUBFAMILIA" dataDxfId="200"/>
    <tableColumn id="24" name="CATEGORIA" dataDxfId="199"/>
    <tableColumn id="25" name="TIPO" dataDxfId="198"/>
    <tableColumn id="26" name="MARCA" dataDxfId="197"/>
    <tableColumn id="27" name="MODELO" dataDxfId="196"/>
    <tableColumn id="28" name="CAT MANAGEMENT" dataDxfId="195"/>
    <tableColumn id="65" name="Estatus" dataDxfId="194"/>
    <tableColumn id="14" name="CTV" dataDxfId="193"/>
    <tableColumn id="15" name="PVP" dataDxfId="192"/>
    <tableColumn id="7" name="RENTABILIDAD" dataDxfId="191"/>
    <tableColumn id="53" name="RENTABILID PROY" dataDxfId="190"/>
    <tableColumn id="19" name="VEL EFECT" dataDxfId="189"/>
    <tableColumn id="20" name="SERVICIO" dataDxfId="188"/>
    <tableColumn id="21" name="PROVEEDOR" dataDxfId="187"/>
    <tableColumn id="39" name="PERFIL" dataDxfId="186"/>
    <tableColumn id="54" name="T REP" dataDxfId="185"/>
    <tableColumn id="55" name="F REP" dataDxfId="184"/>
    <tableColumn id="5" name="BUFFER" dataDxfId="183"/>
    <tableColumn id="75" name="INV PROVEEDOR" dataDxfId="182"/>
    <tableColumn id="31" name="INV FISICO" dataDxfId="181"/>
    <tableColumn id="6" name="CONS BUFF" dataDxfId="180"/>
    <tableColumn id="50" name="COLOR" dataDxfId="179"/>
    <tableColumn id="32" name="INV TRANSITO" dataDxfId="178"/>
    <tableColumn id="41" name="NEGOCIACIÓN" dataDxfId="177"/>
    <tableColumn id="42" name="PRODUCCIÓN" dataDxfId="176"/>
    <tableColumn id="43" name="EMBARCADO" dataDxfId="175"/>
    <tableColumn id="33" name="COMPROMETIDO" dataDxfId="174"/>
    <tableColumn id="34" name="BACKORDER" dataDxfId="173"/>
    <tableColumn id="40" name="INV PROYECTADO" dataDxfId="172"/>
    <tableColumn id="46" name="CONSUMO INV PROY" dataDxfId="171"/>
    <tableColumn id="51" name="COLOR1" dataDxfId="170"/>
    <tableColumn id="37" name="PEDIDO MIN" dataDxfId="169"/>
    <tableColumn id="38" name="PEDIDO MIN GRUPO" dataDxfId="168"/>
    <tableColumn id="30" name="UNIDAD EMPAQUE" dataDxfId="167"/>
    <tableColumn id="12" name="PEDIDO PROMEDIO" dataDxfId="166"/>
    <tableColumn id="47" name="COBERT BUFFER" dataDxfId="165"/>
    <tableColumn id="48" name="COBERT INV PROY" dataDxfId="164"/>
    <tableColumn id="49" name="COBERT PEDID MIN" dataDxfId="163"/>
    <tableColumn id="52" name="DIAS DESABASTECIM" dataDxfId="162"/>
    <tableColumn id="67" name="ULT TRANSFER INI" dataDxfId="161"/>
    <tableColumn id="68" name="ULT TRANSFER FIN" dataDxfId="160"/>
    <tableColumn id="64" name="2016-11" dataDxfId="159">
      <calculatedColumnFormula array="1">IFERROR(INDEX(Datos_Consumo[CANTIDAD],MATCH(TABLATRANSFERENCIA[[#This Row],[CODIGO]]&amp;TABLATRANSFERENCIA[[#Headers],[2016-11]],Datos_Consumo[CODIGO]&amp;Datos_Consumo[FECHA_FORMATO],0)),0)</calculatedColumnFormula>
    </tableColumn>
    <tableColumn id="63" name="2016-12" dataDxfId="158">
      <calculatedColumnFormula array="1">IFERROR(INDEX(Datos_Consumo[CANTIDAD],MATCH(TABLATRANSFERENCIA[[#This Row],[CODIGO]]&amp;TABLATRANSFERENCIA[[#Headers],[2016-12]],Datos_Consumo[CODIGO]&amp;Datos_Consumo[FECHA_FORMATO],0)),0)</calculatedColumnFormula>
    </tableColumn>
    <tableColumn id="62" name="2017-1" dataDxfId="157">
      <calculatedColumnFormula array="1">IFERROR(INDEX(Datos_Consumo[CANTIDAD],MATCH(TABLATRANSFERENCIA[[#This Row],[CODIGO]]&amp;TABLATRANSFERENCIA[[#Headers],[2017-1]],Datos_Consumo[CODIGO]&amp;Datos_Consumo[FECHA_FORMATO],0)),0)</calculatedColumnFormula>
    </tableColumn>
    <tableColumn id="61" name="2017-2" dataDxfId="156">
      <calculatedColumnFormula array="1">IFERROR(INDEX(Datos_Consumo[CANTIDAD],MATCH(TABLATRANSFERENCIA[[#This Row],[CODIGO]]&amp;TABLATRANSFERENCIA[[#Headers],[2017-2]],Datos_Consumo[CODIGO]&amp;Datos_Consumo[FECHA_FORMATO],0)),0)</calculatedColumnFormula>
    </tableColumn>
    <tableColumn id="60" name="Columna5" dataDxfId="155">
      <calculatedColumnFormula array="1">IFERROR(INDEX(Datos_Consumo[CANTIDAD],MATCH(TABLATRANSFERENCIA[[#This Row],[CODIGO]]&amp;TABLATRANSFERENCIA[[#Headers],[Columna5]],Datos_Consumo[CODIGO]&amp;Datos_Consumo[FECHA_FORMATO],0)),0)</calculatedColumnFormula>
    </tableColumn>
    <tableColumn id="59" name="Columna6" dataDxfId="154">
      <calculatedColumnFormula array="1">IFERROR(INDEX(Datos_Consumo[CANTIDAD],MATCH(TABLATRANSFERENCIA[[#This Row],[CODIGO]]&amp;TABLATRANSFERENCIA[[#Headers],[Columna6]],Datos_Consumo[CODIGO]&amp;Datos_Consumo[FECHA_FORMATO],0)),0)</calculatedColumnFormula>
    </tableColumn>
    <tableColumn id="8" name="REQUERIM" dataDxfId="4"/>
    <tableColumn id="13" name="REQ TOTAL" dataDxfId="2"/>
    <tableColumn id="76" name="PO" dataDxfId="3"/>
    <tableColumn id="66" name="EMBARQUES" dataDxfId="153"/>
    <tableColumn id="69" name="Emb1" dataDxfId="152">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51">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50">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49">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48">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47"/>
    <tableColumn id="44" name="TAMAÑO RELATIVO" dataDxfId="146">
      <calculatedColumnFormula>IFERROR(TABLATRANSFERENCIA[[#This Row],[REQUERIM]]/TABLATRANSFERENCIA[[#This Row],[PEDIDO PROMEDIO]],0)</calculatedColumnFormula>
    </tableColumn>
    <tableColumn id="9" name="DESPACHO" dataDxfId="145"/>
    <tableColumn id="10" name="RECIBIDO" dataDxfId="144"/>
    <tableColumn id="11" name="TRANSITO" dataDxfId="143">
      <calculatedColumnFormula>IF(TABLATRANSFERENCIA[[#This Row],[RECIBIDO]]&lt;&gt;"",0,IF(TABLATRANSFERENCIA[[#This Row],[DESPACHO]]&lt;&gt;"",TABLATRANSFERENCIA[[#This Row],[DESPACHO]],TABLATRANSFERENCIA[[#This Row],[REQUERIM]]))</calculatedColumnFormula>
    </tableColumn>
    <tableColumn id="16" name="OBSERVACIONES DESPACHOS" dataDxfId="142"/>
    <tableColumn id="17" name="OBSERVACIONES RECEPCIONES" dataDxfId="141"/>
    <tableColumn id="18" name="TIPO TRANSF" dataDxfId="140">
      <calculatedColumnFormula>"N"</calculatedColumnFormula>
    </tableColumn>
    <tableColumn id="35" name="Error Pedid Min Grupo" dataDxfId="139">
      <calculatedColumnFormula array="1">IF(SUM(--(TABLATRANSFERENCIA[[#This Row],[CODIGO GENERICO]]=TABLATRANSFERENCIA[CODIGO GENERICO])*TABLATRANSFERENCIA[REQUERIM])&lt;TABLATRANSFERENCIA[[#This Row],[PEDIDO MIN GRUPO]],1,0)</calculatedColumnFormula>
    </tableColumn>
    <tableColumn id="56" name="Color Proyectado" dataDxfId="138">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37"/>
    <tableColumn id="58" name="ZONA ROJA" dataDxfId="136"/>
    <tableColumn id="77" name="Borrar" dataDxfId="135"/>
  </tableColumns>
  <tableStyleInfo name="TableStyleLight1" showFirstColumn="0" showLastColumn="0" showRowStripes="1" showColumnStripes="0"/>
</table>
</file>

<file path=xl/tables/table2.xml><?xml version="1.0" encoding="utf-8"?>
<table xmlns="http://schemas.openxmlformats.org/spreadsheetml/2006/main" id="15" name="XXYY" displayName="XXYY" ref="A1:BW2" totalsRowShown="0" headerRowDxfId="134">
  <autoFilter ref="A1:BW2"/>
  <tableColumns count="75">
    <tableColumn id="1" name="CODIGO" dataDxfId="133"/>
    <tableColumn id="2" name="DESCRIPCION" dataDxfId="132">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31">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30">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29">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28">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27">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26">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5">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24">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23">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22">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21">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20">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19">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18">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17">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16">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5">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14">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13">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12">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11">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10">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09">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08">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07">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06">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5">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104">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103">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102">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101">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100">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99">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98">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97">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96">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5">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94">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93">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92">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91">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90">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89">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88">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87">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86">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5">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84">
      <calculatedColumnFormula array="1">IFERROR(INDEX(Datos_Consumo[CANTIDAD],MATCH(XXYY[[#This Row],[CODIGO]]&amp;XXYY[[#Headers],[2016-5]],Datos_Consumo[CODIGO]&amp;Datos_Consumo[FECHA_FORMATO],0)),0)</calculatedColumnFormula>
    </tableColumn>
    <tableColumn id="63" name="2016-6" dataDxfId="83">
      <calculatedColumnFormula array="1">IFERROR(INDEX(Datos_Consumo[CANTIDAD],MATCH(XXYY[[#This Row],[CODIGO]]&amp;XXYY[[#Headers],[2016-6]],Datos_Consumo[CODIGO]&amp;Datos_Consumo[FECHA_FORMATO],0)),0)</calculatedColumnFormula>
    </tableColumn>
    <tableColumn id="62" name="Columna3" dataDxfId="82">
      <calculatedColumnFormula array="1">IFERROR(INDEX(Datos_Consumo[CANTIDAD],MATCH(XXYY[[#This Row],[CODIGO]]&amp;XXYY[[#Headers],[Columna3]],Datos_Consumo[CODIGO]&amp;Datos_Consumo[FECHA_FORMATO],0)),0)</calculatedColumnFormula>
    </tableColumn>
    <tableColumn id="61" name="Columna4" dataDxfId="81">
      <calculatedColumnFormula array="1">IFERROR(INDEX(Datos_Consumo[CANTIDAD],MATCH(XXYY[[#This Row],[CODIGO]]&amp;XXYY[[#Headers],[Columna4]],Datos_Consumo[CODIGO]&amp;Datos_Consumo[FECHA_FORMATO],0)),0)</calculatedColumnFormula>
    </tableColumn>
    <tableColumn id="60" name="Columna5" dataDxfId="80">
      <calculatedColumnFormula array="1">IFERROR(INDEX(Datos_Consumo[CANTIDAD],MATCH(XXYY[[#This Row],[CODIGO]]&amp;XXYY[[#Headers],[Columna5]],Datos_Consumo[CODIGO]&amp;Datos_Consumo[FECHA_FORMATO],0)),0)</calculatedColumnFormula>
    </tableColumn>
    <tableColumn id="59" name="Columna6" dataDxfId="79">
      <calculatedColumnFormula array="1">IFERROR(INDEX(Datos_Consumo[CANTIDAD],MATCH(XXYY[[#This Row],[CODIGO]]&amp;XXYY[[#Headers],[Columna6]],Datos_Consumo[CODIGO]&amp;Datos_Consumo[FECHA_FORMATO],0)),0)</calculatedColumnFormula>
    </tableColumn>
    <tableColumn id="8" name="REQUERIM" dataDxfId="78"/>
    <tableColumn id="13" name="REQ TOTAL" dataDxfId="77"/>
    <tableColumn id="66" name="EMBARQUES" dataDxfId="76"/>
    <tableColumn id="69" name="Emb1" dataDxfId="75">
      <calculatedColumnFormula>IF(RIGHT(XXYY[[#Headers],[Emb1]],1)*1&lt;=XXYY[[#This Row],[EMBARQUES]],IF(ISBLANK(XXYY[[#This Row],[EMBARQUES]]),XXYY[[#This Row],[REQUERIM]],ROUND(XXYY[[#This Row],[REQUERIM]]/XXYY[[#This Row],[EMBARQUES]],0)),XXYY[[#This Row],[REQUERIM]])</calculatedColumnFormula>
    </tableColumn>
    <tableColumn id="70" name="Emb2" dataDxfId="74">
      <calculatedColumnFormula>IF(RIGHT(XXYY[[#Headers],[Emb2]],1)*1&lt;XXYY[[#This Row],[EMBARQUES]],ROUND(XXYY[[#This Row],[REQUERIM]]/XXYY[[#This Row],[EMBARQUES]],0),IF(RIGHT(XXYY[[#Headers],[Emb2]],1)*1=XXYY[[#This Row],[EMBARQUES]],XXYY[[#This Row],[REQUERIM]]-SUM(XXYY[[#This Row],[Emb1]]),0))</calculatedColumnFormula>
    </tableColumn>
    <tableColumn id="71" name="Emb3" dataDxfId="73">
      <calculatedColumnFormula>IF(RIGHT(XXYY[[#Headers],[Emb3]],1)*1&lt;XXYY[[#This Row],[EMBARQUES]],ROUND(XXYY[[#This Row],[REQUERIM]]/XXYY[[#This Row],[EMBARQUES]],0),IF(RIGHT(XXYY[[#Headers],[Emb3]],1)*1=XXYY[[#This Row],[EMBARQUES]],XXYY[[#This Row],[REQUERIM]]-SUM(XXYY[[#This Row],[Emb1]:[Emb2]]),0))</calculatedColumnFormula>
    </tableColumn>
    <tableColumn id="72" name="Emb4" dataDxfId="72">
      <calculatedColumnFormula>IF(RIGHT(XXYY[[#Headers],[Emb4]],1)*1&lt;XXYY[[#This Row],[EMBARQUES]],ROUND(XXYY[[#This Row],[REQUERIM]]/XXYY[[#This Row],[EMBARQUES]],0),IF(RIGHT(XXYY[[#Headers],[Emb4]],1)*1=XXYY[[#This Row],[EMBARQUES]],XXYY[[#This Row],[REQUERIM]]-SUM(XXYY[[#This Row],[Emb1]:[Emb3]]),0))</calculatedColumnFormula>
    </tableColumn>
    <tableColumn id="73" name="Emb5" dataDxfId="71">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70"/>
    <tableColumn id="44" name="TAMAÑO RELATIVO" dataDxfId="69">
      <calculatedColumnFormula>IFERROR(XXYY[[#This Row],[REQUERIM]]/XXYY[[#This Row],[PEDIDO PROMEDIO]],0)</calculatedColumnFormula>
    </tableColumn>
    <tableColumn id="9" name="DESPACHO" dataDxfId="68"/>
    <tableColumn id="10" name="RECIBIDO" dataDxfId="67"/>
    <tableColumn id="11" name="TRANSITO" dataDxfId="66">
      <calculatedColumnFormula>IF(XXYY[[#This Row],[RECIBIDO]]&lt;&gt;"",0,IF(XXYY[[#This Row],[DESPACHO]]&lt;&gt;"",XXYY[[#This Row],[DESPACHO]],XXYY[[#This Row],[REQUERIM]]))</calculatedColumnFormula>
    </tableColumn>
    <tableColumn id="16" name="OBSERVACIONES DESPACHOS" dataDxfId="65"/>
    <tableColumn id="17" name="OBSERVACIONES RECEPCIONES" dataDxfId="64"/>
    <tableColumn id="18" name="TIPO TRANSF" dataDxfId="63">
      <calculatedColumnFormula>"N"</calculatedColumnFormula>
    </tableColumn>
    <tableColumn id="35" name="Error Pedid Min Grupo" dataDxfId="62">
      <calculatedColumnFormula array="1">IF(SUM(--(XXYY[[#This Row],[CODIGO GENERICO]]=XXYY[CODIGO GENERICO])*XXYY[REQUERIM])&lt;XXYY[[#This Row],[PEDIDO MIN GRUPO]],1,0)</calculatedColumnFormula>
    </tableColumn>
    <tableColumn id="56" name="Color Proyectado" dataDxfId="61">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60">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59">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8"/>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7"/>
    <tableColumn id="7" uniqueName="7" name="PATH" queryTableFieldId="7" dataDxfId="56"/>
    <tableColumn id="5" uniqueName="5" name="COMPLETO" queryTableFieldId="5" dataDxfId="55">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54"/>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53">
      <calculatedColumnFormula>IFERROR(MATCH(Tabla_Recetas[[#This Row],[Cod Padre]],TABLATRANSFERENCIA[CODIGO],0),0)</calculatedColumnFormula>
    </tableColumn>
    <tableColumn id="12" uniqueName="12" name="Cantidad Requerida" queryTableFieldId="12" dataDxfId="52">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D6" insertRow="1" totalsRowShown="0" headerRowDxfId="51">
  <autoFilter ref="A5:D6"/>
  <tableColumns count="4">
    <tableColumn id="1" name="CÓDIGO"/>
    <tableColumn id="2" name="DESCRIPCIÓN"/>
    <tableColumn id="3" name="CANTIDAD" dataDxfId="50"/>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49"/>
    <tableColumn id="109" name="con_ultima_transferencia_ini" dataDxfId="48"/>
    <tableColumn id="110" name="con_ultima_transferencia_fin" dataDxfId="47"/>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518" totalsRowShown="0">
  <autoFilter ref="A1:D518"/>
  <tableColumns count="4">
    <tableColumn id="1" name="CODIGO"/>
    <tableColumn id="2" name="CANTIDAD"/>
    <tableColumn id="3" name="FECHA"/>
    <tableColumn id="4" name="FECHA_FORMATO" dataDxfId="46">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5" totalsRowShown="0">
  <autoFilter ref="F1:G5"/>
  <tableColumns count="2">
    <tableColumn id="1" name="FECHAS_CONSUMO"/>
    <tableColumn id="2" name="FECHA_FORMATO" dataDxfId="45">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20" Type="http://schemas.openxmlformats.org/officeDocument/2006/relationships/control" Target="../activeX/activeX9.xml"/><Relationship Id="rId41" Type="http://schemas.openxmlformats.org/officeDocument/2006/relationships/image" Target="../media/image19.emf"/></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1.emf"/><Relationship Id="rId5" Type="http://schemas.openxmlformats.org/officeDocument/2006/relationships/control" Target="../activeX/activeX21.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4.vml"/><Relationship Id="rId7" Type="http://schemas.openxmlformats.org/officeDocument/2006/relationships/image" Target="../media/image23.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3.xml"/><Relationship Id="rId5" Type="http://schemas.openxmlformats.org/officeDocument/2006/relationships/image" Target="../media/image22.emf"/><Relationship Id="rId4" Type="http://schemas.openxmlformats.org/officeDocument/2006/relationships/control" Target="../activeX/activeX2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BY18"/>
  <sheetViews>
    <sheetView showGridLines="0" tabSelected="1" zoomScale="80" zoomScaleNormal="80" workbookViewId="0">
      <pane xSplit="4" ySplit="8" topLeftCell="AZ9" activePane="bottomRight" state="frozen"/>
      <selection pane="topRight" activeCell="E1" sqref="E1"/>
      <selection pane="bottomLeft" activeCell="A9" sqref="A9"/>
      <selection pane="bottomRight" activeCell="A8" sqref="A8"/>
    </sheetView>
  </sheetViews>
  <sheetFormatPr baseColWidth="10" defaultRowHeight="15" x14ac:dyDescent="0.25"/>
  <cols>
    <col min="1" max="1" width="19.5703125" customWidth="1"/>
    <col min="2" max="2" width="46.140625" customWidth="1"/>
    <col min="3" max="3" width="21" customWidth="1"/>
    <col min="4" max="4" width="17.42578125" customWidth="1"/>
    <col min="5" max="6" width="20.7109375" customWidth="1"/>
    <col min="7" max="11" width="20.7109375" hidden="1" customWidth="1"/>
    <col min="12" max="13" width="20.7109375" customWidth="1"/>
    <col min="14" max="14" width="20.7109375" hidden="1" customWidth="1"/>
    <col min="15" max="15" width="10.7109375" hidden="1" customWidth="1"/>
    <col min="16" max="20" width="10.7109375" customWidth="1"/>
    <col min="21" max="21" width="15.140625" customWidth="1"/>
    <col min="22" max="23" width="25.7109375" customWidth="1"/>
    <col min="24" max="25" width="12" customWidth="1"/>
    <col min="26" max="26" width="16.42578125" customWidth="1"/>
    <col min="27" max="27" width="16.42578125" hidden="1" customWidth="1"/>
    <col min="28" max="28" width="11.42578125" customWidth="1"/>
    <col min="29" max="29" width="13.28515625" customWidth="1"/>
    <col min="30" max="30" width="13.28515625" hidden="1" customWidth="1"/>
    <col min="31" max="35" width="11.42578125" customWidth="1"/>
    <col min="36" max="36" width="13.42578125" customWidth="1"/>
    <col min="37" max="37" width="13.140625" customWidth="1"/>
    <col min="38" max="38" width="15.28515625" customWidth="1"/>
    <col min="39" max="39" width="14.85546875" hidden="1" customWidth="1"/>
    <col min="40" max="40" width="11.42578125" customWidth="1"/>
    <col min="41" max="41" width="13.5703125" customWidth="1"/>
    <col min="42" max="42" width="11.42578125" customWidth="1"/>
    <col min="43" max="47" width="13.140625" customWidth="1"/>
    <col min="48" max="49" width="13.140625" hidden="1" customWidth="1"/>
    <col min="50" max="53" width="13.140625" customWidth="1"/>
    <col min="54" max="57" width="15.7109375" customWidth="1"/>
    <col min="58" max="64" width="15.7109375" hidden="1" customWidth="1"/>
    <col min="65" max="65" width="30" hidden="1" customWidth="1"/>
    <col min="66" max="66" width="11.42578125" hidden="1" customWidth="1"/>
    <col min="67" max="67" width="16" customWidth="1"/>
    <col min="68" max="68" width="17.7109375" customWidth="1"/>
    <col min="69" max="69" width="16" hidden="1" customWidth="1"/>
    <col min="70" max="70" width="31" customWidth="1"/>
    <col min="71" max="71" width="33.7109375" customWidth="1"/>
    <col min="72" max="76" width="11.42578125" hidden="1" customWidth="1"/>
    <col min="77" max="77" width="0" hidden="1" customWidth="1"/>
  </cols>
  <sheetData>
    <row r="1" spans="1:77" ht="51.75" customHeight="1" x14ac:dyDescent="0.3">
      <c r="A1" s="35"/>
      <c r="B1" s="36"/>
      <c r="C1" s="36"/>
      <c r="D1" s="36"/>
      <c r="E1" s="36"/>
      <c r="F1" s="36"/>
      <c r="G1" s="36"/>
      <c r="H1" s="36"/>
      <c r="I1" s="36"/>
      <c r="J1" s="36"/>
      <c r="K1" s="36"/>
      <c r="L1" s="36"/>
      <c r="M1" s="36"/>
      <c r="N1" s="36"/>
      <c r="O1" s="36"/>
      <c r="P1" s="36"/>
      <c r="Q1" s="36"/>
      <c r="R1" s="38"/>
      <c r="S1" s="38"/>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row>
    <row r="2" spans="1:77" x14ac:dyDescent="0.25">
      <c r="A2" s="17" t="s">
        <v>12</v>
      </c>
      <c r="B2" s="18"/>
      <c r="C2" s="19" t="s">
        <v>0</v>
      </c>
      <c r="D2" s="20">
        <v>42829</v>
      </c>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row>
    <row r="3" spans="1:77" x14ac:dyDescent="0.25">
      <c r="A3" s="21" t="s">
        <v>2</v>
      </c>
      <c r="B3" s="22" t="s">
        <v>1678</v>
      </c>
      <c r="C3" s="23" t="s">
        <v>1</v>
      </c>
      <c r="D3" s="24"/>
      <c r="E3" s="37"/>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row>
    <row r="4" spans="1:77" x14ac:dyDescent="0.25">
      <c r="A4" s="21" t="s">
        <v>3</v>
      </c>
      <c r="B4" s="25" t="s">
        <v>1368</v>
      </c>
      <c r="C4" s="26" t="str">
        <f>COUNTA(TABLATRANSFERENCIA[CODIGO])&amp;"-"&amp;SUBTOTAL(3,TABLATRANSFERENCIA[CODIGO])&amp;" SKU"</f>
        <v>10-10 SKU</v>
      </c>
      <c r="D4" s="2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row>
    <row r="5" spans="1:77" x14ac:dyDescent="0.25">
      <c r="A5" s="21" t="s">
        <v>1376</v>
      </c>
      <c r="B5" s="28"/>
      <c r="C5" s="23" t="s">
        <v>23</v>
      </c>
      <c r="D5" s="29">
        <f>IFERROR(SUMPRODUCT(TABLATRANSFERENCIA[CTV],TABLATRANSFERENCIA[TRANSITO]),"")</f>
        <v>0</v>
      </c>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c r="BT5" s="37"/>
      <c r="BU5" s="37"/>
      <c r="BV5" s="37"/>
    </row>
    <row r="6" spans="1:77" ht="17.25" x14ac:dyDescent="0.25">
      <c r="A6" s="21" t="s">
        <v>24</v>
      </c>
      <c r="B6" s="24"/>
      <c r="C6" s="23" t="s">
        <v>25</v>
      </c>
      <c r="D6" s="30">
        <f>IFERROR(SUMPRODUCT(Tabla_CubicajeAgrota[VOL],Tabla_CubicajeAgrota[CANTIDAD]),0)</f>
        <v>0</v>
      </c>
      <c r="E6" s="37" t="s">
        <v>29</v>
      </c>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c r="BT6" s="37"/>
      <c r="BU6" s="37"/>
      <c r="BV6" s="37"/>
    </row>
    <row r="7" spans="1:77" x14ac:dyDescent="0.25">
      <c r="A7" s="31" t="s">
        <v>837</v>
      </c>
      <c r="B7" s="32"/>
      <c r="C7" s="33"/>
      <c r="D7" s="34"/>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c r="BU7" s="37"/>
      <c r="BV7" s="37"/>
    </row>
    <row r="8" spans="1:77" ht="45.75" customHeight="1" x14ac:dyDescent="0.25">
      <c r="A8" s="48" t="s">
        <v>26</v>
      </c>
      <c r="B8" s="48" t="s">
        <v>851</v>
      </c>
      <c r="C8" s="48" t="s">
        <v>909</v>
      </c>
      <c r="D8" s="48" t="s">
        <v>1020</v>
      </c>
      <c r="E8" s="48" t="s">
        <v>892</v>
      </c>
      <c r="F8" s="48" t="s">
        <v>903</v>
      </c>
      <c r="G8" s="48" t="s">
        <v>891</v>
      </c>
      <c r="H8" s="48" t="s">
        <v>884</v>
      </c>
      <c r="I8" s="48" t="s">
        <v>885</v>
      </c>
      <c r="J8" s="48" t="s">
        <v>886</v>
      </c>
      <c r="K8" s="48" t="s">
        <v>887</v>
      </c>
      <c r="L8" s="48" t="s">
        <v>888</v>
      </c>
      <c r="M8" s="48" t="s">
        <v>889</v>
      </c>
      <c r="N8" s="48" t="s">
        <v>890</v>
      </c>
      <c r="O8" s="43" t="s">
        <v>1038</v>
      </c>
      <c r="P8" s="43" t="s">
        <v>18</v>
      </c>
      <c r="Q8" s="43" t="s">
        <v>19</v>
      </c>
      <c r="R8" s="43" t="s">
        <v>10</v>
      </c>
      <c r="S8" s="43" t="s">
        <v>980</v>
      </c>
      <c r="T8" s="43" t="s">
        <v>37</v>
      </c>
      <c r="U8" s="43" t="s">
        <v>38</v>
      </c>
      <c r="V8" s="43" t="s">
        <v>844</v>
      </c>
      <c r="W8" s="43" t="s">
        <v>908</v>
      </c>
      <c r="X8" s="43" t="s">
        <v>1027</v>
      </c>
      <c r="Y8" s="43" t="s">
        <v>1028</v>
      </c>
      <c r="Z8" s="45" t="s">
        <v>8</v>
      </c>
      <c r="AA8" s="45" t="s">
        <v>1148</v>
      </c>
      <c r="AB8" s="45" t="s">
        <v>904</v>
      </c>
      <c r="AC8" s="45" t="s">
        <v>9</v>
      </c>
      <c r="AD8" s="45" t="s">
        <v>977</v>
      </c>
      <c r="AE8" s="45" t="s">
        <v>907</v>
      </c>
      <c r="AF8" s="45" t="s">
        <v>916</v>
      </c>
      <c r="AG8" s="45" t="s">
        <v>917</v>
      </c>
      <c r="AH8" s="45" t="s">
        <v>918</v>
      </c>
      <c r="AI8" s="45" t="s">
        <v>905</v>
      </c>
      <c r="AJ8" s="45" t="s">
        <v>906</v>
      </c>
      <c r="AK8" s="45" t="s">
        <v>913</v>
      </c>
      <c r="AL8" s="45" t="s">
        <v>973</v>
      </c>
      <c r="AM8" s="45" t="s">
        <v>978</v>
      </c>
      <c r="AN8" s="45" t="s">
        <v>910</v>
      </c>
      <c r="AO8" s="45" t="s">
        <v>911</v>
      </c>
      <c r="AP8" s="45" t="s">
        <v>914</v>
      </c>
      <c r="AQ8" s="44" t="s">
        <v>912</v>
      </c>
      <c r="AR8" s="45" t="s">
        <v>974</v>
      </c>
      <c r="AS8" s="45" t="s">
        <v>975</v>
      </c>
      <c r="AT8" s="45" t="s">
        <v>976</v>
      </c>
      <c r="AU8" s="45" t="s">
        <v>979</v>
      </c>
      <c r="AV8" s="44" t="s">
        <v>1039</v>
      </c>
      <c r="AW8" s="44" t="s">
        <v>1040</v>
      </c>
      <c r="AX8" s="52" t="s">
        <v>1669</v>
      </c>
      <c r="AY8" s="52" t="s">
        <v>1670</v>
      </c>
      <c r="AZ8" s="52" t="s">
        <v>1671</v>
      </c>
      <c r="BA8" s="52" t="s">
        <v>1672</v>
      </c>
      <c r="BB8" s="52" t="s">
        <v>1374</v>
      </c>
      <c r="BC8" s="52" t="s">
        <v>1375</v>
      </c>
      <c r="BD8" s="44" t="s">
        <v>11</v>
      </c>
      <c r="BE8" s="44" t="s">
        <v>17</v>
      </c>
      <c r="BF8" s="44" t="s">
        <v>1377</v>
      </c>
      <c r="BG8" s="58" t="s">
        <v>1044</v>
      </c>
      <c r="BH8" s="57" t="s">
        <v>1045</v>
      </c>
      <c r="BI8" s="57" t="s">
        <v>1046</v>
      </c>
      <c r="BJ8" s="57" t="s">
        <v>1047</v>
      </c>
      <c r="BK8" s="57" t="s">
        <v>1048</v>
      </c>
      <c r="BL8" s="57" t="s">
        <v>1049</v>
      </c>
      <c r="BM8" s="44" t="s">
        <v>1050</v>
      </c>
      <c r="BN8" s="45" t="s">
        <v>919</v>
      </c>
      <c r="BO8" s="44" t="s">
        <v>13</v>
      </c>
      <c r="BP8" s="44" t="s">
        <v>14</v>
      </c>
      <c r="BQ8" s="40" t="s">
        <v>15</v>
      </c>
      <c r="BR8" s="39" t="s">
        <v>20</v>
      </c>
      <c r="BS8" s="39" t="s">
        <v>21</v>
      </c>
      <c r="BT8" s="39" t="s">
        <v>22</v>
      </c>
      <c r="BU8" s="42" t="s">
        <v>915</v>
      </c>
      <c r="BV8" s="42" t="s">
        <v>1032</v>
      </c>
      <c r="BW8" s="42" t="s">
        <v>1033</v>
      </c>
      <c r="BX8" s="42" t="s">
        <v>1034</v>
      </c>
      <c r="BY8" s="42" t="s">
        <v>1673</v>
      </c>
    </row>
    <row r="9" spans="1:77" x14ac:dyDescent="0.25">
      <c r="A9" s="54" t="s">
        <v>1697</v>
      </c>
      <c r="B9" s="3"/>
      <c r="C9" s="3"/>
      <c r="D9" s="3"/>
      <c r="E9" s="3"/>
      <c r="F9" s="3"/>
      <c r="G9" s="3"/>
      <c r="H9" s="3"/>
      <c r="I9" s="3"/>
      <c r="J9" s="3"/>
      <c r="K9" s="3"/>
      <c r="L9" s="3"/>
      <c r="M9" s="3"/>
      <c r="N9" s="3"/>
      <c r="O9" s="5"/>
      <c r="P9" s="5"/>
      <c r="Q9" s="5"/>
      <c r="R9" s="46"/>
      <c r="S9" s="46"/>
      <c r="T9" s="46"/>
      <c r="U9" s="46"/>
      <c r="V9" s="49"/>
      <c r="W9" s="49"/>
      <c r="X9" s="51"/>
      <c r="Y9" s="51"/>
      <c r="Z9" s="6"/>
      <c r="AA9" s="6"/>
      <c r="AB9" s="6"/>
      <c r="AC9" s="4"/>
      <c r="AD9" s="6"/>
      <c r="AE9" s="6"/>
      <c r="AF9" s="6"/>
      <c r="AG9" s="6"/>
      <c r="AH9" s="6"/>
      <c r="AI9" s="6"/>
      <c r="AJ9" s="6"/>
      <c r="AK9" s="6"/>
      <c r="AL9" s="4"/>
      <c r="AM9" s="6"/>
      <c r="AN9" s="6"/>
      <c r="AO9" s="6"/>
      <c r="AP9" s="6"/>
      <c r="AQ9" s="6"/>
      <c r="AR9" s="6"/>
      <c r="AS9" s="6"/>
      <c r="AT9" s="6"/>
      <c r="AU9" s="6"/>
      <c r="AV9" s="62"/>
      <c r="AW9" s="62"/>
      <c r="AX9" s="6">
        <f t="array" ref="AX9">IFERROR(INDEX(Datos_Consumo[CANTIDAD],MATCH(TABLATRANSFERENCIA[[#This Row],[CODIGO]]&amp;TABLATRANSFERENCIA[[#Headers],[2016-11]],Datos_Consumo[CODIGO]&amp;Datos_Consumo[FECHA_FORMATO],0)),0)</f>
        <v>0</v>
      </c>
      <c r="AY9" s="6">
        <f t="array" ref="AY9">IFERROR(INDEX(Datos_Consumo[CANTIDAD],MATCH(TABLATRANSFERENCIA[[#This Row],[CODIGO]]&amp;TABLATRANSFERENCIA[[#Headers],[2016-12]],Datos_Consumo[CODIGO]&amp;Datos_Consumo[FECHA_FORMATO],0)),0)</f>
        <v>0</v>
      </c>
      <c r="AZ9" s="6">
        <f t="array" ref="AZ9">IFERROR(INDEX(Datos_Consumo[CANTIDAD],MATCH(TABLATRANSFERENCIA[[#This Row],[CODIGO]]&amp;TABLATRANSFERENCIA[[#Headers],[2017-1]],Datos_Consumo[CODIGO]&amp;Datos_Consumo[FECHA_FORMATO],0)),0)</f>
        <v>0</v>
      </c>
      <c r="BA9" s="6">
        <f t="array" ref="BA9">IFERROR(INDEX(Datos_Consumo[CANTIDAD],MATCH(TABLATRANSFERENCIA[[#This Row],[CODIGO]]&amp;TABLATRANSFERENCIA[[#Headers],[2017-2]],Datos_Consumo[CODIGO]&amp;Datos_Consumo[FECHA_FORMATO],0)),0)</f>
        <v>0</v>
      </c>
      <c r="BB9" s="6">
        <f t="array" ref="BB9">IFERROR(INDEX(Datos_Consumo[CANTIDAD],MATCH(TABLATRANSFERENCIA[[#This Row],[CODIGO]]&amp;TABLATRANSFERENCIA[[#Headers],[Columna5]],Datos_Consumo[CODIGO]&amp;Datos_Consumo[FECHA_FORMATO],0)),0)</f>
        <v>0</v>
      </c>
      <c r="BC9" s="6">
        <f t="array" ref="BC9">IFERROR(INDEX(Datos_Consumo[CANTIDAD],MATCH(TABLATRANSFERENCIA[[#This Row],[CODIGO]]&amp;TABLATRANSFERENCIA[[#Headers],[Columna6]],Datos_Consumo[CODIGO]&amp;Datos_Consumo[FECHA_FORMATO],0)),0)</f>
        <v>0</v>
      </c>
      <c r="BD9" s="50"/>
      <c r="BE9" s="55"/>
      <c r="BF9" s="50"/>
      <c r="BG9" s="51"/>
      <c r="BH9" s="51">
        <f>IF(RIGHT(TABLATRANSFERENCIA[[#Headers],[Emb1]],1)*1&lt;=TABLATRANSFERENCIA[[#This Row],[EMBARQUES]],IF(ISBLANK(TABLATRANSFERENCIA[[#This Row],[EMBARQUES]]),TABLATRANSFERENCIA[[#This Row],[REQUERIM]],ROUND(TABLATRANSFERENCIA[[#This Row],[REQUERIM]]/TABLATRANSFERENCIA[[#This Row],[EMBARQUES]],0)),TABLATRANSFERENCIA[[#This Row],[REQUERIM]])</f>
        <v>0</v>
      </c>
      <c r="BI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9" s="51"/>
      <c r="BN9" s="46">
        <f>IFERROR(TABLATRANSFERENCIA[[#This Row],[REQUERIM]]/TABLATRANSFERENCIA[[#This Row],[PEDIDO PROMEDIO]],0)</f>
        <v>0</v>
      </c>
      <c r="BO9" s="51"/>
      <c r="BP9" s="60"/>
      <c r="BQ9" s="3">
        <f>IF(TABLATRANSFERENCIA[[#This Row],[RECIBIDO]]&lt;&gt;"",0,IF(TABLATRANSFERENCIA[[#This Row],[DESPACHO]]&lt;&gt;"",TABLATRANSFERENCIA[[#This Row],[DESPACHO]],TABLATRANSFERENCIA[[#This Row],[REQUERIM]]))</f>
        <v>0</v>
      </c>
      <c r="BR9" s="50"/>
      <c r="BS9" s="50"/>
      <c r="BT9" s="50" t="str">
        <f>"N"</f>
        <v>N</v>
      </c>
      <c r="BU9" s="51">
        <f t="array" ref="BU9">IF(SUM(--(TABLATRANSFERENCIA[[#This Row],[CODIGO GENERICO]]=TABLATRANSFERENCIA[CODIGO GENERICO])*TABLATRANSFERENCIA[REQUERIM])&lt;TABLATRANSFERENCIA[[#This Row],[PEDIDO MIN GRUPO]],1,0)</f>
        <v>0</v>
      </c>
      <c r="BV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9" s="51"/>
      <c r="BX9" s="51"/>
      <c r="BY9" s="51"/>
    </row>
    <row r="10" spans="1:77" x14ac:dyDescent="0.25">
      <c r="A10" s="54" t="s">
        <v>1697</v>
      </c>
      <c r="B10" s="3"/>
      <c r="C10" s="3"/>
      <c r="D10" s="3"/>
      <c r="E10" s="3"/>
      <c r="F10" s="3"/>
      <c r="G10" s="3"/>
      <c r="H10" s="3"/>
      <c r="I10" s="3"/>
      <c r="J10" s="3"/>
      <c r="K10" s="3"/>
      <c r="L10" s="3"/>
      <c r="M10" s="3"/>
      <c r="N10" s="3"/>
      <c r="O10" s="5"/>
      <c r="P10" s="5"/>
      <c r="Q10" s="5"/>
      <c r="R10" s="46"/>
      <c r="S10" s="46"/>
      <c r="T10" s="46"/>
      <c r="U10" s="46"/>
      <c r="V10" s="49"/>
      <c r="W10" s="49"/>
      <c r="X10" s="51"/>
      <c r="Y10" s="51"/>
      <c r="Z10" s="6"/>
      <c r="AA10" s="6"/>
      <c r="AB10" s="6"/>
      <c r="AC10" s="4"/>
      <c r="AD10" s="6"/>
      <c r="AE10" s="6"/>
      <c r="AF10" s="6"/>
      <c r="AG10" s="6"/>
      <c r="AH10" s="6"/>
      <c r="AI10" s="6"/>
      <c r="AJ10" s="6"/>
      <c r="AK10" s="6"/>
      <c r="AL10" s="4"/>
      <c r="AM10" s="6"/>
      <c r="AN10" s="6"/>
      <c r="AO10" s="6"/>
      <c r="AP10" s="6"/>
      <c r="AQ10" s="6"/>
      <c r="AR10" s="6"/>
      <c r="AS10" s="6"/>
      <c r="AT10" s="6"/>
      <c r="AU10" s="6"/>
      <c r="AV10" s="62"/>
      <c r="AW10" s="62"/>
      <c r="AX10" s="6">
        <f t="array" ref="AX10">IFERROR(INDEX(Datos_Consumo[CANTIDAD],MATCH(TABLATRANSFERENCIA[[#This Row],[CODIGO]]&amp;TABLATRANSFERENCIA[[#Headers],[2016-11]],Datos_Consumo[CODIGO]&amp;Datos_Consumo[FECHA_FORMATO],0)),0)</f>
        <v>0</v>
      </c>
      <c r="AY10" s="6">
        <f t="array" ref="AY10">IFERROR(INDEX(Datos_Consumo[CANTIDAD],MATCH(TABLATRANSFERENCIA[[#This Row],[CODIGO]]&amp;TABLATRANSFERENCIA[[#Headers],[2016-12]],Datos_Consumo[CODIGO]&amp;Datos_Consumo[FECHA_FORMATO],0)),0)</f>
        <v>0</v>
      </c>
      <c r="AZ10" s="6">
        <f t="array" ref="AZ10">IFERROR(INDEX(Datos_Consumo[CANTIDAD],MATCH(TABLATRANSFERENCIA[[#This Row],[CODIGO]]&amp;TABLATRANSFERENCIA[[#Headers],[2017-1]],Datos_Consumo[CODIGO]&amp;Datos_Consumo[FECHA_FORMATO],0)),0)</f>
        <v>0</v>
      </c>
      <c r="BA10" s="6">
        <f t="array" ref="BA10">IFERROR(INDEX(Datos_Consumo[CANTIDAD],MATCH(TABLATRANSFERENCIA[[#This Row],[CODIGO]]&amp;TABLATRANSFERENCIA[[#Headers],[2017-2]],Datos_Consumo[CODIGO]&amp;Datos_Consumo[FECHA_FORMATO],0)),0)</f>
        <v>0</v>
      </c>
      <c r="BB10" s="6">
        <f t="array" ref="BB10">IFERROR(INDEX(Datos_Consumo[CANTIDAD],MATCH(TABLATRANSFERENCIA[[#This Row],[CODIGO]]&amp;TABLATRANSFERENCIA[[#Headers],[Columna5]],Datos_Consumo[CODIGO]&amp;Datos_Consumo[FECHA_FORMATO],0)),0)</f>
        <v>0</v>
      </c>
      <c r="BC10" s="6">
        <f t="array" ref="BC10">IFERROR(INDEX(Datos_Consumo[CANTIDAD],MATCH(TABLATRANSFERENCIA[[#This Row],[CODIGO]]&amp;TABLATRANSFERENCIA[[#Headers],[Columna6]],Datos_Consumo[CODIGO]&amp;Datos_Consumo[FECHA_FORMATO],0)),0)</f>
        <v>0</v>
      </c>
      <c r="BD10" s="50"/>
      <c r="BE10" s="55"/>
      <c r="BF10" s="50"/>
      <c r="BG10" s="51"/>
      <c r="BH10" s="51">
        <f>IF(RIGHT(TABLATRANSFERENCIA[[#Headers],[Emb1]],1)*1&lt;=TABLATRANSFERENCIA[[#This Row],[EMBARQUES]],IF(ISBLANK(TABLATRANSFERENCIA[[#This Row],[EMBARQUES]]),TABLATRANSFERENCIA[[#This Row],[REQUERIM]],ROUND(TABLATRANSFERENCIA[[#This Row],[REQUERIM]]/TABLATRANSFERENCIA[[#This Row],[EMBARQUES]],0)),TABLATRANSFERENCIA[[#This Row],[REQUERIM]])</f>
        <v>0</v>
      </c>
      <c r="BI1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0" s="51"/>
      <c r="BN10" s="46">
        <f>IFERROR(TABLATRANSFERENCIA[[#This Row],[REQUERIM]]/TABLATRANSFERENCIA[[#This Row],[PEDIDO PROMEDIO]],0)</f>
        <v>0</v>
      </c>
      <c r="BO10" s="51"/>
      <c r="BP10" s="60"/>
      <c r="BQ10" s="3">
        <f>IF(TABLATRANSFERENCIA[[#This Row],[RECIBIDO]]&lt;&gt;"",0,IF(TABLATRANSFERENCIA[[#This Row],[DESPACHO]]&lt;&gt;"",TABLATRANSFERENCIA[[#This Row],[DESPACHO]],TABLATRANSFERENCIA[[#This Row],[REQUERIM]]))</f>
        <v>0</v>
      </c>
      <c r="BR10" s="50"/>
      <c r="BS10" s="50"/>
      <c r="BT10" s="50" t="str">
        <f>"N"</f>
        <v>N</v>
      </c>
      <c r="BU10" s="51">
        <f t="array" ref="BU10">IF(SUM(--(TABLATRANSFERENCIA[[#This Row],[CODIGO GENERICO]]=TABLATRANSFERENCIA[CODIGO GENERICO])*TABLATRANSFERENCIA[REQUERIM])&lt;TABLATRANSFERENCIA[[#This Row],[PEDIDO MIN GRUPO]],1,0)</f>
        <v>0</v>
      </c>
      <c r="BV1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0" s="51"/>
      <c r="BX10" s="51"/>
      <c r="BY10" s="51"/>
    </row>
    <row r="11" spans="1:77" x14ac:dyDescent="0.25">
      <c r="A11" s="54" t="s">
        <v>1697</v>
      </c>
      <c r="B11" s="3"/>
      <c r="C11" s="3"/>
      <c r="D11" s="3"/>
      <c r="E11" s="3"/>
      <c r="F11" s="3"/>
      <c r="G11" s="3"/>
      <c r="H11" s="3"/>
      <c r="I11" s="3"/>
      <c r="J11" s="3"/>
      <c r="K11" s="3"/>
      <c r="L11" s="3"/>
      <c r="M11" s="3"/>
      <c r="N11" s="3"/>
      <c r="O11" s="5"/>
      <c r="P11" s="5"/>
      <c r="Q11" s="5"/>
      <c r="R11" s="46"/>
      <c r="S11" s="46"/>
      <c r="T11" s="46"/>
      <c r="U11" s="46"/>
      <c r="V11" s="49"/>
      <c r="W11" s="49"/>
      <c r="X11" s="51"/>
      <c r="Y11" s="51"/>
      <c r="Z11" s="6"/>
      <c r="AA11" s="6"/>
      <c r="AB11" s="6"/>
      <c r="AC11" s="4"/>
      <c r="AD11" s="6"/>
      <c r="AE11" s="6"/>
      <c r="AF11" s="6"/>
      <c r="AG11" s="6"/>
      <c r="AH11" s="6"/>
      <c r="AI11" s="6"/>
      <c r="AJ11" s="6"/>
      <c r="AK11" s="6"/>
      <c r="AL11" s="4"/>
      <c r="AM11" s="6"/>
      <c r="AN11" s="6"/>
      <c r="AO11" s="6"/>
      <c r="AP11" s="6"/>
      <c r="AQ11" s="6"/>
      <c r="AR11" s="6"/>
      <c r="AS11" s="6"/>
      <c r="AT11" s="6"/>
      <c r="AU11" s="6"/>
      <c r="AV11" s="62"/>
      <c r="AW11" s="62"/>
      <c r="AX11" s="6">
        <f t="array" ref="AX11">IFERROR(INDEX(Datos_Consumo[CANTIDAD],MATCH(TABLATRANSFERENCIA[[#This Row],[CODIGO]]&amp;TABLATRANSFERENCIA[[#Headers],[2016-11]],Datos_Consumo[CODIGO]&amp;Datos_Consumo[FECHA_FORMATO],0)),0)</f>
        <v>0</v>
      </c>
      <c r="AY11" s="6">
        <f t="array" ref="AY11">IFERROR(INDEX(Datos_Consumo[CANTIDAD],MATCH(TABLATRANSFERENCIA[[#This Row],[CODIGO]]&amp;TABLATRANSFERENCIA[[#Headers],[2016-12]],Datos_Consumo[CODIGO]&amp;Datos_Consumo[FECHA_FORMATO],0)),0)</f>
        <v>0</v>
      </c>
      <c r="AZ11" s="6">
        <f t="array" ref="AZ11">IFERROR(INDEX(Datos_Consumo[CANTIDAD],MATCH(TABLATRANSFERENCIA[[#This Row],[CODIGO]]&amp;TABLATRANSFERENCIA[[#Headers],[2017-1]],Datos_Consumo[CODIGO]&amp;Datos_Consumo[FECHA_FORMATO],0)),0)</f>
        <v>0</v>
      </c>
      <c r="BA11" s="6">
        <f t="array" ref="BA11">IFERROR(INDEX(Datos_Consumo[CANTIDAD],MATCH(TABLATRANSFERENCIA[[#This Row],[CODIGO]]&amp;TABLATRANSFERENCIA[[#Headers],[2017-2]],Datos_Consumo[CODIGO]&amp;Datos_Consumo[FECHA_FORMATO],0)),0)</f>
        <v>0</v>
      </c>
      <c r="BB11" s="6">
        <f t="array" ref="BB11">IFERROR(INDEX(Datos_Consumo[CANTIDAD],MATCH(TABLATRANSFERENCIA[[#This Row],[CODIGO]]&amp;TABLATRANSFERENCIA[[#Headers],[Columna5]],Datos_Consumo[CODIGO]&amp;Datos_Consumo[FECHA_FORMATO],0)),0)</f>
        <v>0</v>
      </c>
      <c r="BC11" s="6">
        <f t="array" ref="BC11">IFERROR(INDEX(Datos_Consumo[CANTIDAD],MATCH(TABLATRANSFERENCIA[[#This Row],[CODIGO]]&amp;TABLATRANSFERENCIA[[#Headers],[Columna6]],Datos_Consumo[CODIGO]&amp;Datos_Consumo[FECHA_FORMATO],0)),0)</f>
        <v>0</v>
      </c>
      <c r="BD11" s="50"/>
      <c r="BE11" s="55"/>
      <c r="BF11" s="50"/>
      <c r="BG11" s="51"/>
      <c r="BH11" s="51">
        <f>IF(RIGHT(TABLATRANSFERENCIA[[#Headers],[Emb1]],1)*1&lt;=TABLATRANSFERENCIA[[#This Row],[EMBARQUES]],IF(ISBLANK(TABLATRANSFERENCIA[[#This Row],[EMBARQUES]]),TABLATRANSFERENCIA[[#This Row],[REQUERIM]],ROUND(TABLATRANSFERENCIA[[#This Row],[REQUERIM]]/TABLATRANSFERENCIA[[#This Row],[EMBARQUES]],0)),TABLATRANSFERENCIA[[#This Row],[REQUERIM]])</f>
        <v>0</v>
      </c>
      <c r="BI1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1" s="51"/>
      <c r="BN11" s="46">
        <f>IFERROR(TABLATRANSFERENCIA[[#This Row],[REQUERIM]]/TABLATRANSFERENCIA[[#This Row],[PEDIDO PROMEDIO]],0)</f>
        <v>0</v>
      </c>
      <c r="BO11" s="51"/>
      <c r="BP11" s="60"/>
      <c r="BQ11" s="3">
        <f>IF(TABLATRANSFERENCIA[[#This Row],[RECIBIDO]]&lt;&gt;"",0,IF(TABLATRANSFERENCIA[[#This Row],[DESPACHO]]&lt;&gt;"",TABLATRANSFERENCIA[[#This Row],[DESPACHO]],TABLATRANSFERENCIA[[#This Row],[REQUERIM]]))</f>
        <v>0</v>
      </c>
      <c r="BR11" s="50"/>
      <c r="BS11" s="50"/>
      <c r="BT11" s="50" t="str">
        <f>"N"</f>
        <v>N</v>
      </c>
      <c r="BU11" s="51">
        <f t="array" ref="BU11">IF(SUM(--(TABLATRANSFERENCIA[[#This Row],[CODIGO GENERICO]]=TABLATRANSFERENCIA[CODIGO GENERICO])*TABLATRANSFERENCIA[REQUERIM])&lt;TABLATRANSFERENCIA[[#This Row],[PEDIDO MIN GRUPO]],1,0)</f>
        <v>0</v>
      </c>
      <c r="BV1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1" s="51"/>
      <c r="BX11" s="51"/>
      <c r="BY11" s="51"/>
    </row>
    <row r="12" spans="1:77" x14ac:dyDescent="0.25">
      <c r="A12" s="54" t="s">
        <v>1697</v>
      </c>
      <c r="B12" s="3"/>
      <c r="C12" s="3"/>
      <c r="D12" s="3"/>
      <c r="E12" s="3"/>
      <c r="F12" s="3"/>
      <c r="G12" s="3"/>
      <c r="H12" s="3"/>
      <c r="I12" s="3"/>
      <c r="J12" s="3"/>
      <c r="K12" s="3"/>
      <c r="L12" s="3"/>
      <c r="M12" s="3"/>
      <c r="N12" s="3"/>
      <c r="O12" s="5"/>
      <c r="P12" s="5"/>
      <c r="Q12" s="5"/>
      <c r="R12" s="46"/>
      <c r="S12" s="46"/>
      <c r="T12" s="46"/>
      <c r="U12" s="46"/>
      <c r="V12" s="49"/>
      <c r="W12" s="49"/>
      <c r="X12" s="51"/>
      <c r="Y12" s="51"/>
      <c r="Z12" s="6"/>
      <c r="AA12" s="6"/>
      <c r="AB12" s="6"/>
      <c r="AC12" s="4"/>
      <c r="AD12" s="6"/>
      <c r="AE12" s="6"/>
      <c r="AF12" s="6"/>
      <c r="AG12" s="6"/>
      <c r="AH12" s="6"/>
      <c r="AI12" s="6"/>
      <c r="AJ12" s="6"/>
      <c r="AK12" s="6"/>
      <c r="AL12" s="4"/>
      <c r="AM12" s="6"/>
      <c r="AN12" s="6"/>
      <c r="AO12" s="6"/>
      <c r="AP12" s="6"/>
      <c r="AQ12" s="6"/>
      <c r="AR12" s="6"/>
      <c r="AS12" s="6"/>
      <c r="AT12" s="6"/>
      <c r="AU12" s="6"/>
      <c r="AV12" s="62"/>
      <c r="AW12" s="62"/>
      <c r="AX12" s="6">
        <f t="array" ref="AX12">IFERROR(INDEX(Datos_Consumo[CANTIDAD],MATCH(TABLATRANSFERENCIA[[#This Row],[CODIGO]]&amp;TABLATRANSFERENCIA[[#Headers],[2016-11]],Datos_Consumo[CODIGO]&amp;Datos_Consumo[FECHA_FORMATO],0)),0)</f>
        <v>0</v>
      </c>
      <c r="AY12" s="6">
        <f t="array" ref="AY12">IFERROR(INDEX(Datos_Consumo[CANTIDAD],MATCH(TABLATRANSFERENCIA[[#This Row],[CODIGO]]&amp;TABLATRANSFERENCIA[[#Headers],[2016-12]],Datos_Consumo[CODIGO]&amp;Datos_Consumo[FECHA_FORMATO],0)),0)</f>
        <v>0</v>
      </c>
      <c r="AZ12" s="6">
        <f t="array" ref="AZ12">IFERROR(INDEX(Datos_Consumo[CANTIDAD],MATCH(TABLATRANSFERENCIA[[#This Row],[CODIGO]]&amp;TABLATRANSFERENCIA[[#Headers],[2017-1]],Datos_Consumo[CODIGO]&amp;Datos_Consumo[FECHA_FORMATO],0)),0)</f>
        <v>0</v>
      </c>
      <c r="BA12" s="6">
        <f t="array" ref="BA12">IFERROR(INDEX(Datos_Consumo[CANTIDAD],MATCH(TABLATRANSFERENCIA[[#This Row],[CODIGO]]&amp;TABLATRANSFERENCIA[[#Headers],[2017-2]],Datos_Consumo[CODIGO]&amp;Datos_Consumo[FECHA_FORMATO],0)),0)</f>
        <v>0</v>
      </c>
      <c r="BB12" s="6">
        <f t="array" ref="BB12">IFERROR(INDEX(Datos_Consumo[CANTIDAD],MATCH(TABLATRANSFERENCIA[[#This Row],[CODIGO]]&amp;TABLATRANSFERENCIA[[#Headers],[Columna5]],Datos_Consumo[CODIGO]&amp;Datos_Consumo[FECHA_FORMATO],0)),0)</f>
        <v>0</v>
      </c>
      <c r="BC12" s="6">
        <f t="array" ref="BC12">IFERROR(INDEX(Datos_Consumo[CANTIDAD],MATCH(TABLATRANSFERENCIA[[#This Row],[CODIGO]]&amp;TABLATRANSFERENCIA[[#Headers],[Columna6]],Datos_Consumo[CODIGO]&amp;Datos_Consumo[FECHA_FORMATO],0)),0)</f>
        <v>0</v>
      </c>
      <c r="BD12" s="50"/>
      <c r="BE12" s="55"/>
      <c r="BF12" s="50"/>
      <c r="BG12" s="51"/>
      <c r="BH12" s="51">
        <f>IF(RIGHT(TABLATRANSFERENCIA[[#Headers],[Emb1]],1)*1&lt;=TABLATRANSFERENCIA[[#This Row],[EMBARQUES]],IF(ISBLANK(TABLATRANSFERENCIA[[#This Row],[EMBARQUES]]),TABLATRANSFERENCIA[[#This Row],[REQUERIM]],ROUND(TABLATRANSFERENCIA[[#This Row],[REQUERIM]]/TABLATRANSFERENCIA[[#This Row],[EMBARQUES]],0)),TABLATRANSFERENCIA[[#This Row],[REQUERIM]])</f>
        <v>0</v>
      </c>
      <c r="BI1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2" s="51"/>
      <c r="BN12" s="46">
        <f>IFERROR(TABLATRANSFERENCIA[[#This Row],[REQUERIM]]/TABLATRANSFERENCIA[[#This Row],[PEDIDO PROMEDIO]],0)</f>
        <v>0</v>
      </c>
      <c r="BO12" s="51"/>
      <c r="BP12" s="60"/>
      <c r="BQ12" s="3">
        <f>IF(TABLATRANSFERENCIA[[#This Row],[RECIBIDO]]&lt;&gt;"",0,IF(TABLATRANSFERENCIA[[#This Row],[DESPACHO]]&lt;&gt;"",TABLATRANSFERENCIA[[#This Row],[DESPACHO]],TABLATRANSFERENCIA[[#This Row],[REQUERIM]]))</f>
        <v>0</v>
      </c>
      <c r="BR12" s="50"/>
      <c r="BS12" s="50"/>
      <c r="BT12" s="50" t="str">
        <f>"N"</f>
        <v>N</v>
      </c>
      <c r="BU12" s="51">
        <f t="array" ref="BU12">IF(SUM(--(TABLATRANSFERENCIA[[#This Row],[CODIGO GENERICO]]=TABLATRANSFERENCIA[CODIGO GENERICO])*TABLATRANSFERENCIA[REQUERIM])&lt;TABLATRANSFERENCIA[[#This Row],[PEDIDO MIN GRUPO]],1,0)</f>
        <v>0</v>
      </c>
      <c r="BV12"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2" s="51"/>
      <c r="BX12" s="51"/>
      <c r="BY12" s="51"/>
    </row>
    <row r="13" spans="1:77" x14ac:dyDescent="0.25">
      <c r="A13" s="54" t="s">
        <v>1697</v>
      </c>
      <c r="B13" s="3"/>
      <c r="C13" s="3"/>
      <c r="D13" s="3"/>
      <c r="E13" s="3"/>
      <c r="F13" s="3"/>
      <c r="G13" s="3"/>
      <c r="H13" s="3"/>
      <c r="I13" s="3"/>
      <c r="J13" s="3"/>
      <c r="K13" s="3"/>
      <c r="L13" s="3"/>
      <c r="M13" s="3"/>
      <c r="N13" s="3"/>
      <c r="O13" s="5"/>
      <c r="P13" s="5"/>
      <c r="Q13" s="5"/>
      <c r="R13" s="46"/>
      <c r="S13" s="46"/>
      <c r="T13" s="46"/>
      <c r="U13" s="46"/>
      <c r="V13" s="49"/>
      <c r="W13" s="49"/>
      <c r="X13" s="51"/>
      <c r="Y13" s="51"/>
      <c r="Z13" s="6"/>
      <c r="AA13" s="6"/>
      <c r="AB13" s="6"/>
      <c r="AC13" s="4"/>
      <c r="AD13" s="6"/>
      <c r="AE13" s="6"/>
      <c r="AF13" s="6"/>
      <c r="AG13" s="6"/>
      <c r="AH13" s="6"/>
      <c r="AI13" s="6"/>
      <c r="AJ13" s="6"/>
      <c r="AK13" s="6"/>
      <c r="AL13" s="4"/>
      <c r="AM13" s="6"/>
      <c r="AN13" s="6"/>
      <c r="AO13" s="6"/>
      <c r="AP13" s="6"/>
      <c r="AQ13" s="6"/>
      <c r="AR13" s="6"/>
      <c r="AS13" s="6"/>
      <c r="AT13" s="6"/>
      <c r="AU13" s="6"/>
      <c r="AV13" s="62"/>
      <c r="AW13" s="62"/>
      <c r="AX13" s="6">
        <f t="array" ref="AX13">IFERROR(INDEX(Datos_Consumo[CANTIDAD],MATCH(TABLATRANSFERENCIA[[#This Row],[CODIGO]]&amp;TABLATRANSFERENCIA[[#Headers],[2016-11]],Datos_Consumo[CODIGO]&amp;Datos_Consumo[FECHA_FORMATO],0)),0)</f>
        <v>0</v>
      </c>
      <c r="AY13" s="6">
        <f t="array" ref="AY13">IFERROR(INDEX(Datos_Consumo[CANTIDAD],MATCH(TABLATRANSFERENCIA[[#This Row],[CODIGO]]&amp;TABLATRANSFERENCIA[[#Headers],[2016-12]],Datos_Consumo[CODIGO]&amp;Datos_Consumo[FECHA_FORMATO],0)),0)</f>
        <v>0</v>
      </c>
      <c r="AZ13" s="6">
        <f t="array" ref="AZ13">IFERROR(INDEX(Datos_Consumo[CANTIDAD],MATCH(TABLATRANSFERENCIA[[#This Row],[CODIGO]]&amp;TABLATRANSFERENCIA[[#Headers],[2017-1]],Datos_Consumo[CODIGO]&amp;Datos_Consumo[FECHA_FORMATO],0)),0)</f>
        <v>0</v>
      </c>
      <c r="BA13" s="6">
        <f t="array" ref="BA13">IFERROR(INDEX(Datos_Consumo[CANTIDAD],MATCH(TABLATRANSFERENCIA[[#This Row],[CODIGO]]&amp;TABLATRANSFERENCIA[[#Headers],[2017-2]],Datos_Consumo[CODIGO]&amp;Datos_Consumo[FECHA_FORMATO],0)),0)</f>
        <v>0</v>
      </c>
      <c r="BB13" s="6">
        <f t="array" ref="BB13">IFERROR(INDEX(Datos_Consumo[CANTIDAD],MATCH(TABLATRANSFERENCIA[[#This Row],[CODIGO]]&amp;TABLATRANSFERENCIA[[#Headers],[Columna5]],Datos_Consumo[CODIGO]&amp;Datos_Consumo[FECHA_FORMATO],0)),0)</f>
        <v>0</v>
      </c>
      <c r="BC13" s="6">
        <f t="array" ref="BC13">IFERROR(INDEX(Datos_Consumo[CANTIDAD],MATCH(TABLATRANSFERENCIA[[#This Row],[CODIGO]]&amp;TABLATRANSFERENCIA[[#Headers],[Columna6]],Datos_Consumo[CODIGO]&amp;Datos_Consumo[FECHA_FORMATO],0)),0)</f>
        <v>0</v>
      </c>
      <c r="BD13" s="50"/>
      <c r="BE13" s="55"/>
      <c r="BF13" s="50"/>
      <c r="BG13" s="51"/>
      <c r="BH13" s="51">
        <f>IF(RIGHT(TABLATRANSFERENCIA[[#Headers],[Emb1]],1)*1&lt;=TABLATRANSFERENCIA[[#This Row],[EMBARQUES]],IF(ISBLANK(TABLATRANSFERENCIA[[#This Row],[EMBARQUES]]),TABLATRANSFERENCIA[[#This Row],[REQUERIM]],ROUND(TABLATRANSFERENCIA[[#This Row],[REQUERIM]]/TABLATRANSFERENCIA[[#This Row],[EMBARQUES]],0)),TABLATRANSFERENCIA[[#This Row],[REQUERIM]])</f>
        <v>0</v>
      </c>
      <c r="BI1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3" s="51"/>
      <c r="BN13" s="46">
        <f>IFERROR(TABLATRANSFERENCIA[[#This Row],[REQUERIM]]/TABLATRANSFERENCIA[[#This Row],[PEDIDO PROMEDIO]],0)</f>
        <v>0</v>
      </c>
      <c r="BO13" s="51"/>
      <c r="BP13" s="60"/>
      <c r="BQ13" s="3">
        <f>IF(TABLATRANSFERENCIA[[#This Row],[RECIBIDO]]&lt;&gt;"",0,IF(TABLATRANSFERENCIA[[#This Row],[DESPACHO]]&lt;&gt;"",TABLATRANSFERENCIA[[#This Row],[DESPACHO]],TABLATRANSFERENCIA[[#This Row],[REQUERIM]]))</f>
        <v>0</v>
      </c>
      <c r="BR13" s="50"/>
      <c r="BS13" s="50"/>
      <c r="BT13" s="50" t="str">
        <f>"N"</f>
        <v>N</v>
      </c>
      <c r="BU13" s="51">
        <f t="array" ref="BU13">IF(SUM(--(TABLATRANSFERENCIA[[#This Row],[CODIGO GENERICO]]=TABLATRANSFERENCIA[CODIGO GENERICO])*TABLATRANSFERENCIA[REQUERIM])&lt;TABLATRANSFERENCIA[[#This Row],[PEDIDO MIN GRUPO]],1,0)</f>
        <v>0</v>
      </c>
      <c r="BV13"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3" s="51"/>
      <c r="BX13" s="51"/>
      <c r="BY13" s="51"/>
    </row>
    <row r="14" spans="1:77" x14ac:dyDescent="0.25">
      <c r="A14" s="54" t="s">
        <v>1697</v>
      </c>
      <c r="B14" s="3"/>
      <c r="C14" s="3"/>
      <c r="D14" s="3"/>
      <c r="E14" s="3"/>
      <c r="F14" s="3"/>
      <c r="G14" s="3"/>
      <c r="H14" s="3"/>
      <c r="I14" s="3"/>
      <c r="J14" s="3"/>
      <c r="K14" s="3"/>
      <c r="L14" s="3"/>
      <c r="M14" s="3"/>
      <c r="N14" s="3"/>
      <c r="O14" s="5"/>
      <c r="P14" s="5"/>
      <c r="Q14" s="5"/>
      <c r="R14" s="46"/>
      <c r="S14" s="46"/>
      <c r="T14" s="46"/>
      <c r="U14" s="46"/>
      <c r="V14" s="49"/>
      <c r="W14" s="49"/>
      <c r="X14" s="51"/>
      <c r="Y14" s="51"/>
      <c r="Z14" s="6"/>
      <c r="AA14" s="6"/>
      <c r="AB14" s="6"/>
      <c r="AC14" s="4"/>
      <c r="AD14" s="6"/>
      <c r="AE14" s="6"/>
      <c r="AF14" s="6"/>
      <c r="AG14" s="6"/>
      <c r="AH14" s="6"/>
      <c r="AI14" s="6"/>
      <c r="AJ14" s="6"/>
      <c r="AK14" s="6"/>
      <c r="AL14" s="4"/>
      <c r="AM14" s="6"/>
      <c r="AN14" s="6"/>
      <c r="AO14" s="6"/>
      <c r="AP14" s="6"/>
      <c r="AQ14" s="6"/>
      <c r="AR14" s="6"/>
      <c r="AS14" s="6"/>
      <c r="AT14" s="6"/>
      <c r="AU14" s="6"/>
      <c r="AV14" s="62"/>
      <c r="AW14" s="62"/>
      <c r="AX14" s="6">
        <f t="array" ref="AX14">IFERROR(INDEX(Datos_Consumo[CANTIDAD],MATCH(TABLATRANSFERENCIA[[#This Row],[CODIGO]]&amp;TABLATRANSFERENCIA[[#Headers],[2016-11]],Datos_Consumo[CODIGO]&amp;Datos_Consumo[FECHA_FORMATO],0)),0)</f>
        <v>0</v>
      </c>
      <c r="AY14" s="6">
        <f t="array" ref="AY14">IFERROR(INDEX(Datos_Consumo[CANTIDAD],MATCH(TABLATRANSFERENCIA[[#This Row],[CODIGO]]&amp;TABLATRANSFERENCIA[[#Headers],[2016-12]],Datos_Consumo[CODIGO]&amp;Datos_Consumo[FECHA_FORMATO],0)),0)</f>
        <v>0</v>
      </c>
      <c r="AZ14" s="6">
        <f t="array" ref="AZ14">IFERROR(INDEX(Datos_Consumo[CANTIDAD],MATCH(TABLATRANSFERENCIA[[#This Row],[CODIGO]]&amp;TABLATRANSFERENCIA[[#Headers],[2017-1]],Datos_Consumo[CODIGO]&amp;Datos_Consumo[FECHA_FORMATO],0)),0)</f>
        <v>0</v>
      </c>
      <c r="BA14" s="6">
        <f t="array" ref="BA14">IFERROR(INDEX(Datos_Consumo[CANTIDAD],MATCH(TABLATRANSFERENCIA[[#This Row],[CODIGO]]&amp;TABLATRANSFERENCIA[[#Headers],[2017-2]],Datos_Consumo[CODIGO]&amp;Datos_Consumo[FECHA_FORMATO],0)),0)</f>
        <v>0</v>
      </c>
      <c r="BB14" s="6">
        <f t="array" ref="BB14">IFERROR(INDEX(Datos_Consumo[CANTIDAD],MATCH(TABLATRANSFERENCIA[[#This Row],[CODIGO]]&amp;TABLATRANSFERENCIA[[#Headers],[Columna5]],Datos_Consumo[CODIGO]&amp;Datos_Consumo[FECHA_FORMATO],0)),0)</f>
        <v>0</v>
      </c>
      <c r="BC14" s="6">
        <f t="array" ref="BC14">IFERROR(INDEX(Datos_Consumo[CANTIDAD],MATCH(TABLATRANSFERENCIA[[#This Row],[CODIGO]]&amp;TABLATRANSFERENCIA[[#Headers],[Columna6]],Datos_Consumo[CODIGO]&amp;Datos_Consumo[FECHA_FORMATO],0)),0)</f>
        <v>0</v>
      </c>
      <c r="BD14" s="50"/>
      <c r="BE14" s="55"/>
      <c r="BF14" s="50"/>
      <c r="BG14" s="51"/>
      <c r="BH14" s="51">
        <f>IF(RIGHT(TABLATRANSFERENCIA[[#Headers],[Emb1]],1)*1&lt;=TABLATRANSFERENCIA[[#This Row],[EMBARQUES]],IF(ISBLANK(TABLATRANSFERENCIA[[#This Row],[EMBARQUES]]),TABLATRANSFERENCIA[[#This Row],[REQUERIM]],ROUND(TABLATRANSFERENCIA[[#This Row],[REQUERIM]]/TABLATRANSFERENCIA[[#This Row],[EMBARQUES]],0)),TABLATRANSFERENCIA[[#This Row],[REQUERIM]])</f>
        <v>0</v>
      </c>
      <c r="BI1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4" s="51"/>
      <c r="BN14" s="46">
        <f>IFERROR(TABLATRANSFERENCIA[[#This Row],[REQUERIM]]/TABLATRANSFERENCIA[[#This Row],[PEDIDO PROMEDIO]],0)</f>
        <v>0</v>
      </c>
      <c r="BO14" s="51"/>
      <c r="BP14" s="60"/>
      <c r="BQ14" s="3">
        <f>IF(TABLATRANSFERENCIA[[#This Row],[RECIBIDO]]&lt;&gt;"",0,IF(TABLATRANSFERENCIA[[#This Row],[DESPACHO]]&lt;&gt;"",TABLATRANSFERENCIA[[#This Row],[DESPACHO]],TABLATRANSFERENCIA[[#This Row],[REQUERIM]]))</f>
        <v>0</v>
      </c>
      <c r="BR14" s="50"/>
      <c r="BS14" s="50"/>
      <c r="BT14" s="50" t="str">
        <f>"N"</f>
        <v>N</v>
      </c>
      <c r="BU14" s="51">
        <f t="array" ref="BU14">IF(SUM(--(TABLATRANSFERENCIA[[#This Row],[CODIGO GENERICO]]=TABLATRANSFERENCIA[CODIGO GENERICO])*TABLATRANSFERENCIA[REQUERIM])&lt;TABLATRANSFERENCIA[[#This Row],[PEDIDO MIN GRUPO]],1,0)</f>
        <v>0</v>
      </c>
      <c r="BV14"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4" s="51"/>
      <c r="BX14" s="51"/>
      <c r="BY14" s="51"/>
    </row>
    <row r="15" spans="1:77" x14ac:dyDescent="0.25">
      <c r="A15" s="54" t="s">
        <v>1697</v>
      </c>
      <c r="B15" s="3"/>
      <c r="C15" s="3"/>
      <c r="D15" s="3"/>
      <c r="E15" s="3"/>
      <c r="F15" s="3"/>
      <c r="G15" s="3"/>
      <c r="H15" s="3"/>
      <c r="I15" s="3"/>
      <c r="J15" s="3"/>
      <c r="K15" s="3"/>
      <c r="L15" s="3"/>
      <c r="M15" s="3"/>
      <c r="N15" s="3"/>
      <c r="O15" s="5"/>
      <c r="P15" s="5"/>
      <c r="Q15" s="5"/>
      <c r="R15" s="46"/>
      <c r="S15" s="46"/>
      <c r="T15" s="46"/>
      <c r="U15" s="46"/>
      <c r="V15" s="49"/>
      <c r="W15" s="49"/>
      <c r="X15" s="51"/>
      <c r="Y15" s="51"/>
      <c r="Z15" s="6"/>
      <c r="AA15" s="6"/>
      <c r="AB15" s="6"/>
      <c r="AC15" s="4"/>
      <c r="AD15" s="6"/>
      <c r="AE15" s="6"/>
      <c r="AF15" s="6"/>
      <c r="AG15" s="6"/>
      <c r="AH15" s="6"/>
      <c r="AI15" s="6"/>
      <c r="AJ15" s="6"/>
      <c r="AK15" s="6"/>
      <c r="AL15" s="4"/>
      <c r="AM15" s="6"/>
      <c r="AN15" s="6"/>
      <c r="AO15" s="6"/>
      <c r="AP15" s="6"/>
      <c r="AQ15" s="6"/>
      <c r="AR15" s="6"/>
      <c r="AS15" s="6"/>
      <c r="AT15" s="6"/>
      <c r="AU15" s="6"/>
      <c r="AV15" s="62"/>
      <c r="AW15" s="62"/>
      <c r="AX15" s="6">
        <f t="array" ref="AX15">IFERROR(INDEX(Datos_Consumo[CANTIDAD],MATCH(TABLATRANSFERENCIA[[#This Row],[CODIGO]]&amp;TABLATRANSFERENCIA[[#Headers],[2016-11]],Datos_Consumo[CODIGO]&amp;Datos_Consumo[FECHA_FORMATO],0)),0)</f>
        <v>0</v>
      </c>
      <c r="AY15" s="6">
        <f t="array" ref="AY15">IFERROR(INDEX(Datos_Consumo[CANTIDAD],MATCH(TABLATRANSFERENCIA[[#This Row],[CODIGO]]&amp;TABLATRANSFERENCIA[[#Headers],[2016-12]],Datos_Consumo[CODIGO]&amp;Datos_Consumo[FECHA_FORMATO],0)),0)</f>
        <v>0</v>
      </c>
      <c r="AZ15" s="6">
        <f t="array" ref="AZ15">IFERROR(INDEX(Datos_Consumo[CANTIDAD],MATCH(TABLATRANSFERENCIA[[#This Row],[CODIGO]]&amp;TABLATRANSFERENCIA[[#Headers],[2017-1]],Datos_Consumo[CODIGO]&amp;Datos_Consumo[FECHA_FORMATO],0)),0)</f>
        <v>0</v>
      </c>
      <c r="BA15" s="6">
        <f t="array" ref="BA15">IFERROR(INDEX(Datos_Consumo[CANTIDAD],MATCH(TABLATRANSFERENCIA[[#This Row],[CODIGO]]&amp;TABLATRANSFERENCIA[[#Headers],[2017-2]],Datos_Consumo[CODIGO]&amp;Datos_Consumo[FECHA_FORMATO],0)),0)</f>
        <v>0</v>
      </c>
      <c r="BB15" s="6">
        <f t="array" ref="BB15">IFERROR(INDEX(Datos_Consumo[CANTIDAD],MATCH(TABLATRANSFERENCIA[[#This Row],[CODIGO]]&amp;TABLATRANSFERENCIA[[#Headers],[Columna5]],Datos_Consumo[CODIGO]&amp;Datos_Consumo[FECHA_FORMATO],0)),0)</f>
        <v>0</v>
      </c>
      <c r="BC15" s="6">
        <f t="array" ref="BC15">IFERROR(INDEX(Datos_Consumo[CANTIDAD],MATCH(TABLATRANSFERENCIA[[#This Row],[CODIGO]]&amp;TABLATRANSFERENCIA[[#Headers],[Columna6]],Datos_Consumo[CODIGO]&amp;Datos_Consumo[FECHA_FORMATO],0)),0)</f>
        <v>0</v>
      </c>
      <c r="BD15" s="50"/>
      <c r="BE15" s="55"/>
      <c r="BF15" s="50"/>
      <c r="BG15" s="51"/>
      <c r="BH15" s="51">
        <f>IF(RIGHT(TABLATRANSFERENCIA[[#Headers],[Emb1]],1)*1&lt;=TABLATRANSFERENCIA[[#This Row],[EMBARQUES]],IF(ISBLANK(TABLATRANSFERENCIA[[#This Row],[EMBARQUES]]),TABLATRANSFERENCIA[[#This Row],[REQUERIM]],ROUND(TABLATRANSFERENCIA[[#This Row],[REQUERIM]]/TABLATRANSFERENCIA[[#This Row],[EMBARQUES]],0)),TABLATRANSFERENCIA[[#This Row],[REQUERIM]])</f>
        <v>0</v>
      </c>
      <c r="BI1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5" s="51"/>
      <c r="BN15" s="46">
        <f>IFERROR(TABLATRANSFERENCIA[[#This Row],[REQUERIM]]/TABLATRANSFERENCIA[[#This Row],[PEDIDO PROMEDIO]],0)</f>
        <v>0</v>
      </c>
      <c r="BO15" s="51"/>
      <c r="BP15" s="60"/>
      <c r="BQ15" s="3">
        <f>IF(TABLATRANSFERENCIA[[#This Row],[RECIBIDO]]&lt;&gt;"",0,IF(TABLATRANSFERENCIA[[#This Row],[DESPACHO]]&lt;&gt;"",TABLATRANSFERENCIA[[#This Row],[DESPACHO]],TABLATRANSFERENCIA[[#This Row],[REQUERIM]]))</f>
        <v>0</v>
      </c>
      <c r="BR15" s="50"/>
      <c r="BS15" s="50"/>
      <c r="BT15" s="50" t="str">
        <f>"N"</f>
        <v>N</v>
      </c>
      <c r="BU15" s="51">
        <f t="array" ref="BU15">IF(SUM(--(TABLATRANSFERENCIA[[#This Row],[CODIGO GENERICO]]=TABLATRANSFERENCIA[CODIGO GENERICO])*TABLATRANSFERENCIA[REQUERIM])&lt;TABLATRANSFERENCIA[[#This Row],[PEDIDO MIN GRUPO]],1,0)</f>
        <v>0</v>
      </c>
      <c r="BV15"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5" s="51"/>
      <c r="BX15" s="51"/>
      <c r="BY15" s="51"/>
    </row>
    <row r="16" spans="1:77" x14ac:dyDescent="0.25">
      <c r="A16" s="54" t="s">
        <v>1697</v>
      </c>
      <c r="B16" s="3"/>
      <c r="C16" s="3"/>
      <c r="D16" s="3"/>
      <c r="E16" s="3"/>
      <c r="F16" s="3"/>
      <c r="G16" s="3"/>
      <c r="H16" s="3"/>
      <c r="I16" s="3"/>
      <c r="J16" s="3"/>
      <c r="K16" s="3"/>
      <c r="L16" s="3"/>
      <c r="M16" s="3"/>
      <c r="N16" s="3"/>
      <c r="O16" s="5"/>
      <c r="P16" s="5"/>
      <c r="Q16" s="5"/>
      <c r="R16" s="46"/>
      <c r="S16" s="46"/>
      <c r="T16" s="46"/>
      <c r="U16" s="46"/>
      <c r="V16" s="49"/>
      <c r="W16" s="49"/>
      <c r="X16" s="51"/>
      <c r="Y16" s="51"/>
      <c r="Z16" s="6"/>
      <c r="AA16" s="6"/>
      <c r="AB16" s="6"/>
      <c r="AC16" s="4"/>
      <c r="AD16" s="6"/>
      <c r="AE16" s="6"/>
      <c r="AF16" s="6"/>
      <c r="AG16" s="6"/>
      <c r="AH16" s="6"/>
      <c r="AI16" s="6"/>
      <c r="AJ16" s="6"/>
      <c r="AK16" s="6"/>
      <c r="AL16" s="4"/>
      <c r="AM16" s="6"/>
      <c r="AN16" s="6"/>
      <c r="AO16" s="6"/>
      <c r="AP16" s="6"/>
      <c r="AQ16" s="6"/>
      <c r="AR16" s="6"/>
      <c r="AS16" s="6"/>
      <c r="AT16" s="6"/>
      <c r="AU16" s="6"/>
      <c r="AV16" s="62"/>
      <c r="AW16" s="62"/>
      <c r="AX16" s="6">
        <f t="array" ref="AX16">IFERROR(INDEX(Datos_Consumo[CANTIDAD],MATCH(TABLATRANSFERENCIA[[#This Row],[CODIGO]]&amp;TABLATRANSFERENCIA[[#Headers],[2016-11]],Datos_Consumo[CODIGO]&amp;Datos_Consumo[FECHA_FORMATO],0)),0)</f>
        <v>0</v>
      </c>
      <c r="AY16" s="6">
        <f t="array" ref="AY16">IFERROR(INDEX(Datos_Consumo[CANTIDAD],MATCH(TABLATRANSFERENCIA[[#This Row],[CODIGO]]&amp;TABLATRANSFERENCIA[[#Headers],[2016-12]],Datos_Consumo[CODIGO]&amp;Datos_Consumo[FECHA_FORMATO],0)),0)</f>
        <v>0</v>
      </c>
      <c r="AZ16" s="6">
        <f t="array" ref="AZ16">IFERROR(INDEX(Datos_Consumo[CANTIDAD],MATCH(TABLATRANSFERENCIA[[#This Row],[CODIGO]]&amp;TABLATRANSFERENCIA[[#Headers],[2017-1]],Datos_Consumo[CODIGO]&amp;Datos_Consumo[FECHA_FORMATO],0)),0)</f>
        <v>0</v>
      </c>
      <c r="BA16" s="6">
        <f t="array" ref="BA16">IFERROR(INDEX(Datos_Consumo[CANTIDAD],MATCH(TABLATRANSFERENCIA[[#This Row],[CODIGO]]&amp;TABLATRANSFERENCIA[[#Headers],[2017-2]],Datos_Consumo[CODIGO]&amp;Datos_Consumo[FECHA_FORMATO],0)),0)</f>
        <v>0</v>
      </c>
      <c r="BB16" s="6">
        <f t="array" ref="BB16">IFERROR(INDEX(Datos_Consumo[CANTIDAD],MATCH(TABLATRANSFERENCIA[[#This Row],[CODIGO]]&amp;TABLATRANSFERENCIA[[#Headers],[Columna5]],Datos_Consumo[CODIGO]&amp;Datos_Consumo[FECHA_FORMATO],0)),0)</f>
        <v>0</v>
      </c>
      <c r="BC16" s="6">
        <f t="array" ref="BC16">IFERROR(INDEX(Datos_Consumo[CANTIDAD],MATCH(TABLATRANSFERENCIA[[#This Row],[CODIGO]]&amp;TABLATRANSFERENCIA[[#Headers],[Columna6]],Datos_Consumo[CODIGO]&amp;Datos_Consumo[FECHA_FORMATO],0)),0)</f>
        <v>0</v>
      </c>
      <c r="BD16" s="50"/>
      <c r="BE16" s="55"/>
      <c r="BF16" s="50"/>
      <c r="BG16" s="51"/>
      <c r="BH16" s="51">
        <f>IF(RIGHT(TABLATRANSFERENCIA[[#Headers],[Emb1]],1)*1&lt;=TABLATRANSFERENCIA[[#This Row],[EMBARQUES]],IF(ISBLANK(TABLATRANSFERENCIA[[#This Row],[EMBARQUES]]),TABLATRANSFERENCIA[[#This Row],[REQUERIM]],ROUND(TABLATRANSFERENCIA[[#This Row],[REQUERIM]]/TABLATRANSFERENCIA[[#This Row],[EMBARQUES]],0)),TABLATRANSFERENCIA[[#This Row],[REQUERIM]])</f>
        <v>0</v>
      </c>
      <c r="BI1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6" s="51"/>
      <c r="BN16" s="46">
        <f>IFERROR(TABLATRANSFERENCIA[[#This Row],[REQUERIM]]/TABLATRANSFERENCIA[[#This Row],[PEDIDO PROMEDIO]],0)</f>
        <v>0</v>
      </c>
      <c r="BO16" s="51"/>
      <c r="BP16" s="60"/>
      <c r="BQ16" s="3">
        <f>IF(TABLATRANSFERENCIA[[#This Row],[RECIBIDO]]&lt;&gt;"",0,IF(TABLATRANSFERENCIA[[#This Row],[DESPACHO]]&lt;&gt;"",TABLATRANSFERENCIA[[#This Row],[DESPACHO]],TABLATRANSFERENCIA[[#This Row],[REQUERIM]]))</f>
        <v>0</v>
      </c>
      <c r="BR16" s="50"/>
      <c r="BS16" s="50"/>
      <c r="BT16" s="50" t="str">
        <f>"N"</f>
        <v>N</v>
      </c>
      <c r="BU16" s="51">
        <f t="array" ref="BU16">IF(SUM(--(TABLATRANSFERENCIA[[#This Row],[CODIGO GENERICO]]=TABLATRANSFERENCIA[CODIGO GENERICO])*TABLATRANSFERENCIA[REQUERIM])&lt;TABLATRANSFERENCIA[[#This Row],[PEDIDO MIN GRUPO]],1,0)</f>
        <v>0</v>
      </c>
      <c r="BV16"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6" s="51"/>
      <c r="BX16" s="51"/>
      <c r="BY16" s="51"/>
    </row>
    <row r="17" spans="1:77" x14ac:dyDescent="0.25">
      <c r="A17" s="54" t="s">
        <v>1697</v>
      </c>
      <c r="B17" s="3"/>
      <c r="C17" s="3"/>
      <c r="D17" s="3"/>
      <c r="E17" s="3"/>
      <c r="F17" s="3"/>
      <c r="G17" s="3"/>
      <c r="H17" s="3"/>
      <c r="I17" s="3"/>
      <c r="J17" s="3"/>
      <c r="K17" s="3"/>
      <c r="L17" s="3"/>
      <c r="M17" s="3"/>
      <c r="N17" s="3"/>
      <c r="O17" s="5"/>
      <c r="P17" s="5"/>
      <c r="Q17" s="5"/>
      <c r="R17" s="46"/>
      <c r="S17" s="46"/>
      <c r="T17" s="46"/>
      <c r="U17" s="46"/>
      <c r="V17" s="49"/>
      <c r="W17" s="49"/>
      <c r="X17" s="51"/>
      <c r="Y17" s="51"/>
      <c r="Z17" s="6"/>
      <c r="AA17" s="6"/>
      <c r="AB17" s="6"/>
      <c r="AC17" s="4"/>
      <c r="AD17" s="6"/>
      <c r="AE17" s="6"/>
      <c r="AF17" s="6"/>
      <c r="AG17" s="6"/>
      <c r="AH17" s="6"/>
      <c r="AI17" s="6"/>
      <c r="AJ17" s="6"/>
      <c r="AK17" s="6"/>
      <c r="AL17" s="4"/>
      <c r="AM17" s="6"/>
      <c r="AN17" s="6"/>
      <c r="AO17" s="6"/>
      <c r="AP17" s="6"/>
      <c r="AQ17" s="6"/>
      <c r="AR17" s="6"/>
      <c r="AS17" s="6"/>
      <c r="AT17" s="6"/>
      <c r="AU17" s="6"/>
      <c r="AV17" s="62"/>
      <c r="AW17" s="62"/>
      <c r="AX17" s="6">
        <f t="array" ref="AX17">IFERROR(INDEX(Datos_Consumo[CANTIDAD],MATCH(TABLATRANSFERENCIA[[#This Row],[CODIGO]]&amp;TABLATRANSFERENCIA[[#Headers],[2016-11]],Datos_Consumo[CODIGO]&amp;Datos_Consumo[FECHA_FORMATO],0)),0)</f>
        <v>0</v>
      </c>
      <c r="AY17" s="6">
        <f t="array" ref="AY17">IFERROR(INDEX(Datos_Consumo[CANTIDAD],MATCH(TABLATRANSFERENCIA[[#This Row],[CODIGO]]&amp;TABLATRANSFERENCIA[[#Headers],[2016-12]],Datos_Consumo[CODIGO]&amp;Datos_Consumo[FECHA_FORMATO],0)),0)</f>
        <v>0</v>
      </c>
      <c r="AZ17" s="6">
        <f t="array" ref="AZ17">IFERROR(INDEX(Datos_Consumo[CANTIDAD],MATCH(TABLATRANSFERENCIA[[#This Row],[CODIGO]]&amp;TABLATRANSFERENCIA[[#Headers],[2017-1]],Datos_Consumo[CODIGO]&amp;Datos_Consumo[FECHA_FORMATO],0)),0)</f>
        <v>0</v>
      </c>
      <c r="BA17" s="6">
        <f t="array" ref="BA17">IFERROR(INDEX(Datos_Consumo[CANTIDAD],MATCH(TABLATRANSFERENCIA[[#This Row],[CODIGO]]&amp;TABLATRANSFERENCIA[[#Headers],[2017-2]],Datos_Consumo[CODIGO]&amp;Datos_Consumo[FECHA_FORMATO],0)),0)</f>
        <v>0</v>
      </c>
      <c r="BB17" s="6">
        <f t="array" ref="BB17">IFERROR(INDEX(Datos_Consumo[CANTIDAD],MATCH(TABLATRANSFERENCIA[[#This Row],[CODIGO]]&amp;TABLATRANSFERENCIA[[#Headers],[Columna5]],Datos_Consumo[CODIGO]&amp;Datos_Consumo[FECHA_FORMATO],0)),0)</f>
        <v>0</v>
      </c>
      <c r="BC17" s="6">
        <f t="array" ref="BC17">IFERROR(INDEX(Datos_Consumo[CANTIDAD],MATCH(TABLATRANSFERENCIA[[#This Row],[CODIGO]]&amp;TABLATRANSFERENCIA[[#Headers],[Columna6]],Datos_Consumo[CODIGO]&amp;Datos_Consumo[FECHA_FORMATO],0)),0)</f>
        <v>0</v>
      </c>
      <c r="BD17" s="50"/>
      <c r="BE17" s="55"/>
      <c r="BF17" s="50"/>
      <c r="BG17" s="51"/>
      <c r="BH17" s="51">
        <f>IF(RIGHT(TABLATRANSFERENCIA[[#Headers],[Emb1]],1)*1&lt;=TABLATRANSFERENCIA[[#This Row],[EMBARQUES]],IF(ISBLANK(TABLATRANSFERENCIA[[#This Row],[EMBARQUES]]),TABLATRANSFERENCIA[[#This Row],[REQUERIM]],ROUND(TABLATRANSFERENCIA[[#This Row],[REQUERIM]]/TABLATRANSFERENCIA[[#This Row],[EMBARQUES]],0)),TABLATRANSFERENCIA[[#This Row],[REQUERIM]])</f>
        <v>0</v>
      </c>
      <c r="BI1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7" s="51"/>
      <c r="BN17" s="46">
        <f>IFERROR(TABLATRANSFERENCIA[[#This Row],[REQUERIM]]/TABLATRANSFERENCIA[[#This Row],[PEDIDO PROMEDIO]],0)</f>
        <v>0</v>
      </c>
      <c r="BO17" s="51"/>
      <c r="BP17" s="60"/>
      <c r="BQ17" s="3">
        <f>IF(TABLATRANSFERENCIA[[#This Row],[RECIBIDO]]&lt;&gt;"",0,IF(TABLATRANSFERENCIA[[#This Row],[DESPACHO]]&lt;&gt;"",TABLATRANSFERENCIA[[#This Row],[DESPACHO]],TABLATRANSFERENCIA[[#This Row],[REQUERIM]]))</f>
        <v>0</v>
      </c>
      <c r="BR17" s="50"/>
      <c r="BS17" s="50"/>
      <c r="BT17" s="50" t="str">
        <f>"N"</f>
        <v>N</v>
      </c>
      <c r="BU17" s="51">
        <f t="array" ref="BU17">IF(SUM(--(TABLATRANSFERENCIA[[#This Row],[CODIGO GENERICO]]=TABLATRANSFERENCIA[CODIGO GENERICO])*TABLATRANSFERENCIA[REQUERIM])&lt;TABLATRANSFERENCIA[[#This Row],[PEDIDO MIN GRUPO]],1,0)</f>
        <v>0</v>
      </c>
      <c r="BV17"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7" s="51"/>
      <c r="BX17" s="51"/>
      <c r="BY17" s="51"/>
    </row>
    <row r="18" spans="1:77" x14ac:dyDescent="0.25">
      <c r="A18" s="54" t="s">
        <v>1697</v>
      </c>
      <c r="B18" s="3"/>
      <c r="C18" s="3"/>
      <c r="D18" s="3"/>
      <c r="E18" s="3"/>
      <c r="F18" s="3"/>
      <c r="G18" s="3"/>
      <c r="H18" s="3"/>
      <c r="I18" s="3"/>
      <c r="J18" s="3"/>
      <c r="K18" s="3"/>
      <c r="L18" s="3"/>
      <c r="M18" s="3"/>
      <c r="N18" s="3"/>
      <c r="O18" s="5"/>
      <c r="P18" s="5"/>
      <c r="Q18" s="5"/>
      <c r="R18" s="46"/>
      <c r="S18" s="46"/>
      <c r="T18" s="46"/>
      <c r="U18" s="46"/>
      <c r="V18" s="49"/>
      <c r="W18" s="49"/>
      <c r="X18" s="51"/>
      <c r="Y18" s="51"/>
      <c r="Z18" s="6"/>
      <c r="AA18" s="6"/>
      <c r="AB18" s="6"/>
      <c r="AC18" s="4"/>
      <c r="AD18" s="6"/>
      <c r="AE18" s="6"/>
      <c r="AF18" s="6"/>
      <c r="AG18" s="6"/>
      <c r="AH18" s="6"/>
      <c r="AI18" s="6"/>
      <c r="AJ18" s="6"/>
      <c r="AK18" s="6"/>
      <c r="AL18" s="4"/>
      <c r="AM18" s="6"/>
      <c r="AN18" s="6"/>
      <c r="AO18" s="6"/>
      <c r="AP18" s="6"/>
      <c r="AQ18" s="6"/>
      <c r="AR18" s="6"/>
      <c r="AS18" s="6"/>
      <c r="AT18" s="6"/>
      <c r="AU18" s="6"/>
      <c r="AV18" s="62"/>
      <c r="AW18" s="62"/>
      <c r="AX18" s="6">
        <f t="array" ref="AX18">IFERROR(INDEX(Datos_Consumo[CANTIDAD],MATCH(TABLATRANSFERENCIA[[#This Row],[CODIGO]]&amp;TABLATRANSFERENCIA[[#Headers],[2016-11]],Datos_Consumo[CODIGO]&amp;Datos_Consumo[FECHA_FORMATO],0)),0)</f>
        <v>0</v>
      </c>
      <c r="AY18" s="6">
        <f t="array" ref="AY18">IFERROR(INDEX(Datos_Consumo[CANTIDAD],MATCH(TABLATRANSFERENCIA[[#This Row],[CODIGO]]&amp;TABLATRANSFERENCIA[[#Headers],[2016-12]],Datos_Consumo[CODIGO]&amp;Datos_Consumo[FECHA_FORMATO],0)),0)</f>
        <v>0</v>
      </c>
      <c r="AZ18" s="6">
        <f t="array" ref="AZ18">IFERROR(INDEX(Datos_Consumo[CANTIDAD],MATCH(TABLATRANSFERENCIA[[#This Row],[CODIGO]]&amp;TABLATRANSFERENCIA[[#Headers],[2017-1]],Datos_Consumo[CODIGO]&amp;Datos_Consumo[FECHA_FORMATO],0)),0)</f>
        <v>0</v>
      </c>
      <c r="BA18" s="6">
        <f t="array" ref="BA18">IFERROR(INDEX(Datos_Consumo[CANTIDAD],MATCH(TABLATRANSFERENCIA[[#This Row],[CODIGO]]&amp;TABLATRANSFERENCIA[[#Headers],[2017-2]],Datos_Consumo[CODIGO]&amp;Datos_Consumo[FECHA_FORMATO],0)),0)</f>
        <v>0</v>
      </c>
      <c r="BB18" s="6">
        <f t="array" ref="BB18">IFERROR(INDEX(Datos_Consumo[CANTIDAD],MATCH(TABLATRANSFERENCIA[[#This Row],[CODIGO]]&amp;TABLATRANSFERENCIA[[#Headers],[Columna5]],Datos_Consumo[CODIGO]&amp;Datos_Consumo[FECHA_FORMATO],0)),0)</f>
        <v>0</v>
      </c>
      <c r="BC18" s="6">
        <f t="array" ref="BC18">IFERROR(INDEX(Datos_Consumo[CANTIDAD],MATCH(TABLATRANSFERENCIA[[#This Row],[CODIGO]]&amp;TABLATRANSFERENCIA[[#Headers],[Columna6]],Datos_Consumo[CODIGO]&amp;Datos_Consumo[FECHA_FORMATO],0)),0)</f>
        <v>0</v>
      </c>
      <c r="BD18" s="50"/>
      <c r="BE18" s="55"/>
      <c r="BF18" s="50"/>
      <c r="BG18" s="51"/>
      <c r="BH18" s="51">
        <f>IF(RIGHT(TABLATRANSFERENCIA[[#Headers],[Emb1]],1)*1&lt;=TABLATRANSFERENCIA[[#This Row],[EMBARQUES]],IF(ISBLANK(TABLATRANSFERENCIA[[#This Row],[EMBARQUES]]),TABLATRANSFERENCIA[[#This Row],[REQUERIM]],ROUND(TABLATRANSFERENCIA[[#This Row],[REQUERIM]]/TABLATRANSFERENCIA[[#This Row],[EMBARQUES]],0)),TABLATRANSFERENCIA[[#This Row],[REQUERIM]])</f>
        <v>0</v>
      </c>
      <c r="BI1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8" s="51"/>
      <c r="BN18" s="46">
        <f>IFERROR(TABLATRANSFERENCIA[[#This Row],[REQUERIM]]/TABLATRANSFERENCIA[[#This Row],[PEDIDO PROMEDIO]],0)</f>
        <v>0</v>
      </c>
      <c r="BO18" s="51"/>
      <c r="BP18" s="60"/>
      <c r="BQ18" s="3">
        <f>IF(TABLATRANSFERENCIA[[#This Row],[RECIBIDO]]&lt;&gt;"",0,IF(TABLATRANSFERENCIA[[#This Row],[DESPACHO]]&lt;&gt;"",TABLATRANSFERENCIA[[#This Row],[DESPACHO]],TABLATRANSFERENCIA[[#This Row],[REQUERIM]]))</f>
        <v>0</v>
      </c>
      <c r="BR18" s="50"/>
      <c r="BS18" s="50"/>
      <c r="BT18" s="50" t="str">
        <f>"N"</f>
        <v>N</v>
      </c>
      <c r="BU18" s="51">
        <f t="array" ref="BU18">IF(SUM(--(TABLATRANSFERENCIA[[#This Row],[CODIGO GENERICO]]=TABLATRANSFERENCIA[CODIGO GENERICO])*TABLATRANSFERENCIA[REQUERIM])&lt;TABLATRANSFERENCIA[[#This Row],[PEDIDO MIN GRUPO]],1,0)</f>
        <v>0</v>
      </c>
      <c r="BV18"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8" s="51"/>
      <c r="BX18" s="51"/>
      <c r="BY18" s="51"/>
    </row>
  </sheetData>
  <sheetProtection algorithmName="SHA-512" hashValue="CKR7cd/hMa5OsyZ8xVKvAklclzmNH38p8wZLsi+mz7qdy0RlVfTpabYTtW02qx3Ch3tdWn/IxCeY0s0XrAH9+g==" saltValue="4lAjNiijcwR52fTa3VgkAg==" spinCount="100000" sheet="1" objects="1" scenarios="1" formatCells="0" sort="0" autoFilter="0"/>
  <conditionalFormatting sqref="BO9:BP18">
    <cfRule type="expression" dxfId="44" priority="34">
      <formula>ISBLANK(BO9)</formula>
    </cfRule>
  </conditionalFormatting>
  <conditionalFormatting sqref="B5">
    <cfRule type="expression" dxfId="43" priority="26">
      <formula>ISBLANK(REFERENCIA)</formula>
    </cfRule>
  </conditionalFormatting>
  <conditionalFormatting sqref="D3">
    <cfRule type="expression" dxfId="42" priority="24">
      <formula>AND(ISNUMBER($D$3),$D$3&lt;$D$2)</formula>
    </cfRule>
    <cfRule type="expression" dxfId="41" priority="33">
      <formula>ISBLANK(FECHACIERRE)</formula>
    </cfRule>
  </conditionalFormatting>
  <conditionalFormatting sqref="B6 D3">
    <cfRule type="expression" dxfId="40" priority="25">
      <formula>ISBLANK(FECHAARRIBO)</formula>
    </cfRule>
  </conditionalFormatting>
  <conditionalFormatting sqref="B7">
    <cfRule type="expression" dxfId="39" priority="23">
      <formula>NOT((B7=""))</formula>
    </cfRule>
  </conditionalFormatting>
  <conditionalFormatting sqref="AK9:AK18 AB9:AB18">
    <cfRule type="expression" dxfId="38" priority="15">
      <formula>AD9="G"</formula>
    </cfRule>
    <cfRule type="expression" dxfId="37" priority="16">
      <formula>AD9="L"</formula>
    </cfRule>
    <cfRule type="expression" dxfId="36" priority="17">
      <formula>AD9="V"</formula>
    </cfRule>
    <cfRule type="expression" dxfId="35" priority="18">
      <formula>AD9="A"</formula>
    </cfRule>
    <cfRule type="expression" dxfId="34" priority="19">
      <formula>AD9="N"</formula>
    </cfRule>
    <cfRule type="expression" dxfId="33" priority="20">
      <formula>AD9="R"</formula>
    </cfRule>
  </conditionalFormatting>
  <conditionalFormatting sqref="BS9:BS18">
    <cfRule type="expression" dxfId="32" priority="17384">
      <formula>AND(ISNUMBER($BP9),$BO9&lt;&gt;$BP9)</formula>
    </cfRule>
  </conditionalFormatting>
  <conditionalFormatting sqref="AO9:AO18">
    <cfRule type="expression" dxfId="31" priority="8">
      <formula>$BU9=1</formula>
    </cfRule>
  </conditionalFormatting>
  <conditionalFormatting sqref="BD9:BD18">
    <cfRule type="expression" dxfId="30" priority="2">
      <formula>$BV9="N"</formula>
    </cfRule>
    <cfRule type="expression" dxfId="29" priority="3">
      <formula>$BV9="R"</formula>
    </cfRule>
    <cfRule type="expression" dxfId="28" priority="4">
      <formula>$BV9="A"</formula>
    </cfRule>
    <cfRule type="expression" dxfId="27" priority="5">
      <formula>$BV9="L"</formula>
    </cfRule>
    <cfRule type="expression" dxfId="26" priority="6">
      <formula>$BV9="V"</formula>
    </cfRule>
    <cfRule type="expression" dxfId="25" priority="7">
      <formula>$BV9="G"</formula>
    </cfRule>
  </conditionalFormatting>
  <conditionalFormatting sqref="BR9:BR18">
    <cfRule type="expression" dxfId="24" priority="35604">
      <formula>AND(ISNUMBER($BO9),$BD9&lt;&gt;$BO9)</formula>
    </cfRule>
  </conditionalFormatting>
  <conditionalFormatting sqref="AV9:AV18">
    <cfRule type="expression" dxfId="23" priority="1">
      <formula>TODAY()&lt;=(AV9+Y9*7)</formula>
    </cfRule>
  </conditionalFormatting>
  <conditionalFormatting sqref="R1:S1">
    <cfRule type="expression" dxfId="5" priority="63630">
      <formula>COUNTA($BP$9:$BP$18)=0</formula>
    </cfRule>
  </conditionalFormatting>
  <dataValidations disablePrompts="1" count="6">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R9:BS18">
      <formula1>RangoCausas</formula1>
    </dataValidation>
    <dataValidation type="whole" allowBlank="1" showErrorMessage="1" promptTitle="Número de Embarques" sqref="BH9:BL18">
      <formula1>0</formula1>
      <formula2>1000000</formula2>
    </dataValidation>
    <dataValidation type="whole" allowBlank="1" showErrorMessage="1" promptTitle="Número de Embarques" sqref="BG9:BG18">
      <formula1>1</formula1>
      <formula2>5</formula2>
    </dataValidation>
    <dataValidation allowBlank="1" showErrorMessage="1" promptTitle="Número de Embarques" sqref="BM9:BM18"/>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82" r:id="rId4" name="cmdCambiarPropiedad">
          <controlPr defaultSize="0" autoLine="0" r:id="rId5">
            <anchor>
              <from>
                <xdr:col>1</xdr:col>
                <xdr:colOff>47625</xdr:colOff>
                <xdr:row>0</xdr:row>
                <xdr:rowOff>333375</xdr:rowOff>
              </from>
              <to>
                <xdr:col>1</xdr:col>
                <xdr:colOff>704850</xdr:colOff>
                <xdr:row>0</xdr:row>
                <xdr:rowOff>600075</xdr:rowOff>
              </to>
            </anchor>
          </controlPr>
        </control>
      </mc:Choice>
      <mc:Fallback>
        <control shapeId="1082" r:id="rId4" name="cmdCambiarPropiedad"/>
      </mc:Fallback>
    </mc:AlternateContent>
    <mc:AlternateContent xmlns:mc="http://schemas.openxmlformats.org/markup-compatibility/2006">
      <mc:Choice Requires="x14">
        <control shapeId="1074" r:id="rId6" name="cmdRefrescar">
          <controlPr defaultSize="0" print="0" autoLine="0" r:id="rId7">
            <anchor>
              <from>
                <xdr:col>0</xdr:col>
                <xdr:colOff>828675</xdr:colOff>
                <xdr:row>0</xdr:row>
                <xdr:rowOff>28575</xdr:rowOff>
              </from>
              <to>
                <xdr:col>0</xdr:col>
                <xdr:colOff>1085850</xdr:colOff>
                <xdr:row>0</xdr:row>
                <xdr:rowOff>295275</xdr:rowOff>
              </to>
            </anchor>
          </controlPr>
        </control>
      </mc:Choice>
      <mc:Fallback>
        <control shapeId="1074" r:id="rId6" name="cmdRefrescar"/>
      </mc:Fallback>
    </mc:AlternateContent>
    <mc:AlternateContent xmlns:mc="http://schemas.openxmlformats.org/markup-compatibility/2006">
      <mc:Choice Requires="x14">
        <control shapeId="1073" r:id="rId8" name="cmdVistas">
          <controlPr defaultSize="0" autoLine="0" r:id="rId9">
            <anchor>
              <from>
                <xdr:col>0</xdr:col>
                <xdr:colOff>533400</xdr:colOff>
                <xdr:row>0</xdr:row>
                <xdr:rowOff>28575</xdr:rowOff>
              </from>
              <to>
                <xdr:col>0</xdr:col>
                <xdr:colOff>828675</xdr:colOff>
                <xdr:row>0</xdr:row>
                <xdr:rowOff>295275</xdr:rowOff>
              </to>
            </anchor>
          </controlPr>
        </control>
      </mc:Choice>
      <mc:Fallback>
        <control shapeId="1073" r:id="rId8" name="cmdVistas"/>
      </mc:Fallback>
    </mc:AlternateContent>
    <mc:AlternateContent xmlns:mc="http://schemas.openxmlformats.org/markup-compatibility/2006">
      <mc:Choice Requires="x14">
        <control shapeId="1069" r:id="rId10" name="cmdQuitaFiltros">
          <controlPr defaultSize="0" autoLine="0" r:id="rId11">
            <anchor>
              <from>
                <xdr:col>1</xdr:col>
                <xdr:colOff>2276475</xdr:colOff>
                <xdr:row>0</xdr:row>
                <xdr:rowOff>28575</xdr:rowOff>
              </from>
              <to>
                <xdr:col>1</xdr:col>
                <xdr:colOff>2505075</xdr:colOff>
                <xdr:row>0</xdr:row>
                <xdr:rowOff>276225</xdr:rowOff>
              </to>
            </anchor>
          </controlPr>
        </control>
      </mc:Choice>
      <mc:Fallback>
        <control shapeId="1069" r:id="rId10" name="cmdQuitaFiltros"/>
      </mc:Fallback>
    </mc:AlternateContent>
    <mc:AlternateContent xmlns:mc="http://schemas.openxmlformats.org/markup-compatibility/2006">
      <mc:Choice Requires="x14">
        <control shapeId="1068" r:id="rId12" name="txtBusqueda">
          <controlPr defaultSize="0" autoLine="0" r:id="rId13">
            <anchor>
              <from>
                <xdr:col>1</xdr:col>
                <xdr:colOff>933450</xdr:colOff>
                <xdr:row>0</xdr:row>
                <xdr:rowOff>28575</xdr:rowOff>
              </from>
              <to>
                <xdr:col>1</xdr:col>
                <xdr:colOff>2276475</xdr:colOff>
                <xdr:row>0</xdr:row>
                <xdr:rowOff>314325</xdr:rowOff>
              </to>
            </anchor>
          </controlPr>
        </control>
      </mc:Choice>
      <mc:Fallback>
        <control shapeId="1068" r:id="rId12" name="txtBusqueda"/>
      </mc:Fallback>
    </mc:AlternateContent>
    <mc:AlternateContent xmlns:mc="http://schemas.openxmlformats.org/markup-compatibility/2006">
      <mc:Choice Requires="x14">
        <control shapeId="1031" r:id="rId14" name="cmdBuscaItem">
          <controlPr defaultSize="0" autoLine="0" r:id="rId15">
            <anchor>
              <from>
                <xdr:col>0</xdr:col>
                <xdr:colOff>0</xdr:colOff>
                <xdr:row>0</xdr:row>
                <xdr:rowOff>28575</xdr:rowOff>
              </from>
              <to>
                <xdr:col>0</xdr:col>
                <xdr:colOff>276225</xdr:colOff>
                <xdr:row>0</xdr:row>
                <xdr:rowOff>295275</xdr:rowOff>
              </to>
            </anchor>
          </controlPr>
        </control>
      </mc:Choice>
      <mc:Fallback>
        <control shapeId="1031" r:id="rId14" name="cmdBuscaItem"/>
      </mc:Fallback>
    </mc:AlternateContent>
    <mc:AlternateContent xmlns:mc="http://schemas.openxmlformats.org/markup-compatibility/2006">
      <mc:Choice Requires="x14">
        <control shapeId="1029" r:id="rId16" name="cmdLlenarTransfer">
          <controlPr defaultSize="0" autoLine="0" r:id="rId17">
            <anchor>
              <from>
                <xdr:col>5</xdr:col>
                <xdr:colOff>276225</xdr:colOff>
                <xdr:row>0</xdr:row>
                <xdr:rowOff>276225</xdr:rowOff>
              </from>
              <to>
                <xdr:col>5</xdr:col>
                <xdr:colOff>1181100</xdr:colOff>
                <xdr:row>0</xdr:row>
                <xdr:rowOff>542925</xdr:rowOff>
              </to>
            </anchor>
          </controlPr>
        </control>
      </mc:Choice>
      <mc:Fallback>
        <control shapeId="1029" r:id="rId16" name="cmdLlenarTransfer"/>
      </mc:Fallback>
    </mc:AlternateContent>
    <mc:AlternateContent xmlns:mc="http://schemas.openxmlformats.org/markup-compatibility/2006">
      <mc:Choice Requires="x14">
        <control shapeId="1026" r:id="rId18" name="cmdCancelar">
          <controlPr defaultSize="0" autoLine="0" r:id="rId19">
            <anchor>
              <from>
                <xdr:col>0</xdr:col>
                <xdr:colOff>685800</xdr:colOff>
                <xdr:row>0</xdr:row>
                <xdr:rowOff>333375</xdr:rowOff>
              </from>
              <to>
                <xdr:col>1</xdr:col>
                <xdr:colOff>38100</xdr:colOff>
                <xdr:row>0</xdr:row>
                <xdr:rowOff>600075</xdr:rowOff>
              </to>
            </anchor>
          </controlPr>
        </control>
      </mc:Choice>
      <mc:Fallback>
        <control shapeId="1026" r:id="rId18" name="cmdCancelar"/>
      </mc:Fallback>
    </mc:AlternateContent>
    <mc:AlternateContent xmlns:mc="http://schemas.openxmlformats.org/markup-compatibility/2006">
      <mc:Choice Requires="x14">
        <control shapeId="1025" r:id="rId20" name="cmdConfirmar">
          <controlPr defaultSize="0" autoLine="0" r:id="rId21">
            <anchor>
              <from>
                <xdr:col>0</xdr:col>
                <xdr:colOff>19050</xdr:colOff>
                <xdr:row>0</xdr:row>
                <xdr:rowOff>333375</xdr:rowOff>
              </from>
              <to>
                <xdr:col>0</xdr:col>
                <xdr:colOff>676275</xdr:colOff>
                <xdr:row>0</xdr:row>
                <xdr:rowOff>600075</xdr:rowOff>
              </to>
            </anchor>
          </controlPr>
        </control>
      </mc:Choice>
      <mc:Fallback>
        <control shapeId="1025" r:id="rId20" name="cmdConfirmar"/>
      </mc:Fallback>
    </mc:AlternateContent>
    <mc:AlternateContent xmlns:mc="http://schemas.openxmlformats.org/markup-compatibility/2006">
      <mc:Choice Requires="x14">
        <control shapeId="1028" r:id="rId22" name="cmdDarDeBaja">
          <controlPr defaultSize="0" autoLine="0" r:id="rId23">
            <anchor>
              <from>
                <xdr:col>0</xdr:col>
                <xdr:colOff>1123950</xdr:colOff>
                <xdr:row>0</xdr:row>
                <xdr:rowOff>28575</xdr:rowOff>
              </from>
              <to>
                <xdr:col>1</xdr:col>
                <xdr:colOff>219075</xdr:colOff>
                <xdr:row>0</xdr:row>
                <xdr:rowOff>295275</xdr:rowOff>
              </to>
            </anchor>
          </controlPr>
        </control>
      </mc:Choice>
      <mc:Fallback>
        <control shapeId="1028" r:id="rId22" name="cmdDarDeBaja"/>
      </mc:Fallback>
    </mc:AlternateContent>
    <mc:AlternateContent xmlns:mc="http://schemas.openxmlformats.org/markup-compatibility/2006">
      <mc:Choice Requires="x14">
        <control shapeId="1030" r:id="rId24" name="cmdLlenarTransferEspecial">
          <controlPr defaultSize="0" autoLine="0" r:id="rId25">
            <anchor>
              <from>
                <xdr:col>4</xdr:col>
                <xdr:colOff>1038225</xdr:colOff>
                <xdr:row>0</xdr:row>
                <xdr:rowOff>276225</xdr:rowOff>
              </from>
              <to>
                <xdr:col>5</xdr:col>
                <xdr:colOff>704850</xdr:colOff>
                <xdr:row>0</xdr:row>
                <xdr:rowOff>542925</xdr:rowOff>
              </to>
            </anchor>
          </controlPr>
        </control>
      </mc:Choice>
      <mc:Fallback>
        <control shapeId="1030" r:id="rId24" name="cmdLlenarTransferEspecial"/>
      </mc:Fallback>
    </mc:AlternateContent>
    <mc:AlternateContent xmlns:mc="http://schemas.openxmlformats.org/markup-compatibility/2006">
      <mc:Choice Requires="x14">
        <control shapeId="1037" r:id="rId26" name="cmdFechaArribo">
          <controlPr defaultSize="0" autoLine="0" r:id="rId27">
            <anchor moveWithCells="1">
              <from>
                <xdr:col>1</xdr:col>
                <xdr:colOff>2933700</xdr:colOff>
                <xdr:row>5</xdr:row>
                <xdr:rowOff>0</xdr:rowOff>
              </from>
              <to>
                <xdr:col>2</xdr:col>
                <xdr:colOff>19050</xdr:colOff>
                <xdr:row>5</xdr:row>
                <xdr:rowOff>209550</xdr:rowOff>
              </to>
            </anchor>
          </controlPr>
        </control>
      </mc:Choice>
      <mc:Fallback>
        <control shapeId="1037" r:id="rId26" name="cmdFechaArribo"/>
      </mc:Fallback>
    </mc:AlternateContent>
    <mc:AlternateContent xmlns:mc="http://schemas.openxmlformats.org/markup-compatibility/2006">
      <mc:Choice Requires="x14">
        <control shapeId="1038" r:id="rId28" name="cmdFechaCierre">
          <controlPr defaultSize="0" autoLine="0" r:id="rId29">
            <anchor moveWithCells="1">
              <from>
                <xdr:col>3</xdr:col>
                <xdr:colOff>1009650</xdr:colOff>
                <xdr:row>2</xdr:row>
                <xdr:rowOff>0</xdr:rowOff>
              </from>
              <to>
                <xdr:col>4</xdr:col>
                <xdr:colOff>28575</xdr:colOff>
                <xdr:row>3</xdr:row>
                <xdr:rowOff>19050</xdr:rowOff>
              </to>
            </anchor>
          </controlPr>
        </control>
      </mc:Choice>
      <mc:Fallback>
        <control shapeId="1038" r:id="rId28" name="cmdFechaCierre"/>
      </mc:Fallback>
    </mc:AlternateContent>
    <mc:AlternateContent xmlns:mc="http://schemas.openxmlformats.org/markup-compatibility/2006">
      <mc:Choice Requires="x14">
        <control shapeId="1039" r:id="rId30" name="cmdMRP">
          <controlPr defaultSize="0" autoLine="0" r:id="rId31">
            <anchor>
              <from>
                <xdr:col>1</xdr:col>
                <xdr:colOff>581025</xdr:colOff>
                <xdr:row>0</xdr:row>
                <xdr:rowOff>28575</xdr:rowOff>
              </from>
              <to>
                <xdr:col>1</xdr:col>
                <xdr:colOff>923925</xdr:colOff>
                <xdr:row>0</xdr:row>
                <xdr:rowOff>295275</xdr:rowOff>
              </to>
            </anchor>
          </controlPr>
        </control>
      </mc:Choice>
      <mc:Fallback>
        <control shapeId="1039" r:id="rId30" name="cmdMRP"/>
      </mc:Fallback>
    </mc:AlternateContent>
    <mc:AlternateContent xmlns:mc="http://schemas.openxmlformats.org/markup-compatibility/2006">
      <mc:Choice Requires="x14">
        <control shapeId="1067" r:id="rId32" name="cmdImprimir">
          <controlPr defaultSize="0" autoLine="0" r:id="rId33">
            <anchor>
              <from>
                <xdr:col>1</xdr:col>
                <xdr:colOff>209550</xdr:colOff>
                <xdr:row>0</xdr:row>
                <xdr:rowOff>28575</xdr:rowOff>
              </from>
              <to>
                <xdr:col>1</xdr:col>
                <xdr:colOff>581025</xdr:colOff>
                <xdr:row>0</xdr:row>
                <xdr:rowOff>295275</xdr:rowOff>
              </to>
            </anchor>
          </controlPr>
        </control>
      </mc:Choice>
      <mc:Fallback>
        <control shapeId="1067" r:id="rId32" name="cmdImprimir"/>
      </mc:Fallback>
    </mc:AlternateContent>
    <mc:AlternateContent xmlns:mc="http://schemas.openxmlformats.org/markup-compatibility/2006">
      <mc:Choice Requires="x14">
        <control shapeId="1070" r:id="rId34" name="cmdBorraRegistro">
          <controlPr defaultSize="0" autoLine="0" r:id="rId35">
            <anchor>
              <from>
                <xdr:col>2</xdr:col>
                <xdr:colOff>76200</xdr:colOff>
                <xdr:row>0</xdr:row>
                <xdr:rowOff>28575</xdr:rowOff>
              </from>
              <to>
                <xdr:col>2</xdr:col>
                <xdr:colOff>266700</xdr:colOff>
                <xdr:row>0</xdr:row>
                <xdr:rowOff>266700</xdr:rowOff>
              </to>
            </anchor>
          </controlPr>
        </control>
      </mc:Choice>
      <mc:Fallback>
        <control shapeId="1070" r:id="rId34" name="cmdBorraRegistro"/>
      </mc:Fallback>
    </mc:AlternateContent>
    <mc:AlternateContent xmlns:mc="http://schemas.openxmlformats.org/markup-compatibility/2006">
      <mc:Choice Requires="x14">
        <control shapeId="1071" r:id="rId36" name="cmdAscendente">
          <controlPr defaultSize="0" autoLine="0" r:id="rId37">
            <anchor>
              <from>
                <xdr:col>1</xdr:col>
                <xdr:colOff>2514600</xdr:colOff>
                <xdr:row>0</xdr:row>
                <xdr:rowOff>28575</xdr:rowOff>
              </from>
              <to>
                <xdr:col>1</xdr:col>
                <xdr:colOff>2686050</xdr:colOff>
                <xdr:row>0</xdr:row>
                <xdr:rowOff>266700</xdr:rowOff>
              </to>
            </anchor>
          </controlPr>
        </control>
      </mc:Choice>
      <mc:Fallback>
        <control shapeId="1071" r:id="rId36" name="cmdAscendente"/>
      </mc:Fallback>
    </mc:AlternateContent>
    <mc:AlternateContent xmlns:mc="http://schemas.openxmlformats.org/markup-compatibility/2006">
      <mc:Choice Requires="x14">
        <control shapeId="1072" r:id="rId38" name="cmdDescendente">
          <controlPr defaultSize="0" autoLine="0" r:id="rId39">
            <anchor>
              <from>
                <xdr:col>1</xdr:col>
                <xdr:colOff>2695575</xdr:colOff>
                <xdr:row>0</xdr:row>
                <xdr:rowOff>28575</xdr:rowOff>
              </from>
              <to>
                <xdr:col>1</xdr:col>
                <xdr:colOff>2867025</xdr:colOff>
                <xdr:row>0</xdr:row>
                <xdr:rowOff>266700</xdr:rowOff>
              </to>
            </anchor>
          </controlPr>
        </control>
      </mc:Choice>
      <mc:Fallback>
        <control shapeId="1072" r:id="rId38" name="cmdDescendente"/>
      </mc:Fallback>
    </mc:AlternateContent>
    <mc:AlternateContent xmlns:mc="http://schemas.openxmlformats.org/markup-compatibility/2006">
      <mc:Choice Requires="x14">
        <control shapeId="1077" r:id="rId40" name="cmdOrdenamientoMultiple">
          <controlPr defaultSize="0" autoLine="0" r:id="rId41">
            <anchor>
              <from>
                <xdr:col>1</xdr:col>
                <xdr:colOff>2886075</xdr:colOff>
                <xdr:row>0</xdr:row>
                <xdr:rowOff>28575</xdr:rowOff>
              </from>
              <to>
                <xdr:col>2</xdr:col>
                <xdr:colOff>66675</xdr:colOff>
                <xdr:row>0</xdr:row>
                <xdr:rowOff>266700</xdr:rowOff>
              </to>
            </anchor>
          </controlPr>
        </control>
      </mc:Choice>
      <mc:Fallback>
        <control shapeId="1077" r:id="rId40" name="cmdOrdenamientoMultiple"/>
      </mc:Fallback>
    </mc:AlternateContent>
    <mc:AlternateContent xmlns:mc="http://schemas.openxmlformats.org/markup-compatibility/2006">
      <mc:Choice Requires="x14">
        <control shapeId="1079" r:id="rId42" name="cmdAnadeRegistro">
          <controlPr defaultSize="0" autoLine="0" r:id="rId43">
            <anchor>
              <from>
                <xdr:col>2</xdr:col>
                <xdr:colOff>247650</xdr:colOff>
                <xdr:row>0</xdr:row>
                <xdr:rowOff>28575</xdr:rowOff>
              </from>
              <to>
                <xdr:col>2</xdr:col>
                <xdr:colOff>438150</xdr:colOff>
                <xdr:row>0</xdr:row>
                <xdr:rowOff>266700</xdr:rowOff>
              </to>
            </anchor>
          </controlPr>
        </control>
      </mc:Choice>
      <mc:Fallback>
        <control shapeId="1079" r:id="rId42" name="cmdAnadeRegistro"/>
      </mc:Fallback>
    </mc:AlternateContent>
  </controls>
  <tableParts count="1">
    <tablePart r:id="rId4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W2"/>
  <sheetViews>
    <sheetView topLeftCell="BK1" workbookViewId="0">
      <selection activeCell="BK2" sqref="BK2"/>
    </sheetView>
  </sheetViews>
  <sheetFormatPr baseColWidth="10" defaultRowHeight="15" x14ac:dyDescent="0.25"/>
  <sheetData>
    <row r="1" spans="1:75" ht="60" x14ac:dyDescent="0.25">
      <c r="A1" s="61" t="s">
        <v>26</v>
      </c>
      <c r="B1" s="48" t="s">
        <v>851</v>
      </c>
      <c r="C1" s="48" t="s">
        <v>909</v>
      </c>
      <c r="D1" s="48" t="s">
        <v>1020</v>
      </c>
      <c r="E1" s="48" t="s">
        <v>892</v>
      </c>
      <c r="F1" s="48" t="s">
        <v>903</v>
      </c>
      <c r="G1" s="48" t="s">
        <v>891</v>
      </c>
      <c r="H1" s="48" t="s">
        <v>884</v>
      </c>
      <c r="I1" s="48" t="s">
        <v>885</v>
      </c>
      <c r="J1" s="48" t="s">
        <v>886</v>
      </c>
      <c r="K1" s="48" t="s">
        <v>887</v>
      </c>
      <c r="L1" s="48" t="s">
        <v>888</v>
      </c>
      <c r="M1" s="48" t="s">
        <v>889</v>
      </c>
      <c r="N1" s="48" t="s">
        <v>890</v>
      </c>
      <c r="O1" s="43" t="s">
        <v>1038</v>
      </c>
      <c r="P1" s="43" t="s">
        <v>18</v>
      </c>
      <c r="Q1" s="43" t="s">
        <v>19</v>
      </c>
      <c r="R1" s="43" t="s">
        <v>10</v>
      </c>
      <c r="S1" s="43" t="s">
        <v>980</v>
      </c>
      <c r="T1" s="43" t="s">
        <v>37</v>
      </c>
      <c r="U1" s="43" t="s">
        <v>38</v>
      </c>
      <c r="V1" s="43" t="s">
        <v>844</v>
      </c>
      <c r="W1" s="43" t="s">
        <v>908</v>
      </c>
      <c r="X1" s="43" t="s">
        <v>1027</v>
      </c>
      <c r="Y1" s="43" t="s">
        <v>1028</v>
      </c>
      <c r="Z1" s="45" t="s">
        <v>8</v>
      </c>
      <c r="AA1" s="45" t="s">
        <v>1148</v>
      </c>
      <c r="AB1" s="45" t="s">
        <v>904</v>
      </c>
      <c r="AC1" s="45" t="s">
        <v>9</v>
      </c>
      <c r="AD1" s="45" t="s">
        <v>977</v>
      </c>
      <c r="AE1" s="45" t="s">
        <v>907</v>
      </c>
      <c r="AF1" s="45" t="s">
        <v>916</v>
      </c>
      <c r="AG1" s="45" t="s">
        <v>917</v>
      </c>
      <c r="AH1" s="45" t="s">
        <v>918</v>
      </c>
      <c r="AI1" s="45" t="s">
        <v>905</v>
      </c>
      <c r="AJ1" s="45" t="s">
        <v>906</v>
      </c>
      <c r="AK1" s="45" t="s">
        <v>913</v>
      </c>
      <c r="AL1" s="45" t="s">
        <v>973</v>
      </c>
      <c r="AM1" s="45" t="s">
        <v>978</v>
      </c>
      <c r="AN1" s="45" t="s">
        <v>910</v>
      </c>
      <c r="AO1" s="45" t="s">
        <v>911</v>
      </c>
      <c r="AP1" s="45" t="s">
        <v>914</v>
      </c>
      <c r="AQ1" s="44" t="s">
        <v>912</v>
      </c>
      <c r="AR1" s="45" t="s">
        <v>974</v>
      </c>
      <c r="AS1" s="45" t="s">
        <v>975</v>
      </c>
      <c r="AT1" s="45" t="s">
        <v>976</v>
      </c>
      <c r="AU1" s="45" t="s">
        <v>979</v>
      </c>
      <c r="AV1" s="44" t="s">
        <v>1039</v>
      </c>
      <c r="AW1" s="44" t="s">
        <v>1040</v>
      </c>
      <c r="AX1" s="52" t="s">
        <v>1370</v>
      </c>
      <c r="AY1" s="52" t="s">
        <v>1371</v>
      </c>
      <c r="AZ1" s="52" t="s">
        <v>1372</v>
      </c>
      <c r="BA1" s="52" t="s">
        <v>1373</v>
      </c>
      <c r="BB1" s="52" t="s">
        <v>1374</v>
      </c>
      <c r="BC1" s="52" t="s">
        <v>1375</v>
      </c>
      <c r="BD1" s="44" t="s">
        <v>11</v>
      </c>
      <c r="BE1" s="44" t="s">
        <v>17</v>
      </c>
      <c r="BF1" s="58" t="s">
        <v>1044</v>
      </c>
      <c r="BG1" s="57" t="s">
        <v>1045</v>
      </c>
      <c r="BH1" s="57" t="s">
        <v>1046</v>
      </c>
      <c r="BI1" s="57" t="s">
        <v>1047</v>
      </c>
      <c r="BJ1" s="57" t="s">
        <v>1048</v>
      </c>
      <c r="BK1" s="57" t="s">
        <v>1049</v>
      </c>
      <c r="BL1" s="44" t="s">
        <v>1050</v>
      </c>
      <c r="BM1" s="45" t="s">
        <v>919</v>
      </c>
      <c r="BN1" s="44" t="s">
        <v>13</v>
      </c>
      <c r="BO1" s="44" t="s">
        <v>14</v>
      </c>
      <c r="BP1" s="40" t="s">
        <v>15</v>
      </c>
      <c r="BQ1" s="39" t="s">
        <v>20</v>
      </c>
      <c r="BR1" s="39" t="s">
        <v>21</v>
      </c>
      <c r="BS1" s="39" t="s">
        <v>22</v>
      </c>
      <c r="BT1" s="42" t="s">
        <v>915</v>
      </c>
      <c r="BU1" s="42" t="s">
        <v>1032</v>
      </c>
      <c r="BV1" s="42" t="s">
        <v>1033</v>
      </c>
      <c r="BW1" s="42" t="s">
        <v>1034</v>
      </c>
    </row>
    <row r="2" spans="1:75" x14ac:dyDescent="0.25">
      <c r="A2" s="54" t="s">
        <v>1369</v>
      </c>
      <c r="B2" s="59"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6" t="str">
        <f ca="1">IFERROR(INDEX(OFFSET(INDIRECT("v_buffer_hist_hoy!$A$1"),1,MATCH("buh_roi_pasado",INDIRECT("v_buffer_hist_hoy!$1:$1"),0)-1,100000,1),MATCH(CLEAN(TABLATRANSFERENCIA[[#This Row],[CODIGO]]),OFFSET(INDIRECT("v_buffer_hist_hoy!$A$1"),1,MATCH("buh_codigo",INDIRECT("v_buffer_hist_hoy!$1:$1"),0)-1,100000,1),0)),"")</f>
        <v/>
      </c>
      <c r="S2" s="46" t="str">
        <f ca="1">IFERROR(INDEX(OFFSET(INDIRECT("v_buffer_hist_hoy!$A$1"),1,MATCH("buh_roi_proyectado",INDIRECT("v_buffer_hist_hoy!$1:$1"),0)-1,100000,1),MATCH(CLEAN(TABLATRANSFERENCIA[[#This Row],[CODIGO]]),OFFSET(INDIRECT("v_buffer_hist_hoy!$A$1"),1,MATCH("buh_codigo",INDIRECT("v_buffer_hist_hoy!$1:$1"),0)-1,100000,1),0)),"")</f>
        <v/>
      </c>
      <c r="T2" s="46" t="str">
        <f ca="1">IFERROR(INDEX(OFFSET(INDIRECT("v_buffer_hist_hoy!$A$1"),1,MATCH("buh_velocity",INDIRECT("v_buffer_hist_hoy!$1:$1"),0)-1,100000,1),MATCH(CLEAN(TABLATRANSFERENCIA[[#This Row],[CODIGO]]),OFFSET(INDIRECT("v_buffer_hist_hoy!$A$1"),1,MATCH("buh_codigo",INDIRECT("v_buffer_hist_hoy!$1:$1"),0)-1,100000,1),0)),"")</f>
        <v/>
      </c>
      <c r="U2" s="46" t="str">
        <f ca="1">IFERROR(INDEX(OFFSET(INDIRECT("v_buffer_hist_hoy!$A$1"),1,MATCH("buh_nivel_servicio",INDIRECT("v_buffer_hist_hoy!$1:$1"),0)-1,100000,1),MATCH(CLEAN(TABLATRANSFERENCIA[[#This Row],[CODIGO]]),OFFSET(INDIRECT("v_buffer_hist_hoy!$A$1"),1,MATCH("buh_codigo",INDIRECT("v_buffer_hist_hoy!$1:$1"),0)-1,100000,1),0)),"")</f>
        <v/>
      </c>
      <c r="V2" s="49" t="str">
        <f ca="1">IFERROR(INDEX(OFFSET(INDIRECT("v_buffer_hist_hoy!$A$1"),1,MATCH("pro_nombre",INDIRECT("v_buffer_hist_hoy!$1:$1"),0)-1,100000,1),MATCH(CLEAN(TABLATRANSFERENCIA[[#This Row],[CODIGO]]),OFFSET(INDIRECT("v_buffer_hist_hoy!$A$1"),1,MATCH("buh_codigo",INDIRECT("v_buffer_hist_hoy!$1:$1"),0)-1,100000,1),0)),"")</f>
        <v/>
      </c>
      <c r="W2" s="49" t="str">
        <f ca="1">IFERROR(INDEX(OFFSET(INDIRECT("v_buffer_hist_hoy!$A$1"),1,MATCH("pre_nombre",INDIRECT("v_buffer_hist_hoy!$1:$1"),0)-1,100000,1),MATCH(CLEAN(TABLATRANSFERENCIA[[#This Row],[CODIGO]]),OFFSET(INDIRECT("v_buffer_hist_hoy!$A$1"),1,MATCH("buh_codigo",INDIRECT("v_buffer_hist_hoy!$1:$1"),0)-1,100000,1),0)),"")</f>
        <v/>
      </c>
      <c r="X2" s="51" t="str">
        <f ca="1">IFERROR(INDEX(OFFSET(INDIRECT("v_buffer_hist_hoy!$A$1"),1,MATCH("buh_tiempo_suministro",INDIRECT("v_buffer_hist_hoy!$1:$1"),0)-1,100000,1),MATCH(CLEAN(TABLATRANSFERENCIA[[#This Row],[CODIGO]]),OFFSET(INDIRECT("v_buffer_hist_hoy!$A$1"),1,MATCH("buh_codigo",INDIRECT("v_buffer_hist_hoy!$1:$1"),0)-1,100000,1),0)),"")</f>
        <v/>
      </c>
      <c r="Y2" s="51" t="str">
        <f ca="1">IFERROR(INDEX(OFFSET(INDIRECT("v_buffer_hist_hoy!$A$1"),1,MATCH("buh_frecuencia_reposicion",INDIRECT("v_buffer_hist_hoy!$1:$1"),0)-1,100000,1),MATCH(CLEAN(TABLATRANSFERENCIA[[#This Row],[CODIGO]]),OFFSET(INDIRECT("v_buffer_hist_hoy!$A$1"),1,MATCH("buh_codigo",INDIRECT("v_buffer_hist_hoy!$1:$1"),0)-1,100000,1),0)),"")</f>
        <v/>
      </c>
      <c r="Z2" s="51" t="str">
        <f ca="1">IFERROR(INDEX(OFFSET(INDIRECT("v_buffer_hist_hoy!$A$1"),1,MATCH("buh_buffer_actual",INDIRECT("v_buffer_hist_hoy!$1:$1"),0)-1,100000,1),MATCH(CLEAN(TABLATRANSFERENCIA[[#This Row],[CODIGO]]),OFFSET(INDIRECT("v_buffer_hist_hoy!$A$1"),1,MATCH("buh_codigo",INDIRECT("v_buffer_hist_hoy!$1:$1"),0)-1,100000,1),0)),"")</f>
        <v/>
      </c>
      <c r="AA2" s="51"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6" t="str">
        <f ca="1">IFERROR(INDEX(OFFSET(INDIRECT("v_buffer_hist_hoy!$A$1"),1,MATCH("buh_ultima_transferencia_ini",INDIRECT("v_buffer_hist_hoy!$1:$1"),0)-1,100000,1),MATCH(CLEAN(TABLATRANSFERENCIA[[#This Row],[CODIGO]]),OFFSET(INDIRECT("v_buffer_hist_hoy!$A$1"),1,MATCH("buh_codigo",INDIRECT("v_buffer_hist_hoy!$1:$1"),0)-1,100000,1),0)),"")</f>
        <v/>
      </c>
      <c r="AW2" s="56"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50">
        <v>3</v>
      </c>
      <c r="BE2" s="55">
        <v>3</v>
      </c>
      <c r="BF2" s="51"/>
      <c r="BG2" s="51">
        <f>IF(RIGHT(XXYY[[#Headers],[Emb1]],1)*1&lt;=XXYY[[#This Row],[EMBARQUES]],IF(ISBLANK(XXYY[[#This Row],[EMBARQUES]]),XXYY[[#This Row],[REQUERIM]],ROUND(XXYY[[#This Row],[REQUERIM]]/XXYY[[#This Row],[EMBARQUES]],0)),XXYY[[#This Row],[REQUERIM]])</f>
        <v>3</v>
      </c>
      <c r="BH2" s="51">
        <f>IF(RIGHT(XXYY[[#Headers],[Emb2]],1)*1&lt;XXYY[[#This Row],[EMBARQUES]],ROUND(XXYY[[#This Row],[REQUERIM]]/XXYY[[#This Row],[EMBARQUES]],0),IF(RIGHT(XXYY[[#Headers],[Emb2]],1)*1=XXYY[[#This Row],[EMBARQUES]],XXYY[[#This Row],[REQUERIM]]-SUM(XXYY[[#This Row],[Emb1]]),0))</f>
        <v>0</v>
      </c>
      <c r="BI2" s="51">
        <f>IF(RIGHT(XXYY[[#Headers],[Emb3]],1)*1&lt;XXYY[[#This Row],[EMBARQUES]],ROUND(XXYY[[#This Row],[REQUERIM]]/XXYY[[#This Row],[EMBARQUES]],0),IF(RIGHT(XXYY[[#Headers],[Emb3]],1)*1=XXYY[[#This Row],[EMBARQUES]],XXYY[[#This Row],[REQUERIM]]-SUM(XXYY[[#This Row],[Emb1]:[Emb2]]),0))</f>
        <v>0</v>
      </c>
      <c r="BJ2" s="51">
        <f>IF(RIGHT(XXYY[[#Headers],[Emb4]],1)*1&lt;XXYY[[#This Row],[EMBARQUES]],ROUND(XXYY[[#This Row],[REQUERIM]]/XXYY[[#This Row],[EMBARQUES]],0),IF(RIGHT(XXYY[[#Headers],[Emb4]],1)*1=XXYY[[#This Row],[EMBARQUES]],XXYY[[#This Row],[REQUERIM]]-SUM(XXYY[[#This Row],[Emb1]:[Emb3]]),0))</f>
        <v>0</v>
      </c>
      <c r="BK2" s="51">
        <f>IF(RIGHT(XXYY[[#Headers],[Emb5]],1)*1&lt;XXYY[[#This Row],[EMBARQUES]],ROUND(XXYY[[#This Row],[REQUERIM]]/XXYY[[#This Row],[EMBARQUES]],0),IF(RIGHT(XXYY[[#Headers],[Emb5]],1)*1=XXYY[[#This Row],[EMBARQUES]],XXYY[[#This Row],[REQUERIM]]-SUM(XXYY[[#This Row],[Emb1]:[Emb4]]),0))</f>
        <v>0</v>
      </c>
      <c r="BL2" s="51"/>
      <c r="BM2" s="46">
        <f ca="1">IFERROR(XXYY[[#This Row],[REQUERIM]]/XXYY[[#This Row],[PEDIDO PROMEDIO]],0)</f>
        <v>0</v>
      </c>
      <c r="BN2" s="51"/>
      <c r="BO2" s="60"/>
      <c r="BP2" s="3">
        <f>IF(XXYY[[#This Row],[RECIBIDO]]&lt;&gt;"",0,IF(XXYY[[#This Row],[DESPACHO]]&lt;&gt;"",XXYY[[#This Row],[DESPACHO]],XXYY[[#This Row],[REQUERIM]]))</f>
        <v>3</v>
      </c>
      <c r="BQ2" s="50"/>
      <c r="BR2" s="50"/>
      <c r="BS2" s="50" t="str">
        <f>"N"</f>
        <v>N</v>
      </c>
      <c r="BT2" s="51">
        <f t="array" aca="1" ref="BT2" ca="1">IF(SUM(--(XXYY[[#This Row],[CODIGO GENERICO]]=XXYY[CODIGO GENERICO])*XXYY[REQUERIM])&lt;XXYY[[#This Row],[PEDIDO MIN GRUPO]],1,0)</f>
        <v>1</v>
      </c>
      <c r="BU2" s="51"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51" t="str">
        <f ca="1">IFERROR(INDEX(OFFSET(INDIRECT("v_buffer_hist_hoy!$A$1"),1,MATCH("buh_zona_amarilla",INDIRECT("v_buffer_hist_hoy!$1:$1"),0)-1,100000,1),MATCH(CLEAN(TABLATRANSFERENCIA[[#This Row],[CODIGO]]),OFFSET(INDIRECT("v_buffer_hist_hoy!$A$1"),1,MATCH("buh_codigo",INDIRECT("v_buffer_hist_hoy!$1:$1"),0)-1,100000,1),0)),"")</f>
        <v/>
      </c>
      <c r="BW2" s="51" t="str">
        <f ca="1">IFERROR(INDEX(OFFSET(INDIRECT("v_buffer_hist_hoy!$A$1"),1,MATCH("buh_zona_roja",INDIRECT("v_buffer_hist_hoy!$1:$1"),0)-1,100000,1),MATCH(CLEAN(TABLATRANSFERENCIA[[#This Row],[CODIGO]]),OFFSET(INDIRECT("v_buffer_hist_hoy!$A$1"),1,MATCH("buh_codigo",INDIRECT("v_buffer_hist_hoy!$1:$1"),0)-1,100000,1),0)),"")</f>
        <v/>
      </c>
    </row>
  </sheetData>
  <conditionalFormatting sqref="BN2:BO2">
    <cfRule type="expression" dxfId="22" priority="15">
      <formula>ISBLANK(BN2)</formula>
    </cfRule>
  </conditionalFormatting>
  <conditionalFormatting sqref="AK2 AB2">
    <cfRule type="expression" dxfId="21" priority="9">
      <formula>AD2="G"</formula>
    </cfRule>
    <cfRule type="expression" dxfId="20" priority="10">
      <formula>AD2="L"</formula>
    </cfRule>
    <cfRule type="expression" dxfId="19" priority="11">
      <formula>AD2="V"</formula>
    </cfRule>
    <cfRule type="expression" dxfId="18" priority="12">
      <formula>AD2="A"</formula>
    </cfRule>
    <cfRule type="expression" dxfId="17" priority="13">
      <formula>AD2="N"</formula>
    </cfRule>
    <cfRule type="expression" dxfId="16" priority="14">
      <formula>AD2="R"</formula>
    </cfRule>
  </conditionalFormatting>
  <conditionalFormatting sqref="BR2">
    <cfRule type="expression" dxfId="15" priority="16">
      <formula>AND(ISNUMBER($BO2),$BN2&lt;&gt;$BO2)</formula>
    </cfRule>
  </conditionalFormatting>
  <conditionalFormatting sqref="AO2">
    <cfRule type="expression" dxfId="14" priority="8">
      <formula>$BT2=1</formula>
    </cfRule>
  </conditionalFormatting>
  <conditionalFormatting sqref="BD2">
    <cfRule type="expression" dxfId="13" priority="2">
      <formula>$BU2="N"</formula>
    </cfRule>
    <cfRule type="expression" dxfId="12" priority="3">
      <formula>$BU2="R"</formula>
    </cfRule>
    <cfRule type="expression" dxfId="11" priority="4">
      <formula>$BU2="A"</formula>
    </cfRule>
    <cfRule type="expression" dxfId="10" priority="5">
      <formula>$BU2="L"</formula>
    </cfRule>
    <cfRule type="expression" dxfId="9" priority="6">
      <formula>$BU2="V"</formula>
    </cfRule>
    <cfRule type="expression" dxfId="8" priority="7">
      <formula>$BU2="G"</formula>
    </cfRule>
  </conditionalFormatting>
  <conditionalFormatting sqref="BQ2">
    <cfRule type="expression" dxfId="7" priority="17">
      <formula>AND(ISNUMBER($BN2),$BD2&lt;&gt;$BN2)</formula>
    </cfRule>
  </conditionalFormatting>
  <conditionalFormatting sqref="AV2">
    <cfRule type="expression" dxfId="6"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3"/>
  <sheetViews>
    <sheetView workbookViewId="0"/>
  </sheetViews>
  <sheetFormatPr baseColWidth="10" defaultRowHeight="15" x14ac:dyDescent="0.25"/>
  <sheetData>
    <row r="1" spans="1:1" x14ac:dyDescent="0.25">
      <c r="A1" t="s">
        <v>1566</v>
      </c>
    </row>
    <row r="3" spans="1:1" x14ac:dyDescent="0.25">
      <c r="A3">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881</v>
      </c>
      <c r="Q1" t="s">
        <v>969</v>
      </c>
      <c r="R1" t="s">
        <v>970</v>
      </c>
      <c r="T1" t="s">
        <v>969</v>
      </c>
      <c r="U1" t="s">
        <v>970</v>
      </c>
      <c r="V1" t="s">
        <v>971</v>
      </c>
      <c r="W1" t="s">
        <v>972</v>
      </c>
    </row>
    <row r="2" spans="1:23" x14ac:dyDescent="0.25">
      <c r="E2" s="3"/>
      <c r="L2" s="41"/>
      <c r="M2" s="41"/>
      <c r="N2" s="41"/>
      <c r="Q2" t="s">
        <v>1024</v>
      </c>
      <c r="R2" t="s">
        <v>1147</v>
      </c>
      <c r="T2" t="s">
        <v>1024</v>
      </c>
      <c r="U2" t="s">
        <v>1147</v>
      </c>
      <c r="V2" t="s">
        <v>1151</v>
      </c>
      <c r="W2" t="s">
        <v>1152</v>
      </c>
    </row>
    <row r="3" spans="1:23" x14ac:dyDescent="0.25">
      <c r="Q3" t="s">
        <v>1149</v>
      </c>
      <c r="R3" t="s">
        <v>1150</v>
      </c>
      <c r="T3" t="s">
        <v>1024</v>
      </c>
      <c r="U3" t="s">
        <v>1147</v>
      </c>
      <c r="V3" t="s">
        <v>1153</v>
      </c>
      <c r="W3" t="s">
        <v>1154</v>
      </c>
    </row>
    <row r="4" spans="1:23" x14ac:dyDescent="0.25">
      <c r="T4" t="s">
        <v>1024</v>
      </c>
      <c r="U4" t="s">
        <v>1147</v>
      </c>
      <c r="V4" t="s">
        <v>1155</v>
      </c>
      <c r="W4" t="s">
        <v>1156</v>
      </c>
    </row>
    <row r="5" spans="1:23" x14ac:dyDescent="0.25">
      <c r="T5" t="s">
        <v>1024</v>
      </c>
      <c r="U5" t="s">
        <v>1147</v>
      </c>
      <c r="V5" t="s">
        <v>1157</v>
      </c>
      <c r="W5" t="s">
        <v>1158</v>
      </c>
    </row>
    <row r="6" spans="1:23" x14ac:dyDescent="0.25">
      <c r="T6" t="s">
        <v>1024</v>
      </c>
      <c r="U6" t="s">
        <v>1147</v>
      </c>
      <c r="V6" t="s">
        <v>1159</v>
      </c>
      <c r="W6" t="s">
        <v>1160</v>
      </c>
    </row>
    <row r="7" spans="1:23" x14ac:dyDescent="0.25">
      <c r="T7" t="s">
        <v>1024</v>
      </c>
      <c r="U7" t="s">
        <v>1147</v>
      </c>
      <c r="V7" t="s">
        <v>1161</v>
      </c>
      <c r="W7" t="s">
        <v>1162</v>
      </c>
    </row>
    <row r="8" spans="1:23" x14ac:dyDescent="0.25">
      <c r="D8" s="41"/>
      <c r="T8" t="s">
        <v>1024</v>
      </c>
      <c r="U8" t="s">
        <v>1147</v>
      </c>
      <c r="V8" t="s">
        <v>1163</v>
      </c>
      <c r="W8" t="s">
        <v>1164</v>
      </c>
    </row>
    <row r="9" spans="1:23" x14ac:dyDescent="0.25">
      <c r="T9" t="s">
        <v>1024</v>
      </c>
      <c r="U9" t="s">
        <v>1147</v>
      </c>
      <c r="V9" t="s">
        <v>1165</v>
      </c>
      <c r="W9" t="s">
        <v>1166</v>
      </c>
    </row>
    <row r="10" spans="1:23" x14ac:dyDescent="0.25">
      <c r="T10" t="s">
        <v>1024</v>
      </c>
      <c r="U10" t="s">
        <v>1147</v>
      </c>
      <c r="V10" t="s">
        <v>1167</v>
      </c>
      <c r="W10" t="s">
        <v>1168</v>
      </c>
    </row>
    <row r="11" spans="1:23" x14ac:dyDescent="0.25">
      <c r="T11" t="s">
        <v>1024</v>
      </c>
      <c r="U11" t="s">
        <v>1147</v>
      </c>
      <c r="V11" t="s">
        <v>1169</v>
      </c>
      <c r="W11" t="s">
        <v>1170</v>
      </c>
    </row>
    <row r="12" spans="1:23" x14ac:dyDescent="0.25">
      <c r="T12" t="s">
        <v>1024</v>
      </c>
      <c r="U12" t="s">
        <v>1147</v>
      </c>
      <c r="V12" t="s">
        <v>1171</v>
      </c>
      <c r="W12" t="s">
        <v>1172</v>
      </c>
    </row>
    <row r="13" spans="1:23" x14ac:dyDescent="0.25">
      <c r="T13" t="s">
        <v>1024</v>
      </c>
      <c r="U13" t="s">
        <v>1147</v>
      </c>
      <c r="V13" t="s">
        <v>1173</v>
      </c>
      <c r="W13" t="s">
        <v>1174</v>
      </c>
    </row>
    <row r="14" spans="1:23" x14ac:dyDescent="0.25">
      <c r="T14" t="s">
        <v>1024</v>
      </c>
      <c r="U14" t="s">
        <v>1147</v>
      </c>
      <c r="V14" t="s">
        <v>1175</v>
      </c>
      <c r="W14" t="s">
        <v>1176</v>
      </c>
    </row>
    <row r="15" spans="1:23" x14ac:dyDescent="0.25">
      <c r="T15" t="s">
        <v>1024</v>
      </c>
      <c r="U15" t="s">
        <v>1147</v>
      </c>
      <c r="V15" t="s">
        <v>1177</v>
      </c>
      <c r="W15" t="s">
        <v>1178</v>
      </c>
    </row>
    <row r="16" spans="1:23" x14ac:dyDescent="0.25">
      <c r="T16" t="s">
        <v>1024</v>
      </c>
      <c r="U16" t="s">
        <v>1147</v>
      </c>
      <c r="V16" t="s">
        <v>1179</v>
      </c>
      <c r="W16" t="s">
        <v>1180</v>
      </c>
    </row>
    <row r="17" spans="6:23" x14ac:dyDescent="0.25">
      <c r="T17" t="s">
        <v>1024</v>
      </c>
      <c r="U17" t="s">
        <v>1147</v>
      </c>
      <c r="V17" t="s">
        <v>1181</v>
      </c>
      <c r="W17" t="s">
        <v>1182</v>
      </c>
    </row>
    <row r="18" spans="6:23" x14ac:dyDescent="0.25">
      <c r="T18" t="s">
        <v>1024</v>
      </c>
      <c r="U18" t="s">
        <v>1147</v>
      </c>
      <c r="V18" t="s">
        <v>1183</v>
      </c>
      <c r="W18" t="s">
        <v>1184</v>
      </c>
    </row>
    <row r="19" spans="6:23" x14ac:dyDescent="0.25">
      <c r="T19" t="s">
        <v>1024</v>
      </c>
      <c r="U19" t="s">
        <v>1147</v>
      </c>
      <c r="V19" t="s">
        <v>1185</v>
      </c>
      <c r="W19" t="s">
        <v>1186</v>
      </c>
    </row>
    <row r="20" spans="6:23" x14ac:dyDescent="0.25">
      <c r="T20" t="s">
        <v>1024</v>
      </c>
      <c r="U20" t="s">
        <v>1147</v>
      </c>
      <c r="V20" t="s">
        <v>1187</v>
      </c>
      <c r="W20" t="s">
        <v>1188</v>
      </c>
    </row>
    <row r="21" spans="6:23" x14ac:dyDescent="0.25">
      <c r="T21" t="s">
        <v>1024</v>
      </c>
      <c r="U21" t="s">
        <v>1147</v>
      </c>
      <c r="V21" t="s">
        <v>1189</v>
      </c>
      <c r="W21" t="s">
        <v>1190</v>
      </c>
    </row>
    <row r="22" spans="6:23" x14ac:dyDescent="0.25">
      <c r="T22" t="s">
        <v>1024</v>
      </c>
      <c r="U22" t="s">
        <v>1147</v>
      </c>
      <c r="V22" t="s">
        <v>1191</v>
      </c>
      <c r="W22" t="s">
        <v>1192</v>
      </c>
    </row>
    <row r="23" spans="6:23" x14ac:dyDescent="0.25">
      <c r="T23" t="s">
        <v>1024</v>
      </c>
      <c r="U23" t="s">
        <v>1147</v>
      </c>
      <c r="V23" t="s">
        <v>1193</v>
      </c>
      <c r="W23" t="s">
        <v>1194</v>
      </c>
    </row>
    <row r="24" spans="6:23" x14ac:dyDescent="0.25">
      <c r="T24" t="s">
        <v>1024</v>
      </c>
      <c r="U24" t="s">
        <v>1147</v>
      </c>
      <c r="V24" t="s">
        <v>1195</v>
      </c>
      <c r="W24" t="s">
        <v>1196</v>
      </c>
    </row>
    <row r="25" spans="6:23" x14ac:dyDescent="0.25">
      <c r="F25" s="41"/>
      <c r="T25" t="s">
        <v>1024</v>
      </c>
      <c r="U25" t="s">
        <v>1147</v>
      </c>
      <c r="V25" t="s">
        <v>1197</v>
      </c>
      <c r="W25" t="s">
        <v>1198</v>
      </c>
    </row>
    <row r="26" spans="6:23" x14ac:dyDescent="0.25">
      <c r="T26" t="s">
        <v>1024</v>
      </c>
      <c r="U26" t="s">
        <v>1147</v>
      </c>
      <c r="V26" t="s">
        <v>1199</v>
      </c>
      <c r="W26" t="s">
        <v>1200</v>
      </c>
    </row>
    <row r="27" spans="6:23" x14ac:dyDescent="0.25">
      <c r="T27" t="s">
        <v>1024</v>
      </c>
      <c r="U27" t="s">
        <v>1147</v>
      </c>
      <c r="V27" t="s">
        <v>1201</v>
      </c>
      <c r="W27" t="s">
        <v>1202</v>
      </c>
    </row>
    <row r="28" spans="6:23" x14ac:dyDescent="0.25">
      <c r="T28" t="s">
        <v>1024</v>
      </c>
      <c r="U28" t="s">
        <v>1147</v>
      </c>
      <c r="V28" t="s">
        <v>1203</v>
      </c>
      <c r="W28" t="s">
        <v>1204</v>
      </c>
    </row>
    <row r="29" spans="6:23" x14ac:dyDescent="0.25">
      <c r="T29" t="s">
        <v>1024</v>
      </c>
      <c r="U29" t="s">
        <v>1147</v>
      </c>
      <c r="V29" t="s">
        <v>1205</v>
      </c>
      <c r="W29" t="s">
        <v>612</v>
      </c>
    </row>
    <row r="30" spans="6:23" x14ac:dyDescent="0.25">
      <c r="T30" t="s">
        <v>1024</v>
      </c>
      <c r="U30" t="s">
        <v>1147</v>
      </c>
      <c r="V30" t="s">
        <v>1206</v>
      </c>
      <c r="W30" t="s">
        <v>1207</v>
      </c>
    </row>
    <row r="31" spans="6:23" x14ac:dyDescent="0.25">
      <c r="T31" t="s">
        <v>1024</v>
      </c>
      <c r="U31" t="s">
        <v>1147</v>
      </c>
      <c r="V31" t="s">
        <v>1208</v>
      </c>
      <c r="W31" t="s">
        <v>1209</v>
      </c>
    </row>
    <row r="32" spans="6:23" x14ac:dyDescent="0.25">
      <c r="T32" t="s">
        <v>1024</v>
      </c>
      <c r="U32" t="s">
        <v>1147</v>
      </c>
      <c r="V32" t="s">
        <v>1210</v>
      </c>
      <c r="W32" t="s">
        <v>1211</v>
      </c>
    </row>
    <row r="33" spans="20:23" x14ac:dyDescent="0.25">
      <c r="T33" t="s">
        <v>1024</v>
      </c>
      <c r="U33" t="s">
        <v>1147</v>
      </c>
      <c r="V33" t="s">
        <v>1212</v>
      </c>
      <c r="W33" t="s">
        <v>1213</v>
      </c>
    </row>
    <row r="34" spans="20:23" x14ac:dyDescent="0.25">
      <c r="T34" t="s">
        <v>1024</v>
      </c>
      <c r="U34" t="s">
        <v>1147</v>
      </c>
      <c r="V34" t="s">
        <v>1214</v>
      </c>
      <c r="W34" t="s">
        <v>1215</v>
      </c>
    </row>
    <row r="35" spans="20:23" x14ac:dyDescent="0.25">
      <c r="T35" t="s">
        <v>1024</v>
      </c>
      <c r="U35" t="s">
        <v>1147</v>
      </c>
      <c r="V35" t="s">
        <v>1216</v>
      </c>
      <c r="W35" t="s">
        <v>1217</v>
      </c>
    </row>
    <row r="36" spans="20:23" x14ac:dyDescent="0.25">
      <c r="T36" t="s">
        <v>1024</v>
      </c>
      <c r="U36" t="s">
        <v>1147</v>
      </c>
      <c r="V36" t="s">
        <v>1218</v>
      </c>
      <c r="W36" t="s">
        <v>1219</v>
      </c>
    </row>
    <row r="37" spans="20:23" x14ac:dyDescent="0.25">
      <c r="T37" t="s">
        <v>1024</v>
      </c>
      <c r="U37" t="s">
        <v>1147</v>
      </c>
      <c r="V37" t="s">
        <v>1220</v>
      </c>
      <c r="W37" t="s">
        <v>1221</v>
      </c>
    </row>
    <row r="38" spans="20:23" x14ac:dyDescent="0.25">
      <c r="T38" t="s">
        <v>1024</v>
      </c>
      <c r="U38" t="s">
        <v>1147</v>
      </c>
      <c r="V38" t="s">
        <v>1222</v>
      </c>
      <c r="W38" t="s">
        <v>1223</v>
      </c>
    </row>
    <row r="39" spans="20:23" x14ac:dyDescent="0.25">
      <c r="T39" t="s">
        <v>1024</v>
      </c>
      <c r="U39" t="s">
        <v>1147</v>
      </c>
      <c r="V39" t="s">
        <v>1224</v>
      </c>
      <c r="W39" t="s">
        <v>1225</v>
      </c>
    </row>
    <row r="40" spans="20:23" x14ac:dyDescent="0.25">
      <c r="T40" t="s">
        <v>1024</v>
      </c>
      <c r="U40" t="s">
        <v>1147</v>
      </c>
      <c r="V40" t="s">
        <v>1226</v>
      </c>
      <c r="W40" t="s">
        <v>1227</v>
      </c>
    </row>
    <row r="41" spans="20:23" x14ac:dyDescent="0.25">
      <c r="T41" t="s">
        <v>1024</v>
      </c>
      <c r="U41" t="s">
        <v>1147</v>
      </c>
      <c r="V41" t="s">
        <v>1228</v>
      </c>
      <c r="W41" t="s">
        <v>1229</v>
      </c>
    </row>
    <row r="42" spans="20:23" x14ac:dyDescent="0.25">
      <c r="T42" t="s">
        <v>1024</v>
      </c>
      <c r="U42" t="s">
        <v>1147</v>
      </c>
      <c r="V42" t="s">
        <v>1230</v>
      </c>
      <c r="W42" t="s">
        <v>1231</v>
      </c>
    </row>
    <row r="43" spans="20:23" x14ac:dyDescent="0.25">
      <c r="T43" t="s">
        <v>1024</v>
      </c>
      <c r="U43" t="s">
        <v>1147</v>
      </c>
      <c r="V43" t="s">
        <v>1232</v>
      </c>
      <c r="W43" t="s">
        <v>1233</v>
      </c>
    </row>
    <row r="44" spans="20:23" x14ac:dyDescent="0.25">
      <c r="T44" t="s">
        <v>1024</v>
      </c>
      <c r="U44" t="s">
        <v>1147</v>
      </c>
      <c r="V44" t="s">
        <v>1234</v>
      </c>
      <c r="W44" t="s">
        <v>1235</v>
      </c>
    </row>
    <row r="45" spans="20:23" x14ac:dyDescent="0.25">
      <c r="T45" t="s">
        <v>1024</v>
      </c>
      <c r="U45" t="s">
        <v>1147</v>
      </c>
      <c r="V45" t="s">
        <v>1236</v>
      </c>
      <c r="W45" t="s">
        <v>1237</v>
      </c>
    </row>
    <row r="46" spans="20:23" x14ac:dyDescent="0.25">
      <c r="T46" t="s">
        <v>1024</v>
      </c>
      <c r="U46" t="s">
        <v>1147</v>
      </c>
      <c r="V46" t="s">
        <v>1238</v>
      </c>
      <c r="W46" t="s">
        <v>1239</v>
      </c>
    </row>
    <row r="47" spans="20:23" x14ac:dyDescent="0.25">
      <c r="T47" t="s">
        <v>1024</v>
      </c>
      <c r="U47" t="s">
        <v>1147</v>
      </c>
      <c r="V47" t="s">
        <v>1240</v>
      </c>
      <c r="W47" t="s">
        <v>1241</v>
      </c>
    </row>
    <row r="48" spans="20:23" x14ac:dyDescent="0.25">
      <c r="T48" t="s">
        <v>1024</v>
      </c>
      <c r="U48" t="s">
        <v>1147</v>
      </c>
      <c r="V48" t="s">
        <v>1242</v>
      </c>
      <c r="W48" t="s">
        <v>1243</v>
      </c>
    </row>
    <row r="49" spans="20:23" x14ac:dyDescent="0.25">
      <c r="T49" t="s">
        <v>1024</v>
      </c>
      <c r="U49" t="s">
        <v>1147</v>
      </c>
      <c r="V49" t="s">
        <v>1244</v>
      </c>
      <c r="W49" t="s">
        <v>1245</v>
      </c>
    </row>
    <row r="50" spans="20:23" x14ac:dyDescent="0.25">
      <c r="T50" t="s">
        <v>1024</v>
      </c>
      <c r="U50" t="s">
        <v>1147</v>
      </c>
      <c r="V50" t="s">
        <v>1246</v>
      </c>
      <c r="W50" t="s">
        <v>1247</v>
      </c>
    </row>
    <row r="51" spans="20:23" x14ac:dyDescent="0.25">
      <c r="T51" t="s">
        <v>1024</v>
      </c>
      <c r="U51" t="s">
        <v>1147</v>
      </c>
      <c r="V51" t="s">
        <v>1248</v>
      </c>
      <c r="W51" t="s">
        <v>1249</v>
      </c>
    </row>
    <row r="52" spans="20:23" x14ac:dyDescent="0.25">
      <c r="T52" t="s">
        <v>1024</v>
      </c>
      <c r="U52" t="s">
        <v>1147</v>
      </c>
      <c r="V52" t="s">
        <v>1250</v>
      </c>
      <c r="W52" t="s">
        <v>1251</v>
      </c>
    </row>
    <row r="53" spans="20:23" x14ac:dyDescent="0.25">
      <c r="T53" t="s">
        <v>1024</v>
      </c>
      <c r="U53" t="s">
        <v>1147</v>
      </c>
      <c r="V53" t="s">
        <v>1252</v>
      </c>
      <c r="W53" t="s">
        <v>1253</v>
      </c>
    </row>
    <row r="54" spans="20:23" x14ac:dyDescent="0.25">
      <c r="T54" t="s">
        <v>1024</v>
      </c>
      <c r="U54" t="s">
        <v>1147</v>
      </c>
      <c r="V54" t="s">
        <v>1254</v>
      </c>
      <c r="W54" t="s">
        <v>1255</v>
      </c>
    </row>
    <row r="55" spans="20:23" x14ac:dyDescent="0.25">
      <c r="T55" t="s">
        <v>1024</v>
      </c>
      <c r="U55" t="s">
        <v>1147</v>
      </c>
      <c r="V55" t="s">
        <v>1256</v>
      </c>
      <c r="W55" t="s">
        <v>1257</v>
      </c>
    </row>
    <row r="56" spans="20:23" x14ac:dyDescent="0.25">
      <c r="T56" t="s">
        <v>1024</v>
      </c>
      <c r="U56" t="s">
        <v>1147</v>
      </c>
      <c r="V56" t="s">
        <v>1258</v>
      </c>
      <c r="W56" t="s">
        <v>1259</v>
      </c>
    </row>
    <row r="57" spans="20:23" x14ac:dyDescent="0.25">
      <c r="T57" t="s">
        <v>1024</v>
      </c>
      <c r="U57" t="s">
        <v>1147</v>
      </c>
      <c r="V57" t="s">
        <v>1260</v>
      </c>
      <c r="W57" t="s">
        <v>1261</v>
      </c>
    </row>
    <row r="58" spans="20:23" x14ac:dyDescent="0.25">
      <c r="T58" t="s">
        <v>1024</v>
      </c>
      <c r="U58" t="s">
        <v>1147</v>
      </c>
      <c r="V58" t="s">
        <v>1262</v>
      </c>
      <c r="W58" t="s">
        <v>1263</v>
      </c>
    </row>
    <row r="59" spans="20:23" x14ac:dyDescent="0.25">
      <c r="T59" t="s">
        <v>1024</v>
      </c>
      <c r="U59" t="s">
        <v>1147</v>
      </c>
      <c r="V59" t="s">
        <v>1264</v>
      </c>
      <c r="W59" t="s">
        <v>1265</v>
      </c>
    </row>
    <row r="60" spans="20:23" x14ac:dyDescent="0.25">
      <c r="T60" t="s">
        <v>1024</v>
      </c>
      <c r="U60" t="s">
        <v>1147</v>
      </c>
      <c r="V60" t="s">
        <v>1266</v>
      </c>
      <c r="W60" t="s">
        <v>1267</v>
      </c>
    </row>
    <row r="61" spans="20:23" x14ac:dyDescent="0.25">
      <c r="T61" t="s">
        <v>1024</v>
      </c>
      <c r="U61" t="s">
        <v>1147</v>
      </c>
      <c r="V61" t="s">
        <v>1268</v>
      </c>
      <c r="W61" t="s">
        <v>1269</v>
      </c>
    </row>
    <row r="62" spans="20:23" x14ac:dyDescent="0.25">
      <c r="T62" t="s">
        <v>1024</v>
      </c>
      <c r="U62" t="s">
        <v>1147</v>
      </c>
      <c r="V62" t="s">
        <v>1270</v>
      </c>
      <c r="W62" t="s">
        <v>1271</v>
      </c>
    </row>
    <row r="63" spans="20:23" x14ac:dyDescent="0.25">
      <c r="T63" t="s">
        <v>1024</v>
      </c>
      <c r="U63" t="s">
        <v>1147</v>
      </c>
      <c r="V63" t="s">
        <v>1272</v>
      </c>
      <c r="W63" t="s">
        <v>1273</v>
      </c>
    </row>
    <row r="64" spans="20:23" x14ac:dyDescent="0.25">
      <c r="T64" t="s">
        <v>1024</v>
      </c>
      <c r="U64" t="s">
        <v>1147</v>
      </c>
      <c r="V64" t="s">
        <v>1274</v>
      </c>
      <c r="W64" t="s">
        <v>1275</v>
      </c>
    </row>
    <row r="65" spans="20:23" x14ac:dyDescent="0.25">
      <c r="T65" t="s">
        <v>1024</v>
      </c>
      <c r="U65" t="s">
        <v>1147</v>
      </c>
      <c r="V65" t="s">
        <v>1276</v>
      </c>
      <c r="W65" t="s">
        <v>1277</v>
      </c>
    </row>
    <row r="66" spans="20:23" x14ac:dyDescent="0.25">
      <c r="T66" t="s">
        <v>1024</v>
      </c>
      <c r="U66" t="s">
        <v>1147</v>
      </c>
      <c r="V66" t="s">
        <v>1278</v>
      </c>
      <c r="W66" t="s">
        <v>1279</v>
      </c>
    </row>
    <row r="67" spans="20:23" x14ac:dyDescent="0.25">
      <c r="T67" t="s">
        <v>1024</v>
      </c>
      <c r="U67" t="s">
        <v>1147</v>
      </c>
      <c r="V67" t="s">
        <v>1280</v>
      </c>
      <c r="W67" t="s">
        <v>1281</v>
      </c>
    </row>
    <row r="68" spans="20:23" x14ac:dyDescent="0.25">
      <c r="T68" t="s">
        <v>1024</v>
      </c>
      <c r="U68" t="s">
        <v>1147</v>
      </c>
      <c r="V68" t="s">
        <v>1282</v>
      </c>
      <c r="W68" t="s">
        <v>1283</v>
      </c>
    </row>
    <row r="69" spans="20:23" x14ac:dyDescent="0.25">
      <c r="T69" t="s">
        <v>1024</v>
      </c>
      <c r="U69" t="s">
        <v>1147</v>
      </c>
      <c r="V69" t="s">
        <v>1284</v>
      </c>
      <c r="W69" t="s">
        <v>1285</v>
      </c>
    </row>
    <row r="70" spans="20:23" x14ac:dyDescent="0.25">
      <c r="T70" t="s">
        <v>1024</v>
      </c>
      <c r="U70" t="s">
        <v>1147</v>
      </c>
      <c r="V70" t="s">
        <v>1286</v>
      </c>
      <c r="W70" t="s">
        <v>1287</v>
      </c>
    </row>
    <row r="71" spans="20:23" x14ac:dyDescent="0.25">
      <c r="T71" t="s">
        <v>1024</v>
      </c>
      <c r="U71" t="s">
        <v>1147</v>
      </c>
      <c r="V71" t="s">
        <v>1288</v>
      </c>
      <c r="W71" t="s">
        <v>1289</v>
      </c>
    </row>
    <row r="72" spans="20:23" x14ac:dyDescent="0.25">
      <c r="T72" t="s">
        <v>1024</v>
      </c>
      <c r="U72" t="s">
        <v>1147</v>
      </c>
      <c r="V72" t="s">
        <v>1290</v>
      </c>
      <c r="W72" t="s">
        <v>1291</v>
      </c>
    </row>
    <row r="73" spans="20:23" x14ac:dyDescent="0.25">
      <c r="T73" t="s">
        <v>1024</v>
      </c>
      <c r="U73" t="s">
        <v>1147</v>
      </c>
      <c r="V73" t="s">
        <v>1292</v>
      </c>
      <c r="W73" t="s">
        <v>1293</v>
      </c>
    </row>
    <row r="74" spans="20:23" x14ac:dyDescent="0.25">
      <c r="T74" t="s">
        <v>1024</v>
      </c>
      <c r="U74" t="s">
        <v>1147</v>
      </c>
      <c r="V74" t="s">
        <v>1294</v>
      </c>
      <c r="W74" t="s">
        <v>1295</v>
      </c>
    </row>
    <row r="75" spans="20:23" x14ac:dyDescent="0.25">
      <c r="T75" t="s">
        <v>1024</v>
      </c>
      <c r="U75" t="s">
        <v>1147</v>
      </c>
      <c r="V75" t="s">
        <v>1296</v>
      </c>
      <c r="W75" t="s">
        <v>1297</v>
      </c>
    </row>
    <row r="76" spans="20:23" x14ac:dyDescent="0.25">
      <c r="T76" t="s">
        <v>1024</v>
      </c>
      <c r="U76" t="s">
        <v>1147</v>
      </c>
      <c r="V76" t="s">
        <v>1298</v>
      </c>
      <c r="W76" t="s">
        <v>1299</v>
      </c>
    </row>
    <row r="77" spans="20:23" x14ac:dyDescent="0.25">
      <c r="T77" t="s">
        <v>1024</v>
      </c>
      <c r="U77" t="s">
        <v>1147</v>
      </c>
      <c r="V77" t="s">
        <v>1300</v>
      </c>
      <c r="W77" t="s">
        <v>1301</v>
      </c>
    </row>
    <row r="78" spans="20:23" x14ac:dyDescent="0.25">
      <c r="T78" t="s">
        <v>1024</v>
      </c>
      <c r="U78" t="s">
        <v>1147</v>
      </c>
      <c r="V78" t="s">
        <v>1302</v>
      </c>
      <c r="W78" t="s">
        <v>1303</v>
      </c>
    </row>
    <row r="79" spans="20:23" x14ac:dyDescent="0.25">
      <c r="T79" t="s">
        <v>1024</v>
      </c>
      <c r="U79" t="s">
        <v>1147</v>
      </c>
      <c r="V79" t="s">
        <v>1304</v>
      </c>
      <c r="W79" t="s">
        <v>1305</v>
      </c>
    </row>
    <row r="80" spans="20:23" x14ac:dyDescent="0.25">
      <c r="T80" t="s">
        <v>1024</v>
      </c>
      <c r="U80" t="s">
        <v>1147</v>
      </c>
      <c r="V80" t="s">
        <v>1306</v>
      </c>
      <c r="W80" t="s">
        <v>1307</v>
      </c>
    </row>
    <row r="81" spans="20:23" x14ac:dyDescent="0.25">
      <c r="T81" t="s">
        <v>1024</v>
      </c>
      <c r="U81" t="s">
        <v>1147</v>
      </c>
      <c r="V81" t="s">
        <v>1308</v>
      </c>
      <c r="W81" t="s">
        <v>1309</v>
      </c>
    </row>
    <row r="82" spans="20:23" x14ac:dyDescent="0.25">
      <c r="T82" t="s">
        <v>1024</v>
      </c>
      <c r="U82" t="s">
        <v>1147</v>
      </c>
      <c r="V82" t="s">
        <v>1310</v>
      </c>
      <c r="W82" t="s">
        <v>1311</v>
      </c>
    </row>
    <row r="83" spans="20:23" x14ac:dyDescent="0.25">
      <c r="T83" t="s">
        <v>1024</v>
      </c>
      <c r="U83" t="s">
        <v>1147</v>
      </c>
      <c r="V83" t="s">
        <v>1312</v>
      </c>
      <c r="W83" t="s">
        <v>1313</v>
      </c>
    </row>
    <row r="84" spans="20:23" x14ac:dyDescent="0.25">
      <c r="T84" t="s">
        <v>1024</v>
      </c>
      <c r="U84" t="s">
        <v>1147</v>
      </c>
      <c r="V84" t="s">
        <v>1314</v>
      </c>
      <c r="W84" t="s">
        <v>1315</v>
      </c>
    </row>
    <row r="85" spans="20:23" x14ac:dyDescent="0.25">
      <c r="T85" t="s">
        <v>1024</v>
      </c>
      <c r="U85" t="s">
        <v>1147</v>
      </c>
      <c r="V85" t="s">
        <v>1316</v>
      </c>
      <c r="W85" t="s">
        <v>1317</v>
      </c>
    </row>
    <row r="86" spans="20:23" x14ac:dyDescent="0.25">
      <c r="T86" t="s">
        <v>1024</v>
      </c>
      <c r="U86" t="s">
        <v>1147</v>
      </c>
      <c r="V86" t="s">
        <v>1318</v>
      </c>
      <c r="W86" t="s">
        <v>1319</v>
      </c>
    </row>
    <row r="87" spans="20:23" x14ac:dyDescent="0.25">
      <c r="T87" t="s">
        <v>1024</v>
      </c>
      <c r="U87" t="s">
        <v>1147</v>
      </c>
      <c r="V87" t="s">
        <v>1320</v>
      </c>
      <c r="W87" t="s">
        <v>1321</v>
      </c>
    </row>
    <row r="88" spans="20:23" x14ac:dyDescent="0.25">
      <c r="T88" t="s">
        <v>1024</v>
      </c>
      <c r="U88" t="s">
        <v>1147</v>
      </c>
      <c r="V88" t="s">
        <v>1322</v>
      </c>
      <c r="W88" t="s">
        <v>1323</v>
      </c>
    </row>
    <row r="89" spans="20:23" x14ac:dyDescent="0.25">
      <c r="T89" t="s">
        <v>1024</v>
      </c>
      <c r="U89" t="s">
        <v>1147</v>
      </c>
      <c r="V89" t="s">
        <v>1324</v>
      </c>
      <c r="W89" t="s">
        <v>1325</v>
      </c>
    </row>
    <row r="90" spans="20:23" x14ac:dyDescent="0.25">
      <c r="T90" t="s">
        <v>1024</v>
      </c>
      <c r="U90" t="s">
        <v>1147</v>
      </c>
      <c r="V90" t="s">
        <v>1326</v>
      </c>
      <c r="W90" t="s">
        <v>1327</v>
      </c>
    </row>
    <row r="91" spans="20:23" x14ac:dyDescent="0.25">
      <c r="T91" t="s">
        <v>1024</v>
      </c>
      <c r="U91" t="s">
        <v>1147</v>
      </c>
      <c r="V91" t="s">
        <v>1146</v>
      </c>
      <c r="W91" t="s">
        <v>1146</v>
      </c>
    </row>
    <row r="92" spans="20:23" x14ac:dyDescent="0.25">
      <c r="T92" t="s">
        <v>1149</v>
      </c>
      <c r="U92" t="s">
        <v>1150</v>
      </c>
      <c r="V92" t="s">
        <v>1328</v>
      </c>
      <c r="W92" t="s">
        <v>1329</v>
      </c>
    </row>
    <row r="93" spans="20:23" x14ac:dyDescent="0.25">
      <c r="T93" t="s">
        <v>1149</v>
      </c>
      <c r="U93" t="s">
        <v>1150</v>
      </c>
      <c r="V93" t="s">
        <v>1330</v>
      </c>
      <c r="W93" t="s">
        <v>1331</v>
      </c>
    </row>
    <row r="94" spans="20:23" x14ac:dyDescent="0.25">
      <c r="T94" t="s">
        <v>1149</v>
      </c>
      <c r="U94" t="s">
        <v>1150</v>
      </c>
      <c r="V94" t="s">
        <v>1332</v>
      </c>
      <c r="W94" t="s">
        <v>1333</v>
      </c>
    </row>
    <row r="95" spans="20:23" x14ac:dyDescent="0.25">
      <c r="T95" t="s">
        <v>1149</v>
      </c>
      <c r="U95" t="s">
        <v>1150</v>
      </c>
      <c r="V95" t="s">
        <v>1334</v>
      </c>
      <c r="W95" t="s">
        <v>1335</v>
      </c>
    </row>
    <row r="96" spans="20:23" x14ac:dyDescent="0.25">
      <c r="T96" t="s">
        <v>1149</v>
      </c>
      <c r="U96" t="s">
        <v>1150</v>
      </c>
      <c r="V96" t="s">
        <v>1336</v>
      </c>
      <c r="W96" t="s">
        <v>1337</v>
      </c>
    </row>
    <row r="97" spans="20:23" x14ac:dyDescent="0.25">
      <c r="T97" t="s">
        <v>1149</v>
      </c>
      <c r="U97" t="s">
        <v>1150</v>
      </c>
      <c r="V97" t="s">
        <v>1338</v>
      </c>
      <c r="W97" t="s">
        <v>1339</v>
      </c>
    </row>
    <row r="98" spans="20:23" x14ac:dyDescent="0.25">
      <c r="T98" t="s">
        <v>1149</v>
      </c>
      <c r="U98" t="s">
        <v>1150</v>
      </c>
      <c r="V98" t="s">
        <v>1340</v>
      </c>
      <c r="W98" t="s">
        <v>1341</v>
      </c>
    </row>
    <row r="99" spans="20:23" x14ac:dyDescent="0.25">
      <c r="T99" t="s">
        <v>1149</v>
      </c>
      <c r="U99" t="s">
        <v>1150</v>
      </c>
      <c r="V99" t="s">
        <v>1342</v>
      </c>
      <c r="W99" t="s">
        <v>1343</v>
      </c>
    </row>
    <row r="100" spans="20:23" x14ac:dyDescent="0.25">
      <c r="T100" t="s">
        <v>1149</v>
      </c>
      <c r="U100" t="s">
        <v>1150</v>
      </c>
      <c r="V100" t="s">
        <v>1344</v>
      </c>
      <c r="W100" t="s">
        <v>1345</v>
      </c>
    </row>
    <row r="101" spans="20:23" x14ac:dyDescent="0.25">
      <c r="T101" t="s">
        <v>1149</v>
      </c>
      <c r="U101" t="s">
        <v>1150</v>
      </c>
      <c r="V101" t="s">
        <v>1346</v>
      </c>
      <c r="W101" t="s">
        <v>1347</v>
      </c>
    </row>
    <row r="102" spans="20:23" x14ac:dyDescent="0.25">
      <c r="T102" t="s">
        <v>1149</v>
      </c>
      <c r="U102" t="s">
        <v>1150</v>
      </c>
      <c r="V102" t="s">
        <v>1348</v>
      </c>
      <c r="W102" t="s">
        <v>1349</v>
      </c>
    </row>
    <row r="103" spans="20:23" x14ac:dyDescent="0.25">
      <c r="T103" t="s">
        <v>1149</v>
      </c>
      <c r="U103" t="s">
        <v>1150</v>
      </c>
      <c r="V103" t="s">
        <v>1350</v>
      </c>
      <c r="W103" t="s">
        <v>1351</v>
      </c>
    </row>
    <row r="104" spans="20:23" x14ac:dyDescent="0.25">
      <c r="T104" t="s">
        <v>1149</v>
      </c>
      <c r="U104" t="s">
        <v>1150</v>
      </c>
      <c r="V104" t="s">
        <v>1352</v>
      </c>
      <c r="W104" t="s">
        <v>1353</v>
      </c>
    </row>
    <row r="105" spans="20:23" x14ac:dyDescent="0.25">
      <c r="T105" t="s">
        <v>1149</v>
      </c>
      <c r="U105" t="s">
        <v>1150</v>
      </c>
      <c r="V105" t="s">
        <v>1354</v>
      </c>
      <c r="W105" t="s">
        <v>1355</v>
      </c>
    </row>
    <row r="106" spans="20:23" x14ac:dyDescent="0.25">
      <c r="T106" t="s">
        <v>1149</v>
      </c>
      <c r="U106" t="s">
        <v>1150</v>
      </c>
      <c r="V106" t="s">
        <v>1356</v>
      </c>
      <c r="W106" t="s">
        <v>1357</v>
      </c>
    </row>
    <row r="107" spans="20:23" x14ac:dyDescent="0.25">
      <c r="T107" t="s">
        <v>1149</v>
      </c>
      <c r="U107" t="s">
        <v>1150</v>
      </c>
      <c r="V107" t="s">
        <v>1358</v>
      </c>
      <c r="W107" t="s">
        <v>1359</v>
      </c>
    </row>
    <row r="108" spans="20:23" x14ac:dyDescent="0.25">
      <c r="T108" t="s">
        <v>1149</v>
      </c>
      <c r="U108" t="s">
        <v>1150</v>
      </c>
      <c r="V108" t="s">
        <v>1360</v>
      </c>
      <c r="W108" t="s">
        <v>1361</v>
      </c>
    </row>
    <row r="109" spans="20:23" x14ac:dyDescent="0.25">
      <c r="T109" t="s">
        <v>1149</v>
      </c>
      <c r="U109" t="s">
        <v>1150</v>
      </c>
      <c r="V109" t="s">
        <v>1362</v>
      </c>
      <c r="W109" t="s">
        <v>1363</v>
      </c>
    </row>
    <row r="110" spans="20:23" x14ac:dyDescent="0.25">
      <c r="T110" t="s">
        <v>1149</v>
      </c>
      <c r="U110" t="s">
        <v>1150</v>
      </c>
      <c r="V110" t="s">
        <v>1364</v>
      </c>
      <c r="W110" t="s">
        <v>1365</v>
      </c>
    </row>
    <row r="111" spans="20:23" x14ac:dyDescent="0.25">
      <c r="T111" t="s">
        <v>1149</v>
      </c>
      <c r="U111" t="s">
        <v>1150</v>
      </c>
      <c r="V111" t="s">
        <v>1366</v>
      </c>
      <c r="W111" t="s">
        <v>1367</v>
      </c>
    </row>
  </sheetData>
  <pageMargins left="0.7" right="0.7" top="0.75" bottom="0.75" header="0.3" footer="0.3"/>
  <pageSetup orientation="portrait" r:id="rId1"/>
  <tableParts count="5">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4-4-2017</v>
      </c>
    </row>
    <row r="2" spans="1:1" x14ac:dyDescent="0.25">
      <c r="A2" t="str">
        <f ca="1">CELL("nombrearchivo",A1)</f>
        <v>C:\Users\csema\Documents\RAM CAS\MEJORA CONTINUA\CONTROL DE BUFFERS\TRANSFERENCIAS\[PATRON TRANSFERENCIAS.xlsm]DATOS</v>
      </c>
    </row>
    <row r="3" spans="1:1" x14ac:dyDescent="0.25">
      <c r="A3" t="str">
        <f ca="1">LEFT(SUBSTITUTE(SUBSTITUTE(A2,"[",""),"]",""),FIND("xlsm",SUBSTITUTE(SUBSTITUTE(A2,"[",""),"]",""),1)+3)</f>
        <v>C:\Users\csema\Documents\RAM CAS\MEJORA CONTINUA\CONTROL DE BUFFERS\TRANSFERENCIAS\PATRON TRANSFERENCIAS.xlsm</v>
      </c>
    </row>
    <row r="6" spans="1:1" x14ac:dyDescent="0.25">
      <c r="A6" t="s">
        <v>30</v>
      </c>
    </row>
    <row r="7" spans="1:1" x14ac:dyDescent="0.25">
      <c r="A7" t="s">
        <v>1679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844</v>
      </c>
    </row>
    <row r="2" spans="1:21" x14ac:dyDescent="0.25">
      <c r="A2" t="s">
        <v>854</v>
      </c>
      <c r="B2" t="s">
        <v>855</v>
      </c>
      <c r="C2" t="s">
        <v>856</v>
      </c>
      <c r="D2" t="s">
        <v>852</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857</v>
      </c>
      <c r="C3" t="s">
        <v>858</v>
      </c>
      <c r="D3" t="s">
        <v>852</v>
      </c>
      <c r="E3">
        <v>10</v>
      </c>
      <c r="F3">
        <v>229.81200000000001</v>
      </c>
      <c r="G3">
        <v>464</v>
      </c>
      <c r="H3">
        <v>20</v>
      </c>
      <c r="I3">
        <v>0.9</v>
      </c>
      <c r="J3">
        <v>0.73</v>
      </c>
      <c r="K3">
        <v>0</v>
      </c>
      <c r="L3">
        <v>0.46969699999999998</v>
      </c>
      <c r="M3">
        <v>7</v>
      </c>
      <c r="N3">
        <v>7</v>
      </c>
      <c r="O3">
        <v>7</v>
      </c>
      <c r="P3">
        <v>7</v>
      </c>
      <c r="Q3">
        <v>0</v>
      </c>
      <c r="T3" t="s">
        <v>838</v>
      </c>
    </row>
    <row r="4" spans="1:21" x14ac:dyDescent="0.25">
      <c r="A4" t="s">
        <v>859</v>
      </c>
      <c r="B4" t="s">
        <v>860</v>
      </c>
      <c r="C4" t="s">
        <v>858</v>
      </c>
      <c r="D4" t="s">
        <v>852</v>
      </c>
      <c r="E4">
        <v>8</v>
      </c>
      <c r="F4">
        <v>378.37759999999997</v>
      </c>
      <c r="G4">
        <v>780</v>
      </c>
      <c r="H4">
        <v>15</v>
      </c>
      <c r="I4">
        <v>0.87</v>
      </c>
      <c r="J4">
        <v>0.33</v>
      </c>
      <c r="K4">
        <v>0</v>
      </c>
      <c r="L4">
        <v>1</v>
      </c>
      <c r="M4">
        <v>5</v>
      </c>
      <c r="N4">
        <v>5</v>
      </c>
      <c r="O4">
        <v>5</v>
      </c>
      <c r="P4">
        <v>5</v>
      </c>
      <c r="Q4">
        <v>0</v>
      </c>
      <c r="T4" t="s">
        <v>838</v>
      </c>
    </row>
    <row r="5" spans="1:21" x14ac:dyDescent="0.25">
      <c r="A5" t="s">
        <v>39</v>
      </c>
      <c r="B5" t="s">
        <v>861</v>
      </c>
      <c r="C5" t="s">
        <v>856</v>
      </c>
      <c r="D5" t="s">
        <v>852</v>
      </c>
      <c r="E5">
        <v>290</v>
      </c>
      <c r="F5">
        <v>324.18680000000001</v>
      </c>
      <c r="G5">
        <v>795</v>
      </c>
      <c r="H5">
        <v>650</v>
      </c>
      <c r="I5">
        <v>0.78</v>
      </c>
      <c r="J5">
        <v>1.27</v>
      </c>
      <c r="K5">
        <v>0</v>
      </c>
      <c r="L5">
        <v>0.46803099999999997</v>
      </c>
      <c r="M5">
        <v>207</v>
      </c>
      <c r="N5">
        <v>207</v>
      </c>
      <c r="O5">
        <v>207</v>
      </c>
      <c r="P5">
        <v>207</v>
      </c>
      <c r="Q5">
        <v>0</v>
      </c>
      <c r="T5" t="s">
        <v>838</v>
      </c>
    </row>
    <row r="6" spans="1:21" x14ac:dyDescent="0.25">
      <c r="A6" t="s">
        <v>862</v>
      </c>
      <c r="B6" t="s">
        <v>863</v>
      </c>
      <c r="C6" t="s">
        <v>864</v>
      </c>
      <c r="D6" t="s">
        <v>852</v>
      </c>
      <c r="E6">
        <v>37</v>
      </c>
      <c r="F6">
        <v>372.49869999999999</v>
      </c>
      <c r="G6">
        <v>624</v>
      </c>
      <c r="H6">
        <v>80</v>
      </c>
      <c r="I6">
        <v>0.76</v>
      </c>
      <c r="J6">
        <v>0.19</v>
      </c>
      <c r="K6">
        <v>0</v>
      </c>
      <c r="L6">
        <v>0.52694600000000003</v>
      </c>
      <c r="M6">
        <v>31</v>
      </c>
      <c r="N6">
        <v>31</v>
      </c>
      <c r="O6">
        <v>31</v>
      </c>
      <c r="P6">
        <v>31</v>
      </c>
      <c r="Q6">
        <v>0</v>
      </c>
      <c r="T6" t="s">
        <v>838</v>
      </c>
    </row>
    <row r="7" spans="1:21" x14ac:dyDescent="0.25">
      <c r="A7" t="s">
        <v>865</v>
      </c>
      <c r="B7" t="s">
        <v>866</v>
      </c>
      <c r="C7" t="s">
        <v>853</v>
      </c>
      <c r="D7" t="s">
        <v>852</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867</v>
      </c>
      <c r="C8" t="s">
        <v>868</v>
      </c>
      <c r="D8" t="s">
        <v>852</v>
      </c>
      <c r="E8">
        <v>48</v>
      </c>
      <c r="F8">
        <v>379.2577</v>
      </c>
      <c r="G8">
        <v>774</v>
      </c>
      <c r="H8">
        <v>105</v>
      </c>
      <c r="I8">
        <v>0.7</v>
      </c>
      <c r="J8">
        <v>0.83</v>
      </c>
      <c r="K8">
        <v>0</v>
      </c>
      <c r="L8">
        <v>0.31236900000000001</v>
      </c>
      <c r="M8">
        <v>6</v>
      </c>
      <c r="N8">
        <v>6</v>
      </c>
      <c r="O8">
        <v>6</v>
      </c>
      <c r="P8">
        <v>6</v>
      </c>
      <c r="Q8">
        <v>0</v>
      </c>
      <c r="T8" t="s">
        <v>838</v>
      </c>
    </row>
    <row r="9" spans="1:21" x14ac:dyDescent="0.25">
      <c r="A9" t="s">
        <v>869</v>
      </c>
      <c r="B9" t="s">
        <v>870</v>
      </c>
      <c r="C9" t="s">
        <v>871</v>
      </c>
      <c r="D9" t="s">
        <v>852</v>
      </c>
      <c r="E9">
        <v>2</v>
      </c>
      <c r="F9">
        <v>2.16</v>
      </c>
      <c r="G9">
        <v>4.13</v>
      </c>
      <c r="H9">
        <v>3</v>
      </c>
      <c r="I9">
        <v>0.67</v>
      </c>
      <c r="J9">
        <v>0.51</v>
      </c>
      <c r="K9">
        <v>0</v>
      </c>
      <c r="L9">
        <v>1</v>
      </c>
      <c r="M9">
        <v>2</v>
      </c>
      <c r="N9">
        <v>2</v>
      </c>
      <c r="O9">
        <v>2</v>
      </c>
      <c r="P9">
        <v>2</v>
      </c>
      <c r="Q9">
        <v>0</v>
      </c>
      <c r="T9" t="s">
        <v>838</v>
      </c>
    </row>
    <row r="10" spans="1:21" x14ac:dyDescent="0.25">
      <c r="A10" t="s">
        <v>872</v>
      </c>
      <c r="B10" t="s">
        <v>873</v>
      </c>
      <c r="C10" t="s">
        <v>853</v>
      </c>
      <c r="D10" t="s">
        <v>852</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874</v>
      </c>
      <c r="C11" t="s">
        <v>875</v>
      </c>
      <c r="D11" t="s">
        <v>852</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876</v>
      </c>
      <c r="B12" t="s">
        <v>877</v>
      </c>
      <c r="C12" t="s">
        <v>878</v>
      </c>
      <c r="D12" t="s">
        <v>852</v>
      </c>
      <c r="E12">
        <v>2</v>
      </c>
      <c r="F12">
        <v>20.21</v>
      </c>
      <c r="G12">
        <v>117</v>
      </c>
      <c r="H12">
        <v>2</v>
      </c>
      <c r="I12">
        <v>0.5</v>
      </c>
      <c r="J12">
        <v>0.86</v>
      </c>
      <c r="K12">
        <v>0</v>
      </c>
      <c r="L12">
        <v>1</v>
      </c>
      <c r="M12">
        <v>1</v>
      </c>
      <c r="N12">
        <v>1</v>
      </c>
      <c r="O12">
        <v>1</v>
      </c>
      <c r="P12">
        <v>1</v>
      </c>
      <c r="Q12">
        <v>0</v>
      </c>
      <c r="T12" t="s">
        <v>838</v>
      </c>
    </row>
    <row r="13" spans="1:21" x14ac:dyDescent="0.25">
      <c r="A13" t="s">
        <v>879</v>
      </c>
      <c r="B13" t="s">
        <v>880</v>
      </c>
      <c r="C13" t="s">
        <v>856</v>
      </c>
      <c r="D13" t="s">
        <v>852</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1566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849</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849</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849</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847</v>
      </c>
      <c r="B742" t="s">
        <v>620</v>
      </c>
    </row>
    <row r="743" spans="1:2" x14ac:dyDescent="0.25">
      <c r="A743" t="s">
        <v>846</v>
      </c>
      <c r="B743" t="s">
        <v>612</v>
      </c>
    </row>
    <row r="744" spans="1:2" x14ac:dyDescent="0.25">
      <c r="A744" t="s">
        <v>845</v>
      </c>
      <c r="B744" t="s">
        <v>618</v>
      </c>
    </row>
    <row r="745" spans="1:2" x14ac:dyDescent="0.25">
      <c r="A745" t="s">
        <v>848</v>
      </c>
      <c r="B745" t="s">
        <v>616</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882</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883</v>
      </c>
    </row>
    <row r="4" spans="1:4" x14ac:dyDescent="0.25">
      <c r="A4" t="s">
        <v>968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A6" sqref="A6:D22"/>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841</v>
      </c>
      <c r="B1" s="1"/>
      <c r="C1" s="1"/>
    </row>
    <row r="2" spans="1:4" x14ac:dyDescent="0.25">
      <c r="A2" t="s">
        <v>842</v>
      </c>
      <c r="B2" t="s">
        <v>1581</v>
      </c>
    </row>
    <row r="3" spans="1:4" x14ac:dyDescent="0.25">
      <c r="A3" t="s">
        <v>843</v>
      </c>
      <c r="B3" s="12">
        <f ca="1">TODAY()</f>
        <v>42829</v>
      </c>
    </row>
    <row r="5" spans="1:4" x14ac:dyDescent="0.25">
      <c r="A5" s="2" t="s">
        <v>839</v>
      </c>
      <c r="B5" s="14" t="s">
        <v>840</v>
      </c>
      <c r="C5" s="2" t="s">
        <v>28</v>
      </c>
      <c r="D5" s="2" t="s">
        <v>850</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76200</xdr:colOff>
                <xdr:row>0</xdr:row>
                <xdr:rowOff>19050</xdr:rowOff>
              </from>
              <to>
                <xdr:col>4</xdr:col>
                <xdr:colOff>47625</xdr:colOff>
                <xdr:row>1</xdr:row>
                <xdr:rowOff>85725</xdr:rowOff>
              </to>
            </anchor>
          </controlPr>
        </control>
      </mc:Choice>
      <mc:Fallback>
        <control shapeId="3073" r:id="rId4" name="cmdVolver"/>
      </mc:Fallback>
    </mc:AlternateContent>
    <mc:AlternateContent xmlns:mc="http://schemas.openxmlformats.org/markup-compatibility/2006">
      <mc:Choice Requires="x14">
        <control shapeId="3075" r:id="rId6" name="cmdImprimir">
          <controlPr defaultSize="0" print="0" disabled="1" autoLine="0" r:id="rId7">
            <anchor>
              <from>
                <xdr:col>3</xdr:col>
                <xdr:colOff>76200</xdr:colOff>
                <xdr:row>1</xdr:row>
                <xdr:rowOff>76200</xdr:rowOff>
              </from>
              <to>
                <xdr:col>4</xdr:col>
                <xdr:colOff>47625</xdr:colOff>
                <xdr:row>2</xdr:row>
                <xdr:rowOff>152400</xdr:rowOff>
              </to>
            </anchor>
          </controlPr>
        </control>
      </mc:Choice>
      <mc:Fallback>
        <control shapeId="3075" r:id="rId6" name="cmdImprimir"/>
      </mc:Fallback>
    </mc:AlternateContent>
  </controls>
  <tableParts count="1">
    <tablePart r:id="rId8"/>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26</v>
      </c>
      <c r="B1" s="15" t="s">
        <v>851</v>
      </c>
    </row>
    <row r="2" spans="1:2" x14ac:dyDescent="0.25">
      <c r="A2" s="16" t="str">
        <f>"=**"</f>
        <v>=**</v>
      </c>
      <c r="B2" s="15"/>
    </row>
    <row r="3" spans="1:2" x14ac:dyDescent="0.25">
      <c r="A3" s="15"/>
      <c r="B3" s="16" t="str">
        <f>"=**"</f>
        <v>=**</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1017</v>
      </c>
      <c r="B1" t="s">
        <v>920</v>
      </c>
      <c r="C1" t="s">
        <v>921</v>
      </c>
      <c r="D1" t="s">
        <v>922</v>
      </c>
      <c r="E1" t="s">
        <v>923</v>
      </c>
      <c r="F1" t="s">
        <v>924</v>
      </c>
      <c r="G1" t="s">
        <v>925</v>
      </c>
      <c r="H1" t="s">
        <v>926</v>
      </c>
      <c r="I1" t="s">
        <v>927</v>
      </c>
      <c r="J1" t="s">
        <v>928</v>
      </c>
      <c r="K1" t="s">
        <v>929</v>
      </c>
      <c r="L1" t="s">
        <v>930</v>
      </c>
      <c r="M1" t="s">
        <v>931</v>
      </c>
      <c r="N1" t="s">
        <v>932</v>
      </c>
      <c r="O1" t="s">
        <v>933</v>
      </c>
      <c r="P1" t="s">
        <v>934</v>
      </c>
      <c r="Q1" t="s">
        <v>935</v>
      </c>
      <c r="R1" t="s">
        <v>936</v>
      </c>
      <c r="S1" t="s">
        <v>937</v>
      </c>
      <c r="T1" t="s">
        <v>938</v>
      </c>
      <c r="U1" t="s">
        <v>939</v>
      </c>
      <c r="V1" t="s">
        <v>940</v>
      </c>
      <c r="W1" t="s">
        <v>941</v>
      </c>
      <c r="X1" t="s">
        <v>942</v>
      </c>
      <c r="Y1" t="s">
        <v>943</v>
      </c>
      <c r="Z1" t="s">
        <v>944</v>
      </c>
      <c r="AA1" t="s">
        <v>945</v>
      </c>
      <c r="AB1" t="s">
        <v>946</v>
      </c>
      <c r="AC1" t="s">
        <v>947</v>
      </c>
      <c r="AD1" t="s">
        <v>948</v>
      </c>
      <c r="AE1" t="s">
        <v>949</v>
      </c>
      <c r="AF1" t="s">
        <v>950</v>
      </c>
      <c r="AG1" t="s">
        <v>951</v>
      </c>
      <c r="AH1" t="s">
        <v>952</v>
      </c>
      <c r="AI1" t="s">
        <v>953</v>
      </c>
      <c r="AJ1" t="s">
        <v>954</v>
      </c>
      <c r="AK1" t="s">
        <v>955</v>
      </c>
      <c r="AL1" t="s">
        <v>956</v>
      </c>
      <c r="AM1" t="s">
        <v>957</v>
      </c>
      <c r="AN1" t="s">
        <v>958</v>
      </c>
      <c r="AO1" t="s">
        <v>959</v>
      </c>
      <c r="AP1" t="s">
        <v>960</v>
      </c>
      <c r="AQ1" t="s">
        <v>961</v>
      </c>
      <c r="AR1" t="s">
        <v>967</v>
      </c>
      <c r="AS1" t="s">
        <v>981</v>
      </c>
      <c r="AT1" t="s">
        <v>982</v>
      </c>
      <c r="AU1" t="s">
        <v>983</v>
      </c>
      <c r="AV1" t="s">
        <v>984</v>
      </c>
      <c r="AW1" t="s">
        <v>985</v>
      </c>
      <c r="AX1" t="s">
        <v>986</v>
      </c>
      <c r="AY1" t="s">
        <v>987</v>
      </c>
      <c r="AZ1" t="s">
        <v>988</v>
      </c>
      <c r="BA1" t="s">
        <v>989</v>
      </c>
      <c r="BB1" t="s">
        <v>990</v>
      </c>
      <c r="BC1" t="s">
        <v>991</v>
      </c>
      <c r="BD1" t="s">
        <v>992</v>
      </c>
      <c r="BE1" t="s">
        <v>993</v>
      </c>
      <c r="BF1" t="s">
        <v>994</v>
      </c>
      <c r="BG1" t="s">
        <v>995</v>
      </c>
      <c r="BH1" t="s">
        <v>996</v>
      </c>
      <c r="BI1" t="s">
        <v>997</v>
      </c>
      <c r="BJ1" t="s">
        <v>998</v>
      </c>
      <c r="BK1" t="s">
        <v>999</v>
      </c>
      <c r="BL1" t="s">
        <v>1000</v>
      </c>
      <c r="BM1" t="s">
        <v>1001</v>
      </c>
      <c r="BN1" t="s">
        <v>1002</v>
      </c>
      <c r="BO1" t="s">
        <v>1003</v>
      </c>
      <c r="BP1" t="s">
        <v>1004</v>
      </c>
      <c r="BQ1" t="s">
        <v>1005</v>
      </c>
      <c r="BR1" t="s">
        <v>1006</v>
      </c>
      <c r="BS1" t="s">
        <v>1007</v>
      </c>
      <c r="BT1" t="s">
        <v>1008</v>
      </c>
      <c r="BU1" t="s">
        <v>1009</v>
      </c>
      <c r="BV1" t="s">
        <v>1010</v>
      </c>
      <c r="BW1" t="s">
        <v>1011</v>
      </c>
      <c r="BX1" t="s">
        <v>1012</v>
      </c>
      <c r="BY1" t="s">
        <v>1013</v>
      </c>
      <c r="BZ1" t="s">
        <v>1014</v>
      </c>
      <c r="CA1" t="s">
        <v>1029</v>
      </c>
      <c r="CB1" t="s">
        <v>1030</v>
      </c>
      <c r="CC1" t="s">
        <v>1031</v>
      </c>
      <c r="CD1" t="s">
        <v>1041</v>
      </c>
      <c r="CE1" t="s">
        <v>1042</v>
      </c>
      <c r="CF1" t="s">
        <v>1043</v>
      </c>
      <c r="CG1" t="s">
        <v>893</v>
      </c>
      <c r="CH1" t="s">
        <v>970</v>
      </c>
      <c r="CI1" t="s">
        <v>972</v>
      </c>
      <c r="CJ1" t="s">
        <v>1018</v>
      </c>
      <c r="CK1" t="s">
        <v>894</v>
      </c>
      <c r="CL1" t="s">
        <v>895</v>
      </c>
      <c r="CM1" t="s">
        <v>896</v>
      </c>
      <c r="CN1" t="s">
        <v>897</v>
      </c>
      <c r="CO1" t="s">
        <v>898</v>
      </c>
      <c r="CP1" t="s">
        <v>899</v>
      </c>
      <c r="CQ1" t="s">
        <v>900</v>
      </c>
      <c r="CR1" t="s">
        <v>901</v>
      </c>
      <c r="CS1" t="s">
        <v>902</v>
      </c>
      <c r="CT1" t="s">
        <v>962</v>
      </c>
      <c r="CU1" t="s">
        <v>963</v>
      </c>
      <c r="CV1" t="s">
        <v>964</v>
      </c>
      <c r="CW1" t="s">
        <v>965</v>
      </c>
      <c r="CX1" t="s">
        <v>966</v>
      </c>
      <c r="CY1" t="s">
        <v>1015</v>
      </c>
      <c r="CZ1" t="s">
        <v>1016</v>
      </c>
      <c r="DA1" t="s">
        <v>1019</v>
      </c>
      <c r="DB1" t="s">
        <v>1021</v>
      </c>
      <c r="DC1" t="s">
        <v>1022</v>
      </c>
      <c r="DD1" t="s">
        <v>1023</v>
      </c>
      <c r="DE1" t="s">
        <v>1025</v>
      </c>
      <c r="DF1" t="s">
        <v>1026</v>
      </c>
    </row>
    <row r="2" spans="1:110" x14ac:dyDescent="0.25">
      <c r="AN2" s="47"/>
      <c r="AP2" s="47"/>
      <c r="BP2" s="47"/>
      <c r="BQ2" s="47"/>
      <c r="CA2" s="47"/>
      <c r="CB2" s="47"/>
      <c r="CC2" s="47"/>
      <c r="CD2" s="56"/>
      <c r="CE2" s="56"/>
      <c r="CF2" s="56"/>
      <c r="CH2" s="47"/>
      <c r="CI2" s="47"/>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8"/>
  <sheetViews>
    <sheetView topLeftCell="BW1" workbookViewId="0"/>
  </sheetViews>
  <sheetFormatPr baseColWidth="10" defaultRowHeight="15" x14ac:dyDescent="0.25"/>
  <sheetData>
    <row r="1" spans="1:110" x14ac:dyDescent="0.25">
      <c r="A1" t="s">
        <v>1051</v>
      </c>
      <c r="B1" t="s">
        <v>1052</v>
      </c>
      <c r="C1" t="s">
        <v>1053</v>
      </c>
      <c r="D1" t="s">
        <v>1054</v>
      </c>
      <c r="E1" t="s">
        <v>1055</v>
      </c>
      <c r="F1" t="s">
        <v>1056</v>
      </c>
      <c r="G1" t="s">
        <v>1057</v>
      </c>
      <c r="H1" t="s">
        <v>1058</v>
      </c>
      <c r="I1" t="s">
        <v>1059</v>
      </c>
      <c r="J1" t="s">
        <v>1060</v>
      </c>
      <c r="K1" t="s">
        <v>1061</v>
      </c>
      <c r="L1" t="s">
        <v>1062</v>
      </c>
      <c r="M1" t="s">
        <v>1063</v>
      </c>
      <c r="N1" t="s">
        <v>1064</v>
      </c>
      <c r="O1" t="s">
        <v>1065</v>
      </c>
      <c r="P1" t="s">
        <v>1066</v>
      </c>
      <c r="Q1" t="s">
        <v>1067</v>
      </c>
      <c r="R1" t="s">
        <v>1068</v>
      </c>
      <c r="S1" t="s">
        <v>1069</v>
      </c>
      <c r="T1" t="s">
        <v>1070</v>
      </c>
      <c r="U1" t="s">
        <v>1071</v>
      </c>
      <c r="V1" t="s">
        <v>1072</v>
      </c>
      <c r="W1" t="s">
        <v>1073</v>
      </c>
      <c r="X1" t="s">
        <v>1074</v>
      </c>
      <c r="Y1" t="s">
        <v>1075</v>
      </c>
      <c r="Z1" t="s">
        <v>1076</v>
      </c>
      <c r="AA1" t="s">
        <v>1077</v>
      </c>
      <c r="AB1" t="s">
        <v>1078</v>
      </c>
      <c r="AC1" t="s">
        <v>1079</v>
      </c>
      <c r="AD1" t="s">
        <v>1080</v>
      </c>
      <c r="AE1" t="s">
        <v>1081</v>
      </c>
      <c r="AF1" t="s">
        <v>1082</v>
      </c>
      <c r="AG1" t="s">
        <v>1083</v>
      </c>
      <c r="AH1" t="s">
        <v>1084</v>
      </c>
      <c r="AI1" t="s">
        <v>1085</v>
      </c>
      <c r="AJ1" t="s">
        <v>1086</v>
      </c>
      <c r="AK1" t="s">
        <v>1087</v>
      </c>
      <c r="AL1" t="s">
        <v>1088</v>
      </c>
      <c r="AM1" t="s">
        <v>1089</v>
      </c>
      <c r="AN1" t="s">
        <v>1090</v>
      </c>
      <c r="AO1" t="s">
        <v>1091</v>
      </c>
      <c r="AP1" t="s">
        <v>1143</v>
      </c>
      <c r="AQ1" t="s">
        <v>1092</v>
      </c>
      <c r="AR1" t="s">
        <v>1093</v>
      </c>
      <c r="AS1" t="s">
        <v>1144</v>
      </c>
      <c r="AT1" t="s">
        <v>1094</v>
      </c>
      <c r="AU1" t="s">
        <v>1095</v>
      </c>
      <c r="AV1" t="s">
        <v>1096</v>
      </c>
      <c r="AW1" t="s">
        <v>1097</v>
      </c>
      <c r="AX1" t="s">
        <v>1098</v>
      </c>
      <c r="AY1" t="s">
        <v>1099</v>
      </c>
      <c r="AZ1" t="s">
        <v>1100</v>
      </c>
      <c r="BA1" t="s">
        <v>1101</v>
      </c>
      <c r="BB1" t="s">
        <v>1102</v>
      </c>
      <c r="BC1" t="s">
        <v>1103</v>
      </c>
      <c r="BD1" t="s">
        <v>1104</v>
      </c>
      <c r="BE1" t="s">
        <v>1105</v>
      </c>
      <c r="BF1" t="s">
        <v>1106</v>
      </c>
      <c r="BG1" t="s">
        <v>1107</v>
      </c>
      <c r="BH1" t="s">
        <v>1108</v>
      </c>
      <c r="BI1" t="s">
        <v>1109</v>
      </c>
      <c r="BJ1" t="s">
        <v>1110</v>
      </c>
      <c r="BK1" t="s">
        <v>1111</v>
      </c>
      <c r="BL1" t="s">
        <v>1112</v>
      </c>
      <c r="BM1" t="s">
        <v>1113</v>
      </c>
      <c r="BN1" t="s">
        <v>1114</v>
      </c>
      <c r="BO1" t="s">
        <v>1115</v>
      </c>
      <c r="BP1" t="s">
        <v>1116</v>
      </c>
      <c r="BQ1" t="s">
        <v>1145</v>
      </c>
      <c r="BR1" t="s">
        <v>1117</v>
      </c>
      <c r="BS1" t="s">
        <v>1118</v>
      </c>
      <c r="BT1" t="s">
        <v>1119</v>
      </c>
      <c r="BU1" t="s">
        <v>1120</v>
      </c>
      <c r="BV1" t="s">
        <v>1121</v>
      </c>
      <c r="BW1" t="s">
        <v>1122</v>
      </c>
      <c r="BX1" t="s">
        <v>1123</v>
      </c>
      <c r="BY1" t="s">
        <v>1124</v>
      </c>
      <c r="BZ1" t="s">
        <v>1125</v>
      </c>
      <c r="CA1" t="s">
        <v>1126</v>
      </c>
      <c r="CB1" t="s">
        <v>1127</v>
      </c>
      <c r="CC1" t="s">
        <v>1128</v>
      </c>
      <c r="CD1" t="s">
        <v>1129</v>
      </c>
      <c r="CE1" t="s">
        <v>1130</v>
      </c>
      <c r="CF1" t="s">
        <v>1131</v>
      </c>
      <c r="CG1" t="s">
        <v>1132</v>
      </c>
      <c r="CH1" t="s">
        <v>1133</v>
      </c>
      <c r="CI1" t="s">
        <v>1134</v>
      </c>
      <c r="CJ1" t="s">
        <v>1135</v>
      </c>
      <c r="CK1" t="s">
        <v>1136</v>
      </c>
      <c r="CL1" t="s">
        <v>1137</v>
      </c>
      <c r="CM1" t="s">
        <v>1138</v>
      </c>
      <c r="CN1" t="s">
        <v>1139</v>
      </c>
      <c r="CO1" t="s">
        <v>1140</v>
      </c>
      <c r="CP1" t="s">
        <v>1141</v>
      </c>
      <c r="CQ1" t="s">
        <v>970</v>
      </c>
      <c r="CR1" t="s">
        <v>972</v>
      </c>
      <c r="CS1" t="s">
        <v>1142</v>
      </c>
      <c r="CT1" t="s">
        <v>1018</v>
      </c>
      <c r="CU1" t="s">
        <v>1019</v>
      </c>
      <c r="CV1" t="s">
        <v>1021</v>
      </c>
      <c r="CW1" t="s">
        <v>893</v>
      </c>
      <c r="CX1" t="s">
        <v>894</v>
      </c>
      <c r="CY1" t="s">
        <v>895</v>
      </c>
      <c r="CZ1" t="s">
        <v>896</v>
      </c>
      <c r="DA1" t="s">
        <v>897</v>
      </c>
      <c r="DB1" t="s">
        <v>898</v>
      </c>
      <c r="DC1" t="s">
        <v>899</v>
      </c>
      <c r="DD1" t="s">
        <v>900</v>
      </c>
      <c r="DE1" t="s">
        <v>901</v>
      </c>
      <c r="DF1" t="s">
        <v>902</v>
      </c>
    </row>
    <row r="2" spans="1:110" x14ac:dyDescent="0.25">
      <c r="A2" t="s">
        <v>1679</v>
      </c>
      <c r="B2">
        <v>2</v>
      </c>
      <c r="C2" s="56">
        <v>42829</v>
      </c>
      <c r="D2" t="s">
        <v>1582</v>
      </c>
      <c r="E2" t="s">
        <v>1583</v>
      </c>
      <c r="G2" t="s">
        <v>1567</v>
      </c>
      <c r="H2" t="s">
        <v>1567</v>
      </c>
      <c r="I2" t="s">
        <v>1567</v>
      </c>
      <c r="J2" t="s">
        <v>1567</v>
      </c>
      <c r="K2" t="s">
        <v>1567</v>
      </c>
      <c r="L2">
        <v>2.76</v>
      </c>
      <c r="M2">
        <v>4.5199999999999996</v>
      </c>
      <c r="N2">
        <v>0</v>
      </c>
      <c r="O2" s="56"/>
      <c r="P2" s="56"/>
      <c r="Q2">
        <v>13733</v>
      </c>
      <c r="R2">
        <v>22</v>
      </c>
      <c r="S2">
        <v>11</v>
      </c>
      <c r="T2">
        <v>5</v>
      </c>
      <c r="U2">
        <v>6</v>
      </c>
      <c r="V2">
        <v>1</v>
      </c>
      <c r="X2" t="s">
        <v>1681</v>
      </c>
      <c r="AA2">
        <v>0.36</v>
      </c>
      <c r="AB2">
        <v>6</v>
      </c>
      <c r="AC2">
        <v>83.33</v>
      </c>
      <c r="AD2">
        <v>313.89</v>
      </c>
      <c r="AE2">
        <v>0</v>
      </c>
      <c r="AF2">
        <v>0</v>
      </c>
      <c r="AG2">
        <v>0</v>
      </c>
      <c r="AJ2" s="56">
        <v>42840</v>
      </c>
      <c r="AK2" s="56"/>
      <c r="AL2" s="56"/>
      <c r="AP2" t="s">
        <v>1568</v>
      </c>
      <c r="AR2">
        <v>100</v>
      </c>
      <c r="AS2" t="s">
        <v>1569</v>
      </c>
      <c r="AT2">
        <v>1</v>
      </c>
      <c r="AV2">
        <v>120</v>
      </c>
      <c r="AW2">
        <v>80</v>
      </c>
      <c r="AX2">
        <v>40</v>
      </c>
      <c r="AY2" t="s">
        <v>1676</v>
      </c>
      <c r="AZ2" t="s">
        <v>1676</v>
      </c>
      <c r="BA2">
        <v>0</v>
      </c>
      <c r="BD2">
        <v>1000000000</v>
      </c>
      <c r="BE2">
        <v>452</v>
      </c>
      <c r="BF2">
        <v>-2.77</v>
      </c>
      <c r="BG2">
        <v>0</v>
      </c>
      <c r="BH2">
        <v>0</v>
      </c>
      <c r="BI2">
        <v>0</v>
      </c>
      <c r="BJ2">
        <v>0</v>
      </c>
      <c r="BK2">
        <v>0</v>
      </c>
      <c r="BL2">
        <v>0</v>
      </c>
      <c r="BM2">
        <v>452</v>
      </c>
      <c r="BN2">
        <v>-2.77</v>
      </c>
      <c r="BO2">
        <v>0</v>
      </c>
      <c r="BP2">
        <v>0</v>
      </c>
      <c r="BR2">
        <v>0</v>
      </c>
      <c r="BS2">
        <v>65</v>
      </c>
      <c r="BX2">
        <v>0</v>
      </c>
      <c r="BY2">
        <v>916.32</v>
      </c>
      <c r="BZ2">
        <v>0</v>
      </c>
      <c r="CA2">
        <v>2.78</v>
      </c>
      <c r="CC2">
        <v>1</v>
      </c>
      <c r="CD2" s="56">
        <v>42766</v>
      </c>
      <c r="CE2" s="56">
        <v>42766</v>
      </c>
      <c r="CF2" s="56">
        <v>42766</v>
      </c>
      <c r="CG2" s="56">
        <v>42843</v>
      </c>
      <c r="CH2" s="56"/>
      <c r="CI2" s="56"/>
      <c r="CJ2">
        <v>0.01</v>
      </c>
      <c r="CK2">
        <v>0</v>
      </c>
      <c r="CL2">
        <v>0</v>
      </c>
      <c r="CM2">
        <v>0</v>
      </c>
      <c r="CN2">
        <v>0</v>
      </c>
      <c r="CO2">
        <v>0</v>
      </c>
      <c r="CP2">
        <v>0.84</v>
      </c>
      <c r="CQ2" t="s">
        <v>1679</v>
      </c>
      <c r="CR2" t="s">
        <v>1368</v>
      </c>
      <c r="CS2" t="s">
        <v>1682</v>
      </c>
      <c r="CT2" t="s">
        <v>1678</v>
      </c>
      <c r="CU2" t="s">
        <v>1683</v>
      </c>
      <c r="CV2" t="s">
        <v>1684</v>
      </c>
      <c r="DB2" t="s">
        <v>1685</v>
      </c>
      <c r="DE2" t="s">
        <v>1678</v>
      </c>
    </row>
    <row r="3" spans="1:110" x14ac:dyDescent="0.25">
      <c r="A3" t="s">
        <v>1679</v>
      </c>
      <c r="B3">
        <v>2</v>
      </c>
      <c r="C3" s="56">
        <v>42829</v>
      </c>
      <c r="D3" t="s">
        <v>1582</v>
      </c>
      <c r="E3" t="s">
        <v>1584</v>
      </c>
      <c r="G3" t="s">
        <v>1567</v>
      </c>
      <c r="H3" t="s">
        <v>1567</v>
      </c>
      <c r="I3" t="s">
        <v>1567</v>
      </c>
      <c r="J3" t="s">
        <v>1567</v>
      </c>
      <c r="K3" t="s">
        <v>1567</v>
      </c>
      <c r="L3">
        <v>26.59</v>
      </c>
      <c r="M3">
        <v>69.45</v>
      </c>
      <c r="N3">
        <v>0</v>
      </c>
      <c r="O3" s="56"/>
      <c r="P3" s="56"/>
      <c r="Q3">
        <v>13733</v>
      </c>
      <c r="R3">
        <v>22</v>
      </c>
      <c r="S3">
        <v>11</v>
      </c>
      <c r="T3">
        <v>5</v>
      </c>
      <c r="U3">
        <v>6</v>
      </c>
      <c r="V3">
        <v>1</v>
      </c>
      <c r="W3" t="s">
        <v>1674</v>
      </c>
      <c r="X3" t="s">
        <v>1686</v>
      </c>
      <c r="Y3">
        <v>399</v>
      </c>
      <c r="AA3">
        <v>8.4499999999999993</v>
      </c>
      <c r="AB3">
        <v>140</v>
      </c>
      <c r="AC3">
        <v>8.8800000000000008</v>
      </c>
      <c r="AD3">
        <v>6.18</v>
      </c>
      <c r="AE3">
        <v>0</v>
      </c>
      <c r="AF3">
        <v>0</v>
      </c>
      <c r="AG3">
        <v>0</v>
      </c>
      <c r="AJ3" s="56">
        <v>42666</v>
      </c>
      <c r="AK3" s="56"/>
      <c r="AL3" s="56"/>
      <c r="AP3" t="s">
        <v>1568</v>
      </c>
      <c r="AR3">
        <v>4</v>
      </c>
      <c r="AS3" t="s">
        <v>1569</v>
      </c>
      <c r="AT3">
        <v>1</v>
      </c>
      <c r="AV3">
        <v>300</v>
      </c>
      <c r="AW3">
        <v>200</v>
      </c>
      <c r="AX3">
        <v>99</v>
      </c>
      <c r="AY3" t="s">
        <v>1675</v>
      </c>
      <c r="AZ3" t="s">
        <v>1675</v>
      </c>
      <c r="BA3">
        <v>200</v>
      </c>
      <c r="BD3">
        <v>1000000000</v>
      </c>
      <c r="BE3">
        <v>209</v>
      </c>
      <c r="BF3">
        <v>0.3</v>
      </c>
      <c r="BG3">
        <v>0</v>
      </c>
      <c r="BH3">
        <v>0</v>
      </c>
      <c r="BI3">
        <v>0</v>
      </c>
      <c r="BJ3">
        <v>0</v>
      </c>
      <c r="BK3">
        <v>0</v>
      </c>
      <c r="BL3">
        <v>0</v>
      </c>
      <c r="BM3">
        <v>209</v>
      </c>
      <c r="BN3">
        <v>0.3</v>
      </c>
      <c r="BO3">
        <v>0</v>
      </c>
      <c r="BP3">
        <v>0</v>
      </c>
      <c r="BR3">
        <v>92</v>
      </c>
      <c r="BS3">
        <v>164</v>
      </c>
      <c r="BX3">
        <v>0</v>
      </c>
      <c r="BY3">
        <v>0</v>
      </c>
      <c r="BZ3">
        <v>0</v>
      </c>
      <c r="CA3">
        <v>7.03</v>
      </c>
      <c r="CC3">
        <v>1</v>
      </c>
      <c r="CD3" s="56">
        <v>42709</v>
      </c>
      <c r="CE3" s="56">
        <v>42752</v>
      </c>
      <c r="CF3" s="56">
        <v>42752</v>
      </c>
      <c r="CG3" s="56">
        <v>42829</v>
      </c>
      <c r="CH3" s="56"/>
      <c r="CI3" s="56"/>
      <c r="CJ3">
        <v>0.62</v>
      </c>
      <c r="CK3">
        <v>1228</v>
      </c>
      <c r="CL3">
        <v>0</v>
      </c>
      <c r="CM3">
        <v>0.49</v>
      </c>
      <c r="CN3">
        <v>0.23</v>
      </c>
      <c r="CO3">
        <v>0.19</v>
      </c>
      <c r="CP3">
        <v>0.08</v>
      </c>
      <c r="CQ3" t="s">
        <v>1679</v>
      </c>
      <c r="CR3" t="s">
        <v>1368</v>
      </c>
      <c r="CS3" t="s">
        <v>1682</v>
      </c>
      <c r="CT3" t="s">
        <v>1678</v>
      </c>
      <c r="CU3" t="s">
        <v>1683</v>
      </c>
      <c r="CV3" t="s">
        <v>1687</v>
      </c>
      <c r="DB3" t="s">
        <v>1688</v>
      </c>
      <c r="DE3" t="s">
        <v>1678</v>
      </c>
    </row>
    <row r="4" spans="1:110" x14ac:dyDescent="0.25">
      <c r="A4" t="s">
        <v>1679</v>
      </c>
      <c r="B4">
        <v>2</v>
      </c>
      <c r="C4" s="56">
        <v>42829</v>
      </c>
      <c r="D4" t="s">
        <v>1582</v>
      </c>
      <c r="E4" t="s">
        <v>1571</v>
      </c>
      <c r="G4" t="s">
        <v>1567</v>
      </c>
      <c r="H4" t="s">
        <v>1567</v>
      </c>
      <c r="I4" t="s">
        <v>1567</v>
      </c>
      <c r="J4" t="s">
        <v>1567</v>
      </c>
      <c r="K4" t="s">
        <v>1567</v>
      </c>
      <c r="L4">
        <v>0</v>
      </c>
      <c r="M4">
        <v>0</v>
      </c>
      <c r="N4">
        <v>0</v>
      </c>
      <c r="O4" s="56"/>
      <c r="P4" s="56"/>
      <c r="Q4">
        <v>13733</v>
      </c>
      <c r="R4">
        <v>22</v>
      </c>
      <c r="S4">
        <v>11</v>
      </c>
      <c r="T4">
        <v>5</v>
      </c>
      <c r="U4">
        <v>6</v>
      </c>
      <c r="V4">
        <v>1</v>
      </c>
      <c r="X4" t="s">
        <v>1686</v>
      </c>
      <c r="AA4">
        <v>0.64</v>
      </c>
      <c r="AB4">
        <v>11</v>
      </c>
      <c r="AC4">
        <v>0</v>
      </c>
      <c r="AD4">
        <v>14.45</v>
      </c>
      <c r="AE4">
        <v>0</v>
      </c>
      <c r="AF4">
        <v>0</v>
      </c>
      <c r="AG4">
        <v>0</v>
      </c>
      <c r="AJ4" s="56">
        <v>42666</v>
      </c>
      <c r="AK4" s="56"/>
      <c r="AL4" s="56"/>
      <c r="AP4" t="s">
        <v>1568</v>
      </c>
      <c r="AR4">
        <v>2</v>
      </c>
      <c r="AS4" t="s">
        <v>1569</v>
      </c>
      <c r="AT4">
        <v>1</v>
      </c>
      <c r="AV4">
        <v>0</v>
      </c>
      <c r="AW4">
        <v>0</v>
      </c>
      <c r="AX4">
        <v>0</v>
      </c>
      <c r="AY4" t="s">
        <v>1570</v>
      </c>
      <c r="AZ4" t="s">
        <v>1570</v>
      </c>
      <c r="BA4">
        <v>14</v>
      </c>
      <c r="BD4">
        <v>1000000000</v>
      </c>
      <c r="BE4">
        <v>37</v>
      </c>
      <c r="BF4">
        <v>0</v>
      </c>
      <c r="BG4">
        <v>0</v>
      </c>
      <c r="BH4">
        <v>0</v>
      </c>
      <c r="BI4">
        <v>0</v>
      </c>
      <c r="BJ4">
        <v>0</v>
      </c>
      <c r="BK4">
        <v>0</v>
      </c>
      <c r="BL4">
        <v>0</v>
      </c>
      <c r="BM4">
        <v>37</v>
      </c>
      <c r="BN4">
        <v>0</v>
      </c>
      <c r="BO4">
        <v>0</v>
      </c>
      <c r="BP4">
        <v>0</v>
      </c>
      <c r="BR4">
        <v>0</v>
      </c>
      <c r="BS4">
        <v>0</v>
      </c>
      <c r="BX4">
        <v>0</v>
      </c>
      <c r="BY4">
        <v>0</v>
      </c>
      <c r="BZ4">
        <v>0</v>
      </c>
      <c r="CA4">
        <v>0</v>
      </c>
      <c r="CC4">
        <v>1</v>
      </c>
      <c r="CD4" s="56">
        <v>42709</v>
      </c>
      <c r="CE4" s="56">
        <v>42752</v>
      </c>
      <c r="CF4" s="56">
        <v>42752</v>
      </c>
      <c r="CG4" s="56">
        <v>42829</v>
      </c>
      <c r="CH4" s="56"/>
      <c r="CI4" s="56"/>
      <c r="CJ4">
        <v>0.2</v>
      </c>
      <c r="CK4">
        <v>0</v>
      </c>
      <c r="CL4">
        <v>0</v>
      </c>
      <c r="CM4">
        <v>0</v>
      </c>
      <c r="CN4">
        <v>0</v>
      </c>
      <c r="CO4">
        <v>0</v>
      </c>
      <c r="CP4">
        <v>0.99</v>
      </c>
      <c r="CQ4" t="s">
        <v>1679</v>
      </c>
      <c r="CR4" t="s">
        <v>1368</v>
      </c>
      <c r="CS4" t="s">
        <v>1682</v>
      </c>
      <c r="CT4" t="s">
        <v>1678</v>
      </c>
      <c r="CU4" t="s">
        <v>1683</v>
      </c>
      <c r="CV4" t="s">
        <v>1689</v>
      </c>
      <c r="DB4" t="s">
        <v>1690</v>
      </c>
      <c r="DE4" t="s">
        <v>1678</v>
      </c>
    </row>
    <row r="5" spans="1:110" x14ac:dyDescent="0.25">
      <c r="A5" t="s">
        <v>1679</v>
      </c>
      <c r="B5">
        <v>2</v>
      </c>
      <c r="C5" s="56">
        <v>42829</v>
      </c>
      <c r="D5" t="s">
        <v>1582</v>
      </c>
      <c r="E5" t="s">
        <v>1601</v>
      </c>
      <c r="G5" t="s">
        <v>1567</v>
      </c>
      <c r="H5" t="s">
        <v>1567</v>
      </c>
      <c r="I5" t="s">
        <v>1567</v>
      </c>
      <c r="J5" t="s">
        <v>1567</v>
      </c>
      <c r="K5" t="s">
        <v>1567</v>
      </c>
      <c r="L5">
        <v>5.99</v>
      </c>
      <c r="M5">
        <v>25.26</v>
      </c>
      <c r="N5">
        <v>0</v>
      </c>
      <c r="O5" s="56"/>
      <c r="P5" s="56"/>
      <c r="Q5">
        <v>13733</v>
      </c>
      <c r="R5">
        <v>22</v>
      </c>
      <c r="S5">
        <v>11</v>
      </c>
      <c r="T5">
        <v>5</v>
      </c>
      <c r="U5">
        <v>6</v>
      </c>
      <c r="V5">
        <v>1</v>
      </c>
      <c r="X5" t="s">
        <v>1686</v>
      </c>
      <c r="AA5">
        <v>7.27</v>
      </c>
      <c r="AB5">
        <v>120</v>
      </c>
      <c r="AC5">
        <v>0</v>
      </c>
      <c r="AD5">
        <v>0.45</v>
      </c>
      <c r="AE5">
        <v>0</v>
      </c>
      <c r="AF5">
        <v>0</v>
      </c>
      <c r="AG5">
        <v>0</v>
      </c>
      <c r="AJ5" s="56">
        <v>42666</v>
      </c>
      <c r="AK5" s="56"/>
      <c r="AL5" s="56"/>
      <c r="AP5" t="s">
        <v>1568</v>
      </c>
      <c r="AR5">
        <v>12</v>
      </c>
      <c r="AS5" t="s">
        <v>1569</v>
      </c>
      <c r="AT5">
        <v>1</v>
      </c>
      <c r="AV5">
        <v>0</v>
      </c>
      <c r="AW5">
        <v>0</v>
      </c>
      <c r="AX5">
        <v>0</v>
      </c>
      <c r="AY5" t="s">
        <v>1570</v>
      </c>
      <c r="AZ5" t="s">
        <v>1570</v>
      </c>
      <c r="BA5">
        <v>40</v>
      </c>
      <c r="BD5">
        <v>1000000000</v>
      </c>
      <c r="BE5">
        <v>13</v>
      </c>
      <c r="BF5">
        <v>0</v>
      </c>
      <c r="BG5">
        <v>0</v>
      </c>
      <c r="BH5">
        <v>0</v>
      </c>
      <c r="BI5">
        <v>0</v>
      </c>
      <c r="BJ5">
        <v>0</v>
      </c>
      <c r="BK5">
        <v>0</v>
      </c>
      <c r="BL5">
        <v>0</v>
      </c>
      <c r="BM5">
        <v>13</v>
      </c>
      <c r="BN5">
        <v>0</v>
      </c>
      <c r="BO5">
        <v>0</v>
      </c>
      <c r="BP5">
        <v>0</v>
      </c>
      <c r="BR5">
        <v>0</v>
      </c>
      <c r="BS5">
        <v>0</v>
      </c>
      <c r="BX5">
        <v>0</v>
      </c>
      <c r="BY5">
        <v>0</v>
      </c>
      <c r="BZ5">
        <v>0</v>
      </c>
      <c r="CA5">
        <v>0</v>
      </c>
      <c r="CC5">
        <v>1</v>
      </c>
      <c r="CD5" s="56">
        <v>42709</v>
      </c>
      <c r="CE5" s="56">
        <v>42752</v>
      </c>
      <c r="CF5" s="56">
        <v>42752</v>
      </c>
      <c r="CG5" s="56">
        <v>42829</v>
      </c>
      <c r="CH5" s="56"/>
      <c r="CI5" s="56"/>
      <c r="CJ5">
        <v>0</v>
      </c>
      <c r="CK5">
        <v>0</v>
      </c>
      <c r="CL5">
        <v>0</v>
      </c>
      <c r="CM5">
        <v>0</v>
      </c>
      <c r="CN5">
        <v>0</v>
      </c>
      <c r="CO5">
        <v>0</v>
      </c>
      <c r="CP5">
        <v>0.99</v>
      </c>
      <c r="CQ5" t="s">
        <v>1679</v>
      </c>
      <c r="CR5" t="s">
        <v>1368</v>
      </c>
      <c r="CS5" t="s">
        <v>1682</v>
      </c>
      <c r="CT5" t="s">
        <v>1678</v>
      </c>
      <c r="CU5" t="s">
        <v>1683</v>
      </c>
      <c r="CV5" t="s">
        <v>1691</v>
      </c>
      <c r="DB5" t="s">
        <v>1692</v>
      </c>
      <c r="DE5" t="s">
        <v>1678</v>
      </c>
    </row>
    <row r="6" spans="1:110" x14ac:dyDescent="0.25">
      <c r="A6" t="s">
        <v>1679</v>
      </c>
      <c r="B6">
        <v>2</v>
      </c>
      <c r="C6" s="56">
        <v>42829</v>
      </c>
      <c r="D6" t="s">
        <v>1582</v>
      </c>
      <c r="E6" t="s">
        <v>1602</v>
      </c>
      <c r="G6" t="s">
        <v>1567</v>
      </c>
      <c r="H6" t="s">
        <v>1567</v>
      </c>
      <c r="I6" t="s">
        <v>1567</v>
      </c>
      <c r="J6" t="s">
        <v>1567</v>
      </c>
      <c r="K6" t="s">
        <v>1567</v>
      </c>
      <c r="L6">
        <v>7.16</v>
      </c>
      <c r="M6">
        <v>26.53</v>
      </c>
      <c r="N6">
        <v>0</v>
      </c>
      <c r="O6" s="56"/>
      <c r="P6" s="56"/>
      <c r="Q6">
        <v>13733</v>
      </c>
      <c r="R6">
        <v>22</v>
      </c>
      <c r="S6">
        <v>11</v>
      </c>
      <c r="T6">
        <v>5</v>
      </c>
      <c r="U6">
        <v>6</v>
      </c>
      <c r="V6">
        <v>1</v>
      </c>
      <c r="W6" t="s">
        <v>1677</v>
      </c>
      <c r="X6" t="s">
        <v>1681</v>
      </c>
      <c r="Y6">
        <v>70</v>
      </c>
      <c r="AA6">
        <v>0.23</v>
      </c>
      <c r="AB6">
        <v>4</v>
      </c>
      <c r="AC6">
        <v>108.7</v>
      </c>
      <c r="AD6">
        <v>84.78</v>
      </c>
      <c r="AE6">
        <v>0</v>
      </c>
      <c r="AF6">
        <v>0</v>
      </c>
      <c r="AG6">
        <v>0</v>
      </c>
      <c r="AJ6" s="56">
        <v>42840</v>
      </c>
      <c r="AK6" s="56"/>
      <c r="AL6" s="56"/>
      <c r="AP6" t="s">
        <v>1568</v>
      </c>
      <c r="AR6">
        <v>12</v>
      </c>
      <c r="AS6" t="s">
        <v>1569</v>
      </c>
      <c r="AT6">
        <v>1</v>
      </c>
      <c r="AV6">
        <v>100</v>
      </c>
      <c r="AW6">
        <v>67</v>
      </c>
      <c r="AX6">
        <v>33</v>
      </c>
      <c r="AY6" t="s">
        <v>1675</v>
      </c>
      <c r="AZ6" t="s">
        <v>1675</v>
      </c>
      <c r="BA6">
        <v>0</v>
      </c>
      <c r="BD6">
        <v>1000000000</v>
      </c>
      <c r="BE6">
        <v>78</v>
      </c>
      <c r="BF6">
        <v>0.22</v>
      </c>
      <c r="BG6">
        <v>0</v>
      </c>
      <c r="BH6">
        <v>0</v>
      </c>
      <c r="BI6">
        <v>0</v>
      </c>
      <c r="BJ6">
        <v>0</v>
      </c>
      <c r="BK6">
        <v>0</v>
      </c>
      <c r="BL6">
        <v>0</v>
      </c>
      <c r="BM6">
        <v>78</v>
      </c>
      <c r="BN6">
        <v>0.22</v>
      </c>
      <c r="BO6">
        <v>0</v>
      </c>
      <c r="BP6">
        <v>0</v>
      </c>
      <c r="BR6">
        <v>24</v>
      </c>
      <c r="BS6">
        <v>55</v>
      </c>
      <c r="BX6">
        <v>0</v>
      </c>
      <c r="BY6">
        <v>0</v>
      </c>
      <c r="BZ6">
        <v>0</v>
      </c>
      <c r="CA6">
        <v>11.8</v>
      </c>
      <c r="CC6">
        <v>1</v>
      </c>
      <c r="CD6" s="56">
        <v>42766</v>
      </c>
      <c r="CE6" s="56">
        <v>42766</v>
      </c>
      <c r="CF6" s="56">
        <v>42766</v>
      </c>
      <c r="CG6" s="56">
        <v>42843</v>
      </c>
      <c r="CH6" s="56"/>
      <c r="CI6" s="56"/>
      <c r="CJ6">
        <v>0.01</v>
      </c>
      <c r="CK6">
        <v>0</v>
      </c>
      <c r="CL6">
        <v>0</v>
      </c>
      <c r="CM6">
        <v>0</v>
      </c>
      <c r="CN6">
        <v>0</v>
      </c>
      <c r="CO6">
        <v>0.84</v>
      </c>
      <c r="CP6">
        <v>0</v>
      </c>
      <c r="CQ6" t="s">
        <v>1679</v>
      </c>
      <c r="CR6" t="s">
        <v>1368</v>
      </c>
      <c r="CS6" t="s">
        <v>1682</v>
      </c>
      <c r="CT6" t="s">
        <v>1678</v>
      </c>
      <c r="CU6" t="s">
        <v>1683</v>
      </c>
      <c r="CV6" t="s">
        <v>1693</v>
      </c>
      <c r="DB6" t="s">
        <v>1693</v>
      </c>
      <c r="DE6" t="s">
        <v>1678</v>
      </c>
    </row>
    <row r="7" spans="1:110" x14ac:dyDescent="0.25">
      <c r="A7" t="s">
        <v>1679</v>
      </c>
      <c r="B7">
        <v>2</v>
      </c>
      <c r="C7" s="56">
        <v>42829</v>
      </c>
      <c r="D7" t="s">
        <v>1582</v>
      </c>
      <c r="E7" t="s">
        <v>1680</v>
      </c>
      <c r="G7" t="s">
        <v>1567</v>
      </c>
      <c r="H7" t="s">
        <v>1567</v>
      </c>
      <c r="I7" t="s">
        <v>1567</v>
      </c>
      <c r="J7" t="s">
        <v>1567</v>
      </c>
      <c r="K7" t="s">
        <v>1567</v>
      </c>
      <c r="L7">
        <v>8.57</v>
      </c>
      <c r="M7">
        <v>28.68</v>
      </c>
      <c r="N7">
        <v>0</v>
      </c>
      <c r="O7" s="56"/>
      <c r="P7" s="56"/>
      <c r="Q7">
        <v>13733</v>
      </c>
      <c r="R7">
        <v>22</v>
      </c>
      <c r="S7">
        <v>11</v>
      </c>
      <c r="T7">
        <v>5</v>
      </c>
      <c r="U7">
        <v>6</v>
      </c>
      <c r="V7">
        <v>1</v>
      </c>
      <c r="W7" t="s">
        <v>1677</v>
      </c>
      <c r="X7" t="s">
        <v>1681</v>
      </c>
      <c r="Y7">
        <v>70</v>
      </c>
      <c r="AA7">
        <v>0</v>
      </c>
      <c r="AB7">
        <v>0</v>
      </c>
      <c r="AC7">
        <v>0</v>
      </c>
      <c r="AD7">
        <v>0</v>
      </c>
      <c r="AE7">
        <v>0</v>
      </c>
      <c r="AF7">
        <v>0</v>
      </c>
      <c r="AG7">
        <v>0</v>
      </c>
      <c r="AJ7" s="56"/>
      <c r="AK7" s="56"/>
      <c r="AL7" s="56"/>
      <c r="AP7" t="s">
        <v>1568</v>
      </c>
      <c r="AR7">
        <v>12</v>
      </c>
      <c r="AS7" t="s">
        <v>1569</v>
      </c>
      <c r="AT7">
        <v>1</v>
      </c>
      <c r="AV7">
        <v>100</v>
      </c>
      <c r="AW7">
        <v>67</v>
      </c>
      <c r="AX7">
        <v>33</v>
      </c>
      <c r="AY7" t="s">
        <v>1675</v>
      </c>
      <c r="AZ7" t="s">
        <v>1675</v>
      </c>
      <c r="BA7">
        <v>0</v>
      </c>
      <c r="BD7">
        <v>1000000000</v>
      </c>
      <c r="BE7">
        <v>81</v>
      </c>
      <c r="BF7">
        <v>0.19</v>
      </c>
      <c r="BG7">
        <v>0</v>
      </c>
      <c r="BH7">
        <v>0</v>
      </c>
      <c r="BI7">
        <v>0</v>
      </c>
      <c r="BJ7">
        <v>0</v>
      </c>
      <c r="BK7">
        <v>0</v>
      </c>
      <c r="BL7">
        <v>0</v>
      </c>
      <c r="BM7">
        <v>81</v>
      </c>
      <c r="BN7">
        <v>0.19</v>
      </c>
      <c r="BO7">
        <v>0</v>
      </c>
      <c r="BP7">
        <v>0</v>
      </c>
      <c r="BR7">
        <v>24</v>
      </c>
      <c r="BS7">
        <v>55</v>
      </c>
      <c r="BX7">
        <v>0</v>
      </c>
      <c r="BY7">
        <v>0</v>
      </c>
      <c r="BZ7">
        <v>0</v>
      </c>
      <c r="CA7">
        <v>10.24</v>
      </c>
      <c r="CC7">
        <v>1</v>
      </c>
      <c r="CD7" s="56">
        <v>42766</v>
      </c>
      <c r="CE7" s="56">
        <v>42766</v>
      </c>
      <c r="CF7" s="56">
        <v>42766</v>
      </c>
      <c r="CG7" s="56">
        <v>42843</v>
      </c>
      <c r="CH7" s="56"/>
      <c r="CI7" s="56"/>
      <c r="CJ7">
        <v>0</v>
      </c>
      <c r="CK7">
        <v>0</v>
      </c>
      <c r="CL7">
        <v>0</v>
      </c>
      <c r="CM7">
        <v>0</v>
      </c>
      <c r="CN7">
        <v>0</v>
      </c>
      <c r="CO7">
        <v>0.84</v>
      </c>
      <c r="CP7">
        <v>0</v>
      </c>
      <c r="CQ7" t="s">
        <v>1679</v>
      </c>
      <c r="CR7" t="s">
        <v>1368</v>
      </c>
      <c r="CS7" t="s">
        <v>1682</v>
      </c>
      <c r="CT7" t="s">
        <v>1678</v>
      </c>
      <c r="CU7" t="s">
        <v>1683</v>
      </c>
      <c r="CV7" t="s">
        <v>1694</v>
      </c>
      <c r="DB7" t="s">
        <v>1693</v>
      </c>
      <c r="DE7" t="s">
        <v>1678</v>
      </c>
    </row>
    <row r="8" spans="1:110" x14ac:dyDescent="0.25">
      <c r="A8" t="s">
        <v>1679</v>
      </c>
      <c r="B8">
        <v>2</v>
      </c>
      <c r="C8" s="56">
        <v>42829</v>
      </c>
      <c r="D8" t="s">
        <v>1582</v>
      </c>
      <c r="E8" t="s">
        <v>1695</v>
      </c>
      <c r="G8" t="s">
        <v>1567</v>
      </c>
      <c r="H8" t="s">
        <v>1567</v>
      </c>
      <c r="I8" t="s">
        <v>1567</v>
      </c>
      <c r="J8" t="s">
        <v>1567</v>
      </c>
      <c r="K8" t="s">
        <v>1567</v>
      </c>
      <c r="L8">
        <v>0</v>
      </c>
      <c r="M8">
        <v>0</v>
      </c>
      <c r="N8">
        <v>0</v>
      </c>
      <c r="O8" s="56"/>
      <c r="P8" s="56"/>
      <c r="Q8">
        <v>13733</v>
      </c>
      <c r="R8">
        <v>22</v>
      </c>
      <c r="S8">
        <v>11</v>
      </c>
      <c r="T8">
        <v>5</v>
      </c>
      <c r="U8">
        <v>6</v>
      </c>
      <c r="V8">
        <v>1</v>
      </c>
      <c r="X8" t="s">
        <v>1681</v>
      </c>
      <c r="AA8">
        <v>0</v>
      </c>
      <c r="AB8">
        <v>0</v>
      </c>
      <c r="AC8">
        <v>0</v>
      </c>
      <c r="AD8">
        <v>0</v>
      </c>
      <c r="AE8">
        <v>0</v>
      </c>
      <c r="AF8">
        <v>0</v>
      </c>
      <c r="AG8">
        <v>0</v>
      </c>
      <c r="AJ8" s="56"/>
      <c r="AK8" s="56"/>
      <c r="AL8" s="56"/>
      <c r="AP8" t="s">
        <v>1568</v>
      </c>
      <c r="AR8">
        <v>300</v>
      </c>
      <c r="AS8" t="s">
        <v>1569</v>
      </c>
      <c r="AT8">
        <v>1</v>
      </c>
      <c r="AV8">
        <v>0</v>
      </c>
      <c r="AW8">
        <v>0</v>
      </c>
      <c r="AX8">
        <v>0</v>
      </c>
      <c r="AY8" t="s">
        <v>1570</v>
      </c>
      <c r="AZ8" t="s">
        <v>1570</v>
      </c>
      <c r="BA8">
        <v>0</v>
      </c>
      <c r="BD8">
        <v>1000000000</v>
      </c>
      <c r="BE8">
        <v>240</v>
      </c>
      <c r="BF8">
        <v>0</v>
      </c>
      <c r="BG8">
        <v>0</v>
      </c>
      <c r="BH8">
        <v>0</v>
      </c>
      <c r="BI8">
        <v>0</v>
      </c>
      <c r="BJ8">
        <v>0</v>
      </c>
      <c r="BK8">
        <v>0</v>
      </c>
      <c r="BL8">
        <v>0</v>
      </c>
      <c r="BM8">
        <v>240</v>
      </c>
      <c r="BN8">
        <v>0</v>
      </c>
      <c r="BO8">
        <v>0</v>
      </c>
      <c r="BP8">
        <v>0</v>
      </c>
      <c r="BR8">
        <v>0</v>
      </c>
      <c r="BS8">
        <v>0</v>
      </c>
      <c r="BX8">
        <v>0</v>
      </c>
      <c r="BY8">
        <v>0</v>
      </c>
      <c r="BZ8">
        <v>0</v>
      </c>
      <c r="CA8">
        <v>0</v>
      </c>
      <c r="CC8">
        <v>1</v>
      </c>
      <c r="CD8" s="56">
        <v>42766</v>
      </c>
      <c r="CE8" s="56">
        <v>42766</v>
      </c>
      <c r="CF8" s="56">
        <v>42766</v>
      </c>
      <c r="CG8" s="56">
        <v>42843</v>
      </c>
      <c r="CH8" s="56"/>
      <c r="CI8" s="56"/>
      <c r="CJ8">
        <v>0.02</v>
      </c>
      <c r="CK8">
        <v>0</v>
      </c>
      <c r="CL8">
        <v>0</v>
      </c>
      <c r="CM8">
        <v>0</v>
      </c>
      <c r="CN8">
        <v>0</v>
      </c>
      <c r="CO8">
        <v>0</v>
      </c>
      <c r="CP8">
        <v>0.84</v>
      </c>
      <c r="CQ8" t="s">
        <v>1679</v>
      </c>
      <c r="CR8" t="s">
        <v>1368</v>
      </c>
      <c r="CS8" t="s">
        <v>1682</v>
      </c>
      <c r="CT8" t="s">
        <v>1678</v>
      </c>
      <c r="CU8" t="s">
        <v>1683</v>
      </c>
      <c r="CV8" t="s">
        <v>1696</v>
      </c>
      <c r="DB8" t="s">
        <v>1694</v>
      </c>
      <c r="DE8" t="s">
        <v>1678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518"/>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1035</v>
      </c>
      <c r="D1" t="s">
        <v>1037</v>
      </c>
      <c r="F1" t="s">
        <v>1036</v>
      </c>
      <c r="G1" t="s">
        <v>1037</v>
      </c>
    </row>
    <row r="2" spans="1:7" x14ac:dyDescent="0.25">
      <c r="A2" t="s">
        <v>1583</v>
      </c>
      <c r="B2">
        <v>8</v>
      </c>
      <c r="C2" s="47">
        <v>42736</v>
      </c>
      <c r="D2" s="3" t="str">
        <f>YEAR(Datos_Consumo[[#This Row],[FECHA]])&amp;"-"&amp;MONTH(Datos_Consumo[[#This Row],[FECHA]])</f>
        <v>2017-1</v>
      </c>
      <c r="F2" s="47">
        <v>42675</v>
      </c>
      <c r="G2" s="53" t="str">
        <f>YEAR(Fecha_Consumo[[#This Row],[FECHAS_CONSUMO]])&amp;"-"&amp;MONTH(Fecha_Consumo[[#This Row],[FECHAS_CONSUMO]])</f>
        <v>2016-11</v>
      </c>
    </row>
    <row r="3" spans="1:7" x14ac:dyDescent="0.25">
      <c r="A3" t="s">
        <v>1584</v>
      </c>
      <c r="B3">
        <v>4</v>
      </c>
      <c r="C3" s="56">
        <v>42675</v>
      </c>
      <c r="D3" s="3" t="str">
        <f>YEAR(Datos_Consumo[[#This Row],[FECHA]])&amp;"-"&amp;MONTH(Datos_Consumo[[#This Row],[FECHA]])</f>
        <v>2016-11</v>
      </c>
      <c r="F3" s="56">
        <v>42705</v>
      </c>
      <c r="G3" s="53" t="str">
        <f>YEAR(Fecha_Consumo[[#This Row],[FECHAS_CONSUMO]])&amp;"-"&amp;MONTH(Fecha_Consumo[[#This Row],[FECHAS_CONSUMO]])</f>
        <v>2016-12</v>
      </c>
    </row>
    <row r="4" spans="1:7" x14ac:dyDescent="0.25">
      <c r="A4" t="s">
        <v>1584</v>
      </c>
      <c r="B4">
        <v>4</v>
      </c>
      <c r="C4" s="56">
        <v>42705</v>
      </c>
      <c r="D4" s="3" t="str">
        <f>YEAR(Datos_Consumo[[#This Row],[FECHA]])&amp;"-"&amp;MONTH(Datos_Consumo[[#This Row],[FECHA]])</f>
        <v>2016-12</v>
      </c>
      <c r="F4" s="56">
        <v>42736</v>
      </c>
      <c r="G4" s="53" t="str">
        <f>YEAR(Fecha_Consumo[[#This Row],[FECHAS_CONSUMO]])&amp;"-"&amp;MONTH(Fecha_Consumo[[#This Row],[FECHAS_CONSUMO]])</f>
        <v>2017-1</v>
      </c>
    </row>
    <row r="5" spans="1:7" x14ac:dyDescent="0.25">
      <c r="A5" t="s">
        <v>1584</v>
      </c>
      <c r="B5">
        <v>108</v>
      </c>
      <c r="C5" s="56">
        <v>42736</v>
      </c>
      <c r="D5" s="3" t="str">
        <f>YEAR(Datos_Consumo[[#This Row],[FECHA]])&amp;"-"&amp;MONTH(Datos_Consumo[[#This Row],[FECHA]])</f>
        <v>2017-1</v>
      </c>
      <c r="F5" s="56">
        <v>42767</v>
      </c>
      <c r="G5" s="53" t="str">
        <f>YEAR(Fecha_Consumo[[#This Row],[FECHAS_CONSUMO]])&amp;"-"&amp;MONTH(Fecha_Consumo[[#This Row],[FECHAS_CONSUMO]])</f>
        <v>2017-2</v>
      </c>
    </row>
    <row r="6" spans="1:7" x14ac:dyDescent="0.25">
      <c r="A6" t="s">
        <v>1584</v>
      </c>
      <c r="B6">
        <v>70</v>
      </c>
      <c r="C6" s="56">
        <v>42767</v>
      </c>
      <c r="D6" s="3" t="str">
        <f>YEAR(Datos_Consumo[[#This Row],[FECHA]])&amp;"-"&amp;MONTH(Datos_Consumo[[#This Row],[FECHA]])</f>
        <v>2017-2</v>
      </c>
    </row>
    <row r="7" spans="1:7" x14ac:dyDescent="0.25">
      <c r="A7" t="s">
        <v>1571</v>
      </c>
      <c r="B7">
        <v>1</v>
      </c>
      <c r="C7" s="56">
        <v>42675</v>
      </c>
      <c r="D7" s="3" t="str">
        <f>YEAR(Datos_Consumo[[#This Row],[FECHA]])&amp;"-"&amp;MONTH(Datos_Consumo[[#This Row],[FECHA]])</f>
        <v>2016-11</v>
      </c>
    </row>
    <row r="8" spans="1:7" x14ac:dyDescent="0.25">
      <c r="A8" t="s">
        <v>1571</v>
      </c>
      <c r="B8">
        <v>2</v>
      </c>
      <c r="C8" s="56">
        <v>42705</v>
      </c>
      <c r="D8" s="3" t="str">
        <f>YEAR(Datos_Consumo[[#This Row],[FECHA]])&amp;"-"&amp;MONTH(Datos_Consumo[[#This Row],[FECHA]])</f>
        <v>2016-12</v>
      </c>
    </row>
    <row r="9" spans="1:7" x14ac:dyDescent="0.25">
      <c r="A9" t="s">
        <v>1571</v>
      </c>
      <c r="B9">
        <v>11</v>
      </c>
      <c r="C9" s="56">
        <v>42736</v>
      </c>
      <c r="D9" s="3" t="str">
        <f>YEAR(Datos_Consumo[[#This Row],[FECHA]])&amp;"-"&amp;MONTH(Datos_Consumo[[#This Row],[FECHA]])</f>
        <v>2017-1</v>
      </c>
    </row>
    <row r="10" spans="1:7" x14ac:dyDescent="0.25">
      <c r="A10" t="s">
        <v>1572</v>
      </c>
      <c r="B10">
        <v>20</v>
      </c>
      <c r="C10" s="56">
        <v>42675</v>
      </c>
      <c r="D10" s="3" t="str">
        <f>YEAR(Datos_Consumo[[#This Row],[FECHA]])&amp;"-"&amp;MONTH(Datos_Consumo[[#This Row],[FECHA]])</f>
        <v>2016-11</v>
      </c>
    </row>
    <row r="11" spans="1:7" x14ac:dyDescent="0.25">
      <c r="A11" t="s">
        <v>1572</v>
      </c>
      <c r="B11">
        <v>42</v>
      </c>
      <c r="C11" s="56">
        <v>42705</v>
      </c>
      <c r="D11" s="3" t="str">
        <f>YEAR(Datos_Consumo[[#This Row],[FECHA]])&amp;"-"&amp;MONTH(Datos_Consumo[[#This Row],[FECHA]])</f>
        <v>2016-12</v>
      </c>
    </row>
    <row r="12" spans="1:7" x14ac:dyDescent="0.25">
      <c r="A12" t="s">
        <v>1572</v>
      </c>
      <c r="B12">
        <v>12</v>
      </c>
      <c r="C12" s="56">
        <v>42736</v>
      </c>
      <c r="D12" s="3" t="str">
        <f>YEAR(Datos_Consumo[[#This Row],[FECHA]])&amp;"-"&amp;MONTH(Datos_Consumo[[#This Row],[FECHA]])</f>
        <v>2017-1</v>
      </c>
    </row>
    <row r="13" spans="1:7" x14ac:dyDescent="0.25">
      <c r="A13" t="s">
        <v>1573</v>
      </c>
      <c r="B13">
        <v>13</v>
      </c>
      <c r="C13" s="56">
        <v>42675</v>
      </c>
      <c r="D13" s="3" t="str">
        <f>YEAR(Datos_Consumo[[#This Row],[FECHA]])&amp;"-"&amp;MONTH(Datos_Consumo[[#This Row],[FECHA]])</f>
        <v>2016-11</v>
      </c>
    </row>
    <row r="14" spans="1:7" x14ac:dyDescent="0.25">
      <c r="A14" t="s">
        <v>1573</v>
      </c>
      <c r="B14">
        <v>12</v>
      </c>
      <c r="C14" s="56">
        <v>42705</v>
      </c>
      <c r="D14" s="3" t="str">
        <f>YEAR(Datos_Consumo[[#This Row],[FECHA]])&amp;"-"&amp;MONTH(Datos_Consumo[[#This Row],[FECHA]])</f>
        <v>2016-12</v>
      </c>
    </row>
    <row r="15" spans="1:7" x14ac:dyDescent="0.25">
      <c r="A15" t="s">
        <v>1585</v>
      </c>
      <c r="B15">
        <v>1</v>
      </c>
      <c r="C15" s="56">
        <v>42675</v>
      </c>
      <c r="D15" s="3" t="str">
        <f>YEAR(Datos_Consumo[[#This Row],[FECHA]])&amp;"-"&amp;MONTH(Datos_Consumo[[#This Row],[FECHA]])</f>
        <v>2016-11</v>
      </c>
    </row>
    <row r="16" spans="1:7" x14ac:dyDescent="0.25">
      <c r="A16" t="s">
        <v>1585</v>
      </c>
      <c r="B16">
        <v>2</v>
      </c>
      <c r="C16" s="56">
        <v>42736</v>
      </c>
      <c r="D16" s="3" t="str">
        <f>YEAR(Datos_Consumo[[#This Row],[FECHA]])&amp;"-"&amp;MONTH(Datos_Consumo[[#This Row],[FECHA]])</f>
        <v>2017-1</v>
      </c>
    </row>
    <row r="17" spans="1:4" x14ac:dyDescent="0.25">
      <c r="A17" t="s">
        <v>1586</v>
      </c>
      <c r="B17">
        <v>1</v>
      </c>
      <c r="C17" s="56">
        <v>42736</v>
      </c>
      <c r="D17" s="3" t="str">
        <f>YEAR(Datos_Consumo[[#This Row],[FECHA]])&amp;"-"&amp;MONTH(Datos_Consumo[[#This Row],[FECHA]])</f>
        <v>2017-1</v>
      </c>
    </row>
    <row r="18" spans="1:4" x14ac:dyDescent="0.25">
      <c r="A18" t="s">
        <v>1587</v>
      </c>
      <c r="B18">
        <v>1</v>
      </c>
      <c r="C18" s="56">
        <v>42736</v>
      </c>
      <c r="D18" s="3" t="str">
        <f>YEAR(Datos_Consumo[[#This Row],[FECHA]])&amp;"-"&amp;MONTH(Datos_Consumo[[#This Row],[FECHA]])</f>
        <v>2017-1</v>
      </c>
    </row>
    <row r="19" spans="1:4" x14ac:dyDescent="0.25">
      <c r="A19" t="s">
        <v>1588</v>
      </c>
      <c r="B19">
        <v>8</v>
      </c>
      <c r="C19" s="56">
        <v>42705</v>
      </c>
      <c r="D19" s="3" t="str">
        <f>YEAR(Datos_Consumo[[#This Row],[FECHA]])&amp;"-"&amp;MONTH(Datos_Consumo[[#This Row],[FECHA]])</f>
        <v>2016-12</v>
      </c>
    </row>
    <row r="20" spans="1:4" x14ac:dyDescent="0.25">
      <c r="A20" t="s">
        <v>1589</v>
      </c>
      <c r="B20">
        <v>1</v>
      </c>
      <c r="C20" s="56">
        <v>42736</v>
      </c>
      <c r="D20" s="3" t="str">
        <f>YEAR(Datos_Consumo[[#This Row],[FECHA]])&amp;"-"&amp;MONTH(Datos_Consumo[[#This Row],[FECHA]])</f>
        <v>2017-1</v>
      </c>
    </row>
    <row r="21" spans="1:4" x14ac:dyDescent="0.25">
      <c r="A21" t="s">
        <v>1590</v>
      </c>
      <c r="B21">
        <v>1</v>
      </c>
      <c r="C21" s="56">
        <v>42675</v>
      </c>
      <c r="D21" s="3" t="str">
        <f>YEAR(Datos_Consumo[[#This Row],[FECHA]])&amp;"-"&amp;MONTH(Datos_Consumo[[#This Row],[FECHA]])</f>
        <v>2016-11</v>
      </c>
    </row>
    <row r="22" spans="1:4" x14ac:dyDescent="0.25">
      <c r="A22" t="s">
        <v>1591</v>
      </c>
      <c r="B22">
        <v>1</v>
      </c>
      <c r="C22" s="56">
        <v>42736</v>
      </c>
      <c r="D22" s="3" t="str">
        <f>YEAR(Datos_Consumo[[#This Row],[FECHA]])&amp;"-"&amp;MONTH(Datos_Consumo[[#This Row],[FECHA]])</f>
        <v>2017-1</v>
      </c>
    </row>
    <row r="23" spans="1:4" x14ac:dyDescent="0.25">
      <c r="A23" t="s">
        <v>1592</v>
      </c>
      <c r="B23">
        <v>1</v>
      </c>
      <c r="C23" s="56">
        <v>42736</v>
      </c>
      <c r="D23" s="3" t="str">
        <f>YEAR(Datos_Consumo[[#This Row],[FECHA]])&amp;"-"&amp;MONTH(Datos_Consumo[[#This Row],[FECHA]])</f>
        <v>2017-1</v>
      </c>
    </row>
    <row r="24" spans="1:4" x14ac:dyDescent="0.25">
      <c r="A24" t="s">
        <v>1593</v>
      </c>
      <c r="B24">
        <v>2</v>
      </c>
      <c r="C24" s="56">
        <v>42675</v>
      </c>
      <c r="D24" s="3" t="str">
        <f>YEAR(Datos_Consumo[[#This Row],[FECHA]])&amp;"-"&amp;MONTH(Datos_Consumo[[#This Row],[FECHA]])</f>
        <v>2016-11</v>
      </c>
    </row>
    <row r="25" spans="1:4" x14ac:dyDescent="0.25">
      <c r="A25" t="s">
        <v>1594</v>
      </c>
      <c r="B25">
        <v>500</v>
      </c>
      <c r="C25" s="56">
        <v>42736</v>
      </c>
      <c r="D25" s="3" t="str">
        <f>YEAR(Datos_Consumo[[#This Row],[FECHA]])&amp;"-"&amp;MONTH(Datos_Consumo[[#This Row],[FECHA]])</f>
        <v>2017-1</v>
      </c>
    </row>
    <row r="26" spans="1:4" x14ac:dyDescent="0.25">
      <c r="A26" t="s">
        <v>1595</v>
      </c>
      <c r="B26">
        <v>500</v>
      </c>
      <c r="C26" s="56">
        <v>42705</v>
      </c>
      <c r="D26" s="3" t="str">
        <f>YEAR(Datos_Consumo[[#This Row],[FECHA]])&amp;"-"&amp;MONTH(Datos_Consumo[[#This Row],[FECHA]])</f>
        <v>2016-12</v>
      </c>
    </row>
    <row r="27" spans="1:4" x14ac:dyDescent="0.25">
      <c r="A27" t="s">
        <v>1596</v>
      </c>
      <c r="B27">
        <v>500</v>
      </c>
      <c r="C27" s="56">
        <v>42705</v>
      </c>
      <c r="D27" s="3" t="str">
        <f>YEAR(Datos_Consumo[[#This Row],[FECHA]])&amp;"-"&amp;MONTH(Datos_Consumo[[#This Row],[FECHA]])</f>
        <v>2016-12</v>
      </c>
    </row>
    <row r="28" spans="1:4" x14ac:dyDescent="0.25">
      <c r="A28" t="s">
        <v>1597</v>
      </c>
      <c r="B28">
        <v>500</v>
      </c>
      <c r="C28" s="56">
        <v>42705</v>
      </c>
      <c r="D28" s="3" t="str">
        <f>YEAR(Datos_Consumo[[#This Row],[FECHA]])&amp;"-"&amp;MONTH(Datos_Consumo[[#This Row],[FECHA]])</f>
        <v>2016-12</v>
      </c>
    </row>
    <row r="29" spans="1:4" x14ac:dyDescent="0.25">
      <c r="A29" t="s">
        <v>1597</v>
      </c>
      <c r="B29">
        <v>500</v>
      </c>
      <c r="C29" s="56">
        <v>42736</v>
      </c>
      <c r="D29" s="3" t="str">
        <f>YEAR(Datos_Consumo[[#This Row],[FECHA]])&amp;"-"&amp;MONTH(Datos_Consumo[[#This Row],[FECHA]])</f>
        <v>2017-1</v>
      </c>
    </row>
    <row r="30" spans="1:4" x14ac:dyDescent="0.25">
      <c r="A30" t="s">
        <v>1598</v>
      </c>
      <c r="B30">
        <v>500</v>
      </c>
      <c r="C30" s="56">
        <v>42705</v>
      </c>
      <c r="D30" s="3" t="str">
        <f>YEAR(Datos_Consumo[[#This Row],[FECHA]])&amp;"-"&amp;MONTH(Datos_Consumo[[#This Row],[FECHA]])</f>
        <v>2016-12</v>
      </c>
    </row>
    <row r="31" spans="1:4" x14ac:dyDescent="0.25">
      <c r="A31" t="s">
        <v>1598</v>
      </c>
      <c r="B31">
        <v>500</v>
      </c>
      <c r="C31" s="56">
        <v>42736</v>
      </c>
      <c r="D31" s="3" t="str">
        <f>YEAR(Datos_Consumo[[#This Row],[FECHA]])&amp;"-"&amp;MONTH(Datos_Consumo[[#This Row],[FECHA]])</f>
        <v>2017-1</v>
      </c>
    </row>
    <row r="32" spans="1:4" x14ac:dyDescent="0.25">
      <c r="A32" t="s">
        <v>1399</v>
      </c>
      <c r="B32">
        <v>2</v>
      </c>
      <c r="C32" s="56">
        <v>42675</v>
      </c>
      <c r="D32" s="3" t="str">
        <f>YEAR(Datos_Consumo[[#This Row],[FECHA]])&amp;"-"&amp;MONTH(Datos_Consumo[[#This Row],[FECHA]])</f>
        <v>2016-11</v>
      </c>
    </row>
    <row r="33" spans="1:4" x14ac:dyDescent="0.25">
      <c r="A33" t="s">
        <v>1400</v>
      </c>
      <c r="B33">
        <v>1</v>
      </c>
      <c r="C33" s="56">
        <v>42705</v>
      </c>
      <c r="D33" s="3" t="str">
        <f>YEAR(Datos_Consumo[[#This Row],[FECHA]])&amp;"-"&amp;MONTH(Datos_Consumo[[#This Row],[FECHA]])</f>
        <v>2016-12</v>
      </c>
    </row>
    <row r="34" spans="1:4" x14ac:dyDescent="0.25">
      <c r="A34" t="s">
        <v>1401</v>
      </c>
      <c r="B34">
        <v>45</v>
      </c>
      <c r="C34" s="56">
        <v>42675</v>
      </c>
      <c r="D34" s="3" t="str">
        <f>YEAR(Datos_Consumo[[#This Row],[FECHA]])&amp;"-"&amp;MONTH(Datos_Consumo[[#This Row],[FECHA]])</f>
        <v>2016-11</v>
      </c>
    </row>
    <row r="35" spans="1:4" x14ac:dyDescent="0.25">
      <c r="A35" t="s">
        <v>1402</v>
      </c>
      <c r="B35">
        <v>4</v>
      </c>
      <c r="C35" s="56">
        <v>42675</v>
      </c>
      <c r="D35" s="3" t="str">
        <f>YEAR(Datos_Consumo[[#This Row],[FECHA]])&amp;"-"&amp;MONTH(Datos_Consumo[[#This Row],[FECHA]])</f>
        <v>2016-11</v>
      </c>
    </row>
    <row r="36" spans="1:4" x14ac:dyDescent="0.25">
      <c r="A36" t="s">
        <v>1599</v>
      </c>
      <c r="B36">
        <v>15</v>
      </c>
      <c r="C36" s="56">
        <v>42705</v>
      </c>
      <c r="D36" s="3" t="str">
        <f>YEAR(Datos_Consumo[[#This Row],[FECHA]])&amp;"-"&amp;MONTH(Datos_Consumo[[#This Row],[FECHA]])</f>
        <v>2016-12</v>
      </c>
    </row>
    <row r="37" spans="1:4" x14ac:dyDescent="0.25">
      <c r="A37" t="s">
        <v>1600</v>
      </c>
      <c r="B37">
        <v>15</v>
      </c>
      <c r="C37" s="56">
        <v>42705</v>
      </c>
      <c r="D37" s="3" t="str">
        <f>YEAR(Datos_Consumo[[#This Row],[FECHA]])&amp;"-"&amp;MONTH(Datos_Consumo[[#This Row],[FECHA]])</f>
        <v>2016-12</v>
      </c>
    </row>
    <row r="38" spans="1:4" x14ac:dyDescent="0.25">
      <c r="A38" t="s">
        <v>1601</v>
      </c>
      <c r="B38">
        <v>80</v>
      </c>
      <c r="C38" s="56">
        <v>42705</v>
      </c>
      <c r="D38" s="3" t="str">
        <f>YEAR(Datos_Consumo[[#This Row],[FECHA]])&amp;"-"&amp;MONTH(Datos_Consumo[[#This Row],[FECHA]])</f>
        <v>2016-12</v>
      </c>
    </row>
    <row r="39" spans="1:4" x14ac:dyDescent="0.25">
      <c r="A39" t="s">
        <v>1601</v>
      </c>
      <c r="B39">
        <v>80</v>
      </c>
      <c r="C39" s="56">
        <v>42736</v>
      </c>
      <c r="D39" s="3" t="str">
        <f>YEAR(Datos_Consumo[[#This Row],[FECHA]])&amp;"-"&amp;MONTH(Datos_Consumo[[#This Row],[FECHA]])</f>
        <v>2017-1</v>
      </c>
    </row>
    <row r="40" spans="1:4" x14ac:dyDescent="0.25">
      <c r="A40" t="s">
        <v>1403</v>
      </c>
      <c r="B40">
        <v>25</v>
      </c>
      <c r="C40" s="56">
        <v>42736</v>
      </c>
      <c r="D40" s="3" t="str">
        <f>YEAR(Datos_Consumo[[#This Row],[FECHA]])&amp;"-"&amp;MONTH(Datos_Consumo[[#This Row],[FECHA]])</f>
        <v>2017-1</v>
      </c>
    </row>
    <row r="41" spans="1:4" x14ac:dyDescent="0.25">
      <c r="A41" t="s">
        <v>1602</v>
      </c>
      <c r="B41">
        <v>1</v>
      </c>
      <c r="C41" s="56">
        <v>42705</v>
      </c>
      <c r="D41" s="3" t="str">
        <f>YEAR(Datos_Consumo[[#This Row],[FECHA]])&amp;"-"&amp;MONTH(Datos_Consumo[[#This Row],[FECHA]])</f>
        <v>2016-12</v>
      </c>
    </row>
    <row r="42" spans="1:4" x14ac:dyDescent="0.25">
      <c r="A42" t="s">
        <v>1602</v>
      </c>
      <c r="B42">
        <v>4</v>
      </c>
      <c r="C42" s="56">
        <v>42736</v>
      </c>
      <c r="D42" s="3" t="str">
        <f>YEAR(Datos_Consumo[[#This Row],[FECHA]])&amp;"-"&amp;MONTH(Datos_Consumo[[#This Row],[FECHA]])</f>
        <v>2017-1</v>
      </c>
    </row>
    <row r="43" spans="1:4" x14ac:dyDescent="0.25">
      <c r="A43" t="s">
        <v>1404</v>
      </c>
      <c r="B43">
        <v>1</v>
      </c>
      <c r="C43" s="56">
        <v>42705</v>
      </c>
      <c r="D43" s="3" t="str">
        <f>YEAR(Datos_Consumo[[#This Row],[FECHA]])&amp;"-"&amp;MONTH(Datos_Consumo[[#This Row],[FECHA]])</f>
        <v>2016-12</v>
      </c>
    </row>
    <row r="44" spans="1:4" x14ac:dyDescent="0.25">
      <c r="A44" t="s">
        <v>1404</v>
      </c>
      <c r="B44">
        <v>2</v>
      </c>
      <c r="C44" s="56">
        <v>42736</v>
      </c>
      <c r="D44" s="3" t="str">
        <f>YEAR(Datos_Consumo[[#This Row],[FECHA]])&amp;"-"&amp;MONTH(Datos_Consumo[[#This Row],[FECHA]])</f>
        <v>2017-1</v>
      </c>
    </row>
    <row r="45" spans="1:4" x14ac:dyDescent="0.25">
      <c r="A45" t="s">
        <v>1405</v>
      </c>
      <c r="B45">
        <v>7</v>
      </c>
      <c r="C45" s="56">
        <v>42675</v>
      </c>
      <c r="D45" s="3" t="str">
        <f>YEAR(Datos_Consumo[[#This Row],[FECHA]])&amp;"-"&amp;MONTH(Datos_Consumo[[#This Row],[FECHA]])</f>
        <v>2016-11</v>
      </c>
    </row>
    <row r="46" spans="1:4" x14ac:dyDescent="0.25">
      <c r="A46" t="s">
        <v>1405</v>
      </c>
      <c r="B46">
        <v>0.4</v>
      </c>
      <c r="C46" s="56">
        <v>42705</v>
      </c>
      <c r="D46" s="3" t="str">
        <f>YEAR(Datos_Consumo[[#This Row],[FECHA]])&amp;"-"&amp;MONTH(Datos_Consumo[[#This Row],[FECHA]])</f>
        <v>2016-12</v>
      </c>
    </row>
    <row r="47" spans="1:4" x14ac:dyDescent="0.25">
      <c r="A47" t="s">
        <v>1405</v>
      </c>
      <c r="B47">
        <v>2</v>
      </c>
      <c r="C47" s="56">
        <v>42736</v>
      </c>
      <c r="D47" s="3" t="str">
        <f>YEAR(Datos_Consumo[[#This Row],[FECHA]])&amp;"-"&amp;MONTH(Datos_Consumo[[#This Row],[FECHA]])</f>
        <v>2017-1</v>
      </c>
    </row>
    <row r="48" spans="1:4" x14ac:dyDescent="0.25">
      <c r="A48" t="s">
        <v>1406</v>
      </c>
      <c r="B48">
        <v>2</v>
      </c>
      <c r="C48" s="56">
        <v>42675</v>
      </c>
      <c r="D48" s="3" t="str">
        <f>YEAR(Datos_Consumo[[#This Row],[FECHA]])&amp;"-"&amp;MONTH(Datos_Consumo[[#This Row],[FECHA]])</f>
        <v>2016-11</v>
      </c>
    </row>
    <row r="49" spans="1:4" x14ac:dyDescent="0.25">
      <c r="A49" t="s">
        <v>1406</v>
      </c>
      <c r="B49">
        <v>0.4</v>
      </c>
      <c r="C49" s="56">
        <v>42705</v>
      </c>
      <c r="D49" s="3" t="str">
        <f>YEAR(Datos_Consumo[[#This Row],[FECHA]])&amp;"-"&amp;MONTH(Datos_Consumo[[#This Row],[FECHA]])</f>
        <v>2016-12</v>
      </c>
    </row>
    <row r="50" spans="1:4" x14ac:dyDescent="0.25">
      <c r="A50" t="s">
        <v>1406</v>
      </c>
      <c r="B50">
        <v>3</v>
      </c>
      <c r="C50" s="56">
        <v>42736</v>
      </c>
      <c r="D50" s="3" t="str">
        <f>YEAR(Datos_Consumo[[#This Row],[FECHA]])&amp;"-"&amp;MONTH(Datos_Consumo[[#This Row],[FECHA]])</f>
        <v>2017-1</v>
      </c>
    </row>
    <row r="51" spans="1:4" x14ac:dyDescent="0.25">
      <c r="A51" t="s">
        <v>1378</v>
      </c>
      <c r="B51">
        <v>0.4</v>
      </c>
      <c r="C51" s="56">
        <v>42705</v>
      </c>
      <c r="D51" s="3" t="str">
        <f>YEAR(Datos_Consumo[[#This Row],[FECHA]])&amp;"-"&amp;MONTH(Datos_Consumo[[#This Row],[FECHA]])</f>
        <v>2016-12</v>
      </c>
    </row>
    <row r="52" spans="1:4" x14ac:dyDescent="0.25">
      <c r="A52" t="s">
        <v>1378</v>
      </c>
      <c r="B52">
        <v>12</v>
      </c>
      <c r="C52" s="56">
        <v>42736</v>
      </c>
      <c r="D52" s="3" t="str">
        <f>YEAR(Datos_Consumo[[#This Row],[FECHA]])&amp;"-"&amp;MONTH(Datos_Consumo[[#This Row],[FECHA]])</f>
        <v>2017-1</v>
      </c>
    </row>
    <row r="53" spans="1:4" x14ac:dyDescent="0.25">
      <c r="A53" t="s">
        <v>1379</v>
      </c>
      <c r="B53">
        <v>1</v>
      </c>
      <c r="C53" s="56">
        <v>42675</v>
      </c>
      <c r="D53" s="3" t="str">
        <f>YEAR(Datos_Consumo[[#This Row],[FECHA]])&amp;"-"&amp;MONTH(Datos_Consumo[[#This Row],[FECHA]])</f>
        <v>2016-11</v>
      </c>
    </row>
    <row r="54" spans="1:4" x14ac:dyDescent="0.25">
      <c r="A54" t="s">
        <v>1379</v>
      </c>
      <c r="B54">
        <v>150</v>
      </c>
      <c r="C54" s="56">
        <v>42705</v>
      </c>
      <c r="D54" s="3" t="str">
        <f>YEAR(Datos_Consumo[[#This Row],[FECHA]])&amp;"-"&amp;MONTH(Datos_Consumo[[#This Row],[FECHA]])</f>
        <v>2016-12</v>
      </c>
    </row>
    <row r="55" spans="1:4" x14ac:dyDescent="0.25">
      <c r="A55" t="s">
        <v>1379</v>
      </c>
      <c r="B55">
        <v>149</v>
      </c>
      <c r="C55" s="56">
        <v>42736</v>
      </c>
      <c r="D55" s="3" t="str">
        <f>YEAR(Datos_Consumo[[#This Row],[FECHA]])&amp;"-"&amp;MONTH(Datos_Consumo[[#This Row],[FECHA]])</f>
        <v>2017-1</v>
      </c>
    </row>
    <row r="56" spans="1:4" x14ac:dyDescent="0.25">
      <c r="A56" t="s">
        <v>1407</v>
      </c>
      <c r="B56">
        <v>3240</v>
      </c>
      <c r="C56" s="56">
        <v>42675</v>
      </c>
      <c r="D56" s="3" t="str">
        <f>YEAR(Datos_Consumo[[#This Row],[FECHA]])&amp;"-"&amp;MONTH(Datos_Consumo[[#This Row],[FECHA]])</f>
        <v>2016-11</v>
      </c>
    </row>
    <row r="57" spans="1:4" x14ac:dyDescent="0.25">
      <c r="A57" t="s">
        <v>1407</v>
      </c>
      <c r="B57">
        <v>2014</v>
      </c>
      <c r="C57" s="56">
        <v>42705</v>
      </c>
      <c r="D57" s="3" t="str">
        <f>YEAR(Datos_Consumo[[#This Row],[FECHA]])&amp;"-"&amp;MONTH(Datos_Consumo[[#This Row],[FECHA]])</f>
        <v>2016-12</v>
      </c>
    </row>
    <row r="58" spans="1:4" x14ac:dyDescent="0.25">
      <c r="A58" t="s">
        <v>1407</v>
      </c>
      <c r="B58">
        <v>80</v>
      </c>
      <c r="C58" s="56">
        <v>42736</v>
      </c>
      <c r="D58" s="3" t="str">
        <f>YEAR(Datos_Consumo[[#This Row],[FECHA]])&amp;"-"&amp;MONTH(Datos_Consumo[[#This Row],[FECHA]])</f>
        <v>2017-1</v>
      </c>
    </row>
    <row r="59" spans="1:4" x14ac:dyDescent="0.25">
      <c r="A59" t="s">
        <v>1603</v>
      </c>
      <c r="B59">
        <v>70</v>
      </c>
      <c r="C59" s="56">
        <v>42675</v>
      </c>
      <c r="D59" s="3" t="str">
        <f>YEAR(Datos_Consumo[[#This Row],[FECHA]])&amp;"-"&amp;MONTH(Datos_Consumo[[#This Row],[FECHA]])</f>
        <v>2016-11</v>
      </c>
    </row>
    <row r="60" spans="1:4" x14ac:dyDescent="0.25">
      <c r="A60" t="s">
        <v>1603</v>
      </c>
      <c r="B60">
        <v>60</v>
      </c>
      <c r="C60" s="56">
        <v>42736</v>
      </c>
      <c r="D60" s="3" t="str">
        <f>YEAR(Datos_Consumo[[#This Row],[FECHA]])&amp;"-"&amp;MONTH(Datos_Consumo[[#This Row],[FECHA]])</f>
        <v>2017-1</v>
      </c>
    </row>
    <row r="61" spans="1:4" x14ac:dyDescent="0.25">
      <c r="A61" t="s">
        <v>1408</v>
      </c>
      <c r="B61">
        <v>15</v>
      </c>
      <c r="C61" s="56">
        <v>42675</v>
      </c>
      <c r="D61" s="3" t="str">
        <f>YEAR(Datos_Consumo[[#This Row],[FECHA]])&amp;"-"&amp;MONTH(Datos_Consumo[[#This Row],[FECHA]])</f>
        <v>2016-11</v>
      </c>
    </row>
    <row r="62" spans="1:4" x14ac:dyDescent="0.25">
      <c r="A62" t="s">
        <v>1408</v>
      </c>
      <c r="B62">
        <v>20</v>
      </c>
      <c r="C62" s="56">
        <v>42736</v>
      </c>
      <c r="D62" s="3" t="str">
        <f>YEAR(Datos_Consumo[[#This Row],[FECHA]])&amp;"-"&amp;MONTH(Datos_Consumo[[#This Row],[FECHA]])</f>
        <v>2017-1</v>
      </c>
    </row>
    <row r="63" spans="1:4" x14ac:dyDescent="0.25">
      <c r="A63" t="s">
        <v>1409</v>
      </c>
      <c r="B63">
        <v>59</v>
      </c>
      <c r="C63" s="56">
        <v>42675</v>
      </c>
      <c r="D63" s="3" t="str">
        <f>YEAR(Datos_Consumo[[#This Row],[FECHA]])&amp;"-"&amp;MONTH(Datos_Consumo[[#This Row],[FECHA]])</f>
        <v>2016-11</v>
      </c>
    </row>
    <row r="64" spans="1:4" x14ac:dyDescent="0.25">
      <c r="A64" t="s">
        <v>1409</v>
      </c>
      <c r="B64">
        <v>28</v>
      </c>
      <c r="C64" s="56">
        <v>42705</v>
      </c>
      <c r="D64" s="3" t="str">
        <f>YEAR(Datos_Consumo[[#This Row],[FECHA]])&amp;"-"&amp;MONTH(Datos_Consumo[[#This Row],[FECHA]])</f>
        <v>2016-12</v>
      </c>
    </row>
    <row r="65" spans="1:4" x14ac:dyDescent="0.25">
      <c r="A65" t="s">
        <v>1409</v>
      </c>
      <c r="B65">
        <v>29</v>
      </c>
      <c r="C65" s="56">
        <v>42736</v>
      </c>
      <c r="D65" s="3" t="str">
        <f>YEAR(Datos_Consumo[[#This Row],[FECHA]])&amp;"-"&amp;MONTH(Datos_Consumo[[#This Row],[FECHA]])</f>
        <v>2017-1</v>
      </c>
    </row>
    <row r="66" spans="1:4" x14ac:dyDescent="0.25">
      <c r="A66" t="s">
        <v>1410</v>
      </c>
      <c r="B66">
        <v>1</v>
      </c>
      <c r="C66" s="56">
        <v>42736</v>
      </c>
      <c r="D66" s="3" t="str">
        <f>YEAR(Datos_Consumo[[#This Row],[FECHA]])&amp;"-"&amp;MONTH(Datos_Consumo[[#This Row],[FECHA]])</f>
        <v>2017-1</v>
      </c>
    </row>
    <row r="67" spans="1:4" x14ac:dyDescent="0.25">
      <c r="A67" t="s">
        <v>1604</v>
      </c>
      <c r="B67">
        <v>1</v>
      </c>
      <c r="C67" s="56">
        <v>42736</v>
      </c>
      <c r="D67" s="3" t="str">
        <f>YEAR(Datos_Consumo[[#This Row],[FECHA]])&amp;"-"&amp;MONTH(Datos_Consumo[[#This Row],[FECHA]])</f>
        <v>2017-1</v>
      </c>
    </row>
    <row r="68" spans="1:4" x14ac:dyDescent="0.25">
      <c r="A68" t="s">
        <v>1605</v>
      </c>
      <c r="B68">
        <v>3</v>
      </c>
      <c r="C68" s="56">
        <v>42675</v>
      </c>
      <c r="D68" s="3" t="str">
        <f>YEAR(Datos_Consumo[[#This Row],[FECHA]])&amp;"-"&amp;MONTH(Datos_Consumo[[#This Row],[FECHA]])</f>
        <v>2016-11</v>
      </c>
    </row>
    <row r="69" spans="1:4" x14ac:dyDescent="0.25">
      <c r="A69" t="s">
        <v>1605</v>
      </c>
      <c r="B69">
        <v>2</v>
      </c>
      <c r="C69" s="56">
        <v>42736</v>
      </c>
      <c r="D69" s="3" t="str">
        <f>YEAR(Datos_Consumo[[#This Row],[FECHA]])&amp;"-"&amp;MONTH(Datos_Consumo[[#This Row],[FECHA]])</f>
        <v>2017-1</v>
      </c>
    </row>
    <row r="70" spans="1:4" x14ac:dyDescent="0.25">
      <c r="A70" t="s">
        <v>1606</v>
      </c>
      <c r="B70">
        <v>2</v>
      </c>
      <c r="C70" s="56">
        <v>42675</v>
      </c>
      <c r="D70" s="3" t="str">
        <f>YEAR(Datos_Consumo[[#This Row],[FECHA]])&amp;"-"&amp;MONTH(Datos_Consumo[[#This Row],[FECHA]])</f>
        <v>2016-11</v>
      </c>
    </row>
    <row r="71" spans="1:4" x14ac:dyDescent="0.25">
      <c r="A71" t="s">
        <v>1606</v>
      </c>
      <c r="B71">
        <v>2</v>
      </c>
      <c r="C71" s="56">
        <v>42736</v>
      </c>
      <c r="D71" s="3" t="str">
        <f>YEAR(Datos_Consumo[[#This Row],[FECHA]])&amp;"-"&amp;MONTH(Datos_Consumo[[#This Row],[FECHA]])</f>
        <v>2017-1</v>
      </c>
    </row>
    <row r="72" spans="1:4" x14ac:dyDescent="0.25">
      <c r="A72" t="s">
        <v>1607</v>
      </c>
      <c r="B72">
        <v>1</v>
      </c>
      <c r="C72" s="56">
        <v>42736</v>
      </c>
      <c r="D72" s="3" t="str">
        <f>YEAR(Datos_Consumo[[#This Row],[FECHA]])&amp;"-"&amp;MONTH(Datos_Consumo[[#This Row],[FECHA]])</f>
        <v>2017-1</v>
      </c>
    </row>
    <row r="73" spans="1:4" x14ac:dyDescent="0.25">
      <c r="A73" t="s">
        <v>1380</v>
      </c>
      <c r="B73">
        <v>5</v>
      </c>
      <c r="C73" s="56">
        <v>42675</v>
      </c>
      <c r="D73" s="3" t="str">
        <f>YEAR(Datos_Consumo[[#This Row],[FECHA]])&amp;"-"&amp;MONTH(Datos_Consumo[[#This Row],[FECHA]])</f>
        <v>2016-11</v>
      </c>
    </row>
    <row r="74" spans="1:4" x14ac:dyDescent="0.25">
      <c r="A74" t="s">
        <v>1380</v>
      </c>
      <c r="B74">
        <v>328</v>
      </c>
      <c r="C74" s="56">
        <v>42705</v>
      </c>
      <c r="D74" s="3" t="str">
        <f>YEAR(Datos_Consumo[[#This Row],[FECHA]])&amp;"-"&amp;MONTH(Datos_Consumo[[#This Row],[FECHA]])</f>
        <v>2016-12</v>
      </c>
    </row>
    <row r="75" spans="1:4" x14ac:dyDescent="0.25">
      <c r="A75" t="s">
        <v>1380</v>
      </c>
      <c r="B75">
        <v>182</v>
      </c>
      <c r="C75" s="56">
        <v>42736</v>
      </c>
      <c r="D75" s="3" t="str">
        <f>YEAR(Datos_Consumo[[#This Row],[FECHA]])&amp;"-"&amp;MONTH(Datos_Consumo[[#This Row],[FECHA]])</f>
        <v>2017-1</v>
      </c>
    </row>
    <row r="76" spans="1:4" x14ac:dyDescent="0.25">
      <c r="A76" t="s">
        <v>1411</v>
      </c>
      <c r="B76">
        <v>400</v>
      </c>
      <c r="C76" s="56">
        <v>42675</v>
      </c>
      <c r="D76" s="3" t="str">
        <f>YEAR(Datos_Consumo[[#This Row],[FECHA]])&amp;"-"&amp;MONTH(Datos_Consumo[[#This Row],[FECHA]])</f>
        <v>2016-11</v>
      </c>
    </row>
    <row r="77" spans="1:4" x14ac:dyDescent="0.25">
      <c r="A77" t="s">
        <v>1411</v>
      </c>
      <c r="B77">
        <v>420</v>
      </c>
      <c r="C77" s="56">
        <v>42705</v>
      </c>
      <c r="D77" s="3" t="str">
        <f>YEAR(Datos_Consumo[[#This Row],[FECHA]])&amp;"-"&amp;MONTH(Datos_Consumo[[#This Row],[FECHA]])</f>
        <v>2016-12</v>
      </c>
    </row>
    <row r="78" spans="1:4" x14ac:dyDescent="0.25">
      <c r="A78" t="s">
        <v>1412</v>
      </c>
      <c r="B78">
        <v>95</v>
      </c>
      <c r="C78" s="56">
        <v>42705</v>
      </c>
      <c r="D78" s="3" t="str">
        <f>YEAR(Datos_Consumo[[#This Row],[FECHA]])&amp;"-"&amp;MONTH(Datos_Consumo[[#This Row],[FECHA]])</f>
        <v>2016-12</v>
      </c>
    </row>
    <row r="79" spans="1:4" x14ac:dyDescent="0.25">
      <c r="A79" t="s">
        <v>1412</v>
      </c>
      <c r="B79">
        <v>20</v>
      </c>
      <c r="C79" s="56">
        <v>42736</v>
      </c>
      <c r="D79" s="3" t="str">
        <f>YEAR(Datos_Consumo[[#This Row],[FECHA]])&amp;"-"&amp;MONTH(Datos_Consumo[[#This Row],[FECHA]])</f>
        <v>2017-1</v>
      </c>
    </row>
    <row r="80" spans="1:4" x14ac:dyDescent="0.25">
      <c r="A80" t="s">
        <v>1413</v>
      </c>
      <c r="B80">
        <v>200</v>
      </c>
      <c r="C80" s="56">
        <v>42675</v>
      </c>
      <c r="D80" s="3" t="str">
        <f>YEAR(Datos_Consumo[[#This Row],[FECHA]])&amp;"-"&amp;MONTH(Datos_Consumo[[#This Row],[FECHA]])</f>
        <v>2016-11</v>
      </c>
    </row>
    <row r="81" spans="1:4" x14ac:dyDescent="0.25">
      <c r="A81" t="s">
        <v>1413</v>
      </c>
      <c r="B81">
        <v>1690</v>
      </c>
      <c r="C81" s="56">
        <v>42705</v>
      </c>
      <c r="D81" s="3" t="str">
        <f>YEAR(Datos_Consumo[[#This Row],[FECHA]])&amp;"-"&amp;MONTH(Datos_Consumo[[#This Row],[FECHA]])</f>
        <v>2016-12</v>
      </c>
    </row>
    <row r="82" spans="1:4" x14ac:dyDescent="0.25">
      <c r="A82" t="s">
        <v>1414</v>
      </c>
      <c r="B82">
        <v>50</v>
      </c>
      <c r="C82" s="56">
        <v>42705</v>
      </c>
      <c r="D82" s="3" t="str">
        <f>YEAR(Datos_Consumo[[#This Row],[FECHA]])&amp;"-"&amp;MONTH(Datos_Consumo[[#This Row],[FECHA]])</f>
        <v>2016-12</v>
      </c>
    </row>
    <row r="83" spans="1:4" x14ac:dyDescent="0.25">
      <c r="A83" t="s">
        <v>1415</v>
      </c>
      <c r="B83">
        <v>10</v>
      </c>
      <c r="C83" s="56">
        <v>42675</v>
      </c>
      <c r="D83" s="3" t="str">
        <f>YEAR(Datos_Consumo[[#This Row],[FECHA]])&amp;"-"&amp;MONTH(Datos_Consumo[[#This Row],[FECHA]])</f>
        <v>2016-11</v>
      </c>
    </row>
    <row r="84" spans="1:4" x14ac:dyDescent="0.25">
      <c r="A84" t="s">
        <v>1415</v>
      </c>
      <c r="B84">
        <v>35</v>
      </c>
      <c r="C84" s="56">
        <v>42705</v>
      </c>
      <c r="D84" s="3" t="str">
        <f>YEAR(Datos_Consumo[[#This Row],[FECHA]])&amp;"-"&amp;MONTH(Datos_Consumo[[#This Row],[FECHA]])</f>
        <v>2016-12</v>
      </c>
    </row>
    <row r="85" spans="1:4" x14ac:dyDescent="0.25">
      <c r="A85" t="s">
        <v>1415</v>
      </c>
      <c r="B85">
        <v>30</v>
      </c>
      <c r="C85" s="56">
        <v>42736</v>
      </c>
      <c r="D85" s="3" t="str">
        <f>YEAR(Datos_Consumo[[#This Row],[FECHA]])&amp;"-"&amp;MONTH(Datos_Consumo[[#This Row],[FECHA]])</f>
        <v>2017-1</v>
      </c>
    </row>
    <row r="86" spans="1:4" x14ac:dyDescent="0.25">
      <c r="A86" t="s">
        <v>1416</v>
      </c>
      <c r="B86">
        <v>25</v>
      </c>
      <c r="C86" s="56">
        <v>42675</v>
      </c>
      <c r="D86" s="3" t="str">
        <f>YEAR(Datos_Consumo[[#This Row],[FECHA]])&amp;"-"&amp;MONTH(Datos_Consumo[[#This Row],[FECHA]])</f>
        <v>2016-11</v>
      </c>
    </row>
    <row r="87" spans="1:4" x14ac:dyDescent="0.25">
      <c r="A87" t="s">
        <v>1416</v>
      </c>
      <c r="B87">
        <v>455</v>
      </c>
      <c r="C87" s="56">
        <v>42705</v>
      </c>
      <c r="D87" s="3" t="str">
        <f>YEAR(Datos_Consumo[[#This Row],[FECHA]])&amp;"-"&amp;MONTH(Datos_Consumo[[#This Row],[FECHA]])</f>
        <v>2016-12</v>
      </c>
    </row>
    <row r="88" spans="1:4" x14ac:dyDescent="0.25">
      <c r="A88" t="s">
        <v>1416</v>
      </c>
      <c r="B88">
        <v>38</v>
      </c>
      <c r="C88" s="56">
        <v>42736</v>
      </c>
      <c r="D88" s="3" t="str">
        <f>YEAR(Datos_Consumo[[#This Row],[FECHA]])&amp;"-"&amp;MONTH(Datos_Consumo[[#This Row],[FECHA]])</f>
        <v>2017-1</v>
      </c>
    </row>
    <row r="89" spans="1:4" x14ac:dyDescent="0.25">
      <c r="A89" t="s">
        <v>1417</v>
      </c>
      <c r="B89">
        <v>10</v>
      </c>
      <c r="C89" s="56">
        <v>42675</v>
      </c>
      <c r="D89" s="3" t="str">
        <f>YEAR(Datos_Consumo[[#This Row],[FECHA]])&amp;"-"&amp;MONTH(Datos_Consumo[[#This Row],[FECHA]])</f>
        <v>2016-11</v>
      </c>
    </row>
    <row r="90" spans="1:4" x14ac:dyDescent="0.25">
      <c r="A90" t="s">
        <v>1417</v>
      </c>
      <c r="B90">
        <v>20</v>
      </c>
      <c r="C90" s="56">
        <v>42705</v>
      </c>
      <c r="D90" s="3" t="str">
        <f>YEAR(Datos_Consumo[[#This Row],[FECHA]])&amp;"-"&amp;MONTH(Datos_Consumo[[#This Row],[FECHA]])</f>
        <v>2016-12</v>
      </c>
    </row>
    <row r="91" spans="1:4" x14ac:dyDescent="0.25">
      <c r="A91" t="s">
        <v>1417</v>
      </c>
      <c r="B91">
        <v>25</v>
      </c>
      <c r="C91" s="56">
        <v>42736</v>
      </c>
      <c r="D91" s="3" t="str">
        <f>YEAR(Datos_Consumo[[#This Row],[FECHA]])&amp;"-"&amp;MONTH(Datos_Consumo[[#This Row],[FECHA]])</f>
        <v>2017-1</v>
      </c>
    </row>
    <row r="92" spans="1:4" x14ac:dyDescent="0.25">
      <c r="A92" t="s">
        <v>1418</v>
      </c>
      <c r="B92">
        <v>8</v>
      </c>
      <c r="C92" s="56">
        <v>42736</v>
      </c>
      <c r="D92" s="3" t="str">
        <f>YEAR(Datos_Consumo[[#This Row],[FECHA]])&amp;"-"&amp;MONTH(Datos_Consumo[[#This Row],[FECHA]])</f>
        <v>2017-1</v>
      </c>
    </row>
    <row r="93" spans="1:4" x14ac:dyDescent="0.25">
      <c r="A93" t="s">
        <v>1381</v>
      </c>
      <c r="B93">
        <v>10</v>
      </c>
      <c r="C93" s="56">
        <v>42675</v>
      </c>
      <c r="D93" s="3" t="str">
        <f>YEAR(Datos_Consumo[[#This Row],[FECHA]])&amp;"-"&amp;MONTH(Datos_Consumo[[#This Row],[FECHA]])</f>
        <v>2016-11</v>
      </c>
    </row>
    <row r="94" spans="1:4" x14ac:dyDescent="0.25">
      <c r="A94" t="s">
        <v>1382</v>
      </c>
      <c r="B94">
        <v>5</v>
      </c>
      <c r="C94" s="56">
        <v>42736</v>
      </c>
      <c r="D94" s="3" t="str">
        <f>YEAR(Datos_Consumo[[#This Row],[FECHA]])&amp;"-"&amp;MONTH(Datos_Consumo[[#This Row],[FECHA]])</f>
        <v>2017-1</v>
      </c>
    </row>
    <row r="95" spans="1:4" x14ac:dyDescent="0.25">
      <c r="A95" t="s">
        <v>1419</v>
      </c>
      <c r="B95">
        <v>36</v>
      </c>
      <c r="C95" s="56">
        <v>42675</v>
      </c>
      <c r="D95" s="3" t="str">
        <f>YEAR(Datos_Consumo[[#This Row],[FECHA]])&amp;"-"&amp;MONTH(Datos_Consumo[[#This Row],[FECHA]])</f>
        <v>2016-11</v>
      </c>
    </row>
    <row r="96" spans="1:4" x14ac:dyDescent="0.25">
      <c r="A96" t="s">
        <v>1419</v>
      </c>
      <c r="B96">
        <v>8</v>
      </c>
      <c r="C96" s="56">
        <v>42705</v>
      </c>
      <c r="D96" s="3" t="str">
        <f>YEAR(Datos_Consumo[[#This Row],[FECHA]])&amp;"-"&amp;MONTH(Datos_Consumo[[#This Row],[FECHA]])</f>
        <v>2016-12</v>
      </c>
    </row>
    <row r="97" spans="1:4" x14ac:dyDescent="0.25">
      <c r="A97" t="s">
        <v>1419</v>
      </c>
      <c r="B97">
        <v>58</v>
      </c>
      <c r="C97" s="56">
        <v>42736</v>
      </c>
      <c r="D97" s="3" t="str">
        <f>YEAR(Datos_Consumo[[#This Row],[FECHA]])&amp;"-"&amp;MONTH(Datos_Consumo[[#This Row],[FECHA]])</f>
        <v>2017-1</v>
      </c>
    </row>
    <row r="98" spans="1:4" x14ac:dyDescent="0.25">
      <c r="A98" t="s">
        <v>1420</v>
      </c>
      <c r="B98">
        <v>45</v>
      </c>
      <c r="C98" s="56">
        <v>42675</v>
      </c>
      <c r="D98" s="3" t="str">
        <f>YEAR(Datos_Consumo[[#This Row],[FECHA]])&amp;"-"&amp;MONTH(Datos_Consumo[[#This Row],[FECHA]])</f>
        <v>2016-11</v>
      </c>
    </row>
    <row r="99" spans="1:4" x14ac:dyDescent="0.25">
      <c r="A99" t="s">
        <v>1420</v>
      </c>
      <c r="B99">
        <v>6</v>
      </c>
      <c r="C99" s="56">
        <v>42705</v>
      </c>
      <c r="D99" s="3" t="str">
        <f>YEAR(Datos_Consumo[[#This Row],[FECHA]])&amp;"-"&amp;MONTH(Datos_Consumo[[#This Row],[FECHA]])</f>
        <v>2016-12</v>
      </c>
    </row>
    <row r="100" spans="1:4" x14ac:dyDescent="0.25">
      <c r="A100" t="s">
        <v>1420</v>
      </c>
      <c r="B100">
        <v>20</v>
      </c>
      <c r="C100" s="56">
        <v>42736</v>
      </c>
      <c r="D100" s="3" t="str">
        <f>YEAR(Datos_Consumo[[#This Row],[FECHA]])&amp;"-"&amp;MONTH(Datos_Consumo[[#This Row],[FECHA]])</f>
        <v>2017-1</v>
      </c>
    </row>
    <row r="101" spans="1:4" x14ac:dyDescent="0.25">
      <c r="A101" t="s">
        <v>1421</v>
      </c>
      <c r="B101">
        <v>285</v>
      </c>
      <c r="C101" s="56">
        <v>42675</v>
      </c>
      <c r="D101" s="3" t="str">
        <f>YEAR(Datos_Consumo[[#This Row],[FECHA]])&amp;"-"&amp;MONTH(Datos_Consumo[[#This Row],[FECHA]])</f>
        <v>2016-11</v>
      </c>
    </row>
    <row r="102" spans="1:4" x14ac:dyDescent="0.25">
      <c r="A102" t="s">
        <v>1421</v>
      </c>
      <c r="B102">
        <v>10</v>
      </c>
      <c r="C102" s="56">
        <v>42705</v>
      </c>
      <c r="D102" s="3" t="str">
        <f>YEAR(Datos_Consumo[[#This Row],[FECHA]])&amp;"-"&amp;MONTH(Datos_Consumo[[#This Row],[FECHA]])</f>
        <v>2016-12</v>
      </c>
    </row>
    <row r="103" spans="1:4" x14ac:dyDescent="0.25">
      <c r="A103" t="s">
        <v>1421</v>
      </c>
      <c r="B103">
        <v>620</v>
      </c>
      <c r="C103" s="56">
        <v>42736</v>
      </c>
      <c r="D103" s="3" t="str">
        <f>YEAR(Datos_Consumo[[#This Row],[FECHA]])&amp;"-"&amp;MONTH(Datos_Consumo[[#This Row],[FECHA]])</f>
        <v>2017-1</v>
      </c>
    </row>
    <row r="104" spans="1:4" x14ac:dyDescent="0.25">
      <c r="A104" t="s">
        <v>1422</v>
      </c>
      <c r="B104">
        <v>28</v>
      </c>
      <c r="C104" s="56">
        <v>42675</v>
      </c>
      <c r="D104" s="3" t="str">
        <f>YEAR(Datos_Consumo[[#This Row],[FECHA]])&amp;"-"&amp;MONTH(Datos_Consumo[[#This Row],[FECHA]])</f>
        <v>2016-11</v>
      </c>
    </row>
    <row r="105" spans="1:4" x14ac:dyDescent="0.25">
      <c r="A105" t="s">
        <v>1423</v>
      </c>
      <c r="B105">
        <v>5</v>
      </c>
      <c r="C105" s="56">
        <v>42736</v>
      </c>
      <c r="D105" s="3" t="str">
        <f>YEAR(Datos_Consumo[[#This Row],[FECHA]])&amp;"-"&amp;MONTH(Datos_Consumo[[#This Row],[FECHA]])</f>
        <v>2017-1</v>
      </c>
    </row>
    <row r="106" spans="1:4" x14ac:dyDescent="0.25">
      <c r="A106" t="s">
        <v>1424</v>
      </c>
      <c r="B106">
        <v>8</v>
      </c>
      <c r="C106" s="56">
        <v>42675</v>
      </c>
      <c r="D106" s="3" t="str">
        <f>YEAR(Datos_Consumo[[#This Row],[FECHA]])&amp;"-"&amp;MONTH(Datos_Consumo[[#This Row],[FECHA]])</f>
        <v>2016-11</v>
      </c>
    </row>
    <row r="107" spans="1:4" x14ac:dyDescent="0.25">
      <c r="A107" t="s">
        <v>1424</v>
      </c>
      <c r="B107">
        <v>13</v>
      </c>
      <c r="C107" s="56">
        <v>42705</v>
      </c>
      <c r="D107" s="3" t="str">
        <f>YEAR(Datos_Consumo[[#This Row],[FECHA]])&amp;"-"&amp;MONTH(Datos_Consumo[[#This Row],[FECHA]])</f>
        <v>2016-12</v>
      </c>
    </row>
    <row r="108" spans="1:4" x14ac:dyDescent="0.25">
      <c r="A108" t="s">
        <v>1424</v>
      </c>
      <c r="B108">
        <v>21</v>
      </c>
      <c r="C108" s="56">
        <v>42736</v>
      </c>
      <c r="D108" s="3" t="str">
        <f>YEAR(Datos_Consumo[[#This Row],[FECHA]])&amp;"-"&amp;MONTH(Datos_Consumo[[#This Row],[FECHA]])</f>
        <v>2017-1</v>
      </c>
    </row>
    <row r="109" spans="1:4" x14ac:dyDescent="0.25">
      <c r="A109" t="s">
        <v>1425</v>
      </c>
      <c r="B109">
        <v>5</v>
      </c>
      <c r="C109" s="56">
        <v>42675</v>
      </c>
      <c r="D109" s="3" t="str">
        <f>YEAR(Datos_Consumo[[#This Row],[FECHA]])&amp;"-"&amp;MONTH(Datos_Consumo[[#This Row],[FECHA]])</f>
        <v>2016-11</v>
      </c>
    </row>
    <row r="110" spans="1:4" x14ac:dyDescent="0.25">
      <c r="A110" t="s">
        <v>1425</v>
      </c>
      <c r="B110">
        <v>10</v>
      </c>
      <c r="C110" s="56">
        <v>42705</v>
      </c>
      <c r="D110" s="3" t="str">
        <f>YEAR(Datos_Consumo[[#This Row],[FECHA]])&amp;"-"&amp;MONTH(Datos_Consumo[[#This Row],[FECHA]])</f>
        <v>2016-12</v>
      </c>
    </row>
    <row r="111" spans="1:4" x14ac:dyDescent="0.25">
      <c r="A111" t="s">
        <v>1425</v>
      </c>
      <c r="B111">
        <v>8</v>
      </c>
      <c r="C111" s="56">
        <v>42736</v>
      </c>
      <c r="D111" s="3" t="str">
        <f>YEAR(Datos_Consumo[[#This Row],[FECHA]])&amp;"-"&amp;MONTH(Datos_Consumo[[#This Row],[FECHA]])</f>
        <v>2017-1</v>
      </c>
    </row>
    <row r="112" spans="1:4" x14ac:dyDescent="0.25">
      <c r="A112" t="s">
        <v>1383</v>
      </c>
      <c r="B112">
        <v>50</v>
      </c>
      <c r="C112" s="56">
        <v>42675</v>
      </c>
      <c r="D112" s="3" t="str">
        <f>YEAR(Datos_Consumo[[#This Row],[FECHA]])&amp;"-"&amp;MONTH(Datos_Consumo[[#This Row],[FECHA]])</f>
        <v>2016-11</v>
      </c>
    </row>
    <row r="113" spans="1:4" x14ac:dyDescent="0.25">
      <c r="A113" t="s">
        <v>1383</v>
      </c>
      <c r="B113">
        <v>18</v>
      </c>
      <c r="C113" s="56">
        <v>42705</v>
      </c>
      <c r="D113" s="3" t="str">
        <f>YEAR(Datos_Consumo[[#This Row],[FECHA]])&amp;"-"&amp;MONTH(Datos_Consumo[[#This Row],[FECHA]])</f>
        <v>2016-12</v>
      </c>
    </row>
    <row r="114" spans="1:4" x14ac:dyDescent="0.25">
      <c r="A114" t="s">
        <v>1383</v>
      </c>
      <c r="B114">
        <v>20</v>
      </c>
      <c r="C114" s="56">
        <v>42736</v>
      </c>
      <c r="D114" s="3" t="str">
        <f>YEAR(Datos_Consumo[[#This Row],[FECHA]])&amp;"-"&amp;MONTH(Datos_Consumo[[#This Row],[FECHA]])</f>
        <v>2017-1</v>
      </c>
    </row>
    <row r="115" spans="1:4" x14ac:dyDescent="0.25">
      <c r="A115" t="s">
        <v>1384</v>
      </c>
      <c r="B115">
        <v>100</v>
      </c>
      <c r="C115" s="56">
        <v>42675</v>
      </c>
      <c r="D115" s="3" t="str">
        <f>YEAR(Datos_Consumo[[#This Row],[FECHA]])&amp;"-"&amp;MONTH(Datos_Consumo[[#This Row],[FECHA]])</f>
        <v>2016-11</v>
      </c>
    </row>
    <row r="116" spans="1:4" x14ac:dyDescent="0.25">
      <c r="A116" t="s">
        <v>1384</v>
      </c>
      <c r="B116">
        <v>500</v>
      </c>
      <c r="C116" s="56">
        <v>42705</v>
      </c>
      <c r="D116" s="3" t="str">
        <f>YEAR(Datos_Consumo[[#This Row],[FECHA]])&amp;"-"&amp;MONTH(Datos_Consumo[[#This Row],[FECHA]])</f>
        <v>2016-12</v>
      </c>
    </row>
    <row r="117" spans="1:4" x14ac:dyDescent="0.25">
      <c r="A117" t="s">
        <v>1426</v>
      </c>
      <c r="B117">
        <v>5</v>
      </c>
      <c r="C117" s="56">
        <v>42675</v>
      </c>
      <c r="D117" s="3" t="str">
        <f>YEAR(Datos_Consumo[[#This Row],[FECHA]])&amp;"-"&amp;MONTH(Datos_Consumo[[#This Row],[FECHA]])</f>
        <v>2016-11</v>
      </c>
    </row>
    <row r="118" spans="1:4" x14ac:dyDescent="0.25">
      <c r="A118" t="s">
        <v>1426</v>
      </c>
      <c r="B118">
        <v>6</v>
      </c>
      <c r="C118" s="56">
        <v>42705</v>
      </c>
      <c r="D118" s="3" t="str">
        <f>YEAR(Datos_Consumo[[#This Row],[FECHA]])&amp;"-"&amp;MONTH(Datos_Consumo[[#This Row],[FECHA]])</f>
        <v>2016-12</v>
      </c>
    </row>
    <row r="119" spans="1:4" x14ac:dyDescent="0.25">
      <c r="A119" t="s">
        <v>1427</v>
      </c>
      <c r="B119">
        <v>20</v>
      </c>
      <c r="C119" s="56">
        <v>42675</v>
      </c>
      <c r="D119" s="3" t="str">
        <f>YEAR(Datos_Consumo[[#This Row],[FECHA]])&amp;"-"&amp;MONTH(Datos_Consumo[[#This Row],[FECHA]])</f>
        <v>2016-11</v>
      </c>
    </row>
    <row r="120" spans="1:4" x14ac:dyDescent="0.25">
      <c r="A120" t="s">
        <v>1427</v>
      </c>
      <c r="B120">
        <v>65</v>
      </c>
      <c r="C120" s="56">
        <v>42705</v>
      </c>
      <c r="D120" s="3" t="str">
        <f>YEAR(Datos_Consumo[[#This Row],[FECHA]])&amp;"-"&amp;MONTH(Datos_Consumo[[#This Row],[FECHA]])</f>
        <v>2016-12</v>
      </c>
    </row>
    <row r="121" spans="1:4" x14ac:dyDescent="0.25">
      <c r="A121" t="s">
        <v>1427</v>
      </c>
      <c r="B121">
        <v>10</v>
      </c>
      <c r="C121" s="56">
        <v>42736</v>
      </c>
      <c r="D121" s="3" t="str">
        <f>YEAR(Datos_Consumo[[#This Row],[FECHA]])&amp;"-"&amp;MONTH(Datos_Consumo[[#This Row],[FECHA]])</f>
        <v>2017-1</v>
      </c>
    </row>
    <row r="122" spans="1:4" x14ac:dyDescent="0.25">
      <c r="A122" t="s">
        <v>1385</v>
      </c>
      <c r="B122">
        <v>12</v>
      </c>
      <c r="C122" s="56">
        <v>42736</v>
      </c>
      <c r="D122" s="3" t="str">
        <f>YEAR(Datos_Consumo[[#This Row],[FECHA]])&amp;"-"&amp;MONTH(Datos_Consumo[[#This Row],[FECHA]])</f>
        <v>2017-1</v>
      </c>
    </row>
    <row r="123" spans="1:4" x14ac:dyDescent="0.25">
      <c r="A123" t="s">
        <v>1386</v>
      </c>
      <c r="B123">
        <v>20</v>
      </c>
      <c r="C123" s="56">
        <v>42675</v>
      </c>
      <c r="D123" s="3" t="str">
        <f>YEAR(Datos_Consumo[[#This Row],[FECHA]])&amp;"-"&amp;MONTH(Datos_Consumo[[#This Row],[FECHA]])</f>
        <v>2016-11</v>
      </c>
    </row>
    <row r="124" spans="1:4" x14ac:dyDescent="0.25">
      <c r="A124" t="s">
        <v>1386</v>
      </c>
      <c r="B124">
        <v>220</v>
      </c>
      <c r="C124" s="56">
        <v>42705</v>
      </c>
      <c r="D124" s="3" t="str">
        <f>YEAR(Datos_Consumo[[#This Row],[FECHA]])&amp;"-"&amp;MONTH(Datos_Consumo[[#This Row],[FECHA]])</f>
        <v>2016-12</v>
      </c>
    </row>
    <row r="125" spans="1:4" x14ac:dyDescent="0.25">
      <c r="A125" t="s">
        <v>1386</v>
      </c>
      <c r="B125">
        <v>2</v>
      </c>
      <c r="C125" s="56">
        <v>42736</v>
      </c>
      <c r="D125" s="3" t="str">
        <f>YEAR(Datos_Consumo[[#This Row],[FECHA]])&amp;"-"&amp;MONTH(Datos_Consumo[[#This Row],[FECHA]])</f>
        <v>2017-1</v>
      </c>
    </row>
    <row r="126" spans="1:4" x14ac:dyDescent="0.25">
      <c r="A126" t="s">
        <v>1608</v>
      </c>
      <c r="B126">
        <v>40</v>
      </c>
      <c r="C126" s="56">
        <v>42736</v>
      </c>
      <c r="D126" s="3" t="str">
        <f>YEAR(Datos_Consumo[[#This Row],[FECHA]])&amp;"-"&amp;MONTH(Datos_Consumo[[#This Row],[FECHA]])</f>
        <v>2017-1</v>
      </c>
    </row>
    <row r="127" spans="1:4" x14ac:dyDescent="0.25">
      <c r="A127" t="s">
        <v>1609</v>
      </c>
      <c r="B127">
        <v>50</v>
      </c>
      <c r="C127" s="56">
        <v>42675</v>
      </c>
      <c r="D127" s="3" t="str">
        <f>YEAR(Datos_Consumo[[#This Row],[FECHA]])&amp;"-"&amp;MONTH(Datos_Consumo[[#This Row],[FECHA]])</f>
        <v>2016-11</v>
      </c>
    </row>
    <row r="128" spans="1:4" x14ac:dyDescent="0.25">
      <c r="A128" t="s">
        <v>1609</v>
      </c>
      <c r="B128">
        <v>30</v>
      </c>
      <c r="C128" s="56">
        <v>42705</v>
      </c>
      <c r="D128" s="3" t="str">
        <f>YEAR(Datos_Consumo[[#This Row],[FECHA]])&amp;"-"&amp;MONTH(Datos_Consumo[[#This Row],[FECHA]])</f>
        <v>2016-12</v>
      </c>
    </row>
    <row r="129" spans="1:4" x14ac:dyDescent="0.25">
      <c r="A129" t="s">
        <v>1609</v>
      </c>
      <c r="B129">
        <v>5</v>
      </c>
      <c r="C129" s="56">
        <v>42736</v>
      </c>
      <c r="D129" s="3" t="str">
        <f>YEAR(Datos_Consumo[[#This Row],[FECHA]])&amp;"-"&amp;MONTH(Datos_Consumo[[#This Row],[FECHA]])</f>
        <v>2017-1</v>
      </c>
    </row>
    <row r="130" spans="1:4" x14ac:dyDescent="0.25">
      <c r="A130" t="s">
        <v>1610</v>
      </c>
      <c r="B130">
        <v>72</v>
      </c>
      <c r="C130" s="56">
        <v>42675</v>
      </c>
      <c r="D130" s="3" t="str">
        <f>YEAR(Datos_Consumo[[#This Row],[FECHA]])&amp;"-"&amp;MONTH(Datos_Consumo[[#This Row],[FECHA]])</f>
        <v>2016-11</v>
      </c>
    </row>
    <row r="131" spans="1:4" x14ac:dyDescent="0.25">
      <c r="A131" t="s">
        <v>1610</v>
      </c>
      <c r="B131">
        <v>98</v>
      </c>
      <c r="C131" s="56">
        <v>42705</v>
      </c>
      <c r="D131" s="3" t="str">
        <f>YEAR(Datos_Consumo[[#This Row],[FECHA]])&amp;"-"&amp;MONTH(Datos_Consumo[[#This Row],[FECHA]])</f>
        <v>2016-12</v>
      </c>
    </row>
    <row r="132" spans="1:4" x14ac:dyDescent="0.25">
      <c r="A132" t="s">
        <v>1610</v>
      </c>
      <c r="B132">
        <v>126</v>
      </c>
      <c r="C132" s="56">
        <v>42736</v>
      </c>
      <c r="D132" s="3" t="str">
        <f>YEAR(Datos_Consumo[[#This Row],[FECHA]])&amp;"-"&amp;MONTH(Datos_Consumo[[#This Row],[FECHA]])</f>
        <v>2017-1</v>
      </c>
    </row>
    <row r="133" spans="1:4" x14ac:dyDescent="0.25">
      <c r="A133" t="s">
        <v>1611</v>
      </c>
      <c r="B133">
        <v>20</v>
      </c>
      <c r="C133" s="56">
        <v>42675</v>
      </c>
      <c r="D133" s="3" t="str">
        <f>YEAR(Datos_Consumo[[#This Row],[FECHA]])&amp;"-"&amp;MONTH(Datos_Consumo[[#This Row],[FECHA]])</f>
        <v>2016-11</v>
      </c>
    </row>
    <row r="134" spans="1:4" x14ac:dyDescent="0.25">
      <c r="A134" t="s">
        <v>1611</v>
      </c>
      <c r="B134">
        <v>5</v>
      </c>
      <c r="C134" s="56">
        <v>42736</v>
      </c>
      <c r="D134" s="3" t="str">
        <f>YEAR(Datos_Consumo[[#This Row],[FECHA]])&amp;"-"&amp;MONTH(Datos_Consumo[[#This Row],[FECHA]])</f>
        <v>2017-1</v>
      </c>
    </row>
    <row r="135" spans="1:4" x14ac:dyDescent="0.25">
      <c r="A135" t="s">
        <v>1428</v>
      </c>
      <c r="B135">
        <v>4</v>
      </c>
      <c r="C135" s="56">
        <v>42736</v>
      </c>
      <c r="D135" s="3" t="str">
        <f>YEAR(Datos_Consumo[[#This Row],[FECHA]])&amp;"-"&amp;MONTH(Datos_Consumo[[#This Row],[FECHA]])</f>
        <v>2017-1</v>
      </c>
    </row>
    <row r="136" spans="1:4" x14ac:dyDescent="0.25">
      <c r="A136" t="s">
        <v>1429</v>
      </c>
      <c r="B136">
        <v>600</v>
      </c>
      <c r="C136" s="56">
        <v>42705</v>
      </c>
      <c r="D136" s="3" t="str">
        <f>YEAR(Datos_Consumo[[#This Row],[FECHA]])&amp;"-"&amp;MONTH(Datos_Consumo[[#This Row],[FECHA]])</f>
        <v>2016-12</v>
      </c>
    </row>
    <row r="137" spans="1:4" x14ac:dyDescent="0.25">
      <c r="A137" t="s">
        <v>1429</v>
      </c>
      <c r="B137">
        <v>604</v>
      </c>
      <c r="C137" s="56">
        <v>42736</v>
      </c>
      <c r="D137" s="3" t="str">
        <f>YEAR(Datos_Consumo[[#This Row],[FECHA]])&amp;"-"&amp;MONTH(Datos_Consumo[[#This Row],[FECHA]])</f>
        <v>2017-1</v>
      </c>
    </row>
    <row r="138" spans="1:4" x14ac:dyDescent="0.25">
      <c r="A138" t="s">
        <v>1430</v>
      </c>
      <c r="B138">
        <v>1236</v>
      </c>
      <c r="C138" s="56">
        <v>42675</v>
      </c>
      <c r="D138" s="3" t="str">
        <f>YEAR(Datos_Consumo[[#This Row],[FECHA]])&amp;"-"&amp;MONTH(Datos_Consumo[[#This Row],[FECHA]])</f>
        <v>2016-11</v>
      </c>
    </row>
    <row r="139" spans="1:4" x14ac:dyDescent="0.25">
      <c r="A139" t="s">
        <v>1430</v>
      </c>
      <c r="B139">
        <v>405</v>
      </c>
      <c r="C139" s="56">
        <v>42736</v>
      </c>
      <c r="D139" s="3" t="str">
        <f>YEAR(Datos_Consumo[[#This Row],[FECHA]])&amp;"-"&amp;MONTH(Datos_Consumo[[#This Row],[FECHA]])</f>
        <v>2017-1</v>
      </c>
    </row>
    <row r="140" spans="1:4" x14ac:dyDescent="0.25">
      <c r="A140" t="s">
        <v>1430</v>
      </c>
      <c r="B140">
        <v>400</v>
      </c>
      <c r="C140" s="56">
        <v>42736</v>
      </c>
      <c r="D140" s="3" t="str">
        <f>YEAR(Datos_Consumo[[#This Row],[FECHA]])&amp;"-"&amp;MONTH(Datos_Consumo[[#This Row],[FECHA]])</f>
        <v>2017-1</v>
      </c>
    </row>
    <row r="141" spans="1:4" x14ac:dyDescent="0.25">
      <c r="A141" t="s">
        <v>1387</v>
      </c>
      <c r="B141">
        <v>6270</v>
      </c>
      <c r="C141" s="56">
        <v>42675</v>
      </c>
      <c r="D141" s="3" t="str">
        <f>YEAR(Datos_Consumo[[#This Row],[FECHA]])&amp;"-"&amp;MONTH(Datos_Consumo[[#This Row],[FECHA]])</f>
        <v>2016-11</v>
      </c>
    </row>
    <row r="142" spans="1:4" x14ac:dyDescent="0.25">
      <c r="A142" t="s">
        <v>1387</v>
      </c>
      <c r="B142">
        <v>5020</v>
      </c>
      <c r="C142" s="56">
        <v>42705</v>
      </c>
      <c r="D142" s="3" t="str">
        <f>YEAR(Datos_Consumo[[#This Row],[FECHA]])&amp;"-"&amp;MONTH(Datos_Consumo[[#This Row],[FECHA]])</f>
        <v>2016-12</v>
      </c>
    </row>
    <row r="143" spans="1:4" x14ac:dyDescent="0.25">
      <c r="A143" t="s">
        <v>1387</v>
      </c>
      <c r="B143">
        <v>5290</v>
      </c>
      <c r="C143" s="56">
        <v>42736</v>
      </c>
      <c r="D143" s="3" t="str">
        <f>YEAR(Datos_Consumo[[#This Row],[FECHA]])&amp;"-"&amp;MONTH(Datos_Consumo[[#This Row],[FECHA]])</f>
        <v>2017-1</v>
      </c>
    </row>
    <row r="144" spans="1:4" x14ac:dyDescent="0.25">
      <c r="A144" t="s">
        <v>1612</v>
      </c>
      <c r="B144">
        <v>10</v>
      </c>
      <c r="C144" s="56">
        <v>42736</v>
      </c>
      <c r="D144" s="3" t="str">
        <f>YEAR(Datos_Consumo[[#This Row],[FECHA]])&amp;"-"&amp;MONTH(Datos_Consumo[[#This Row],[FECHA]])</f>
        <v>2017-1</v>
      </c>
    </row>
    <row r="145" spans="1:4" x14ac:dyDescent="0.25">
      <c r="A145" t="s">
        <v>1613</v>
      </c>
      <c r="B145">
        <v>8</v>
      </c>
      <c r="C145" s="56">
        <v>42705</v>
      </c>
      <c r="D145" s="3" t="str">
        <f>YEAR(Datos_Consumo[[#This Row],[FECHA]])&amp;"-"&amp;MONTH(Datos_Consumo[[#This Row],[FECHA]])</f>
        <v>2016-12</v>
      </c>
    </row>
    <row r="146" spans="1:4" x14ac:dyDescent="0.25">
      <c r="A146" t="s">
        <v>1388</v>
      </c>
      <c r="B146">
        <v>40</v>
      </c>
      <c r="C146" s="56">
        <v>42705</v>
      </c>
      <c r="D146" s="3" t="str">
        <f>YEAR(Datos_Consumo[[#This Row],[FECHA]])&amp;"-"&amp;MONTH(Datos_Consumo[[#This Row],[FECHA]])</f>
        <v>2016-12</v>
      </c>
    </row>
    <row r="147" spans="1:4" x14ac:dyDescent="0.25">
      <c r="A147" t="s">
        <v>1388</v>
      </c>
      <c r="B147">
        <v>10</v>
      </c>
      <c r="C147" s="56">
        <v>42736</v>
      </c>
      <c r="D147" s="3" t="str">
        <f>YEAR(Datos_Consumo[[#This Row],[FECHA]])&amp;"-"&amp;MONTH(Datos_Consumo[[#This Row],[FECHA]])</f>
        <v>2017-1</v>
      </c>
    </row>
    <row r="148" spans="1:4" x14ac:dyDescent="0.25">
      <c r="A148" t="s">
        <v>1431</v>
      </c>
      <c r="B148">
        <v>20</v>
      </c>
      <c r="C148" s="56">
        <v>42675</v>
      </c>
      <c r="D148" s="3" t="str">
        <f>YEAR(Datos_Consumo[[#This Row],[FECHA]])&amp;"-"&amp;MONTH(Datos_Consumo[[#This Row],[FECHA]])</f>
        <v>2016-11</v>
      </c>
    </row>
    <row r="149" spans="1:4" x14ac:dyDescent="0.25">
      <c r="A149" t="s">
        <v>1431</v>
      </c>
      <c r="B149">
        <v>10</v>
      </c>
      <c r="C149" s="56">
        <v>42705</v>
      </c>
      <c r="D149" s="3" t="str">
        <f>YEAR(Datos_Consumo[[#This Row],[FECHA]])&amp;"-"&amp;MONTH(Datos_Consumo[[#This Row],[FECHA]])</f>
        <v>2016-12</v>
      </c>
    </row>
    <row r="150" spans="1:4" x14ac:dyDescent="0.25">
      <c r="A150" t="s">
        <v>1431</v>
      </c>
      <c r="B150">
        <v>30</v>
      </c>
      <c r="C150" s="56">
        <v>42736</v>
      </c>
      <c r="D150" s="3" t="str">
        <f>YEAR(Datos_Consumo[[#This Row],[FECHA]])&amp;"-"&amp;MONTH(Datos_Consumo[[#This Row],[FECHA]])</f>
        <v>2017-1</v>
      </c>
    </row>
    <row r="151" spans="1:4" x14ac:dyDescent="0.25">
      <c r="A151" t="s">
        <v>1432</v>
      </c>
      <c r="B151">
        <v>20</v>
      </c>
      <c r="C151" s="56">
        <v>42675</v>
      </c>
      <c r="D151" s="3" t="str">
        <f>YEAR(Datos_Consumo[[#This Row],[FECHA]])&amp;"-"&amp;MONTH(Datos_Consumo[[#This Row],[FECHA]])</f>
        <v>2016-11</v>
      </c>
    </row>
    <row r="152" spans="1:4" x14ac:dyDescent="0.25">
      <c r="A152" t="s">
        <v>1432</v>
      </c>
      <c r="B152">
        <v>20</v>
      </c>
      <c r="C152" s="56">
        <v>42705</v>
      </c>
      <c r="D152" s="3" t="str">
        <f>YEAR(Datos_Consumo[[#This Row],[FECHA]])&amp;"-"&amp;MONTH(Datos_Consumo[[#This Row],[FECHA]])</f>
        <v>2016-12</v>
      </c>
    </row>
    <row r="153" spans="1:4" x14ac:dyDescent="0.25">
      <c r="A153" t="s">
        <v>1432</v>
      </c>
      <c r="B153">
        <v>24</v>
      </c>
      <c r="C153" s="56">
        <v>42736</v>
      </c>
      <c r="D153" s="3" t="str">
        <f>YEAR(Datos_Consumo[[#This Row],[FECHA]])&amp;"-"&amp;MONTH(Datos_Consumo[[#This Row],[FECHA]])</f>
        <v>2017-1</v>
      </c>
    </row>
    <row r="154" spans="1:4" x14ac:dyDescent="0.25">
      <c r="A154" t="s">
        <v>1433</v>
      </c>
      <c r="B154">
        <v>20</v>
      </c>
      <c r="C154" s="56">
        <v>42675</v>
      </c>
      <c r="D154" s="3" t="str">
        <f>YEAR(Datos_Consumo[[#This Row],[FECHA]])&amp;"-"&amp;MONTH(Datos_Consumo[[#This Row],[FECHA]])</f>
        <v>2016-11</v>
      </c>
    </row>
    <row r="155" spans="1:4" x14ac:dyDescent="0.25">
      <c r="A155" t="s">
        <v>1433</v>
      </c>
      <c r="B155">
        <v>10</v>
      </c>
      <c r="C155" s="56">
        <v>42705</v>
      </c>
      <c r="D155" s="3" t="str">
        <f>YEAR(Datos_Consumo[[#This Row],[FECHA]])&amp;"-"&amp;MONTH(Datos_Consumo[[#This Row],[FECHA]])</f>
        <v>2016-12</v>
      </c>
    </row>
    <row r="156" spans="1:4" x14ac:dyDescent="0.25">
      <c r="A156" t="s">
        <v>1433</v>
      </c>
      <c r="B156">
        <v>23</v>
      </c>
      <c r="C156" s="56">
        <v>42736</v>
      </c>
      <c r="D156" s="3" t="str">
        <f>YEAR(Datos_Consumo[[#This Row],[FECHA]])&amp;"-"&amp;MONTH(Datos_Consumo[[#This Row],[FECHA]])</f>
        <v>2017-1</v>
      </c>
    </row>
    <row r="157" spans="1:4" x14ac:dyDescent="0.25">
      <c r="A157" t="s">
        <v>1434</v>
      </c>
      <c r="B157">
        <v>2</v>
      </c>
      <c r="C157" s="56">
        <v>42675</v>
      </c>
      <c r="D157" s="3" t="str">
        <f>YEAR(Datos_Consumo[[#This Row],[FECHA]])&amp;"-"&amp;MONTH(Datos_Consumo[[#This Row],[FECHA]])</f>
        <v>2016-11</v>
      </c>
    </row>
    <row r="158" spans="1:4" x14ac:dyDescent="0.25">
      <c r="A158" t="s">
        <v>1435</v>
      </c>
      <c r="B158">
        <v>20</v>
      </c>
      <c r="C158" s="56">
        <v>42675</v>
      </c>
      <c r="D158" s="3" t="str">
        <f>YEAR(Datos_Consumo[[#This Row],[FECHA]])&amp;"-"&amp;MONTH(Datos_Consumo[[#This Row],[FECHA]])</f>
        <v>2016-11</v>
      </c>
    </row>
    <row r="159" spans="1:4" x14ac:dyDescent="0.25">
      <c r="A159" t="s">
        <v>1435</v>
      </c>
      <c r="B159">
        <v>1</v>
      </c>
      <c r="C159" s="56">
        <v>42705</v>
      </c>
      <c r="D159" s="3" t="str">
        <f>YEAR(Datos_Consumo[[#This Row],[FECHA]])&amp;"-"&amp;MONTH(Datos_Consumo[[#This Row],[FECHA]])</f>
        <v>2016-12</v>
      </c>
    </row>
    <row r="160" spans="1:4" x14ac:dyDescent="0.25">
      <c r="A160" t="s">
        <v>1435</v>
      </c>
      <c r="B160">
        <v>34</v>
      </c>
      <c r="C160" s="56">
        <v>42736</v>
      </c>
      <c r="D160" s="3" t="str">
        <f>YEAR(Datos_Consumo[[#This Row],[FECHA]])&amp;"-"&amp;MONTH(Datos_Consumo[[#This Row],[FECHA]])</f>
        <v>2017-1</v>
      </c>
    </row>
    <row r="161" spans="1:4" x14ac:dyDescent="0.25">
      <c r="A161" t="s">
        <v>1389</v>
      </c>
      <c r="B161">
        <v>51</v>
      </c>
      <c r="C161" s="56">
        <v>42705</v>
      </c>
      <c r="D161" s="3" t="str">
        <f>YEAR(Datos_Consumo[[#This Row],[FECHA]])&amp;"-"&amp;MONTH(Datos_Consumo[[#This Row],[FECHA]])</f>
        <v>2016-12</v>
      </c>
    </row>
    <row r="162" spans="1:4" x14ac:dyDescent="0.25">
      <c r="A162" t="s">
        <v>1389</v>
      </c>
      <c r="B162">
        <v>2</v>
      </c>
      <c r="C162" s="56">
        <v>42736</v>
      </c>
      <c r="D162" s="3" t="str">
        <f>YEAR(Datos_Consumo[[#This Row],[FECHA]])&amp;"-"&amp;MONTH(Datos_Consumo[[#This Row],[FECHA]])</f>
        <v>2017-1</v>
      </c>
    </row>
    <row r="163" spans="1:4" x14ac:dyDescent="0.25">
      <c r="A163" t="s">
        <v>1436</v>
      </c>
      <c r="B163">
        <v>20</v>
      </c>
      <c r="C163" s="56">
        <v>42675</v>
      </c>
      <c r="D163" s="3" t="str">
        <f>YEAR(Datos_Consumo[[#This Row],[FECHA]])&amp;"-"&amp;MONTH(Datos_Consumo[[#This Row],[FECHA]])</f>
        <v>2016-11</v>
      </c>
    </row>
    <row r="164" spans="1:4" x14ac:dyDescent="0.25">
      <c r="A164" t="s">
        <v>1436</v>
      </c>
      <c r="B164">
        <v>1</v>
      </c>
      <c r="C164" s="56">
        <v>42736</v>
      </c>
      <c r="D164" s="3" t="str">
        <f>YEAR(Datos_Consumo[[#This Row],[FECHA]])&amp;"-"&amp;MONTH(Datos_Consumo[[#This Row],[FECHA]])</f>
        <v>2017-1</v>
      </c>
    </row>
    <row r="165" spans="1:4" x14ac:dyDescent="0.25">
      <c r="A165" t="s">
        <v>1437</v>
      </c>
      <c r="B165">
        <v>20</v>
      </c>
      <c r="C165" s="56">
        <v>42705</v>
      </c>
      <c r="D165" s="3" t="str">
        <f>YEAR(Datos_Consumo[[#This Row],[FECHA]])&amp;"-"&amp;MONTH(Datos_Consumo[[#This Row],[FECHA]])</f>
        <v>2016-12</v>
      </c>
    </row>
    <row r="166" spans="1:4" x14ac:dyDescent="0.25">
      <c r="A166" t="s">
        <v>1438</v>
      </c>
      <c r="B166">
        <v>50</v>
      </c>
      <c r="C166" s="56">
        <v>42705</v>
      </c>
      <c r="D166" s="3" t="str">
        <f>YEAR(Datos_Consumo[[#This Row],[FECHA]])&amp;"-"&amp;MONTH(Datos_Consumo[[#This Row],[FECHA]])</f>
        <v>2016-12</v>
      </c>
    </row>
    <row r="167" spans="1:4" x14ac:dyDescent="0.25">
      <c r="A167" t="s">
        <v>1439</v>
      </c>
      <c r="B167">
        <v>10</v>
      </c>
      <c r="C167" s="56">
        <v>42705</v>
      </c>
      <c r="D167" s="3" t="str">
        <f>YEAR(Datos_Consumo[[#This Row],[FECHA]])&amp;"-"&amp;MONTH(Datos_Consumo[[#This Row],[FECHA]])</f>
        <v>2016-12</v>
      </c>
    </row>
    <row r="168" spans="1:4" x14ac:dyDescent="0.25">
      <c r="A168" t="s">
        <v>1439</v>
      </c>
      <c r="B168">
        <v>5</v>
      </c>
      <c r="C168" s="56">
        <v>42736</v>
      </c>
      <c r="D168" s="3" t="str">
        <f>YEAR(Datos_Consumo[[#This Row],[FECHA]])&amp;"-"&amp;MONTH(Datos_Consumo[[#This Row],[FECHA]])</f>
        <v>2017-1</v>
      </c>
    </row>
    <row r="169" spans="1:4" x14ac:dyDescent="0.25">
      <c r="A169" t="s">
        <v>1440</v>
      </c>
      <c r="B169">
        <v>10</v>
      </c>
      <c r="C169" s="56">
        <v>42705</v>
      </c>
      <c r="D169" s="3" t="str">
        <f>YEAR(Datos_Consumo[[#This Row],[FECHA]])&amp;"-"&amp;MONTH(Datos_Consumo[[#This Row],[FECHA]])</f>
        <v>2016-12</v>
      </c>
    </row>
    <row r="170" spans="1:4" x14ac:dyDescent="0.25">
      <c r="A170" t="s">
        <v>1441</v>
      </c>
      <c r="B170">
        <v>20</v>
      </c>
      <c r="C170" s="56">
        <v>42705</v>
      </c>
      <c r="D170" s="3" t="str">
        <f>YEAR(Datos_Consumo[[#This Row],[FECHA]])&amp;"-"&amp;MONTH(Datos_Consumo[[#This Row],[FECHA]])</f>
        <v>2016-12</v>
      </c>
    </row>
    <row r="171" spans="1:4" x14ac:dyDescent="0.25">
      <c r="A171" t="s">
        <v>1442</v>
      </c>
      <c r="B171">
        <v>40</v>
      </c>
      <c r="C171" s="56">
        <v>42705</v>
      </c>
      <c r="D171" s="3" t="str">
        <f>YEAR(Datos_Consumo[[#This Row],[FECHA]])&amp;"-"&amp;MONTH(Datos_Consumo[[#This Row],[FECHA]])</f>
        <v>2016-12</v>
      </c>
    </row>
    <row r="172" spans="1:4" x14ac:dyDescent="0.25">
      <c r="A172" t="s">
        <v>1443</v>
      </c>
      <c r="B172">
        <v>30</v>
      </c>
      <c r="C172" s="56">
        <v>42705</v>
      </c>
      <c r="D172" s="3" t="str">
        <f>YEAR(Datos_Consumo[[#This Row],[FECHA]])&amp;"-"&amp;MONTH(Datos_Consumo[[#This Row],[FECHA]])</f>
        <v>2016-12</v>
      </c>
    </row>
    <row r="173" spans="1:4" x14ac:dyDescent="0.25">
      <c r="A173" t="s">
        <v>1443</v>
      </c>
      <c r="B173">
        <v>4</v>
      </c>
      <c r="C173" s="56">
        <v>42736</v>
      </c>
      <c r="D173" s="3" t="str">
        <f>YEAR(Datos_Consumo[[#This Row],[FECHA]])&amp;"-"&amp;MONTH(Datos_Consumo[[#This Row],[FECHA]])</f>
        <v>2017-1</v>
      </c>
    </row>
    <row r="174" spans="1:4" x14ac:dyDescent="0.25">
      <c r="A174" t="s">
        <v>1444</v>
      </c>
      <c r="B174">
        <v>20</v>
      </c>
      <c r="C174" s="56">
        <v>42705</v>
      </c>
      <c r="D174" s="3" t="str">
        <f>YEAR(Datos_Consumo[[#This Row],[FECHA]])&amp;"-"&amp;MONTH(Datos_Consumo[[#This Row],[FECHA]])</f>
        <v>2016-12</v>
      </c>
    </row>
    <row r="175" spans="1:4" x14ac:dyDescent="0.25">
      <c r="A175" t="s">
        <v>1444</v>
      </c>
      <c r="B175">
        <v>26</v>
      </c>
      <c r="C175" s="56">
        <v>42736</v>
      </c>
      <c r="D175" s="3" t="str">
        <f>YEAR(Datos_Consumo[[#This Row],[FECHA]])&amp;"-"&amp;MONTH(Datos_Consumo[[#This Row],[FECHA]])</f>
        <v>2017-1</v>
      </c>
    </row>
    <row r="176" spans="1:4" x14ac:dyDescent="0.25">
      <c r="A176" t="s">
        <v>1445</v>
      </c>
      <c r="B176">
        <v>10</v>
      </c>
      <c r="C176" s="56">
        <v>42705</v>
      </c>
      <c r="D176" s="3" t="str">
        <f>YEAR(Datos_Consumo[[#This Row],[FECHA]])&amp;"-"&amp;MONTH(Datos_Consumo[[#This Row],[FECHA]])</f>
        <v>2016-12</v>
      </c>
    </row>
    <row r="177" spans="1:4" x14ac:dyDescent="0.25">
      <c r="A177" t="s">
        <v>1446</v>
      </c>
      <c r="B177">
        <v>1</v>
      </c>
      <c r="C177" s="56">
        <v>42736</v>
      </c>
      <c r="D177" s="3" t="str">
        <f>YEAR(Datos_Consumo[[#This Row],[FECHA]])&amp;"-"&amp;MONTH(Datos_Consumo[[#This Row],[FECHA]])</f>
        <v>2017-1</v>
      </c>
    </row>
    <row r="178" spans="1:4" x14ac:dyDescent="0.25">
      <c r="A178" t="s">
        <v>1390</v>
      </c>
      <c r="B178">
        <v>20</v>
      </c>
      <c r="C178" s="56">
        <v>42675</v>
      </c>
      <c r="D178" s="3" t="str">
        <f>YEAR(Datos_Consumo[[#This Row],[FECHA]])&amp;"-"&amp;MONTH(Datos_Consumo[[#This Row],[FECHA]])</f>
        <v>2016-11</v>
      </c>
    </row>
    <row r="179" spans="1:4" x14ac:dyDescent="0.25">
      <c r="A179" t="s">
        <v>1390</v>
      </c>
      <c r="B179">
        <v>20</v>
      </c>
      <c r="C179" s="56">
        <v>42736</v>
      </c>
      <c r="D179" s="3" t="str">
        <f>YEAR(Datos_Consumo[[#This Row],[FECHA]])&amp;"-"&amp;MONTH(Datos_Consumo[[#This Row],[FECHA]])</f>
        <v>2017-1</v>
      </c>
    </row>
    <row r="180" spans="1:4" x14ac:dyDescent="0.25">
      <c r="A180" t="s">
        <v>1614</v>
      </c>
      <c r="B180">
        <v>50</v>
      </c>
      <c r="C180" s="56">
        <v>42736</v>
      </c>
      <c r="D180" s="3" t="str">
        <f>YEAR(Datos_Consumo[[#This Row],[FECHA]])&amp;"-"&amp;MONTH(Datos_Consumo[[#This Row],[FECHA]])</f>
        <v>2017-1</v>
      </c>
    </row>
    <row r="181" spans="1:4" x14ac:dyDescent="0.25">
      <c r="A181" t="s">
        <v>1615</v>
      </c>
      <c r="B181">
        <v>20</v>
      </c>
      <c r="C181" s="56">
        <v>42675</v>
      </c>
      <c r="D181" s="3" t="str">
        <f>YEAR(Datos_Consumo[[#This Row],[FECHA]])&amp;"-"&amp;MONTH(Datos_Consumo[[#This Row],[FECHA]])</f>
        <v>2016-11</v>
      </c>
    </row>
    <row r="182" spans="1:4" x14ac:dyDescent="0.25">
      <c r="A182" t="s">
        <v>1615</v>
      </c>
      <c r="B182">
        <v>50</v>
      </c>
      <c r="C182" s="56">
        <v>42736</v>
      </c>
      <c r="D182" s="3" t="str">
        <f>YEAR(Datos_Consumo[[#This Row],[FECHA]])&amp;"-"&amp;MONTH(Datos_Consumo[[#This Row],[FECHA]])</f>
        <v>2017-1</v>
      </c>
    </row>
    <row r="183" spans="1:4" x14ac:dyDescent="0.25">
      <c r="A183" t="s">
        <v>1447</v>
      </c>
      <c r="B183">
        <v>20</v>
      </c>
      <c r="C183" s="56">
        <v>42675</v>
      </c>
      <c r="D183" s="3" t="str">
        <f>YEAR(Datos_Consumo[[#This Row],[FECHA]])&amp;"-"&amp;MONTH(Datos_Consumo[[#This Row],[FECHA]])</f>
        <v>2016-11</v>
      </c>
    </row>
    <row r="184" spans="1:4" x14ac:dyDescent="0.25">
      <c r="A184" t="s">
        <v>1447</v>
      </c>
      <c r="B184">
        <v>12</v>
      </c>
      <c r="C184" s="56">
        <v>42705</v>
      </c>
      <c r="D184" s="3" t="str">
        <f>YEAR(Datos_Consumo[[#This Row],[FECHA]])&amp;"-"&amp;MONTH(Datos_Consumo[[#This Row],[FECHA]])</f>
        <v>2016-12</v>
      </c>
    </row>
    <row r="185" spans="1:4" x14ac:dyDescent="0.25">
      <c r="A185" t="s">
        <v>1447</v>
      </c>
      <c r="B185">
        <v>38</v>
      </c>
      <c r="C185" s="56">
        <v>42736</v>
      </c>
      <c r="D185" s="3" t="str">
        <f>YEAR(Datos_Consumo[[#This Row],[FECHA]])&amp;"-"&amp;MONTH(Datos_Consumo[[#This Row],[FECHA]])</f>
        <v>2017-1</v>
      </c>
    </row>
    <row r="186" spans="1:4" x14ac:dyDescent="0.25">
      <c r="A186" t="s">
        <v>1391</v>
      </c>
      <c r="B186">
        <v>75</v>
      </c>
      <c r="C186" s="56">
        <v>42675</v>
      </c>
      <c r="D186" s="3" t="str">
        <f>YEAR(Datos_Consumo[[#This Row],[FECHA]])&amp;"-"&amp;MONTH(Datos_Consumo[[#This Row],[FECHA]])</f>
        <v>2016-11</v>
      </c>
    </row>
    <row r="187" spans="1:4" x14ac:dyDescent="0.25">
      <c r="A187" t="s">
        <v>1391</v>
      </c>
      <c r="B187">
        <v>65</v>
      </c>
      <c r="C187" s="56">
        <v>42705</v>
      </c>
      <c r="D187" s="3" t="str">
        <f>YEAR(Datos_Consumo[[#This Row],[FECHA]])&amp;"-"&amp;MONTH(Datos_Consumo[[#This Row],[FECHA]])</f>
        <v>2016-12</v>
      </c>
    </row>
    <row r="188" spans="1:4" x14ac:dyDescent="0.25">
      <c r="A188" t="s">
        <v>1391</v>
      </c>
      <c r="B188">
        <v>139</v>
      </c>
      <c r="C188" s="56">
        <v>42736</v>
      </c>
      <c r="D188" s="3" t="str">
        <f>YEAR(Datos_Consumo[[#This Row],[FECHA]])&amp;"-"&amp;MONTH(Datos_Consumo[[#This Row],[FECHA]])</f>
        <v>2017-1</v>
      </c>
    </row>
    <row r="189" spans="1:4" x14ac:dyDescent="0.25">
      <c r="A189" t="s">
        <v>1392</v>
      </c>
      <c r="B189">
        <v>80</v>
      </c>
      <c r="C189" s="56">
        <v>42675</v>
      </c>
      <c r="D189" s="3" t="str">
        <f>YEAR(Datos_Consumo[[#This Row],[FECHA]])&amp;"-"&amp;MONTH(Datos_Consumo[[#This Row],[FECHA]])</f>
        <v>2016-11</v>
      </c>
    </row>
    <row r="190" spans="1:4" x14ac:dyDescent="0.25">
      <c r="A190" t="s">
        <v>1392</v>
      </c>
      <c r="B190">
        <v>25</v>
      </c>
      <c r="C190" s="56">
        <v>42705</v>
      </c>
      <c r="D190" s="3" t="str">
        <f>YEAR(Datos_Consumo[[#This Row],[FECHA]])&amp;"-"&amp;MONTH(Datos_Consumo[[#This Row],[FECHA]])</f>
        <v>2016-12</v>
      </c>
    </row>
    <row r="191" spans="1:4" x14ac:dyDescent="0.25">
      <c r="A191" t="s">
        <v>1392</v>
      </c>
      <c r="B191">
        <v>115</v>
      </c>
      <c r="C191" s="56">
        <v>42736</v>
      </c>
      <c r="D191" s="3" t="str">
        <f>YEAR(Datos_Consumo[[#This Row],[FECHA]])&amp;"-"&amp;MONTH(Datos_Consumo[[#This Row],[FECHA]])</f>
        <v>2017-1</v>
      </c>
    </row>
    <row r="192" spans="1:4" x14ac:dyDescent="0.25">
      <c r="A192" t="s">
        <v>1448</v>
      </c>
      <c r="B192">
        <v>5</v>
      </c>
      <c r="C192" s="56">
        <v>42736</v>
      </c>
      <c r="D192" s="3" t="str">
        <f>YEAR(Datos_Consumo[[#This Row],[FECHA]])&amp;"-"&amp;MONTH(Datos_Consumo[[#This Row],[FECHA]])</f>
        <v>2017-1</v>
      </c>
    </row>
    <row r="193" spans="1:4" x14ac:dyDescent="0.25">
      <c r="A193" t="s">
        <v>1449</v>
      </c>
      <c r="B193">
        <v>2</v>
      </c>
      <c r="C193" s="56">
        <v>42736</v>
      </c>
      <c r="D193" s="3" t="str">
        <f>YEAR(Datos_Consumo[[#This Row],[FECHA]])&amp;"-"&amp;MONTH(Datos_Consumo[[#This Row],[FECHA]])</f>
        <v>2017-1</v>
      </c>
    </row>
    <row r="194" spans="1:4" x14ac:dyDescent="0.25">
      <c r="A194" t="s">
        <v>1450</v>
      </c>
      <c r="B194">
        <v>9</v>
      </c>
      <c r="C194" s="56">
        <v>42736</v>
      </c>
      <c r="D194" s="3" t="str">
        <f>YEAR(Datos_Consumo[[#This Row],[FECHA]])&amp;"-"&amp;MONTH(Datos_Consumo[[#This Row],[FECHA]])</f>
        <v>2017-1</v>
      </c>
    </row>
    <row r="195" spans="1:4" x14ac:dyDescent="0.25">
      <c r="A195" t="s">
        <v>1616</v>
      </c>
      <c r="B195">
        <v>1</v>
      </c>
      <c r="C195" s="56">
        <v>42736</v>
      </c>
      <c r="D195" s="3" t="str">
        <f>YEAR(Datos_Consumo[[#This Row],[FECHA]])&amp;"-"&amp;MONTH(Datos_Consumo[[#This Row],[FECHA]])</f>
        <v>2017-1</v>
      </c>
    </row>
    <row r="196" spans="1:4" x14ac:dyDescent="0.25">
      <c r="A196" t="s">
        <v>1617</v>
      </c>
      <c r="B196">
        <v>1</v>
      </c>
      <c r="C196" s="56">
        <v>42675</v>
      </c>
      <c r="D196" s="3" t="str">
        <f>YEAR(Datos_Consumo[[#This Row],[FECHA]])&amp;"-"&amp;MONTH(Datos_Consumo[[#This Row],[FECHA]])</f>
        <v>2016-11</v>
      </c>
    </row>
    <row r="197" spans="1:4" x14ac:dyDescent="0.25">
      <c r="A197" t="s">
        <v>1618</v>
      </c>
      <c r="B197">
        <v>500</v>
      </c>
      <c r="C197" s="56">
        <v>42675</v>
      </c>
      <c r="D197" s="3" t="str">
        <f>YEAR(Datos_Consumo[[#This Row],[FECHA]])&amp;"-"&amp;MONTH(Datos_Consumo[[#This Row],[FECHA]])</f>
        <v>2016-11</v>
      </c>
    </row>
    <row r="198" spans="1:4" x14ac:dyDescent="0.25">
      <c r="A198" t="s">
        <v>1618</v>
      </c>
      <c r="B198">
        <v>10</v>
      </c>
      <c r="C198" s="56">
        <v>42705</v>
      </c>
      <c r="D198" s="3" t="str">
        <f>YEAR(Datos_Consumo[[#This Row],[FECHA]])&amp;"-"&amp;MONTH(Datos_Consumo[[#This Row],[FECHA]])</f>
        <v>2016-12</v>
      </c>
    </row>
    <row r="199" spans="1:4" x14ac:dyDescent="0.25">
      <c r="A199" t="s">
        <v>1574</v>
      </c>
      <c r="B199">
        <v>54</v>
      </c>
      <c r="C199" s="56">
        <v>42675</v>
      </c>
      <c r="D199" s="3" t="str">
        <f>YEAR(Datos_Consumo[[#This Row],[FECHA]])&amp;"-"&amp;MONTH(Datos_Consumo[[#This Row],[FECHA]])</f>
        <v>2016-11</v>
      </c>
    </row>
    <row r="200" spans="1:4" x14ac:dyDescent="0.25">
      <c r="A200" t="s">
        <v>1574</v>
      </c>
      <c r="B200">
        <v>119</v>
      </c>
      <c r="C200" s="56">
        <v>42705</v>
      </c>
      <c r="D200" s="3" t="str">
        <f>YEAR(Datos_Consumo[[#This Row],[FECHA]])&amp;"-"&amp;MONTH(Datos_Consumo[[#This Row],[FECHA]])</f>
        <v>2016-12</v>
      </c>
    </row>
    <row r="201" spans="1:4" x14ac:dyDescent="0.25">
      <c r="A201" t="s">
        <v>1574</v>
      </c>
      <c r="B201">
        <v>48</v>
      </c>
      <c r="C201" s="56">
        <v>42736</v>
      </c>
      <c r="D201" s="3" t="str">
        <f>YEAR(Datos_Consumo[[#This Row],[FECHA]])&amp;"-"&amp;MONTH(Datos_Consumo[[#This Row],[FECHA]])</f>
        <v>2017-1</v>
      </c>
    </row>
    <row r="202" spans="1:4" x14ac:dyDescent="0.25">
      <c r="A202" t="s">
        <v>1575</v>
      </c>
      <c r="B202">
        <v>654</v>
      </c>
      <c r="C202" s="56">
        <v>42675</v>
      </c>
      <c r="D202" s="3" t="str">
        <f>YEAR(Datos_Consumo[[#This Row],[FECHA]])&amp;"-"&amp;MONTH(Datos_Consumo[[#This Row],[FECHA]])</f>
        <v>2016-11</v>
      </c>
    </row>
    <row r="203" spans="1:4" x14ac:dyDescent="0.25">
      <c r="A203" t="s">
        <v>1575</v>
      </c>
      <c r="B203">
        <v>75</v>
      </c>
      <c r="C203" s="56">
        <v>42705</v>
      </c>
      <c r="D203" s="3" t="str">
        <f>YEAR(Datos_Consumo[[#This Row],[FECHA]])&amp;"-"&amp;MONTH(Datos_Consumo[[#This Row],[FECHA]])</f>
        <v>2016-12</v>
      </c>
    </row>
    <row r="204" spans="1:4" x14ac:dyDescent="0.25">
      <c r="A204" t="s">
        <v>1575</v>
      </c>
      <c r="B204">
        <v>192</v>
      </c>
      <c r="C204" s="56">
        <v>42736</v>
      </c>
      <c r="D204" s="3" t="str">
        <f>YEAR(Datos_Consumo[[#This Row],[FECHA]])&amp;"-"&amp;MONTH(Datos_Consumo[[#This Row],[FECHA]])</f>
        <v>2017-1</v>
      </c>
    </row>
    <row r="205" spans="1:4" x14ac:dyDescent="0.25">
      <c r="A205" t="s">
        <v>1619</v>
      </c>
      <c r="B205">
        <v>516</v>
      </c>
      <c r="C205" s="56">
        <v>42675</v>
      </c>
      <c r="D205" s="3" t="str">
        <f>YEAR(Datos_Consumo[[#This Row],[FECHA]])&amp;"-"&amp;MONTH(Datos_Consumo[[#This Row],[FECHA]])</f>
        <v>2016-11</v>
      </c>
    </row>
    <row r="206" spans="1:4" x14ac:dyDescent="0.25">
      <c r="A206" t="s">
        <v>1619</v>
      </c>
      <c r="B206">
        <v>508</v>
      </c>
      <c r="C206" s="56">
        <v>42705</v>
      </c>
      <c r="D206" s="3" t="str">
        <f>YEAR(Datos_Consumo[[#This Row],[FECHA]])&amp;"-"&amp;MONTH(Datos_Consumo[[#This Row],[FECHA]])</f>
        <v>2016-12</v>
      </c>
    </row>
    <row r="207" spans="1:4" x14ac:dyDescent="0.25">
      <c r="A207" t="s">
        <v>1619</v>
      </c>
      <c r="B207">
        <v>515</v>
      </c>
      <c r="C207" s="56">
        <v>42736</v>
      </c>
      <c r="D207" s="3" t="str">
        <f>YEAR(Datos_Consumo[[#This Row],[FECHA]])&amp;"-"&amp;MONTH(Datos_Consumo[[#This Row],[FECHA]])</f>
        <v>2017-1</v>
      </c>
    </row>
    <row r="208" spans="1:4" x14ac:dyDescent="0.25">
      <c r="A208" t="s">
        <v>1620</v>
      </c>
      <c r="B208">
        <v>102</v>
      </c>
      <c r="C208" s="56">
        <v>42675</v>
      </c>
      <c r="D208" s="3" t="str">
        <f>YEAR(Datos_Consumo[[#This Row],[FECHA]])&amp;"-"&amp;MONTH(Datos_Consumo[[#This Row],[FECHA]])</f>
        <v>2016-11</v>
      </c>
    </row>
    <row r="209" spans="1:4" x14ac:dyDescent="0.25">
      <c r="A209" t="s">
        <v>1620</v>
      </c>
      <c r="B209">
        <v>100</v>
      </c>
      <c r="C209" s="56">
        <v>42736</v>
      </c>
      <c r="D209" s="3" t="str">
        <f>YEAR(Datos_Consumo[[#This Row],[FECHA]])&amp;"-"&amp;MONTH(Datos_Consumo[[#This Row],[FECHA]])</f>
        <v>2017-1</v>
      </c>
    </row>
    <row r="210" spans="1:4" x14ac:dyDescent="0.25">
      <c r="A210" t="s">
        <v>1621</v>
      </c>
      <c r="B210">
        <v>2620</v>
      </c>
      <c r="C210" s="56">
        <v>42675</v>
      </c>
      <c r="D210" s="3" t="str">
        <f>YEAR(Datos_Consumo[[#This Row],[FECHA]])&amp;"-"&amp;MONTH(Datos_Consumo[[#This Row],[FECHA]])</f>
        <v>2016-11</v>
      </c>
    </row>
    <row r="211" spans="1:4" x14ac:dyDescent="0.25">
      <c r="A211" t="s">
        <v>1621</v>
      </c>
      <c r="B211">
        <v>2000</v>
      </c>
      <c r="C211" s="56">
        <v>42705</v>
      </c>
      <c r="D211" s="3" t="str">
        <f>YEAR(Datos_Consumo[[#This Row],[FECHA]])&amp;"-"&amp;MONTH(Datos_Consumo[[#This Row],[FECHA]])</f>
        <v>2016-12</v>
      </c>
    </row>
    <row r="212" spans="1:4" x14ac:dyDescent="0.25">
      <c r="A212" t="s">
        <v>1621</v>
      </c>
      <c r="B212">
        <v>2019</v>
      </c>
      <c r="C212" s="56">
        <v>42736</v>
      </c>
      <c r="D212" s="3" t="str">
        <f>YEAR(Datos_Consumo[[#This Row],[FECHA]])&amp;"-"&amp;MONTH(Datos_Consumo[[#This Row],[FECHA]])</f>
        <v>2017-1</v>
      </c>
    </row>
    <row r="213" spans="1:4" x14ac:dyDescent="0.25">
      <c r="A213" t="s">
        <v>1622</v>
      </c>
      <c r="B213">
        <v>2</v>
      </c>
      <c r="C213" s="56">
        <v>42675</v>
      </c>
      <c r="D213" s="3" t="str">
        <f>YEAR(Datos_Consumo[[#This Row],[FECHA]])&amp;"-"&amp;MONTH(Datos_Consumo[[#This Row],[FECHA]])</f>
        <v>2016-11</v>
      </c>
    </row>
    <row r="214" spans="1:4" x14ac:dyDescent="0.25">
      <c r="A214" t="s">
        <v>1623</v>
      </c>
      <c r="B214">
        <v>12</v>
      </c>
      <c r="C214" s="56">
        <v>42736</v>
      </c>
      <c r="D214" s="3" t="str">
        <f>YEAR(Datos_Consumo[[#This Row],[FECHA]])&amp;"-"&amp;MONTH(Datos_Consumo[[#This Row],[FECHA]])</f>
        <v>2017-1</v>
      </c>
    </row>
    <row r="215" spans="1:4" x14ac:dyDescent="0.25">
      <c r="A215" t="s">
        <v>1624</v>
      </c>
      <c r="B215">
        <v>24</v>
      </c>
      <c r="C215" s="56">
        <v>42705</v>
      </c>
      <c r="D215" s="3" t="str">
        <f>YEAR(Datos_Consumo[[#This Row],[FECHA]])&amp;"-"&amp;MONTH(Datos_Consumo[[#This Row],[FECHA]])</f>
        <v>2016-12</v>
      </c>
    </row>
    <row r="216" spans="1:4" x14ac:dyDescent="0.25">
      <c r="A216" t="s">
        <v>1625</v>
      </c>
      <c r="B216">
        <v>1</v>
      </c>
      <c r="C216" s="56">
        <v>42705</v>
      </c>
      <c r="D216" s="3" t="str">
        <f>YEAR(Datos_Consumo[[#This Row],[FECHA]])&amp;"-"&amp;MONTH(Datos_Consumo[[#This Row],[FECHA]])</f>
        <v>2016-12</v>
      </c>
    </row>
    <row r="217" spans="1:4" x14ac:dyDescent="0.25">
      <c r="A217" t="s">
        <v>1576</v>
      </c>
      <c r="B217">
        <v>429</v>
      </c>
      <c r="C217" s="56">
        <v>42675</v>
      </c>
      <c r="D217" s="3" t="str">
        <f>YEAR(Datos_Consumo[[#This Row],[FECHA]])&amp;"-"&amp;MONTH(Datos_Consumo[[#This Row],[FECHA]])</f>
        <v>2016-11</v>
      </c>
    </row>
    <row r="218" spans="1:4" x14ac:dyDescent="0.25">
      <c r="A218" t="s">
        <v>1576</v>
      </c>
      <c r="B218">
        <v>360</v>
      </c>
      <c r="C218" s="56">
        <v>42705</v>
      </c>
      <c r="D218" s="3" t="str">
        <f>YEAR(Datos_Consumo[[#This Row],[FECHA]])&amp;"-"&amp;MONTH(Datos_Consumo[[#This Row],[FECHA]])</f>
        <v>2016-12</v>
      </c>
    </row>
    <row r="219" spans="1:4" x14ac:dyDescent="0.25">
      <c r="A219" t="s">
        <v>1576</v>
      </c>
      <c r="B219">
        <v>81</v>
      </c>
      <c r="C219" s="56">
        <v>42736</v>
      </c>
      <c r="D219" s="3" t="str">
        <f>YEAR(Datos_Consumo[[#This Row],[FECHA]])&amp;"-"&amp;MONTH(Datos_Consumo[[#This Row],[FECHA]])</f>
        <v>2017-1</v>
      </c>
    </row>
    <row r="220" spans="1:4" x14ac:dyDescent="0.25">
      <c r="A220" t="s">
        <v>1626</v>
      </c>
      <c r="B220">
        <v>12</v>
      </c>
      <c r="C220" s="56">
        <v>42705</v>
      </c>
      <c r="D220" s="3" t="str">
        <f>YEAR(Datos_Consumo[[#This Row],[FECHA]])&amp;"-"&amp;MONTH(Datos_Consumo[[#This Row],[FECHA]])</f>
        <v>2016-12</v>
      </c>
    </row>
    <row r="221" spans="1:4" x14ac:dyDescent="0.25">
      <c r="A221" t="s">
        <v>1627</v>
      </c>
      <c r="B221">
        <v>5</v>
      </c>
      <c r="C221" s="56">
        <v>42675</v>
      </c>
      <c r="D221" s="3" t="str">
        <f>YEAR(Datos_Consumo[[#This Row],[FECHA]])&amp;"-"&amp;MONTH(Datos_Consumo[[#This Row],[FECHA]])</f>
        <v>2016-11</v>
      </c>
    </row>
    <row r="222" spans="1:4" x14ac:dyDescent="0.25">
      <c r="A222" t="s">
        <v>1628</v>
      </c>
      <c r="B222">
        <v>20</v>
      </c>
      <c r="C222" s="56">
        <v>42705</v>
      </c>
      <c r="D222" s="3" t="str">
        <f>YEAR(Datos_Consumo[[#This Row],[FECHA]])&amp;"-"&amp;MONTH(Datos_Consumo[[#This Row],[FECHA]])</f>
        <v>2016-12</v>
      </c>
    </row>
    <row r="223" spans="1:4" x14ac:dyDescent="0.25">
      <c r="A223" t="s">
        <v>1628</v>
      </c>
      <c r="B223">
        <v>5</v>
      </c>
      <c r="C223" s="56">
        <v>42736</v>
      </c>
      <c r="D223" s="3" t="str">
        <f>YEAR(Datos_Consumo[[#This Row],[FECHA]])&amp;"-"&amp;MONTH(Datos_Consumo[[#This Row],[FECHA]])</f>
        <v>2017-1</v>
      </c>
    </row>
    <row r="224" spans="1:4" x14ac:dyDescent="0.25">
      <c r="A224" t="s">
        <v>1629</v>
      </c>
      <c r="B224">
        <v>162</v>
      </c>
      <c r="C224" s="56">
        <v>42675</v>
      </c>
      <c r="D224" s="3" t="str">
        <f>YEAR(Datos_Consumo[[#This Row],[FECHA]])&amp;"-"&amp;MONTH(Datos_Consumo[[#This Row],[FECHA]])</f>
        <v>2016-11</v>
      </c>
    </row>
    <row r="225" spans="1:4" x14ac:dyDescent="0.25">
      <c r="A225" t="s">
        <v>1629</v>
      </c>
      <c r="B225">
        <v>210</v>
      </c>
      <c r="C225" s="56">
        <v>42705</v>
      </c>
      <c r="D225" s="3" t="str">
        <f>YEAR(Datos_Consumo[[#This Row],[FECHA]])&amp;"-"&amp;MONTH(Datos_Consumo[[#This Row],[FECHA]])</f>
        <v>2016-12</v>
      </c>
    </row>
    <row r="226" spans="1:4" x14ac:dyDescent="0.25">
      <c r="A226" t="s">
        <v>1629</v>
      </c>
      <c r="B226">
        <v>28</v>
      </c>
      <c r="C226" s="56">
        <v>42736</v>
      </c>
      <c r="D226" s="3" t="str">
        <f>YEAR(Datos_Consumo[[#This Row],[FECHA]])&amp;"-"&amp;MONTH(Datos_Consumo[[#This Row],[FECHA]])</f>
        <v>2017-1</v>
      </c>
    </row>
    <row r="227" spans="1:4" x14ac:dyDescent="0.25">
      <c r="A227" t="s">
        <v>1630</v>
      </c>
      <c r="B227">
        <v>120</v>
      </c>
      <c r="C227" s="56">
        <v>42736</v>
      </c>
      <c r="D227" s="3" t="str">
        <f>YEAR(Datos_Consumo[[#This Row],[FECHA]])&amp;"-"&amp;MONTH(Datos_Consumo[[#This Row],[FECHA]])</f>
        <v>2017-1</v>
      </c>
    </row>
    <row r="228" spans="1:4" x14ac:dyDescent="0.25">
      <c r="A228" t="s">
        <v>1631</v>
      </c>
      <c r="B228">
        <v>160</v>
      </c>
      <c r="C228" s="56">
        <v>42705</v>
      </c>
      <c r="D228" s="3" t="str">
        <f>YEAR(Datos_Consumo[[#This Row],[FECHA]])&amp;"-"&amp;MONTH(Datos_Consumo[[#This Row],[FECHA]])</f>
        <v>2016-12</v>
      </c>
    </row>
    <row r="229" spans="1:4" x14ac:dyDescent="0.25">
      <c r="A229" t="s">
        <v>1632</v>
      </c>
      <c r="B229">
        <v>160</v>
      </c>
      <c r="C229" s="56">
        <v>42705</v>
      </c>
      <c r="D229" s="3" t="str">
        <f>YEAR(Datos_Consumo[[#This Row],[FECHA]])&amp;"-"&amp;MONTH(Datos_Consumo[[#This Row],[FECHA]])</f>
        <v>2016-12</v>
      </c>
    </row>
    <row r="230" spans="1:4" x14ac:dyDescent="0.25">
      <c r="A230" t="s">
        <v>1633</v>
      </c>
      <c r="B230">
        <v>160</v>
      </c>
      <c r="C230" s="56">
        <v>42736</v>
      </c>
      <c r="D230" s="3" t="str">
        <f>YEAR(Datos_Consumo[[#This Row],[FECHA]])&amp;"-"&amp;MONTH(Datos_Consumo[[#This Row],[FECHA]])</f>
        <v>2017-1</v>
      </c>
    </row>
    <row r="231" spans="1:4" x14ac:dyDescent="0.25">
      <c r="A231" t="s">
        <v>1634</v>
      </c>
      <c r="B231">
        <v>12</v>
      </c>
      <c r="C231" s="56">
        <v>42675</v>
      </c>
      <c r="D231" s="3" t="str">
        <f>YEAR(Datos_Consumo[[#This Row],[FECHA]])&amp;"-"&amp;MONTH(Datos_Consumo[[#This Row],[FECHA]])</f>
        <v>2016-11</v>
      </c>
    </row>
    <row r="232" spans="1:4" x14ac:dyDescent="0.25">
      <c r="A232" t="s">
        <v>1634</v>
      </c>
      <c r="B232">
        <v>4</v>
      </c>
      <c r="C232" s="56">
        <v>42705</v>
      </c>
      <c r="D232" s="3" t="str">
        <f>YEAR(Datos_Consumo[[#This Row],[FECHA]])&amp;"-"&amp;MONTH(Datos_Consumo[[#This Row],[FECHA]])</f>
        <v>2016-12</v>
      </c>
    </row>
    <row r="233" spans="1:4" x14ac:dyDescent="0.25">
      <c r="A233" t="s">
        <v>1634</v>
      </c>
      <c r="B233">
        <v>6</v>
      </c>
      <c r="C233" s="56">
        <v>42736</v>
      </c>
      <c r="D233" s="3" t="str">
        <f>YEAR(Datos_Consumo[[#This Row],[FECHA]])&amp;"-"&amp;MONTH(Datos_Consumo[[#This Row],[FECHA]])</f>
        <v>2017-1</v>
      </c>
    </row>
    <row r="234" spans="1:4" x14ac:dyDescent="0.25">
      <c r="A234" t="s">
        <v>1451</v>
      </c>
      <c r="B234">
        <v>5</v>
      </c>
      <c r="C234" s="56">
        <v>42705</v>
      </c>
      <c r="D234" s="3" t="str">
        <f>YEAR(Datos_Consumo[[#This Row],[FECHA]])&amp;"-"&amp;MONTH(Datos_Consumo[[#This Row],[FECHA]])</f>
        <v>2016-12</v>
      </c>
    </row>
    <row r="235" spans="1:4" x14ac:dyDescent="0.25">
      <c r="A235" t="s">
        <v>1635</v>
      </c>
      <c r="B235">
        <v>69</v>
      </c>
      <c r="C235" s="56">
        <v>42675</v>
      </c>
      <c r="D235" s="3" t="str">
        <f>YEAR(Datos_Consumo[[#This Row],[FECHA]])&amp;"-"&amp;MONTH(Datos_Consumo[[#This Row],[FECHA]])</f>
        <v>2016-11</v>
      </c>
    </row>
    <row r="236" spans="1:4" x14ac:dyDescent="0.25">
      <c r="A236" t="s">
        <v>1635</v>
      </c>
      <c r="B236">
        <v>90</v>
      </c>
      <c r="C236" s="56">
        <v>42705</v>
      </c>
      <c r="D236" s="3" t="str">
        <f>YEAR(Datos_Consumo[[#This Row],[FECHA]])&amp;"-"&amp;MONTH(Datos_Consumo[[#This Row],[FECHA]])</f>
        <v>2016-12</v>
      </c>
    </row>
    <row r="237" spans="1:4" x14ac:dyDescent="0.25">
      <c r="A237" t="s">
        <v>1635</v>
      </c>
      <c r="B237">
        <v>90</v>
      </c>
      <c r="C237" s="56">
        <v>42736</v>
      </c>
      <c r="D237" s="3" t="str">
        <f>YEAR(Datos_Consumo[[#This Row],[FECHA]])&amp;"-"&amp;MONTH(Datos_Consumo[[#This Row],[FECHA]])</f>
        <v>2017-1</v>
      </c>
    </row>
    <row r="238" spans="1:4" x14ac:dyDescent="0.25">
      <c r="A238" t="s">
        <v>1452</v>
      </c>
      <c r="B238">
        <v>2</v>
      </c>
      <c r="C238" s="56">
        <v>42736</v>
      </c>
      <c r="D238" s="3" t="str">
        <f>YEAR(Datos_Consumo[[#This Row],[FECHA]])&amp;"-"&amp;MONTH(Datos_Consumo[[#This Row],[FECHA]])</f>
        <v>2017-1</v>
      </c>
    </row>
    <row r="239" spans="1:4" x14ac:dyDescent="0.25">
      <c r="A239" t="s">
        <v>1453</v>
      </c>
      <c r="B239">
        <v>65</v>
      </c>
      <c r="C239" s="56">
        <v>42675</v>
      </c>
      <c r="D239" s="3" t="str">
        <f>YEAR(Datos_Consumo[[#This Row],[FECHA]])&amp;"-"&amp;MONTH(Datos_Consumo[[#This Row],[FECHA]])</f>
        <v>2016-11</v>
      </c>
    </row>
    <row r="240" spans="1:4" x14ac:dyDescent="0.25">
      <c r="A240" t="s">
        <v>1453</v>
      </c>
      <c r="B240">
        <v>1</v>
      </c>
      <c r="C240" s="56">
        <v>42705</v>
      </c>
      <c r="D240" s="3" t="str">
        <f>YEAR(Datos_Consumo[[#This Row],[FECHA]])&amp;"-"&amp;MONTH(Datos_Consumo[[#This Row],[FECHA]])</f>
        <v>2016-12</v>
      </c>
    </row>
    <row r="241" spans="1:4" x14ac:dyDescent="0.25">
      <c r="A241" t="s">
        <v>1454</v>
      </c>
      <c r="B241">
        <v>20</v>
      </c>
      <c r="C241" s="56">
        <v>42675</v>
      </c>
      <c r="D241" s="3" t="str">
        <f>YEAR(Datos_Consumo[[#This Row],[FECHA]])&amp;"-"&amp;MONTH(Datos_Consumo[[#This Row],[FECHA]])</f>
        <v>2016-11</v>
      </c>
    </row>
    <row r="242" spans="1:4" x14ac:dyDescent="0.25">
      <c r="A242" t="s">
        <v>1454</v>
      </c>
      <c r="B242">
        <v>40</v>
      </c>
      <c r="C242" s="56">
        <v>42736</v>
      </c>
      <c r="D242" s="3" t="str">
        <f>YEAR(Datos_Consumo[[#This Row],[FECHA]])&amp;"-"&amp;MONTH(Datos_Consumo[[#This Row],[FECHA]])</f>
        <v>2017-1</v>
      </c>
    </row>
    <row r="243" spans="1:4" x14ac:dyDescent="0.25">
      <c r="A243" t="s">
        <v>1455</v>
      </c>
      <c r="B243">
        <v>120</v>
      </c>
      <c r="C243" s="56">
        <v>42705</v>
      </c>
      <c r="D243" s="3" t="str">
        <f>YEAR(Datos_Consumo[[#This Row],[FECHA]])&amp;"-"&amp;MONTH(Datos_Consumo[[#This Row],[FECHA]])</f>
        <v>2016-12</v>
      </c>
    </row>
    <row r="244" spans="1:4" x14ac:dyDescent="0.25">
      <c r="A244" t="s">
        <v>1456</v>
      </c>
      <c r="B244">
        <v>25000</v>
      </c>
      <c r="C244" s="56">
        <v>42736</v>
      </c>
      <c r="D244" s="3" t="str">
        <f>YEAR(Datos_Consumo[[#This Row],[FECHA]])&amp;"-"&amp;MONTH(Datos_Consumo[[#This Row],[FECHA]])</f>
        <v>2017-1</v>
      </c>
    </row>
    <row r="245" spans="1:4" x14ac:dyDescent="0.25">
      <c r="A245" t="s">
        <v>1457</v>
      </c>
      <c r="B245">
        <v>300</v>
      </c>
      <c r="C245" s="56">
        <v>42705</v>
      </c>
      <c r="D245" s="3" t="str">
        <f>YEAR(Datos_Consumo[[#This Row],[FECHA]])&amp;"-"&amp;MONTH(Datos_Consumo[[#This Row],[FECHA]])</f>
        <v>2016-12</v>
      </c>
    </row>
    <row r="246" spans="1:4" x14ac:dyDescent="0.25">
      <c r="A246" t="s">
        <v>1458</v>
      </c>
      <c r="B246">
        <v>15000</v>
      </c>
      <c r="C246" s="56">
        <v>42736</v>
      </c>
      <c r="D246" s="3" t="str">
        <f>YEAR(Datos_Consumo[[#This Row],[FECHA]])&amp;"-"&amp;MONTH(Datos_Consumo[[#This Row],[FECHA]])</f>
        <v>2017-1</v>
      </c>
    </row>
    <row r="247" spans="1:4" x14ac:dyDescent="0.25">
      <c r="A247" t="s">
        <v>1459</v>
      </c>
      <c r="B247">
        <v>300</v>
      </c>
      <c r="C247" s="56">
        <v>42705</v>
      </c>
      <c r="D247" s="3" t="str">
        <f>YEAR(Datos_Consumo[[#This Row],[FECHA]])&amp;"-"&amp;MONTH(Datos_Consumo[[#This Row],[FECHA]])</f>
        <v>2016-12</v>
      </c>
    </row>
    <row r="248" spans="1:4" x14ac:dyDescent="0.25">
      <c r="A248" t="s">
        <v>1460</v>
      </c>
      <c r="B248">
        <v>10000</v>
      </c>
      <c r="C248" s="56">
        <v>42736</v>
      </c>
      <c r="D248" s="3" t="str">
        <f>YEAR(Datos_Consumo[[#This Row],[FECHA]])&amp;"-"&amp;MONTH(Datos_Consumo[[#This Row],[FECHA]])</f>
        <v>2017-1</v>
      </c>
    </row>
    <row r="249" spans="1:4" x14ac:dyDescent="0.25">
      <c r="A249" t="s">
        <v>1461</v>
      </c>
      <c r="B249">
        <v>127</v>
      </c>
      <c r="C249" s="56">
        <v>42675</v>
      </c>
      <c r="D249" s="3" t="str">
        <f>YEAR(Datos_Consumo[[#This Row],[FECHA]])&amp;"-"&amp;MONTH(Datos_Consumo[[#This Row],[FECHA]])</f>
        <v>2016-11</v>
      </c>
    </row>
    <row r="250" spans="1:4" x14ac:dyDescent="0.25">
      <c r="A250" t="s">
        <v>1462</v>
      </c>
      <c r="B250">
        <v>7</v>
      </c>
      <c r="C250" s="56">
        <v>42675</v>
      </c>
      <c r="D250" s="3" t="str">
        <f>YEAR(Datos_Consumo[[#This Row],[FECHA]])&amp;"-"&amp;MONTH(Datos_Consumo[[#This Row],[FECHA]])</f>
        <v>2016-11</v>
      </c>
    </row>
    <row r="251" spans="1:4" x14ac:dyDescent="0.25">
      <c r="A251" t="s">
        <v>1462</v>
      </c>
      <c r="B251">
        <v>5</v>
      </c>
      <c r="C251" s="56">
        <v>42705</v>
      </c>
      <c r="D251" s="3" t="str">
        <f>YEAR(Datos_Consumo[[#This Row],[FECHA]])&amp;"-"&amp;MONTH(Datos_Consumo[[#This Row],[FECHA]])</f>
        <v>2016-12</v>
      </c>
    </row>
    <row r="252" spans="1:4" x14ac:dyDescent="0.25">
      <c r="A252" t="s">
        <v>1463</v>
      </c>
      <c r="B252">
        <v>2</v>
      </c>
      <c r="C252" s="56">
        <v>42705</v>
      </c>
      <c r="D252" s="3" t="str">
        <f>YEAR(Datos_Consumo[[#This Row],[FECHA]])&amp;"-"&amp;MONTH(Datos_Consumo[[#This Row],[FECHA]])</f>
        <v>2016-12</v>
      </c>
    </row>
    <row r="253" spans="1:4" x14ac:dyDescent="0.25">
      <c r="A253" t="s">
        <v>1463</v>
      </c>
      <c r="B253">
        <v>1</v>
      </c>
      <c r="C253" s="56">
        <v>42736</v>
      </c>
      <c r="D253" s="3" t="str">
        <f>YEAR(Datos_Consumo[[#This Row],[FECHA]])&amp;"-"&amp;MONTH(Datos_Consumo[[#This Row],[FECHA]])</f>
        <v>2017-1</v>
      </c>
    </row>
    <row r="254" spans="1:4" x14ac:dyDescent="0.25">
      <c r="A254" t="s">
        <v>1464</v>
      </c>
      <c r="B254">
        <v>4</v>
      </c>
      <c r="C254" s="56">
        <v>42675</v>
      </c>
      <c r="D254" s="3" t="str">
        <f>YEAR(Datos_Consumo[[#This Row],[FECHA]])&amp;"-"&amp;MONTH(Datos_Consumo[[#This Row],[FECHA]])</f>
        <v>2016-11</v>
      </c>
    </row>
    <row r="255" spans="1:4" x14ac:dyDescent="0.25">
      <c r="A255" t="s">
        <v>1465</v>
      </c>
      <c r="B255">
        <v>3</v>
      </c>
      <c r="C255" s="56">
        <v>42675</v>
      </c>
      <c r="D255" s="3" t="str">
        <f>YEAR(Datos_Consumo[[#This Row],[FECHA]])&amp;"-"&amp;MONTH(Datos_Consumo[[#This Row],[FECHA]])</f>
        <v>2016-11</v>
      </c>
    </row>
    <row r="256" spans="1:4" x14ac:dyDescent="0.25">
      <c r="A256" t="s">
        <v>1465</v>
      </c>
      <c r="B256">
        <v>1</v>
      </c>
      <c r="C256" s="56">
        <v>42705</v>
      </c>
      <c r="D256" s="3" t="str">
        <f>YEAR(Datos_Consumo[[#This Row],[FECHA]])&amp;"-"&amp;MONTH(Datos_Consumo[[#This Row],[FECHA]])</f>
        <v>2016-12</v>
      </c>
    </row>
    <row r="257" spans="1:4" x14ac:dyDescent="0.25">
      <c r="A257" t="s">
        <v>1466</v>
      </c>
      <c r="B257">
        <v>2</v>
      </c>
      <c r="C257" s="56">
        <v>42675</v>
      </c>
      <c r="D257" s="3" t="str">
        <f>YEAR(Datos_Consumo[[#This Row],[FECHA]])&amp;"-"&amp;MONTH(Datos_Consumo[[#This Row],[FECHA]])</f>
        <v>2016-11</v>
      </c>
    </row>
    <row r="258" spans="1:4" x14ac:dyDescent="0.25">
      <c r="A258" t="s">
        <v>1466</v>
      </c>
      <c r="B258">
        <v>2</v>
      </c>
      <c r="C258" s="56">
        <v>42705</v>
      </c>
      <c r="D258" s="3" t="str">
        <f>YEAR(Datos_Consumo[[#This Row],[FECHA]])&amp;"-"&amp;MONTH(Datos_Consumo[[#This Row],[FECHA]])</f>
        <v>2016-12</v>
      </c>
    </row>
    <row r="259" spans="1:4" x14ac:dyDescent="0.25">
      <c r="A259" t="s">
        <v>1467</v>
      </c>
      <c r="B259">
        <v>7</v>
      </c>
      <c r="C259" s="56">
        <v>42675</v>
      </c>
      <c r="D259" s="3" t="str">
        <f>YEAR(Datos_Consumo[[#This Row],[FECHA]])&amp;"-"&amp;MONTH(Datos_Consumo[[#This Row],[FECHA]])</f>
        <v>2016-11</v>
      </c>
    </row>
    <row r="260" spans="1:4" x14ac:dyDescent="0.25">
      <c r="A260" t="s">
        <v>1467</v>
      </c>
      <c r="B260">
        <v>1</v>
      </c>
      <c r="C260" s="56">
        <v>42705</v>
      </c>
      <c r="D260" s="3" t="str">
        <f>YEAR(Datos_Consumo[[#This Row],[FECHA]])&amp;"-"&amp;MONTH(Datos_Consumo[[#This Row],[FECHA]])</f>
        <v>2016-12</v>
      </c>
    </row>
    <row r="261" spans="1:4" x14ac:dyDescent="0.25">
      <c r="A261" t="s">
        <v>1467</v>
      </c>
      <c r="B261">
        <v>3</v>
      </c>
      <c r="C261" s="56">
        <v>42736</v>
      </c>
      <c r="D261" s="3" t="str">
        <f>YEAR(Datos_Consumo[[#This Row],[FECHA]])&amp;"-"&amp;MONTH(Datos_Consumo[[#This Row],[FECHA]])</f>
        <v>2017-1</v>
      </c>
    </row>
    <row r="262" spans="1:4" x14ac:dyDescent="0.25">
      <c r="A262" t="s">
        <v>1468</v>
      </c>
      <c r="B262">
        <v>2</v>
      </c>
      <c r="C262" s="56">
        <v>42736</v>
      </c>
      <c r="D262" s="3" t="str">
        <f>YEAR(Datos_Consumo[[#This Row],[FECHA]])&amp;"-"&amp;MONTH(Datos_Consumo[[#This Row],[FECHA]])</f>
        <v>2017-1</v>
      </c>
    </row>
    <row r="263" spans="1:4" x14ac:dyDescent="0.25">
      <c r="A263" t="s">
        <v>1469</v>
      </c>
      <c r="B263">
        <v>1</v>
      </c>
      <c r="C263" s="56">
        <v>42675</v>
      </c>
      <c r="D263" s="3" t="str">
        <f>YEAR(Datos_Consumo[[#This Row],[FECHA]])&amp;"-"&amp;MONTH(Datos_Consumo[[#This Row],[FECHA]])</f>
        <v>2016-11</v>
      </c>
    </row>
    <row r="264" spans="1:4" x14ac:dyDescent="0.25">
      <c r="A264" t="s">
        <v>1470</v>
      </c>
      <c r="B264">
        <v>1</v>
      </c>
      <c r="C264" s="56">
        <v>42675</v>
      </c>
      <c r="D264" s="3" t="str">
        <f>YEAR(Datos_Consumo[[#This Row],[FECHA]])&amp;"-"&amp;MONTH(Datos_Consumo[[#This Row],[FECHA]])</f>
        <v>2016-11</v>
      </c>
    </row>
    <row r="265" spans="1:4" x14ac:dyDescent="0.25">
      <c r="A265" t="s">
        <v>1470</v>
      </c>
      <c r="B265">
        <v>1</v>
      </c>
      <c r="C265" s="56">
        <v>42705</v>
      </c>
      <c r="D265" s="3" t="str">
        <f>YEAR(Datos_Consumo[[#This Row],[FECHA]])&amp;"-"&amp;MONTH(Datos_Consumo[[#This Row],[FECHA]])</f>
        <v>2016-12</v>
      </c>
    </row>
    <row r="266" spans="1:4" x14ac:dyDescent="0.25">
      <c r="A266" t="s">
        <v>1471</v>
      </c>
      <c r="B266">
        <v>7</v>
      </c>
      <c r="C266" s="56">
        <v>42736</v>
      </c>
      <c r="D266" s="3" t="str">
        <f>YEAR(Datos_Consumo[[#This Row],[FECHA]])&amp;"-"&amp;MONTH(Datos_Consumo[[#This Row],[FECHA]])</f>
        <v>2017-1</v>
      </c>
    </row>
    <row r="267" spans="1:4" x14ac:dyDescent="0.25">
      <c r="A267" t="s">
        <v>1472</v>
      </c>
      <c r="B267">
        <v>1</v>
      </c>
      <c r="C267" s="56">
        <v>42675</v>
      </c>
      <c r="D267" s="3" t="str">
        <f>YEAR(Datos_Consumo[[#This Row],[FECHA]])&amp;"-"&amp;MONTH(Datos_Consumo[[#This Row],[FECHA]])</f>
        <v>2016-11</v>
      </c>
    </row>
    <row r="268" spans="1:4" x14ac:dyDescent="0.25">
      <c r="A268" t="s">
        <v>1472</v>
      </c>
      <c r="B268">
        <v>4</v>
      </c>
      <c r="C268" s="56">
        <v>42705</v>
      </c>
      <c r="D268" s="3" t="str">
        <f>YEAR(Datos_Consumo[[#This Row],[FECHA]])&amp;"-"&amp;MONTH(Datos_Consumo[[#This Row],[FECHA]])</f>
        <v>2016-12</v>
      </c>
    </row>
    <row r="269" spans="1:4" x14ac:dyDescent="0.25">
      <c r="A269" t="s">
        <v>1472</v>
      </c>
      <c r="B269">
        <v>8</v>
      </c>
      <c r="C269" s="56">
        <v>42736</v>
      </c>
      <c r="D269" s="3" t="str">
        <f>YEAR(Datos_Consumo[[#This Row],[FECHA]])&amp;"-"&amp;MONTH(Datos_Consumo[[#This Row],[FECHA]])</f>
        <v>2017-1</v>
      </c>
    </row>
    <row r="270" spans="1:4" x14ac:dyDescent="0.25">
      <c r="A270" t="s">
        <v>1473</v>
      </c>
      <c r="B270">
        <v>3</v>
      </c>
      <c r="C270" s="56">
        <v>42705</v>
      </c>
      <c r="D270" s="3" t="str">
        <f>YEAR(Datos_Consumo[[#This Row],[FECHA]])&amp;"-"&amp;MONTH(Datos_Consumo[[#This Row],[FECHA]])</f>
        <v>2016-12</v>
      </c>
    </row>
    <row r="271" spans="1:4" x14ac:dyDescent="0.25">
      <c r="A271" t="s">
        <v>1474</v>
      </c>
      <c r="B271">
        <v>5</v>
      </c>
      <c r="C271" s="56">
        <v>42675</v>
      </c>
      <c r="D271" s="3" t="str">
        <f>YEAR(Datos_Consumo[[#This Row],[FECHA]])&amp;"-"&amp;MONTH(Datos_Consumo[[#This Row],[FECHA]])</f>
        <v>2016-11</v>
      </c>
    </row>
    <row r="272" spans="1:4" x14ac:dyDescent="0.25">
      <c r="A272" t="s">
        <v>1475</v>
      </c>
      <c r="B272">
        <v>1</v>
      </c>
      <c r="C272" s="56">
        <v>42705</v>
      </c>
      <c r="D272" s="3" t="str">
        <f>YEAR(Datos_Consumo[[#This Row],[FECHA]])&amp;"-"&amp;MONTH(Datos_Consumo[[#This Row],[FECHA]])</f>
        <v>2016-12</v>
      </c>
    </row>
    <row r="273" spans="1:4" x14ac:dyDescent="0.25">
      <c r="A273" t="s">
        <v>1476</v>
      </c>
      <c r="B273">
        <v>125</v>
      </c>
      <c r="C273" s="56">
        <v>42705</v>
      </c>
      <c r="D273" s="3" t="str">
        <f>YEAR(Datos_Consumo[[#This Row],[FECHA]])&amp;"-"&amp;MONTH(Datos_Consumo[[#This Row],[FECHA]])</f>
        <v>2016-12</v>
      </c>
    </row>
    <row r="274" spans="1:4" x14ac:dyDescent="0.25">
      <c r="A274" t="s">
        <v>1477</v>
      </c>
      <c r="B274">
        <v>1</v>
      </c>
      <c r="C274" s="56">
        <v>42736</v>
      </c>
      <c r="D274" s="3" t="str">
        <f>YEAR(Datos_Consumo[[#This Row],[FECHA]])&amp;"-"&amp;MONTH(Datos_Consumo[[#This Row],[FECHA]])</f>
        <v>2017-1</v>
      </c>
    </row>
    <row r="275" spans="1:4" x14ac:dyDescent="0.25">
      <c r="A275" t="s">
        <v>1478</v>
      </c>
      <c r="B275">
        <v>1</v>
      </c>
      <c r="C275" s="56">
        <v>42675</v>
      </c>
      <c r="D275" s="3" t="str">
        <f>YEAR(Datos_Consumo[[#This Row],[FECHA]])&amp;"-"&amp;MONTH(Datos_Consumo[[#This Row],[FECHA]])</f>
        <v>2016-11</v>
      </c>
    </row>
    <row r="276" spans="1:4" x14ac:dyDescent="0.25">
      <c r="A276" t="s">
        <v>1479</v>
      </c>
      <c r="B276">
        <v>1</v>
      </c>
      <c r="C276" s="56">
        <v>42705</v>
      </c>
      <c r="D276" s="3" t="str">
        <f>YEAR(Datos_Consumo[[#This Row],[FECHA]])&amp;"-"&amp;MONTH(Datos_Consumo[[#This Row],[FECHA]])</f>
        <v>2016-12</v>
      </c>
    </row>
    <row r="277" spans="1:4" x14ac:dyDescent="0.25">
      <c r="A277" t="s">
        <v>1480</v>
      </c>
      <c r="B277">
        <v>2</v>
      </c>
      <c r="C277" s="56">
        <v>42736</v>
      </c>
      <c r="D277" s="3" t="str">
        <f>YEAR(Datos_Consumo[[#This Row],[FECHA]])&amp;"-"&amp;MONTH(Datos_Consumo[[#This Row],[FECHA]])</f>
        <v>2017-1</v>
      </c>
    </row>
    <row r="278" spans="1:4" x14ac:dyDescent="0.25">
      <c r="A278" t="s">
        <v>1481</v>
      </c>
      <c r="B278">
        <v>1</v>
      </c>
      <c r="C278" s="56">
        <v>42736</v>
      </c>
      <c r="D278" s="3" t="str">
        <f>YEAR(Datos_Consumo[[#This Row],[FECHA]])&amp;"-"&amp;MONTH(Datos_Consumo[[#This Row],[FECHA]])</f>
        <v>2017-1</v>
      </c>
    </row>
    <row r="279" spans="1:4" x14ac:dyDescent="0.25">
      <c r="A279" t="s">
        <v>1482</v>
      </c>
      <c r="B279">
        <v>1</v>
      </c>
      <c r="C279" s="56">
        <v>42705</v>
      </c>
      <c r="D279" s="3" t="str">
        <f>YEAR(Datos_Consumo[[#This Row],[FECHA]])&amp;"-"&amp;MONTH(Datos_Consumo[[#This Row],[FECHA]])</f>
        <v>2016-12</v>
      </c>
    </row>
    <row r="280" spans="1:4" x14ac:dyDescent="0.25">
      <c r="A280" t="s">
        <v>1636</v>
      </c>
      <c r="B280">
        <v>200</v>
      </c>
      <c r="C280" s="56">
        <v>42675</v>
      </c>
      <c r="D280" s="3" t="str">
        <f>YEAR(Datos_Consumo[[#This Row],[FECHA]])&amp;"-"&amp;MONTH(Datos_Consumo[[#This Row],[FECHA]])</f>
        <v>2016-11</v>
      </c>
    </row>
    <row r="281" spans="1:4" x14ac:dyDescent="0.25">
      <c r="A281" t="s">
        <v>1636</v>
      </c>
      <c r="B281">
        <v>4200</v>
      </c>
      <c r="C281" s="56">
        <v>42736</v>
      </c>
      <c r="D281" s="3" t="str">
        <f>YEAR(Datos_Consumo[[#This Row],[FECHA]])&amp;"-"&amp;MONTH(Datos_Consumo[[#This Row],[FECHA]])</f>
        <v>2017-1</v>
      </c>
    </row>
    <row r="282" spans="1:4" x14ac:dyDescent="0.25">
      <c r="A282" t="s">
        <v>1637</v>
      </c>
      <c r="B282">
        <v>300</v>
      </c>
      <c r="C282" s="56">
        <v>42675</v>
      </c>
      <c r="D282" s="3" t="str">
        <f>YEAR(Datos_Consumo[[#This Row],[FECHA]])&amp;"-"&amp;MONTH(Datos_Consumo[[#This Row],[FECHA]])</f>
        <v>2016-11</v>
      </c>
    </row>
    <row r="283" spans="1:4" x14ac:dyDescent="0.25">
      <c r="A283" t="s">
        <v>1637</v>
      </c>
      <c r="B283">
        <v>14800</v>
      </c>
      <c r="C283" s="56">
        <v>42705</v>
      </c>
      <c r="D283" s="3" t="str">
        <f>YEAR(Datos_Consumo[[#This Row],[FECHA]])&amp;"-"&amp;MONTH(Datos_Consumo[[#This Row],[FECHA]])</f>
        <v>2016-12</v>
      </c>
    </row>
    <row r="284" spans="1:4" x14ac:dyDescent="0.25">
      <c r="A284" t="s">
        <v>1637</v>
      </c>
      <c r="B284">
        <v>2300</v>
      </c>
      <c r="C284" s="56">
        <v>42736</v>
      </c>
      <c r="D284" s="3" t="str">
        <f>YEAR(Datos_Consumo[[#This Row],[FECHA]])&amp;"-"&amp;MONTH(Datos_Consumo[[#This Row],[FECHA]])</f>
        <v>2017-1</v>
      </c>
    </row>
    <row r="285" spans="1:4" x14ac:dyDescent="0.25">
      <c r="A285" t="s">
        <v>1638</v>
      </c>
      <c r="B285">
        <v>200</v>
      </c>
      <c r="C285" s="56">
        <v>42675</v>
      </c>
      <c r="D285" s="3" t="str">
        <f>YEAR(Datos_Consumo[[#This Row],[FECHA]])&amp;"-"&amp;MONTH(Datos_Consumo[[#This Row],[FECHA]])</f>
        <v>2016-11</v>
      </c>
    </row>
    <row r="286" spans="1:4" x14ac:dyDescent="0.25">
      <c r="A286" t="s">
        <v>1638</v>
      </c>
      <c r="B286">
        <v>2200</v>
      </c>
      <c r="C286" s="56">
        <v>42736</v>
      </c>
      <c r="D286" s="3" t="str">
        <f>YEAR(Datos_Consumo[[#This Row],[FECHA]])&amp;"-"&amp;MONTH(Datos_Consumo[[#This Row],[FECHA]])</f>
        <v>2017-1</v>
      </c>
    </row>
    <row r="287" spans="1:4" x14ac:dyDescent="0.25">
      <c r="A287" t="s">
        <v>1639</v>
      </c>
      <c r="B287">
        <v>1</v>
      </c>
      <c r="C287" s="56">
        <v>42675</v>
      </c>
      <c r="D287" s="3" t="str">
        <f>YEAR(Datos_Consumo[[#This Row],[FECHA]])&amp;"-"&amp;MONTH(Datos_Consumo[[#This Row],[FECHA]])</f>
        <v>2016-11</v>
      </c>
    </row>
    <row r="288" spans="1:4" x14ac:dyDescent="0.25">
      <c r="A288" t="s">
        <v>1640</v>
      </c>
      <c r="B288">
        <v>50</v>
      </c>
      <c r="C288" s="56">
        <v>42736</v>
      </c>
      <c r="D288" s="3" t="str">
        <f>YEAR(Datos_Consumo[[#This Row],[FECHA]])&amp;"-"&amp;MONTH(Datos_Consumo[[#This Row],[FECHA]])</f>
        <v>2017-1</v>
      </c>
    </row>
    <row r="289" spans="1:4" x14ac:dyDescent="0.25">
      <c r="A289" t="s">
        <v>1641</v>
      </c>
      <c r="B289">
        <v>10</v>
      </c>
      <c r="C289" s="56">
        <v>42675</v>
      </c>
      <c r="D289" s="3" t="str">
        <f>YEAR(Datos_Consumo[[#This Row],[FECHA]])&amp;"-"&amp;MONTH(Datos_Consumo[[#This Row],[FECHA]])</f>
        <v>2016-11</v>
      </c>
    </row>
    <row r="290" spans="1:4" x14ac:dyDescent="0.25">
      <c r="A290" t="s">
        <v>1641</v>
      </c>
      <c r="B290">
        <v>15</v>
      </c>
      <c r="C290" s="56">
        <v>42705</v>
      </c>
      <c r="D290" s="3" t="str">
        <f>YEAR(Datos_Consumo[[#This Row],[FECHA]])&amp;"-"&amp;MONTH(Datos_Consumo[[#This Row],[FECHA]])</f>
        <v>2016-12</v>
      </c>
    </row>
    <row r="291" spans="1:4" x14ac:dyDescent="0.25">
      <c r="A291" t="s">
        <v>1641</v>
      </c>
      <c r="B291">
        <v>15</v>
      </c>
      <c r="C291" s="56">
        <v>42736</v>
      </c>
      <c r="D291" s="3" t="str">
        <f>YEAR(Datos_Consumo[[#This Row],[FECHA]])&amp;"-"&amp;MONTH(Datos_Consumo[[#This Row],[FECHA]])</f>
        <v>2017-1</v>
      </c>
    </row>
    <row r="292" spans="1:4" x14ac:dyDescent="0.25">
      <c r="A292" t="s">
        <v>1642</v>
      </c>
      <c r="B292">
        <v>500</v>
      </c>
      <c r="C292" s="56">
        <v>42705</v>
      </c>
      <c r="D292" s="3" t="str">
        <f>YEAR(Datos_Consumo[[#This Row],[FECHA]])&amp;"-"&amp;MONTH(Datos_Consumo[[#This Row],[FECHA]])</f>
        <v>2016-12</v>
      </c>
    </row>
    <row r="293" spans="1:4" x14ac:dyDescent="0.25">
      <c r="A293" t="s">
        <v>1642</v>
      </c>
      <c r="B293">
        <v>500</v>
      </c>
      <c r="C293" s="56">
        <v>42736</v>
      </c>
      <c r="D293" s="3" t="str">
        <f>YEAR(Datos_Consumo[[#This Row],[FECHA]])&amp;"-"&amp;MONTH(Datos_Consumo[[#This Row],[FECHA]])</f>
        <v>2017-1</v>
      </c>
    </row>
    <row r="294" spans="1:4" x14ac:dyDescent="0.25">
      <c r="A294" t="s">
        <v>1643</v>
      </c>
      <c r="B294">
        <v>500</v>
      </c>
      <c r="C294" s="56">
        <v>42705</v>
      </c>
      <c r="D294" s="3" t="str">
        <f>YEAR(Datos_Consumo[[#This Row],[FECHA]])&amp;"-"&amp;MONTH(Datos_Consumo[[#This Row],[FECHA]])</f>
        <v>2016-12</v>
      </c>
    </row>
    <row r="295" spans="1:4" x14ac:dyDescent="0.25">
      <c r="A295" t="s">
        <v>1643</v>
      </c>
      <c r="B295">
        <v>500</v>
      </c>
      <c r="C295" s="56">
        <v>42736</v>
      </c>
      <c r="D295" s="3" t="str">
        <f>YEAR(Datos_Consumo[[#This Row],[FECHA]])&amp;"-"&amp;MONTH(Datos_Consumo[[#This Row],[FECHA]])</f>
        <v>2017-1</v>
      </c>
    </row>
    <row r="296" spans="1:4" x14ac:dyDescent="0.25">
      <c r="A296" t="s">
        <v>1644</v>
      </c>
      <c r="B296">
        <v>500</v>
      </c>
      <c r="C296" s="56">
        <v>42705</v>
      </c>
      <c r="D296" s="3" t="str">
        <f>YEAR(Datos_Consumo[[#This Row],[FECHA]])&amp;"-"&amp;MONTH(Datos_Consumo[[#This Row],[FECHA]])</f>
        <v>2016-12</v>
      </c>
    </row>
    <row r="297" spans="1:4" x14ac:dyDescent="0.25">
      <c r="A297" t="s">
        <v>1644</v>
      </c>
      <c r="B297">
        <v>500</v>
      </c>
      <c r="C297" s="56">
        <v>42736</v>
      </c>
      <c r="D297" s="3" t="str">
        <f>YEAR(Datos_Consumo[[#This Row],[FECHA]])&amp;"-"&amp;MONTH(Datos_Consumo[[#This Row],[FECHA]])</f>
        <v>2017-1</v>
      </c>
    </row>
    <row r="298" spans="1:4" x14ac:dyDescent="0.25">
      <c r="A298" t="s">
        <v>1483</v>
      </c>
      <c r="B298">
        <v>31</v>
      </c>
      <c r="C298" s="56">
        <v>42675</v>
      </c>
      <c r="D298" s="3" t="str">
        <f>YEAR(Datos_Consumo[[#This Row],[FECHA]])&amp;"-"&amp;MONTH(Datos_Consumo[[#This Row],[FECHA]])</f>
        <v>2016-11</v>
      </c>
    </row>
    <row r="299" spans="1:4" x14ac:dyDescent="0.25">
      <c r="A299" t="s">
        <v>1483</v>
      </c>
      <c r="B299">
        <v>80</v>
      </c>
      <c r="C299" s="56">
        <v>42705</v>
      </c>
      <c r="D299" s="3" t="str">
        <f>YEAR(Datos_Consumo[[#This Row],[FECHA]])&amp;"-"&amp;MONTH(Datos_Consumo[[#This Row],[FECHA]])</f>
        <v>2016-12</v>
      </c>
    </row>
    <row r="300" spans="1:4" x14ac:dyDescent="0.25">
      <c r="A300" t="s">
        <v>1483</v>
      </c>
      <c r="B300">
        <v>48</v>
      </c>
      <c r="C300" s="56">
        <v>42736</v>
      </c>
      <c r="D300" s="3" t="str">
        <f>YEAR(Datos_Consumo[[#This Row],[FECHA]])&amp;"-"&amp;MONTH(Datos_Consumo[[#This Row],[FECHA]])</f>
        <v>2017-1</v>
      </c>
    </row>
    <row r="301" spans="1:4" x14ac:dyDescent="0.25">
      <c r="A301" t="s">
        <v>1483</v>
      </c>
      <c r="B301">
        <v>1</v>
      </c>
      <c r="C301" s="56">
        <v>42767</v>
      </c>
      <c r="D301" s="3" t="str">
        <f>YEAR(Datos_Consumo[[#This Row],[FECHA]])&amp;"-"&amp;MONTH(Datos_Consumo[[#This Row],[FECHA]])</f>
        <v>2017-2</v>
      </c>
    </row>
    <row r="302" spans="1:4" x14ac:dyDescent="0.25">
      <c r="A302" t="s">
        <v>1484</v>
      </c>
      <c r="B302">
        <v>2</v>
      </c>
      <c r="C302" s="56">
        <v>42675</v>
      </c>
      <c r="D302" s="3" t="str">
        <f>YEAR(Datos_Consumo[[#This Row],[FECHA]])&amp;"-"&amp;MONTH(Datos_Consumo[[#This Row],[FECHA]])</f>
        <v>2016-11</v>
      </c>
    </row>
    <row r="303" spans="1:4" x14ac:dyDescent="0.25">
      <c r="A303" t="s">
        <v>1485</v>
      </c>
      <c r="B303">
        <v>1</v>
      </c>
      <c r="C303" s="56">
        <v>42675</v>
      </c>
      <c r="D303" s="3" t="str">
        <f>YEAR(Datos_Consumo[[#This Row],[FECHA]])&amp;"-"&amp;MONTH(Datos_Consumo[[#This Row],[FECHA]])</f>
        <v>2016-11</v>
      </c>
    </row>
    <row r="304" spans="1:4" x14ac:dyDescent="0.25">
      <c r="A304" t="s">
        <v>1486</v>
      </c>
      <c r="B304">
        <v>2</v>
      </c>
      <c r="C304" s="56">
        <v>42675</v>
      </c>
      <c r="D304" s="3" t="str">
        <f>YEAR(Datos_Consumo[[#This Row],[FECHA]])&amp;"-"&amp;MONTH(Datos_Consumo[[#This Row],[FECHA]])</f>
        <v>2016-11</v>
      </c>
    </row>
    <row r="305" spans="1:4" x14ac:dyDescent="0.25">
      <c r="A305" t="s">
        <v>1487</v>
      </c>
      <c r="B305">
        <v>1</v>
      </c>
      <c r="C305" s="56">
        <v>42675</v>
      </c>
      <c r="D305" s="3" t="str">
        <f>YEAR(Datos_Consumo[[#This Row],[FECHA]])&amp;"-"&amp;MONTH(Datos_Consumo[[#This Row],[FECHA]])</f>
        <v>2016-11</v>
      </c>
    </row>
    <row r="306" spans="1:4" x14ac:dyDescent="0.25">
      <c r="A306" t="s">
        <v>1488</v>
      </c>
      <c r="B306">
        <v>1</v>
      </c>
      <c r="C306" s="56">
        <v>42675</v>
      </c>
      <c r="D306" s="3" t="str">
        <f>YEAR(Datos_Consumo[[#This Row],[FECHA]])&amp;"-"&amp;MONTH(Datos_Consumo[[#This Row],[FECHA]])</f>
        <v>2016-11</v>
      </c>
    </row>
    <row r="307" spans="1:4" x14ac:dyDescent="0.25">
      <c r="A307" t="s">
        <v>1489</v>
      </c>
      <c r="B307">
        <v>1</v>
      </c>
      <c r="C307" s="56">
        <v>42675</v>
      </c>
      <c r="D307" s="3" t="str">
        <f>YEAR(Datos_Consumo[[#This Row],[FECHA]])&amp;"-"&amp;MONTH(Datos_Consumo[[#This Row],[FECHA]])</f>
        <v>2016-11</v>
      </c>
    </row>
    <row r="308" spans="1:4" x14ac:dyDescent="0.25">
      <c r="A308" t="s">
        <v>1490</v>
      </c>
      <c r="B308">
        <v>4</v>
      </c>
      <c r="C308" s="56">
        <v>42675</v>
      </c>
      <c r="D308" s="3" t="str">
        <f>YEAR(Datos_Consumo[[#This Row],[FECHA]])&amp;"-"&amp;MONTH(Datos_Consumo[[#This Row],[FECHA]])</f>
        <v>2016-11</v>
      </c>
    </row>
    <row r="309" spans="1:4" x14ac:dyDescent="0.25">
      <c r="A309" t="s">
        <v>1491</v>
      </c>
      <c r="B309">
        <v>2</v>
      </c>
      <c r="C309" s="56">
        <v>42675</v>
      </c>
      <c r="D309" s="3" t="str">
        <f>YEAR(Datos_Consumo[[#This Row],[FECHA]])&amp;"-"&amp;MONTH(Datos_Consumo[[#This Row],[FECHA]])</f>
        <v>2016-11</v>
      </c>
    </row>
    <row r="310" spans="1:4" x14ac:dyDescent="0.25">
      <c r="A310" t="s">
        <v>1492</v>
      </c>
      <c r="B310">
        <v>2</v>
      </c>
      <c r="C310" s="56">
        <v>42675</v>
      </c>
      <c r="D310" s="3" t="str">
        <f>YEAR(Datos_Consumo[[#This Row],[FECHA]])&amp;"-"&amp;MONTH(Datos_Consumo[[#This Row],[FECHA]])</f>
        <v>2016-11</v>
      </c>
    </row>
    <row r="311" spans="1:4" x14ac:dyDescent="0.25">
      <c r="A311" t="s">
        <v>1493</v>
      </c>
      <c r="B311">
        <v>1</v>
      </c>
      <c r="C311" s="56">
        <v>42675</v>
      </c>
      <c r="D311" s="3" t="str">
        <f>YEAR(Datos_Consumo[[#This Row],[FECHA]])&amp;"-"&amp;MONTH(Datos_Consumo[[#This Row],[FECHA]])</f>
        <v>2016-11</v>
      </c>
    </row>
    <row r="312" spans="1:4" x14ac:dyDescent="0.25">
      <c r="A312" t="s">
        <v>1494</v>
      </c>
      <c r="B312">
        <v>1</v>
      </c>
      <c r="C312" s="56">
        <v>42675</v>
      </c>
      <c r="D312" s="3" t="str">
        <f>YEAR(Datos_Consumo[[#This Row],[FECHA]])&amp;"-"&amp;MONTH(Datos_Consumo[[#This Row],[FECHA]])</f>
        <v>2016-11</v>
      </c>
    </row>
    <row r="313" spans="1:4" x14ac:dyDescent="0.25">
      <c r="A313" t="s">
        <v>1495</v>
      </c>
      <c r="B313">
        <v>3</v>
      </c>
      <c r="C313" s="56">
        <v>42736</v>
      </c>
      <c r="D313" s="3" t="str">
        <f>YEAR(Datos_Consumo[[#This Row],[FECHA]])&amp;"-"&amp;MONTH(Datos_Consumo[[#This Row],[FECHA]])</f>
        <v>2017-1</v>
      </c>
    </row>
    <row r="314" spans="1:4" x14ac:dyDescent="0.25">
      <c r="A314" t="s">
        <v>1495</v>
      </c>
      <c r="B314">
        <v>1</v>
      </c>
      <c r="C314" s="56">
        <v>42767</v>
      </c>
      <c r="D314" s="3" t="str">
        <f>YEAR(Datos_Consumo[[#This Row],[FECHA]])&amp;"-"&amp;MONTH(Datos_Consumo[[#This Row],[FECHA]])</f>
        <v>2017-2</v>
      </c>
    </row>
    <row r="315" spans="1:4" x14ac:dyDescent="0.25">
      <c r="A315" t="s">
        <v>1496</v>
      </c>
      <c r="B315">
        <v>1</v>
      </c>
      <c r="C315" s="56">
        <v>42675</v>
      </c>
      <c r="D315" s="3" t="str">
        <f>YEAR(Datos_Consumo[[#This Row],[FECHA]])&amp;"-"&amp;MONTH(Datos_Consumo[[#This Row],[FECHA]])</f>
        <v>2016-11</v>
      </c>
    </row>
    <row r="316" spans="1:4" x14ac:dyDescent="0.25">
      <c r="A316" t="s">
        <v>1496</v>
      </c>
      <c r="B316">
        <v>1</v>
      </c>
      <c r="C316" s="56">
        <v>42705</v>
      </c>
      <c r="D316" s="3" t="str">
        <f>YEAR(Datos_Consumo[[#This Row],[FECHA]])&amp;"-"&amp;MONTH(Datos_Consumo[[#This Row],[FECHA]])</f>
        <v>2016-12</v>
      </c>
    </row>
    <row r="317" spans="1:4" x14ac:dyDescent="0.25">
      <c r="A317" t="s">
        <v>1496</v>
      </c>
      <c r="B317">
        <v>5</v>
      </c>
      <c r="C317" s="56">
        <v>42736</v>
      </c>
      <c r="D317" s="3" t="str">
        <f>YEAR(Datos_Consumo[[#This Row],[FECHA]])&amp;"-"&amp;MONTH(Datos_Consumo[[#This Row],[FECHA]])</f>
        <v>2017-1</v>
      </c>
    </row>
    <row r="318" spans="1:4" x14ac:dyDescent="0.25">
      <c r="A318" t="s">
        <v>1497</v>
      </c>
      <c r="B318">
        <v>2</v>
      </c>
      <c r="C318" s="56">
        <v>42675</v>
      </c>
      <c r="D318" s="3" t="str">
        <f>YEAR(Datos_Consumo[[#This Row],[FECHA]])&amp;"-"&amp;MONTH(Datos_Consumo[[#This Row],[FECHA]])</f>
        <v>2016-11</v>
      </c>
    </row>
    <row r="319" spans="1:4" x14ac:dyDescent="0.25">
      <c r="A319" t="s">
        <v>1497</v>
      </c>
      <c r="B319">
        <v>2</v>
      </c>
      <c r="C319" s="56">
        <v>42705</v>
      </c>
      <c r="D319" s="3" t="str">
        <f>YEAR(Datos_Consumo[[#This Row],[FECHA]])&amp;"-"&amp;MONTH(Datos_Consumo[[#This Row],[FECHA]])</f>
        <v>2016-12</v>
      </c>
    </row>
    <row r="320" spans="1:4" x14ac:dyDescent="0.25">
      <c r="A320" t="s">
        <v>1497</v>
      </c>
      <c r="B320">
        <v>3</v>
      </c>
      <c r="C320" s="56">
        <v>42736</v>
      </c>
      <c r="D320" s="3" t="str">
        <f>YEAR(Datos_Consumo[[#This Row],[FECHA]])&amp;"-"&amp;MONTH(Datos_Consumo[[#This Row],[FECHA]])</f>
        <v>2017-1</v>
      </c>
    </row>
    <row r="321" spans="1:4" x14ac:dyDescent="0.25">
      <c r="A321" t="s">
        <v>1498</v>
      </c>
      <c r="B321">
        <v>2</v>
      </c>
      <c r="C321" s="56">
        <v>42675</v>
      </c>
      <c r="D321" s="3" t="str">
        <f>YEAR(Datos_Consumo[[#This Row],[FECHA]])&amp;"-"&amp;MONTH(Datos_Consumo[[#This Row],[FECHA]])</f>
        <v>2016-11</v>
      </c>
    </row>
    <row r="322" spans="1:4" x14ac:dyDescent="0.25">
      <c r="A322" t="s">
        <v>1498</v>
      </c>
      <c r="B322">
        <v>3</v>
      </c>
      <c r="C322" s="56">
        <v>42705</v>
      </c>
      <c r="D322" s="3" t="str">
        <f>YEAR(Datos_Consumo[[#This Row],[FECHA]])&amp;"-"&amp;MONTH(Datos_Consumo[[#This Row],[FECHA]])</f>
        <v>2016-12</v>
      </c>
    </row>
    <row r="323" spans="1:4" x14ac:dyDescent="0.25">
      <c r="A323" t="s">
        <v>1498</v>
      </c>
      <c r="B323">
        <v>3</v>
      </c>
      <c r="C323" s="56">
        <v>42736</v>
      </c>
      <c r="D323" s="3" t="str">
        <f>YEAR(Datos_Consumo[[#This Row],[FECHA]])&amp;"-"&amp;MONTH(Datos_Consumo[[#This Row],[FECHA]])</f>
        <v>2017-1</v>
      </c>
    </row>
    <row r="324" spans="1:4" x14ac:dyDescent="0.25">
      <c r="A324" t="s">
        <v>1499</v>
      </c>
      <c r="B324">
        <v>2</v>
      </c>
      <c r="C324" s="56">
        <v>42675</v>
      </c>
      <c r="D324" s="3" t="str">
        <f>YEAR(Datos_Consumo[[#This Row],[FECHA]])&amp;"-"&amp;MONTH(Datos_Consumo[[#This Row],[FECHA]])</f>
        <v>2016-11</v>
      </c>
    </row>
    <row r="325" spans="1:4" x14ac:dyDescent="0.25">
      <c r="A325" t="s">
        <v>1499</v>
      </c>
      <c r="B325">
        <v>1</v>
      </c>
      <c r="C325" s="56">
        <v>42705</v>
      </c>
      <c r="D325" s="3" t="str">
        <f>YEAR(Datos_Consumo[[#This Row],[FECHA]])&amp;"-"&amp;MONTH(Datos_Consumo[[#This Row],[FECHA]])</f>
        <v>2016-12</v>
      </c>
    </row>
    <row r="326" spans="1:4" x14ac:dyDescent="0.25">
      <c r="A326" t="s">
        <v>1500</v>
      </c>
      <c r="B326">
        <v>1</v>
      </c>
      <c r="C326" s="56">
        <v>42675</v>
      </c>
      <c r="D326" s="3" t="str">
        <f>YEAR(Datos_Consumo[[#This Row],[FECHA]])&amp;"-"&amp;MONTH(Datos_Consumo[[#This Row],[FECHA]])</f>
        <v>2016-11</v>
      </c>
    </row>
    <row r="327" spans="1:4" x14ac:dyDescent="0.25">
      <c r="A327" t="s">
        <v>1500</v>
      </c>
      <c r="B327">
        <v>1</v>
      </c>
      <c r="C327" s="56">
        <v>42705</v>
      </c>
      <c r="D327" s="3" t="str">
        <f>YEAR(Datos_Consumo[[#This Row],[FECHA]])&amp;"-"&amp;MONTH(Datos_Consumo[[#This Row],[FECHA]])</f>
        <v>2016-12</v>
      </c>
    </row>
    <row r="328" spans="1:4" x14ac:dyDescent="0.25">
      <c r="A328" t="s">
        <v>1500</v>
      </c>
      <c r="B328">
        <v>1</v>
      </c>
      <c r="C328" s="56">
        <v>42736</v>
      </c>
      <c r="D328" s="3" t="str">
        <f>YEAR(Datos_Consumo[[#This Row],[FECHA]])&amp;"-"&amp;MONTH(Datos_Consumo[[#This Row],[FECHA]])</f>
        <v>2017-1</v>
      </c>
    </row>
    <row r="329" spans="1:4" x14ac:dyDescent="0.25">
      <c r="A329" t="s">
        <v>1501</v>
      </c>
      <c r="B329">
        <v>4</v>
      </c>
      <c r="C329" s="56">
        <v>42675</v>
      </c>
      <c r="D329" s="3" t="str">
        <f>YEAR(Datos_Consumo[[#This Row],[FECHA]])&amp;"-"&amp;MONTH(Datos_Consumo[[#This Row],[FECHA]])</f>
        <v>2016-11</v>
      </c>
    </row>
    <row r="330" spans="1:4" x14ac:dyDescent="0.25">
      <c r="A330" t="s">
        <v>1501</v>
      </c>
      <c r="B330">
        <v>4</v>
      </c>
      <c r="C330" s="56">
        <v>42705</v>
      </c>
      <c r="D330" s="3" t="str">
        <f>YEAR(Datos_Consumo[[#This Row],[FECHA]])&amp;"-"&amp;MONTH(Datos_Consumo[[#This Row],[FECHA]])</f>
        <v>2016-12</v>
      </c>
    </row>
    <row r="331" spans="1:4" x14ac:dyDescent="0.25">
      <c r="A331" t="s">
        <v>1501</v>
      </c>
      <c r="B331">
        <v>1</v>
      </c>
      <c r="C331" s="56">
        <v>42736</v>
      </c>
      <c r="D331" s="3" t="str">
        <f>YEAR(Datos_Consumo[[#This Row],[FECHA]])&amp;"-"&amp;MONTH(Datos_Consumo[[#This Row],[FECHA]])</f>
        <v>2017-1</v>
      </c>
    </row>
    <row r="332" spans="1:4" x14ac:dyDescent="0.25">
      <c r="A332" t="s">
        <v>1502</v>
      </c>
      <c r="B332">
        <v>1</v>
      </c>
      <c r="C332" s="56">
        <v>42675</v>
      </c>
      <c r="D332" s="3" t="str">
        <f>YEAR(Datos_Consumo[[#This Row],[FECHA]])&amp;"-"&amp;MONTH(Datos_Consumo[[#This Row],[FECHA]])</f>
        <v>2016-11</v>
      </c>
    </row>
    <row r="333" spans="1:4" x14ac:dyDescent="0.25">
      <c r="A333" t="s">
        <v>1502</v>
      </c>
      <c r="B333">
        <v>1</v>
      </c>
      <c r="C333" s="56">
        <v>42705</v>
      </c>
      <c r="D333" s="3" t="str">
        <f>YEAR(Datos_Consumo[[#This Row],[FECHA]])&amp;"-"&amp;MONTH(Datos_Consumo[[#This Row],[FECHA]])</f>
        <v>2016-12</v>
      </c>
    </row>
    <row r="334" spans="1:4" x14ac:dyDescent="0.25">
      <c r="A334" t="s">
        <v>1502</v>
      </c>
      <c r="B334">
        <v>3</v>
      </c>
      <c r="C334" s="56">
        <v>42736</v>
      </c>
      <c r="D334" s="3" t="str">
        <f>YEAR(Datos_Consumo[[#This Row],[FECHA]])&amp;"-"&amp;MONTH(Datos_Consumo[[#This Row],[FECHA]])</f>
        <v>2017-1</v>
      </c>
    </row>
    <row r="335" spans="1:4" x14ac:dyDescent="0.25">
      <c r="A335" t="s">
        <v>1503</v>
      </c>
      <c r="B335">
        <v>2</v>
      </c>
      <c r="C335" s="56">
        <v>42675</v>
      </c>
      <c r="D335" s="3" t="str">
        <f>YEAR(Datos_Consumo[[#This Row],[FECHA]])&amp;"-"&amp;MONTH(Datos_Consumo[[#This Row],[FECHA]])</f>
        <v>2016-11</v>
      </c>
    </row>
    <row r="336" spans="1:4" x14ac:dyDescent="0.25">
      <c r="A336" t="s">
        <v>1503</v>
      </c>
      <c r="B336">
        <v>4</v>
      </c>
      <c r="C336" s="56">
        <v>42705</v>
      </c>
      <c r="D336" s="3" t="str">
        <f>YEAR(Datos_Consumo[[#This Row],[FECHA]])&amp;"-"&amp;MONTH(Datos_Consumo[[#This Row],[FECHA]])</f>
        <v>2016-12</v>
      </c>
    </row>
    <row r="337" spans="1:4" x14ac:dyDescent="0.25">
      <c r="A337" t="s">
        <v>1503</v>
      </c>
      <c r="B337">
        <v>3</v>
      </c>
      <c r="C337" s="56">
        <v>42736</v>
      </c>
      <c r="D337" s="3" t="str">
        <f>YEAR(Datos_Consumo[[#This Row],[FECHA]])&amp;"-"&amp;MONTH(Datos_Consumo[[#This Row],[FECHA]])</f>
        <v>2017-1</v>
      </c>
    </row>
    <row r="338" spans="1:4" x14ac:dyDescent="0.25">
      <c r="A338" t="s">
        <v>1504</v>
      </c>
      <c r="B338">
        <v>1</v>
      </c>
      <c r="C338" s="56">
        <v>42675</v>
      </c>
      <c r="D338" s="3" t="str">
        <f>YEAR(Datos_Consumo[[#This Row],[FECHA]])&amp;"-"&amp;MONTH(Datos_Consumo[[#This Row],[FECHA]])</f>
        <v>2016-11</v>
      </c>
    </row>
    <row r="339" spans="1:4" x14ac:dyDescent="0.25">
      <c r="A339" t="s">
        <v>1504</v>
      </c>
      <c r="B339">
        <v>2</v>
      </c>
      <c r="C339" s="56">
        <v>42705</v>
      </c>
      <c r="D339" s="3" t="str">
        <f>YEAR(Datos_Consumo[[#This Row],[FECHA]])&amp;"-"&amp;MONTH(Datos_Consumo[[#This Row],[FECHA]])</f>
        <v>2016-12</v>
      </c>
    </row>
    <row r="340" spans="1:4" x14ac:dyDescent="0.25">
      <c r="A340" t="s">
        <v>1504</v>
      </c>
      <c r="B340">
        <v>1</v>
      </c>
      <c r="C340" s="56">
        <v>42736</v>
      </c>
      <c r="D340" s="3" t="str">
        <f>YEAR(Datos_Consumo[[#This Row],[FECHA]])&amp;"-"&amp;MONTH(Datos_Consumo[[#This Row],[FECHA]])</f>
        <v>2017-1</v>
      </c>
    </row>
    <row r="341" spans="1:4" x14ac:dyDescent="0.25">
      <c r="A341" t="s">
        <v>1505</v>
      </c>
      <c r="B341">
        <v>1</v>
      </c>
      <c r="C341" s="56">
        <v>42675</v>
      </c>
      <c r="D341" s="3" t="str">
        <f>YEAR(Datos_Consumo[[#This Row],[FECHA]])&amp;"-"&amp;MONTH(Datos_Consumo[[#This Row],[FECHA]])</f>
        <v>2016-11</v>
      </c>
    </row>
    <row r="342" spans="1:4" x14ac:dyDescent="0.25">
      <c r="A342" t="s">
        <v>1505</v>
      </c>
      <c r="B342">
        <v>1</v>
      </c>
      <c r="C342" s="56">
        <v>42705</v>
      </c>
      <c r="D342" s="3" t="str">
        <f>YEAR(Datos_Consumo[[#This Row],[FECHA]])&amp;"-"&amp;MONTH(Datos_Consumo[[#This Row],[FECHA]])</f>
        <v>2016-12</v>
      </c>
    </row>
    <row r="343" spans="1:4" x14ac:dyDescent="0.25">
      <c r="A343" t="s">
        <v>1505</v>
      </c>
      <c r="B343">
        <v>3</v>
      </c>
      <c r="C343" s="56">
        <v>42736</v>
      </c>
      <c r="D343" s="3" t="str">
        <f>YEAR(Datos_Consumo[[#This Row],[FECHA]])&amp;"-"&amp;MONTH(Datos_Consumo[[#This Row],[FECHA]])</f>
        <v>2017-1</v>
      </c>
    </row>
    <row r="344" spans="1:4" x14ac:dyDescent="0.25">
      <c r="A344" t="s">
        <v>1506</v>
      </c>
      <c r="B344">
        <v>1</v>
      </c>
      <c r="C344" s="56">
        <v>42675</v>
      </c>
      <c r="D344" s="3" t="str">
        <f>YEAR(Datos_Consumo[[#This Row],[FECHA]])&amp;"-"&amp;MONTH(Datos_Consumo[[#This Row],[FECHA]])</f>
        <v>2016-11</v>
      </c>
    </row>
    <row r="345" spans="1:4" x14ac:dyDescent="0.25">
      <c r="A345" t="s">
        <v>1506</v>
      </c>
      <c r="B345">
        <v>1</v>
      </c>
      <c r="C345" s="56">
        <v>42705</v>
      </c>
      <c r="D345" s="3" t="str">
        <f>YEAR(Datos_Consumo[[#This Row],[FECHA]])&amp;"-"&amp;MONTH(Datos_Consumo[[#This Row],[FECHA]])</f>
        <v>2016-12</v>
      </c>
    </row>
    <row r="346" spans="1:4" x14ac:dyDescent="0.25">
      <c r="A346" t="s">
        <v>1506</v>
      </c>
      <c r="B346">
        <v>9</v>
      </c>
      <c r="C346" s="56">
        <v>42736</v>
      </c>
      <c r="D346" s="3" t="str">
        <f>YEAR(Datos_Consumo[[#This Row],[FECHA]])&amp;"-"&amp;MONTH(Datos_Consumo[[#This Row],[FECHA]])</f>
        <v>2017-1</v>
      </c>
    </row>
    <row r="347" spans="1:4" x14ac:dyDescent="0.25">
      <c r="A347" t="s">
        <v>1507</v>
      </c>
      <c r="B347">
        <v>3</v>
      </c>
      <c r="C347" s="56">
        <v>42675</v>
      </c>
      <c r="D347" s="3" t="str">
        <f>YEAR(Datos_Consumo[[#This Row],[FECHA]])&amp;"-"&amp;MONTH(Datos_Consumo[[#This Row],[FECHA]])</f>
        <v>2016-11</v>
      </c>
    </row>
    <row r="348" spans="1:4" x14ac:dyDescent="0.25">
      <c r="A348" t="s">
        <v>1507</v>
      </c>
      <c r="B348">
        <v>3</v>
      </c>
      <c r="C348" s="56">
        <v>42705</v>
      </c>
      <c r="D348" s="3" t="str">
        <f>YEAR(Datos_Consumo[[#This Row],[FECHA]])&amp;"-"&amp;MONTH(Datos_Consumo[[#This Row],[FECHA]])</f>
        <v>2016-12</v>
      </c>
    </row>
    <row r="349" spans="1:4" x14ac:dyDescent="0.25">
      <c r="A349" t="s">
        <v>1507</v>
      </c>
      <c r="B349">
        <v>2</v>
      </c>
      <c r="C349" s="56">
        <v>42736</v>
      </c>
      <c r="D349" s="3" t="str">
        <f>YEAR(Datos_Consumo[[#This Row],[FECHA]])&amp;"-"&amp;MONTH(Datos_Consumo[[#This Row],[FECHA]])</f>
        <v>2017-1</v>
      </c>
    </row>
    <row r="350" spans="1:4" x14ac:dyDescent="0.25">
      <c r="A350" t="s">
        <v>1508</v>
      </c>
      <c r="B350">
        <v>4</v>
      </c>
      <c r="C350" s="56">
        <v>42675</v>
      </c>
      <c r="D350" s="3" t="str">
        <f>YEAR(Datos_Consumo[[#This Row],[FECHA]])&amp;"-"&amp;MONTH(Datos_Consumo[[#This Row],[FECHA]])</f>
        <v>2016-11</v>
      </c>
    </row>
    <row r="351" spans="1:4" x14ac:dyDescent="0.25">
      <c r="A351" t="s">
        <v>1508</v>
      </c>
      <c r="B351">
        <v>1</v>
      </c>
      <c r="C351" s="56">
        <v>42705</v>
      </c>
      <c r="D351" s="3" t="str">
        <f>YEAR(Datos_Consumo[[#This Row],[FECHA]])&amp;"-"&amp;MONTH(Datos_Consumo[[#This Row],[FECHA]])</f>
        <v>2016-12</v>
      </c>
    </row>
    <row r="352" spans="1:4" x14ac:dyDescent="0.25">
      <c r="A352" t="s">
        <v>1508</v>
      </c>
      <c r="B352">
        <v>2</v>
      </c>
      <c r="C352" s="56">
        <v>42736</v>
      </c>
      <c r="D352" s="3" t="str">
        <f>YEAR(Datos_Consumo[[#This Row],[FECHA]])&amp;"-"&amp;MONTH(Datos_Consumo[[#This Row],[FECHA]])</f>
        <v>2017-1</v>
      </c>
    </row>
    <row r="353" spans="1:4" x14ac:dyDescent="0.25">
      <c r="A353" t="s">
        <v>1508</v>
      </c>
      <c r="B353">
        <v>1</v>
      </c>
      <c r="C353" s="56">
        <v>42767</v>
      </c>
      <c r="D353" s="3" t="str">
        <f>YEAR(Datos_Consumo[[#This Row],[FECHA]])&amp;"-"&amp;MONTH(Datos_Consumo[[#This Row],[FECHA]])</f>
        <v>2017-2</v>
      </c>
    </row>
    <row r="354" spans="1:4" x14ac:dyDescent="0.25">
      <c r="A354" t="s">
        <v>1509</v>
      </c>
      <c r="B354">
        <v>3</v>
      </c>
      <c r="C354" s="56">
        <v>42675</v>
      </c>
      <c r="D354" s="3" t="str">
        <f>YEAR(Datos_Consumo[[#This Row],[FECHA]])&amp;"-"&amp;MONTH(Datos_Consumo[[#This Row],[FECHA]])</f>
        <v>2016-11</v>
      </c>
    </row>
    <row r="355" spans="1:4" x14ac:dyDescent="0.25">
      <c r="A355" t="s">
        <v>1509</v>
      </c>
      <c r="B355">
        <v>1</v>
      </c>
      <c r="C355" s="56">
        <v>42705</v>
      </c>
      <c r="D355" s="3" t="str">
        <f>YEAR(Datos_Consumo[[#This Row],[FECHA]])&amp;"-"&amp;MONTH(Datos_Consumo[[#This Row],[FECHA]])</f>
        <v>2016-12</v>
      </c>
    </row>
    <row r="356" spans="1:4" x14ac:dyDescent="0.25">
      <c r="A356" t="s">
        <v>1509</v>
      </c>
      <c r="B356">
        <v>1</v>
      </c>
      <c r="C356" s="56">
        <v>42736</v>
      </c>
      <c r="D356" s="3" t="str">
        <f>YEAR(Datos_Consumo[[#This Row],[FECHA]])&amp;"-"&amp;MONTH(Datos_Consumo[[#This Row],[FECHA]])</f>
        <v>2017-1</v>
      </c>
    </row>
    <row r="357" spans="1:4" x14ac:dyDescent="0.25">
      <c r="A357" t="s">
        <v>1510</v>
      </c>
      <c r="B357">
        <v>3</v>
      </c>
      <c r="C357" s="56">
        <v>42705</v>
      </c>
      <c r="D357" s="3" t="str">
        <f>YEAR(Datos_Consumo[[#This Row],[FECHA]])&amp;"-"&amp;MONTH(Datos_Consumo[[#This Row],[FECHA]])</f>
        <v>2016-12</v>
      </c>
    </row>
    <row r="358" spans="1:4" x14ac:dyDescent="0.25">
      <c r="A358" t="s">
        <v>1510</v>
      </c>
      <c r="B358">
        <v>1</v>
      </c>
      <c r="C358" s="56">
        <v>42736</v>
      </c>
      <c r="D358" s="3" t="str">
        <f>YEAR(Datos_Consumo[[#This Row],[FECHA]])&amp;"-"&amp;MONTH(Datos_Consumo[[#This Row],[FECHA]])</f>
        <v>2017-1</v>
      </c>
    </row>
    <row r="359" spans="1:4" x14ac:dyDescent="0.25">
      <c r="A359" t="s">
        <v>1511</v>
      </c>
      <c r="B359">
        <v>2</v>
      </c>
      <c r="C359" s="56">
        <v>42675</v>
      </c>
      <c r="D359" s="3" t="str">
        <f>YEAR(Datos_Consumo[[#This Row],[FECHA]])&amp;"-"&amp;MONTH(Datos_Consumo[[#This Row],[FECHA]])</f>
        <v>2016-11</v>
      </c>
    </row>
    <row r="360" spans="1:4" x14ac:dyDescent="0.25">
      <c r="A360" t="s">
        <v>1511</v>
      </c>
      <c r="B360">
        <v>2</v>
      </c>
      <c r="C360" s="56">
        <v>42705</v>
      </c>
      <c r="D360" s="3" t="str">
        <f>YEAR(Datos_Consumo[[#This Row],[FECHA]])&amp;"-"&amp;MONTH(Datos_Consumo[[#This Row],[FECHA]])</f>
        <v>2016-12</v>
      </c>
    </row>
    <row r="361" spans="1:4" x14ac:dyDescent="0.25">
      <c r="A361" t="s">
        <v>1511</v>
      </c>
      <c r="B361">
        <v>1</v>
      </c>
      <c r="C361" s="56">
        <v>42736</v>
      </c>
      <c r="D361" s="3" t="str">
        <f>YEAR(Datos_Consumo[[#This Row],[FECHA]])&amp;"-"&amp;MONTH(Datos_Consumo[[#This Row],[FECHA]])</f>
        <v>2017-1</v>
      </c>
    </row>
    <row r="362" spans="1:4" x14ac:dyDescent="0.25">
      <c r="A362" t="s">
        <v>1512</v>
      </c>
      <c r="B362">
        <v>5</v>
      </c>
      <c r="C362" s="56">
        <v>42675</v>
      </c>
      <c r="D362" s="3" t="str">
        <f>YEAR(Datos_Consumo[[#This Row],[FECHA]])&amp;"-"&amp;MONTH(Datos_Consumo[[#This Row],[FECHA]])</f>
        <v>2016-11</v>
      </c>
    </row>
    <row r="363" spans="1:4" x14ac:dyDescent="0.25">
      <c r="A363" t="s">
        <v>1512</v>
      </c>
      <c r="B363">
        <v>4</v>
      </c>
      <c r="C363" s="56">
        <v>42705</v>
      </c>
      <c r="D363" s="3" t="str">
        <f>YEAR(Datos_Consumo[[#This Row],[FECHA]])&amp;"-"&amp;MONTH(Datos_Consumo[[#This Row],[FECHA]])</f>
        <v>2016-12</v>
      </c>
    </row>
    <row r="364" spans="1:4" x14ac:dyDescent="0.25">
      <c r="A364" t="s">
        <v>1512</v>
      </c>
      <c r="B364">
        <v>1</v>
      </c>
      <c r="C364" s="56">
        <v>42736</v>
      </c>
      <c r="D364" s="3" t="str">
        <f>YEAR(Datos_Consumo[[#This Row],[FECHA]])&amp;"-"&amp;MONTH(Datos_Consumo[[#This Row],[FECHA]])</f>
        <v>2017-1</v>
      </c>
    </row>
    <row r="365" spans="1:4" x14ac:dyDescent="0.25">
      <c r="A365" t="s">
        <v>1513</v>
      </c>
      <c r="B365">
        <v>3</v>
      </c>
      <c r="C365" s="56">
        <v>42675</v>
      </c>
      <c r="D365" s="3" t="str">
        <f>YEAR(Datos_Consumo[[#This Row],[FECHA]])&amp;"-"&amp;MONTH(Datos_Consumo[[#This Row],[FECHA]])</f>
        <v>2016-11</v>
      </c>
    </row>
    <row r="366" spans="1:4" x14ac:dyDescent="0.25">
      <c r="A366" t="s">
        <v>1513</v>
      </c>
      <c r="B366">
        <v>5</v>
      </c>
      <c r="C366" s="56">
        <v>42705</v>
      </c>
      <c r="D366" s="3" t="str">
        <f>YEAR(Datos_Consumo[[#This Row],[FECHA]])&amp;"-"&amp;MONTH(Datos_Consumo[[#This Row],[FECHA]])</f>
        <v>2016-12</v>
      </c>
    </row>
    <row r="367" spans="1:4" x14ac:dyDescent="0.25">
      <c r="A367" t="s">
        <v>1513</v>
      </c>
      <c r="B367">
        <v>4</v>
      </c>
      <c r="C367" s="56">
        <v>42736</v>
      </c>
      <c r="D367" s="3" t="str">
        <f>YEAR(Datos_Consumo[[#This Row],[FECHA]])&amp;"-"&amp;MONTH(Datos_Consumo[[#This Row],[FECHA]])</f>
        <v>2017-1</v>
      </c>
    </row>
    <row r="368" spans="1:4" x14ac:dyDescent="0.25">
      <c r="A368" t="s">
        <v>1514</v>
      </c>
      <c r="B368">
        <v>2</v>
      </c>
      <c r="C368" s="56">
        <v>42705</v>
      </c>
      <c r="D368" s="3" t="str">
        <f>YEAR(Datos_Consumo[[#This Row],[FECHA]])&amp;"-"&amp;MONTH(Datos_Consumo[[#This Row],[FECHA]])</f>
        <v>2016-12</v>
      </c>
    </row>
    <row r="369" spans="1:4" x14ac:dyDescent="0.25">
      <c r="A369" t="s">
        <v>1514</v>
      </c>
      <c r="B369">
        <v>2</v>
      </c>
      <c r="C369" s="56">
        <v>42736</v>
      </c>
      <c r="D369" s="3" t="str">
        <f>YEAR(Datos_Consumo[[#This Row],[FECHA]])&amp;"-"&amp;MONTH(Datos_Consumo[[#This Row],[FECHA]])</f>
        <v>2017-1</v>
      </c>
    </row>
    <row r="370" spans="1:4" x14ac:dyDescent="0.25">
      <c r="A370" t="s">
        <v>1515</v>
      </c>
      <c r="B370">
        <v>3</v>
      </c>
      <c r="C370" s="56">
        <v>42705</v>
      </c>
      <c r="D370" s="3" t="str">
        <f>YEAR(Datos_Consumo[[#This Row],[FECHA]])&amp;"-"&amp;MONTH(Datos_Consumo[[#This Row],[FECHA]])</f>
        <v>2016-12</v>
      </c>
    </row>
    <row r="371" spans="1:4" x14ac:dyDescent="0.25">
      <c r="A371" t="s">
        <v>1515</v>
      </c>
      <c r="B371">
        <v>1</v>
      </c>
      <c r="C371" s="56">
        <v>42736</v>
      </c>
      <c r="D371" s="3" t="str">
        <f>YEAR(Datos_Consumo[[#This Row],[FECHA]])&amp;"-"&amp;MONTH(Datos_Consumo[[#This Row],[FECHA]])</f>
        <v>2017-1</v>
      </c>
    </row>
    <row r="372" spans="1:4" x14ac:dyDescent="0.25">
      <c r="A372" t="s">
        <v>1516</v>
      </c>
      <c r="B372">
        <v>1</v>
      </c>
      <c r="C372" s="56">
        <v>42675</v>
      </c>
      <c r="D372" s="3" t="str">
        <f>YEAR(Datos_Consumo[[#This Row],[FECHA]])&amp;"-"&amp;MONTH(Datos_Consumo[[#This Row],[FECHA]])</f>
        <v>2016-11</v>
      </c>
    </row>
    <row r="373" spans="1:4" x14ac:dyDescent="0.25">
      <c r="A373" t="s">
        <v>1516</v>
      </c>
      <c r="B373">
        <v>2</v>
      </c>
      <c r="C373" s="56">
        <v>42705</v>
      </c>
      <c r="D373" s="3" t="str">
        <f>YEAR(Datos_Consumo[[#This Row],[FECHA]])&amp;"-"&amp;MONTH(Datos_Consumo[[#This Row],[FECHA]])</f>
        <v>2016-12</v>
      </c>
    </row>
    <row r="374" spans="1:4" x14ac:dyDescent="0.25">
      <c r="A374" t="s">
        <v>1516</v>
      </c>
      <c r="B374">
        <v>1</v>
      </c>
      <c r="C374" s="56">
        <v>42736</v>
      </c>
      <c r="D374" s="3" t="str">
        <f>YEAR(Datos_Consumo[[#This Row],[FECHA]])&amp;"-"&amp;MONTH(Datos_Consumo[[#This Row],[FECHA]])</f>
        <v>2017-1</v>
      </c>
    </row>
    <row r="375" spans="1:4" x14ac:dyDescent="0.25">
      <c r="A375" t="s">
        <v>1517</v>
      </c>
      <c r="B375">
        <v>1</v>
      </c>
      <c r="C375" s="56">
        <v>42675</v>
      </c>
      <c r="D375" s="3" t="str">
        <f>YEAR(Datos_Consumo[[#This Row],[FECHA]])&amp;"-"&amp;MONTH(Datos_Consumo[[#This Row],[FECHA]])</f>
        <v>2016-11</v>
      </c>
    </row>
    <row r="376" spans="1:4" x14ac:dyDescent="0.25">
      <c r="A376" t="s">
        <v>1518</v>
      </c>
      <c r="B376">
        <v>1</v>
      </c>
      <c r="C376" s="56">
        <v>42675</v>
      </c>
      <c r="D376" s="3" t="str">
        <f>YEAR(Datos_Consumo[[#This Row],[FECHA]])&amp;"-"&amp;MONTH(Datos_Consumo[[#This Row],[FECHA]])</f>
        <v>2016-11</v>
      </c>
    </row>
    <row r="377" spans="1:4" x14ac:dyDescent="0.25">
      <c r="A377" t="s">
        <v>1519</v>
      </c>
      <c r="B377">
        <v>3</v>
      </c>
      <c r="C377" s="56">
        <v>42736</v>
      </c>
      <c r="D377" s="3" t="str">
        <f>YEAR(Datos_Consumo[[#This Row],[FECHA]])&amp;"-"&amp;MONTH(Datos_Consumo[[#This Row],[FECHA]])</f>
        <v>2017-1</v>
      </c>
    </row>
    <row r="378" spans="1:4" x14ac:dyDescent="0.25">
      <c r="A378" t="s">
        <v>1520</v>
      </c>
      <c r="B378">
        <v>2</v>
      </c>
      <c r="C378" s="56">
        <v>42675</v>
      </c>
      <c r="D378" s="3" t="str">
        <f>YEAR(Datos_Consumo[[#This Row],[FECHA]])&amp;"-"&amp;MONTH(Datos_Consumo[[#This Row],[FECHA]])</f>
        <v>2016-11</v>
      </c>
    </row>
    <row r="379" spans="1:4" x14ac:dyDescent="0.25">
      <c r="A379" t="s">
        <v>1521</v>
      </c>
      <c r="B379">
        <v>2</v>
      </c>
      <c r="C379" s="56">
        <v>42675</v>
      </c>
      <c r="D379" s="3" t="str">
        <f>YEAR(Datos_Consumo[[#This Row],[FECHA]])&amp;"-"&amp;MONTH(Datos_Consumo[[#This Row],[FECHA]])</f>
        <v>2016-11</v>
      </c>
    </row>
    <row r="380" spans="1:4" x14ac:dyDescent="0.25">
      <c r="A380" t="s">
        <v>1521</v>
      </c>
      <c r="B380">
        <v>1</v>
      </c>
      <c r="C380" s="56">
        <v>42705</v>
      </c>
      <c r="D380" s="3" t="str">
        <f>YEAR(Datos_Consumo[[#This Row],[FECHA]])&amp;"-"&amp;MONTH(Datos_Consumo[[#This Row],[FECHA]])</f>
        <v>2016-12</v>
      </c>
    </row>
    <row r="381" spans="1:4" x14ac:dyDescent="0.25">
      <c r="A381" t="s">
        <v>1522</v>
      </c>
      <c r="B381">
        <v>1</v>
      </c>
      <c r="C381" s="56">
        <v>42675</v>
      </c>
      <c r="D381" s="3" t="str">
        <f>YEAR(Datos_Consumo[[#This Row],[FECHA]])&amp;"-"&amp;MONTH(Datos_Consumo[[#This Row],[FECHA]])</f>
        <v>2016-11</v>
      </c>
    </row>
    <row r="382" spans="1:4" x14ac:dyDescent="0.25">
      <c r="A382" t="s">
        <v>1522</v>
      </c>
      <c r="B382">
        <v>2</v>
      </c>
      <c r="C382" s="56">
        <v>42705</v>
      </c>
      <c r="D382" s="3" t="str">
        <f>YEAR(Datos_Consumo[[#This Row],[FECHA]])&amp;"-"&amp;MONTH(Datos_Consumo[[#This Row],[FECHA]])</f>
        <v>2016-12</v>
      </c>
    </row>
    <row r="383" spans="1:4" x14ac:dyDescent="0.25">
      <c r="A383" t="s">
        <v>1523</v>
      </c>
      <c r="B383">
        <v>1</v>
      </c>
      <c r="C383" s="56">
        <v>42675</v>
      </c>
      <c r="D383" s="3" t="str">
        <f>YEAR(Datos_Consumo[[#This Row],[FECHA]])&amp;"-"&amp;MONTH(Datos_Consumo[[#This Row],[FECHA]])</f>
        <v>2016-11</v>
      </c>
    </row>
    <row r="384" spans="1:4" x14ac:dyDescent="0.25">
      <c r="A384" t="s">
        <v>1523</v>
      </c>
      <c r="B384">
        <v>2</v>
      </c>
      <c r="C384" s="56">
        <v>42705</v>
      </c>
      <c r="D384" s="3" t="str">
        <f>YEAR(Datos_Consumo[[#This Row],[FECHA]])&amp;"-"&amp;MONTH(Datos_Consumo[[#This Row],[FECHA]])</f>
        <v>2016-12</v>
      </c>
    </row>
    <row r="385" spans="1:4" x14ac:dyDescent="0.25">
      <c r="A385" t="s">
        <v>1523</v>
      </c>
      <c r="B385">
        <v>1</v>
      </c>
      <c r="C385" s="56">
        <v>42736</v>
      </c>
      <c r="D385" s="3" t="str">
        <f>YEAR(Datos_Consumo[[#This Row],[FECHA]])&amp;"-"&amp;MONTH(Datos_Consumo[[#This Row],[FECHA]])</f>
        <v>2017-1</v>
      </c>
    </row>
    <row r="386" spans="1:4" x14ac:dyDescent="0.25">
      <c r="A386" t="s">
        <v>1524</v>
      </c>
      <c r="B386">
        <v>1</v>
      </c>
      <c r="C386" s="56">
        <v>42705</v>
      </c>
      <c r="D386" s="3" t="str">
        <f>YEAR(Datos_Consumo[[#This Row],[FECHA]])&amp;"-"&amp;MONTH(Datos_Consumo[[#This Row],[FECHA]])</f>
        <v>2016-12</v>
      </c>
    </row>
    <row r="387" spans="1:4" x14ac:dyDescent="0.25">
      <c r="A387" t="s">
        <v>1524</v>
      </c>
      <c r="B387">
        <v>1</v>
      </c>
      <c r="C387" s="56">
        <v>42736</v>
      </c>
      <c r="D387" s="3" t="str">
        <f>YEAR(Datos_Consumo[[#This Row],[FECHA]])&amp;"-"&amp;MONTH(Datos_Consumo[[#This Row],[FECHA]])</f>
        <v>2017-1</v>
      </c>
    </row>
    <row r="388" spans="1:4" x14ac:dyDescent="0.25">
      <c r="A388" t="s">
        <v>1525</v>
      </c>
      <c r="B388">
        <v>1</v>
      </c>
      <c r="C388" s="56">
        <v>42736</v>
      </c>
      <c r="D388" s="3" t="str">
        <f>YEAR(Datos_Consumo[[#This Row],[FECHA]])&amp;"-"&amp;MONTH(Datos_Consumo[[#This Row],[FECHA]])</f>
        <v>2017-1</v>
      </c>
    </row>
    <row r="389" spans="1:4" x14ac:dyDescent="0.25">
      <c r="A389" t="s">
        <v>1526</v>
      </c>
      <c r="B389">
        <v>1</v>
      </c>
      <c r="C389" s="56">
        <v>42675</v>
      </c>
      <c r="D389" s="3" t="str">
        <f>YEAR(Datos_Consumo[[#This Row],[FECHA]])&amp;"-"&amp;MONTH(Datos_Consumo[[#This Row],[FECHA]])</f>
        <v>2016-11</v>
      </c>
    </row>
    <row r="390" spans="1:4" x14ac:dyDescent="0.25">
      <c r="A390" t="s">
        <v>1527</v>
      </c>
      <c r="B390">
        <v>5</v>
      </c>
      <c r="C390" s="56">
        <v>42675</v>
      </c>
      <c r="D390" s="3" t="str">
        <f>YEAR(Datos_Consumo[[#This Row],[FECHA]])&amp;"-"&amp;MONTH(Datos_Consumo[[#This Row],[FECHA]])</f>
        <v>2016-11</v>
      </c>
    </row>
    <row r="391" spans="1:4" x14ac:dyDescent="0.25">
      <c r="A391" t="s">
        <v>1527</v>
      </c>
      <c r="B391">
        <v>6</v>
      </c>
      <c r="C391" s="56">
        <v>42705</v>
      </c>
      <c r="D391" s="3" t="str">
        <f>YEAR(Datos_Consumo[[#This Row],[FECHA]])&amp;"-"&amp;MONTH(Datos_Consumo[[#This Row],[FECHA]])</f>
        <v>2016-12</v>
      </c>
    </row>
    <row r="392" spans="1:4" x14ac:dyDescent="0.25">
      <c r="A392" t="s">
        <v>1527</v>
      </c>
      <c r="B392">
        <v>6</v>
      </c>
      <c r="C392" s="56">
        <v>42736</v>
      </c>
      <c r="D392" s="3" t="str">
        <f>YEAR(Datos_Consumo[[#This Row],[FECHA]])&amp;"-"&amp;MONTH(Datos_Consumo[[#This Row],[FECHA]])</f>
        <v>2017-1</v>
      </c>
    </row>
    <row r="393" spans="1:4" x14ac:dyDescent="0.25">
      <c r="A393" t="s">
        <v>1528</v>
      </c>
      <c r="B393">
        <v>3</v>
      </c>
      <c r="C393" s="56">
        <v>42675</v>
      </c>
      <c r="D393" s="3" t="str">
        <f>YEAR(Datos_Consumo[[#This Row],[FECHA]])&amp;"-"&amp;MONTH(Datos_Consumo[[#This Row],[FECHA]])</f>
        <v>2016-11</v>
      </c>
    </row>
    <row r="394" spans="1:4" x14ac:dyDescent="0.25">
      <c r="A394" t="s">
        <v>1528</v>
      </c>
      <c r="B394">
        <v>1</v>
      </c>
      <c r="C394" s="56">
        <v>42705</v>
      </c>
      <c r="D394" s="3" t="str">
        <f>YEAR(Datos_Consumo[[#This Row],[FECHA]])&amp;"-"&amp;MONTH(Datos_Consumo[[#This Row],[FECHA]])</f>
        <v>2016-12</v>
      </c>
    </row>
    <row r="395" spans="1:4" x14ac:dyDescent="0.25">
      <c r="A395" t="s">
        <v>1528</v>
      </c>
      <c r="B395">
        <v>3</v>
      </c>
      <c r="C395" s="56">
        <v>42736</v>
      </c>
      <c r="D395" s="3" t="str">
        <f>YEAR(Datos_Consumo[[#This Row],[FECHA]])&amp;"-"&amp;MONTH(Datos_Consumo[[#This Row],[FECHA]])</f>
        <v>2017-1</v>
      </c>
    </row>
    <row r="396" spans="1:4" x14ac:dyDescent="0.25">
      <c r="A396" t="s">
        <v>1529</v>
      </c>
      <c r="B396">
        <v>1</v>
      </c>
      <c r="C396" s="56">
        <v>42675</v>
      </c>
      <c r="D396" s="3" t="str">
        <f>YEAR(Datos_Consumo[[#This Row],[FECHA]])&amp;"-"&amp;MONTH(Datos_Consumo[[#This Row],[FECHA]])</f>
        <v>2016-11</v>
      </c>
    </row>
    <row r="397" spans="1:4" x14ac:dyDescent="0.25">
      <c r="A397" t="s">
        <v>1529</v>
      </c>
      <c r="B397">
        <v>1</v>
      </c>
      <c r="C397" s="56">
        <v>42705</v>
      </c>
      <c r="D397" s="3" t="str">
        <f>YEAR(Datos_Consumo[[#This Row],[FECHA]])&amp;"-"&amp;MONTH(Datos_Consumo[[#This Row],[FECHA]])</f>
        <v>2016-12</v>
      </c>
    </row>
    <row r="398" spans="1:4" x14ac:dyDescent="0.25">
      <c r="A398" t="s">
        <v>1529</v>
      </c>
      <c r="B398">
        <v>1</v>
      </c>
      <c r="C398" s="56">
        <v>42736</v>
      </c>
      <c r="D398" s="3" t="str">
        <f>YEAR(Datos_Consumo[[#This Row],[FECHA]])&amp;"-"&amp;MONTH(Datos_Consumo[[#This Row],[FECHA]])</f>
        <v>2017-1</v>
      </c>
    </row>
    <row r="399" spans="1:4" x14ac:dyDescent="0.25">
      <c r="A399" t="s">
        <v>1530</v>
      </c>
      <c r="B399">
        <v>1</v>
      </c>
      <c r="C399" s="56">
        <v>42705</v>
      </c>
      <c r="D399" s="3" t="str">
        <f>YEAR(Datos_Consumo[[#This Row],[FECHA]])&amp;"-"&amp;MONTH(Datos_Consumo[[#This Row],[FECHA]])</f>
        <v>2016-12</v>
      </c>
    </row>
    <row r="400" spans="1:4" x14ac:dyDescent="0.25">
      <c r="A400" t="s">
        <v>1530</v>
      </c>
      <c r="B400">
        <v>2</v>
      </c>
      <c r="C400" s="56">
        <v>42736</v>
      </c>
      <c r="D400" s="3" t="str">
        <f>YEAR(Datos_Consumo[[#This Row],[FECHA]])&amp;"-"&amp;MONTH(Datos_Consumo[[#This Row],[FECHA]])</f>
        <v>2017-1</v>
      </c>
    </row>
    <row r="401" spans="1:4" x14ac:dyDescent="0.25">
      <c r="A401" t="s">
        <v>1531</v>
      </c>
      <c r="B401">
        <v>4</v>
      </c>
      <c r="C401" s="56">
        <v>42675</v>
      </c>
      <c r="D401" s="3" t="str">
        <f>YEAR(Datos_Consumo[[#This Row],[FECHA]])&amp;"-"&amp;MONTH(Datos_Consumo[[#This Row],[FECHA]])</f>
        <v>2016-11</v>
      </c>
    </row>
    <row r="402" spans="1:4" x14ac:dyDescent="0.25">
      <c r="A402" t="s">
        <v>1531</v>
      </c>
      <c r="B402">
        <v>3</v>
      </c>
      <c r="C402" s="56">
        <v>42705</v>
      </c>
      <c r="D402" s="3" t="str">
        <f>YEAR(Datos_Consumo[[#This Row],[FECHA]])&amp;"-"&amp;MONTH(Datos_Consumo[[#This Row],[FECHA]])</f>
        <v>2016-12</v>
      </c>
    </row>
    <row r="403" spans="1:4" x14ac:dyDescent="0.25">
      <c r="A403" t="s">
        <v>1531</v>
      </c>
      <c r="B403">
        <v>1</v>
      </c>
      <c r="C403" s="56">
        <v>42767</v>
      </c>
      <c r="D403" s="3" t="str">
        <f>YEAR(Datos_Consumo[[#This Row],[FECHA]])&amp;"-"&amp;MONTH(Datos_Consumo[[#This Row],[FECHA]])</f>
        <v>2017-2</v>
      </c>
    </row>
    <row r="404" spans="1:4" x14ac:dyDescent="0.25">
      <c r="A404" t="s">
        <v>1532</v>
      </c>
      <c r="B404">
        <v>1</v>
      </c>
      <c r="C404" s="56">
        <v>42675</v>
      </c>
      <c r="D404" s="3" t="str">
        <f>YEAR(Datos_Consumo[[#This Row],[FECHA]])&amp;"-"&amp;MONTH(Datos_Consumo[[#This Row],[FECHA]])</f>
        <v>2016-11</v>
      </c>
    </row>
    <row r="405" spans="1:4" x14ac:dyDescent="0.25">
      <c r="A405" t="s">
        <v>1532</v>
      </c>
      <c r="B405">
        <v>3</v>
      </c>
      <c r="C405" s="56">
        <v>42705</v>
      </c>
      <c r="D405" s="3" t="str">
        <f>YEAR(Datos_Consumo[[#This Row],[FECHA]])&amp;"-"&amp;MONTH(Datos_Consumo[[#This Row],[FECHA]])</f>
        <v>2016-12</v>
      </c>
    </row>
    <row r="406" spans="1:4" x14ac:dyDescent="0.25">
      <c r="A406" t="s">
        <v>1532</v>
      </c>
      <c r="B406">
        <v>1</v>
      </c>
      <c r="C406" s="56">
        <v>42736</v>
      </c>
      <c r="D406" s="3" t="str">
        <f>YEAR(Datos_Consumo[[#This Row],[FECHA]])&amp;"-"&amp;MONTH(Datos_Consumo[[#This Row],[FECHA]])</f>
        <v>2017-1</v>
      </c>
    </row>
    <row r="407" spans="1:4" x14ac:dyDescent="0.25">
      <c r="A407" t="s">
        <v>1533</v>
      </c>
      <c r="B407">
        <v>2</v>
      </c>
      <c r="C407" s="56">
        <v>42705</v>
      </c>
      <c r="D407" s="3" t="str">
        <f>YEAR(Datos_Consumo[[#This Row],[FECHA]])&amp;"-"&amp;MONTH(Datos_Consumo[[#This Row],[FECHA]])</f>
        <v>2016-12</v>
      </c>
    </row>
    <row r="408" spans="1:4" x14ac:dyDescent="0.25">
      <c r="A408" t="s">
        <v>1533</v>
      </c>
      <c r="B408">
        <v>2</v>
      </c>
      <c r="C408" s="56">
        <v>42736</v>
      </c>
      <c r="D408" s="3" t="str">
        <f>YEAR(Datos_Consumo[[#This Row],[FECHA]])&amp;"-"&amp;MONTH(Datos_Consumo[[#This Row],[FECHA]])</f>
        <v>2017-1</v>
      </c>
    </row>
    <row r="409" spans="1:4" x14ac:dyDescent="0.25">
      <c r="A409" t="s">
        <v>1534</v>
      </c>
      <c r="B409">
        <v>1</v>
      </c>
      <c r="C409" s="56">
        <v>42675</v>
      </c>
      <c r="D409" s="3" t="str">
        <f>YEAR(Datos_Consumo[[#This Row],[FECHA]])&amp;"-"&amp;MONTH(Datos_Consumo[[#This Row],[FECHA]])</f>
        <v>2016-11</v>
      </c>
    </row>
    <row r="410" spans="1:4" x14ac:dyDescent="0.25">
      <c r="A410" t="s">
        <v>1534</v>
      </c>
      <c r="B410">
        <v>1</v>
      </c>
      <c r="C410" s="56">
        <v>42705</v>
      </c>
      <c r="D410" s="3" t="str">
        <f>YEAR(Datos_Consumo[[#This Row],[FECHA]])&amp;"-"&amp;MONTH(Datos_Consumo[[#This Row],[FECHA]])</f>
        <v>2016-12</v>
      </c>
    </row>
    <row r="411" spans="1:4" x14ac:dyDescent="0.25">
      <c r="A411" t="s">
        <v>1534</v>
      </c>
      <c r="B411">
        <v>2</v>
      </c>
      <c r="C411" s="56">
        <v>42736</v>
      </c>
      <c r="D411" s="3" t="str">
        <f>YEAR(Datos_Consumo[[#This Row],[FECHA]])&amp;"-"&amp;MONTH(Datos_Consumo[[#This Row],[FECHA]])</f>
        <v>2017-1</v>
      </c>
    </row>
    <row r="412" spans="1:4" x14ac:dyDescent="0.25">
      <c r="A412" t="s">
        <v>1535</v>
      </c>
      <c r="B412">
        <v>2</v>
      </c>
      <c r="C412" s="56">
        <v>42705</v>
      </c>
      <c r="D412" s="3" t="str">
        <f>YEAR(Datos_Consumo[[#This Row],[FECHA]])&amp;"-"&amp;MONTH(Datos_Consumo[[#This Row],[FECHA]])</f>
        <v>2016-12</v>
      </c>
    </row>
    <row r="413" spans="1:4" x14ac:dyDescent="0.25">
      <c r="A413" t="s">
        <v>1536</v>
      </c>
      <c r="B413">
        <v>2</v>
      </c>
      <c r="C413" s="56">
        <v>42705</v>
      </c>
      <c r="D413" s="3" t="str">
        <f>YEAR(Datos_Consumo[[#This Row],[FECHA]])&amp;"-"&amp;MONTH(Datos_Consumo[[#This Row],[FECHA]])</f>
        <v>2016-12</v>
      </c>
    </row>
    <row r="414" spans="1:4" x14ac:dyDescent="0.25">
      <c r="A414" t="s">
        <v>1537</v>
      </c>
      <c r="B414">
        <v>1</v>
      </c>
      <c r="C414" s="56">
        <v>42705</v>
      </c>
      <c r="D414" s="3" t="str">
        <f>YEAR(Datos_Consumo[[#This Row],[FECHA]])&amp;"-"&amp;MONTH(Datos_Consumo[[#This Row],[FECHA]])</f>
        <v>2016-12</v>
      </c>
    </row>
    <row r="415" spans="1:4" x14ac:dyDescent="0.25">
      <c r="A415" t="s">
        <v>1538</v>
      </c>
      <c r="B415">
        <v>2</v>
      </c>
      <c r="C415" s="56">
        <v>42675</v>
      </c>
      <c r="D415" s="3" t="str">
        <f>YEAR(Datos_Consumo[[#This Row],[FECHA]])&amp;"-"&amp;MONTH(Datos_Consumo[[#This Row],[FECHA]])</f>
        <v>2016-11</v>
      </c>
    </row>
    <row r="416" spans="1:4" x14ac:dyDescent="0.25">
      <c r="A416" t="s">
        <v>1538</v>
      </c>
      <c r="B416">
        <v>1</v>
      </c>
      <c r="C416" s="56">
        <v>42705</v>
      </c>
      <c r="D416" s="3" t="str">
        <f>YEAR(Datos_Consumo[[#This Row],[FECHA]])&amp;"-"&amp;MONTH(Datos_Consumo[[#This Row],[FECHA]])</f>
        <v>2016-12</v>
      </c>
    </row>
    <row r="417" spans="1:4" x14ac:dyDescent="0.25">
      <c r="A417" t="s">
        <v>1538</v>
      </c>
      <c r="B417">
        <v>2</v>
      </c>
      <c r="C417" s="56">
        <v>42736</v>
      </c>
      <c r="D417" s="3" t="str">
        <f>YEAR(Datos_Consumo[[#This Row],[FECHA]])&amp;"-"&amp;MONTH(Datos_Consumo[[#This Row],[FECHA]])</f>
        <v>2017-1</v>
      </c>
    </row>
    <row r="418" spans="1:4" x14ac:dyDescent="0.25">
      <c r="A418" t="s">
        <v>1539</v>
      </c>
      <c r="B418">
        <v>2</v>
      </c>
      <c r="C418" s="56">
        <v>42675</v>
      </c>
      <c r="D418" s="3" t="str">
        <f>YEAR(Datos_Consumo[[#This Row],[FECHA]])&amp;"-"&amp;MONTH(Datos_Consumo[[#This Row],[FECHA]])</f>
        <v>2016-11</v>
      </c>
    </row>
    <row r="419" spans="1:4" x14ac:dyDescent="0.25">
      <c r="A419" t="s">
        <v>1539</v>
      </c>
      <c r="B419">
        <v>2</v>
      </c>
      <c r="C419" s="56">
        <v>42736</v>
      </c>
      <c r="D419" s="3" t="str">
        <f>YEAR(Datos_Consumo[[#This Row],[FECHA]])&amp;"-"&amp;MONTH(Datos_Consumo[[#This Row],[FECHA]])</f>
        <v>2017-1</v>
      </c>
    </row>
    <row r="420" spans="1:4" x14ac:dyDescent="0.25">
      <c r="A420" t="s">
        <v>1540</v>
      </c>
      <c r="B420">
        <v>1</v>
      </c>
      <c r="C420" s="56">
        <v>42675</v>
      </c>
      <c r="D420" s="3" t="str">
        <f>YEAR(Datos_Consumo[[#This Row],[FECHA]])&amp;"-"&amp;MONTH(Datos_Consumo[[#This Row],[FECHA]])</f>
        <v>2016-11</v>
      </c>
    </row>
    <row r="421" spans="1:4" x14ac:dyDescent="0.25">
      <c r="A421" t="s">
        <v>1540</v>
      </c>
      <c r="B421">
        <v>3</v>
      </c>
      <c r="C421" s="56">
        <v>42705</v>
      </c>
      <c r="D421" s="3" t="str">
        <f>YEAR(Datos_Consumo[[#This Row],[FECHA]])&amp;"-"&amp;MONTH(Datos_Consumo[[#This Row],[FECHA]])</f>
        <v>2016-12</v>
      </c>
    </row>
    <row r="422" spans="1:4" x14ac:dyDescent="0.25">
      <c r="A422" t="s">
        <v>1541</v>
      </c>
      <c r="B422">
        <v>2</v>
      </c>
      <c r="C422" s="56">
        <v>42705</v>
      </c>
      <c r="D422" s="3" t="str">
        <f>YEAR(Datos_Consumo[[#This Row],[FECHA]])&amp;"-"&amp;MONTH(Datos_Consumo[[#This Row],[FECHA]])</f>
        <v>2016-12</v>
      </c>
    </row>
    <row r="423" spans="1:4" x14ac:dyDescent="0.25">
      <c r="A423" t="s">
        <v>1541</v>
      </c>
      <c r="B423">
        <v>1</v>
      </c>
      <c r="C423" s="56">
        <v>42736</v>
      </c>
      <c r="D423" s="3" t="str">
        <f>YEAR(Datos_Consumo[[#This Row],[FECHA]])&amp;"-"&amp;MONTH(Datos_Consumo[[#This Row],[FECHA]])</f>
        <v>2017-1</v>
      </c>
    </row>
    <row r="424" spans="1:4" x14ac:dyDescent="0.25">
      <c r="A424" t="s">
        <v>1542</v>
      </c>
      <c r="B424">
        <v>1</v>
      </c>
      <c r="C424" s="56">
        <v>42675</v>
      </c>
      <c r="D424" s="3" t="str">
        <f>YEAR(Datos_Consumo[[#This Row],[FECHA]])&amp;"-"&amp;MONTH(Datos_Consumo[[#This Row],[FECHA]])</f>
        <v>2016-11</v>
      </c>
    </row>
    <row r="425" spans="1:4" x14ac:dyDescent="0.25">
      <c r="A425" t="s">
        <v>1543</v>
      </c>
      <c r="B425">
        <v>1</v>
      </c>
      <c r="C425" s="56">
        <v>42705</v>
      </c>
      <c r="D425" s="3" t="str">
        <f>YEAR(Datos_Consumo[[#This Row],[FECHA]])&amp;"-"&amp;MONTH(Datos_Consumo[[#This Row],[FECHA]])</f>
        <v>2016-12</v>
      </c>
    </row>
    <row r="426" spans="1:4" x14ac:dyDescent="0.25">
      <c r="A426" t="s">
        <v>1544</v>
      </c>
      <c r="B426">
        <v>3</v>
      </c>
      <c r="C426" s="56">
        <v>42705</v>
      </c>
      <c r="D426" s="3" t="str">
        <f>YEAR(Datos_Consumo[[#This Row],[FECHA]])&amp;"-"&amp;MONTH(Datos_Consumo[[#This Row],[FECHA]])</f>
        <v>2016-12</v>
      </c>
    </row>
    <row r="427" spans="1:4" x14ac:dyDescent="0.25">
      <c r="A427" t="s">
        <v>1545</v>
      </c>
      <c r="B427">
        <v>1</v>
      </c>
      <c r="C427" s="56">
        <v>42675</v>
      </c>
      <c r="D427" s="3" t="str">
        <f>YEAR(Datos_Consumo[[#This Row],[FECHA]])&amp;"-"&amp;MONTH(Datos_Consumo[[#This Row],[FECHA]])</f>
        <v>2016-11</v>
      </c>
    </row>
    <row r="428" spans="1:4" x14ac:dyDescent="0.25">
      <c r="A428" t="s">
        <v>1546</v>
      </c>
      <c r="B428">
        <v>1</v>
      </c>
      <c r="C428" s="56">
        <v>42675</v>
      </c>
      <c r="D428" s="3" t="str">
        <f>YEAR(Datos_Consumo[[#This Row],[FECHA]])&amp;"-"&amp;MONTH(Datos_Consumo[[#This Row],[FECHA]])</f>
        <v>2016-11</v>
      </c>
    </row>
    <row r="429" spans="1:4" x14ac:dyDescent="0.25">
      <c r="A429" t="s">
        <v>1547</v>
      </c>
      <c r="B429">
        <v>1</v>
      </c>
      <c r="C429" s="56">
        <v>42705</v>
      </c>
      <c r="D429" s="3" t="str">
        <f>YEAR(Datos_Consumo[[#This Row],[FECHA]])&amp;"-"&amp;MONTH(Datos_Consumo[[#This Row],[FECHA]])</f>
        <v>2016-12</v>
      </c>
    </row>
    <row r="430" spans="1:4" x14ac:dyDescent="0.25">
      <c r="A430" t="s">
        <v>1548</v>
      </c>
      <c r="B430">
        <v>1</v>
      </c>
      <c r="C430" s="56">
        <v>42675</v>
      </c>
      <c r="D430" s="3" t="str">
        <f>YEAR(Datos_Consumo[[#This Row],[FECHA]])&amp;"-"&amp;MONTH(Datos_Consumo[[#This Row],[FECHA]])</f>
        <v>2016-11</v>
      </c>
    </row>
    <row r="431" spans="1:4" x14ac:dyDescent="0.25">
      <c r="A431" t="s">
        <v>1549</v>
      </c>
      <c r="B431">
        <v>1</v>
      </c>
      <c r="C431" s="56">
        <v>42675</v>
      </c>
      <c r="D431" s="3" t="str">
        <f>YEAR(Datos_Consumo[[#This Row],[FECHA]])&amp;"-"&amp;MONTH(Datos_Consumo[[#This Row],[FECHA]])</f>
        <v>2016-11</v>
      </c>
    </row>
    <row r="432" spans="1:4" x14ac:dyDescent="0.25">
      <c r="A432" t="s">
        <v>1550</v>
      </c>
      <c r="B432">
        <v>1</v>
      </c>
      <c r="C432" s="56">
        <v>42675</v>
      </c>
      <c r="D432" s="3" t="str">
        <f>YEAR(Datos_Consumo[[#This Row],[FECHA]])&amp;"-"&amp;MONTH(Datos_Consumo[[#This Row],[FECHA]])</f>
        <v>2016-11</v>
      </c>
    </row>
    <row r="433" spans="1:4" x14ac:dyDescent="0.25">
      <c r="A433" t="s">
        <v>1551</v>
      </c>
      <c r="B433">
        <v>1</v>
      </c>
      <c r="C433" s="56">
        <v>42705</v>
      </c>
      <c r="D433" s="3" t="str">
        <f>YEAR(Datos_Consumo[[#This Row],[FECHA]])&amp;"-"&amp;MONTH(Datos_Consumo[[#This Row],[FECHA]])</f>
        <v>2016-12</v>
      </c>
    </row>
    <row r="434" spans="1:4" x14ac:dyDescent="0.25">
      <c r="A434" t="s">
        <v>1552</v>
      </c>
      <c r="B434">
        <v>1</v>
      </c>
      <c r="C434" s="56">
        <v>42675</v>
      </c>
      <c r="D434" s="3" t="str">
        <f>YEAR(Datos_Consumo[[#This Row],[FECHA]])&amp;"-"&amp;MONTH(Datos_Consumo[[#This Row],[FECHA]])</f>
        <v>2016-11</v>
      </c>
    </row>
    <row r="435" spans="1:4" x14ac:dyDescent="0.25">
      <c r="A435" t="s">
        <v>1553</v>
      </c>
      <c r="B435">
        <v>1</v>
      </c>
      <c r="C435" s="56">
        <v>42675</v>
      </c>
      <c r="D435" s="3" t="str">
        <f>YEAR(Datos_Consumo[[#This Row],[FECHA]])&amp;"-"&amp;MONTH(Datos_Consumo[[#This Row],[FECHA]])</f>
        <v>2016-11</v>
      </c>
    </row>
    <row r="436" spans="1:4" x14ac:dyDescent="0.25">
      <c r="A436" t="s">
        <v>1554</v>
      </c>
      <c r="B436">
        <v>1</v>
      </c>
      <c r="C436" s="56">
        <v>42705</v>
      </c>
      <c r="D436" s="3" t="str">
        <f>YEAR(Datos_Consumo[[#This Row],[FECHA]])&amp;"-"&amp;MONTH(Datos_Consumo[[#This Row],[FECHA]])</f>
        <v>2016-12</v>
      </c>
    </row>
    <row r="437" spans="1:4" x14ac:dyDescent="0.25">
      <c r="A437" t="s">
        <v>1555</v>
      </c>
      <c r="B437">
        <v>2</v>
      </c>
      <c r="C437" s="56">
        <v>42675</v>
      </c>
      <c r="D437" s="3" t="str">
        <f>YEAR(Datos_Consumo[[#This Row],[FECHA]])&amp;"-"&amp;MONTH(Datos_Consumo[[#This Row],[FECHA]])</f>
        <v>2016-11</v>
      </c>
    </row>
    <row r="438" spans="1:4" x14ac:dyDescent="0.25">
      <c r="A438" t="s">
        <v>1556</v>
      </c>
      <c r="B438">
        <v>1</v>
      </c>
      <c r="C438" s="56">
        <v>42675</v>
      </c>
      <c r="D438" s="3" t="str">
        <f>YEAR(Datos_Consumo[[#This Row],[FECHA]])&amp;"-"&amp;MONTH(Datos_Consumo[[#This Row],[FECHA]])</f>
        <v>2016-11</v>
      </c>
    </row>
    <row r="439" spans="1:4" x14ac:dyDescent="0.25">
      <c r="A439" t="s">
        <v>1556</v>
      </c>
      <c r="B439">
        <v>1</v>
      </c>
      <c r="C439" s="56">
        <v>42736</v>
      </c>
      <c r="D439" s="3" t="str">
        <f>YEAR(Datos_Consumo[[#This Row],[FECHA]])&amp;"-"&amp;MONTH(Datos_Consumo[[#This Row],[FECHA]])</f>
        <v>2017-1</v>
      </c>
    </row>
    <row r="440" spans="1:4" x14ac:dyDescent="0.25">
      <c r="A440" t="s">
        <v>1557</v>
      </c>
      <c r="B440">
        <v>4</v>
      </c>
      <c r="C440" s="56">
        <v>42705</v>
      </c>
      <c r="D440" s="3" t="str">
        <f>YEAR(Datos_Consumo[[#This Row],[FECHA]])&amp;"-"&amp;MONTH(Datos_Consumo[[#This Row],[FECHA]])</f>
        <v>2016-12</v>
      </c>
    </row>
    <row r="441" spans="1:4" x14ac:dyDescent="0.25">
      <c r="A441" t="s">
        <v>1557</v>
      </c>
      <c r="B441">
        <v>4</v>
      </c>
      <c r="C441" s="56">
        <v>42736</v>
      </c>
      <c r="D441" s="3" t="str">
        <f>YEAR(Datos_Consumo[[#This Row],[FECHA]])&amp;"-"&amp;MONTH(Datos_Consumo[[#This Row],[FECHA]])</f>
        <v>2017-1</v>
      </c>
    </row>
    <row r="442" spans="1:4" x14ac:dyDescent="0.25">
      <c r="A442" t="s">
        <v>1558</v>
      </c>
      <c r="B442">
        <v>1</v>
      </c>
      <c r="C442" s="56">
        <v>42675</v>
      </c>
      <c r="D442" s="3" t="str">
        <f>YEAR(Datos_Consumo[[#This Row],[FECHA]])&amp;"-"&amp;MONTH(Datos_Consumo[[#This Row],[FECHA]])</f>
        <v>2016-11</v>
      </c>
    </row>
    <row r="443" spans="1:4" x14ac:dyDescent="0.25">
      <c r="A443" t="s">
        <v>1559</v>
      </c>
      <c r="B443">
        <v>1</v>
      </c>
      <c r="C443" s="56">
        <v>42675</v>
      </c>
      <c r="D443" s="3" t="str">
        <f>YEAR(Datos_Consumo[[#This Row],[FECHA]])&amp;"-"&amp;MONTH(Datos_Consumo[[#This Row],[FECHA]])</f>
        <v>2016-11</v>
      </c>
    </row>
    <row r="444" spans="1:4" x14ac:dyDescent="0.25">
      <c r="A444" t="s">
        <v>1560</v>
      </c>
      <c r="B444">
        <v>1</v>
      </c>
      <c r="C444" s="56">
        <v>42675</v>
      </c>
      <c r="D444" s="3" t="str">
        <f>YEAR(Datos_Consumo[[#This Row],[FECHA]])&amp;"-"&amp;MONTH(Datos_Consumo[[#This Row],[FECHA]])</f>
        <v>2016-11</v>
      </c>
    </row>
    <row r="445" spans="1:4" x14ac:dyDescent="0.25">
      <c r="A445" t="s">
        <v>1561</v>
      </c>
      <c r="B445">
        <v>1</v>
      </c>
      <c r="C445" s="56">
        <v>42675</v>
      </c>
      <c r="D445" s="3" t="str">
        <f>YEAR(Datos_Consumo[[#This Row],[FECHA]])&amp;"-"&amp;MONTH(Datos_Consumo[[#This Row],[FECHA]])</f>
        <v>2016-11</v>
      </c>
    </row>
    <row r="446" spans="1:4" x14ac:dyDescent="0.25">
      <c r="A446" t="s">
        <v>1645</v>
      </c>
      <c r="B446">
        <v>1</v>
      </c>
      <c r="C446" s="56">
        <v>42705</v>
      </c>
      <c r="D446" s="3" t="str">
        <f>YEAR(Datos_Consumo[[#This Row],[FECHA]])&amp;"-"&amp;MONTH(Datos_Consumo[[#This Row],[FECHA]])</f>
        <v>2016-12</v>
      </c>
    </row>
    <row r="447" spans="1:4" x14ac:dyDescent="0.25">
      <c r="A447" t="s">
        <v>1646</v>
      </c>
      <c r="B447">
        <v>1</v>
      </c>
      <c r="C447" s="56">
        <v>42705</v>
      </c>
      <c r="D447" s="3" t="str">
        <f>YEAR(Datos_Consumo[[#This Row],[FECHA]])&amp;"-"&amp;MONTH(Datos_Consumo[[#This Row],[FECHA]])</f>
        <v>2016-12</v>
      </c>
    </row>
    <row r="448" spans="1:4" x14ac:dyDescent="0.25">
      <c r="A448" t="s">
        <v>1647</v>
      </c>
      <c r="B448">
        <v>1</v>
      </c>
      <c r="C448" s="56">
        <v>42675</v>
      </c>
      <c r="D448" s="3" t="str">
        <f>YEAR(Datos_Consumo[[#This Row],[FECHA]])&amp;"-"&amp;MONTH(Datos_Consumo[[#This Row],[FECHA]])</f>
        <v>2016-11</v>
      </c>
    </row>
    <row r="449" spans="1:4" x14ac:dyDescent="0.25">
      <c r="A449" t="s">
        <v>1647</v>
      </c>
      <c r="B449">
        <v>1</v>
      </c>
      <c r="C449" s="56">
        <v>42705</v>
      </c>
      <c r="D449" s="3" t="str">
        <f>YEAR(Datos_Consumo[[#This Row],[FECHA]])&amp;"-"&amp;MONTH(Datos_Consumo[[#This Row],[FECHA]])</f>
        <v>2016-12</v>
      </c>
    </row>
    <row r="450" spans="1:4" x14ac:dyDescent="0.25">
      <c r="A450" t="s">
        <v>1648</v>
      </c>
      <c r="B450">
        <v>1</v>
      </c>
      <c r="C450" s="56">
        <v>42675</v>
      </c>
      <c r="D450" s="3" t="str">
        <f>YEAR(Datos_Consumo[[#This Row],[FECHA]])&amp;"-"&amp;MONTH(Datos_Consumo[[#This Row],[FECHA]])</f>
        <v>2016-11</v>
      </c>
    </row>
    <row r="451" spans="1:4" x14ac:dyDescent="0.25">
      <c r="A451" t="s">
        <v>1649</v>
      </c>
      <c r="B451">
        <v>1</v>
      </c>
      <c r="C451" s="56">
        <v>42736</v>
      </c>
      <c r="D451" s="3" t="str">
        <f>YEAR(Datos_Consumo[[#This Row],[FECHA]])&amp;"-"&amp;MONTH(Datos_Consumo[[#This Row],[FECHA]])</f>
        <v>2017-1</v>
      </c>
    </row>
    <row r="452" spans="1:4" x14ac:dyDescent="0.25">
      <c r="A452" t="s">
        <v>1650</v>
      </c>
      <c r="B452">
        <v>2</v>
      </c>
      <c r="C452" s="56">
        <v>42675</v>
      </c>
      <c r="D452" s="3" t="str">
        <f>YEAR(Datos_Consumo[[#This Row],[FECHA]])&amp;"-"&amp;MONTH(Datos_Consumo[[#This Row],[FECHA]])</f>
        <v>2016-11</v>
      </c>
    </row>
    <row r="453" spans="1:4" x14ac:dyDescent="0.25">
      <c r="A453" t="s">
        <v>1562</v>
      </c>
      <c r="B453">
        <v>1</v>
      </c>
      <c r="C453" s="56">
        <v>42675</v>
      </c>
      <c r="D453" s="3" t="str">
        <f>YEAR(Datos_Consumo[[#This Row],[FECHA]])&amp;"-"&amp;MONTH(Datos_Consumo[[#This Row],[FECHA]])</f>
        <v>2016-11</v>
      </c>
    </row>
    <row r="454" spans="1:4" x14ac:dyDescent="0.25">
      <c r="A454" t="s">
        <v>1563</v>
      </c>
      <c r="B454">
        <v>3</v>
      </c>
      <c r="C454" s="56">
        <v>42675</v>
      </c>
      <c r="D454" s="3" t="str">
        <f>YEAR(Datos_Consumo[[#This Row],[FECHA]])&amp;"-"&amp;MONTH(Datos_Consumo[[#This Row],[FECHA]])</f>
        <v>2016-11</v>
      </c>
    </row>
    <row r="455" spans="1:4" x14ac:dyDescent="0.25">
      <c r="A455" t="s">
        <v>1563</v>
      </c>
      <c r="B455">
        <v>2</v>
      </c>
      <c r="C455" s="56">
        <v>42705</v>
      </c>
      <c r="D455" s="3" t="str">
        <f>YEAR(Datos_Consumo[[#This Row],[FECHA]])&amp;"-"&amp;MONTH(Datos_Consumo[[#This Row],[FECHA]])</f>
        <v>2016-12</v>
      </c>
    </row>
    <row r="456" spans="1:4" x14ac:dyDescent="0.25">
      <c r="A456" t="s">
        <v>1563</v>
      </c>
      <c r="B456">
        <v>4</v>
      </c>
      <c r="C456" s="56">
        <v>42736</v>
      </c>
      <c r="D456" s="3" t="str">
        <f>YEAR(Datos_Consumo[[#This Row],[FECHA]])&amp;"-"&amp;MONTH(Datos_Consumo[[#This Row],[FECHA]])</f>
        <v>2017-1</v>
      </c>
    </row>
    <row r="457" spans="1:4" x14ac:dyDescent="0.25">
      <c r="A457" t="s">
        <v>1564</v>
      </c>
      <c r="B457">
        <v>1</v>
      </c>
      <c r="C457" s="56">
        <v>42675</v>
      </c>
      <c r="D457" s="3" t="str">
        <f>YEAR(Datos_Consumo[[#This Row],[FECHA]])&amp;"-"&amp;MONTH(Datos_Consumo[[#This Row],[FECHA]])</f>
        <v>2016-11</v>
      </c>
    </row>
    <row r="458" spans="1:4" x14ac:dyDescent="0.25">
      <c r="A458" t="s">
        <v>1564</v>
      </c>
      <c r="B458">
        <v>4</v>
      </c>
      <c r="C458" s="56">
        <v>42705</v>
      </c>
      <c r="D458" s="3" t="str">
        <f>YEAR(Datos_Consumo[[#This Row],[FECHA]])&amp;"-"&amp;MONTH(Datos_Consumo[[#This Row],[FECHA]])</f>
        <v>2016-12</v>
      </c>
    </row>
    <row r="459" spans="1:4" x14ac:dyDescent="0.25">
      <c r="A459" t="s">
        <v>1651</v>
      </c>
      <c r="B459">
        <v>1</v>
      </c>
      <c r="C459" s="56">
        <v>42675</v>
      </c>
      <c r="D459" s="3" t="str">
        <f>YEAR(Datos_Consumo[[#This Row],[FECHA]])&amp;"-"&amp;MONTH(Datos_Consumo[[#This Row],[FECHA]])</f>
        <v>2016-11</v>
      </c>
    </row>
    <row r="460" spans="1:4" x14ac:dyDescent="0.25">
      <c r="A460" t="s">
        <v>1652</v>
      </c>
      <c r="B460">
        <v>1509</v>
      </c>
      <c r="C460" s="56">
        <v>42675</v>
      </c>
      <c r="D460" s="3" t="str">
        <f>YEAR(Datos_Consumo[[#This Row],[FECHA]])&amp;"-"&amp;MONTH(Datos_Consumo[[#This Row],[FECHA]])</f>
        <v>2016-11</v>
      </c>
    </row>
    <row r="461" spans="1:4" x14ac:dyDescent="0.25">
      <c r="A461" t="s">
        <v>1652</v>
      </c>
      <c r="B461">
        <v>2071</v>
      </c>
      <c r="C461" s="56">
        <v>42705</v>
      </c>
      <c r="D461" s="3" t="str">
        <f>YEAR(Datos_Consumo[[#This Row],[FECHA]])&amp;"-"&amp;MONTH(Datos_Consumo[[#This Row],[FECHA]])</f>
        <v>2016-12</v>
      </c>
    </row>
    <row r="462" spans="1:4" x14ac:dyDescent="0.25">
      <c r="A462" t="s">
        <v>1652</v>
      </c>
      <c r="B462">
        <v>2926</v>
      </c>
      <c r="C462" s="56">
        <v>42736</v>
      </c>
      <c r="D462" s="3" t="str">
        <f>YEAR(Datos_Consumo[[#This Row],[FECHA]])&amp;"-"&amp;MONTH(Datos_Consumo[[#This Row],[FECHA]])</f>
        <v>2017-1</v>
      </c>
    </row>
    <row r="463" spans="1:4" x14ac:dyDescent="0.25">
      <c r="A463" t="s">
        <v>1577</v>
      </c>
      <c r="B463">
        <v>3</v>
      </c>
      <c r="C463" s="56">
        <v>42675</v>
      </c>
      <c r="D463" s="3" t="str">
        <f>YEAR(Datos_Consumo[[#This Row],[FECHA]])&amp;"-"&amp;MONTH(Datos_Consumo[[#This Row],[FECHA]])</f>
        <v>2016-11</v>
      </c>
    </row>
    <row r="464" spans="1:4" x14ac:dyDescent="0.25">
      <c r="A464" t="s">
        <v>1577</v>
      </c>
      <c r="B464">
        <v>1</v>
      </c>
      <c r="C464" s="56">
        <v>42705</v>
      </c>
      <c r="D464" s="3" t="str">
        <f>YEAR(Datos_Consumo[[#This Row],[FECHA]])&amp;"-"&amp;MONTH(Datos_Consumo[[#This Row],[FECHA]])</f>
        <v>2016-12</v>
      </c>
    </row>
    <row r="465" spans="1:4" x14ac:dyDescent="0.25">
      <c r="A465" t="s">
        <v>1653</v>
      </c>
      <c r="B465">
        <v>8</v>
      </c>
      <c r="C465" s="56">
        <v>42675</v>
      </c>
      <c r="D465" s="3" t="str">
        <f>YEAR(Datos_Consumo[[#This Row],[FECHA]])&amp;"-"&amp;MONTH(Datos_Consumo[[#This Row],[FECHA]])</f>
        <v>2016-11</v>
      </c>
    </row>
    <row r="466" spans="1:4" x14ac:dyDescent="0.25">
      <c r="A466" t="s">
        <v>1653</v>
      </c>
      <c r="B466">
        <v>7</v>
      </c>
      <c r="C466" s="56">
        <v>42705</v>
      </c>
      <c r="D466" s="3" t="str">
        <f>YEAR(Datos_Consumo[[#This Row],[FECHA]])&amp;"-"&amp;MONTH(Datos_Consumo[[#This Row],[FECHA]])</f>
        <v>2016-12</v>
      </c>
    </row>
    <row r="467" spans="1:4" x14ac:dyDescent="0.25">
      <c r="A467" t="s">
        <v>1653</v>
      </c>
      <c r="B467">
        <v>9</v>
      </c>
      <c r="C467" s="56">
        <v>42736</v>
      </c>
      <c r="D467" s="3" t="str">
        <f>YEAR(Datos_Consumo[[#This Row],[FECHA]])&amp;"-"&amp;MONTH(Datos_Consumo[[#This Row],[FECHA]])</f>
        <v>2017-1</v>
      </c>
    </row>
    <row r="468" spans="1:4" x14ac:dyDescent="0.25">
      <c r="A468" t="s">
        <v>1654</v>
      </c>
      <c r="B468">
        <v>9</v>
      </c>
      <c r="C468" s="56">
        <v>42675</v>
      </c>
      <c r="D468" s="3" t="str">
        <f>YEAR(Datos_Consumo[[#This Row],[FECHA]])&amp;"-"&amp;MONTH(Datos_Consumo[[#This Row],[FECHA]])</f>
        <v>2016-11</v>
      </c>
    </row>
    <row r="469" spans="1:4" x14ac:dyDescent="0.25">
      <c r="A469" t="s">
        <v>1578</v>
      </c>
      <c r="B469">
        <v>11</v>
      </c>
      <c r="C469" s="56">
        <v>42675</v>
      </c>
      <c r="D469" s="3" t="str">
        <f>YEAR(Datos_Consumo[[#This Row],[FECHA]])&amp;"-"&amp;MONTH(Datos_Consumo[[#This Row],[FECHA]])</f>
        <v>2016-11</v>
      </c>
    </row>
    <row r="470" spans="1:4" x14ac:dyDescent="0.25">
      <c r="A470" t="s">
        <v>1578</v>
      </c>
      <c r="B470">
        <v>10</v>
      </c>
      <c r="C470" s="56">
        <v>42705</v>
      </c>
      <c r="D470" s="3" t="str">
        <f>YEAR(Datos_Consumo[[#This Row],[FECHA]])&amp;"-"&amp;MONTH(Datos_Consumo[[#This Row],[FECHA]])</f>
        <v>2016-12</v>
      </c>
    </row>
    <row r="471" spans="1:4" x14ac:dyDescent="0.25">
      <c r="A471" t="s">
        <v>1578</v>
      </c>
      <c r="B471">
        <v>9</v>
      </c>
      <c r="C471" s="56">
        <v>42736</v>
      </c>
      <c r="D471" s="3" t="str">
        <f>YEAR(Datos_Consumo[[#This Row],[FECHA]])&amp;"-"&amp;MONTH(Datos_Consumo[[#This Row],[FECHA]])</f>
        <v>2017-1</v>
      </c>
    </row>
    <row r="472" spans="1:4" x14ac:dyDescent="0.25">
      <c r="A472" t="s">
        <v>1655</v>
      </c>
      <c r="B472">
        <v>1</v>
      </c>
      <c r="C472" s="56">
        <v>42675</v>
      </c>
      <c r="D472" s="3" t="str">
        <f>YEAR(Datos_Consumo[[#This Row],[FECHA]])&amp;"-"&amp;MONTH(Datos_Consumo[[#This Row],[FECHA]])</f>
        <v>2016-11</v>
      </c>
    </row>
    <row r="473" spans="1:4" x14ac:dyDescent="0.25">
      <c r="A473" t="s">
        <v>1656</v>
      </c>
      <c r="B473">
        <v>10</v>
      </c>
      <c r="C473" s="56">
        <v>42705</v>
      </c>
      <c r="D473" s="3" t="str">
        <f>YEAR(Datos_Consumo[[#This Row],[FECHA]])&amp;"-"&amp;MONTH(Datos_Consumo[[#This Row],[FECHA]])</f>
        <v>2016-12</v>
      </c>
    </row>
    <row r="474" spans="1:4" x14ac:dyDescent="0.25">
      <c r="A474" t="s">
        <v>1393</v>
      </c>
      <c r="B474">
        <v>3070</v>
      </c>
      <c r="C474" s="56">
        <v>42675</v>
      </c>
      <c r="D474" s="3" t="str">
        <f>YEAR(Datos_Consumo[[#This Row],[FECHA]])&amp;"-"&amp;MONTH(Datos_Consumo[[#This Row],[FECHA]])</f>
        <v>2016-11</v>
      </c>
    </row>
    <row r="475" spans="1:4" x14ac:dyDescent="0.25">
      <c r="A475" t="s">
        <v>1393</v>
      </c>
      <c r="B475">
        <v>2985</v>
      </c>
      <c r="C475" s="56">
        <v>42705</v>
      </c>
      <c r="D475" s="3" t="str">
        <f>YEAR(Datos_Consumo[[#This Row],[FECHA]])&amp;"-"&amp;MONTH(Datos_Consumo[[#This Row],[FECHA]])</f>
        <v>2016-12</v>
      </c>
    </row>
    <row r="476" spans="1:4" x14ac:dyDescent="0.25">
      <c r="A476" t="s">
        <v>1393</v>
      </c>
      <c r="B476">
        <v>1317</v>
      </c>
      <c r="C476" s="56">
        <v>42736</v>
      </c>
      <c r="D476" s="3" t="str">
        <f>YEAR(Datos_Consumo[[#This Row],[FECHA]])&amp;"-"&amp;MONTH(Datos_Consumo[[#This Row],[FECHA]])</f>
        <v>2017-1</v>
      </c>
    </row>
    <row r="477" spans="1:4" x14ac:dyDescent="0.25">
      <c r="A477" t="s">
        <v>1394</v>
      </c>
      <c r="B477">
        <v>4898</v>
      </c>
      <c r="C477" s="56">
        <v>42675</v>
      </c>
      <c r="D477" s="3" t="str">
        <f>YEAR(Datos_Consumo[[#This Row],[FECHA]])&amp;"-"&amp;MONTH(Datos_Consumo[[#This Row],[FECHA]])</f>
        <v>2016-11</v>
      </c>
    </row>
    <row r="478" spans="1:4" x14ac:dyDescent="0.25">
      <c r="A478" t="s">
        <v>1394</v>
      </c>
      <c r="B478">
        <v>4791</v>
      </c>
      <c r="C478" s="56">
        <v>42705</v>
      </c>
      <c r="D478" s="3" t="str">
        <f>YEAR(Datos_Consumo[[#This Row],[FECHA]])&amp;"-"&amp;MONTH(Datos_Consumo[[#This Row],[FECHA]])</f>
        <v>2016-12</v>
      </c>
    </row>
    <row r="479" spans="1:4" x14ac:dyDescent="0.25">
      <c r="A479" t="s">
        <v>1394</v>
      </c>
      <c r="B479">
        <v>2126</v>
      </c>
      <c r="C479" s="56">
        <v>42736</v>
      </c>
      <c r="D479" s="3" t="str">
        <f>YEAR(Datos_Consumo[[#This Row],[FECHA]])&amp;"-"&amp;MONTH(Datos_Consumo[[#This Row],[FECHA]])</f>
        <v>2017-1</v>
      </c>
    </row>
    <row r="480" spans="1:4" x14ac:dyDescent="0.25">
      <c r="A480" t="s">
        <v>1394</v>
      </c>
      <c r="B480">
        <v>258</v>
      </c>
      <c r="C480" s="56">
        <v>42767</v>
      </c>
      <c r="D480" s="3" t="str">
        <f>YEAR(Datos_Consumo[[#This Row],[FECHA]])&amp;"-"&amp;MONTH(Datos_Consumo[[#This Row],[FECHA]])</f>
        <v>2017-2</v>
      </c>
    </row>
    <row r="481" spans="1:4" x14ac:dyDescent="0.25">
      <c r="A481" t="s">
        <v>1395</v>
      </c>
      <c r="B481">
        <v>2270</v>
      </c>
      <c r="C481" s="56">
        <v>42675</v>
      </c>
      <c r="D481" s="3" t="str">
        <f>YEAR(Datos_Consumo[[#This Row],[FECHA]])&amp;"-"&amp;MONTH(Datos_Consumo[[#This Row],[FECHA]])</f>
        <v>2016-11</v>
      </c>
    </row>
    <row r="482" spans="1:4" x14ac:dyDescent="0.25">
      <c r="A482" t="s">
        <v>1395</v>
      </c>
      <c r="B482">
        <v>3170</v>
      </c>
      <c r="C482" s="56">
        <v>42705</v>
      </c>
      <c r="D482" s="3" t="str">
        <f>YEAR(Datos_Consumo[[#This Row],[FECHA]])&amp;"-"&amp;MONTH(Datos_Consumo[[#This Row],[FECHA]])</f>
        <v>2016-12</v>
      </c>
    </row>
    <row r="483" spans="1:4" x14ac:dyDescent="0.25">
      <c r="A483" t="s">
        <v>1395</v>
      </c>
      <c r="B483">
        <v>740</v>
      </c>
      <c r="C483" s="56">
        <v>42736</v>
      </c>
      <c r="D483" s="3" t="str">
        <f>YEAR(Datos_Consumo[[#This Row],[FECHA]])&amp;"-"&amp;MONTH(Datos_Consumo[[#This Row],[FECHA]])</f>
        <v>2017-1</v>
      </c>
    </row>
    <row r="484" spans="1:4" x14ac:dyDescent="0.25">
      <c r="A484" t="s">
        <v>1657</v>
      </c>
      <c r="B484">
        <v>10</v>
      </c>
      <c r="C484" s="56">
        <v>42675</v>
      </c>
      <c r="D484" s="3" t="str">
        <f>YEAR(Datos_Consumo[[#This Row],[FECHA]])&amp;"-"&amp;MONTH(Datos_Consumo[[#This Row],[FECHA]])</f>
        <v>2016-11</v>
      </c>
    </row>
    <row r="485" spans="1:4" x14ac:dyDescent="0.25">
      <c r="A485" t="s">
        <v>1658</v>
      </c>
      <c r="B485">
        <v>91</v>
      </c>
      <c r="C485" s="56">
        <v>42675</v>
      </c>
      <c r="D485" s="3" t="str">
        <f>YEAR(Datos_Consumo[[#This Row],[FECHA]])&amp;"-"&amp;MONTH(Datos_Consumo[[#This Row],[FECHA]])</f>
        <v>2016-11</v>
      </c>
    </row>
    <row r="486" spans="1:4" x14ac:dyDescent="0.25">
      <c r="A486" t="s">
        <v>1658</v>
      </c>
      <c r="B486">
        <v>20</v>
      </c>
      <c r="C486" s="56">
        <v>42705</v>
      </c>
      <c r="D486" s="3" t="str">
        <f>YEAR(Datos_Consumo[[#This Row],[FECHA]])&amp;"-"&amp;MONTH(Datos_Consumo[[#This Row],[FECHA]])</f>
        <v>2016-12</v>
      </c>
    </row>
    <row r="487" spans="1:4" x14ac:dyDescent="0.25">
      <c r="A487" t="s">
        <v>1658</v>
      </c>
      <c r="B487">
        <v>4</v>
      </c>
      <c r="C487" s="56">
        <v>42736</v>
      </c>
      <c r="D487" s="3" t="str">
        <f>YEAR(Datos_Consumo[[#This Row],[FECHA]])&amp;"-"&amp;MONTH(Datos_Consumo[[#This Row],[FECHA]])</f>
        <v>2017-1</v>
      </c>
    </row>
    <row r="488" spans="1:4" x14ac:dyDescent="0.25">
      <c r="A488" t="s">
        <v>1579</v>
      </c>
      <c r="B488">
        <v>34</v>
      </c>
      <c r="C488" s="56">
        <v>42736</v>
      </c>
      <c r="D488" s="3" t="str">
        <f>YEAR(Datos_Consumo[[#This Row],[FECHA]])&amp;"-"&amp;MONTH(Datos_Consumo[[#This Row],[FECHA]])</f>
        <v>2017-1</v>
      </c>
    </row>
    <row r="489" spans="1:4" x14ac:dyDescent="0.25">
      <c r="A489" t="s">
        <v>1659</v>
      </c>
      <c r="B489">
        <v>10</v>
      </c>
      <c r="C489" s="56">
        <v>42705</v>
      </c>
      <c r="D489" s="3" t="str">
        <f>YEAR(Datos_Consumo[[#This Row],[FECHA]])&amp;"-"&amp;MONTH(Datos_Consumo[[#This Row],[FECHA]])</f>
        <v>2016-12</v>
      </c>
    </row>
    <row r="490" spans="1:4" x14ac:dyDescent="0.25">
      <c r="A490" t="s">
        <v>1659</v>
      </c>
      <c r="B490">
        <v>10</v>
      </c>
      <c r="C490" s="56">
        <v>42736</v>
      </c>
      <c r="D490" s="3" t="str">
        <f>YEAR(Datos_Consumo[[#This Row],[FECHA]])&amp;"-"&amp;MONTH(Datos_Consumo[[#This Row],[FECHA]])</f>
        <v>2017-1</v>
      </c>
    </row>
    <row r="491" spans="1:4" x14ac:dyDescent="0.25">
      <c r="A491" t="s">
        <v>1660</v>
      </c>
      <c r="B491">
        <v>30</v>
      </c>
      <c r="C491" s="56">
        <v>42736</v>
      </c>
      <c r="D491" s="3" t="str">
        <f>YEAR(Datos_Consumo[[#This Row],[FECHA]])&amp;"-"&amp;MONTH(Datos_Consumo[[#This Row],[FECHA]])</f>
        <v>2017-1</v>
      </c>
    </row>
    <row r="492" spans="1:4" x14ac:dyDescent="0.25">
      <c r="A492" t="s">
        <v>1565</v>
      </c>
      <c r="B492">
        <v>10</v>
      </c>
      <c r="C492" s="56">
        <v>42675</v>
      </c>
      <c r="D492" s="3" t="str">
        <f>YEAR(Datos_Consumo[[#This Row],[FECHA]])&amp;"-"&amp;MONTH(Datos_Consumo[[#This Row],[FECHA]])</f>
        <v>2016-11</v>
      </c>
    </row>
    <row r="493" spans="1:4" x14ac:dyDescent="0.25">
      <c r="A493" t="s">
        <v>1565</v>
      </c>
      <c r="B493">
        <v>12</v>
      </c>
      <c r="C493" s="56">
        <v>42705</v>
      </c>
      <c r="D493" s="3" t="str">
        <f>YEAR(Datos_Consumo[[#This Row],[FECHA]])&amp;"-"&amp;MONTH(Datos_Consumo[[#This Row],[FECHA]])</f>
        <v>2016-12</v>
      </c>
    </row>
    <row r="494" spans="1:4" x14ac:dyDescent="0.25">
      <c r="A494" t="s">
        <v>1396</v>
      </c>
      <c r="B494">
        <v>713</v>
      </c>
      <c r="C494" s="56">
        <v>42675</v>
      </c>
      <c r="D494" s="3" t="str">
        <f>YEAR(Datos_Consumo[[#This Row],[FECHA]])&amp;"-"&amp;MONTH(Datos_Consumo[[#This Row],[FECHA]])</f>
        <v>2016-11</v>
      </c>
    </row>
    <row r="495" spans="1:4" x14ac:dyDescent="0.25">
      <c r="A495" t="s">
        <v>1396</v>
      </c>
      <c r="B495">
        <v>352</v>
      </c>
      <c r="C495" s="56">
        <v>42705</v>
      </c>
      <c r="D495" s="3" t="str">
        <f>YEAR(Datos_Consumo[[#This Row],[FECHA]])&amp;"-"&amp;MONTH(Datos_Consumo[[#This Row],[FECHA]])</f>
        <v>2016-12</v>
      </c>
    </row>
    <row r="496" spans="1:4" x14ac:dyDescent="0.25">
      <c r="A496" t="s">
        <v>1396</v>
      </c>
      <c r="B496">
        <v>502</v>
      </c>
      <c r="C496" s="56">
        <v>42736</v>
      </c>
      <c r="D496" s="3" t="str">
        <f>YEAR(Datos_Consumo[[#This Row],[FECHA]])&amp;"-"&amp;MONTH(Datos_Consumo[[#This Row],[FECHA]])</f>
        <v>2017-1</v>
      </c>
    </row>
    <row r="497" spans="1:4" x14ac:dyDescent="0.25">
      <c r="A497" t="s">
        <v>1397</v>
      </c>
      <c r="B497">
        <v>1594</v>
      </c>
      <c r="C497" s="56">
        <v>42675</v>
      </c>
      <c r="D497" s="3" t="str">
        <f>YEAR(Datos_Consumo[[#This Row],[FECHA]])&amp;"-"&amp;MONTH(Datos_Consumo[[#This Row],[FECHA]])</f>
        <v>2016-11</v>
      </c>
    </row>
    <row r="498" spans="1:4" x14ac:dyDescent="0.25">
      <c r="A498" t="s">
        <v>1397</v>
      </c>
      <c r="B498">
        <v>5238</v>
      </c>
      <c r="C498" s="56">
        <v>42705</v>
      </c>
      <c r="D498" s="3" t="str">
        <f>YEAR(Datos_Consumo[[#This Row],[FECHA]])&amp;"-"&amp;MONTH(Datos_Consumo[[#This Row],[FECHA]])</f>
        <v>2016-12</v>
      </c>
    </row>
    <row r="499" spans="1:4" x14ac:dyDescent="0.25">
      <c r="A499" t="s">
        <v>1397</v>
      </c>
      <c r="B499">
        <v>710</v>
      </c>
      <c r="C499" s="56">
        <v>42736</v>
      </c>
      <c r="D499" s="3" t="str">
        <f>YEAR(Datos_Consumo[[#This Row],[FECHA]])&amp;"-"&amp;MONTH(Datos_Consumo[[#This Row],[FECHA]])</f>
        <v>2017-1</v>
      </c>
    </row>
    <row r="500" spans="1:4" x14ac:dyDescent="0.25">
      <c r="A500" t="s">
        <v>1398</v>
      </c>
      <c r="B500">
        <v>30</v>
      </c>
      <c r="C500" s="56">
        <v>42675</v>
      </c>
      <c r="D500" s="3" t="str">
        <f>YEAR(Datos_Consumo[[#This Row],[FECHA]])&amp;"-"&amp;MONTH(Datos_Consumo[[#This Row],[FECHA]])</f>
        <v>2016-11</v>
      </c>
    </row>
    <row r="501" spans="1:4" x14ac:dyDescent="0.25">
      <c r="A501" t="s">
        <v>1398</v>
      </c>
      <c r="B501">
        <v>20</v>
      </c>
      <c r="C501" s="56">
        <v>42736</v>
      </c>
      <c r="D501" s="3" t="str">
        <f>YEAR(Datos_Consumo[[#This Row],[FECHA]])&amp;"-"&amp;MONTH(Datos_Consumo[[#This Row],[FECHA]])</f>
        <v>2017-1</v>
      </c>
    </row>
    <row r="502" spans="1:4" x14ac:dyDescent="0.25">
      <c r="A502" t="s">
        <v>1661</v>
      </c>
      <c r="B502">
        <v>20</v>
      </c>
      <c r="C502" s="56">
        <v>42675</v>
      </c>
      <c r="D502" s="3" t="str">
        <f>YEAR(Datos_Consumo[[#This Row],[FECHA]])&amp;"-"&amp;MONTH(Datos_Consumo[[#This Row],[FECHA]])</f>
        <v>2016-11</v>
      </c>
    </row>
    <row r="503" spans="1:4" x14ac:dyDescent="0.25">
      <c r="A503" t="s">
        <v>1661</v>
      </c>
      <c r="B503">
        <v>20</v>
      </c>
      <c r="C503" s="56">
        <v>42705</v>
      </c>
      <c r="D503" s="3" t="str">
        <f>YEAR(Datos_Consumo[[#This Row],[FECHA]])&amp;"-"&amp;MONTH(Datos_Consumo[[#This Row],[FECHA]])</f>
        <v>2016-12</v>
      </c>
    </row>
    <row r="504" spans="1:4" x14ac:dyDescent="0.25">
      <c r="A504" t="s">
        <v>1661</v>
      </c>
      <c r="B504">
        <v>20</v>
      </c>
      <c r="C504" s="56">
        <v>42736</v>
      </c>
      <c r="D504" s="3" t="str">
        <f>YEAR(Datos_Consumo[[#This Row],[FECHA]])&amp;"-"&amp;MONTH(Datos_Consumo[[#This Row],[FECHA]])</f>
        <v>2017-1</v>
      </c>
    </row>
    <row r="505" spans="1:4" x14ac:dyDescent="0.25">
      <c r="A505" t="s">
        <v>1662</v>
      </c>
      <c r="B505">
        <v>10</v>
      </c>
      <c r="C505" s="56">
        <v>42705</v>
      </c>
      <c r="D505" s="3" t="str">
        <f>YEAR(Datos_Consumo[[#This Row],[FECHA]])&amp;"-"&amp;MONTH(Datos_Consumo[[#This Row],[FECHA]])</f>
        <v>2016-12</v>
      </c>
    </row>
    <row r="506" spans="1:4" x14ac:dyDescent="0.25">
      <c r="A506" t="s">
        <v>1662</v>
      </c>
      <c r="B506">
        <v>20</v>
      </c>
      <c r="C506" s="56">
        <v>42736</v>
      </c>
      <c r="D506" s="3" t="str">
        <f>YEAR(Datos_Consumo[[#This Row],[FECHA]])&amp;"-"&amp;MONTH(Datos_Consumo[[#This Row],[FECHA]])</f>
        <v>2017-1</v>
      </c>
    </row>
    <row r="507" spans="1:4" x14ac:dyDescent="0.25">
      <c r="A507" t="s">
        <v>1580</v>
      </c>
      <c r="B507">
        <v>2</v>
      </c>
      <c r="C507" s="56">
        <v>42675</v>
      </c>
      <c r="D507" s="3" t="str">
        <f>YEAR(Datos_Consumo[[#This Row],[FECHA]])&amp;"-"&amp;MONTH(Datos_Consumo[[#This Row],[FECHA]])</f>
        <v>2016-11</v>
      </c>
    </row>
    <row r="508" spans="1:4" x14ac:dyDescent="0.25">
      <c r="A508" t="s">
        <v>1580</v>
      </c>
      <c r="B508">
        <v>3</v>
      </c>
      <c r="C508" s="56">
        <v>42705</v>
      </c>
      <c r="D508" s="3" t="str">
        <f>YEAR(Datos_Consumo[[#This Row],[FECHA]])&amp;"-"&amp;MONTH(Datos_Consumo[[#This Row],[FECHA]])</f>
        <v>2016-12</v>
      </c>
    </row>
    <row r="509" spans="1:4" x14ac:dyDescent="0.25">
      <c r="A509" t="s">
        <v>1663</v>
      </c>
      <c r="B509">
        <v>1</v>
      </c>
      <c r="C509" s="56">
        <v>42675</v>
      </c>
      <c r="D509" s="3" t="str">
        <f>YEAR(Datos_Consumo[[#This Row],[FECHA]])&amp;"-"&amp;MONTH(Datos_Consumo[[#This Row],[FECHA]])</f>
        <v>2016-11</v>
      </c>
    </row>
    <row r="510" spans="1:4" x14ac:dyDescent="0.25">
      <c r="A510" t="s">
        <v>1664</v>
      </c>
      <c r="B510">
        <v>2</v>
      </c>
      <c r="C510" s="56">
        <v>42675</v>
      </c>
      <c r="D510" s="3" t="str">
        <f>YEAR(Datos_Consumo[[#This Row],[FECHA]])&amp;"-"&amp;MONTH(Datos_Consumo[[#This Row],[FECHA]])</f>
        <v>2016-11</v>
      </c>
    </row>
    <row r="511" spans="1:4" x14ac:dyDescent="0.25">
      <c r="A511" t="s">
        <v>1665</v>
      </c>
      <c r="B511">
        <v>10</v>
      </c>
      <c r="C511" s="56">
        <v>42736</v>
      </c>
      <c r="D511" s="3" t="str">
        <f>YEAR(Datos_Consumo[[#This Row],[FECHA]])&amp;"-"&amp;MONTH(Datos_Consumo[[#This Row],[FECHA]])</f>
        <v>2017-1</v>
      </c>
    </row>
    <row r="512" spans="1:4" x14ac:dyDescent="0.25">
      <c r="A512" t="s">
        <v>1666</v>
      </c>
      <c r="B512">
        <v>15</v>
      </c>
      <c r="C512" s="56">
        <v>42675</v>
      </c>
      <c r="D512" s="3" t="str">
        <f>YEAR(Datos_Consumo[[#This Row],[FECHA]])&amp;"-"&amp;MONTH(Datos_Consumo[[#This Row],[FECHA]])</f>
        <v>2016-11</v>
      </c>
    </row>
    <row r="513" spans="1:4" x14ac:dyDescent="0.25">
      <c r="A513" t="s">
        <v>1666</v>
      </c>
      <c r="B513">
        <v>59</v>
      </c>
      <c r="C513" s="56">
        <v>42705</v>
      </c>
      <c r="D513" s="3" t="str">
        <f>YEAR(Datos_Consumo[[#This Row],[FECHA]])&amp;"-"&amp;MONTH(Datos_Consumo[[#This Row],[FECHA]])</f>
        <v>2016-12</v>
      </c>
    </row>
    <row r="514" spans="1:4" x14ac:dyDescent="0.25">
      <c r="A514" t="s">
        <v>1666</v>
      </c>
      <c r="B514">
        <v>26</v>
      </c>
      <c r="C514" s="56">
        <v>42736</v>
      </c>
      <c r="D514" s="3" t="str">
        <f>YEAR(Datos_Consumo[[#This Row],[FECHA]])&amp;"-"&amp;MONTH(Datos_Consumo[[#This Row],[FECHA]])</f>
        <v>2017-1</v>
      </c>
    </row>
    <row r="515" spans="1:4" x14ac:dyDescent="0.25">
      <c r="A515" t="s">
        <v>1667</v>
      </c>
      <c r="B515">
        <v>90</v>
      </c>
      <c r="C515" s="56">
        <v>42675</v>
      </c>
      <c r="D515" s="3" t="str">
        <f>YEAR(Datos_Consumo[[#This Row],[FECHA]])&amp;"-"&amp;MONTH(Datos_Consumo[[#This Row],[FECHA]])</f>
        <v>2016-11</v>
      </c>
    </row>
    <row r="516" spans="1:4" x14ac:dyDescent="0.25">
      <c r="A516" t="s">
        <v>1667</v>
      </c>
      <c r="B516">
        <v>83</v>
      </c>
      <c r="C516" s="56">
        <v>42705</v>
      </c>
      <c r="D516" s="3" t="str">
        <f>YEAR(Datos_Consumo[[#This Row],[FECHA]])&amp;"-"&amp;MONTH(Datos_Consumo[[#This Row],[FECHA]])</f>
        <v>2016-12</v>
      </c>
    </row>
    <row r="517" spans="1:4" x14ac:dyDescent="0.25">
      <c r="A517" t="s">
        <v>1667</v>
      </c>
      <c r="B517">
        <v>36</v>
      </c>
      <c r="C517" s="56">
        <v>42736</v>
      </c>
      <c r="D517" s="3" t="str">
        <f>YEAR(Datos_Consumo[[#This Row],[FECHA]])&amp;"-"&amp;MONTH(Datos_Consumo[[#This Row],[FECHA]])</f>
        <v>2017-1</v>
      </c>
    </row>
    <row r="518" spans="1:4" x14ac:dyDescent="0.25">
      <c r="A518" t="s">
        <v>1668</v>
      </c>
      <c r="B518">
        <v>1</v>
      </c>
      <c r="C518" s="56">
        <v>42675</v>
      </c>
      <c r="D518" s="3" t="str">
        <f>YEAR(Datos_Consumo[[#This Row],[FECHA]])&amp;"-"&amp;MONTH(Datos_Consumo[[#This Row],[FECHA]])</f>
        <v>2016-11</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24</vt:i4>
      </vt:variant>
    </vt:vector>
  </HeadingPairs>
  <TitlesOfParts>
    <vt:vector size="41" baseType="lpstr">
      <vt:lpstr>TRANSFERENCIA</vt:lpstr>
      <vt:lpstr>Form</vt:lpstr>
      <vt:lpstr>DUE</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FaltaCausa</vt:lpstr>
      <vt:lpstr>FECHAARRIBO</vt:lpstr>
      <vt:lpstr>FECHACIERRE</vt:lpstr>
      <vt:lpstr>FECHANOMBRE</vt:lpstr>
      <vt:lpstr>FECHAORIGEN</vt:lpstr>
      <vt:lpstr>ImprEmpresa</vt:lpstr>
      <vt:lpstr>ImprFecha</vt:lpstr>
      <vt:lpstr>INI_PERIODO</vt:lpstr>
      <vt:lpstr>INICIO</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Carlos Semanate</cp:lastModifiedBy>
  <cp:lastPrinted>2012-09-10T17:11:01Z</cp:lastPrinted>
  <dcterms:created xsi:type="dcterms:W3CDTF">2010-03-30T06:48:36Z</dcterms:created>
  <dcterms:modified xsi:type="dcterms:W3CDTF">2017-04-04T17:01:33Z</dcterms:modified>
</cp:coreProperties>
</file>