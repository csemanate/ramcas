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1.xml" ContentType="application/vnd.ms-office.activeX+xml"/>
  <Override PartName="/xl/activeX/activeX21.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TRANSFERENCIAS\"/>
    </mc:Choice>
  </mc:AlternateContent>
  <bookViews>
    <workbookView xWindow="240" yWindow="37920" windowWidth="15480" windowHeight="8565"/>
  </bookViews>
  <sheets>
    <sheet name="TRANSFERENCIA" sheetId="1" r:id="rId1"/>
    <sheet name="Form" sheetId="21" state="hidden" r:id="rId2"/>
    <sheet name="DUE" sheetId="19" state="hidden" r:id="rId3"/>
    <sheet name="US" sheetId="17" state="veryHidden" r:id="rId4"/>
    <sheet name="PATH" sheetId="13" state="hidden" r:id="rId5"/>
    <sheet name="DATOS" sheetId="3" state="hidden" r:id="rId6"/>
    <sheet name="REPETIDO" sheetId="4" state="hidden" r:id="rId7"/>
    <sheet name="USER" sheetId="18" state="hidden" r:id="rId8"/>
    <sheet name="CUBICAJE" sheetId="5" state="hidden" r:id="rId9"/>
    <sheet name="RECETAS" sheetId="7" state="hidden" r:id="rId10"/>
    <sheet name="ASIGNACION" sheetId="8" state="hidden" r:id="rId11"/>
    <sheet name="MPyPT" sheetId="9" state="hidden" r:id="rId12"/>
    <sheet name="Causas" sheetId="10" state="hidden" r:id="rId13"/>
    <sheet name="IMPRESION" sheetId="11" state="hidden" r:id="rId14"/>
    <sheet name="CriteriosFiltros" sheetId="12" state="hidden" r:id="rId15"/>
    <sheet name="CONSOLIDADOS" sheetId="15" state="hidden" r:id="rId16"/>
    <sheet name="v_buffer_hist_hoy" sheetId="20" state="hidden" r:id="rId17"/>
    <sheet name="CONSUMO" sheetId="16" state="hidden" r:id="rId18"/>
  </sheets>
  <functionGroups builtInGroupCount="18"/>
  <externalReferences>
    <externalReference r:id="rId19"/>
    <externalReference r:id="rId20"/>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scaItem_Range" localSheetId="0" hidden="1">{21,0,TRUE,3,2.25,21.75}</definedName>
    <definedName name="_cmdCambiarPropiedad_Range" localSheetId="0" hidden="1">{21,106.5,TRUE,3,26.25,51.75}</definedName>
    <definedName name="_cmdCancelar_Range" localSheetId="0" hidden="1">{21,54,TRUE,3,26.25,51.75}</definedName>
    <definedName name="_cmdConfirmar_Range" localSheetId="0" hidden="1">{21,1.5,TRUE,3,26.25,51.75}</definedName>
    <definedName name="_cmdConsumo_Range" localSheetId="0" hidden="1">{21,21,TRUE,1,2.25,21}</definedName>
    <definedName name="_cmdDarDeBaja_Range" localSheetId="0" hidden="1">{21,88.5,TRUE,3,2.25,31.5}</definedName>
    <definedName name="_cmdDescendente_Range" localSheetId="0" hidden="1">{18.75,315,TRUE,3,2.25,13.5}</definedName>
    <definedName name="_cmdFechaArribo_Range" localSheetId="0" hidden="1">{16.5,331.5,TRUE,2,111.75,12.75}</definedName>
    <definedName name="_cmdFechaCierre_Range" localSheetId="0" hidden="1">{16.5,531.75,TRUE,2,50.25,14.25}</definedName>
    <definedName name="_cmdImprimir_Range" localSheetId="0" hidden="1">{21,119.25,TRUE,3,2.25,29.25}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{21,65.25,TRUE,3,2.25,20.25}</definedName>
    <definedName name="_cmdVistas_Range" localSheetId="0" hidden="1">{21,42,TRUE,3,2.25,23.25}</definedName>
    <definedName name="_xlnm._FilterDatabase" localSheetId="0" hidden="1">TRANSFERENCIA!$A$8:$BU$40</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4" hidden="1">PATH!$G$1:$I$2</definedName>
    <definedName name="Consulta_desde_DatosConsolidados" localSheetId="4" hidden="1">PATH!$A$1:$D$2</definedName>
    <definedName name="Consulta_desde_ODBC_MySQL_en_AGROTA" localSheetId="12" hidden="1">Causas!$A$1:$A$4</definedName>
    <definedName name="Consulta_desde_ODBC_RAMCAS1" localSheetId="4" hidden="1">PATH!$K$1:$M$2</definedName>
    <definedName name="Consulta_desde_ODBC_RAMCAS1_1" localSheetId="4" hidden="1">PATH!$Q$1:$R$3</definedName>
    <definedName name="Consulta_desde_ODBC_RAMCAS1_2" localSheetId="4" hidden="1">PATH!$T$1:$W$111</definedName>
    <definedName name="Consulta_desde_REPORTES_en_Access" localSheetId="11" hidden="1">MPyPT!$A$1:$B$745</definedName>
    <definedName name="Consulta_desde_REPORTES_en_Access" localSheetId="9" hidden="1">RECETAS!$A$1:$G$24</definedName>
    <definedName name="DESTINO">TRANSFERENCIA!$B$4</definedName>
    <definedName name="EMPRESA" comment="Rango que se utiliza para llenar el combobox donde se elije en qué empresa se está trabajando." localSheetId="4">[1]!Tabla_EMPRESA[NombreEmpresa]</definedName>
    <definedName name="EMPRESA">DATOS!$A$7</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TABLATRANSFERENCIA[[#Headers],[Columna1]]</definedName>
    <definedName name="INICIO">TABLATRANSFERENCIA[[#Headers],[CODIGO]]</definedName>
    <definedName name="ItemsSeleccionados">[1]!tblItemsSeleccionados[#Data]</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4">OFFSET([0]!INICIO,0,0,COUNTA([2]TRANSFERENCIA!$A:$A)-4,COUNTA([2]TRANSFERENCIA!$8:$8))</definedName>
    <definedName name="TABLA">TRANSFERENCIA!$A$8:$BU$40</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s>
  <calcPr calcId="152511"/>
  <pivotCaches>
    <pivotCache cacheId="2" r:id="rId21"/>
  </pivotCaches>
</workbook>
</file>

<file path=xl/calcChain.xml><?xml version="1.0" encoding="utf-8"?>
<calcChain xmlns="http://schemas.openxmlformats.org/spreadsheetml/2006/main">
  <c r="AX10" i="1" l="1" a="1"/>
  <c r="AX10" i="1" s="1"/>
  <c r="AX11" i="1" a="1"/>
  <c r="AX11" i="1"/>
  <c r="AX12" i="1" a="1"/>
  <c r="AX12" i="1" s="1"/>
  <c r="AX13" i="1" a="1"/>
  <c r="AX13" i="1" s="1"/>
  <c r="AX14" i="1" a="1"/>
  <c r="AX14" i="1" s="1"/>
  <c r="AX15" i="1" a="1"/>
  <c r="AX15" i="1" s="1"/>
  <c r="AX16" i="1" a="1"/>
  <c r="AX16" i="1" s="1"/>
  <c r="AX17" i="1" a="1"/>
  <c r="AX17" i="1" s="1"/>
  <c r="AX18" i="1" a="1"/>
  <c r="AX18" i="1" s="1"/>
  <c r="AX19" i="1" a="1"/>
  <c r="AX19" i="1"/>
  <c r="AX20" i="1" a="1"/>
  <c r="AX20" i="1" s="1"/>
  <c r="AX21" i="1" a="1"/>
  <c r="AX21" i="1" s="1"/>
  <c r="AX22" i="1" a="1"/>
  <c r="AX22" i="1" s="1"/>
  <c r="AX23" i="1" a="1"/>
  <c r="AX23" i="1" s="1"/>
  <c r="AX24" i="1" a="1"/>
  <c r="AX24" i="1" s="1"/>
  <c r="AX25" i="1" a="1"/>
  <c r="AX25" i="1" s="1"/>
  <c r="AX26" i="1" a="1"/>
  <c r="AX26" i="1" s="1"/>
  <c r="AX27" i="1" a="1"/>
  <c r="AX27" i="1"/>
  <c r="AX28" i="1" a="1"/>
  <c r="AX28" i="1" s="1"/>
  <c r="AX29" i="1" a="1"/>
  <c r="AX29" i="1" s="1"/>
  <c r="AX30" i="1" a="1"/>
  <c r="AX30" i="1" s="1"/>
  <c r="AX31" i="1" a="1"/>
  <c r="AX31" i="1" s="1"/>
  <c r="AX32" i="1" a="1"/>
  <c r="AX32" i="1" s="1"/>
  <c r="AX33" i="1" a="1"/>
  <c r="AX33" i="1" s="1"/>
  <c r="AX34" i="1" a="1"/>
  <c r="AX34" i="1" s="1"/>
  <c r="AX35" i="1" a="1"/>
  <c r="AX35" i="1"/>
  <c r="AX36" i="1" a="1"/>
  <c r="AX36" i="1" s="1"/>
  <c r="AX37" i="1" a="1"/>
  <c r="AX37" i="1" s="1"/>
  <c r="AX38" i="1" a="1"/>
  <c r="AX38" i="1" s="1"/>
  <c r="AX39" i="1" a="1"/>
  <c r="AX39" i="1" s="1"/>
  <c r="AX40" i="1" a="1"/>
  <c r="AX40" i="1" s="1"/>
  <c r="AY10" i="1" a="1"/>
  <c r="AY10" i="1" s="1"/>
  <c r="AY11" i="1" a="1"/>
  <c r="AY11" i="1" s="1"/>
  <c r="AY12" i="1" a="1"/>
  <c r="AY12" i="1"/>
  <c r="AY13" i="1" a="1"/>
  <c r="AY13" i="1" s="1"/>
  <c r="AY14" i="1" a="1"/>
  <c r="AY14" i="1" s="1"/>
  <c r="AY15" i="1" a="1"/>
  <c r="AY15" i="1" s="1"/>
  <c r="AY16" i="1" a="1"/>
  <c r="AY16" i="1" s="1"/>
  <c r="AY17" i="1" a="1"/>
  <c r="AY17" i="1" s="1"/>
  <c r="AY18" i="1" a="1"/>
  <c r="AY18" i="1" s="1"/>
  <c r="AY19" i="1" a="1"/>
  <c r="AY19" i="1" s="1"/>
  <c r="AY20" i="1" a="1"/>
  <c r="AY20" i="1"/>
  <c r="AY21" i="1" a="1"/>
  <c r="AY21" i="1" s="1"/>
  <c r="AY22" i="1" a="1"/>
  <c r="AY22" i="1" s="1"/>
  <c r="AY23" i="1" a="1"/>
  <c r="AY23" i="1" s="1"/>
  <c r="AY24" i="1" a="1"/>
  <c r="AY24" i="1" s="1"/>
  <c r="AY25" i="1" a="1"/>
  <c r="AY25" i="1" s="1"/>
  <c r="AY26" i="1" a="1"/>
  <c r="AY26" i="1" s="1"/>
  <c r="AY27" i="1" a="1"/>
  <c r="AY27" i="1" s="1"/>
  <c r="AY28" i="1" a="1"/>
  <c r="AY28" i="1"/>
  <c r="AY29" i="1" a="1"/>
  <c r="AY29" i="1" s="1"/>
  <c r="AY30" i="1" a="1"/>
  <c r="AY30" i="1" s="1"/>
  <c r="AY31" i="1" a="1"/>
  <c r="AY31" i="1" s="1"/>
  <c r="AY32" i="1" a="1"/>
  <c r="AY32" i="1" s="1"/>
  <c r="AY33" i="1" a="1"/>
  <c r="AY33" i="1" s="1"/>
  <c r="AY34" i="1" a="1"/>
  <c r="AY34" i="1" s="1"/>
  <c r="AY35" i="1" a="1"/>
  <c r="AY35" i="1" s="1"/>
  <c r="AY36" i="1" a="1"/>
  <c r="AY36" i="1"/>
  <c r="AY37" i="1" a="1"/>
  <c r="AY37" i="1" s="1"/>
  <c r="AY38" i="1" a="1"/>
  <c r="AY38" i="1"/>
  <c r="AY39" i="1" a="1"/>
  <c r="AY39" i="1" s="1"/>
  <c r="AY40" i="1" a="1"/>
  <c r="AY40" i="1" s="1"/>
  <c r="AZ10" i="1" a="1"/>
  <c r="AZ10" i="1" s="1"/>
  <c r="AZ11" i="1" a="1"/>
  <c r="AZ11" i="1" s="1"/>
  <c r="AZ12" i="1" a="1"/>
  <c r="AZ12" i="1" s="1"/>
  <c r="AZ13" i="1" a="1"/>
  <c r="AZ13" i="1"/>
  <c r="AZ14" i="1" a="1"/>
  <c r="AZ14" i="1" s="1"/>
  <c r="AZ15" i="1" a="1"/>
  <c r="AZ15" i="1"/>
  <c r="AZ16" i="1" a="1"/>
  <c r="AZ16" i="1" s="1"/>
  <c r="AZ17" i="1" a="1"/>
  <c r="AZ17" i="1" s="1"/>
  <c r="AZ18" i="1" a="1"/>
  <c r="AZ18" i="1" s="1"/>
  <c r="AZ19" i="1" a="1"/>
  <c r="AZ19" i="1" s="1"/>
  <c r="AZ20" i="1" a="1"/>
  <c r="AZ20" i="1" s="1"/>
  <c r="AZ21" i="1" a="1"/>
  <c r="AZ21" i="1"/>
  <c r="AZ22" i="1" a="1"/>
  <c r="AZ22" i="1" s="1"/>
  <c r="AZ23" i="1" a="1"/>
  <c r="AZ23" i="1"/>
  <c r="AZ24" i="1" a="1"/>
  <c r="AZ24" i="1" s="1"/>
  <c r="AZ25" i="1" a="1"/>
  <c r="AZ25" i="1" s="1"/>
  <c r="AZ26" i="1" a="1"/>
  <c r="AZ26" i="1" s="1"/>
  <c r="AZ27" i="1" a="1"/>
  <c r="AZ27" i="1" s="1"/>
  <c r="AZ28" i="1" a="1"/>
  <c r="AZ28" i="1" s="1"/>
  <c r="AZ29" i="1" a="1"/>
  <c r="AZ29" i="1"/>
  <c r="AZ30" i="1" a="1"/>
  <c r="AZ30" i="1" s="1"/>
  <c r="AZ31" i="1" a="1"/>
  <c r="AZ31" i="1"/>
  <c r="AZ32" i="1" a="1"/>
  <c r="AZ32" i="1" s="1"/>
  <c r="AZ33" i="1" a="1"/>
  <c r="AZ33" i="1" s="1"/>
  <c r="AZ34" i="1" a="1"/>
  <c r="AZ34" i="1" s="1"/>
  <c r="AZ35" i="1" a="1"/>
  <c r="AZ35" i="1" s="1"/>
  <c r="AZ36" i="1" a="1"/>
  <c r="AZ36" i="1" s="1"/>
  <c r="AZ37" i="1" a="1"/>
  <c r="AZ37" i="1"/>
  <c r="AZ38" i="1" a="1"/>
  <c r="AZ38" i="1" s="1"/>
  <c r="AZ39" i="1" a="1"/>
  <c r="AZ39" i="1"/>
  <c r="AZ40" i="1" a="1"/>
  <c r="AZ40" i="1" s="1"/>
  <c r="BA10" i="1" a="1"/>
  <c r="BA10" i="1" s="1"/>
  <c r="BA11" i="1" a="1"/>
  <c r="BA11" i="1" s="1"/>
  <c r="BA12" i="1" a="1"/>
  <c r="BA12" i="1" s="1"/>
  <c r="BA13" i="1" a="1"/>
  <c r="BA13" i="1" s="1"/>
  <c r="BA14" i="1" a="1"/>
  <c r="BA14" i="1"/>
  <c r="BA15" i="1" a="1"/>
  <c r="BA15" i="1" s="1"/>
  <c r="BA16" i="1" a="1"/>
  <c r="BA16" i="1"/>
  <c r="BA17" i="1" a="1"/>
  <c r="BA17" i="1" s="1"/>
  <c r="BA18" i="1" a="1"/>
  <c r="BA18" i="1" s="1"/>
  <c r="BA19" i="1" a="1"/>
  <c r="BA19" i="1" s="1"/>
  <c r="BA20" i="1" a="1"/>
  <c r="BA20" i="1" s="1"/>
  <c r="BA21" i="1" a="1"/>
  <c r="BA21" i="1" s="1"/>
  <c r="BA22" i="1" a="1"/>
  <c r="BA22" i="1"/>
  <c r="BA23" i="1" a="1"/>
  <c r="BA23" i="1" s="1"/>
  <c r="BA24" i="1" a="1"/>
  <c r="BA24" i="1"/>
  <c r="BA25" i="1" a="1"/>
  <c r="BA25" i="1" s="1"/>
  <c r="BA26" i="1" a="1"/>
  <c r="BA26" i="1" s="1"/>
  <c r="BA27" i="1" a="1"/>
  <c r="BA27" i="1" s="1"/>
  <c r="BA28" i="1" a="1"/>
  <c r="BA28" i="1" s="1"/>
  <c r="BA29" i="1" a="1"/>
  <c r="BA29" i="1" s="1"/>
  <c r="BA30" i="1" a="1"/>
  <c r="BA30" i="1"/>
  <c r="BA31" i="1" a="1"/>
  <c r="BA31" i="1" s="1"/>
  <c r="BA32" i="1" a="1"/>
  <c r="BA32" i="1"/>
  <c r="BA33" i="1" a="1"/>
  <c r="BA33" i="1" s="1"/>
  <c r="BA34" i="1" a="1"/>
  <c r="BA34" i="1" s="1"/>
  <c r="BA35" i="1" a="1"/>
  <c r="BA35" i="1" s="1"/>
  <c r="BA36" i="1" a="1"/>
  <c r="BA36" i="1" s="1"/>
  <c r="BA37" i="1" a="1"/>
  <c r="BA37" i="1" s="1"/>
  <c r="BA38" i="1" a="1"/>
  <c r="BA38" i="1"/>
  <c r="BA39" i="1" a="1"/>
  <c r="BA39" i="1" s="1"/>
  <c r="BA40" i="1" a="1"/>
  <c r="BA40" i="1"/>
  <c r="BB10" i="1" a="1"/>
  <c r="BB10" i="1" s="1"/>
  <c r="BB11" i="1" a="1"/>
  <c r="BB11" i="1" s="1"/>
  <c r="BB12" i="1" a="1"/>
  <c r="BB12" i="1" s="1"/>
  <c r="BB13" i="1" a="1"/>
  <c r="BB13" i="1" s="1"/>
  <c r="BB14" i="1" a="1"/>
  <c r="BB14" i="1" s="1"/>
  <c r="BB15" i="1" a="1"/>
  <c r="BB15" i="1"/>
  <c r="BB16" i="1" a="1"/>
  <c r="BB16" i="1" s="1"/>
  <c r="BB17" i="1" a="1"/>
  <c r="BB17" i="1"/>
  <c r="BB18" i="1" a="1"/>
  <c r="BB18" i="1" s="1"/>
  <c r="BB19" i="1" a="1"/>
  <c r="BB19" i="1" s="1"/>
  <c r="BB20" i="1" a="1"/>
  <c r="BB20" i="1" s="1"/>
  <c r="BB21" i="1" a="1"/>
  <c r="BB21" i="1" s="1"/>
  <c r="BB22" i="1" a="1"/>
  <c r="BB22" i="1" s="1"/>
  <c r="BB23" i="1" a="1"/>
  <c r="BB23" i="1"/>
  <c r="BB24" i="1" a="1"/>
  <c r="BB24" i="1" s="1"/>
  <c r="BB25" i="1" a="1"/>
  <c r="BB25" i="1"/>
  <c r="BB26" i="1" a="1"/>
  <c r="BB26" i="1" s="1"/>
  <c r="BB27" i="1" a="1"/>
  <c r="BB27" i="1" s="1"/>
  <c r="BB28" i="1" a="1"/>
  <c r="BB28" i="1" s="1"/>
  <c r="BB29" i="1" a="1"/>
  <c r="BB29" i="1" s="1"/>
  <c r="BB30" i="1" a="1"/>
  <c r="BB30" i="1" s="1"/>
  <c r="BB31" i="1" a="1"/>
  <c r="BB31" i="1"/>
  <c r="BB32" i="1" a="1"/>
  <c r="BB32" i="1" s="1"/>
  <c r="BB33" i="1" a="1"/>
  <c r="BB33" i="1"/>
  <c r="BB34" i="1" a="1"/>
  <c r="BB34" i="1" s="1"/>
  <c r="BB35" i="1" a="1"/>
  <c r="BB35" i="1" s="1"/>
  <c r="BB36" i="1" a="1"/>
  <c r="BB36" i="1" s="1"/>
  <c r="BB37" i="1" a="1"/>
  <c r="BB37" i="1" s="1"/>
  <c r="BB38" i="1" a="1"/>
  <c r="BB38" i="1" s="1"/>
  <c r="BB39" i="1" a="1"/>
  <c r="BB39" i="1"/>
  <c r="BB40" i="1" a="1"/>
  <c r="BB40" i="1" s="1"/>
  <c r="BC10" i="1" a="1"/>
  <c r="BC10" i="1"/>
  <c r="BC11" i="1" a="1"/>
  <c r="BC11" i="1" s="1"/>
  <c r="BC12" i="1" a="1"/>
  <c r="BC12" i="1" s="1"/>
  <c r="BC13" i="1" a="1"/>
  <c r="BC13" i="1" s="1"/>
  <c r="BC14" i="1" a="1"/>
  <c r="BC14" i="1" s="1"/>
  <c r="BC15" i="1" a="1"/>
  <c r="BC15" i="1" s="1"/>
  <c r="BC16" i="1" a="1"/>
  <c r="BC16" i="1"/>
  <c r="BC17" i="1" a="1"/>
  <c r="BC17" i="1" s="1"/>
  <c r="BC18" i="1" a="1"/>
  <c r="BC18" i="1"/>
  <c r="BC19" i="1" a="1"/>
  <c r="BC19" i="1" s="1"/>
  <c r="BC20" i="1" a="1"/>
  <c r="BC20" i="1" s="1"/>
  <c r="BC21" i="1" a="1"/>
  <c r="BC21" i="1" s="1"/>
  <c r="BC22" i="1" a="1"/>
  <c r="BC22" i="1" s="1"/>
  <c r="BC23" i="1" a="1"/>
  <c r="BC23" i="1" s="1"/>
  <c r="BC24" i="1" a="1"/>
  <c r="BC24" i="1"/>
  <c r="BC25" i="1" a="1"/>
  <c r="BC25" i="1" s="1"/>
  <c r="BC26" i="1" a="1"/>
  <c r="BC26" i="1"/>
  <c r="BC27" i="1" a="1"/>
  <c r="BC27" i="1" s="1"/>
  <c r="BC28" i="1" a="1"/>
  <c r="BC28" i="1"/>
  <c r="BC29" i="1" a="1"/>
  <c r="BC29" i="1" s="1"/>
  <c r="BC30" i="1" a="1"/>
  <c r="BC30" i="1"/>
  <c r="BC31" i="1" a="1"/>
  <c r="BC31" i="1" s="1"/>
  <c r="BC32" i="1" a="1"/>
  <c r="BC32" i="1"/>
  <c r="BC33" i="1" a="1"/>
  <c r="BC33" i="1" s="1"/>
  <c r="BC34" i="1" a="1"/>
  <c r="BC34" i="1"/>
  <c r="BC35" i="1" a="1"/>
  <c r="BC35" i="1" s="1"/>
  <c r="BC36" i="1" a="1"/>
  <c r="BC36" i="1"/>
  <c r="BC37" i="1" a="1"/>
  <c r="BC37" i="1" s="1"/>
  <c r="BC38" i="1" a="1"/>
  <c r="BC38" i="1"/>
  <c r="BC39" i="1" a="1"/>
  <c r="BC39" i="1" s="1"/>
  <c r="BC40" i="1" a="1"/>
  <c r="BC40" i="1"/>
  <c r="BH10" i="1"/>
  <c r="BH11" i="1"/>
  <c r="BH12" i="1"/>
  <c r="BH13" i="1"/>
  <c r="BH14" i="1"/>
  <c r="BH15" i="1"/>
  <c r="BH16" i="1"/>
  <c r="BH17" i="1"/>
  <c r="BH18" i="1"/>
  <c r="BH19" i="1"/>
  <c r="BH20" i="1"/>
  <c r="BH21" i="1"/>
  <c r="BH22" i="1"/>
  <c r="BH23" i="1"/>
  <c r="BH24" i="1"/>
  <c r="BH25" i="1"/>
  <c r="BH26" i="1"/>
  <c r="BH27" i="1"/>
  <c r="BH28" i="1"/>
  <c r="BH29" i="1"/>
  <c r="BH30" i="1"/>
  <c r="BH31" i="1"/>
  <c r="BH32" i="1"/>
  <c r="BH33" i="1"/>
  <c r="BH34" i="1"/>
  <c r="BH35" i="1"/>
  <c r="BH36" i="1"/>
  <c r="BH37" i="1"/>
  <c r="BH38" i="1"/>
  <c r="BH39" i="1"/>
  <c r="BH40" i="1"/>
  <c r="BI10" i="1"/>
  <c r="BI11" i="1"/>
  <c r="BI12" i="1"/>
  <c r="BI13" i="1"/>
  <c r="BI14" i="1"/>
  <c r="BI15" i="1"/>
  <c r="BI16" i="1"/>
  <c r="BI17" i="1"/>
  <c r="BI18" i="1"/>
  <c r="BI19" i="1"/>
  <c r="BI20" i="1"/>
  <c r="BI21" i="1"/>
  <c r="BI22" i="1"/>
  <c r="BI23" i="1"/>
  <c r="BI24" i="1"/>
  <c r="BI25" i="1"/>
  <c r="BI26" i="1"/>
  <c r="BI27" i="1"/>
  <c r="BI28" i="1"/>
  <c r="BI29" i="1"/>
  <c r="BI30" i="1"/>
  <c r="BI31" i="1"/>
  <c r="BI32" i="1"/>
  <c r="BI33" i="1"/>
  <c r="BI34" i="1"/>
  <c r="BI35" i="1"/>
  <c r="BI36" i="1"/>
  <c r="BI37" i="1"/>
  <c r="BI38" i="1"/>
  <c r="BI39" i="1"/>
  <c r="BI40" i="1"/>
  <c r="BJ10" i="1"/>
  <c r="BJ11" i="1"/>
  <c r="BJ12" i="1"/>
  <c r="BJ13" i="1"/>
  <c r="BJ14" i="1"/>
  <c r="BJ15" i="1"/>
  <c r="BJ16" i="1"/>
  <c r="BJ17" i="1"/>
  <c r="BJ18" i="1"/>
  <c r="BJ19" i="1"/>
  <c r="BJ20" i="1"/>
  <c r="BJ21" i="1"/>
  <c r="BJ22" i="1"/>
  <c r="BJ23" i="1"/>
  <c r="BJ24" i="1"/>
  <c r="BJ25" i="1"/>
  <c r="BJ26" i="1"/>
  <c r="BJ27" i="1"/>
  <c r="BJ28" i="1"/>
  <c r="BJ29" i="1"/>
  <c r="BJ30" i="1"/>
  <c r="BJ31" i="1"/>
  <c r="BJ32" i="1"/>
  <c r="BJ33" i="1"/>
  <c r="BJ34" i="1"/>
  <c r="BJ35" i="1"/>
  <c r="BJ36" i="1"/>
  <c r="BJ37" i="1"/>
  <c r="BJ38" i="1"/>
  <c r="BJ39" i="1"/>
  <c r="BJ40"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L10" i="1"/>
  <c r="BL11" i="1"/>
  <c r="BL12" i="1"/>
  <c r="BL13" i="1"/>
  <c r="BL14" i="1"/>
  <c r="BL15" i="1"/>
  <c r="BL16" i="1"/>
  <c r="BL17" i="1"/>
  <c r="BL18" i="1"/>
  <c r="BL19" i="1"/>
  <c r="BL20" i="1"/>
  <c r="BL21" i="1"/>
  <c r="BL22" i="1"/>
  <c r="BL23" i="1"/>
  <c r="BL24" i="1"/>
  <c r="BL25" i="1"/>
  <c r="BL26" i="1"/>
  <c r="BL27" i="1"/>
  <c r="BL28" i="1"/>
  <c r="BL29" i="1"/>
  <c r="BL30" i="1"/>
  <c r="BL31" i="1"/>
  <c r="BL32" i="1"/>
  <c r="BL33" i="1"/>
  <c r="BL34" i="1"/>
  <c r="BL35" i="1"/>
  <c r="BL36" i="1"/>
  <c r="BL37" i="1"/>
  <c r="BL38" i="1"/>
  <c r="BL39" i="1"/>
  <c r="BL40" i="1"/>
  <c r="BQ10" i="1"/>
  <c r="BQ11" i="1"/>
  <c r="BQ12" i="1"/>
  <c r="BQ13" i="1"/>
  <c r="BQ14" i="1"/>
  <c r="BQ15" i="1"/>
  <c r="BQ16" i="1"/>
  <c r="BQ17" i="1"/>
  <c r="BQ18" i="1"/>
  <c r="BQ19" i="1"/>
  <c r="BQ20" i="1"/>
  <c r="BQ21" i="1"/>
  <c r="BQ22" i="1"/>
  <c r="BQ23" i="1"/>
  <c r="BQ24" i="1"/>
  <c r="BQ25" i="1"/>
  <c r="BQ26" i="1"/>
  <c r="BQ27" i="1"/>
  <c r="BQ28" i="1"/>
  <c r="BQ29" i="1"/>
  <c r="BQ30" i="1"/>
  <c r="BQ31" i="1"/>
  <c r="BQ32" i="1"/>
  <c r="BQ33" i="1"/>
  <c r="BQ34" i="1"/>
  <c r="BQ35" i="1"/>
  <c r="BQ36" i="1"/>
  <c r="BQ37" i="1"/>
  <c r="BQ38" i="1"/>
  <c r="BQ39" i="1"/>
  <c r="BQ40" i="1"/>
  <c r="BT10" i="1"/>
  <c r="BT11" i="1"/>
  <c r="BT12" i="1"/>
  <c r="BT13" i="1"/>
  <c r="BT14" i="1"/>
  <c r="BT15" i="1"/>
  <c r="BT16" i="1"/>
  <c r="BT17" i="1"/>
  <c r="BT18" i="1"/>
  <c r="BT19" i="1"/>
  <c r="BT20" i="1"/>
  <c r="BT21" i="1"/>
  <c r="BT22" i="1"/>
  <c r="BT23" i="1"/>
  <c r="BT24" i="1"/>
  <c r="BT25" i="1"/>
  <c r="BT26" i="1"/>
  <c r="BT27" i="1"/>
  <c r="BT28" i="1"/>
  <c r="BT29" i="1"/>
  <c r="BT30" i="1"/>
  <c r="BT31" i="1"/>
  <c r="BT32" i="1"/>
  <c r="BT33" i="1"/>
  <c r="BT34" i="1"/>
  <c r="BT35" i="1"/>
  <c r="BT36" i="1"/>
  <c r="BT37" i="1"/>
  <c r="BT38" i="1"/>
  <c r="BT39" i="1"/>
  <c r="BT40" i="1"/>
  <c r="BT9" i="1"/>
  <c r="AX9" i="1" a="1"/>
  <c r="AX9" i="1"/>
  <c r="AY9" i="1" a="1"/>
  <c r="AY9" i="1" s="1"/>
  <c r="AZ9" i="1" a="1"/>
  <c r="AZ9" i="1"/>
  <c r="BA9" i="1" a="1"/>
  <c r="BA9" i="1" s="1"/>
  <c r="BB9" i="1" a="1"/>
  <c r="BB9" i="1"/>
  <c r="BC9" i="1" a="1"/>
  <c r="BC9" i="1" s="1"/>
  <c r="BH9" i="1"/>
  <c r="BI9" i="1"/>
  <c r="BJ9" i="1"/>
  <c r="BK9" i="1"/>
  <c r="BL9" i="1"/>
  <c r="BQ9" i="1"/>
  <c r="BV9" i="1" l="1"/>
  <c r="BV10" i="1"/>
  <c r="BV11" i="1"/>
  <c r="BV12" i="1"/>
  <c r="BU9" i="1" a="1"/>
  <c r="BU9" i="1" s="1"/>
  <c r="BN9" i="1"/>
  <c r="BU10" i="1" a="1"/>
  <c r="BU10" i="1" s="1"/>
  <c r="BN10" i="1"/>
  <c r="BU11" i="1" a="1"/>
  <c r="BU11" i="1" s="1"/>
  <c r="BN11" i="1"/>
  <c r="BU12" i="1" a="1"/>
  <c r="BU12" i="1" s="1"/>
  <c r="BN12" i="1"/>
  <c r="BU13" i="1" a="1"/>
  <c r="BU13" i="1" s="1"/>
  <c r="BV13" i="1"/>
  <c r="BV14" i="1"/>
  <c r="BV15" i="1"/>
  <c r="BV16" i="1"/>
  <c r="BV17" i="1"/>
  <c r="BV18" i="1"/>
  <c r="BV19" i="1"/>
  <c r="BV20" i="1"/>
  <c r="BV21" i="1"/>
  <c r="BV22" i="1"/>
  <c r="BV23" i="1"/>
  <c r="BN13" i="1"/>
  <c r="BU14" i="1" a="1"/>
  <c r="BU14" i="1" s="1"/>
  <c r="BN14" i="1"/>
  <c r="BU15" i="1" a="1"/>
  <c r="BU15" i="1" s="1"/>
  <c r="BN15" i="1"/>
  <c r="BU16" i="1" a="1"/>
  <c r="BU16" i="1" s="1"/>
  <c r="BN16" i="1"/>
  <c r="BU17" i="1" a="1"/>
  <c r="BU17" i="1" s="1"/>
  <c r="BN17" i="1"/>
  <c r="BU18" i="1" a="1"/>
  <c r="BU18" i="1" s="1"/>
  <c r="BN18" i="1"/>
  <c r="BU19" i="1" a="1"/>
  <c r="BU19" i="1" s="1"/>
  <c r="BN19" i="1"/>
  <c r="BU20" i="1" a="1"/>
  <c r="BU20" i="1" s="1"/>
  <c r="BN20" i="1"/>
  <c r="BU21" i="1" a="1"/>
  <c r="BU21" i="1" s="1"/>
  <c r="BN21" i="1"/>
  <c r="BU22" i="1" a="1"/>
  <c r="BU22" i="1" s="1"/>
  <c r="BN22" i="1"/>
  <c r="BU23" i="1" a="1"/>
  <c r="BU23" i="1" s="1"/>
  <c r="BN23" i="1"/>
  <c r="BU24" i="1" a="1"/>
  <c r="BU24" i="1" s="1"/>
  <c r="BV24" i="1"/>
  <c r="BV25" i="1"/>
  <c r="BV26" i="1"/>
  <c r="BV27" i="1"/>
  <c r="BV28" i="1"/>
  <c r="BV29" i="1"/>
  <c r="BV30" i="1"/>
  <c r="BV31" i="1"/>
  <c r="BN24" i="1"/>
  <c r="BU25" i="1" a="1"/>
  <c r="BU25" i="1" s="1"/>
  <c r="BN25" i="1"/>
  <c r="BU26" i="1" a="1"/>
  <c r="BU26" i="1" s="1"/>
  <c r="BN26" i="1"/>
  <c r="BU27" i="1" a="1"/>
  <c r="BU27" i="1" s="1"/>
  <c r="BN27" i="1"/>
  <c r="BU28" i="1" a="1"/>
  <c r="BU28" i="1" s="1"/>
  <c r="BN28" i="1"/>
  <c r="BU29" i="1" a="1"/>
  <c r="BU29" i="1" s="1"/>
  <c r="BN29" i="1"/>
  <c r="BU30" i="1" a="1"/>
  <c r="BU30" i="1" s="1"/>
  <c r="BN30" i="1"/>
  <c r="BU31" i="1" a="1"/>
  <c r="BU31" i="1" s="1"/>
  <c r="BV33" i="1"/>
  <c r="BV34" i="1"/>
  <c r="BV35" i="1"/>
  <c r="BV36" i="1"/>
  <c r="BV37" i="1"/>
  <c r="BV38" i="1"/>
  <c r="BV39" i="1"/>
  <c r="BV40" i="1"/>
  <c r="BV32" i="1"/>
  <c r="BN31" i="1"/>
  <c r="BU32" i="1" a="1"/>
  <c r="BU32" i="1" s="1"/>
  <c r="BN32" i="1"/>
  <c r="BU33" i="1" a="1"/>
  <c r="BU33" i="1" s="1"/>
  <c r="BN33" i="1"/>
  <c r="BU34" i="1" a="1"/>
  <c r="BU34" i="1" s="1"/>
  <c r="BN34" i="1"/>
  <c r="BU35" i="1" a="1"/>
  <c r="BU35" i="1" s="1"/>
  <c r="BN35" i="1"/>
  <c r="BU36" i="1" a="1"/>
  <c r="BU36" i="1" s="1"/>
  <c r="BN36" i="1"/>
  <c r="BU37" i="1" a="1"/>
  <c r="BU37" i="1" s="1"/>
  <c r="BN37" i="1"/>
  <c r="BU38" i="1" a="1"/>
  <c r="BU38" i="1" s="1"/>
  <c r="BN38" i="1"/>
  <c r="BU39" i="1" a="1"/>
  <c r="BU39" i="1" s="1"/>
  <c r="BN39" i="1"/>
  <c r="BU40" i="1" a="1"/>
  <c r="BU40" i="1" s="1"/>
  <c r="BN40" i="1"/>
  <c r="BS2" i="21"/>
  <c r="BP2" i="21"/>
  <c r="BK2" i="21"/>
  <c r="BJ2" i="21"/>
  <c r="BI2" i="21"/>
  <c r="BH2" i="21"/>
  <c r="BG2" i="21"/>
  <c r="BC2" i="21" a="1"/>
  <c r="BC2" i="21" s="1"/>
  <c r="BB2" i="21" a="1"/>
  <c r="BB2" i="21" s="1"/>
  <c r="BA2" i="21" a="1"/>
  <c r="BA2" i="21" s="1"/>
  <c r="AZ2" i="21" a="1"/>
  <c r="AZ2" i="21" s="1"/>
  <c r="AY2" i="21" a="1"/>
  <c r="AY2" i="21" s="1"/>
  <c r="AX2" i="21" a="1"/>
  <c r="AX2" i="21" s="1"/>
  <c r="BV2" i="21"/>
  <c r="BW2" i="21"/>
  <c r="AH2" i="21"/>
  <c r="O2" i="21"/>
  <c r="AR2" i="21"/>
  <c r="AL2" i="21"/>
  <c r="M2" i="21"/>
  <c r="AP2" i="21"/>
  <c r="AN2" i="21"/>
  <c r="K2" i="21"/>
  <c r="AE2" i="21"/>
  <c r="S2" i="21"/>
  <c r="AK2" i="21"/>
  <c r="AT2" i="21"/>
  <c r="AW2" i="21"/>
  <c r="G2" i="21"/>
  <c r="AV2" i="21"/>
  <c r="E2" i="21"/>
  <c r="H2" i="21"/>
  <c r="U2" i="21"/>
  <c r="I2" i="21"/>
  <c r="AA2" i="21"/>
  <c r="Y2" i="21"/>
  <c r="X2" i="21"/>
  <c r="C2" i="21"/>
  <c r="AS2" i="21"/>
  <c r="AC2" i="21"/>
  <c r="W2" i="21"/>
  <c r="P2" i="21"/>
  <c r="F2" i="21"/>
  <c r="AB2" i="21"/>
  <c r="AU2" i="21"/>
  <c r="AJ2" i="21"/>
  <c r="J2" i="21"/>
  <c r="AM2" i="21"/>
  <c r="AF2" i="21"/>
  <c r="V2" i="21"/>
  <c r="D2" i="21"/>
  <c r="L2" i="21"/>
  <c r="Q2" i="21"/>
  <c r="AO2" i="21"/>
  <c r="B2" i="21"/>
  <c r="AD2" i="21"/>
  <c r="T2" i="21"/>
  <c r="Z2" i="21"/>
  <c r="AG2" i="21"/>
  <c r="AQ2" i="21"/>
  <c r="AI2" i="21"/>
  <c r="R2" i="21"/>
  <c r="N2" i="21"/>
  <c r="BU2" i="21" l="1"/>
  <c r="BT2" i="21" a="1"/>
  <c r="BT2" i="21" s="1"/>
  <c r="BM2" i="21"/>
  <c r="B3" i="12"/>
  <c r="A2" i="12"/>
  <c r="B3" i="11" l="1"/>
  <c r="B2" i="1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alcChain>
</file>

<file path=xl/comments1.xml><?xml version="1.0" encoding="utf-8"?>
<comments xmlns="http://schemas.openxmlformats.org/spreadsheetml/2006/main">
  <authors>
    <author>CAS</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RAMCAS:</t>
        </r>
        <r>
          <rPr>
            <sz val="9"/>
            <color indexed="81"/>
            <rFont val="Tahoma"/>
            <family val="2"/>
          </rPr>
          <t xml:space="preserve">
Identificación opcional de la Orden de Compra (PO) a la cual pertenece el ítem.</t>
        </r>
      </text>
    </comment>
    <comment ref="BG8" authorId="0" shapeId="0">
      <text>
        <r>
          <rPr>
            <b/>
            <sz val="9"/>
            <color indexed="81"/>
            <rFont val="Tahoma"/>
            <family val="2"/>
          </rPr>
          <t>CAS:</t>
        </r>
        <r>
          <rPr>
            <sz val="9"/>
            <color indexed="81"/>
            <rFont val="Tahoma"/>
            <family val="2"/>
          </rPr>
          <t xml:space="preserve">
Número de embarques en los cuales se va a dividir el REQUERIM.</t>
        </r>
      </text>
    </comment>
    <comment ref="BO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P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R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S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<sst xmlns="http://schemas.openxmlformats.org/spreadsheetml/2006/main" count="4264" uniqueCount="1416">
  <si>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</si>
  <si>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</si>
  <si>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</si>
  <si>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</si>
  <si>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</si>
  <si>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</si>
  <si>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</si>
  <si>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</si>
  <si>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</si>
  <si>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</si>
  <si>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</si>
  <si>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</si>
  <si>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</si>
  <si>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</si>
  <si>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</si>
  <si>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</si>
  <si>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</si>
  <si>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</si>
  <si>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</si>
  <si>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</si>
  <si>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</si>
  <si>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</si>
  <si>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</si>
  <si>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</si>
  <si>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</si>
  <si>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</si>
  <si>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</si>
  <si>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</si>
  <si>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</si>
  <si>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</si>
  <si>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</si>
  <si>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</si>
  <si>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</si>
  <si>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</si>
  <si>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</si>
  <si>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</si>
  <si>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</si>
  <si>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</si>
  <si>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</si>
  <si>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</si>
  <si>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</si>
  <si>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</si>
  <si>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</si>
  <si>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</si>
  <si>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</si>
  <si>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</si>
  <si>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</si>
  <si>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</si>
  <si>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</si>
  <si>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</si>
  <si>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</si>
  <si>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</si>
  <si>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</si>
  <si>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</si>
  <si>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</si>
  <si>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</si>
  <si>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</si>
  <si>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</si>
  <si>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</si>
  <si>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</si>
  <si>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</si>
  <si>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</si>
  <si>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</si>
  <si>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</si>
  <si>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</si>
  <si>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</si>
  <si>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</si>
  <si>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</si>
  <si>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</si>
  <si>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</si>
  <si>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</si>
  <si>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</si>
  <si>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</si>
  <si>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</si>
  <si>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</si>
  <si>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</si>
  <si>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</si>
  <si>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</si>
  <si>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</si>
  <si>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</si>
  <si>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</si>
  <si>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</si>
  <si>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</si>
  <si>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</si>
  <si>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</si>
  <si>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</si>
  <si>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</si>
  <si>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</si>
  <si>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</si>
  <si>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</si>
  <si>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</si>
  <si>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</si>
  <si>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</si>
  <si>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</si>
  <si>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</si>
  <si>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</si>
  <si>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</si>
  <si>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</si>
  <si>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</si>
  <si>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</si>
  <si>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</si>
  <si>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</si>
  <si>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</si>
  <si>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</si>
  <si>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</si>
  <si>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</si>
  <si>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</si>
  <si>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</si>
  <si>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</si>
  <si>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</si>
  <si>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</si>
  <si>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</si>
  <si>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</si>
  <si>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</si>
  <si>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</si>
  <si>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</si>
  <si>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</si>
  <si>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</si>
  <si>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</si>
  <si>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</si>
  <si>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</si>
  <si>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</si>
  <si>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</si>
  <si>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</si>
  <si>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</si>
  <si>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</si>
  <si>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</si>
  <si>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</si>
  <si>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</si>
  <si>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</si>
  <si>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</si>
  <si>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</si>
  <si>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</si>
  <si>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</si>
  <si>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</si>
  <si>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</si>
  <si>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</si>
  <si>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</si>
  <si>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</si>
  <si>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</si>
  <si>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</si>
  <si>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</si>
  <si>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</si>
  <si>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</si>
  <si>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</si>
  <si>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</si>
  <si>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</si>
  <si>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</si>
  <si>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</si>
  <si>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</si>
  <si>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</si>
  <si>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</si>
  <si>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</si>
  <si>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</si>
  <si>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</si>
  <si>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</si>
  <si>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</si>
  <si>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</si>
  <si>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</si>
  <si>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</si>
  <si>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</si>
  <si>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</si>
  <si>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</si>
  <si>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</si>
  <si>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</si>
  <si>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</si>
  <si>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</si>
  <si>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</si>
  <si>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</si>
  <si>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</si>
  <si>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</si>
  <si>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</si>
  <si>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</si>
  <si>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</si>
  <si>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</si>
  <si>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</si>
  <si>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</si>
  <si>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</si>
  <si>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</si>
  <si>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</si>
  <si>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</si>
  <si>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</si>
  <si>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</si>
  <si>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</si>
  <si>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</si>
  <si>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</si>
  <si>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</si>
  <si>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</si>
  <si>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</si>
  <si>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</si>
  <si>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</si>
  <si>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</si>
  <si>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</si>
  <si>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</si>
  <si>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</si>
  <si>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</si>
  <si>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</si>
  <si>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</si>
  <si>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</si>
  <si>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</si>
  <si>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</si>
  <si>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</si>
  <si>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</si>
  <si>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</si>
  <si>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</si>
  <si>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</si>
  <si>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</si>
  <si>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</si>
  <si>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</si>
  <si>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</si>
  <si>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</si>
  <si>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</si>
  <si>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</si>
  <si>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</si>
  <si>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</si>
  <si>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</si>
  <si>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</si>
  <si>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</si>
  <si>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</si>
  <si>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</si>
  <si>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</si>
  <si>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</si>
  <si>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</si>
  <si>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</si>
  <si>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</si>
  <si>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</si>
  <si>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</si>
  <si>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</si>
  <si>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</si>
  <si>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</si>
  <si>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</si>
  <si>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</si>
  <si>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</si>
  <si>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</si>
  <si>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</si>
  <si>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</si>
  <si>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</si>
  <si>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</si>
  <si>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</si>
  <si>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</si>
  <si>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</si>
  <si>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</si>
  <si>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</si>
  <si>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</si>
  <si>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</si>
  <si>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</si>
  <si>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</si>
  <si>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</si>
  <si>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</si>
  <si>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</si>
  <si>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</si>
  <si>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</si>
  <si>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</si>
  <si>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</si>
  <si>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</si>
  <si>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</si>
  <si>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</si>
  <si>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</si>
  <si>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</si>
  <si>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</si>
  <si>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</si>
  <si>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</si>
  <si>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</si>
  <si>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</si>
  <si>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</si>
  <si>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</si>
  <si>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</si>
  <si>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</si>
  <si>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</si>
  <si>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</si>
  <si>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</si>
  <si>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</si>
  <si>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</si>
  <si>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</si>
  <si>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</si>
  <si>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</si>
  <si>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</si>
  <si>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</si>
  <si>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</si>
  <si>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</si>
  <si>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</si>
  <si>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</si>
  <si>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</si>
  <si>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</si>
  <si>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</si>
  <si>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</si>
  <si>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</si>
  <si>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</si>
  <si>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</si>
  <si>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</si>
  <si>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</si>
  <si>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</si>
  <si>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</si>
  <si>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</si>
  <si>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</si>
  <si>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</si>
  <si>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</si>
  <si>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</si>
  <si>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</si>
  <si>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</si>
  <si>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</si>
  <si>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</si>
  <si>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</si>
  <si>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</si>
  <si>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</si>
  <si>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</si>
  <si>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</si>
  <si>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</si>
  <si>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</si>
  <si>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</si>
  <si>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</si>
  <si>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</si>
  <si>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</si>
  <si>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</si>
  <si>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</si>
  <si>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</si>
  <si>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</si>
  <si>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</si>
  <si>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</si>
  <si>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</si>
  <si>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</si>
  <si>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</si>
  <si>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</si>
  <si>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</si>
  <si>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</si>
  <si>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</si>
  <si>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</si>
  <si>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</si>
  <si>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</si>
  <si>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</si>
  <si>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</si>
  <si>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</si>
  <si>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</si>
  <si>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</si>
  <si>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</si>
  <si>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</si>
  <si>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</si>
  <si>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</si>
  <si>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</si>
  <si>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</si>
  <si>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</si>
  <si>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</si>
  <si>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</si>
  <si>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</si>
  <si>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</si>
  <si>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</si>
  <si>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</si>
  <si>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</si>
  <si>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</si>
  <si>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</si>
  <si>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</si>
  <si>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</si>
  <si>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</si>
  <si>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</si>
  <si>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</si>
  <si>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</si>
  <si>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</si>
  <si>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</si>
  <si>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</si>
  <si>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</si>
  <si>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</si>
  <si>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</si>
  <si>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</si>
  <si>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</si>
  <si>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</si>
  <si>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</si>
  <si>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</si>
  <si>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</si>
  <si>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</si>
  <si>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</si>
  <si>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</si>
  <si>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</si>
  <si>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</si>
  <si>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</si>
  <si>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</si>
  <si>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</si>
  <si>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</si>
  <si>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</si>
  <si>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</si>
  <si>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</si>
  <si>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</si>
  <si>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</si>
  <si>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</si>
  <si>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</si>
  <si>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</si>
  <si>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</si>
  <si>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</si>
  <si>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</si>
  <si>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</si>
  <si>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</si>
  <si>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</si>
  <si>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</si>
  <si>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</si>
  <si>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</si>
  <si>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</si>
  <si>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</si>
  <si>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</si>
  <si>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</si>
  <si>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</si>
  <si>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</si>
  <si>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</si>
  <si>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</si>
  <si>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</si>
  <si>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</si>
  <si>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</si>
  <si>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</si>
  <si>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</si>
  <si>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</si>
  <si>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</si>
  <si>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</si>
  <si>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</si>
  <si>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</si>
  <si>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</si>
  <si>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</si>
  <si>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</si>
  <si>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</si>
  <si>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</si>
  <si>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</si>
  <si>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</si>
  <si>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</si>
  <si>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</si>
  <si>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</si>
  <si>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</si>
  <si>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</si>
  <si>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</si>
  <si>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</si>
  <si>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</si>
  <si>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</si>
  <si>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</si>
  <si>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</si>
  <si>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</si>
  <si>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</si>
  <si>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</si>
  <si>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</si>
  <si>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</si>
  <si>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</si>
  <si>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</si>
  <si>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</si>
  <si>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</si>
  <si>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</si>
  <si>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</si>
  <si>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</si>
  <si>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</si>
  <si>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</si>
  <si>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</si>
  <si>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</si>
  <si>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</si>
  <si>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</si>
  <si>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</si>
  <si>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</si>
  <si>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</si>
  <si>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</si>
  <si>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</si>
  <si>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</si>
  <si>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</si>
  <si>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</si>
  <si>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</si>
  <si>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</si>
  <si>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</si>
  <si>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</si>
  <si>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</si>
  <si>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</si>
  <si>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</si>
  <si>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</si>
  <si>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</si>
  <si>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</si>
  <si>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</si>
  <si>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</si>
  <si>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</si>
  <si>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</si>
  <si>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</si>
  <si>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</si>
  <si>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</si>
  <si>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</si>
  <si>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</si>
  <si>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</si>
  <si>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</si>
  <si>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</si>
  <si>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</si>
  <si>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</si>
  <si>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</si>
  <si>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</si>
  <si>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</si>
  <si>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</si>
  <si>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</si>
  <si>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</si>
  <si>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</si>
  <si>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</si>
  <si>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</si>
  <si>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</si>
  <si>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</si>
  <si>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</si>
  <si>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</si>
  <si>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</si>
  <si>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</si>
  <si>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</si>
  <si>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</si>
  <si>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</si>
  <si>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</si>
  <si>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</si>
  <si>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</si>
  <si>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</si>
  <si>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</si>
  <si>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</si>
  <si>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</si>
  <si>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</si>
  <si>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</si>
  <si>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</si>
  <si>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</si>
  <si>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</si>
  <si>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</si>
  <si>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</si>
  <si>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</si>
  <si>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</si>
  <si>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</si>
  <si>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</si>
  <si>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</si>
  <si>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</si>
  <si>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</si>
  <si>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</si>
  <si>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</si>
  <si>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</si>
  <si>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</si>
  <si>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</si>
  <si>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</si>
  <si>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</si>
  <si>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</si>
  <si>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</si>
  <si>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</si>
  <si>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</si>
  <si>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</si>
  <si>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</si>
  <si>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</si>
  <si>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</si>
  <si>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</si>
  <si>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</si>
  <si>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</si>
  <si>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</si>
  <si>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</si>
  <si>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</si>
  <si>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</si>
  <si>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</si>
  <si>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</si>
  <si>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</si>
  <si>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</si>
  <si>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</si>
  <si>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</si>
  <si>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</si>
  <si>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</si>
  <si>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</si>
  <si>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</si>
  <si>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</si>
  <si>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</si>
  <si>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</si>
  <si>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</si>
  <si>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</si>
  <si>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</si>
  <si>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</si>
  <si>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</si>
  <si>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</si>
  <si>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</si>
  <si>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</si>
  <si>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</si>
  <si>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</si>
  <si>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</si>
  <si>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</si>
  <si>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</si>
  <si>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</si>
  <si>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</si>
  <si>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</si>
  <si>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</si>
  <si>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</si>
  <si>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</si>
  <si>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</si>
  <si>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</si>
  <si>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</si>
  <si>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</si>
  <si>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</si>
  <si>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</si>
  <si>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</si>
  <si>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</si>
  <si>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</si>
  <si>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</si>
  <si>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</si>
  <si>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</si>
  <si>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</si>
  <si>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</si>
  <si>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</si>
  <si>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</si>
  <si>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</si>
  <si>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</si>
  <si>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</si>
  <si>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</si>
  <si>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</si>
  <si>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</si>
  <si>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</si>
  <si>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</si>
  <si>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</si>
  <si>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</si>
  <si>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</si>
  <si>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</si>
  <si>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</si>
  <si>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</si>
  <si>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</si>
  <si>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</si>
  <si>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</si>
  <si>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</si>
  <si>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</si>
  <si>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</si>
  <si>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</si>
  <si>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</si>
  <si>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</si>
  <si>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</si>
  <si>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</si>
  <si>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</si>
  <si>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</si>
  <si>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</si>
  <si>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</si>
  <si>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</si>
  <si>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</si>
  <si>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</si>
  <si>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</si>
  <si>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</si>
  <si>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</si>
  <si>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</si>
  <si>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</si>
  <si>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</si>
  <si>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</si>
  <si>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</si>
  <si>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</si>
  <si>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</si>
  <si>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</si>
  <si>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</si>
  <si>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</si>
  <si>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</si>
  <si>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</si>
  <si>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</si>
  <si>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</si>
  <si>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</si>
  <si>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</si>
  <si>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</si>
  <si>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</si>
  <si>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</si>
  <si>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</si>
  <si>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</si>
  <si>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</si>
  <si>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</si>
  <si>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</si>
  <si>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</si>
  <si>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</si>
  <si>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</si>
  <si>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</si>
  <si>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</si>
  <si>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</si>
  <si>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</si>
  <si>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</si>
  <si>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</si>
  <si>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</si>
  <si>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</si>
  <si>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</si>
  <si>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</si>
  <si>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</si>
  <si>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</si>
  <si>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</si>
  <si>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</si>
  <si>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</si>
  <si>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</si>
  <si>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</si>
  <si>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</si>
  <si>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</si>
  <si>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</si>
  <si>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</si>
  <si>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</si>
  <si>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</si>
  <si>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</si>
  <si>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</si>
  <si>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</si>
  <si>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</si>
  <si>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</si>
  <si>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</si>
  <si>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</si>
  <si>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</si>
  <si>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</si>
  <si>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</si>
  <si>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</si>
  <si>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</si>
  <si>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</si>
  <si>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</si>
  <si>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</si>
  <si>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</si>
  <si>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</si>
  <si>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</si>
  <si>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</si>
  <si>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</si>
  <si>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</si>
  <si>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</si>
  <si>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</si>
  <si>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</si>
  <si>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</si>
  <si>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</si>
  <si>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</si>
  <si>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</si>
  <si>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</si>
  <si>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</si>
  <si>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</si>
  <si>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</si>
  <si>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</si>
  <si>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</si>
  <si>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</si>
  <si>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</si>
  <si>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</si>
  <si>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</si>
  <si>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</si>
  <si>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</si>
  <si>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</si>
  <si>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</si>
  <si>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</si>
  <si>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</si>
  <si>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</si>
  <si>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</si>
  <si>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</si>
  <si>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</si>
  <si>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</si>
  <si>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</si>
  <si>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</si>
  <si>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</si>
  <si>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</si>
  <si>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</si>
  <si>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</si>
  <si>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</si>
  <si>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</si>
  <si>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</si>
  <si>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</si>
  <si>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</si>
  <si>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</si>
  <si>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</si>
  <si>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</si>
  <si>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</si>
  <si>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</si>
  <si>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</si>
  <si>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</si>
  <si>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</si>
  <si>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</si>
  <si>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</si>
  <si>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</si>
  <si>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</si>
  <si>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</si>
  <si>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</si>
  <si>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</si>
  <si>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</si>
  <si>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</si>
  <si>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</si>
  <si>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</si>
  <si>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</si>
  <si>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</si>
  <si>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</si>
  <si>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</si>
  <si>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</si>
  <si>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</si>
  <si>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</si>
  <si>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</si>
  <si>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</si>
  <si>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</si>
  <si>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</si>
  <si>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</si>
  <si>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</si>
  <si>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</si>
  <si>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</si>
  <si>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</si>
  <si>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</si>
  <si>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</si>
  <si>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</si>
  <si>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</si>
  <si>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</si>
  <si>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</si>
  <si>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</si>
  <si>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</si>
  <si>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</si>
  <si>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</si>
  <si>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</si>
  <si>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</si>
  <si>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</si>
  <si>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</si>
  <si>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</si>
  <si>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</si>
  <si>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</si>
  <si>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</si>
  <si>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</si>
  <si>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</si>
  <si>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</si>
  <si>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</si>
  <si>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</si>
  <si>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</si>
  <si>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</si>
  <si>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</si>
  <si>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</si>
  <si>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</si>
  <si>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</si>
  <si>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</si>
  <si>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</si>
  <si>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</si>
  <si>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</si>
  <si>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</si>
  <si>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</si>
  <si>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</si>
  <si>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</si>
  <si>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</si>
  <si>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</si>
  <si>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</si>
  <si>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</si>
  <si>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</si>
  <si>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</si>
  <si>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</si>
  <si>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</si>
  <si>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</si>
  <si>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</si>
  <si>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</si>
  <si>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</si>
  <si>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</si>
  <si>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</si>
  <si>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</si>
  <si>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</si>
  <si>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</si>
  <si>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</si>
  <si>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</si>
  <si>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</si>
  <si>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</si>
  <si>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</si>
  <si>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</si>
  <si>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</si>
  <si>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</si>
  <si>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</si>
  <si>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</si>
  <si>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</si>
  <si>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</si>
  <si>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</si>
  <si>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</si>
  <si>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</si>
  <si>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</si>
  <si>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</si>
  <si>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</si>
  <si>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</si>
  <si>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</si>
  <si>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</si>
  <si>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</si>
  <si>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</si>
  <si>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</si>
  <si>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</si>
  <si>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</si>
  <si>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</si>
  <si>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</si>
  <si>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</si>
  <si>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</si>
  <si>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</si>
  <si>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</si>
  <si>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</si>
  <si>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</si>
  <si>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</si>
  <si>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</si>
  <si>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</si>
  <si>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</si>
  <si>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</si>
  <si>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</si>
  <si>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</si>
  <si>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</si>
  <si>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</si>
  <si>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</si>
  <si>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</si>
  <si>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</si>
  <si>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</si>
  <si>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</si>
  <si>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</si>
  <si>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</si>
  <si>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</si>
  <si>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</si>
  <si>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</si>
  <si>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</si>
  <si>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</si>
  <si>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</si>
  <si>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</si>
  <si>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</si>
  <si>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</si>
  <si>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</si>
  <si>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</si>
  <si>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</si>
  <si>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</si>
  <si>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</si>
  <si>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</si>
  <si>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</si>
  <si>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</si>
  <si>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</si>
  <si>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</si>
  <si>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</si>
  <si>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</si>
  <si>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</si>
  <si>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</si>
  <si>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</si>
  <si>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</si>
  <si>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</si>
  <si>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</si>
  <si>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</si>
  <si>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</si>
  <si>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</si>
  <si>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</si>
  <si>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</si>
  <si>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</si>
  <si>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</si>
  <si>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</si>
  <si>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</si>
  <si>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</si>
  <si>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</si>
  <si>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</si>
  <si>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</si>
  <si>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</si>
  <si>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</si>
  <si>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</si>
  <si>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</si>
  <si>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</si>
  <si>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</si>
  <si>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</si>
  <si>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</si>
  <si>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</si>
  <si>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</si>
  <si>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</si>
  <si>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</si>
  <si>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</si>
  <si>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</si>
  <si>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</si>
  <si>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</si>
  <si>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</si>
  <si>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</si>
  <si>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</si>
  <si>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</si>
  <si>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</si>
  <si>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</si>
  <si>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</si>
  <si>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</si>
  <si>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</si>
  <si>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</si>
  <si>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</si>
  <si>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</si>
  <si>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</si>
  <si>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</si>
  <si>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</si>
  <si>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</si>
  <si>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</si>
  <si>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</si>
  <si>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</si>
  <si>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</si>
  <si>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</si>
  <si>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</si>
  <si>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</si>
  <si>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</si>
  <si>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</si>
  <si>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</si>
  <si>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</si>
  <si>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</si>
  <si>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</si>
  <si>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</si>
  <si>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</si>
  <si>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</si>
  <si>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</si>
  <si>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</si>
  <si>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</si>
  <si>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</si>
  <si>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</si>
  <si>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</si>
  <si>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</si>
  <si>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</si>
  <si>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</si>
  <si>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</si>
  <si>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</si>
  <si>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</si>
  <si>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</si>
  <si>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</si>
  <si>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</si>
  <si>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</si>
  <si>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</si>
  <si>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</si>
  <si>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</si>
  <si>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</si>
  <si>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</si>
  <si>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</si>
  <si>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</si>
  <si>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</si>
  <si>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</si>
  <si>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</si>
  <si>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</si>
  <si>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</si>
  <si>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</si>
  <si>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</si>
  <si>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</si>
  <si>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</si>
  <si>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</si>
  <si>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</si>
  <si>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</si>
  <si>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</si>
  <si>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</si>
  <si>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</si>
  <si>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</si>
  <si>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</si>
  <si>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</si>
  <si>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</si>
  <si>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</si>
  <si>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</si>
  <si>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</si>
  <si>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</si>
  <si>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</si>
  <si>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</si>
  <si>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</si>
  <si>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</si>
  <si>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</si>
  <si>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</si>
  <si>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</si>
  <si>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</si>
  <si>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</si>
  <si>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</si>
  <si>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</si>
  <si>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</si>
  <si>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</si>
  <si>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</si>
  <si>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</si>
  <si>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</si>
  <si>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</si>
  <si>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</si>
  <si>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</si>
  <si>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</si>
  <si>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</si>
  <si>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</si>
  <si>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</si>
  <si>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</si>
  <si>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</si>
  <si>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</si>
  <si>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</si>
  <si>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</si>
  <si>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</si>
  <si>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</si>
  <si>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</si>
  <si>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</si>
  <si>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</si>
  <si>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</si>
  <si>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</si>
  <si>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</si>
  <si>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</si>
  <si>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</si>
  <si>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</si>
  <si>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</si>
  <si>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</si>
  <si>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</si>
  <si>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</si>
  <si>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</si>
  <si>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admin</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</si>
  <si>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</si>
  <si>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</si>
  <si>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</si>
  <si>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</si>
  <si>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</si>
  <si>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</si>
  <si>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</si>
  <si>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</si>
  <si>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</si>
  <si>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</si>
  <si>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</si>
  <si>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</si>
  <si>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</si>
  <si>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</si>
  <si>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</si>
  <si>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</si>
  <si>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</si>
  <si>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</si>
  <si>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</si>
  <si>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</si>
  <si>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</si>
  <si>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</si>
  <si>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</si>
  <si>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</si>
  <si>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</si>
  <si>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</si>
  <si>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</si>
  <si>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</si>
  <si>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</si>
  <si>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</si>
  <si>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</si>
  <si>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</si>
  <si>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</si>
  <si>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</si>
  <si>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</si>
  <si>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</si>
  <si>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</si>
  <si>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</si>
  <si>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</si>
  <si>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</si>
  <si>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</si>
  <si>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</si>
  <si>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</si>
  <si>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</si>
  <si>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</si>
  <si>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</si>
  <si>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</si>
  <si>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</si>
  <si>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</si>
  <si>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</si>
  <si>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</si>
  <si>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</si>
  <si>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</si>
  <si>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</si>
  <si>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</si>
  <si>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</si>
  <si>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</si>
  <si>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</si>
  <si>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</si>
  <si>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</si>
  <si>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</si>
  <si>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</si>
  <si>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</si>
  <si>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</si>
  <si>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</si>
  <si>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</si>
  <si>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</si>
  <si>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</si>
  <si>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</si>
  <si>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</si>
  <si>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</si>
  <si>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</si>
  <si>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</si>
  <si>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</si>
  <si>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</si>
  <si>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</si>
  <si>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</si>
  <si>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</si>
  <si>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</si>
  <si>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</si>
  <si>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</si>
  <si>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</si>
  <si>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</si>
  <si>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</si>
  <si>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</si>
  <si>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</si>
  <si>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</si>
  <si>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</si>
  <si>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</si>
  <si>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</si>
  <si>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</si>
  <si>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</si>
  <si>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</si>
  <si>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</si>
  <si>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</si>
  <si>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</si>
  <si>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</si>
  <si>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</si>
  <si>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</si>
  <si>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</si>
  <si>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</si>
  <si>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</si>
  <si>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</si>
  <si>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</si>
  <si>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</si>
  <si>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</si>
  <si>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</si>
  <si>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</si>
  <si>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</si>
  <si>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</si>
  <si>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</si>
  <si>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</si>
  <si>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</si>
  <si>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</si>
  <si>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</si>
  <si>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</si>
  <si>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</si>
  <si>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</si>
  <si>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</si>
  <si>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</si>
  <si>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</si>
  <si>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</si>
  <si>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</si>
  <si>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</si>
  <si>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</si>
  <si>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</si>
  <si>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</si>
  <si>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</si>
  <si>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</si>
  <si>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</si>
  <si>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</si>
  <si>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</si>
  <si>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</si>
  <si>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</si>
  <si>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</si>
  <si>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</si>
  <si>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</si>
  <si>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</si>
  <si>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</si>
  <si>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</si>
  <si>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</si>
  <si>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</si>
  <si>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</si>
  <si>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</si>
  <si>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</si>
  <si>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</si>
  <si>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</si>
  <si>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</si>
  <si>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</si>
  <si>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</si>
  <si>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</si>
  <si>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</si>
  <si>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</si>
  <si>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</si>
  <si>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</si>
  <si>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</si>
  <si>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</si>
  <si>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</si>
  <si>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</si>
  <si>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</si>
  <si>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</si>
  <si>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</si>
  <si>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</si>
  <si>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</si>
  <si>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</si>
  <si>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</si>
  <si>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</si>
  <si>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</si>
  <si>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</si>
  <si>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</si>
  <si>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</si>
  <si>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</si>
  <si>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</si>
  <si>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</si>
  <si>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</si>
  <si>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</si>
  <si>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</si>
  <si>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</si>
  <si>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</si>
  <si>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</si>
  <si>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</si>
  <si>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</si>
  <si>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</si>
  <si>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</si>
  <si>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</si>
  <si>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</si>
  <si>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</si>
  <si>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</si>
  <si>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</si>
  <si>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</si>
  <si>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</si>
  <si>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</si>
  <si>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</si>
  <si>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</si>
  <si>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</si>
  <si>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</si>
  <si>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</si>
  <si>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</si>
  <si>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</si>
  <si>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</si>
  <si>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</si>
  <si>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</si>
  <si>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</si>
  <si>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</si>
  <si>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</si>
  <si>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</si>
  <si>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</si>
  <si>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</si>
  <si>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</si>
  <si>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</si>
  <si>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</si>
  <si>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</si>
  <si>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</si>
  <si>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</si>
  <si>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</si>
  <si>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</si>
  <si>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</si>
  <si>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</si>
  <si>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</si>
  <si>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</si>
  <si>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</si>
  <si>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</si>
  <si>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</si>
  <si>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</si>
  <si>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</si>
  <si>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</si>
  <si>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</si>
  <si>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</si>
  <si>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</si>
  <si>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</si>
  <si>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</si>
  <si>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</si>
  <si>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</si>
  <si>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</si>
  <si>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</si>
  <si>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</si>
  <si>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</si>
  <si>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</si>
  <si>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</si>
  <si>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</si>
  <si>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</si>
  <si>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</si>
  <si>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</si>
  <si>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</si>
  <si>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</si>
  <si>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</si>
  <si>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</si>
  <si>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</si>
  <si>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</si>
  <si>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</si>
  <si>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</si>
  <si>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</si>
  <si>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</si>
  <si>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</si>
  <si>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</si>
  <si>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</si>
  <si>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</si>
  <si>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</si>
  <si>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</si>
  <si>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</si>
  <si>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</si>
  <si>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</si>
  <si>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</si>
  <si>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</si>
  <si>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</si>
  <si>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</si>
  <si>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</si>
  <si>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</si>
  <si>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</si>
  <si>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</si>
  <si>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</si>
  <si>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</si>
  <si>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</si>
  <si>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</si>
  <si>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</si>
  <si>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</si>
  <si>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</si>
  <si>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</si>
  <si>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</si>
  <si>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</si>
  <si>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</si>
  <si>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</si>
  <si>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</si>
  <si>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</si>
  <si>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</si>
  <si>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</si>
  <si>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</si>
  <si>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</si>
  <si>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</si>
  <si>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</si>
  <si>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</si>
  <si>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</si>
  <si>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</si>
  <si>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</si>
  <si>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</si>
  <si>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</si>
  <si>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</si>
  <si>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</si>
  <si>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</si>
  <si>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</si>
  <si>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</si>
  <si>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</si>
  <si>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</si>
  <si>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</si>
  <si>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</si>
  <si>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</si>
  <si>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</si>
  <si>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</si>
  <si>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</si>
  <si>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</si>
  <si>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</si>
  <si>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</si>
  <si>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</si>
  <si>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</si>
  <si>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</si>
  <si>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</si>
  <si>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</si>
  <si>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</si>
  <si>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</si>
  <si>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10105</t>
  </si>
  <si>
    <t>10126</t>
  </si>
  <si>
    <t>10410</t>
  </si>
  <si>
    <t>2016-5</t>
  </si>
  <si>
    <t>2016-6</t>
  </si>
  <si>
    <t>Columna3</t>
  </si>
  <si>
    <t>Columna4</t>
  </si>
  <si>
    <t>Columna5</t>
  </si>
  <si>
    <t>Columna6</t>
  </si>
  <si>
    <t>10802</t>
  </si>
  <si>
    <t>20833</t>
  </si>
  <si>
    <t>21032</t>
  </si>
  <si>
    <t>21128</t>
  </si>
  <si>
    <t>21833</t>
  </si>
  <si>
    <t>CÓD REFERENCIAL</t>
  </si>
  <si>
    <t>PO</t>
  </si>
  <si>
    <t>REDAX</t>
  </si>
  <si>
    <t>Clínica Kennedy</t>
  </si>
  <si>
    <t>20824</t>
  </si>
  <si>
    <t>20836</t>
  </si>
  <si>
    <t>24110</t>
  </si>
  <si>
    <t>24111</t>
  </si>
  <si>
    <t>24140</t>
  </si>
  <si>
    <t>24141</t>
  </si>
  <si>
    <t>24200</t>
  </si>
  <si>
    <t>24201</t>
  </si>
  <si>
    <t>24210</t>
  </si>
  <si>
    <t>24220</t>
  </si>
  <si>
    <t>24230</t>
  </si>
  <si>
    <t>24231</t>
  </si>
  <si>
    <t>24601</t>
  </si>
  <si>
    <t>24602</t>
  </si>
  <si>
    <t>24603</t>
  </si>
  <si>
    <t>24604</t>
  </si>
  <si>
    <t>24605</t>
  </si>
  <si>
    <t>24607</t>
  </si>
  <si>
    <t>24612</t>
  </si>
  <si>
    <t>24615</t>
  </si>
  <si>
    <t>24619</t>
  </si>
  <si>
    <t>24621</t>
  </si>
  <si>
    <t>25019</t>
  </si>
  <si>
    <t>25024</t>
  </si>
  <si>
    <t>Columna1</t>
  </si>
  <si>
    <t>Columna2</t>
  </si>
  <si>
    <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</si>
</sst>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 #,##0"/>
    <numFmt numFmtId="165" formatCode="0.0"/>
    <numFmt numFmtId="166" formatCode="0.0%"/>
    <numFmt numFmtId="167" formatCode="&quot;$&quot;\ #,##0.00"/>
    <numFmt numFmtId="168" formatCode="dd/mmm/yyyy"/>
    <numFmt numFmtId="169" formatCode="yyyy\-mm"/>
    <numFmt numFmtId="170" formatCode="m/d/yyyy"/>
  </numFmts>
  <fonts count="13"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s>
  <fills count="12">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4">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10" xfId="0" applyFill="1" applyBorder="1"/>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4" fontId="0" fillId="0" borderId="0" xfId="0" applyNumberFormat="1" applyAlignment="1">
      <alignment horizontal="center"/>
    </xf>
    <xf numFmtId="170" fontId="0" fillId="0" borderId="0" xfId="0" applyNumberFormat="1" applyAlignment="1">
      <alignment horizontal="center"/>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07">
    <dxf>
      <protection locked="1" hidden="0"/>
    </dxf>
    <dxf>
      <numFmt numFmtId="0" formatCode="General"/>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ont>
        <color theme="0"/>
      </font>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4.emf"/><Relationship Id="rId18" Type="http://schemas.openxmlformats.org/officeDocument/2006/relationships/image" Target="../media/image2.emf"/><Relationship Id="rId3" Type="http://schemas.openxmlformats.org/officeDocument/2006/relationships/image" Target="../media/image11.emf"/><Relationship Id="rId7" Type="http://schemas.openxmlformats.org/officeDocument/2006/relationships/image" Target="../media/image8.emf"/><Relationship Id="rId12" Type="http://schemas.openxmlformats.org/officeDocument/2006/relationships/image" Target="../media/image5.emf"/><Relationship Id="rId17" Type="http://schemas.openxmlformats.org/officeDocument/2006/relationships/image" Target="../media/image19.emf"/><Relationship Id="rId2" Type="http://schemas.openxmlformats.org/officeDocument/2006/relationships/image" Target="../media/image13.emf"/><Relationship Id="rId16" Type="http://schemas.openxmlformats.org/officeDocument/2006/relationships/image" Target="../media/image18.emf"/><Relationship Id="rId20" Type="http://schemas.openxmlformats.org/officeDocument/2006/relationships/image" Target="../media/image20.emf"/><Relationship Id="rId1" Type="http://schemas.openxmlformats.org/officeDocument/2006/relationships/image" Target="../media/image12.emf"/><Relationship Id="rId6" Type="http://schemas.openxmlformats.org/officeDocument/2006/relationships/image" Target="../media/image9.emf"/><Relationship Id="rId11" Type="http://schemas.openxmlformats.org/officeDocument/2006/relationships/image" Target="../media/image17.emf"/><Relationship Id="rId5" Type="http://schemas.openxmlformats.org/officeDocument/2006/relationships/image" Target="../media/image15.emf"/><Relationship Id="rId15" Type="http://schemas.openxmlformats.org/officeDocument/2006/relationships/image" Target="../media/image14.emf"/><Relationship Id="rId10" Type="http://schemas.openxmlformats.org/officeDocument/2006/relationships/image" Target="../media/image16.emf"/><Relationship Id="rId19" Type="http://schemas.openxmlformats.org/officeDocument/2006/relationships/image" Target="../media/image1.emf"/><Relationship Id="rId4" Type="http://schemas.openxmlformats.org/officeDocument/2006/relationships/image" Target="../media/image10.emf"/><Relationship Id="rId9" Type="http://schemas.openxmlformats.org/officeDocument/2006/relationships/image" Target="../media/image6.emf"/><Relationship Id="rId1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19050</xdr:colOff>
          <xdr:row>0</xdr:row>
          <xdr:rowOff>333375</xdr:rowOff>
        </xdr:from>
        <xdr:to>
          <xdr:col>0</xdr:col>
          <xdr:colOff>676275</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685800</xdr:colOff>
          <xdr:row>0</xdr:row>
          <xdr:rowOff>333375</xdr:rowOff>
        </xdr:from>
        <xdr:to>
          <xdr:col>1</xdr:col>
          <xdr:colOff>38100</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1038225</xdr:colOff>
          <xdr:row>0</xdr:row>
          <xdr:rowOff>276225</xdr:rowOff>
        </xdr:from>
        <xdr:to>
          <xdr:col>25</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11</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209550</xdr:colOff>
          <xdr:row>0</xdr:row>
          <xdr:rowOff>28575</xdr:rowOff>
        </xdr:from>
        <xdr:to>
          <xdr:col>1</xdr:col>
          <xdr:colOff>581025</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25</xdr:col>
          <xdr:colOff>276225</xdr:colOff>
          <xdr:row>0</xdr:row>
          <xdr:rowOff>276225</xdr:rowOff>
        </xdr:from>
        <xdr:to>
          <xdr:col>27</xdr:col>
          <xdr:colOff>85725</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828675</xdr:colOff>
          <xdr:row>0</xdr:row>
          <xdr:rowOff>28575</xdr:rowOff>
        </xdr:from>
        <xdr:to>
          <xdr:col>0</xdr:col>
          <xdr:colOff>1085850</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2"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BX40" totalsRowShown="0" headerRowDxfId="206">
  <autoFilter ref="A8:BX40"/>
  <tableColumns count="76">
    <tableColumn id="1" name="CODIGO" dataDxfId="0"/>
    <tableColumn id="2" name="DESCRIPCION" dataDxfId="1"/>
    <tableColumn id="36" name="CODIGO GENERICO" dataDxfId="205"/>
    <tableColumn id="45" name="CODIGO VINCULADO" dataDxfId="204"/>
    <tableColumn id="4" name="LINEA" dataDxfId="203"/>
    <tableColumn id="29" name="SUBLINEA" dataDxfId="202"/>
    <tableColumn id="3" name="GRUPO" dataDxfId="201"/>
    <tableColumn id="22" name="FAMILIA" dataDxfId="200"/>
    <tableColumn id="23" name="SUBFAMILIA" dataDxfId="199"/>
    <tableColumn id="24" name="CATEGORIA" dataDxfId="198"/>
    <tableColumn id="25" name="TIPO" dataDxfId="197"/>
    <tableColumn id="26" name="MARCA" dataDxfId="196"/>
    <tableColumn id="27" name="MODELO" dataDxfId="195"/>
    <tableColumn id="28" name="CAT MANAGEMENT" dataDxfId="194"/>
    <tableColumn id="65" name="Estatus" dataDxfId="193"/>
    <tableColumn id="14" name="CTV" dataDxfId="192"/>
    <tableColumn id="15" name="PVP" dataDxfId="191"/>
    <tableColumn id="7" name="RENTABILIDAD" dataDxfId="190"/>
    <tableColumn id="53" name="RENTABILID PROY" dataDxfId="189"/>
    <tableColumn id="19" name="VEL EFECT" dataDxfId="188"/>
    <tableColumn id="20" name="SERVICIO" dataDxfId="187"/>
    <tableColumn id="21" name="PROVEEDOR" dataDxfId="186"/>
    <tableColumn id="39" name="PERFIL" dataDxfId="185"/>
    <tableColumn id="54" name="T REP" dataDxfId="184"/>
    <tableColumn id="55" name="F REP" dataDxfId="183"/>
    <tableColumn id="5" name="BUFFER" dataDxfId="182"/>
    <tableColumn id="75" name="INV PROVEEDOR" dataDxfId="181"/>
    <tableColumn id="31" name="INV FISICO" dataDxfId="180"/>
    <tableColumn id="6" name="CONS BUFF" dataDxfId="179"/>
    <tableColumn id="50" name="COLOR" dataDxfId="178"/>
    <tableColumn id="32" name="INV TRANSITO" dataDxfId="177"/>
    <tableColumn id="41" name="NEGOCIACIÓN" dataDxfId="176"/>
    <tableColumn id="42" name="PRODUCCIÓN" dataDxfId="175"/>
    <tableColumn id="43" name="EMBARCADO" dataDxfId="174"/>
    <tableColumn id="33" name="COMPROMETIDO" dataDxfId="173"/>
    <tableColumn id="34" name="BACKORDER" dataDxfId="172"/>
    <tableColumn id="40" name="INV PROYECTADO" dataDxfId="171"/>
    <tableColumn id="46" name="CONSUMO INV PROY" dataDxfId="170"/>
    <tableColumn id="51" name="COLOR1" dataDxfId="169"/>
    <tableColumn id="37" name="PEDIDO MIN" dataDxfId="168"/>
    <tableColumn id="38" name="PEDIDO MIN GRUPO" dataDxfId="167"/>
    <tableColumn id="30" name="UNIDAD EMPAQUE" dataDxfId="166"/>
    <tableColumn id="12" name="PEDIDO PROMEDIO" dataDxfId="165"/>
    <tableColumn id="47" name="COBERT BUFFER" dataDxfId="164"/>
    <tableColumn id="48" name="COBERT INV PROY" dataDxfId="163"/>
    <tableColumn id="49" name="COBERT PEDID MIN" dataDxfId="162"/>
    <tableColumn id="52" name="DIAS DESABASTECIM" dataDxfId="161"/>
    <tableColumn id="67" name="ULT TRANSFER INI" dataDxfId="160"/>
    <tableColumn id="68" name="ULT TRANSFER FIN" dataDxfId="159"/>
    <tableColumn id="64" name="Columna1" dataDxfId="158">
      <calculatedColumnFormula array="1">IFERROR(INDEX(Datos_Consumo[CANTIDAD],MATCH(TABLATRANSFERENCIA[[#This Row],[CODIGO]]&amp;TABLATRANSFERENCIA[[#Headers],[Columna1]],Datos_Consumo[CODIGO]&amp;Datos_Consumo[FECHA_FORMATO],0)),0)</calculatedColumnFormula>
    </tableColumn>
    <tableColumn id="63" name="Columna2" dataDxfId="157">
      <calculatedColumnFormula array="1">IFERROR(INDEX(Datos_Consumo[CANTIDAD],MATCH(TABLATRANSFERENCIA[[#This Row],[CODIGO]]&amp;TABLATRANSFERENCIA[[#Headers],[Columna2]],Datos_Consumo[CODIGO]&amp;Datos_Consumo[FECHA_FORMATO],0)),0)</calculatedColumnFormula>
    </tableColumn>
    <tableColumn id="62" name="Columna3" dataDxfId="156">
      <calculatedColumnFormula array="1">IFERROR(INDEX(Datos_Consumo[CANTIDAD],MATCH(TABLATRANSFERENCIA[[#This Row],[CODIGO]]&amp;TABLATRANSFERENCIA[[#Headers],[Columna3]],Datos_Consumo[CODIGO]&amp;Datos_Consumo[FECHA_FORMATO],0)),0)</calculatedColumnFormula>
    </tableColumn>
    <tableColumn id="61" name="Columna4" dataDxfId="155">
      <calculatedColumnFormula array="1">IFERROR(INDEX(Datos_Consumo[CANTIDAD],MATCH(TABLATRANSFERENCIA[[#This Row],[CODIGO]]&amp;TABLATRANSFERENCIA[[#Headers],[Columna4]],Datos_Consumo[CODIGO]&amp;Datos_Consumo[FECHA_FORMATO],0)),0)</calculatedColumnFormula>
    </tableColumn>
    <tableColumn id="60" name="Columna5" dataDxfId="154">
      <calculatedColumnFormula array="1">IFERROR(INDEX(Datos_Consumo[CANTIDAD],MATCH(TABLATRANSFERENCIA[[#This Row],[CODIGO]]&amp;TABLATRANSFERENCIA[[#Headers],[Columna5]],Datos_Consumo[CODIGO]&amp;Datos_Consumo[FECHA_FORMATO],0)),0)</calculatedColumnFormula>
    </tableColumn>
    <tableColumn id="59" name="Columna6" dataDxfId="153">
      <calculatedColumnFormula array="1">IFERROR(INDEX(Datos_Consumo[CANTIDAD],MATCH(TABLATRANSFERENCIA[[#This Row],[CODIGO]]&amp;TABLATRANSFERENCIA[[#Headers],[Columna6]],Datos_Consumo[CODIGO]&amp;Datos_Consumo[FECHA_FORMATO],0)),0)</calculatedColumnFormula>
    </tableColumn>
    <tableColumn id="8" name="REQUERIM" dataDxfId="4"/>
    <tableColumn id="13" name="REQ TOTAL" dataDxfId="2"/>
    <tableColumn id="76" name="PO" dataDxfId="3"/>
    <tableColumn id="66" name="EMBARQUES" dataDxfId="152"/>
    <tableColumn id="69" name="Emb1" dataDxfId="151">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50">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49">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48">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47">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46"/>
    <tableColumn id="44" name="TAMAÑO RELATIVO" dataDxfId="145">
      <calculatedColumnFormula>IFERROR(TABLATRANSFERENCIA[[#This Row],[REQUERIM]]/TABLATRANSFERENCIA[[#This Row],[PEDIDO PROMEDIO]],0)</calculatedColumnFormula>
    </tableColumn>
    <tableColumn id="9" name="DESPACHO" dataDxfId="144"/>
    <tableColumn id="10" name="RECIBIDO" dataDxfId="143"/>
    <tableColumn id="11" name="TRANSITO" dataDxfId="142">
      <calculatedColumnFormula>IF(TABLATRANSFERENCIA[[#This Row],[RECIBIDO]]&lt;&gt;"",0,IF(TABLATRANSFERENCIA[[#This Row],[DESPACHO]]&lt;&gt;"",TABLATRANSFERENCIA[[#This Row],[DESPACHO]],TABLATRANSFERENCIA[[#This Row],[REQUERIM]]))</calculatedColumnFormula>
    </tableColumn>
    <tableColumn id="16" name="OBSERVACIONES DESPACHOS" dataDxfId="141"/>
    <tableColumn id="17" name="OBSERVACIONES RECEPCIONES" dataDxfId="140"/>
    <tableColumn id="18" name="TIPO TRANSF" dataDxfId="139">
      <calculatedColumnFormula>"N"</calculatedColumnFormula>
    </tableColumn>
    <tableColumn id="35" name="Error Pedid Min Grupo" dataDxfId="138">
      <calculatedColumnFormula array="1">IF(SUM(--(TABLATRANSFERENCIA[[#This Row],[CODIGO GENERICO]]=TABLATRANSFERENCIA[CODIGO GENERICO])*TABLATRANSFERENCIA[REQUERIM])&lt;TABLATRANSFERENCIA[[#This Row],[PEDIDO MIN GRUPO]],1,0)</calculatedColumnFormula>
    </tableColumn>
    <tableColumn id="56" name="Color Proyectado" dataDxfId="137">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36"/>
    <tableColumn id="58" name="ZONA ROJA" dataDxfId="135"/>
  </tableColumns>
  <tableStyleInfo name="TableStyleLight1" showFirstColumn="0" showLastColumn="0" showRowStripes="1" showColumnStripes="0"/>
</table>
</file>

<file path=xl/tables/table2.xml><?xml version="1.0" encoding="utf-8"?>
<table xmlns="http://schemas.openxmlformats.org/spreadsheetml/2006/main" id="15" name="XXYY" displayName="XXYY" ref="A1:BW2" totalsRowShown="0" headerRowDxfId="134">
  <autoFilter ref="A1:BW2"/>
  <tableColumns count="75">
    <tableColumn id="1" name="CODIGO" dataDxfId="133"/>
    <tableColumn id="2" name="DESCRIPCION" dataDxfId="132">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31">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30">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29">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28">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27">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26">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5">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24">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23">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22">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21">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20">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19">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18">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17">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16">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5">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14">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13">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12">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11">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10">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09">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08">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07">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06">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5">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104">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103">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102">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101">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100">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99">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98">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97">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96">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5">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94">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93">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92">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91">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90">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89">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88">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87">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86">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5">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84">
      <calculatedColumnFormula array="1">IFERROR(INDEX(Datos_Consumo[CANTIDAD],MATCH(XXYY[[#This Row],[CODIGO]]&amp;XXYY[[#Headers],[2016-5]],Datos_Consumo[CODIGO]&amp;Datos_Consumo[FECHA_FORMATO],0)),0)</calculatedColumnFormula>
    </tableColumn>
    <tableColumn id="63" name="2016-6" dataDxfId="83">
      <calculatedColumnFormula array="1">IFERROR(INDEX(Datos_Consumo[CANTIDAD],MATCH(XXYY[[#This Row],[CODIGO]]&amp;XXYY[[#Headers],[2016-6]],Datos_Consumo[CODIGO]&amp;Datos_Consumo[FECHA_FORMATO],0)),0)</calculatedColumnFormula>
    </tableColumn>
    <tableColumn id="62" name="Columna3" dataDxfId="82">
      <calculatedColumnFormula array="1">IFERROR(INDEX(Datos_Consumo[CANTIDAD],MATCH(XXYY[[#This Row],[CODIGO]]&amp;XXYY[[#Headers],[Columna3]],Datos_Consumo[CODIGO]&amp;Datos_Consumo[FECHA_FORMATO],0)),0)</calculatedColumnFormula>
    </tableColumn>
    <tableColumn id="61" name="Columna4" dataDxfId="81">
      <calculatedColumnFormula array="1">IFERROR(INDEX(Datos_Consumo[CANTIDAD],MATCH(XXYY[[#This Row],[CODIGO]]&amp;XXYY[[#Headers],[Columna4]],Datos_Consumo[CODIGO]&amp;Datos_Consumo[FECHA_FORMATO],0)),0)</calculatedColumnFormula>
    </tableColumn>
    <tableColumn id="60" name="Columna5" dataDxfId="80">
      <calculatedColumnFormula array="1">IFERROR(INDEX(Datos_Consumo[CANTIDAD],MATCH(XXYY[[#This Row],[CODIGO]]&amp;XXYY[[#Headers],[Columna5]],Datos_Consumo[CODIGO]&amp;Datos_Consumo[FECHA_FORMATO],0)),0)</calculatedColumnFormula>
    </tableColumn>
    <tableColumn id="59" name="Columna6" dataDxfId="79">
      <calculatedColumnFormula array="1">IFERROR(INDEX(Datos_Consumo[CANTIDAD],MATCH(XXYY[[#This Row],[CODIGO]]&amp;XXYY[[#Headers],[Columna6]],Datos_Consumo[CODIGO]&amp;Datos_Consumo[FECHA_FORMATO],0)),0)</calculatedColumnFormula>
    </tableColumn>
    <tableColumn id="8" name="REQUERIM" dataDxfId="78"/>
    <tableColumn id="13" name="REQ TOTAL" dataDxfId="77"/>
    <tableColumn id="66" name="EMBARQUES" dataDxfId="76"/>
    <tableColumn id="69" name="Emb1" dataDxfId="75">
      <calculatedColumnFormula>IF(RIGHT(XXYY[[#Headers],[Emb1]],1)*1&lt;=XXYY[[#This Row],[EMBARQUES]],IF(ISBLANK(XXYY[[#This Row],[EMBARQUES]]),XXYY[[#This Row],[REQUERIM]],ROUND(XXYY[[#This Row],[REQUERIM]]/XXYY[[#This Row],[EMBARQUES]],0)),XXYY[[#This Row],[REQUERIM]])</calculatedColumnFormula>
    </tableColumn>
    <tableColumn id="70" name="Emb2" dataDxfId="74">
      <calculatedColumnFormula>IF(RIGHT(XXYY[[#Headers],[Emb2]],1)*1&lt;XXYY[[#This Row],[EMBARQUES]],ROUND(XXYY[[#This Row],[REQUERIM]]/XXYY[[#This Row],[EMBARQUES]],0),IF(RIGHT(XXYY[[#Headers],[Emb2]],1)*1=XXYY[[#This Row],[EMBARQUES]],XXYY[[#This Row],[REQUERIM]]-SUM(XXYY[[#This Row],[Emb1]]),0))</calculatedColumnFormula>
    </tableColumn>
    <tableColumn id="71" name="Emb3" dataDxfId="73">
      <calculatedColumnFormula>IF(RIGHT(XXYY[[#Headers],[Emb3]],1)*1&lt;XXYY[[#This Row],[EMBARQUES]],ROUND(XXYY[[#This Row],[REQUERIM]]/XXYY[[#This Row],[EMBARQUES]],0),IF(RIGHT(XXYY[[#Headers],[Emb3]],1)*1=XXYY[[#This Row],[EMBARQUES]],XXYY[[#This Row],[REQUERIM]]-SUM(XXYY[[#This Row],[Emb1]:[Emb2]]),0))</calculatedColumnFormula>
    </tableColumn>
    <tableColumn id="72" name="Emb4" dataDxfId="72">
      <calculatedColumnFormula>IF(RIGHT(XXYY[[#Headers],[Emb4]],1)*1&lt;XXYY[[#This Row],[EMBARQUES]],ROUND(XXYY[[#This Row],[REQUERIM]]/XXYY[[#This Row],[EMBARQUES]],0),IF(RIGHT(XXYY[[#Headers],[Emb4]],1)*1=XXYY[[#This Row],[EMBARQUES]],XXYY[[#This Row],[REQUERIM]]-SUM(XXYY[[#This Row],[Emb1]:[Emb3]]),0))</calculatedColumnFormula>
    </tableColumn>
    <tableColumn id="73" name="Emb5" dataDxfId="71">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70"/>
    <tableColumn id="44" name="TAMAÑO RELATIVO" dataDxfId="69">
      <calculatedColumnFormula>IFERROR(XXYY[[#This Row],[REQUERIM]]/XXYY[[#This Row],[PEDIDO PROMEDIO]],0)</calculatedColumnFormula>
    </tableColumn>
    <tableColumn id="9" name="DESPACHO" dataDxfId="68"/>
    <tableColumn id="10" name="RECIBIDO" dataDxfId="67"/>
    <tableColumn id="11" name="TRANSITO" dataDxfId="66">
      <calculatedColumnFormula>IF(XXYY[[#This Row],[RECIBIDO]]&lt;&gt;"",0,IF(XXYY[[#This Row],[DESPACHO]]&lt;&gt;"",XXYY[[#This Row],[DESPACHO]],XXYY[[#This Row],[REQUERIM]]))</calculatedColumnFormula>
    </tableColumn>
    <tableColumn id="16" name="OBSERVACIONES DESPACHOS" dataDxfId="65"/>
    <tableColumn id="17" name="OBSERVACIONES RECEPCIONES" dataDxfId="64"/>
    <tableColumn id="18" name="TIPO TRANSF" dataDxfId="63">
      <calculatedColumnFormula>"N"</calculatedColumnFormula>
    </tableColumn>
    <tableColumn id="35" name="Error Pedid Min Grupo" dataDxfId="62">
      <calculatedColumnFormula array="1">IF(SUM(--(XXYY[[#This Row],[CODIGO GENERICO]]=XXYY[CODIGO GENERICO])*XXYY[REQUERIM])&lt;XXYY[[#This Row],[PEDIDO MIN GRUPO]],1,0)</calculatedColumnFormula>
    </tableColumn>
    <tableColumn id="56" name="Color Proyectado" dataDxfId="61">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60">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59">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8"/>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7"/>
    <tableColumn id="7" uniqueName="7" name="PATH" queryTableFieldId="7" dataDxfId="56"/>
    <tableColumn id="5" uniqueName="5" name="COMPLETO" queryTableFieldId="5" dataDxfId="55">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54"/>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53">
      <calculatedColumnFormula>IFERROR(MATCH(Tabla_Recetas[[#This Row],[Cod Padre]],TABLATRANSFERENCIA[CODIGO],0),0)</calculatedColumnFormula>
    </tableColumn>
    <tableColumn id="12" uniqueName="12" name="Cantidad Requerida" queryTableFieldId="12" dataDxfId="52">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D6" insertRow="1" totalsRowShown="0" headerRowDxfId="51">
  <autoFilter ref="A5:D6"/>
  <tableColumns count="4">
    <tableColumn id="1" name="CÓDIGO"/>
    <tableColumn id="2" name="DESCRIPCIÓN"/>
    <tableColumn id="3" name="CANTIDAD" dataDxfId="50"/>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49"/>
    <tableColumn id="109" name="con_ultima_transferencia_ini" dataDxfId="48"/>
    <tableColumn id="110" name="con_ultima_transferencia_fin" dataDxfId="47"/>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2" insertRow="1" totalsRowShown="0">
  <autoFilter ref="A1:D2"/>
  <tableColumns count="4">
    <tableColumn id="1" name="CODIGO"/>
    <tableColumn id="2" name="CANTIDAD"/>
    <tableColumn id="3" name="FECHA"/>
    <tableColumn id="4" name="FECHA_FORMATO" dataDxfId="46">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2" insertRow="1" totalsRowShown="0">
  <autoFilter ref="F1:G2"/>
  <tableColumns count="2">
    <tableColumn id="1" name="FECHAS_CONSUMO"/>
    <tableColumn id="2" name="FECHA_FORMATO" dataDxfId="45">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20" Type="http://schemas.openxmlformats.org/officeDocument/2006/relationships/control" Target="../activeX/activeX9.xml"/><Relationship Id="rId41" Type="http://schemas.openxmlformats.org/officeDocument/2006/relationships/image" Target="../media/image19.emf"/></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1.emf"/><Relationship Id="rId5" Type="http://schemas.openxmlformats.org/officeDocument/2006/relationships/control" Target="../activeX/activeX21.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4.vml"/><Relationship Id="rId7" Type="http://schemas.openxmlformats.org/officeDocument/2006/relationships/image" Target="../media/image23.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3.xml"/><Relationship Id="rId5" Type="http://schemas.openxmlformats.org/officeDocument/2006/relationships/image" Target="../media/image22.emf"/><Relationship Id="rId4" Type="http://schemas.openxmlformats.org/officeDocument/2006/relationships/control" Target="../activeX/activeX2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BX40"/>
  <sheetViews>
    <sheetView showGridLines="0" tabSelected="1" zoomScale="80" zoomScaleNormal="80" workbookViewId="0">
      <pane xSplit="11" ySplit="8" topLeftCell="L9" activePane="bottomRight" state="frozen"/>
      <selection pane="topRight" activeCell="L1" sqref="L1"/>
      <selection pane="bottomLeft" activeCell="A9" sqref="A9"/>
      <selection pane="bottomRight"/>
    </sheetView>
  </sheetViews>
  <sheetFormatPr baseColWidth="10" defaultRowHeight="15" x14ac:dyDescent="0.25"/>
  <cols>
    <col min="1" max="1" width="19.5703125" customWidth="1"/>
    <col min="2" max="2" width="46.140625" customWidth="1"/>
    <col min="3" max="3" width="21" customWidth="1"/>
    <col min="4" max="4" width="17.42578125" customWidth="1"/>
    <col min="5" max="11" width="20.7109375" hidden="1" customWidth="1"/>
    <col min="12" max="12" width="20.7109375" customWidth="1"/>
    <col min="13" max="14" width="20.7109375" hidden="1" customWidth="1"/>
    <col min="15" max="20" width="10.7109375" hidden="1" customWidth="1"/>
    <col min="21" max="21" width="15.140625" hidden="1" customWidth="1"/>
    <col min="22" max="23" width="25.7109375" hidden="1" customWidth="1"/>
    <col min="24" max="25" width="12" hidden="1" customWidth="1"/>
    <col min="26" max="26" width="16.42578125" customWidth="1"/>
    <col min="27" max="27" width="16.42578125" hidden="1" customWidth="1"/>
    <col min="28" max="28" width="11.42578125" customWidth="1"/>
    <col min="29" max="30" width="13.28515625" hidden="1" customWidth="1"/>
    <col min="31" max="31" width="11.42578125" customWidth="1"/>
    <col min="32" max="34" width="11.42578125" hidden="1" customWidth="1"/>
    <col min="35" max="35" width="11.42578125" customWidth="1"/>
    <col min="36" max="36" width="13.42578125" customWidth="1"/>
    <col min="37" max="37" width="13.140625" customWidth="1"/>
    <col min="38" max="38" width="15.28515625" hidden="1" customWidth="1"/>
    <col min="39" max="39" width="14.85546875" hidden="1" customWidth="1"/>
    <col min="40" max="40" width="11.42578125" customWidth="1"/>
    <col min="41" max="41" width="13.5703125" customWidth="1"/>
    <col min="42" max="42" width="11.42578125" customWidth="1"/>
    <col min="43" max="43" width="13.140625" customWidth="1"/>
    <col min="44" max="49" width="13.140625" hidden="1" customWidth="1"/>
    <col min="50" max="53" width="13.140625" customWidth="1"/>
    <col min="54" max="57" width="15.7109375" customWidth="1"/>
    <col min="58" max="64" width="15.7109375" hidden="1" customWidth="1"/>
    <col min="65" max="65" width="30" hidden="1" customWidth="1"/>
    <col min="66" max="66" width="11.42578125" hidden="1" customWidth="1"/>
    <col min="67" max="67" width="16" hidden="1" customWidth="1"/>
    <col min="68" max="68" width="17.7109375" hidden="1" customWidth="1"/>
    <col min="69" max="69" width="16" hidden="1" customWidth="1"/>
    <col min="70" max="70" width="31" hidden="1" customWidth="1"/>
    <col min="71" max="71" width="33.7109375" hidden="1" customWidth="1"/>
    <col min="72" max="76" width="11.42578125" hidden="1" customWidth="1"/>
  </cols>
  <sheetData>
    <row r="1" spans="1:76" ht="51.75" customHeight="1" x14ac:dyDescent="0.3">
      <c r="A1" s="35"/>
      <c r="B1" s="36"/>
      <c r="C1" s="36"/>
      <c r="D1" s="36"/>
      <c r="E1" s="36"/>
      <c r="F1" s="36"/>
      <c r="G1" s="36"/>
      <c r="H1" s="36"/>
      <c r="I1" s="36"/>
      <c r="J1" s="36"/>
      <c r="K1" s="36"/>
      <c r="L1" s="36"/>
      <c r="M1" s="36"/>
      <c r="N1" s="36"/>
      <c r="O1" s="36"/>
      <c r="P1" s="36"/>
      <c r="Q1" s="36"/>
      <c r="R1" s="38"/>
      <c r="S1" s="38"/>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row>
    <row r="2" spans="1:76" x14ac:dyDescent="0.25">
      <c r="A2" s="17" t="s">
        <v>12</v>
      </c>
      <c r="B2" s="18"/>
      <c r="C2" s="19" t="s">
        <v>0</v>
      </c>
      <c r="D2" s="20">
        <v>42783</v>
      </c>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row>
    <row r="3" spans="1:76" x14ac:dyDescent="0.25">
      <c r="A3" s="21" t="s">
        <v>2</v>
      </c>
      <c r="B3" s="22" t="s">
        <v>1387</v>
      </c>
      <c r="C3" s="23" t="s">
        <v>1</v>
      </c>
      <c r="D3" s="24"/>
      <c r="E3" s="37"/>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row>
    <row r="4" spans="1:76" x14ac:dyDescent="0.25">
      <c r="A4" s="21" t="s">
        <v>3</v>
      </c>
      <c r="B4" s="25" t="s">
        <v>1369</v>
      </c>
      <c r="C4" s="26"/>
      <c r="D4" s="2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row>
    <row r="5" spans="1:76" x14ac:dyDescent="0.25">
      <c r="A5" s="21" t="s">
        <v>1385</v>
      </c>
      <c r="B5" s="28"/>
      <c r="C5" s="23" t="s">
        <v>23</v>
      </c>
      <c r="D5" s="29">
        <f>IFERROR(SUMPRODUCT(TABLATRANSFERENCIA[CTV],TABLATRANSFERENCIA[TRANSITO]),"")</f>
        <v>0</v>
      </c>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c r="BT5" s="37"/>
      <c r="BU5" s="37"/>
      <c r="BV5" s="37"/>
    </row>
    <row r="6" spans="1:76" ht="17.25" x14ac:dyDescent="0.25">
      <c r="A6" s="21" t="s">
        <v>24</v>
      </c>
      <c r="B6" s="24"/>
      <c r="C6" s="23" t="s">
        <v>25</v>
      </c>
      <c r="D6" s="30">
        <f>IFERROR(SUMPRODUCT(Tabla_CubicajeAgrota[VOL],Tabla_CubicajeAgrota[CANTIDAD]),0)</f>
        <v>0</v>
      </c>
      <c r="E6" s="37" t="s">
        <v>29</v>
      </c>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c r="BT6" s="37"/>
      <c r="BU6" s="37"/>
      <c r="BV6" s="37"/>
    </row>
    <row r="7" spans="1:76" x14ac:dyDescent="0.25">
      <c r="A7" s="31" t="s">
        <v>837</v>
      </c>
      <c r="B7" s="32"/>
      <c r="C7" s="33"/>
      <c r="D7" s="34"/>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c r="BU7" s="37"/>
      <c r="BV7" s="37"/>
    </row>
    <row r="8" spans="1:76" ht="45.75" customHeight="1" x14ac:dyDescent="0.25">
      <c r="A8" s="48" t="s">
        <v>26</v>
      </c>
      <c r="B8" s="48" t="s">
        <v>851</v>
      </c>
      <c r="C8" s="48" t="s">
        <v>909</v>
      </c>
      <c r="D8" s="48" t="s">
        <v>1020</v>
      </c>
      <c r="E8" s="48" t="s">
        <v>892</v>
      </c>
      <c r="F8" s="48" t="s">
        <v>903</v>
      </c>
      <c r="G8" s="48" t="s">
        <v>891</v>
      </c>
      <c r="H8" s="48" t="s">
        <v>884</v>
      </c>
      <c r="I8" s="48" t="s">
        <v>885</v>
      </c>
      <c r="J8" s="48" t="s">
        <v>886</v>
      </c>
      <c r="K8" s="48" t="s">
        <v>887</v>
      </c>
      <c r="L8" s="48" t="s">
        <v>888</v>
      </c>
      <c r="M8" s="48" t="s">
        <v>889</v>
      </c>
      <c r="N8" s="48" t="s">
        <v>890</v>
      </c>
      <c r="O8" s="43" t="s">
        <v>1038</v>
      </c>
      <c r="P8" s="43" t="s">
        <v>18</v>
      </c>
      <c r="Q8" s="43" t="s">
        <v>19</v>
      </c>
      <c r="R8" s="43" t="s">
        <v>10</v>
      </c>
      <c r="S8" s="43" t="s">
        <v>980</v>
      </c>
      <c r="T8" s="43" t="s">
        <v>37</v>
      </c>
      <c r="U8" s="43" t="s">
        <v>38</v>
      </c>
      <c r="V8" s="43" t="s">
        <v>844</v>
      </c>
      <c r="W8" s="43" t="s">
        <v>908</v>
      </c>
      <c r="X8" s="43" t="s">
        <v>1027</v>
      </c>
      <c r="Y8" s="43" t="s">
        <v>1028</v>
      </c>
      <c r="Z8" s="45" t="s">
        <v>8</v>
      </c>
      <c r="AA8" s="45" t="s">
        <v>1149</v>
      </c>
      <c r="AB8" s="45" t="s">
        <v>904</v>
      </c>
      <c r="AC8" s="45" t="s">
        <v>9</v>
      </c>
      <c r="AD8" s="45" t="s">
        <v>977</v>
      </c>
      <c r="AE8" s="45" t="s">
        <v>907</v>
      </c>
      <c r="AF8" s="45" t="s">
        <v>916</v>
      </c>
      <c r="AG8" s="45" t="s">
        <v>917</v>
      </c>
      <c r="AH8" s="45" t="s">
        <v>918</v>
      </c>
      <c r="AI8" s="45" t="s">
        <v>905</v>
      </c>
      <c r="AJ8" s="45" t="s">
        <v>906</v>
      </c>
      <c r="AK8" s="45" t="s">
        <v>913</v>
      </c>
      <c r="AL8" s="45" t="s">
        <v>973</v>
      </c>
      <c r="AM8" s="45" t="s">
        <v>978</v>
      </c>
      <c r="AN8" s="45" t="s">
        <v>910</v>
      </c>
      <c r="AO8" s="45" t="s">
        <v>911</v>
      </c>
      <c r="AP8" s="45" t="s">
        <v>914</v>
      </c>
      <c r="AQ8" s="44" t="s">
        <v>912</v>
      </c>
      <c r="AR8" s="45" t="s">
        <v>974</v>
      </c>
      <c r="AS8" s="45" t="s">
        <v>975</v>
      </c>
      <c r="AT8" s="45" t="s">
        <v>976</v>
      </c>
      <c r="AU8" s="45" t="s">
        <v>979</v>
      </c>
      <c r="AV8" s="44" t="s">
        <v>1039</v>
      </c>
      <c r="AW8" s="44" t="s">
        <v>1040</v>
      </c>
      <c r="AX8" s="52" t="s">
        <v>1413</v>
      </c>
      <c r="AY8" s="52" t="s">
        <v>1414</v>
      </c>
      <c r="AZ8" s="52" t="s">
        <v>1376</v>
      </c>
      <c r="BA8" s="52" t="s">
        <v>1377</v>
      </c>
      <c r="BB8" s="52" t="s">
        <v>1378</v>
      </c>
      <c r="BC8" s="52" t="s">
        <v>1379</v>
      </c>
      <c r="BD8" s="44" t="s">
        <v>11</v>
      </c>
      <c r="BE8" s="44" t="s">
        <v>17</v>
      </c>
      <c r="BF8" s="44" t="s">
        <v>1386</v>
      </c>
      <c r="BG8" s="58" t="s">
        <v>1044</v>
      </c>
      <c r="BH8" s="57" t="s">
        <v>1045</v>
      </c>
      <c r="BI8" s="57" t="s">
        <v>1046</v>
      </c>
      <c r="BJ8" s="57" t="s">
        <v>1047</v>
      </c>
      <c r="BK8" s="57" t="s">
        <v>1048</v>
      </c>
      <c r="BL8" s="57" t="s">
        <v>1049</v>
      </c>
      <c r="BM8" s="44" t="s">
        <v>1050</v>
      </c>
      <c r="BN8" s="45" t="s">
        <v>919</v>
      </c>
      <c r="BO8" s="44" t="s">
        <v>13</v>
      </c>
      <c r="BP8" s="44" t="s">
        <v>14</v>
      </c>
      <c r="BQ8" s="40" t="s">
        <v>15</v>
      </c>
      <c r="BR8" s="39" t="s">
        <v>20</v>
      </c>
      <c r="BS8" s="39" t="s">
        <v>21</v>
      </c>
      <c r="BT8" s="39" t="s">
        <v>22</v>
      </c>
      <c r="BU8" s="42" t="s">
        <v>915</v>
      </c>
      <c r="BV8" s="42" t="s">
        <v>1032</v>
      </c>
      <c r="BW8" s="42" t="s">
        <v>1033</v>
      </c>
      <c r="BX8" s="42" t="s">
        <v>1034</v>
      </c>
    </row>
    <row r="9" spans="1:76" x14ac:dyDescent="0.25">
      <c r="A9" s="54" t="s">
        <v>1371</v>
      </c>
      <c r="B9" s="59" t="s">
        <v>1415</v>
      </c>
      <c r="C9" s="3" t="s">
        <v>1415</v>
      </c>
      <c r="D9" s="3" t="s">
        <v>1415</v>
      </c>
      <c r="E9" s="3" t="s">
        <v>1415</v>
      </c>
      <c r="F9" s="3" t="s">
        <v>1415</v>
      </c>
      <c r="G9" s="3" t="s">
        <v>1415</v>
      </c>
      <c r="H9" s="3" t="s">
        <v>1415</v>
      </c>
      <c r="I9" s="3" t="s">
        <v>1415</v>
      </c>
      <c r="J9" s="3" t="s">
        <v>1415</v>
      </c>
      <c r="K9" s="3" t="s">
        <v>1415</v>
      </c>
      <c r="L9" s="3" t="s">
        <v>1415</v>
      </c>
      <c r="M9" s="3" t="s">
        <v>1415</v>
      </c>
      <c r="N9" s="3" t="s">
        <v>1415</v>
      </c>
      <c r="O9" s="5" t="s">
        <v>1415</v>
      </c>
      <c r="P9" s="5" t="s">
        <v>1415</v>
      </c>
      <c r="Q9" s="5" t="s">
        <v>1415</v>
      </c>
      <c r="R9" s="46" t="s">
        <v>1415</v>
      </c>
      <c r="S9" s="46" t="s">
        <v>1415</v>
      </c>
      <c r="T9" s="46" t="s">
        <v>1415</v>
      </c>
      <c r="U9" s="46" t="s">
        <v>1415</v>
      </c>
      <c r="V9" s="49" t="s">
        <v>1415</v>
      </c>
      <c r="W9" s="49" t="s">
        <v>1415</v>
      </c>
      <c r="X9" s="51" t="s">
        <v>1415</v>
      </c>
      <c r="Y9" s="51" t="s">
        <v>1415</v>
      </c>
      <c r="Z9" s="51" t="s">
        <v>1415</v>
      </c>
      <c r="AA9" s="51" t="s">
        <v>1415</v>
      </c>
      <c r="AB9" s="6" t="s">
        <v>1415</v>
      </c>
      <c r="AC9" s="4" t="s">
        <v>1415</v>
      </c>
      <c r="AD9" s="6" t="s">
        <v>1415</v>
      </c>
      <c r="AE9" s="6" t="s">
        <v>1415</v>
      </c>
      <c r="AF9" s="6" t="s">
        <v>1415</v>
      </c>
      <c r="AG9" s="6" t="s">
        <v>1415</v>
      </c>
      <c r="AH9" s="6" t="s">
        <v>1415</v>
      </c>
      <c r="AI9" s="6" t="s">
        <v>1415</v>
      </c>
      <c r="AJ9" s="6" t="s">
        <v>1415</v>
      </c>
      <c r="AK9" s="6" t="s">
        <v>1415</v>
      </c>
      <c r="AL9" s="4" t="s">
        <v>1415</v>
      </c>
      <c r="AM9" s="6" t="s">
        <v>1415</v>
      </c>
      <c r="AN9" s="6" t="s">
        <v>1415</v>
      </c>
      <c r="AO9" s="6" t="s">
        <v>1415</v>
      </c>
      <c r="AP9" s="6" t="s">
        <v>1415</v>
      </c>
      <c r="AQ9" s="6" t="s">
        <v>1415</v>
      </c>
      <c r="AR9" s="6" t="s">
        <v>1415</v>
      </c>
      <c r="AS9" s="6" t="s">
        <v>1415</v>
      </c>
      <c r="AT9" s="6" t="s">
        <v>1415</v>
      </c>
      <c r="AU9" s="6" t="s">
        <v>1415</v>
      </c>
      <c r="AV9" s="62" t="s">
        <v>1415</v>
      </c>
      <c r="AW9" s="62" t="s">
        <v>1415</v>
      </c>
      <c r="AX9" s="6">
        <f t="array" ref="AX9">IFERROR(INDEX(Datos_Consumo[CANTIDAD],MATCH(TABLATRANSFERENCIA[[#This Row],[CODIGO]]&amp;TABLATRANSFERENCIA[[#Headers],[Columna1]],Datos_Consumo[CODIGO]&amp;Datos_Consumo[FECHA_FORMATO],0)),0)</f>
        <v>0</v>
      </c>
      <c r="AY9" s="6">
        <f t="array" ref="AY9">IFERROR(INDEX(Datos_Consumo[CANTIDAD],MATCH(TABLATRANSFERENCIA[[#This Row],[CODIGO]]&amp;TABLATRANSFERENCIA[[#Headers],[Columna2]],Datos_Consumo[CODIGO]&amp;Datos_Consumo[FECHA_FORMATO],0)),0)</f>
        <v>0</v>
      </c>
      <c r="AZ9" s="6">
        <f t="array" ref="AZ9">IFERROR(INDEX(Datos_Consumo[CANTIDAD],MATCH(TABLATRANSFERENCIA[[#This Row],[CODIGO]]&amp;TABLATRANSFERENCIA[[#Headers],[Columna3]],Datos_Consumo[CODIGO]&amp;Datos_Consumo[FECHA_FORMATO],0)),0)</f>
        <v>0</v>
      </c>
      <c r="BA9" s="6">
        <f t="array" ref="BA9">IFERROR(INDEX(Datos_Consumo[CANTIDAD],MATCH(TABLATRANSFERENCIA[[#This Row],[CODIGO]]&amp;TABLATRANSFERENCIA[[#Headers],[Columna4]],Datos_Consumo[CODIGO]&amp;Datos_Consumo[FECHA_FORMATO],0)),0)</f>
        <v>0</v>
      </c>
      <c r="BB9" s="6">
        <f t="array" ref="BB9">IFERROR(INDEX(Datos_Consumo[CANTIDAD],MATCH(TABLATRANSFERENCIA[[#This Row],[CODIGO]]&amp;TABLATRANSFERENCIA[[#Headers],[Columna5]],Datos_Consumo[CODIGO]&amp;Datos_Consumo[FECHA_FORMATO],0)),0)</f>
        <v>0</v>
      </c>
      <c r="BC9" s="6">
        <f t="array" ref="BC9">IFERROR(INDEX(Datos_Consumo[CANTIDAD],MATCH(TABLATRANSFERENCIA[[#This Row],[CODIGO]]&amp;TABLATRANSFERENCIA[[#Headers],[Columna6]],Datos_Consumo[CODIGO]&amp;Datos_Consumo[FECHA_FORMATO],0)),0)</f>
        <v>0</v>
      </c>
      <c r="BD9" s="50">
        <v>24</v>
      </c>
      <c r="BE9" s="55">
        <v>24</v>
      </c>
      <c r="BF9" s="50"/>
      <c r="BG9" s="51"/>
      <c r="BH9" s="51">
        <f>IF(RIGHT(TABLATRANSFERENCIA[[#Headers],[Emb1]],1)*1&lt;=TABLATRANSFERENCIA[[#This Row],[EMBARQUES]],IF(ISBLANK(TABLATRANSFERENCIA[[#This Row],[EMBARQUES]]),TABLATRANSFERENCIA[[#This Row],[REQUERIM]],ROUND(TABLATRANSFERENCIA[[#This Row],[REQUERIM]]/TABLATRANSFERENCIA[[#This Row],[EMBARQUES]],0)),TABLATRANSFERENCIA[[#This Row],[REQUERIM]])</f>
        <v>24</v>
      </c>
      <c r="BI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9" s="51"/>
      <c r="BN9" s="46">
        <f>IFERROR(TABLATRANSFERENCIA[[#This Row],[REQUERIM]]/TABLATRANSFERENCIA[[#This Row],[PEDIDO PROMEDIO]],0)</f>
        <v>0</v>
      </c>
      <c r="BO9" s="51"/>
      <c r="BP9" s="60"/>
      <c r="BQ9" s="3">
        <f>IF(TABLATRANSFERENCIA[[#This Row],[RECIBIDO]]&lt;&gt;"",0,IF(TABLATRANSFERENCIA[[#This Row],[DESPACHO]]&lt;&gt;"",TABLATRANSFERENCIA[[#This Row],[DESPACHO]],TABLATRANSFERENCIA[[#This Row],[REQUERIM]]))</f>
        <v>24</v>
      </c>
      <c r="BR9" s="50"/>
      <c r="BS9" s="50"/>
      <c r="BT9" s="50" t="str">
        <f>"N"</f>
        <v>N</v>
      </c>
      <c r="BU9" s="51">
        <f t="array" ref="BU9">IF(SUM(--(TABLATRANSFERENCIA[[#This Row],[CODIGO GENERICO]]=TABLATRANSFERENCIA[CODIGO GENERICO])*TABLATRANSFERENCIA[REQUERIM])&lt;TABLATRANSFERENCIA[[#This Row],[PEDIDO MIN GRUPO]],1,0)</f>
        <v>1</v>
      </c>
      <c r="BV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9" s="51" t="s">
        <v>1415</v>
      </c>
      <c r="BX9" s="51" t="s">
        <v>1415</v>
      </c>
    </row>
    <row r="10" spans="1:76" x14ac:dyDescent="0.25">
      <c r="A10" s="54" t="s">
        <v>1372</v>
      </c>
      <c r="B10" s="3" t="s">
        <v>1415</v>
      </c>
      <c r="C10" s="3" t="s">
        <v>1415</v>
      </c>
      <c r="D10" s="3" t="s">
        <v>1415</v>
      </c>
      <c r="E10" s="3" t="s">
        <v>1415</v>
      </c>
      <c r="F10" s="3" t="s">
        <v>1415</v>
      </c>
      <c r="G10" s="3" t="s">
        <v>1415</v>
      </c>
      <c r="H10" s="3" t="s">
        <v>1415</v>
      </c>
      <c r="I10" s="3" t="s">
        <v>1415</v>
      </c>
      <c r="J10" s="3" t="s">
        <v>1415</v>
      </c>
      <c r="K10" s="3" t="s">
        <v>1415</v>
      </c>
      <c r="L10" s="3" t="s">
        <v>1415</v>
      </c>
      <c r="M10" s="3" t="s">
        <v>1415</v>
      </c>
      <c r="N10" s="3" t="s">
        <v>1415</v>
      </c>
      <c r="O10" s="5" t="s">
        <v>1415</v>
      </c>
      <c r="P10" s="5" t="s">
        <v>1415</v>
      </c>
      <c r="Q10" s="5" t="s">
        <v>1415</v>
      </c>
      <c r="R10" s="46" t="s">
        <v>1415</v>
      </c>
      <c r="S10" s="46" t="s">
        <v>1415</v>
      </c>
      <c r="T10" s="46" t="s">
        <v>1415</v>
      </c>
      <c r="U10" s="46" t="s">
        <v>1415</v>
      </c>
      <c r="V10" s="49" t="s">
        <v>1415</v>
      </c>
      <c r="W10" s="49" t="s">
        <v>1415</v>
      </c>
      <c r="X10" s="51" t="s">
        <v>1415</v>
      </c>
      <c r="Y10" s="51" t="s">
        <v>1415</v>
      </c>
      <c r="Z10" s="6" t="s">
        <v>1415</v>
      </c>
      <c r="AA10" s="6" t="s">
        <v>1415</v>
      </c>
      <c r="AB10" s="6" t="s">
        <v>1415</v>
      </c>
      <c r="AC10" s="4" t="s">
        <v>1415</v>
      </c>
      <c r="AD10" s="6" t="s">
        <v>1415</v>
      </c>
      <c r="AE10" s="6" t="s">
        <v>1415</v>
      </c>
      <c r="AF10" s="6" t="s">
        <v>1415</v>
      </c>
      <c r="AG10" s="6" t="s">
        <v>1415</v>
      </c>
      <c r="AH10" s="6" t="s">
        <v>1415</v>
      </c>
      <c r="AI10" s="6" t="s">
        <v>1415</v>
      </c>
      <c r="AJ10" s="6" t="s">
        <v>1415</v>
      </c>
      <c r="AK10" s="6" t="s">
        <v>1415</v>
      </c>
      <c r="AL10" s="4" t="s">
        <v>1415</v>
      </c>
      <c r="AM10" s="6" t="s">
        <v>1415</v>
      </c>
      <c r="AN10" s="6" t="s">
        <v>1415</v>
      </c>
      <c r="AO10" s="6" t="s">
        <v>1415</v>
      </c>
      <c r="AP10" s="6" t="s">
        <v>1415</v>
      </c>
      <c r="AQ10" s="6" t="s">
        <v>1415</v>
      </c>
      <c r="AR10" s="6" t="s">
        <v>1415</v>
      </c>
      <c r="AS10" s="6" t="s">
        <v>1415</v>
      </c>
      <c r="AT10" s="6" t="s">
        <v>1415</v>
      </c>
      <c r="AU10" s="6" t="s">
        <v>1415</v>
      </c>
      <c r="AV10" s="63" t="s">
        <v>1415</v>
      </c>
      <c r="AW10" s="63" t="s">
        <v>1415</v>
      </c>
      <c r="AX10" s="6">
        <f t="array" ref="AX10">IFERROR(INDEX(Datos_Consumo[CANTIDAD],MATCH(TABLATRANSFERENCIA[[#This Row],[CODIGO]]&amp;TABLATRANSFERENCIA[[#Headers],[Columna1]],Datos_Consumo[CODIGO]&amp;Datos_Consumo[FECHA_FORMATO],0)),0)</f>
        <v>0</v>
      </c>
      <c r="AY10" s="6">
        <f t="array" ref="AY10">IFERROR(INDEX(Datos_Consumo[CANTIDAD],MATCH(TABLATRANSFERENCIA[[#This Row],[CODIGO]]&amp;TABLATRANSFERENCIA[[#Headers],[Columna2]],Datos_Consumo[CODIGO]&amp;Datos_Consumo[FECHA_FORMATO],0)),0)</f>
        <v>0</v>
      </c>
      <c r="AZ10" s="6">
        <f t="array" ref="AZ10">IFERROR(INDEX(Datos_Consumo[CANTIDAD],MATCH(TABLATRANSFERENCIA[[#This Row],[CODIGO]]&amp;TABLATRANSFERENCIA[[#Headers],[Columna3]],Datos_Consumo[CODIGO]&amp;Datos_Consumo[FECHA_FORMATO],0)),0)</f>
        <v>0</v>
      </c>
      <c r="BA10" s="6">
        <f t="array" ref="BA10">IFERROR(INDEX(Datos_Consumo[CANTIDAD],MATCH(TABLATRANSFERENCIA[[#This Row],[CODIGO]]&amp;TABLATRANSFERENCIA[[#Headers],[Columna4]],Datos_Consumo[CODIGO]&amp;Datos_Consumo[FECHA_FORMATO],0)),0)</f>
        <v>0</v>
      </c>
      <c r="BB10" s="6">
        <f t="array" ref="BB10">IFERROR(INDEX(Datos_Consumo[CANTIDAD],MATCH(TABLATRANSFERENCIA[[#This Row],[CODIGO]]&amp;TABLATRANSFERENCIA[[#Headers],[Columna5]],Datos_Consumo[CODIGO]&amp;Datos_Consumo[FECHA_FORMATO],0)),0)</f>
        <v>0</v>
      </c>
      <c r="BC10" s="6">
        <f t="array" ref="BC10">IFERROR(INDEX(Datos_Consumo[CANTIDAD],MATCH(TABLATRANSFERENCIA[[#This Row],[CODIGO]]&amp;TABLATRANSFERENCIA[[#Headers],[Columna6]],Datos_Consumo[CODIGO]&amp;Datos_Consumo[FECHA_FORMATO],0)),0)</f>
        <v>0</v>
      </c>
      <c r="BD10" s="50">
        <v>8</v>
      </c>
      <c r="BE10" s="55">
        <v>8</v>
      </c>
      <c r="BF10" s="50"/>
      <c r="BG10" s="51"/>
      <c r="BH10" s="51">
        <f>IF(RIGHT(TABLATRANSFERENCIA[[#Headers],[Emb1]],1)*1&lt;=TABLATRANSFERENCIA[[#This Row],[EMBARQUES]],IF(ISBLANK(TABLATRANSFERENCIA[[#This Row],[EMBARQUES]]),TABLATRANSFERENCIA[[#This Row],[REQUERIM]],ROUND(TABLATRANSFERENCIA[[#This Row],[REQUERIM]]/TABLATRANSFERENCIA[[#This Row],[EMBARQUES]],0)),TABLATRANSFERENCIA[[#This Row],[REQUERIM]])</f>
        <v>8</v>
      </c>
      <c r="BI1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0" s="51"/>
      <c r="BN10" s="46">
        <f>IFERROR(TABLATRANSFERENCIA[[#This Row],[REQUERIM]]/TABLATRANSFERENCIA[[#This Row],[PEDIDO PROMEDIO]],0)</f>
        <v>0</v>
      </c>
      <c r="BO10" s="51"/>
      <c r="BP10" s="60"/>
      <c r="BQ10" s="3">
        <f>IF(TABLATRANSFERENCIA[[#This Row],[RECIBIDO]]&lt;&gt;"",0,IF(TABLATRANSFERENCIA[[#This Row],[DESPACHO]]&lt;&gt;"",TABLATRANSFERENCIA[[#This Row],[DESPACHO]],TABLATRANSFERENCIA[[#This Row],[REQUERIM]]))</f>
        <v>8</v>
      </c>
      <c r="BR10" s="50"/>
      <c r="BS10" s="50"/>
      <c r="BT10" s="50" t="str">
        <f t="shared" ref="BT10:BT40" si="0">"N"</f>
        <v>N</v>
      </c>
      <c r="BU10" s="51">
        <f t="array" ref="BU10">IF(SUM(--(TABLATRANSFERENCIA[[#This Row],[CODIGO GENERICO]]=TABLATRANSFERENCIA[CODIGO GENERICO])*TABLATRANSFERENCIA[REQUERIM])&lt;TABLATRANSFERENCIA[[#This Row],[PEDIDO MIN GRUPO]],1,0)</f>
        <v>1</v>
      </c>
      <c r="BV1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0" s="51" t="s">
        <v>1415</v>
      </c>
      <c r="BX10" s="51" t="s">
        <v>1415</v>
      </c>
    </row>
    <row r="11" spans="1:76" x14ac:dyDescent="0.25">
      <c r="A11" s="54" t="s">
        <v>1373</v>
      </c>
      <c r="B11" s="3" t="s">
        <v>1415</v>
      </c>
      <c r="C11" s="3" t="s">
        <v>1415</v>
      </c>
      <c r="D11" s="3" t="s">
        <v>1415</v>
      </c>
      <c r="E11" s="3" t="s">
        <v>1415</v>
      </c>
      <c r="F11" s="3" t="s">
        <v>1415</v>
      </c>
      <c r="G11" s="3" t="s">
        <v>1415</v>
      </c>
      <c r="H11" s="3" t="s">
        <v>1415</v>
      </c>
      <c r="I11" s="3" t="s">
        <v>1415</v>
      </c>
      <c r="J11" s="3" t="s">
        <v>1415</v>
      </c>
      <c r="K11" s="3" t="s">
        <v>1415</v>
      </c>
      <c r="L11" s="3" t="s">
        <v>1415</v>
      </c>
      <c r="M11" s="3" t="s">
        <v>1415</v>
      </c>
      <c r="N11" s="3" t="s">
        <v>1415</v>
      </c>
      <c r="O11" s="5" t="s">
        <v>1415</v>
      </c>
      <c r="P11" s="5" t="s">
        <v>1415</v>
      </c>
      <c r="Q11" s="5" t="s">
        <v>1415</v>
      </c>
      <c r="R11" s="46" t="s">
        <v>1415</v>
      </c>
      <c r="S11" s="46" t="s">
        <v>1415</v>
      </c>
      <c r="T11" s="46" t="s">
        <v>1415</v>
      </c>
      <c r="U11" s="46" t="s">
        <v>1415</v>
      </c>
      <c r="V11" s="49" t="s">
        <v>1415</v>
      </c>
      <c r="W11" s="49" t="s">
        <v>1415</v>
      </c>
      <c r="X11" s="51" t="s">
        <v>1415</v>
      </c>
      <c r="Y11" s="51" t="s">
        <v>1415</v>
      </c>
      <c r="Z11" s="6" t="s">
        <v>1415</v>
      </c>
      <c r="AA11" s="6" t="s">
        <v>1415</v>
      </c>
      <c r="AB11" s="6" t="s">
        <v>1415</v>
      </c>
      <c r="AC11" s="4" t="s">
        <v>1415</v>
      </c>
      <c r="AD11" s="6" t="s">
        <v>1415</v>
      </c>
      <c r="AE11" s="6" t="s">
        <v>1415</v>
      </c>
      <c r="AF11" s="6" t="s">
        <v>1415</v>
      </c>
      <c r="AG11" s="6" t="s">
        <v>1415</v>
      </c>
      <c r="AH11" s="6" t="s">
        <v>1415</v>
      </c>
      <c r="AI11" s="6" t="s">
        <v>1415</v>
      </c>
      <c r="AJ11" s="6" t="s">
        <v>1415</v>
      </c>
      <c r="AK11" s="6" t="s">
        <v>1415</v>
      </c>
      <c r="AL11" s="4" t="s">
        <v>1415</v>
      </c>
      <c r="AM11" s="6" t="s">
        <v>1415</v>
      </c>
      <c r="AN11" s="6" t="s">
        <v>1415</v>
      </c>
      <c r="AO11" s="6" t="s">
        <v>1415</v>
      </c>
      <c r="AP11" s="6" t="s">
        <v>1415</v>
      </c>
      <c r="AQ11" s="6" t="s">
        <v>1415</v>
      </c>
      <c r="AR11" s="6" t="s">
        <v>1415</v>
      </c>
      <c r="AS11" s="6" t="s">
        <v>1415</v>
      </c>
      <c r="AT11" s="6" t="s">
        <v>1415</v>
      </c>
      <c r="AU11" s="6" t="s">
        <v>1415</v>
      </c>
      <c r="AV11" s="63" t="s">
        <v>1415</v>
      </c>
      <c r="AW11" s="63" t="s">
        <v>1415</v>
      </c>
      <c r="AX11" s="6">
        <f t="array" ref="AX11">IFERROR(INDEX(Datos_Consumo[CANTIDAD],MATCH(TABLATRANSFERENCIA[[#This Row],[CODIGO]]&amp;TABLATRANSFERENCIA[[#Headers],[Columna1]],Datos_Consumo[CODIGO]&amp;Datos_Consumo[FECHA_FORMATO],0)),0)</f>
        <v>0</v>
      </c>
      <c r="AY11" s="6">
        <f t="array" ref="AY11">IFERROR(INDEX(Datos_Consumo[CANTIDAD],MATCH(TABLATRANSFERENCIA[[#This Row],[CODIGO]]&amp;TABLATRANSFERENCIA[[#Headers],[Columna2]],Datos_Consumo[CODIGO]&amp;Datos_Consumo[FECHA_FORMATO],0)),0)</f>
        <v>0</v>
      </c>
      <c r="AZ11" s="6">
        <f t="array" ref="AZ11">IFERROR(INDEX(Datos_Consumo[CANTIDAD],MATCH(TABLATRANSFERENCIA[[#This Row],[CODIGO]]&amp;TABLATRANSFERENCIA[[#Headers],[Columna3]],Datos_Consumo[CODIGO]&amp;Datos_Consumo[FECHA_FORMATO],0)),0)</f>
        <v>0</v>
      </c>
      <c r="BA11" s="6">
        <f t="array" ref="BA11">IFERROR(INDEX(Datos_Consumo[CANTIDAD],MATCH(TABLATRANSFERENCIA[[#This Row],[CODIGO]]&amp;TABLATRANSFERENCIA[[#Headers],[Columna4]],Datos_Consumo[CODIGO]&amp;Datos_Consumo[FECHA_FORMATO],0)),0)</f>
        <v>0</v>
      </c>
      <c r="BB11" s="6">
        <f t="array" ref="BB11">IFERROR(INDEX(Datos_Consumo[CANTIDAD],MATCH(TABLATRANSFERENCIA[[#This Row],[CODIGO]]&amp;TABLATRANSFERENCIA[[#Headers],[Columna5]],Datos_Consumo[CODIGO]&amp;Datos_Consumo[FECHA_FORMATO],0)),0)</f>
        <v>0</v>
      </c>
      <c r="BC11" s="6">
        <f t="array" ref="BC11">IFERROR(INDEX(Datos_Consumo[CANTIDAD],MATCH(TABLATRANSFERENCIA[[#This Row],[CODIGO]]&amp;TABLATRANSFERENCIA[[#Headers],[Columna6]],Datos_Consumo[CODIGO]&amp;Datos_Consumo[FECHA_FORMATO],0)),0)</f>
        <v>0</v>
      </c>
      <c r="BD11" s="50">
        <v>20</v>
      </c>
      <c r="BE11" s="55">
        <v>20</v>
      </c>
      <c r="BF11" s="50"/>
      <c r="BG11" s="51"/>
      <c r="BH11"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1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1" s="51"/>
      <c r="BN11" s="46">
        <f>IFERROR(TABLATRANSFERENCIA[[#This Row],[REQUERIM]]/TABLATRANSFERENCIA[[#This Row],[PEDIDO PROMEDIO]],0)</f>
        <v>0</v>
      </c>
      <c r="BO11" s="51"/>
      <c r="BP11" s="60"/>
      <c r="BQ11" s="3">
        <f>IF(TABLATRANSFERENCIA[[#This Row],[RECIBIDO]]&lt;&gt;"",0,IF(TABLATRANSFERENCIA[[#This Row],[DESPACHO]]&lt;&gt;"",TABLATRANSFERENCIA[[#This Row],[DESPACHO]],TABLATRANSFERENCIA[[#This Row],[REQUERIM]]))</f>
        <v>20</v>
      </c>
      <c r="BR11" s="50"/>
      <c r="BS11" s="50"/>
      <c r="BT11" s="50" t="str">
        <f t="shared" si="0"/>
        <v>N</v>
      </c>
      <c r="BU11" s="51">
        <f t="array" ref="BU11">IF(SUM(--(TABLATRANSFERENCIA[[#This Row],[CODIGO GENERICO]]=TABLATRANSFERENCIA[CODIGO GENERICO])*TABLATRANSFERENCIA[REQUERIM])&lt;TABLATRANSFERENCIA[[#This Row],[PEDIDO MIN GRUPO]],1,0)</f>
        <v>1</v>
      </c>
      <c r="BV1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1" s="51" t="s">
        <v>1415</v>
      </c>
      <c r="BX11" s="51" t="s">
        <v>1415</v>
      </c>
    </row>
    <row r="12" spans="1:76" x14ac:dyDescent="0.25">
      <c r="A12" s="54" t="s">
        <v>1380</v>
      </c>
      <c r="B12" s="3" t="s">
        <v>1415</v>
      </c>
      <c r="C12" s="3" t="s">
        <v>1415</v>
      </c>
      <c r="D12" s="3" t="s">
        <v>1415</v>
      </c>
      <c r="E12" s="3" t="s">
        <v>1415</v>
      </c>
      <c r="F12" s="3" t="s">
        <v>1415</v>
      </c>
      <c r="G12" s="3" t="s">
        <v>1415</v>
      </c>
      <c r="H12" s="3" t="s">
        <v>1415</v>
      </c>
      <c r="I12" s="3" t="s">
        <v>1415</v>
      </c>
      <c r="J12" s="3" t="s">
        <v>1415</v>
      </c>
      <c r="K12" s="3" t="s">
        <v>1415</v>
      </c>
      <c r="L12" s="3" t="s">
        <v>1415</v>
      </c>
      <c r="M12" s="3" t="s">
        <v>1415</v>
      </c>
      <c r="N12" s="3" t="s">
        <v>1415</v>
      </c>
      <c r="O12" s="5" t="s">
        <v>1415</v>
      </c>
      <c r="P12" s="5" t="s">
        <v>1415</v>
      </c>
      <c r="Q12" s="5" t="s">
        <v>1415</v>
      </c>
      <c r="R12" s="46" t="s">
        <v>1415</v>
      </c>
      <c r="S12" s="46" t="s">
        <v>1415</v>
      </c>
      <c r="T12" s="46" t="s">
        <v>1415</v>
      </c>
      <c r="U12" s="46" t="s">
        <v>1415</v>
      </c>
      <c r="V12" s="49" t="s">
        <v>1415</v>
      </c>
      <c r="W12" s="49" t="s">
        <v>1415</v>
      </c>
      <c r="X12" s="51" t="s">
        <v>1415</v>
      </c>
      <c r="Y12" s="51" t="s">
        <v>1415</v>
      </c>
      <c r="Z12" s="6" t="s">
        <v>1415</v>
      </c>
      <c r="AA12" s="6" t="s">
        <v>1415</v>
      </c>
      <c r="AB12" s="6" t="s">
        <v>1415</v>
      </c>
      <c r="AC12" s="4" t="s">
        <v>1415</v>
      </c>
      <c r="AD12" s="6" t="s">
        <v>1415</v>
      </c>
      <c r="AE12" s="6" t="s">
        <v>1415</v>
      </c>
      <c r="AF12" s="6" t="s">
        <v>1415</v>
      </c>
      <c r="AG12" s="6" t="s">
        <v>1415</v>
      </c>
      <c r="AH12" s="6" t="s">
        <v>1415</v>
      </c>
      <c r="AI12" s="6" t="s">
        <v>1415</v>
      </c>
      <c r="AJ12" s="6" t="s">
        <v>1415</v>
      </c>
      <c r="AK12" s="6" t="s">
        <v>1415</v>
      </c>
      <c r="AL12" s="4" t="s">
        <v>1415</v>
      </c>
      <c r="AM12" s="6" t="s">
        <v>1415</v>
      </c>
      <c r="AN12" s="6" t="s">
        <v>1415</v>
      </c>
      <c r="AO12" s="6" t="s">
        <v>1415</v>
      </c>
      <c r="AP12" s="6" t="s">
        <v>1415</v>
      </c>
      <c r="AQ12" s="6" t="s">
        <v>1415</v>
      </c>
      <c r="AR12" s="6" t="s">
        <v>1415</v>
      </c>
      <c r="AS12" s="6" t="s">
        <v>1415</v>
      </c>
      <c r="AT12" s="6" t="s">
        <v>1415</v>
      </c>
      <c r="AU12" s="6" t="s">
        <v>1415</v>
      </c>
      <c r="AV12" s="63" t="s">
        <v>1415</v>
      </c>
      <c r="AW12" s="63" t="s">
        <v>1415</v>
      </c>
      <c r="AX12" s="6">
        <f t="array" ref="AX12">IFERROR(INDEX(Datos_Consumo[CANTIDAD],MATCH(TABLATRANSFERENCIA[[#This Row],[CODIGO]]&amp;TABLATRANSFERENCIA[[#Headers],[Columna1]],Datos_Consumo[CODIGO]&amp;Datos_Consumo[FECHA_FORMATO],0)),0)</f>
        <v>0</v>
      </c>
      <c r="AY12" s="6">
        <f t="array" ref="AY12">IFERROR(INDEX(Datos_Consumo[CANTIDAD],MATCH(TABLATRANSFERENCIA[[#This Row],[CODIGO]]&amp;TABLATRANSFERENCIA[[#Headers],[Columna2]],Datos_Consumo[CODIGO]&amp;Datos_Consumo[FECHA_FORMATO],0)),0)</f>
        <v>0</v>
      </c>
      <c r="AZ12" s="6">
        <f t="array" ref="AZ12">IFERROR(INDEX(Datos_Consumo[CANTIDAD],MATCH(TABLATRANSFERENCIA[[#This Row],[CODIGO]]&amp;TABLATRANSFERENCIA[[#Headers],[Columna3]],Datos_Consumo[CODIGO]&amp;Datos_Consumo[FECHA_FORMATO],0)),0)</f>
        <v>0</v>
      </c>
      <c r="BA12" s="6">
        <f t="array" ref="BA12">IFERROR(INDEX(Datos_Consumo[CANTIDAD],MATCH(TABLATRANSFERENCIA[[#This Row],[CODIGO]]&amp;TABLATRANSFERENCIA[[#Headers],[Columna4]],Datos_Consumo[CODIGO]&amp;Datos_Consumo[FECHA_FORMATO],0)),0)</f>
        <v>0</v>
      </c>
      <c r="BB12" s="6">
        <f t="array" ref="BB12">IFERROR(INDEX(Datos_Consumo[CANTIDAD],MATCH(TABLATRANSFERENCIA[[#This Row],[CODIGO]]&amp;TABLATRANSFERENCIA[[#Headers],[Columna5]],Datos_Consumo[CODIGO]&amp;Datos_Consumo[FECHA_FORMATO],0)),0)</f>
        <v>0</v>
      </c>
      <c r="BC12" s="6">
        <f t="array" ref="BC12">IFERROR(INDEX(Datos_Consumo[CANTIDAD],MATCH(TABLATRANSFERENCIA[[#This Row],[CODIGO]]&amp;TABLATRANSFERENCIA[[#Headers],[Columna6]],Datos_Consumo[CODIGO]&amp;Datos_Consumo[FECHA_FORMATO],0)),0)</f>
        <v>0</v>
      </c>
      <c r="BD12" s="50">
        <v>12</v>
      </c>
      <c r="BE12" s="55">
        <v>12</v>
      </c>
      <c r="BF12" s="50"/>
      <c r="BG12" s="51"/>
      <c r="BH12" s="51">
        <f>IF(RIGHT(TABLATRANSFERENCIA[[#Headers],[Emb1]],1)*1&lt;=TABLATRANSFERENCIA[[#This Row],[EMBARQUES]],IF(ISBLANK(TABLATRANSFERENCIA[[#This Row],[EMBARQUES]]),TABLATRANSFERENCIA[[#This Row],[REQUERIM]],ROUND(TABLATRANSFERENCIA[[#This Row],[REQUERIM]]/TABLATRANSFERENCIA[[#This Row],[EMBARQUES]],0)),TABLATRANSFERENCIA[[#This Row],[REQUERIM]])</f>
        <v>12</v>
      </c>
      <c r="BI1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2" s="51"/>
      <c r="BN12" s="46">
        <f>IFERROR(TABLATRANSFERENCIA[[#This Row],[REQUERIM]]/TABLATRANSFERENCIA[[#This Row],[PEDIDO PROMEDIO]],0)</f>
        <v>0</v>
      </c>
      <c r="BO12" s="51"/>
      <c r="BP12" s="60"/>
      <c r="BQ12" s="3">
        <f>IF(TABLATRANSFERENCIA[[#This Row],[RECIBIDO]]&lt;&gt;"",0,IF(TABLATRANSFERENCIA[[#This Row],[DESPACHO]]&lt;&gt;"",TABLATRANSFERENCIA[[#This Row],[DESPACHO]],TABLATRANSFERENCIA[[#This Row],[REQUERIM]]))</f>
        <v>12</v>
      </c>
      <c r="BR12" s="50"/>
      <c r="BS12" s="50"/>
      <c r="BT12" s="50" t="str">
        <f t="shared" si="0"/>
        <v>N</v>
      </c>
      <c r="BU12" s="51">
        <f t="array" ref="BU12">IF(SUM(--(TABLATRANSFERENCIA[[#This Row],[CODIGO GENERICO]]=TABLATRANSFERENCIA[CODIGO GENERICO])*TABLATRANSFERENCIA[REQUERIM])&lt;TABLATRANSFERENCIA[[#This Row],[PEDIDO MIN GRUPO]],1,0)</f>
        <v>1</v>
      </c>
      <c r="BV12"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2" s="51" t="s">
        <v>1415</v>
      </c>
      <c r="BX12" s="51" t="s">
        <v>1415</v>
      </c>
    </row>
    <row r="13" spans="1:76" x14ac:dyDescent="0.25">
      <c r="A13" s="54" t="s">
        <v>1389</v>
      </c>
      <c r="B13" s="3" t="s">
        <v>1415</v>
      </c>
      <c r="C13" s="3" t="s">
        <v>1415</v>
      </c>
      <c r="D13" s="3" t="s">
        <v>1415</v>
      </c>
      <c r="E13" s="3" t="s">
        <v>1415</v>
      </c>
      <c r="F13" s="3" t="s">
        <v>1415</v>
      </c>
      <c r="G13" s="3" t="s">
        <v>1415</v>
      </c>
      <c r="H13" s="3" t="s">
        <v>1415</v>
      </c>
      <c r="I13" s="3" t="s">
        <v>1415</v>
      </c>
      <c r="J13" s="3" t="s">
        <v>1415</v>
      </c>
      <c r="K13" s="3" t="s">
        <v>1415</v>
      </c>
      <c r="L13" s="3" t="s">
        <v>1415</v>
      </c>
      <c r="M13" s="3" t="s">
        <v>1415</v>
      </c>
      <c r="N13" s="3" t="s">
        <v>1415</v>
      </c>
      <c r="O13" s="5" t="s">
        <v>1415</v>
      </c>
      <c r="P13" s="5" t="s">
        <v>1415</v>
      </c>
      <c r="Q13" s="5" t="s">
        <v>1415</v>
      </c>
      <c r="R13" s="46" t="s">
        <v>1415</v>
      </c>
      <c r="S13" s="46" t="s">
        <v>1415</v>
      </c>
      <c r="T13" s="46" t="s">
        <v>1415</v>
      </c>
      <c r="U13" s="46" t="s">
        <v>1415</v>
      </c>
      <c r="V13" s="49" t="s">
        <v>1415</v>
      </c>
      <c r="W13" s="49" t="s">
        <v>1415</v>
      </c>
      <c r="X13" s="51" t="s">
        <v>1415</v>
      </c>
      <c r="Y13" s="51" t="s">
        <v>1415</v>
      </c>
      <c r="Z13" s="6" t="s">
        <v>1415</v>
      </c>
      <c r="AA13" s="6" t="s">
        <v>1415</v>
      </c>
      <c r="AB13" s="6" t="s">
        <v>1415</v>
      </c>
      <c r="AC13" s="4" t="s">
        <v>1415</v>
      </c>
      <c r="AD13" s="6" t="s">
        <v>1415</v>
      </c>
      <c r="AE13" s="6" t="s">
        <v>1415</v>
      </c>
      <c r="AF13" s="6" t="s">
        <v>1415</v>
      </c>
      <c r="AG13" s="6" t="s">
        <v>1415</v>
      </c>
      <c r="AH13" s="6" t="s">
        <v>1415</v>
      </c>
      <c r="AI13" s="6" t="s">
        <v>1415</v>
      </c>
      <c r="AJ13" s="6" t="s">
        <v>1415</v>
      </c>
      <c r="AK13" s="6" t="s">
        <v>1415</v>
      </c>
      <c r="AL13" s="4" t="s">
        <v>1415</v>
      </c>
      <c r="AM13" s="6" t="s">
        <v>1415</v>
      </c>
      <c r="AN13" s="6" t="s">
        <v>1415</v>
      </c>
      <c r="AO13" s="6" t="s">
        <v>1415</v>
      </c>
      <c r="AP13" s="6" t="s">
        <v>1415</v>
      </c>
      <c r="AQ13" s="6" t="s">
        <v>1415</v>
      </c>
      <c r="AR13" s="6" t="s">
        <v>1415</v>
      </c>
      <c r="AS13" s="6" t="s">
        <v>1415</v>
      </c>
      <c r="AT13" s="6" t="s">
        <v>1415</v>
      </c>
      <c r="AU13" s="6" t="s">
        <v>1415</v>
      </c>
      <c r="AV13" s="63" t="s">
        <v>1415</v>
      </c>
      <c r="AW13" s="63" t="s">
        <v>1415</v>
      </c>
      <c r="AX13" s="6">
        <f t="array" ref="AX13">IFERROR(INDEX(Datos_Consumo[CANTIDAD],MATCH(TABLATRANSFERENCIA[[#This Row],[CODIGO]]&amp;TABLATRANSFERENCIA[[#Headers],[Columna1]],Datos_Consumo[CODIGO]&amp;Datos_Consumo[FECHA_FORMATO],0)),0)</f>
        <v>0</v>
      </c>
      <c r="AY13" s="6">
        <f t="array" ref="AY13">IFERROR(INDEX(Datos_Consumo[CANTIDAD],MATCH(TABLATRANSFERENCIA[[#This Row],[CODIGO]]&amp;TABLATRANSFERENCIA[[#Headers],[Columna2]],Datos_Consumo[CODIGO]&amp;Datos_Consumo[FECHA_FORMATO],0)),0)</f>
        <v>0</v>
      </c>
      <c r="AZ13" s="6">
        <f t="array" ref="AZ13">IFERROR(INDEX(Datos_Consumo[CANTIDAD],MATCH(TABLATRANSFERENCIA[[#This Row],[CODIGO]]&amp;TABLATRANSFERENCIA[[#Headers],[Columna3]],Datos_Consumo[CODIGO]&amp;Datos_Consumo[FECHA_FORMATO],0)),0)</f>
        <v>0</v>
      </c>
      <c r="BA13" s="6">
        <f t="array" ref="BA13">IFERROR(INDEX(Datos_Consumo[CANTIDAD],MATCH(TABLATRANSFERENCIA[[#This Row],[CODIGO]]&amp;TABLATRANSFERENCIA[[#Headers],[Columna4]],Datos_Consumo[CODIGO]&amp;Datos_Consumo[FECHA_FORMATO],0)),0)</f>
        <v>0</v>
      </c>
      <c r="BB13" s="6">
        <f t="array" ref="BB13">IFERROR(INDEX(Datos_Consumo[CANTIDAD],MATCH(TABLATRANSFERENCIA[[#This Row],[CODIGO]]&amp;TABLATRANSFERENCIA[[#Headers],[Columna5]],Datos_Consumo[CODIGO]&amp;Datos_Consumo[FECHA_FORMATO],0)),0)</f>
        <v>0</v>
      </c>
      <c r="BC13" s="6">
        <f t="array" ref="BC13">IFERROR(INDEX(Datos_Consumo[CANTIDAD],MATCH(TABLATRANSFERENCIA[[#This Row],[CODIGO]]&amp;TABLATRANSFERENCIA[[#Headers],[Columna6]],Datos_Consumo[CODIGO]&amp;Datos_Consumo[FECHA_FORMATO],0)),0)</f>
        <v>0</v>
      </c>
      <c r="BD13" s="50">
        <v>20</v>
      </c>
      <c r="BE13" s="55">
        <v>20</v>
      </c>
      <c r="BF13" s="50"/>
      <c r="BG13" s="51"/>
      <c r="BH13"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1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3" s="51"/>
      <c r="BN13" s="46">
        <f>IFERROR(TABLATRANSFERENCIA[[#This Row],[REQUERIM]]/TABLATRANSFERENCIA[[#This Row],[PEDIDO PROMEDIO]],0)</f>
        <v>0</v>
      </c>
      <c r="BO13" s="51"/>
      <c r="BP13" s="60"/>
      <c r="BQ13" s="3">
        <f>IF(TABLATRANSFERENCIA[[#This Row],[RECIBIDO]]&lt;&gt;"",0,IF(TABLATRANSFERENCIA[[#This Row],[DESPACHO]]&lt;&gt;"",TABLATRANSFERENCIA[[#This Row],[DESPACHO]],TABLATRANSFERENCIA[[#This Row],[REQUERIM]]))</f>
        <v>20</v>
      </c>
      <c r="BR13" s="50"/>
      <c r="BS13" s="50"/>
      <c r="BT13" s="50" t="str">
        <f t="shared" si="0"/>
        <v>N</v>
      </c>
      <c r="BU13" s="51">
        <f t="array" ref="BU13">IF(SUM(--(TABLATRANSFERENCIA[[#This Row],[CODIGO GENERICO]]=TABLATRANSFERENCIA[CODIGO GENERICO])*TABLATRANSFERENCIA[REQUERIM])&lt;TABLATRANSFERENCIA[[#This Row],[PEDIDO MIN GRUPO]],1,0)</f>
        <v>1</v>
      </c>
      <c r="BV13"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3" s="51" t="s">
        <v>1415</v>
      </c>
      <c r="BX13" s="51" t="s">
        <v>1415</v>
      </c>
    </row>
    <row r="14" spans="1:76" x14ac:dyDescent="0.25">
      <c r="A14" s="54" t="s">
        <v>1381</v>
      </c>
      <c r="B14" s="3" t="s">
        <v>1415</v>
      </c>
      <c r="C14" s="3" t="s">
        <v>1415</v>
      </c>
      <c r="D14" s="3" t="s">
        <v>1415</v>
      </c>
      <c r="E14" s="3" t="s">
        <v>1415</v>
      </c>
      <c r="F14" s="3" t="s">
        <v>1415</v>
      </c>
      <c r="G14" s="3" t="s">
        <v>1415</v>
      </c>
      <c r="H14" s="3" t="s">
        <v>1415</v>
      </c>
      <c r="I14" s="3" t="s">
        <v>1415</v>
      </c>
      <c r="J14" s="3" t="s">
        <v>1415</v>
      </c>
      <c r="K14" s="3" t="s">
        <v>1415</v>
      </c>
      <c r="L14" s="3" t="s">
        <v>1415</v>
      </c>
      <c r="M14" s="3" t="s">
        <v>1415</v>
      </c>
      <c r="N14" s="3" t="s">
        <v>1415</v>
      </c>
      <c r="O14" s="5" t="s">
        <v>1415</v>
      </c>
      <c r="P14" s="5" t="s">
        <v>1415</v>
      </c>
      <c r="Q14" s="5" t="s">
        <v>1415</v>
      </c>
      <c r="R14" s="46" t="s">
        <v>1415</v>
      </c>
      <c r="S14" s="46" t="s">
        <v>1415</v>
      </c>
      <c r="T14" s="46" t="s">
        <v>1415</v>
      </c>
      <c r="U14" s="46" t="s">
        <v>1415</v>
      </c>
      <c r="V14" s="49" t="s">
        <v>1415</v>
      </c>
      <c r="W14" s="49" t="s">
        <v>1415</v>
      </c>
      <c r="X14" s="51" t="s">
        <v>1415</v>
      </c>
      <c r="Y14" s="51" t="s">
        <v>1415</v>
      </c>
      <c r="Z14" s="6" t="s">
        <v>1415</v>
      </c>
      <c r="AA14" s="6" t="s">
        <v>1415</v>
      </c>
      <c r="AB14" s="6" t="s">
        <v>1415</v>
      </c>
      <c r="AC14" s="4" t="s">
        <v>1415</v>
      </c>
      <c r="AD14" s="6" t="s">
        <v>1415</v>
      </c>
      <c r="AE14" s="6" t="s">
        <v>1415</v>
      </c>
      <c r="AF14" s="6" t="s">
        <v>1415</v>
      </c>
      <c r="AG14" s="6" t="s">
        <v>1415</v>
      </c>
      <c r="AH14" s="6" t="s">
        <v>1415</v>
      </c>
      <c r="AI14" s="6" t="s">
        <v>1415</v>
      </c>
      <c r="AJ14" s="6" t="s">
        <v>1415</v>
      </c>
      <c r="AK14" s="6" t="s">
        <v>1415</v>
      </c>
      <c r="AL14" s="4" t="s">
        <v>1415</v>
      </c>
      <c r="AM14" s="6" t="s">
        <v>1415</v>
      </c>
      <c r="AN14" s="6" t="s">
        <v>1415</v>
      </c>
      <c r="AO14" s="6" t="s">
        <v>1415</v>
      </c>
      <c r="AP14" s="6" t="s">
        <v>1415</v>
      </c>
      <c r="AQ14" s="6" t="s">
        <v>1415</v>
      </c>
      <c r="AR14" s="6" t="s">
        <v>1415</v>
      </c>
      <c r="AS14" s="6" t="s">
        <v>1415</v>
      </c>
      <c r="AT14" s="6" t="s">
        <v>1415</v>
      </c>
      <c r="AU14" s="6" t="s">
        <v>1415</v>
      </c>
      <c r="AV14" s="63" t="s">
        <v>1415</v>
      </c>
      <c r="AW14" s="63" t="s">
        <v>1415</v>
      </c>
      <c r="AX14" s="6">
        <f t="array" ref="AX14">IFERROR(INDEX(Datos_Consumo[CANTIDAD],MATCH(TABLATRANSFERENCIA[[#This Row],[CODIGO]]&amp;TABLATRANSFERENCIA[[#Headers],[Columna1]],Datos_Consumo[CODIGO]&amp;Datos_Consumo[FECHA_FORMATO],0)),0)</f>
        <v>0</v>
      </c>
      <c r="AY14" s="6">
        <f t="array" ref="AY14">IFERROR(INDEX(Datos_Consumo[CANTIDAD],MATCH(TABLATRANSFERENCIA[[#This Row],[CODIGO]]&amp;TABLATRANSFERENCIA[[#Headers],[Columna2]],Datos_Consumo[CODIGO]&amp;Datos_Consumo[FECHA_FORMATO],0)),0)</f>
        <v>0</v>
      </c>
      <c r="AZ14" s="6">
        <f t="array" ref="AZ14">IFERROR(INDEX(Datos_Consumo[CANTIDAD],MATCH(TABLATRANSFERENCIA[[#This Row],[CODIGO]]&amp;TABLATRANSFERENCIA[[#Headers],[Columna3]],Datos_Consumo[CODIGO]&amp;Datos_Consumo[FECHA_FORMATO],0)),0)</f>
        <v>0</v>
      </c>
      <c r="BA14" s="6">
        <f t="array" ref="BA14">IFERROR(INDEX(Datos_Consumo[CANTIDAD],MATCH(TABLATRANSFERENCIA[[#This Row],[CODIGO]]&amp;TABLATRANSFERENCIA[[#Headers],[Columna4]],Datos_Consumo[CODIGO]&amp;Datos_Consumo[FECHA_FORMATO],0)),0)</f>
        <v>0</v>
      </c>
      <c r="BB14" s="6">
        <f t="array" ref="BB14">IFERROR(INDEX(Datos_Consumo[CANTIDAD],MATCH(TABLATRANSFERENCIA[[#This Row],[CODIGO]]&amp;TABLATRANSFERENCIA[[#Headers],[Columna5]],Datos_Consumo[CODIGO]&amp;Datos_Consumo[FECHA_FORMATO],0)),0)</f>
        <v>0</v>
      </c>
      <c r="BC14" s="6">
        <f t="array" ref="BC14">IFERROR(INDEX(Datos_Consumo[CANTIDAD],MATCH(TABLATRANSFERENCIA[[#This Row],[CODIGO]]&amp;TABLATRANSFERENCIA[[#Headers],[Columna6]],Datos_Consumo[CODIGO]&amp;Datos_Consumo[FECHA_FORMATO],0)),0)</f>
        <v>0</v>
      </c>
      <c r="BD14" s="50">
        <v>20</v>
      </c>
      <c r="BE14" s="55">
        <v>20</v>
      </c>
      <c r="BF14" s="50"/>
      <c r="BG14" s="51"/>
      <c r="BH14"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1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4" s="51"/>
      <c r="BN14" s="46">
        <f>IFERROR(TABLATRANSFERENCIA[[#This Row],[REQUERIM]]/TABLATRANSFERENCIA[[#This Row],[PEDIDO PROMEDIO]],0)</f>
        <v>0</v>
      </c>
      <c r="BO14" s="51"/>
      <c r="BP14" s="60"/>
      <c r="BQ14" s="3">
        <f>IF(TABLATRANSFERENCIA[[#This Row],[RECIBIDO]]&lt;&gt;"",0,IF(TABLATRANSFERENCIA[[#This Row],[DESPACHO]]&lt;&gt;"",TABLATRANSFERENCIA[[#This Row],[DESPACHO]],TABLATRANSFERENCIA[[#This Row],[REQUERIM]]))</f>
        <v>20</v>
      </c>
      <c r="BR14" s="50"/>
      <c r="BS14" s="50"/>
      <c r="BT14" s="50" t="str">
        <f t="shared" si="0"/>
        <v>N</v>
      </c>
      <c r="BU14" s="51">
        <f t="array" ref="BU14">IF(SUM(--(TABLATRANSFERENCIA[[#This Row],[CODIGO GENERICO]]=TABLATRANSFERENCIA[CODIGO GENERICO])*TABLATRANSFERENCIA[REQUERIM])&lt;TABLATRANSFERENCIA[[#This Row],[PEDIDO MIN GRUPO]],1,0)</f>
        <v>1</v>
      </c>
      <c r="BV14"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4" s="51" t="s">
        <v>1415</v>
      </c>
      <c r="BX14" s="51" t="s">
        <v>1415</v>
      </c>
    </row>
    <row r="15" spans="1:76" x14ac:dyDescent="0.25">
      <c r="A15" s="54" t="s">
        <v>1390</v>
      </c>
      <c r="B15" s="3" t="s">
        <v>1415</v>
      </c>
      <c r="C15" s="3" t="s">
        <v>1415</v>
      </c>
      <c r="D15" s="3" t="s">
        <v>1415</v>
      </c>
      <c r="E15" s="3" t="s">
        <v>1415</v>
      </c>
      <c r="F15" s="3" t="s">
        <v>1415</v>
      </c>
      <c r="G15" s="3" t="s">
        <v>1415</v>
      </c>
      <c r="H15" s="3" t="s">
        <v>1415</v>
      </c>
      <c r="I15" s="3" t="s">
        <v>1415</v>
      </c>
      <c r="J15" s="3" t="s">
        <v>1415</v>
      </c>
      <c r="K15" s="3" t="s">
        <v>1415</v>
      </c>
      <c r="L15" s="3" t="s">
        <v>1415</v>
      </c>
      <c r="M15" s="3" t="s">
        <v>1415</v>
      </c>
      <c r="N15" s="3" t="s">
        <v>1415</v>
      </c>
      <c r="O15" s="5" t="s">
        <v>1415</v>
      </c>
      <c r="P15" s="5" t="s">
        <v>1415</v>
      </c>
      <c r="Q15" s="5" t="s">
        <v>1415</v>
      </c>
      <c r="R15" s="46" t="s">
        <v>1415</v>
      </c>
      <c r="S15" s="46" t="s">
        <v>1415</v>
      </c>
      <c r="T15" s="46" t="s">
        <v>1415</v>
      </c>
      <c r="U15" s="46" t="s">
        <v>1415</v>
      </c>
      <c r="V15" s="49" t="s">
        <v>1415</v>
      </c>
      <c r="W15" s="49" t="s">
        <v>1415</v>
      </c>
      <c r="X15" s="51" t="s">
        <v>1415</v>
      </c>
      <c r="Y15" s="51" t="s">
        <v>1415</v>
      </c>
      <c r="Z15" s="6" t="s">
        <v>1415</v>
      </c>
      <c r="AA15" s="6" t="s">
        <v>1415</v>
      </c>
      <c r="AB15" s="6" t="s">
        <v>1415</v>
      </c>
      <c r="AC15" s="4" t="s">
        <v>1415</v>
      </c>
      <c r="AD15" s="6" t="s">
        <v>1415</v>
      </c>
      <c r="AE15" s="6" t="s">
        <v>1415</v>
      </c>
      <c r="AF15" s="6" t="s">
        <v>1415</v>
      </c>
      <c r="AG15" s="6" t="s">
        <v>1415</v>
      </c>
      <c r="AH15" s="6" t="s">
        <v>1415</v>
      </c>
      <c r="AI15" s="6" t="s">
        <v>1415</v>
      </c>
      <c r="AJ15" s="6" t="s">
        <v>1415</v>
      </c>
      <c r="AK15" s="6" t="s">
        <v>1415</v>
      </c>
      <c r="AL15" s="4" t="s">
        <v>1415</v>
      </c>
      <c r="AM15" s="6" t="s">
        <v>1415</v>
      </c>
      <c r="AN15" s="6" t="s">
        <v>1415</v>
      </c>
      <c r="AO15" s="6" t="s">
        <v>1415</v>
      </c>
      <c r="AP15" s="6" t="s">
        <v>1415</v>
      </c>
      <c r="AQ15" s="6" t="s">
        <v>1415</v>
      </c>
      <c r="AR15" s="6" t="s">
        <v>1415</v>
      </c>
      <c r="AS15" s="6" t="s">
        <v>1415</v>
      </c>
      <c r="AT15" s="6" t="s">
        <v>1415</v>
      </c>
      <c r="AU15" s="6" t="s">
        <v>1415</v>
      </c>
      <c r="AV15" s="63" t="s">
        <v>1415</v>
      </c>
      <c r="AW15" s="63" t="s">
        <v>1415</v>
      </c>
      <c r="AX15" s="6">
        <f t="array" ref="AX15">IFERROR(INDEX(Datos_Consumo[CANTIDAD],MATCH(TABLATRANSFERENCIA[[#This Row],[CODIGO]]&amp;TABLATRANSFERENCIA[[#Headers],[Columna1]],Datos_Consumo[CODIGO]&amp;Datos_Consumo[FECHA_FORMATO],0)),0)</f>
        <v>0</v>
      </c>
      <c r="AY15" s="6">
        <f t="array" ref="AY15">IFERROR(INDEX(Datos_Consumo[CANTIDAD],MATCH(TABLATRANSFERENCIA[[#This Row],[CODIGO]]&amp;TABLATRANSFERENCIA[[#Headers],[Columna2]],Datos_Consumo[CODIGO]&amp;Datos_Consumo[FECHA_FORMATO],0)),0)</f>
        <v>0</v>
      </c>
      <c r="AZ15" s="6">
        <f t="array" ref="AZ15">IFERROR(INDEX(Datos_Consumo[CANTIDAD],MATCH(TABLATRANSFERENCIA[[#This Row],[CODIGO]]&amp;TABLATRANSFERENCIA[[#Headers],[Columna3]],Datos_Consumo[CODIGO]&amp;Datos_Consumo[FECHA_FORMATO],0)),0)</f>
        <v>0</v>
      </c>
      <c r="BA15" s="6">
        <f t="array" ref="BA15">IFERROR(INDEX(Datos_Consumo[CANTIDAD],MATCH(TABLATRANSFERENCIA[[#This Row],[CODIGO]]&amp;TABLATRANSFERENCIA[[#Headers],[Columna4]],Datos_Consumo[CODIGO]&amp;Datos_Consumo[FECHA_FORMATO],0)),0)</f>
        <v>0</v>
      </c>
      <c r="BB15" s="6">
        <f t="array" ref="BB15">IFERROR(INDEX(Datos_Consumo[CANTIDAD],MATCH(TABLATRANSFERENCIA[[#This Row],[CODIGO]]&amp;TABLATRANSFERENCIA[[#Headers],[Columna5]],Datos_Consumo[CODIGO]&amp;Datos_Consumo[FECHA_FORMATO],0)),0)</f>
        <v>0</v>
      </c>
      <c r="BC15" s="6">
        <f t="array" ref="BC15">IFERROR(INDEX(Datos_Consumo[CANTIDAD],MATCH(TABLATRANSFERENCIA[[#This Row],[CODIGO]]&amp;TABLATRANSFERENCIA[[#Headers],[Columna6]],Datos_Consumo[CODIGO]&amp;Datos_Consumo[FECHA_FORMATO],0)),0)</f>
        <v>0</v>
      </c>
      <c r="BD15" s="50">
        <v>20</v>
      </c>
      <c r="BE15" s="55">
        <v>20</v>
      </c>
      <c r="BF15" s="50"/>
      <c r="BG15" s="51"/>
      <c r="BH15"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1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5" s="51"/>
      <c r="BN15" s="46">
        <f>IFERROR(TABLATRANSFERENCIA[[#This Row],[REQUERIM]]/TABLATRANSFERENCIA[[#This Row],[PEDIDO PROMEDIO]],0)</f>
        <v>0</v>
      </c>
      <c r="BO15" s="51"/>
      <c r="BP15" s="60"/>
      <c r="BQ15" s="3">
        <f>IF(TABLATRANSFERENCIA[[#This Row],[RECIBIDO]]&lt;&gt;"",0,IF(TABLATRANSFERENCIA[[#This Row],[DESPACHO]]&lt;&gt;"",TABLATRANSFERENCIA[[#This Row],[DESPACHO]],TABLATRANSFERENCIA[[#This Row],[REQUERIM]]))</f>
        <v>20</v>
      </c>
      <c r="BR15" s="50"/>
      <c r="BS15" s="50"/>
      <c r="BT15" s="50" t="str">
        <f t="shared" si="0"/>
        <v>N</v>
      </c>
      <c r="BU15" s="51">
        <f t="array" ref="BU15">IF(SUM(--(TABLATRANSFERENCIA[[#This Row],[CODIGO GENERICO]]=TABLATRANSFERENCIA[CODIGO GENERICO])*TABLATRANSFERENCIA[REQUERIM])&lt;TABLATRANSFERENCIA[[#This Row],[PEDIDO MIN GRUPO]],1,0)</f>
        <v>1</v>
      </c>
      <c r="BV15"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5" s="51" t="s">
        <v>1415</v>
      </c>
      <c r="BX15" s="51" t="s">
        <v>1415</v>
      </c>
    </row>
    <row r="16" spans="1:76" x14ac:dyDescent="0.25">
      <c r="A16" s="54" t="s">
        <v>1382</v>
      </c>
      <c r="B16" s="3" t="s">
        <v>1415</v>
      </c>
      <c r="C16" s="3" t="s">
        <v>1415</v>
      </c>
      <c r="D16" s="3" t="s">
        <v>1415</v>
      </c>
      <c r="E16" s="3" t="s">
        <v>1415</v>
      </c>
      <c r="F16" s="3" t="s">
        <v>1415</v>
      </c>
      <c r="G16" s="3" t="s">
        <v>1415</v>
      </c>
      <c r="H16" s="3" t="s">
        <v>1415</v>
      </c>
      <c r="I16" s="3" t="s">
        <v>1415</v>
      </c>
      <c r="J16" s="3" t="s">
        <v>1415</v>
      </c>
      <c r="K16" s="3" t="s">
        <v>1415</v>
      </c>
      <c r="L16" s="3" t="s">
        <v>1415</v>
      </c>
      <c r="M16" s="3" t="s">
        <v>1415</v>
      </c>
      <c r="N16" s="3" t="s">
        <v>1415</v>
      </c>
      <c r="O16" s="5" t="s">
        <v>1415</v>
      </c>
      <c r="P16" s="5" t="s">
        <v>1415</v>
      </c>
      <c r="Q16" s="5" t="s">
        <v>1415</v>
      </c>
      <c r="R16" s="46" t="s">
        <v>1415</v>
      </c>
      <c r="S16" s="46" t="s">
        <v>1415</v>
      </c>
      <c r="T16" s="46" t="s">
        <v>1415</v>
      </c>
      <c r="U16" s="46" t="s">
        <v>1415</v>
      </c>
      <c r="V16" s="49" t="s">
        <v>1415</v>
      </c>
      <c r="W16" s="49" t="s">
        <v>1415</v>
      </c>
      <c r="X16" s="51" t="s">
        <v>1415</v>
      </c>
      <c r="Y16" s="51" t="s">
        <v>1415</v>
      </c>
      <c r="Z16" s="6" t="s">
        <v>1415</v>
      </c>
      <c r="AA16" s="6" t="s">
        <v>1415</v>
      </c>
      <c r="AB16" s="6" t="s">
        <v>1415</v>
      </c>
      <c r="AC16" s="4" t="s">
        <v>1415</v>
      </c>
      <c r="AD16" s="6" t="s">
        <v>1415</v>
      </c>
      <c r="AE16" s="6" t="s">
        <v>1415</v>
      </c>
      <c r="AF16" s="6" t="s">
        <v>1415</v>
      </c>
      <c r="AG16" s="6" t="s">
        <v>1415</v>
      </c>
      <c r="AH16" s="6" t="s">
        <v>1415</v>
      </c>
      <c r="AI16" s="6" t="s">
        <v>1415</v>
      </c>
      <c r="AJ16" s="6" t="s">
        <v>1415</v>
      </c>
      <c r="AK16" s="6" t="s">
        <v>1415</v>
      </c>
      <c r="AL16" s="4" t="s">
        <v>1415</v>
      </c>
      <c r="AM16" s="6" t="s">
        <v>1415</v>
      </c>
      <c r="AN16" s="6" t="s">
        <v>1415</v>
      </c>
      <c r="AO16" s="6" t="s">
        <v>1415</v>
      </c>
      <c r="AP16" s="6" t="s">
        <v>1415</v>
      </c>
      <c r="AQ16" s="6" t="s">
        <v>1415</v>
      </c>
      <c r="AR16" s="6" t="s">
        <v>1415</v>
      </c>
      <c r="AS16" s="6" t="s">
        <v>1415</v>
      </c>
      <c r="AT16" s="6" t="s">
        <v>1415</v>
      </c>
      <c r="AU16" s="6" t="s">
        <v>1415</v>
      </c>
      <c r="AV16" s="63" t="s">
        <v>1415</v>
      </c>
      <c r="AW16" s="63" t="s">
        <v>1415</v>
      </c>
      <c r="AX16" s="6">
        <f t="array" ref="AX16">IFERROR(INDEX(Datos_Consumo[CANTIDAD],MATCH(TABLATRANSFERENCIA[[#This Row],[CODIGO]]&amp;TABLATRANSFERENCIA[[#Headers],[Columna1]],Datos_Consumo[CODIGO]&amp;Datos_Consumo[FECHA_FORMATO],0)),0)</f>
        <v>0</v>
      </c>
      <c r="AY16" s="6">
        <f t="array" ref="AY16">IFERROR(INDEX(Datos_Consumo[CANTIDAD],MATCH(TABLATRANSFERENCIA[[#This Row],[CODIGO]]&amp;TABLATRANSFERENCIA[[#Headers],[Columna2]],Datos_Consumo[CODIGO]&amp;Datos_Consumo[FECHA_FORMATO],0)),0)</f>
        <v>0</v>
      </c>
      <c r="AZ16" s="6">
        <f t="array" ref="AZ16">IFERROR(INDEX(Datos_Consumo[CANTIDAD],MATCH(TABLATRANSFERENCIA[[#This Row],[CODIGO]]&amp;TABLATRANSFERENCIA[[#Headers],[Columna3]],Datos_Consumo[CODIGO]&amp;Datos_Consumo[FECHA_FORMATO],0)),0)</f>
        <v>0</v>
      </c>
      <c r="BA16" s="6">
        <f t="array" ref="BA16">IFERROR(INDEX(Datos_Consumo[CANTIDAD],MATCH(TABLATRANSFERENCIA[[#This Row],[CODIGO]]&amp;TABLATRANSFERENCIA[[#Headers],[Columna4]],Datos_Consumo[CODIGO]&amp;Datos_Consumo[FECHA_FORMATO],0)),0)</f>
        <v>0</v>
      </c>
      <c r="BB16" s="6">
        <f t="array" ref="BB16">IFERROR(INDEX(Datos_Consumo[CANTIDAD],MATCH(TABLATRANSFERENCIA[[#This Row],[CODIGO]]&amp;TABLATRANSFERENCIA[[#Headers],[Columna5]],Datos_Consumo[CODIGO]&amp;Datos_Consumo[FECHA_FORMATO],0)),0)</f>
        <v>0</v>
      </c>
      <c r="BC16" s="6">
        <f t="array" ref="BC16">IFERROR(INDEX(Datos_Consumo[CANTIDAD],MATCH(TABLATRANSFERENCIA[[#This Row],[CODIGO]]&amp;TABLATRANSFERENCIA[[#Headers],[Columna6]],Datos_Consumo[CODIGO]&amp;Datos_Consumo[FECHA_FORMATO],0)),0)</f>
        <v>0</v>
      </c>
      <c r="BD16" s="50">
        <v>40</v>
      </c>
      <c r="BE16" s="55">
        <v>40</v>
      </c>
      <c r="BF16" s="50"/>
      <c r="BG16" s="51"/>
      <c r="BH16" s="51">
        <f>IF(RIGHT(TABLATRANSFERENCIA[[#Headers],[Emb1]],1)*1&lt;=TABLATRANSFERENCIA[[#This Row],[EMBARQUES]],IF(ISBLANK(TABLATRANSFERENCIA[[#This Row],[EMBARQUES]]),TABLATRANSFERENCIA[[#This Row],[REQUERIM]],ROUND(TABLATRANSFERENCIA[[#This Row],[REQUERIM]]/TABLATRANSFERENCIA[[#This Row],[EMBARQUES]],0)),TABLATRANSFERENCIA[[#This Row],[REQUERIM]])</f>
        <v>40</v>
      </c>
      <c r="BI1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6" s="51"/>
      <c r="BN16" s="46">
        <f>IFERROR(TABLATRANSFERENCIA[[#This Row],[REQUERIM]]/TABLATRANSFERENCIA[[#This Row],[PEDIDO PROMEDIO]],0)</f>
        <v>0</v>
      </c>
      <c r="BO16" s="51"/>
      <c r="BP16" s="60"/>
      <c r="BQ16" s="3">
        <f>IF(TABLATRANSFERENCIA[[#This Row],[RECIBIDO]]&lt;&gt;"",0,IF(TABLATRANSFERENCIA[[#This Row],[DESPACHO]]&lt;&gt;"",TABLATRANSFERENCIA[[#This Row],[DESPACHO]],TABLATRANSFERENCIA[[#This Row],[REQUERIM]]))</f>
        <v>40</v>
      </c>
      <c r="BR16" s="50"/>
      <c r="BS16" s="50"/>
      <c r="BT16" s="50" t="str">
        <f t="shared" si="0"/>
        <v>N</v>
      </c>
      <c r="BU16" s="51">
        <f t="array" ref="BU16">IF(SUM(--(TABLATRANSFERENCIA[[#This Row],[CODIGO GENERICO]]=TABLATRANSFERENCIA[CODIGO GENERICO])*TABLATRANSFERENCIA[REQUERIM])&lt;TABLATRANSFERENCIA[[#This Row],[PEDIDO MIN GRUPO]],1,0)</f>
        <v>1</v>
      </c>
      <c r="BV16"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6" s="51" t="s">
        <v>1415</v>
      </c>
      <c r="BX16" s="51" t="s">
        <v>1415</v>
      </c>
    </row>
    <row r="17" spans="1:76" x14ac:dyDescent="0.25">
      <c r="A17" s="54" t="s">
        <v>1383</v>
      </c>
      <c r="B17" s="3" t="s">
        <v>1415</v>
      </c>
      <c r="C17" s="3" t="s">
        <v>1415</v>
      </c>
      <c r="D17" s="3" t="s">
        <v>1415</v>
      </c>
      <c r="E17" s="3" t="s">
        <v>1415</v>
      </c>
      <c r="F17" s="3" t="s">
        <v>1415</v>
      </c>
      <c r="G17" s="3" t="s">
        <v>1415</v>
      </c>
      <c r="H17" s="3" t="s">
        <v>1415</v>
      </c>
      <c r="I17" s="3" t="s">
        <v>1415</v>
      </c>
      <c r="J17" s="3" t="s">
        <v>1415</v>
      </c>
      <c r="K17" s="3" t="s">
        <v>1415</v>
      </c>
      <c r="L17" s="3" t="s">
        <v>1415</v>
      </c>
      <c r="M17" s="3" t="s">
        <v>1415</v>
      </c>
      <c r="N17" s="3" t="s">
        <v>1415</v>
      </c>
      <c r="O17" s="5" t="s">
        <v>1415</v>
      </c>
      <c r="P17" s="5" t="s">
        <v>1415</v>
      </c>
      <c r="Q17" s="5" t="s">
        <v>1415</v>
      </c>
      <c r="R17" s="46" t="s">
        <v>1415</v>
      </c>
      <c r="S17" s="46" t="s">
        <v>1415</v>
      </c>
      <c r="T17" s="46" t="s">
        <v>1415</v>
      </c>
      <c r="U17" s="46" t="s">
        <v>1415</v>
      </c>
      <c r="V17" s="49" t="s">
        <v>1415</v>
      </c>
      <c r="W17" s="49" t="s">
        <v>1415</v>
      </c>
      <c r="X17" s="51" t="s">
        <v>1415</v>
      </c>
      <c r="Y17" s="51" t="s">
        <v>1415</v>
      </c>
      <c r="Z17" s="6" t="s">
        <v>1415</v>
      </c>
      <c r="AA17" s="6" t="s">
        <v>1415</v>
      </c>
      <c r="AB17" s="6" t="s">
        <v>1415</v>
      </c>
      <c r="AC17" s="4" t="s">
        <v>1415</v>
      </c>
      <c r="AD17" s="6" t="s">
        <v>1415</v>
      </c>
      <c r="AE17" s="6" t="s">
        <v>1415</v>
      </c>
      <c r="AF17" s="6" t="s">
        <v>1415</v>
      </c>
      <c r="AG17" s="6" t="s">
        <v>1415</v>
      </c>
      <c r="AH17" s="6" t="s">
        <v>1415</v>
      </c>
      <c r="AI17" s="6" t="s">
        <v>1415</v>
      </c>
      <c r="AJ17" s="6" t="s">
        <v>1415</v>
      </c>
      <c r="AK17" s="6" t="s">
        <v>1415</v>
      </c>
      <c r="AL17" s="4" t="s">
        <v>1415</v>
      </c>
      <c r="AM17" s="6" t="s">
        <v>1415</v>
      </c>
      <c r="AN17" s="6" t="s">
        <v>1415</v>
      </c>
      <c r="AO17" s="6" t="s">
        <v>1415</v>
      </c>
      <c r="AP17" s="6" t="s">
        <v>1415</v>
      </c>
      <c r="AQ17" s="6" t="s">
        <v>1415</v>
      </c>
      <c r="AR17" s="6" t="s">
        <v>1415</v>
      </c>
      <c r="AS17" s="6" t="s">
        <v>1415</v>
      </c>
      <c r="AT17" s="6" t="s">
        <v>1415</v>
      </c>
      <c r="AU17" s="6" t="s">
        <v>1415</v>
      </c>
      <c r="AV17" s="63" t="s">
        <v>1415</v>
      </c>
      <c r="AW17" s="63" t="s">
        <v>1415</v>
      </c>
      <c r="AX17" s="6">
        <f t="array" ref="AX17">IFERROR(INDEX(Datos_Consumo[CANTIDAD],MATCH(TABLATRANSFERENCIA[[#This Row],[CODIGO]]&amp;TABLATRANSFERENCIA[[#Headers],[Columna1]],Datos_Consumo[CODIGO]&amp;Datos_Consumo[FECHA_FORMATO],0)),0)</f>
        <v>0</v>
      </c>
      <c r="AY17" s="6">
        <f t="array" ref="AY17">IFERROR(INDEX(Datos_Consumo[CANTIDAD],MATCH(TABLATRANSFERENCIA[[#This Row],[CODIGO]]&amp;TABLATRANSFERENCIA[[#Headers],[Columna2]],Datos_Consumo[CODIGO]&amp;Datos_Consumo[FECHA_FORMATO],0)),0)</f>
        <v>0</v>
      </c>
      <c r="AZ17" s="6">
        <f t="array" ref="AZ17">IFERROR(INDEX(Datos_Consumo[CANTIDAD],MATCH(TABLATRANSFERENCIA[[#This Row],[CODIGO]]&amp;TABLATRANSFERENCIA[[#Headers],[Columna3]],Datos_Consumo[CODIGO]&amp;Datos_Consumo[FECHA_FORMATO],0)),0)</f>
        <v>0</v>
      </c>
      <c r="BA17" s="6">
        <f t="array" ref="BA17">IFERROR(INDEX(Datos_Consumo[CANTIDAD],MATCH(TABLATRANSFERENCIA[[#This Row],[CODIGO]]&amp;TABLATRANSFERENCIA[[#Headers],[Columna4]],Datos_Consumo[CODIGO]&amp;Datos_Consumo[FECHA_FORMATO],0)),0)</f>
        <v>0</v>
      </c>
      <c r="BB17" s="6">
        <f t="array" ref="BB17">IFERROR(INDEX(Datos_Consumo[CANTIDAD],MATCH(TABLATRANSFERENCIA[[#This Row],[CODIGO]]&amp;TABLATRANSFERENCIA[[#Headers],[Columna5]],Datos_Consumo[CODIGO]&amp;Datos_Consumo[FECHA_FORMATO],0)),0)</f>
        <v>0</v>
      </c>
      <c r="BC17" s="6">
        <f t="array" ref="BC17">IFERROR(INDEX(Datos_Consumo[CANTIDAD],MATCH(TABLATRANSFERENCIA[[#This Row],[CODIGO]]&amp;TABLATRANSFERENCIA[[#Headers],[Columna6]],Datos_Consumo[CODIGO]&amp;Datos_Consumo[FECHA_FORMATO],0)),0)</f>
        <v>0</v>
      </c>
      <c r="BD17" s="50">
        <v>10</v>
      </c>
      <c r="BE17" s="55">
        <v>10</v>
      </c>
      <c r="BF17" s="50"/>
      <c r="BG17" s="51"/>
      <c r="BH17"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I1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7" s="51"/>
      <c r="BN17" s="46">
        <f>IFERROR(TABLATRANSFERENCIA[[#This Row],[REQUERIM]]/TABLATRANSFERENCIA[[#This Row],[PEDIDO PROMEDIO]],0)</f>
        <v>0</v>
      </c>
      <c r="BO17" s="51"/>
      <c r="BP17" s="60"/>
      <c r="BQ17" s="3">
        <f>IF(TABLATRANSFERENCIA[[#This Row],[RECIBIDO]]&lt;&gt;"",0,IF(TABLATRANSFERENCIA[[#This Row],[DESPACHO]]&lt;&gt;"",TABLATRANSFERENCIA[[#This Row],[DESPACHO]],TABLATRANSFERENCIA[[#This Row],[REQUERIM]]))</f>
        <v>10</v>
      </c>
      <c r="BR17" s="50"/>
      <c r="BS17" s="50"/>
      <c r="BT17" s="50" t="str">
        <f t="shared" si="0"/>
        <v>N</v>
      </c>
      <c r="BU17" s="51">
        <f t="array" ref="BU17">IF(SUM(--(TABLATRANSFERENCIA[[#This Row],[CODIGO GENERICO]]=TABLATRANSFERENCIA[CODIGO GENERICO])*TABLATRANSFERENCIA[REQUERIM])&lt;TABLATRANSFERENCIA[[#This Row],[PEDIDO MIN GRUPO]],1,0)</f>
        <v>1</v>
      </c>
      <c r="BV17"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7" s="51" t="s">
        <v>1415</v>
      </c>
      <c r="BX17" s="51" t="s">
        <v>1415</v>
      </c>
    </row>
    <row r="18" spans="1:76" x14ac:dyDescent="0.25">
      <c r="A18" s="54" t="s">
        <v>1384</v>
      </c>
      <c r="B18" s="3" t="s">
        <v>1415</v>
      </c>
      <c r="C18" s="3" t="s">
        <v>1415</v>
      </c>
      <c r="D18" s="3" t="s">
        <v>1415</v>
      </c>
      <c r="E18" s="3" t="s">
        <v>1415</v>
      </c>
      <c r="F18" s="3" t="s">
        <v>1415</v>
      </c>
      <c r="G18" s="3" t="s">
        <v>1415</v>
      </c>
      <c r="H18" s="3" t="s">
        <v>1415</v>
      </c>
      <c r="I18" s="3" t="s">
        <v>1415</v>
      </c>
      <c r="J18" s="3" t="s">
        <v>1415</v>
      </c>
      <c r="K18" s="3" t="s">
        <v>1415</v>
      </c>
      <c r="L18" s="3" t="s">
        <v>1415</v>
      </c>
      <c r="M18" s="3" t="s">
        <v>1415</v>
      </c>
      <c r="N18" s="3" t="s">
        <v>1415</v>
      </c>
      <c r="O18" s="5" t="s">
        <v>1415</v>
      </c>
      <c r="P18" s="5" t="s">
        <v>1415</v>
      </c>
      <c r="Q18" s="5" t="s">
        <v>1415</v>
      </c>
      <c r="R18" s="46" t="s">
        <v>1415</v>
      </c>
      <c r="S18" s="46" t="s">
        <v>1415</v>
      </c>
      <c r="T18" s="46" t="s">
        <v>1415</v>
      </c>
      <c r="U18" s="46" t="s">
        <v>1415</v>
      </c>
      <c r="V18" s="49" t="s">
        <v>1415</v>
      </c>
      <c r="W18" s="49" t="s">
        <v>1415</v>
      </c>
      <c r="X18" s="51" t="s">
        <v>1415</v>
      </c>
      <c r="Y18" s="51" t="s">
        <v>1415</v>
      </c>
      <c r="Z18" s="6" t="s">
        <v>1415</v>
      </c>
      <c r="AA18" s="6" t="s">
        <v>1415</v>
      </c>
      <c r="AB18" s="6" t="s">
        <v>1415</v>
      </c>
      <c r="AC18" s="4" t="s">
        <v>1415</v>
      </c>
      <c r="AD18" s="6" t="s">
        <v>1415</v>
      </c>
      <c r="AE18" s="6" t="s">
        <v>1415</v>
      </c>
      <c r="AF18" s="6" t="s">
        <v>1415</v>
      </c>
      <c r="AG18" s="6" t="s">
        <v>1415</v>
      </c>
      <c r="AH18" s="6" t="s">
        <v>1415</v>
      </c>
      <c r="AI18" s="6" t="s">
        <v>1415</v>
      </c>
      <c r="AJ18" s="6" t="s">
        <v>1415</v>
      </c>
      <c r="AK18" s="6" t="s">
        <v>1415</v>
      </c>
      <c r="AL18" s="4" t="s">
        <v>1415</v>
      </c>
      <c r="AM18" s="6" t="s">
        <v>1415</v>
      </c>
      <c r="AN18" s="6" t="s">
        <v>1415</v>
      </c>
      <c r="AO18" s="6" t="s">
        <v>1415</v>
      </c>
      <c r="AP18" s="6" t="s">
        <v>1415</v>
      </c>
      <c r="AQ18" s="6" t="s">
        <v>1415</v>
      </c>
      <c r="AR18" s="6" t="s">
        <v>1415</v>
      </c>
      <c r="AS18" s="6" t="s">
        <v>1415</v>
      </c>
      <c r="AT18" s="6" t="s">
        <v>1415</v>
      </c>
      <c r="AU18" s="6" t="s">
        <v>1415</v>
      </c>
      <c r="AV18" s="63" t="s">
        <v>1415</v>
      </c>
      <c r="AW18" s="63" t="s">
        <v>1415</v>
      </c>
      <c r="AX18" s="6">
        <f t="array" ref="AX18">IFERROR(INDEX(Datos_Consumo[CANTIDAD],MATCH(TABLATRANSFERENCIA[[#This Row],[CODIGO]]&amp;TABLATRANSFERENCIA[[#Headers],[Columna1]],Datos_Consumo[CODIGO]&amp;Datos_Consumo[FECHA_FORMATO],0)),0)</f>
        <v>0</v>
      </c>
      <c r="AY18" s="6">
        <f t="array" ref="AY18">IFERROR(INDEX(Datos_Consumo[CANTIDAD],MATCH(TABLATRANSFERENCIA[[#This Row],[CODIGO]]&amp;TABLATRANSFERENCIA[[#Headers],[Columna2]],Datos_Consumo[CODIGO]&amp;Datos_Consumo[FECHA_FORMATO],0)),0)</f>
        <v>0</v>
      </c>
      <c r="AZ18" s="6">
        <f t="array" ref="AZ18">IFERROR(INDEX(Datos_Consumo[CANTIDAD],MATCH(TABLATRANSFERENCIA[[#This Row],[CODIGO]]&amp;TABLATRANSFERENCIA[[#Headers],[Columna3]],Datos_Consumo[CODIGO]&amp;Datos_Consumo[FECHA_FORMATO],0)),0)</f>
        <v>0</v>
      </c>
      <c r="BA18" s="6">
        <f t="array" ref="BA18">IFERROR(INDEX(Datos_Consumo[CANTIDAD],MATCH(TABLATRANSFERENCIA[[#This Row],[CODIGO]]&amp;TABLATRANSFERENCIA[[#Headers],[Columna4]],Datos_Consumo[CODIGO]&amp;Datos_Consumo[FECHA_FORMATO],0)),0)</f>
        <v>0</v>
      </c>
      <c r="BB18" s="6">
        <f t="array" ref="BB18">IFERROR(INDEX(Datos_Consumo[CANTIDAD],MATCH(TABLATRANSFERENCIA[[#This Row],[CODIGO]]&amp;TABLATRANSFERENCIA[[#Headers],[Columna5]],Datos_Consumo[CODIGO]&amp;Datos_Consumo[FECHA_FORMATO],0)),0)</f>
        <v>0</v>
      </c>
      <c r="BC18" s="6">
        <f t="array" ref="BC18">IFERROR(INDEX(Datos_Consumo[CANTIDAD],MATCH(TABLATRANSFERENCIA[[#This Row],[CODIGO]]&amp;TABLATRANSFERENCIA[[#Headers],[Columna6]],Datos_Consumo[CODIGO]&amp;Datos_Consumo[FECHA_FORMATO],0)),0)</f>
        <v>0</v>
      </c>
      <c r="BD18" s="50">
        <v>20</v>
      </c>
      <c r="BE18" s="55">
        <v>20</v>
      </c>
      <c r="BF18" s="50"/>
      <c r="BG18" s="51"/>
      <c r="BH18"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1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8" s="51"/>
      <c r="BN18" s="46">
        <f>IFERROR(TABLATRANSFERENCIA[[#This Row],[REQUERIM]]/TABLATRANSFERENCIA[[#This Row],[PEDIDO PROMEDIO]],0)</f>
        <v>0</v>
      </c>
      <c r="BO18" s="51"/>
      <c r="BP18" s="60"/>
      <c r="BQ18" s="3">
        <f>IF(TABLATRANSFERENCIA[[#This Row],[RECIBIDO]]&lt;&gt;"",0,IF(TABLATRANSFERENCIA[[#This Row],[DESPACHO]]&lt;&gt;"",TABLATRANSFERENCIA[[#This Row],[DESPACHO]],TABLATRANSFERENCIA[[#This Row],[REQUERIM]]))</f>
        <v>20</v>
      </c>
      <c r="BR18" s="50"/>
      <c r="BS18" s="50"/>
      <c r="BT18" s="50" t="str">
        <f t="shared" si="0"/>
        <v>N</v>
      </c>
      <c r="BU18" s="51">
        <f t="array" ref="BU18">IF(SUM(--(TABLATRANSFERENCIA[[#This Row],[CODIGO GENERICO]]=TABLATRANSFERENCIA[CODIGO GENERICO])*TABLATRANSFERENCIA[REQUERIM])&lt;TABLATRANSFERENCIA[[#This Row],[PEDIDO MIN GRUPO]],1,0)</f>
        <v>1</v>
      </c>
      <c r="BV18"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8" s="51" t="s">
        <v>1415</v>
      </c>
      <c r="BX18" s="51" t="s">
        <v>1415</v>
      </c>
    </row>
    <row r="19" spans="1:76" x14ac:dyDescent="0.25">
      <c r="A19" s="54" t="s">
        <v>1391</v>
      </c>
      <c r="B19" s="3" t="s">
        <v>1415</v>
      </c>
      <c r="C19" s="3" t="s">
        <v>1415</v>
      </c>
      <c r="D19" s="3" t="s">
        <v>1415</v>
      </c>
      <c r="E19" s="3" t="s">
        <v>1415</v>
      </c>
      <c r="F19" s="3" t="s">
        <v>1415</v>
      </c>
      <c r="G19" s="3" t="s">
        <v>1415</v>
      </c>
      <c r="H19" s="3" t="s">
        <v>1415</v>
      </c>
      <c r="I19" s="3" t="s">
        <v>1415</v>
      </c>
      <c r="J19" s="3" t="s">
        <v>1415</v>
      </c>
      <c r="K19" s="3" t="s">
        <v>1415</v>
      </c>
      <c r="L19" s="3" t="s">
        <v>1415</v>
      </c>
      <c r="M19" s="3" t="s">
        <v>1415</v>
      </c>
      <c r="N19" s="3" t="s">
        <v>1415</v>
      </c>
      <c r="O19" s="5" t="s">
        <v>1415</v>
      </c>
      <c r="P19" s="5" t="s">
        <v>1415</v>
      </c>
      <c r="Q19" s="5" t="s">
        <v>1415</v>
      </c>
      <c r="R19" s="46" t="s">
        <v>1415</v>
      </c>
      <c r="S19" s="46" t="s">
        <v>1415</v>
      </c>
      <c r="T19" s="46" t="s">
        <v>1415</v>
      </c>
      <c r="U19" s="46" t="s">
        <v>1415</v>
      </c>
      <c r="V19" s="49" t="s">
        <v>1415</v>
      </c>
      <c r="W19" s="49" t="s">
        <v>1415</v>
      </c>
      <c r="X19" s="51" t="s">
        <v>1415</v>
      </c>
      <c r="Y19" s="51" t="s">
        <v>1415</v>
      </c>
      <c r="Z19" s="6" t="s">
        <v>1415</v>
      </c>
      <c r="AA19" s="6" t="s">
        <v>1415</v>
      </c>
      <c r="AB19" s="6" t="s">
        <v>1415</v>
      </c>
      <c r="AC19" s="4" t="s">
        <v>1415</v>
      </c>
      <c r="AD19" s="6" t="s">
        <v>1415</v>
      </c>
      <c r="AE19" s="6" t="s">
        <v>1415</v>
      </c>
      <c r="AF19" s="6" t="s">
        <v>1415</v>
      </c>
      <c r="AG19" s="6" t="s">
        <v>1415</v>
      </c>
      <c r="AH19" s="6" t="s">
        <v>1415</v>
      </c>
      <c r="AI19" s="6" t="s">
        <v>1415</v>
      </c>
      <c r="AJ19" s="6" t="s">
        <v>1415</v>
      </c>
      <c r="AK19" s="6" t="s">
        <v>1415</v>
      </c>
      <c r="AL19" s="4" t="s">
        <v>1415</v>
      </c>
      <c r="AM19" s="6" t="s">
        <v>1415</v>
      </c>
      <c r="AN19" s="6" t="s">
        <v>1415</v>
      </c>
      <c r="AO19" s="6" t="s">
        <v>1415</v>
      </c>
      <c r="AP19" s="6" t="s">
        <v>1415</v>
      </c>
      <c r="AQ19" s="6" t="s">
        <v>1415</v>
      </c>
      <c r="AR19" s="6" t="s">
        <v>1415</v>
      </c>
      <c r="AS19" s="6" t="s">
        <v>1415</v>
      </c>
      <c r="AT19" s="6" t="s">
        <v>1415</v>
      </c>
      <c r="AU19" s="6" t="s">
        <v>1415</v>
      </c>
      <c r="AV19" s="63" t="s">
        <v>1415</v>
      </c>
      <c r="AW19" s="63" t="s">
        <v>1415</v>
      </c>
      <c r="AX19" s="6">
        <f t="array" ref="AX19">IFERROR(INDEX(Datos_Consumo[CANTIDAD],MATCH(TABLATRANSFERENCIA[[#This Row],[CODIGO]]&amp;TABLATRANSFERENCIA[[#Headers],[Columna1]],Datos_Consumo[CODIGO]&amp;Datos_Consumo[FECHA_FORMATO],0)),0)</f>
        <v>0</v>
      </c>
      <c r="AY19" s="6">
        <f t="array" ref="AY19">IFERROR(INDEX(Datos_Consumo[CANTIDAD],MATCH(TABLATRANSFERENCIA[[#This Row],[CODIGO]]&amp;TABLATRANSFERENCIA[[#Headers],[Columna2]],Datos_Consumo[CODIGO]&amp;Datos_Consumo[FECHA_FORMATO],0)),0)</f>
        <v>0</v>
      </c>
      <c r="AZ19" s="6">
        <f t="array" ref="AZ19">IFERROR(INDEX(Datos_Consumo[CANTIDAD],MATCH(TABLATRANSFERENCIA[[#This Row],[CODIGO]]&amp;TABLATRANSFERENCIA[[#Headers],[Columna3]],Datos_Consumo[CODIGO]&amp;Datos_Consumo[FECHA_FORMATO],0)),0)</f>
        <v>0</v>
      </c>
      <c r="BA19" s="6">
        <f t="array" ref="BA19">IFERROR(INDEX(Datos_Consumo[CANTIDAD],MATCH(TABLATRANSFERENCIA[[#This Row],[CODIGO]]&amp;TABLATRANSFERENCIA[[#Headers],[Columna4]],Datos_Consumo[CODIGO]&amp;Datos_Consumo[FECHA_FORMATO],0)),0)</f>
        <v>0</v>
      </c>
      <c r="BB19" s="6">
        <f t="array" ref="BB19">IFERROR(INDEX(Datos_Consumo[CANTIDAD],MATCH(TABLATRANSFERENCIA[[#This Row],[CODIGO]]&amp;TABLATRANSFERENCIA[[#Headers],[Columna5]],Datos_Consumo[CODIGO]&amp;Datos_Consumo[FECHA_FORMATO],0)),0)</f>
        <v>0</v>
      </c>
      <c r="BC19" s="6">
        <f t="array" ref="BC19">IFERROR(INDEX(Datos_Consumo[CANTIDAD],MATCH(TABLATRANSFERENCIA[[#This Row],[CODIGO]]&amp;TABLATRANSFERENCIA[[#Headers],[Columna6]],Datos_Consumo[CODIGO]&amp;Datos_Consumo[FECHA_FORMATO],0)),0)</f>
        <v>0</v>
      </c>
      <c r="BD19" s="50">
        <v>20</v>
      </c>
      <c r="BE19" s="55">
        <v>20</v>
      </c>
      <c r="BF19" s="50"/>
      <c r="BG19" s="51"/>
      <c r="BH19"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1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9" s="51"/>
      <c r="BN19" s="46">
        <f>IFERROR(TABLATRANSFERENCIA[[#This Row],[REQUERIM]]/TABLATRANSFERENCIA[[#This Row],[PEDIDO PROMEDIO]],0)</f>
        <v>0</v>
      </c>
      <c r="BO19" s="51"/>
      <c r="BP19" s="60"/>
      <c r="BQ19" s="3">
        <f>IF(TABLATRANSFERENCIA[[#This Row],[RECIBIDO]]&lt;&gt;"",0,IF(TABLATRANSFERENCIA[[#This Row],[DESPACHO]]&lt;&gt;"",TABLATRANSFERENCIA[[#This Row],[DESPACHO]],TABLATRANSFERENCIA[[#This Row],[REQUERIM]]))</f>
        <v>20</v>
      </c>
      <c r="BR19" s="50"/>
      <c r="BS19" s="50"/>
      <c r="BT19" s="50" t="str">
        <f t="shared" si="0"/>
        <v>N</v>
      </c>
      <c r="BU19" s="51">
        <f t="array" ref="BU19">IF(SUM(--(TABLATRANSFERENCIA[[#This Row],[CODIGO GENERICO]]=TABLATRANSFERENCIA[CODIGO GENERICO])*TABLATRANSFERENCIA[REQUERIM])&lt;TABLATRANSFERENCIA[[#This Row],[PEDIDO MIN GRUPO]],1,0)</f>
        <v>1</v>
      </c>
      <c r="BV1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19" s="51" t="s">
        <v>1415</v>
      </c>
      <c r="BX19" s="51" t="s">
        <v>1415</v>
      </c>
    </row>
    <row r="20" spans="1:76" x14ac:dyDescent="0.25">
      <c r="A20" s="54" t="s">
        <v>1392</v>
      </c>
      <c r="B20" s="3" t="s">
        <v>1415</v>
      </c>
      <c r="C20" s="3" t="s">
        <v>1415</v>
      </c>
      <c r="D20" s="3" t="s">
        <v>1415</v>
      </c>
      <c r="E20" s="3" t="s">
        <v>1415</v>
      </c>
      <c r="F20" s="3" t="s">
        <v>1415</v>
      </c>
      <c r="G20" s="3" t="s">
        <v>1415</v>
      </c>
      <c r="H20" s="3" t="s">
        <v>1415</v>
      </c>
      <c r="I20" s="3" t="s">
        <v>1415</v>
      </c>
      <c r="J20" s="3" t="s">
        <v>1415</v>
      </c>
      <c r="K20" s="3" t="s">
        <v>1415</v>
      </c>
      <c r="L20" s="3" t="s">
        <v>1415</v>
      </c>
      <c r="M20" s="3" t="s">
        <v>1415</v>
      </c>
      <c r="N20" s="3" t="s">
        <v>1415</v>
      </c>
      <c r="O20" s="5" t="s">
        <v>1415</v>
      </c>
      <c r="P20" s="5" t="s">
        <v>1415</v>
      </c>
      <c r="Q20" s="5" t="s">
        <v>1415</v>
      </c>
      <c r="R20" s="46" t="s">
        <v>1415</v>
      </c>
      <c r="S20" s="46" t="s">
        <v>1415</v>
      </c>
      <c r="T20" s="46" t="s">
        <v>1415</v>
      </c>
      <c r="U20" s="46" t="s">
        <v>1415</v>
      </c>
      <c r="V20" s="49" t="s">
        <v>1415</v>
      </c>
      <c r="W20" s="49" t="s">
        <v>1415</v>
      </c>
      <c r="X20" s="51" t="s">
        <v>1415</v>
      </c>
      <c r="Y20" s="51" t="s">
        <v>1415</v>
      </c>
      <c r="Z20" s="6" t="s">
        <v>1415</v>
      </c>
      <c r="AA20" s="6" t="s">
        <v>1415</v>
      </c>
      <c r="AB20" s="6" t="s">
        <v>1415</v>
      </c>
      <c r="AC20" s="4" t="s">
        <v>1415</v>
      </c>
      <c r="AD20" s="6" t="s">
        <v>1415</v>
      </c>
      <c r="AE20" s="6" t="s">
        <v>1415</v>
      </c>
      <c r="AF20" s="6" t="s">
        <v>1415</v>
      </c>
      <c r="AG20" s="6" t="s">
        <v>1415</v>
      </c>
      <c r="AH20" s="6" t="s">
        <v>1415</v>
      </c>
      <c r="AI20" s="6" t="s">
        <v>1415</v>
      </c>
      <c r="AJ20" s="6" t="s">
        <v>1415</v>
      </c>
      <c r="AK20" s="6" t="s">
        <v>1415</v>
      </c>
      <c r="AL20" s="4" t="s">
        <v>1415</v>
      </c>
      <c r="AM20" s="6" t="s">
        <v>1415</v>
      </c>
      <c r="AN20" s="6" t="s">
        <v>1415</v>
      </c>
      <c r="AO20" s="6" t="s">
        <v>1415</v>
      </c>
      <c r="AP20" s="6" t="s">
        <v>1415</v>
      </c>
      <c r="AQ20" s="6" t="s">
        <v>1415</v>
      </c>
      <c r="AR20" s="6" t="s">
        <v>1415</v>
      </c>
      <c r="AS20" s="6" t="s">
        <v>1415</v>
      </c>
      <c r="AT20" s="6" t="s">
        <v>1415</v>
      </c>
      <c r="AU20" s="6" t="s">
        <v>1415</v>
      </c>
      <c r="AV20" s="63" t="s">
        <v>1415</v>
      </c>
      <c r="AW20" s="63" t="s">
        <v>1415</v>
      </c>
      <c r="AX20" s="6">
        <f t="array" ref="AX20">IFERROR(INDEX(Datos_Consumo[CANTIDAD],MATCH(TABLATRANSFERENCIA[[#This Row],[CODIGO]]&amp;TABLATRANSFERENCIA[[#Headers],[Columna1]],Datos_Consumo[CODIGO]&amp;Datos_Consumo[FECHA_FORMATO],0)),0)</f>
        <v>0</v>
      </c>
      <c r="AY20" s="6">
        <f t="array" ref="AY20">IFERROR(INDEX(Datos_Consumo[CANTIDAD],MATCH(TABLATRANSFERENCIA[[#This Row],[CODIGO]]&amp;TABLATRANSFERENCIA[[#Headers],[Columna2]],Datos_Consumo[CODIGO]&amp;Datos_Consumo[FECHA_FORMATO],0)),0)</f>
        <v>0</v>
      </c>
      <c r="AZ20" s="6">
        <f t="array" ref="AZ20">IFERROR(INDEX(Datos_Consumo[CANTIDAD],MATCH(TABLATRANSFERENCIA[[#This Row],[CODIGO]]&amp;TABLATRANSFERENCIA[[#Headers],[Columna3]],Datos_Consumo[CODIGO]&amp;Datos_Consumo[FECHA_FORMATO],0)),0)</f>
        <v>0</v>
      </c>
      <c r="BA20" s="6">
        <f t="array" ref="BA20">IFERROR(INDEX(Datos_Consumo[CANTIDAD],MATCH(TABLATRANSFERENCIA[[#This Row],[CODIGO]]&amp;TABLATRANSFERENCIA[[#Headers],[Columna4]],Datos_Consumo[CODIGO]&amp;Datos_Consumo[FECHA_FORMATO],0)),0)</f>
        <v>0</v>
      </c>
      <c r="BB20" s="6">
        <f t="array" ref="BB20">IFERROR(INDEX(Datos_Consumo[CANTIDAD],MATCH(TABLATRANSFERENCIA[[#This Row],[CODIGO]]&amp;TABLATRANSFERENCIA[[#Headers],[Columna5]],Datos_Consumo[CODIGO]&amp;Datos_Consumo[FECHA_FORMATO],0)),0)</f>
        <v>0</v>
      </c>
      <c r="BC20" s="6">
        <f t="array" ref="BC20">IFERROR(INDEX(Datos_Consumo[CANTIDAD],MATCH(TABLATRANSFERENCIA[[#This Row],[CODIGO]]&amp;TABLATRANSFERENCIA[[#Headers],[Columna6]],Datos_Consumo[CODIGO]&amp;Datos_Consumo[FECHA_FORMATO],0)),0)</f>
        <v>0</v>
      </c>
      <c r="BD20" s="50">
        <v>20</v>
      </c>
      <c r="BE20" s="55">
        <v>20</v>
      </c>
      <c r="BF20" s="50"/>
      <c r="BG20" s="51"/>
      <c r="BH20"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2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0" s="51"/>
      <c r="BN20" s="46">
        <f>IFERROR(TABLATRANSFERENCIA[[#This Row],[REQUERIM]]/TABLATRANSFERENCIA[[#This Row],[PEDIDO PROMEDIO]],0)</f>
        <v>0</v>
      </c>
      <c r="BO20" s="51"/>
      <c r="BP20" s="60"/>
      <c r="BQ20" s="3">
        <f>IF(TABLATRANSFERENCIA[[#This Row],[RECIBIDO]]&lt;&gt;"",0,IF(TABLATRANSFERENCIA[[#This Row],[DESPACHO]]&lt;&gt;"",TABLATRANSFERENCIA[[#This Row],[DESPACHO]],TABLATRANSFERENCIA[[#This Row],[REQUERIM]]))</f>
        <v>20</v>
      </c>
      <c r="BR20" s="50"/>
      <c r="BS20" s="50"/>
      <c r="BT20" s="50" t="str">
        <f t="shared" si="0"/>
        <v>N</v>
      </c>
      <c r="BU20" s="51">
        <f t="array" ref="BU20">IF(SUM(--(TABLATRANSFERENCIA[[#This Row],[CODIGO GENERICO]]=TABLATRANSFERENCIA[CODIGO GENERICO])*TABLATRANSFERENCIA[REQUERIM])&lt;TABLATRANSFERENCIA[[#This Row],[PEDIDO MIN GRUPO]],1,0)</f>
        <v>1</v>
      </c>
      <c r="BV2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20" s="51" t="s">
        <v>1415</v>
      </c>
      <c r="BX20" s="51" t="s">
        <v>1415</v>
      </c>
    </row>
    <row r="21" spans="1:76" x14ac:dyDescent="0.25">
      <c r="A21" s="54" t="s">
        <v>1393</v>
      </c>
      <c r="B21" s="3" t="s">
        <v>1415</v>
      </c>
      <c r="C21" s="3" t="s">
        <v>1415</v>
      </c>
      <c r="D21" s="3" t="s">
        <v>1415</v>
      </c>
      <c r="E21" s="3" t="s">
        <v>1415</v>
      </c>
      <c r="F21" s="3" t="s">
        <v>1415</v>
      </c>
      <c r="G21" s="3" t="s">
        <v>1415</v>
      </c>
      <c r="H21" s="3" t="s">
        <v>1415</v>
      </c>
      <c r="I21" s="3" t="s">
        <v>1415</v>
      </c>
      <c r="J21" s="3" t="s">
        <v>1415</v>
      </c>
      <c r="K21" s="3" t="s">
        <v>1415</v>
      </c>
      <c r="L21" s="3" t="s">
        <v>1415</v>
      </c>
      <c r="M21" s="3" t="s">
        <v>1415</v>
      </c>
      <c r="N21" s="3" t="s">
        <v>1415</v>
      </c>
      <c r="O21" s="5" t="s">
        <v>1415</v>
      </c>
      <c r="P21" s="5" t="s">
        <v>1415</v>
      </c>
      <c r="Q21" s="5" t="s">
        <v>1415</v>
      </c>
      <c r="R21" s="46" t="s">
        <v>1415</v>
      </c>
      <c r="S21" s="46" t="s">
        <v>1415</v>
      </c>
      <c r="T21" s="46" t="s">
        <v>1415</v>
      </c>
      <c r="U21" s="46" t="s">
        <v>1415</v>
      </c>
      <c r="V21" s="49" t="s">
        <v>1415</v>
      </c>
      <c r="W21" s="49" t="s">
        <v>1415</v>
      </c>
      <c r="X21" s="51" t="s">
        <v>1415</v>
      </c>
      <c r="Y21" s="51" t="s">
        <v>1415</v>
      </c>
      <c r="Z21" s="6" t="s">
        <v>1415</v>
      </c>
      <c r="AA21" s="6" t="s">
        <v>1415</v>
      </c>
      <c r="AB21" s="6" t="s">
        <v>1415</v>
      </c>
      <c r="AC21" s="4" t="s">
        <v>1415</v>
      </c>
      <c r="AD21" s="6" t="s">
        <v>1415</v>
      </c>
      <c r="AE21" s="6" t="s">
        <v>1415</v>
      </c>
      <c r="AF21" s="6" t="s">
        <v>1415</v>
      </c>
      <c r="AG21" s="6" t="s">
        <v>1415</v>
      </c>
      <c r="AH21" s="6" t="s">
        <v>1415</v>
      </c>
      <c r="AI21" s="6" t="s">
        <v>1415</v>
      </c>
      <c r="AJ21" s="6" t="s">
        <v>1415</v>
      </c>
      <c r="AK21" s="6" t="s">
        <v>1415</v>
      </c>
      <c r="AL21" s="4" t="s">
        <v>1415</v>
      </c>
      <c r="AM21" s="6" t="s">
        <v>1415</v>
      </c>
      <c r="AN21" s="6" t="s">
        <v>1415</v>
      </c>
      <c r="AO21" s="6" t="s">
        <v>1415</v>
      </c>
      <c r="AP21" s="6" t="s">
        <v>1415</v>
      </c>
      <c r="AQ21" s="6" t="s">
        <v>1415</v>
      </c>
      <c r="AR21" s="6" t="s">
        <v>1415</v>
      </c>
      <c r="AS21" s="6" t="s">
        <v>1415</v>
      </c>
      <c r="AT21" s="6" t="s">
        <v>1415</v>
      </c>
      <c r="AU21" s="6" t="s">
        <v>1415</v>
      </c>
      <c r="AV21" s="63" t="s">
        <v>1415</v>
      </c>
      <c r="AW21" s="63" t="s">
        <v>1415</v>
      </c>
      <c r="AX21" s="6">
        <f t="array" ref="AX21">IFERROR(INDEX(Datos_Consumo[CANTIDAD],MATCH(TABLATRANSFERENCIA[[#This Row],[CODIGO]]&amp;TABLATRANSFERENCIA[[#Headers],[Columna1]],Datos_Consumo[CODIGO]&amp;Datos_Consumo[FECHA_FORMATO],0)),0)</f>
        <v>0</v>
      </c>
      <c r="AY21" s="6">
        <f t="array" ref="AY21">IFERROR(INDEX(Datos_Consumo[CANTIDAD],MATCH(TABLATRANSFERENCIA[[#This Row],[CODIGO]]&amp;TABLATRANSFERENCIA[[#Headers],[Columna2]],Datos_Consumo[CODIGO]&amp;Datos_Consumo[FECHA_FORMATO],0)),0)</f>
        <v>0</v>
      </c>
      <c r="AZ21" s="6">
        <f t="array" ref="AZ21">IFERROR(INDEX(Datos_Consumo[CANTIDAD],MATCH(TABLATRANSFERENCIA[[#This Row],[CODIGO]]&amp;TABLATRANSFERENCIA[[#Headers],[Columna3]],Datos_Consumo[CODIGO]&amp;Datos_Consumo[FECHA_FORMATO],0)),0)</f>
        <v>0</v>
      </c>
      <c r="BA21" s="6">
        <f t="array" ref="BA21">IFERROR(INDEX(Datos_Consumo[CANTIDAD],MATCH(TABLATRANSFERENCIA[[#This Row],[CODIGO]]&amp;TABLATRANSFERENCIA[[#Headers],[Columna4]],Datos_Consumo[CODIGO]&amp;Datos_Consumo[FECHA_FORMATO],0)),0)</f>
        <v>0</v>
      </c>
      <c r="BB21" s="6">
        <f t="array" ref="BB21">IFERROR(INDEX(Datos_Consumo[CANTIDAD],MATCH(TABLATRANSFERENCIA[[#This Row],[CODIGO]]&amp;TABLATRANSFERENCIA[[#Headers],[Columna5]],Datos_Consumo[CODIGO]&amp;Datos_Consumo[FECHA_FORMATO],0)),0)</f>
        <v>0</v>
      </c>
      <c r="BC21" s="6">
        <f t="array" ref="BC21">IFERROR(INDEX(Datos_Consumo[CANTIDAD],MATCH(TABLATRANSFERENCIA[[#This Row],[CODIGO]]&amp;TABLATRANSFERENCIA[[#Headers],[Columna6]],Datos_Consumo[CODIGO]&amp;Datos_Consumo[FECHA_FORMATO],0)),0)</f>
        <v>0</v>
      </c>
      <c r="BD21" s="50">
        <v>20</v>
      </c>
      <c r="BE21" s="55">
        <v>20</v>
      </c>
      <c r="BF21" s="50"/>
      <c r="BG21" s="51"/>
      <c r="BH21"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2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1" s="51"/>
      <c r="BN21" s="46">
        <f>IFERROR(TABLATRANSFERENCIA[[#This Row],[REQUERIM]]/TABLATRANSFERENCIA[[#This Row],[PEDIDO PROMEDIO]],0)</f>
        <v>0</v>
      </c>
      <c r="BO21" s="51"/>
      <c r="BP21" s="60"/>
      <c r="BQ21" s="3">
        <f>IF(TABLATRANSFERENCIA[[#This Row],[RECIBIDO]]&lt;&gt;"",0,IF(TABLATRANSFERENCIA[[#This Row],[DESPACHO]]&lt;&gt;"",TABLATRANSFERENCIA[[#This Row],[DESPACHO]],TABLATRANSFERENCIA[[#This Row],[REQUERIM]]))</f>
        <v>20</v>
      </c>
      <c r="BR21" s="50"/>
      <c r="BS21" s="50"/>
      <c r="BT21" s="50" t="str">
        <f t="shared" si="0"/>
        <v>N</v>
      </c>
      <c r="BU21" s="51">
        <f t="array" ref="BU21">IF(SUM(--(TABLATRANSFERENCIA[[#This Row],[CODIGO GENERICO]]=TABLATRANSFERENCIA[CODIGO GENERICO])*TABLATRANSFERENCIA[REQUERIM])&lt;TABLATRANSFERENCIA[[#This Row],[PEDIDO MIN GRUPO]],1,0)</f>
        <v>1</v>
      </c>
      <c r="BV2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21" s="51" t="s">
        <v>1415</v>
      </c>
      <c r="BX21" s="51" t="s">
        <v>1415</v>
      </c>
    </row>
    <row r="22" spans="1:76" x14ac:dyDescent="0.25">
      <c r="A22" s="54" t="s">
        <v>1394</v>
      </c>
      <c r="B22" s="3" t="s">
        <v>1415</v>
      </c>
      <c r="C22" s="3" t="s">
        <v>1415</v>
      </c>
      <c r="D22" s="3" t="s">
        <v>1415</v>
      </c>
      <c r="E22" s="3" t="s">
        <v>1415</v>
      </c>
      <c r="F22" s="3" t="s">
        <v>1415</v>
      </c>
      <c r="G22" s="3" t="s">
        <v>1415</v>
      </c>
      <c r="H22" s="3" t="s">
        <v>1415</v>
      </c>
      <c r="I22" s="3" t="s">
        <v>1415</v>
      </c>
      <c r="J22" s="3" t="s">
        <v>1415</v>
      </c>
      <c r="K22" s="3" t="s">
        <v>1415</v>
      </c>
      <c r="L22" s="3" t="s">
        <v>1415</v>
      </c>
      <c r="M22" s="3" t="s">
        <v>1415</v>
      </c>
      <c r="N22" s="3" t="s">
        <v>1415</v>
      </c>
      <c r="O22" s="5" t="s">
        <v>1415</v>
      </c>
      <c r="P22" s="5" t="s">
        <v>1415</v>
      </c>
      <c r="Q22" s="5" t="s">
        <v>1415</v>
      </c>
      <c r="R22" s="46" t="s">
        <v>1415</v>
      </c>
      <c r="S22" s="46" t="s">
        <v>1415</v>
      </c>
      <c r="T22" s="46" t="s">
        <v>1415</v>
      </c>
      <c r="U22" s="46" t="s">
        <v>1415</v>
      </c>
      <c r="V22" s="49" t="s">
        <v>1415</v>
      </c>
      <c r="W22" s="49" t="s">
        <v>1415</v>
      </c>
      <c r="X22" s="51" t="s">
        <v>1415</v>
      </c>
      <c r="Y22" s="51" t="s">
        <v>1415</v>
      </c>
      <c r="Z22" s="6" t="s">
        <v>1415</v>
      </c>
      <c r="AA22" s="6" t="s">
        <v>1415</v>
      </c>
      <c r="AB22" s="6" t="s">
        <v>1415</v>
      </c>
      <c r="AC22" s="4" t="s">
        <v>1415</v>
      </c>
      <c r="AD22" s="6" t="s">
        <v>1415</v>
      </c>
      <c r="AE22" s="6" t="s">
        <v>1415</v>
      </c>
      <c r="AF22" s="6" t="s">
        <v>1415</v>
      </c>
      <c r="AG22" s="6" t="s">
        <v>1415</v>
      </c>
      <c r="AH22" s="6" t="s">
        <v>1415</v>
      </c>
      <c r="AI22" s="6" t="s">
        <v>1415</v>
      </c>
      <c r="AJ22" s="6" t="s">
        <v>1415</v>
      </c>
      <c r="AK22" s="6" t="s">
        <v>1415</v>
      </c>
      <c r="AL22" s="4" t="s">
        <v>1415</v>
      </c>
      <c r="AM22" s="6" t="s">
        <v>1415</v>
      </c>
      <c r="AN22" s="6" t="s">
        <v>1415</v>
      </c>
      <c r="AO22" s="6" t="s">
        <v>1415</v>
      </c>
      <c r="AP22" s="6" t="s">
        <v>1415</v>
      </c>
      <c r="AQ22" s="6" t="s">
        <v>1415</v>
      </c>
      <c r="AR22" s="6" t="s">
        <v>1415</v>
      </c>
      <c r="AS22" s="6" t="s">
        <v>1415</v>
      </c>
      <c r="AT22" s="6" t="s">
        <v>1415</v>
      </c>
      <c r="AU22" s="6" t="s">
        <v>1415</v>
      </c>
      <c r="AV22" s="63" t="s">
        <v>1415</v>
      </c>
      <c r="AW22" s="63" t="s">
        <v>1415</v>
      </c>
      <c r="AX22" s="6">
        <f t="array" ref="AX22">IFERROR(INDEX(Datos_Consumo[CANTIDAD],MATCH(TABLATRANSFERENCIA[[#This Row],[CODIGO]]&amp;TABLATRANSFERENCIA[[#Headers],[Columna1]],Datos_Consumo[CODIGO]&amp;Datos_Consumo[FECHA_FORMATO],0)),0)</f>
        <v>0</v>
      </c>
      <c r="AY22" s="6">
        <f t="array" ref="AY22">IFERROR(INDEX(Datos_Consumo[CANTIDAD],MATCH(TABLATRANSFERENCIA[[#This Row],[CODIGO]]&amp;TABLATRANSFERENCIA[[#Headers],[Columna2]],Datos_Consumo[CODIGO]&amp;Datos_Consumo[FECHA_FORMATO],0)),0)</f>
        <v>0</v>
      </c>
      <c r="AZ22" s="6">
        <f t="array" ref="AZ22">IFERROR(INDEX(Datos_Consumo[CANTIDAD],MATCH(TABLATRANSFERENCIA[[#This Row],[CODIGO]]&amp;TABLATRANSFERENCIA[[#Headers],[Columna3]],Datos_Consumo[CODIGO]&amp;Datos_Consumo[FECHA_FORMATO],0)),0)</f>
        <v>0</v>
      </c>
      <c r="BA22" s="6">
        <f t="array" ref="BA22">IFERROR(INDEX(Datos_Consumo[CANTIDAD],MATCH(TABLATRANSFERENCIA[[#This Row],[CODIGO]]&amp;TABLATRANSFERENCIA[[#Headers],[Columna4]],Datos_Consumo[CODIGO]&amp;Datos_Consumo[FECHA_FORMATO],0)),0)</f>
        <v>0</v>
      </c>
      <c r="BB22" s="6">
        <f t="array" ref="BB22">IFERROR(INDEX(Datos_Consumo[CANTIDAD],MATCH(TABLATRANSFERENCIA[[#This Row],[CODIGO]]&amp;TABLATRANSFERENCIA[[#Headers],[Columna5]],Datos_Consumo[CODIGO]&amp;Datos_Consumo[FECHA_FORMATO],0)),0)</f>
        <v>0</v>
      </c>
      <c r="BC22" s="6">
        <f t="array" ref="BC22">IFERROR(INDEX(Datos_Consumo[CANTIDAD],MATCH(TABLATRANSFERENCIA[[#This Row],[CODIGO]]&amp;TABLATRANSFERENCIA[[#Headers],[Columna6]],Datos_Consumo[CODIGO]&amp;Datos_Consumo[FECHA_FORMATO],0)),0)</f>
        <v>0</v>
      </c>
      <c r="BD22" s="50">
        <v>20</v>
      </c>
      <c r="BE22" s="55">
        <v>20</v>
      </c>
      <c r="BF22" s="50"/>
      <c r="BG22" s="51"/>
      <c r="BH22"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2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2" s="51"/>
      <c r="BN22" s="46">
        <f>IFERROR(TABLATRANSFERENCIA[[#This Row],[REQUERIM]]/TABLATRANSFERENCIA[[#This Row],[PEDIDO PROMEDIO]],0)</f>
        <v>0</v>
      </c>
      <c r="BO22" s="51"/>
      <c r="BP22" s="60"/>
      <c r="BQ22" s="3">
        <f>IF(TABLATRANSFERENCIA[[#This Row],[RECIBIDO]]&lt;&gt;"",0,IF(TABLATRANSFERENCIA[[#This Row],[DESPACHO]]&lt;&gt;"",TABLATRANSFERENCIA[[#This Row],[DESPACHO]],TABLATRANSFERENCIA[[#This Row],[REQUERIM]]))</f>
        <v>20</v>
      </c>
      <c r="BR22" s="50"/>
      <c r="BS22" s="50"/>
      <c r="BT22" s="50" t="str">
        <f t="shared" si="0"/>
        <v>N</v>
      </c>
      <c r="BU22" s="51">
        <f t="array" ref="BU22">IF(SUM(--(TABLATRANSFERENCIA[[#This Row],[CODIGO GENERICO]]=TABLATRANSFERENCIA[CODIGO GENERICO])*TABLATRANSFERENCIA[REQUERIM])&lt;TABLATRANSFERENCIA[[#This Row],[PEDIDO MIN GRUPO]],1,0)</f>
        <v>1</v>
      </c>
      <c r="BV22"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22" s="51" t="s">
        <v>1415</v>
      </c>
      <c r="BX22" s="51" t="s">
        <v>1415</v>
      </c>
    </row>
    <row r="23" spans="1:76" x14ac:dyDescent="0.25">
      <c r="A23" s="54" t="s">
        <v>1395</v>
      </c>
      <c r="B23" s="3" t="s">
        <v>1415</v>
      </c>
      <c r="C23" s="3" t="s">
        <v>1415</v>
      </c>
      <c r="D23" s="3" t="s">
        <v>1415</v>
      </c>
      <c r="E23" s="3" t="s">
        <v>1415</v>
      </c>
      <c r="F23" s="3" t="s">
        <v>1415</v>
      </c>
      <c r="G23" s="3" t="s">
        <v>1415</v>
      </c>
      <c r="H23" s="3" t="s">
        <v>1415</v>
      </c>
      <c r="I23" s="3" t="s">
        <v>1415</v>
      </c>
      <c r="J23" s="3" t="s">
        <v>1415</v>
      </c>
      <c r="K23" s="3" t="s">
        <v>1415</v>
      </c>
      <c r="L23" s="3" t="s">
        <v>1415</v>
      </c>
      <c r="M23" s="3" t="s">
        <v>1415</v>
      </c>
      <c r="N23" s="3" t="s">
        <v>1415</v>
      </c>
      <c r="O23" s="5" t="s">
        <v>1415</v>
      </c>
      <c r="P23" s="5" t="s">
        <v>1415</v>
      </c>
      <c r="Q23" s="5" t="s">
        <v>1415</v>
      </c>
      <c r="R23" s="46" t="s">
        <v>1415</v>
      </c>
      <c r="S23" s="46" t="s">
        <v>1415</v>
      </c>
      <c r="T23" s="46" t="s">
        <v>1415</v>
      </c>
      <c r="U23" s="46" t="s">
        <v>1415</v>
      </c>
      <c r="V23" s="49" t="s">
        <v>1415</v>
      </c>
      <c r="W23" s="49" t="s">
        <v>1415</v>
      </c>
      <c r="X23" s="51" t="s">
        <v>1415</v>
      </c>
      <c r="Y23" s="51" t="s">
        <v>1415</v>
      </c>
      <c r="Z23" s="6" t="s">
        <v>1415</v>
      </c>
      <c r="AA23" s="6" t="s">
        <v>1415</v>
      </c>
      <c r="AB23" s="6" t="s">
        <v>1415</v>
      </c>
      <c r="AC23" s="4" t="s">
        <v>1415</v>
      </c>
      <c r="AD23" s="6" t="s">
        <v>1415</v>
      </c>
      <c r="AE23" s="6" t="s">
        <v>1415</v>
      </c>
      <c r="AF23" s="6" t="s">
        <v>1415</v>
      </c>
      <c r="AG23" s="6" t="s">
        <v>1415</v>
      </c>
      <c r="AH23" s="6" t="s">
        <v>1415</v>
      </c>
      <c r="AI23" s="6" t="s">
        <v>1415</v>
      </c>
      <c r="AJ23" s="6" t="s">
        <v>1415</v>
      </c>
      <c r="AK23" s="6" t="s">
        <v>1415</v>
      </c>
      <c r="AL23" s="4" t="s">
        <v>1415</v>
      </c>
      <c r="AM23" s="6" t="s">
        <v>1415</v>
      </c>
      <c r="AN23" s="6" t="s">
        <v>1415</v>
      </c>
      <c r="AO23" s="6" t="s">
        <v>1415</v>
      </c>
      <c r="AP23" s="6" t="s">
        <v>1415</v>
      </c>
      <c r="AQ23" s="6" t="s">
        <v>1415</v>
      </c>
      <c r="AR23" s="6" t="s">
        <v>1415</v>
      </c>
      <c r="AS23" s="6" t="s">
        <v>1415</v>
      </c>
      <c r="AT23" s="6" t="s">
        <v>1415</v>
      </c>
      <c r="AU23" s="6" t="s">
        <v>1415</v>
      </c>
      <c r="AV23" s="63" t="s">
        <v>1415</v>
      </c>
      <c r="AW23" s="63" t="s">
        <v>1415</v>
      </c>
      <c r="AX23" s="6">
        <f t="array" ref="AX23">IFERROR(INDEX(Datos_Consumo[CANTIDAD],MATCH(TABLATRANSFERENCIA[[#This Row],[CODIGO]]&amp;TABLATRANSFERENCIA[[#Headers],[Columna1]],Datos_Consumo[CODIGO]&amp;Datos_Consumo[FECHA_FORMATO],0)),0)</f>
        <v>0</v>
      </c>
      <c r="AY23" s="6">
        <f t="array" ref="AY23">IFERROR(INDEX(Datos_Consumo[CANTIDAD],MATCH(TABLATRANSFERENCIA[[#This Row],[CODIGO]]&amp;TABLATRANSFERENCIA[[#Headers],[Columna2]],Datos_Consumo[CODIGO]&amp;Datos_Consumo[FECHA_FORMATO],0)),0)</f>
        <v>0</v>
      </c>
      <c r="AZ23" s="6">
        <f t="array" ref="AZ23">IFERROR(INDEX(Datos_Consumo[CANTIDAD],MATCH(TABLATRANSFERENCIA[[#This Row],[CODIGO]]&amp;TABLATRANSFERENCIA[[#Headers],[Columna3]],Datos_Consumo[CODIGO]&amp;Datos_Consumo[FECHA_FORMATO],0)),0)</f>
        <v>0</v>
      </c>
      <c r="BA23" s="6">
        <f t="array" ref="BA23">IFERROR(INDEX(Datos_Consumo[CANTIDAD],MATCH(TABLATRANSFERENCIA[[#This Row],[CODIGO]]&amp;TABLATRANSFERENCIA[[#Headers],[Columna4]],Datos_Consumo[CODIGO]&amp;Datos_Consumo[FECHA_FORMATO],0)),0)</f>
        <v>0</v>
      </c>
      <c r="BB23" s="6">
        <f t="array" ref="BB23">IFERROR(INDEX(Datos_Consumo[CANTIDAD],MATCH(TABLATRANSFERENCIA[[#This Row],[CODIGO]]&amp;TABLATRANSFERENCIA[[#Headers],[Columna5]],Datos_Consumo[CODIGO]&amp;Datos_Consumo[FECHA_FORMATO],0)),0)</f>
        <v>0</v>
      </c>
      <c r="BC23" s="6">
        <f t="array" ref="BC23">IFERROR(INDEX(Datos_Consumo[CANTIDAD],MATCH(TABLATRANSFERENCIA[[#This Row],[CODIGO]]&amp;TABLATRANSFERENCIA[[#Headers],[Columna6]],Datos_Consumo[CODIGO]&amp;Datos_Consumo[FECHA_FORMATO],0)),0)</f>
        <v>0</v>
      </c>
      <c r="BD23" s="50">
        <v>20</v>
      </c>
      <c r="BE23" s="55">
        <v>20</v>
      </c>
      <c r="BF23" s="50"/>
      <c r="BG23" s="51"/>
      <c r="BH23"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2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3" s="51"/>
      <c r="BN23" s="46">
        <f>IFERROR(TABLATRANSFERENCIA[[#This Row],[REQUERIM]]/TABLATRANSFERENCIA[[#This Row],[PEDIDO PROMEDIO]],0)</f>
        <v>0</v>
      </c>
      <c r="BO23" s="51"/>
      <c r="BP23" s="60"/>
      <c r="BQ23" s="3">
        <f>IF(TABLATRANSFERENCIA[[#This Row],[RECIBIDO]]&lt;&gt;"",0,IF(TABLATRANSFERENCIA[[#This Row],[DESPACHO]]&lt;&gt;"",TABLATRANSFERENCIA[[#This Row],[DESPACHO]],TABLATRANSFERENCIA[[#This Row],[REQUERIM]]))</f>
        <v>20</v>
      </c>
      <c r="BR23" s="50"/>
      <c r="BS23" s="50"/>
      <c r="BT23" s="50" t="str">
        <f t="shared" si="0"/>
        <v>N</v>
      </c>
      <c r="BU23" s="51">
        <f t="array" ref="BU23">IF(SUM(--(TABLATRANSFERENCIA[[#This Row],[CODIGO GENERICO]]=TABLATRANSFERENCIA[CODIGO GENERICO])*TABLATRANSFERENCIA[REQUERIM])&lt;TABLATRANSFERENCIA[[#This Row],[PEDIDO MIN GRUPO]],1,0)</f>
        <v>1</v>
      </c>
      <c r="BV23"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23" s="51" t="s">
        <v>1415</v>
      </c>
      <c r="BX23" s="51" t="s">
        <v>1415</v>
      </c>
    </row>
    <row r="24" spans="1:76" x14ac:dyDescent="0.25">
      <c r="A24" s="54" t="s">
        <v>1396</v>
      </c>
      <c r="B24" s="3" t="s">
        <v>1415</v>
      </c>
      <c r="C24" s="3" t="s">
        <v>1415</v>
      </c>
      <c r="D24" s="3" t="s">
        <v>1415</v>
      </c>
      <c r="E24" s="3" t="s">
        <v>1415</v>
      </c>
      <c r="F24" s="3" t="s">
        <v>1415</v>
      </c>
      <c r="G24" s="3" t="s">
        <v>1415</v>
      </c>
      <c r="H24" s="3" t="s">
        <v>1415</v>
      </c>
      <c r="I24" s="3" t="s">
        <v>1415</v>
      </c>
      <c r="J24" s="3" t="s">
        <v>1415</v>
      </c>
      <c r="K24" s="3" t="s">
        <v>1415</v>
      </c>
      <c r="L24" s="3" t="s">
        <v>1415</v>
      </c>
      <c r="M24" s="3" t="s">
        <v>1415</v>
      </c>
      <c r="N24" s="3" t="s">
        <v>1415</v>
      </c>
      <c r="O24" s="5" t="s">
        <v>1415</v>
      </c>
      <c r="P24" s="5" t="s">
        <v>1415</v>
      </c>
      <c r="Q24" s="5" t="s">
        <v>1415</v>
      </c>
      <c r="R24" s="46" t="s">
        <v>1415</v>
      </c>
      <c r="S24" s="46" t="s">
        <v>1415</v>
      </c>
      <c r="T24" s="46" t="s">
        <v>1415</v>
      </c>
      <c r="U24" s="46" t="s">
        <v>1415</v>
      </c>
      <c r="V24" s="49" t="s">
        <v>1415</v>
      </c>
      <c r="W24" s="49" t="s">
        <v>1415</v>
      </c>
      <c r="X24" s="51" t="s">
        <v>1415</v>
      </c>
      <c r="Y24" s="51" t="s">
        <v>1415</v>
      </c>
      <c r="Z24" s="6" t="s">
        <v>1415</v>
      </c>
      <c r="AA24" s="6" t="s">
        <v>1415</v>
      </c>
      <c r="AB24" s="6" t="s">
        <v>1415</v>
      </c>
      <c r="AC24" s="4" t="s">
        <v>1415</v>
      </c>
      <c r="AD24" s="6" t="s">
        <v>1415</v>
      </c>
      <c r="AE24" s="6" t="s">
        <v>1415</v>
      </c>
      <c r="AF24" s="6" t="s">
        <v>1415</v>
      </c>
      <c r="AG24" s="6" t="s">
        <v>1415</v>
      </c>
      <c r="AH24" s="6" t="s">
        <v>1415</v>
      </c>
      <c r="AI24" s="6" t="s">
        <v>1415</v>
      </c>
      <c r="AJ24" s="6" t="s">
        <v>1415</v>
      </c>
      <c r="AK24" s="6" t="s">
        <v>1415</v>
      </c>
      <c r="AL24" s="4" t="s">
        <v>1415</v>
      </c>
      <c r="AM24" s="6" t="s">
        <v>1415</v>
      </c>
      <c r="AN24" s="6" t="s">
        <v>1415</v>
      </c>
      <c r="AO24" s="6" t="s">
        <v>1415</v>
      </c>
      <c r="AP24" s="6" t="s">
        <v>1415</v>
      </c>
      <c r="AQ24" s="6" t="s">
        <v>1415</v>
      </c>
      <c r="AR24" s="6" t="s">
        <v>1415</v>
      </c>
      <c r="AS24" s="6" t="s">
        <v>1415</v>
      </c>
      <c r="AT24" s="6" t="s">
        <v>1415</v>
      </c>
      <c r="AU24" s="6" t="s">
        <v>1415</v>
      </c>
      <c r="AV24" s="63" t="s">
        <v>1415</v>
      </c>
      <c r="AW24" s="63" t="s">
        <v>1415</v>
      </c>
      <c r="AX24" s="6">
        <f t="array" ref="AX24">IFERROR(INDEX(Datos_Consumo[CANTIDAD],MATCH(TABLATRANSFERENCIA[[#This Row],[CODIGO]]&amp;TABLATRANSFERENCIA[[#Headers],[Columna1]],Datos_Consumo[CODIGO]&amp;Datos_Consumo[FECHA_FORMATO],0)),0)</f>
        <v>0</v>
      </c>
      <c r="AY24" s="6">
        <f t="array" ref="AY24">IFERROR(INDEX(Datos_Consumo[CANTIDAD],MATCH(TABLATRANSFERENCIA[[#This Row],[CODIGO]]&amp;TABLATRANSFERENCIA[[#Headers],[Columna2]],Datos_Consumo[CODIGO]&amp;Datos_Consumo[FECHA_FORMATO],0)),0)</f>
        <v>0</v>
      </c>
      <c r="AZ24" s="6">
        <f t="array" ref="AZ24">IFERROR(INDEX(Datos_Consumo[CANTIDAD],MATCH(TABLATRANSFERENCIA[[#This Row],[CODIGO]]&amp;TABLATRANSFERENCIA[[#Headers],[Columna3]],Datos_Consumo[CODIGO]&amp;Datos_Consumo[FECHA_FORMATO],0)),0)</f>
        <v>0</v>
      </c>
      <c r="BA24" s="6">
        <f t="array" ref="BA24">IFERROR(INDEX(Datos_Consumo[CANTIDAD],MATCH(TABLATRANSFERENCIA[[#This Row],[CODIGO]]&amp;TABLATRANSFERENCIA[[#Headers],[Columna4]],Datos_Consumo[CODIGO]&amp;Datos_Consumo[FECHA_FORMATO],0)),0)</f>
        <v>0</v>
      </c>
      <c r="BB24" s="6">
        <f t="array" ref="BB24">IFERROR(INDEX(Datos_Consumo[CANTIDAD],MATCH(TABLATRANSFERENCIA[[#This Row],[CODIGO]]&amp;TABLATRANSFERENCIA[[#Headers],[Columna5]],Datos_Consumo[CODIGO]&amp;Datos_Consumo[FECHA_FORMATO],0)),0)</f>
        <v>0</v>
      </c>
      <c r="BC24" s="6">
        <f t="array" ref="BC24">IFERROR(INDEX(Datos_Consumo[CANTIDAD],MATCH(TABLATRANSFERENCIA[[#This Row],[CODIGO]]&amp;TABLATRANSFERENCIA[[#Headers],[Columna6]],Datos_Consumo[CODIGO]&amp;Datos_Consumo[FECHA_FORMATO],0)),0)</f>
        <v>0</v>
      </c>
      <c r="BD24" s="50">
        <v>20</v>
      </c>
      <c r="BE24" s="55">
        <v>20</v>
      </c>
      <c r="BF24" s="50"/>
      <c r="BG24" s="51"/>
      <c r="BH24"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2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4" s="51"/>
      <c r="BN24" s="46">
        <f>IFERROR(TABLATRANSFERENCIA[[#This Row],[REQUERIM]]/TABLATRANSFERENCIA[[#This Row],[PEDIDO PROMEDIO]],0)</f>
        <v>0</v>
      </c>
      <c r="BO24" s="51"/>
      <c r="BP24" s="60"/>
      <c r="BQ24" s="3">
        <f>IF(TABLATRANSFERENCIA[[#This Row],[RECIBIDO]]&lt;&gt;"",0,IF(TABLATRANSFERENCIA[[#This Row],[DESPACHO]]&lt;&gt;"",TABLATRANSFERENCIA[[#This Row],[DESPACHO]],TABLATRANSFERENCIA[[#This Row],[REQUERIM]]))</f>
        <v>20</v>
      </c>
      <c r="BR24" s="50"/>
      <c r="BS24" s="50"/>
      <c r="BT24" s="50" t="str">
        <f t="shared" si="0"/>
        <v>N</v>
      </c>
      <c r="BU24" s="51">
        <f t="array" ref="BU24">IF(SUM(--(TABLATRANSFERENCIA[[#This Row],[CODIGO GENERICO]]=TABLATRANSFERENCIA[CODIGO GENERICO])*TABLATRANSFERENCIA[REQUERIM])&lt;TABLATRANSFERENCIA[[#This Row],[PEDIDO MIN GRUPO]],1,0)</f>
        <v>1</v>
      </c>
      <c r="BV24"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24" s="51" t="s">
        <v>1415</v>
      </c>
      <c r="BX24" s="51" t="s">
        <v>1415</v>
      </c>
    </row>
    <row r="25" spans="1:76" x14ac:dyDescent="0.25">
      <c r="A25" s="54" t="s">
        <v>1397</v>
      </c>
      <c r="B25" s="3" t="s">
        <v>1415</v>
      </c>
      <c r="C25" s="3" t="s">
        <v>1415</v>
      </c>
      <c r="D25" s="3" t="s">
        <v>1415</v>
      </c>
      <c r="E25" s="3" t="s">
        <v>1415</v>
      </c>
      <c r="F25" s="3" t="s">
        <v>1415</v>
      </c>
      <c r="G25" s="3" t="s">
        <v>1415</v>
      </c>
      <c r="H25" s="3" t="s">
        <v>1415</v>
      </c>
      <c r="I25" s="3" t="s">
        <v>1415</v>
      </c>
      <c r="J25" s="3" t="s">
        <v>1415</v>
      </c>
      <c r="K25" s="3" t="s">
        <v>1415</v>
      </c>
      <c r="L25" s="3" t="s">
        <v>1415</v>
      </c>
      <c r="M25" s="3" t="s">
        <v>1415</v>
      </c>
      <c r="N25" s="3" t="s">
        <v>1415</v>
      </c>
      <c r="O25" s="5" t="s">
        <v>1415</v>
      </c>
      <c r="P25" s="5" t="s">
        <v>1415</v>
      </c>
      <c r="Q25" s="5" t="s">
        <v>1415</v>
      </c>
      <c r="R25" s="46" t="s">
        <v>1415</v>
      </c>
      <c r="S25" s="46" t="s">
        <v>1415</v>
      </c>
      <c r="T25" s="46" t="s">
        <v>1415</v>
      </c>
      <c r="U25" s="46" t="s">
        <v>1415</v>
      </c>
      <c r="V25" s="49" t="s">
        <v>1415</v>
      </c>
      <c r="W25" s="49" t="s">
        <v>1415</v>
      </c>
      <c r="X25" s="51" t="s">
        <v>1415</v>
      </c>
      <c r="Y25" s="51" t="s">
        <v>1415</v>
      </c>
      <c r="Z25" s="6" t="s">
        <v>1415</v>
      </c>
      <c r="AA25" s="6" t="s">
        <v>1415</v>
      </c>
      <c r="AB25" s="6" t="s">
        <v>1415</v>
      </c>
      <c r="AC25" s="4" t="s">
        <v>1415</v>
      </c>
      <c r="AD25" s="6" t="s">
        <v>1415</v>
      </c>
      <c r="AE25" s="6" t="s">
        <v>1415</v>
      </c>
      <c r="AF25" s="6" t="s">
        <v>1415</v>
      </c>
      <c r="AG25" s="6" t="s">
        <v>1415</v>
      </c>
      <c r="AH25" s="6" t="s">
        <v>1415</v>
      </c>
      <c r="AI25" s="6" t="s">
        <v>1415</v>
      </c>
      <c r="AJ25" s="6" t="s">
        <v>1415</v>
      </c>
      <c r="AK25" s="6" t="s">
        <v>1415</v>
      </c>
      <c r="AL25" s="4" t="s">
        <v>1415</v>
      </c>
      <c r="AM25" s="6" t="s">
        <v>1415</v>
      </c>
      <c r="AN25" s="6" t="s">
        <v>1415</v>
      </c>
      <c r="AO25" s="6" t="s">
        <v>1415</v>
      </c>
      <c r="AP25" s="6" t="s">
        <v>1415</v>
      </c>
      <c r="AQ25" s="6" t="s">
        <v>1415</v>
      </c>
      <c r="AR25" s="6" t="s">
        <v>1415</v>
      </c>
      <c r="AS25" s="6" t="s">
        <v>1415</v>
      </c>
      <c r="AT25" s="6" t="s">
        <v>1415</v>
      </c>
      <c r="AU25" s="6" t="s">
        <v>1415</v>
      </c>
      <c r="AV25" s="63" t="s">
        <v>1415</v>
      </c>
      <c r="AW25" s="63" t="s">
        <v>1415</v>
      </c>
      <c r="AX25" s="6">
        <f t="array" ref="AX25">IFERROR(INDEX(Datos_Consumo[CANTIDAD],MATCH(TABLATRANSFERENCIA[[#This Row],[CODIGO]]&amp;TABLATRANSFERENCIA[[#Headers],[Columna1]],Datos_Consumo[CODIGO]&amp;Datos_Consumo[FECHA_FORMATO],0)),0)</f>
        <v>0</v>
      </c>
      <c r="AY25" s="6">
        <f t="array" ref="AY25">IFERROR(INDEX(Datos_Consumo[CANTIDAD],MATCH(TABLATRANSFERENCIA[[#This Row],[CODIGO]]&amp;TABLATRANSFERENCIA[[#Headers],[Columna2]],Datos_Consumo[CODIGO]&amp;Datos_Consumo[FECHA_FORMATO],0)),0)</f>
        <v>0</v>
      </c>
      <c r="AZ25" s="6">
        <f t="array" ref="AZ25">IFERROR(INDEX(Datos_Consumo[CANTIDAD],MATCH(TABLATRANSFERENCIA[[#This Row],[CODIGO]]&amp;TABLATRANSFERENCIA[[#Headers],[Columna3]],Datos_Consumo[CODIGO]&amp;Datos_Consumo[FECHA_FORMATO],0)),0)</f>
        <v>0</v>
      </c>
      <c r="BA25" s="6">
        <f t="array" ref="BA25">IFERROR(INDEX(Datos_Consumo[CANTIDAD],MATCH(TABLATRANSFERENCIA[[#This Row],[CODIGO]]&amp;TABLATRANSFERENCIA[[#Headers],[Columna4]],Datos_Consumo[CODIGO]&amp;Datos_Consumo[FECHA_FORMATO],0)),0)</f>
        <v>0</v>
      </c>
      <c r="BB25" s="6">
        <f t="array" ref="BB25">IFERROR(INDEX(Datos_Consumo[CANTIDAD],MATCH(TABLATRANSFERENCIA[[#This Row],[CODIGO]]&amp;TABLATRANSFERENCIA[[#Headers],[Columna5]],Datos_Consumo[CODIGO]&amp;Datos_Consumo[FECHA_FORMATO],0)),0)</f>
        <v>0</v>
      </c>
      <c r="BC25" s="6">
        <f t="array" ref="BC25">IFERROR(INDEX(Datos_Consumo[CANTIDAD],MATCH(TABLATRANSFERENCIA[[#This Row],[CODIGO]]&amp;TABLATRANSFERENCIA[[#Headers],[Columna6]],Datos_Consumo[CODIGO]&amp;Datos_Consumo[FECHA_FORMATO],0)),0)</f>
        <v>0</v>
      </c>
      <c r="BD25" s="50">
        <v>20</v>
      </c>
      <c r="BE25" s="55">
        <v>20</v>
      </c>
      <c r="BF25" s="50"/>
      <c r="BG25" s="51"/>
      <c r="BH25"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2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5" s="51"/>
      <c r="BN25" s="46">
        <f>IFERROR(TABLATRANSFERENCIA[[#This Row],[REQUERIM]]/TABLATRANSFERENCIA[[#This Row],[PEDIDO PROMEDIO]],0)</f>
        <v>0</v>
      </c>
      <c r="BO25" s="51"/>
      <c r="BP25" s="60"/>
      <c r="BQ25" s="3">
        <f>IF(TABLATRANSFERENCIA[[#This Row],[RECIBIDO]]&lt;&gt;"",0,IF(TABLATRANSFERENCIA[[#This Row],[DESPACHO]]&lt;&gt;"",TABLATRANSFERENCIA[[#This Row],[DESPACHO]],TABLATRANSFERENCIA[[#This Row],[REQUERIM]]))</f>
        <v>20</v>
      </c>
      <c r="BR25" s="50"/>
      <c r="BS25" s="50"/>
      <c r="BT25" s="50" t="str">
        <f t="shared" si="0"/>
        <v>N</v>
      </c>
      <c r="BU25" s="51">
        <f t="array" ref="BU25">IF(SUM(--(TABLATRANSFERENCIA[[#This Row],[CODIGO GENERICO]]=TABLATRANSFERENCIA[CODIGO GENERICO])*TABLATRANSFERENCIA[REQUERIM])&lt;TABLATRANSFERENCIA[[#This Row],[PEDIDO MIN GRUPO]],1,0)</f>
        <v>1</v>
      </c>
      <c r="BV25"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25" s="51" t="s">
        <v>1415</v>
      </c>
      <c r="BX25" s="51" t="s">
        <v>1415</v>
      </c>
    </row>
    <row r="26" spans="1:76" x14ac:dyDescent="0.25">
      <c r="A26" s="54" t="s">
        <v>1398</v>
      </c>
      <c r="B26" s="3" t="s">
        <v>1415</v>
      </c>
      <c r="C26" s="3" t="s">
        <v>1415</v>
      </c>
      <c r="D26" s="3" t="s">
        <v>1415</v>
      </c>
      <c r="E26" s="3" t="s">
        <v>1415</v>
      </c>
      <c r="F26" s="3" t="s">
        <v>1415</v>
      </c>
      <c r="G26" s="3" t="s">
        <v>1415</v>
      </c>
      <c r="H26" s="3" t="s">
        <v>1415</v>
      </c>
      <c r="I26" s="3" t="s">
        <v>1415</v>
      </c>
      <c r="J26" s="3" t="s">
        <v>1415</v>
      </c>
      <c r="K26" s="3" t="s">
        <v>1415</v>
      </c>
      <c r="L26" s="3" t="s">
        <v>1415</v>
      </c>
      <c r="M26" s="3" t="s">
        <v>1415</v>
      </c>
      <c r="N26" s="3" t="s">
        <v>1415</v>
      </c>
      <c r="O26" s="5" t="s">
        <v>1415</v>
      </c>
      <c r="P26" s="5" t="s">
        <v>1415</v>
      </c>
      <c r="Q26" s="5" t="s">
        <v>1415</v>
      </c>
      <c r="R26" s="46" t="s">
        <v>1415</v>
      </c>
      <c r="S26" s="46" t="s">
        <v>1415</v>
      </c>
      <c r="T26" s="46" t="s">
        <v>1415</v>
      </c>
      <c r="U26" s="46" t="s">
        <v>1415</v>
      </c>
      <c r="V26" s="49" t="s">
        <v>1415</v>
      </c>
      <c r="W26" s="49" t="s">
        <v>1415</v>
      </c>
      <c r="X26" s="51" t="s">
        <v>1415</v>
      </c>
      <c r="Y26" s="51" t="s">
        <v>1415</v>
      </c>
      <c r="Z26" s="6" t="s">
        <v>1415</v>
      </c>
      <c r="AA26" s="6" t="s">
        <v>1415</v>
      </c>
      <c r="AB26" s="6" t="s">
        <v>1415</v>
      </c>
      <c r="AC26" s="4" t="s">
        <v>1415</v>
      </c>
      <c r="AD26" s="6" t="s">
        <v>1415</v>
      </c>
      <c r="AE26" s="6" t="s">
        <v>1415</v>
      </c>
      <c r="AF26" s="6" t="s">
        <v>1415</v>
      </c>
      <c r="AG26" s="6" t="s">
        <v>1415</v>
      </c>
      <c r="AH26" s="6" t="s">
        <v>1415</v>
      </c>
      <c r="AI26" s="6" t="s">
        <v>1415</v>
      </c>
      <c r="AJ26" s="6" t="s">
        <v>1415</v>
      </c>
      <c r="AK26" s="6" t="s">
        <v>1415</v>
      </c>
      <c r="AL26" s="4" t="s">
        <v>1415</v>
      </c>
      <c r="AM26" s="6" t="s">
        <v>1415</v>
      </c>
      <c r="AN26" s="6" t="s">
        <v>1415</v>
      </c>
      <c r="AO26" s="6" t="s">
        <v>1415</v>
      </c>
      <c r="AP26" s="6" t="s">
        <v>1415</v>
      </c>
      <c r="AQ26" s="6" t="s">
        <v>1415</v>
      </c>
      <c r="AR26" s="6" t="s">
        <v>1415</v>
      </c>
      <c r="AS26" s="6" t="s">
        <v>1415</v>
      </c>
      <c r="AT26" s="6" t="s">
        <v>1415</v>
      </c>
      <c r="AU26" s="6" t="s">
        <v>1415</v>
      </c>
      <c r="AV26" s="63" t="s">
        <v>1415</v>
      </c>
      <c r="AW26" s="63" t="s">
        <v>1415</v>
      </c>
      <c r="AX26" s="6">
        <f t="array" ref="AX26">IFERROR(INDEX(Datos_Consumo[CANTIDAD],MATCH(TABLATRANSFERENCIA[[#This Row],[CODIGO]]&amp;TABLATRANSFERENCIA[[#Headers],[Columna1]],Datos_Consumo[CODIGO]&amp;Datos_Consumo[FECHA_FORMATO],0)),0)</f>
        <v>0</v>
      </c>
      <c r="AY26" s="6">
        <f t="array" ref="AY26">IFERROR(INDEX(Datos_Consumo[CANTIDAD],MATCH(TABLATRANSFERENCIA[[#This Row],[CODIGO]]&amp;TABLATRANSFERENCIA[[#Headers],[Columna2]],Datos_Consumo[CODIGO]&amp;Datos_Consumo[FECHA_FORMATO],0)),0)</f>
        <v>0</v>
      </c>
      <c r="AZ26" s="6">
        <f t="array" ref="AZ26">IFERROR(INDEX(Datos_Consumo[CANTIDAD],MATCH(TABLATRANSFERENCIA[[#This Row],[CODIGO]]&amp;TABLATRANSFERENCIA[[#Headers],[Columna3]],Datos_Consumo[CODIGO]&amp;Datos_Consumo[FECHA_FORMATO],0)),0)</f>
        <v>0</v>
      </c>
      <c r="BA26" s="6">
        <f t="array" ref="BA26">IFERROR(INDEX(Datos_Consumo[CANTIDAD],MATCH(TABLATRANSFERENCIA[[#This Row],[CODIGO]]&amp;TABLATRANSFERENCIA[[#Headers],[Columna4]],Datos_Consumo[CODIGO]&amp;Datos_Consumo[FECHA_FORMATO],0)),0)</f>
        <v>0</v>
      </c>
      <c r="BB26" s="6">
        <f t="array" ref="BB26">IFERROR(INDEX(Datos_Consumo[CANTIDAD],MATCH(TABLATRANSFERENCIA[[#This Row],[CODIGO]]&amp;TABLATRANSFERENCIA[[#Headers],[Columna5]],Datos_Consumo[CODIGO]&amp;Datos_Consumo[FECHA_FORMATO],0)),0)</f>
        <v>0</v>
      </c>
      <c r="BC26" s="6">
        <f t="array" ref="BC26">IFERROR(INDEX(Datos_Consumo[CANTIDAD],MATCH(TABLATRANSFERENCIA[[#This Row],[CODIGO]]&amp;TABLATRANSFERENCIA[[#Headers],[Columna6]],Datos_Consumo[CODIGO]&amp;Datos_Consumo[FECHA_FORMATO],0)),0)</f>
        <v>0</v>
      </c>
      <c r="BD26" s="50">
        <v>20</v>
      </c>
      <c r="BE26" s="55">
        <v>20</v>
      </c>
      <c r="BF26" s="50"/>
      <c r="BG26" s="51"/>
      <c r="BH26"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2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6" s="51"/>
      <c r="BN26" s="46">
        <f>IFERROR(TABLATRANSFERENCIA[[#This Row],[REQUERIM]]/TABLATRANSFERENCIA[[#This Row],[PEDIDO PROMEDIO]],0)</f>
        <v>0</v>
      </c>
      <c r="BO26" s="51"/>
      <c r="BP26" s="60"/>
      <c r="BQ26" s="3">
        <f>IF(TABLATRANSFERENCIA[[#This Row],[RECIBIDO]]&lt;&gt;"",0,IF(TABLATRANSFERENCIA[[#This Row],[DESPACHO]]&lt;&gt;"",TABLATRANSFERENCIA[[#This Row],[DESPACHO]],TABLATRANSFERENCIA[[#This Row],[REQUERIM]]))</f>
        <v>20</v>
      </c>
      <c r="BR26" s="50"/>
      <c r="BS26" s="50"/>
      <c r="BT26" s="50" t="str">
        <f t="shared" si="0"/>
        <v>N</v>
      </c>
      <c r="BU26" s="51">
        <f t="array" ref="BU26">IF(SUM(--(TABLATRANSFERENCIA[[#This Row],[CODIGO GENERICO]]=TABLATRANSFERENCIA[CODIGO GENERICO])*TABLATRANSFERENCIA[REQUERIM])&lt;TABLATRANSFERENCIA[[#This Row],[PEDIDO MIN GRUPO]],1,0)</f>
        <v>1</v>
      </c>
      <c r="BV26"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26" s="51" t="s">
        <v>1415</v>
      </c>
      <c r="BX26" s="51" t="s">
        <v>1415</v>
      </c>
    </row>
    <row r="27" spans="1:76" x14ac:dyDescent="0.25">
      <c r="A27" s="54" t="s">
        <v>1399</v>
      </c>
      <c r="B27" s="3" t="s">
        <v>1415</v>
      </c>
      <c r="C27" s="3" t="s">
        <v>1415</v>
      </c>
      <c r="D27" s="3" t="s">
        <v>1415</v>
      </c>
      <c r="E27" s="3" t="s">
        <v>1415</v>
      </c>
      <c r="F27" s="3" t="s">
        <v>1415</v>
      </c>
      <c r="G27" s="3" t="s">
        <v>1415</v>
      </c>
      <c r="H27" s="3" t="s">
        <v>1415</v>
      </c>
      <c r="I27" s="3" t="s">
        <v>1415</v>
      </c>
      <c r="J27" s="3" t="s">
        <v>1415</v>
      </c>
      <c r="K27" s="3" t="s">
        <v>1415</v>
      </c>
      <c r="L27" s="3" t="s">
        <v>1415</v>
      </c>
      <c r="M27" s="3" t="s">
        <v>1415</v>
      </c>
      <c r="N27" s="3" t="s">
        <v>1415</v>
      </c>
      <c r="O27" s="5" t="s">
        <v>1415</v>
      </c>
      <c r="P27" s="5" t="s">
        <v>1415</v>
      </c>
      <c r="Q27" s="5" t="s">
        <v>1415</v>
      </c>
      <c r="R27" s="46" t="s">
        <v>1415</v>
      </c>
      <c r="S27" s="46" t="s">
        <v>1415</v>
      </c>
      <c r="T27" s="46" t="s">
        <v>1415</v>
      </c>
      <c r="U27" s="46" t="s">
        <v>1415</v>
      </c>
      <c r="V27" s="49" t="s">
        <v>1415</v>
      </c>
      <c r="W27" s="49" t="s">
        <v>1415</v>
      </c>
      <c r="X27" s="51" t="s">
        <v>1415</v>
      </c>
      <c r="Y27" s="51" t="s">
        <v>1415</v>
      </c>
      <c r="Z27" s="6" t="s">
        <v>1415</v>
      </c>
      <c r="AA27" s="6" t="s">
        <v>1415</v>
      </c>
      <c r="AB27" s="6" t="s">
        <v>1415</v>
      </c>
      <c r="AC27" s="4" t="s">
        <v>1415</v>
      </c>
      <c r="AD27" s="6" t="s">
        <v>1415</v>
      </c>
      <c r="AE27" s="6" t="s">
        <v>1415</v>
      </c>
      <c r="AF27" s="6" t="s">
        <v>1415</v>
      </c>
      <c r="AG27" s="6" t="s">
        <v>1415</v>
      </c>
      <c r="AH27" s="6" t="s">
        <v>1415</v>
      </c>
      <c r="AI27" s="6" t="s">
        <v>1415</v>
      </c>
      <c r="AJ27" s="6" t="s">
        <v>1415</v>
      </c>
      <c r="AK27" s="6" t="s">
        <v>1415</v>
      </c>
      <c r="AL27" s="4" t="s">
        <v>1415</v>
      </c>
      <c r="AM27" s="6" t="s">
        <v>1415</v>
      </c>
      <c r="AN27" s="6" t="s">
        <v>1415</v>
      </c>
      <c r="AO27" s="6" t="s">
        <v>1415</v>
      </c>
      <c r="AP27" s="6" t="s">
        <v>1415</v>
      </c>
      <c r="AQ27" s="6" t="s">
        <v>1415</v>
      </c>
      <c r="AR27" s="6" t="s">
        <v>1415</v>
      </c>
      <c r="AS27" s="6" t="s">
        <v>1415</v>
      </c>
      <c r="AT27" s="6" t="s">
        <v>1415</v>
      </c>
      <c r="AU27" s="6" t="s">
        <v>1415</v>
      </c>
      <c r="AV27" s="63" t="s">
        <v>1415</v>
      </c>
      <c r="AW27" s="63" t="s">
        <v>1415</v>
      </c>
      <c r="AX27" s="6">
        <f t="array" ref="AX27">IFERROR(INDEX(Datos_Consumo[CANTIDAD],MATCH(TABLATRANSFERENCIA[[#This Row],[CODIGO]]&amp;TABLATRANSFERENCIA[[#Headers],[Columna1]],Datos_Consumo[CODIGO]&amp;Datos_Consumo[FECHA_FORMATO],0)),0)</f>
        <v>0</v>
      </c>
      <c r="AY27" s="6">
        <f t="array" ref="AY27">IFERROR(INDEX(Datos_Consumo[CANTIDAD],MATCH(TABLATRANSFERENCIA[[#This Row],[CODIGO]]&amp;TABLATRANSFERENCIA[[#Headers],[Columna2]],Datos_Consumo[CODIGO]&amp;Datos_Consumo[FECHA_FORMATO],0)),0)</f>
        <v>0</v>
      </c>
      <c r="AZ27" s="6">
        <f t="array" ref="AZ27">IFERROR(INDEX(Datos_Consumo[CANTIDAD],MATCH(TABLATRANSFERENCIA[[#This Row],[CODIGO]]&amp;TABLATRANSFERENCIA[[#Headers],[Columna3]],Datos_Consumo[CODIGO]&amp;Datos_Consumo[FECHA_FORMATO],0)),0)</f>
        <v>0</v>
      </c>
      <c r="BA27" s="6">
        <f t="array" ref="BA27">IFERROR(INDEX(Datos_Consumo[CANTIDAD],MATCH(TABLATRANSFERENCIA[[#This Row],[CODIGO]]&amp;TABLATRANSFERENCIA[[#Headers],[Columna4]],Datos_Consumo[CODIGO]&amp;Datos_Consumo[FECHA_FORMATO],0)),0)</f>
        <v>0</v>
      </c>
      <c r="BB27" s="6">
        <f t="array" ref="BB27">IFERROR(INDEX(Datos_Consumo[CANTIDAD],MATCH(TABLATRANSFERENCIA[[#This Row],[CODIGO]]&amp;TABLATRANSFERENCIA[[#Headers],[Columna5]],Datos_Consumo[CODIGO]&amp;Datos_Consumo[FECHA_FORMATO],0)),0)</f>
        <v>0</v>
      </c>
      <c r="BC27" s="6">
        <f t="array" ref="BC27">IFERROR(INDEX(Datos_Consumo[CANTIDAD],MATCH(TABLATRANSFERENCIA[[#This Row],[CODIGO]]&amp;TABLATRANSFERENCIA[[#Headers],[Columna6]],Datos_Consumo[CODIGO]&amp;Datos_Consumo[FECHA_FORMATO],0)),0)</f>
        <v>0</v>
      </c>
      <c r="BD27" s="50">
        <v>20</v>
      </c>
      <c r="BE27" s="55">
        <v>20</v>
      </c>
      <c r="BF27" s="50"/>
      <c r="BG27" s="51"/>
      <c r="BH27"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2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7" s="51"/>
      <c r="BN27" s="46">
        <f>IFERROR(TABLATRANSFERENCIA[[#This Row],[REQUERIM]]/TABLATRANSFERENCIA[[#This Row],[PEDIDO PROMEDIO]],0)</f>
        <v>0</v>
      </c>
      <c r="BO27" s="51"/>
      <c r="BP27" s="60"/>
      <c r="BQ27" s="3">
        <f>IF(TABLATRANSFERENCIA[[#This Row],[RECIBIDO]]&lt;&gt;"",0,IF(TABLATRANSFERENCIA[[#This Row],[DESPACHO]]&lt;&gt;"",TABLATRANSFERENCIA[[#This Row],[DESPACHO]],TABLATRANSFERENCIA[[#This Row],[REQUERIM]]))</f>
        <v>20</v>
      </c>
      <c r="BR27" s="50"/>
      <c r="BS27" s="50"/>
      <c r="BT27" s="50" t="str">
        <f t="shared" si="0"/>
        <v>N</v>
      </c>
      <c r="BU27" s="51">
        <f t="array" ref="BU27">IF(SUM(--(TABLATRANSFERENCIA[[#This Row],[CODIGO GENERICO]]=TABLATRANSFERENCIA[CODIGO GENERICO])*TABLATRANSFERENCIA[REQUERIM])&lt;TABLATRANSFERENCIA[[#This Row],[PEDIDO MIN GRUPO]],1,0)</f>
        <v>1</v>
      </c>
      <c r="BV27"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27" s="51" t="s">
        <v>1415</v>
      </c>
      <c r="BX27" s="51" t="s">
        <v>1415</v>
      </c>
    </row>
    <row r="28" spans="1:76" x14ac:dyDescent="0.25">
      <c r="A28" s="54" t="s">
        <v>1400</v>
      </c>
      <c r="B28" s="3" t="s">
        <v>1415</v>
      </c>
      <c r="C28" s="3" t="s">
        <v>1415</v>
      </c>
      <c r="D28" s="3" t="s">
        <v>1415</v>
      </c>
      <c r="E28" s="3" t="s">
        <v>1415</v>
      </c>
      <c r="F28" s="3" t="s">
        <v>1415</v>
      </c>
      <c r="G28" s="3" t="s">
        <v>1415</v>
      </c>
      <c r="H28" s="3" t="s">
        <v>1415</v>
      </c>
      <c r="I28" s="3" t="s">
        <v>1415</v>
      </c>
      <c r="J28" s="3" t="s">
        <v>1415</v>
      </c>
      <c r="K28" s="3" t="s">
        <v>1415</v>
      </c>
      <c r="L28" s="3" t="s">
        <v>1415</v>
      </c>
      <c r="M28" s="3" t="s">
        <v>1415</v>
      </c>
      <c r="N28" s="3" t="s">
        <v>1415</v>
      </c>
      <c r="O28" s="5" t="s">
        <v>1415</v>
      </c>
      <c r="P28" s="5" t="s">
        <v>1415</v>
      </c>
      <c r="Q28" s="5" t="s">
        <v>1415</v>
      </c>
      <c r="R28" s="46" t="s">
        <v>1415</v>
      </c>
      <c r="S28" s="46" t="s">
        <v>1415</v>
      </c>
      <c r="T28" s="46" t="s">
        <v>1415</v>
      </c>
      <c r="U28" s="46" t="s">
        <v>1415</v>
      </c>
      <c r="V28" s="49" t="s">
        <v>1415</v>
      </c>
      <c r="W28" s="49" t="s">
        <v>1415</v>
      </c>
      <c r="X28" s="51" t="s">
        <v>1415</v>
      </c>
      <c r="Y28" s="51" t="s">
        <v>1415</v>
      </c>
      <c r="Z28" s="6" t="s">
        <v>1415</v>
      </c>
      <c r="AA28" s="6" t="s">
        <v>1415</v>
      </c>
      <c r="AB28" s="6" t="s">
        <v>1415</v>
      </c>
      <c r="AC28" s="4" t="s">
        <v>1415</v>
      </c>
      <c r="AD28" s="6" t="s">
        <v>1415</v>
      </c>
      <c r="AE28" s="6" t="s">
        <v>1415</v>
      </c>
      <c r="AF28" s="6" t="s">
        <v>1415</v>
      </c>
      <c r="AG28" s="6" t="s">
        <v>1415</v>
      </c>
      <c r="AH28" s="6" t="s">
        <v>1415</v>
      </c>
      <c r="AI28" s="6" t="s">
        <v>1415</v>
      </c>
      <c r="AJ28" s="6" t="s">
        <v>1415</v>
      </c>
      <c r="AK28" s="6" t="s">
        <v>1415</v>
      </c>
      <c r="AL28" s="4" t="s">
        <v>1415</v>
      </c>
      <c r="AM28" s="6" t="s">
        <v>1415</v>
      </c>
      <c r="AN28" s="6" t="s">
        <v>1415</v>
      </c>
      <c r="AO28" s="6" t="s">
        <v>1415</v>
      </c>
      <c r="AP28" s="6" t="s">
        <v>1415</v>
      </c>
      <c r="AQ28" s="6" t="s">
        <v>1415</v>
      </c>
      <c r="AR28" s="6" t="s">
        <v>1415</v>
      </c>
      <c r="AS28" s="6" t="s">
        <v>1415</v>
      </c>
      <c r="AT28" s="6" t="s">
        <v>1415</v>
      </c>
      <c r="AU28" s="6" t="s">
        <v>1415</v>
      </c>
      <c r="AV28" s="63" t="s">
        <v>1415</v>
      </c>
      <c r="AW28" s="63" t="s">
        <v>1415</v>
      </c>
      <c r="AX28" s="6">
        <f t="array" ref="AX28">IFERROR(INDEX(Datos_Consumo[CANTIDAD],MATCH(TABLATRANSFERENCIA[[#This Row],[CODIGO]]&amp;TABLATRANSFERENCIA[[#Headers],[Columna1]],Datos_Consumo[CODIGO]&amp;Datos_Consumo[FECHA_FORMATO],0)),0)</f>
        <v>0</v>
      </c>
      <c r="AY28" s="6">
        <f t="array" ref="AY28">IFERROR(INDEX(Datos_Consumo[CANTIDAD],MATCH(TABLATRANSFERENCIA[[#This Row],[CODIGO]]&amp;TABLATRANSFERENCIA[[#Headers],[Columna2]],Datos_Consumo[CODIGO]&amp;Datos_Consumo[FECHA_FORMATO],0)),0)</f>
        <v>0</v>
      </c>
      <c r="AZ28" s="6">
        <f t="array" ref="AZ28">IFERROR(INDEX(Datos_Consumo[CANTIDAD],MATCH(TABLATRANSFERENCIA[[#This Row],[CODIGO]]&amp;TABLATRANSFERENCIA[[#Headers],[Columna3]],Datos_Consumo[CODIGO]&amp;Datos_Consumo[FECHA_FORMATO],0)),0)</f>
        <v>0</v>
      </c>
      <c r="BA28" s="6">
        <f t="array" ref="BA28">IFERROR(INDEX(Datos_Consumo[CANTIDAD],MATCH(TABLATRANSFERENCIA[[#This Row],[CODIGO]]&amp;TABLATRANSFERENCIA[[#Headers],[Columna4]],Datos_Consumo[CODIGO]&amp;Datos_Consumo[FECHA_FORMATO],0)),0)</f>
        <v>0</v>
      </c>
      <c r="BB28" s="6">
        <f t="array" ref="BB28">IFERROR(INDEX(Datos_Consumo[CANTIDAD],MATCH(TABLATRANSFERENCIA[[#This Row],[CODIGO]]&amp;TABLATRANSFERENCIA[[#Headers],[Columna5]],Datos_Consumo[CODIGO]&amp;Datos_Consumo[FECHA_FORMATO],0)),0)</f>
        <v>0</v>
      </c>
      <c r="BC28" s="6">
        <f t="array" ref="BC28">IFERROR(INDEX(Datos_Consumo[CANTIDAD],MATCH(TABLATRANSFERENCIA[[#This Row],[CODIGO]]&amp;TABLATRANSFERENCIA[[#Headers],[Columna6]],Datos_Consumo[CODIGO]&amp;Datos_Consumo[FECHA_FORMATO],0)),0)</f>
        <v>0</v>
      </c>
      <c r="BD28" s="50">
        <v>20</v>
      </c>
      <c r="BE28" s="55">
        <v>20</v>
      </c>
      <c r="BF28" s="50"/>
      <c r="BG28" s="51"/>
      <c r="BH28"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2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8" s="51"/>
      <c r="BN28" s="46">
        <f>IFERROR(TABLATRANSFERENCIA[[#This Row],[REQUERIM]]/TABLATRANSFERENCIA[[#This Row],[PEDIDO PROMEDIO]],0)</f>
        <v>0</v>
      </c>
      <c r="BO28" s="51"/>
      <c r="BP28" s="60"/>
      <c r="BQ28" s="3">
        <f>IF(TABLATRANSFERENCIA[[#This Row],[RECIBIDO]]&lt;&gt;"",0,IF(TABLATRANSFERENCIA[[#This Row],[DESPACHO]]&lt;&gt;"",TABLATRANSFERENCIA[[#This Row],[DESPACHO]],TABLATRANSFERENCIA[[#This Row],[REQUERIM]]))</f>
        <v>20</v>
      </c>
      <c r="BR28" s="50"/>
      <c r="BS28" s="50"/>
      <c r="BT28" s="50" t="str">
        <f t="shared" si="0"/>
        <v>N</v>
      </c>
      <c r="BU28" s="51">
        <f t="array" ref="BU28">IF(SUM(--(TABLATRANSFERENCIA[[#This Row],[CODIGO GENERICO]]=TABLATRANSFERENCIA[CODIGO GENERICO])*TABLATRANSFERENCIA[REQUERIM])&lt;TABLATRANSFERENCIA[[#This Row],[PEDIDO MIN GRUPO]],1,0)</f>
        <v>1</v>
      </c>
      <c r="BV28"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28" s="51" t="s">
        <v>1415</v>
      </c>
      <c r="BX28" s="51" t="s">
        <v>1415</v>
      </c>
    </row>
    <row r="29" spans="1:76" x14ac:dyDescent="0.25">
      <c r="A29" s="54" t="s">
        <v>1401</v>
      </c>
      <c r="B29" s="3" t="s">
        <v>1415</v>
      </c>
      <c r="C29" s="3" t="s">
        <v>1415</v>
      </c>
      <c r="D29" s="3" t="s">
        <v>1415</v>
      </c>
      <c r="E29" s="3" t="s">
        <v>1415</v>
      </c>
      <c r="F29" s="3" t="s">
        <v>1415</v>
      </c>
      <c r="G29" s="3" t="s">
        <v>1415</v>
      </c>
      <c r="H29" s="3" t="s">
        <v>1415</v>
      </c>
      <c r="I29" s="3" t="s">
        <v>1415</v>
      </c>
      <c r="J29" s="3" t="s">
        <v>1415</v>
      </c>
      <c r="K29" s="3" t="s">
        <v>1415</v>
      </c>
      <c r="L29" s="3" t="s">
        <v>1415</v>
      </c>
      <c r="M29" s="3" t="s">
        <v>1415</v>
      </c>
      <c r="N29" s="3" t="s">
        <v>1415</v>
      </c>
      <c r="O29" s="5" t="s">
        <v>1415</v>
      </c>
      <c r="P29" s="5" t="s">
        <v>1415</v>
      </c>
      <c r="Q29" s="5" t="s">
        <v>1415</v>
      </c>
      <c r="R29" s="46" t="s">
        <v>1415</v>
      </c>
      <c r="S29" s="46" t="s">
        <v>1415</v>
      </c>
      <c r="T29" s="46" t="s">
        <v>1415</v>
      </c>
      <c r="U29" s="46" t="s">
        <v>1415</v>
      </c>
      <c r="V29" s="49" t="s">
        <v>1415</v>
      </c>
      <c r="W29" s="49" t="s">
        <v>1415</v>
      </c>
      <c r="X29" s="51" t="s">
        <v>1415</v>
      </c>
      <c r="Y29" s="51" t="s">
        <v>1415</v>
      </c>
      <c r="Z29" s="6" t="s">
        <v>1415</v>
      </c>
      <c r="AA29" s="6" t="s">
        <v>1415</v>
      </c>
      <c r="AB29" s="6" t="s">
        <v>1415</v>
      </c>
      <c r="AC29" s="4" t="s">
        <v>1415</v>
      </c>
      <c r="AD29" s="6" t="s">
        <v>1415</v>
      </c>
      <c r="AE29" s="6" t="s">
        <v>1415</v>
      </c>
      <c r="AF29" s="6" t="s">
        <v>1415</v>
      </c>
      <c r="AG29" s="6" t="s">
        <v>1415</v>
      </c>
      <c r="AH29" s="6" t="s">
        <v>1415</v>
      </c>
      <c r="AI29" s="6" t="s">
        <v>1415</v>
      </c>
      <c r="AJ29" s="6" t="s">
        <v>1415</v>
      </c>
      <c r="AK29" s="6" t="s">
        <v>1415</v>
      </c>
      <c r="AL29" s="4" t="s">
        <v>1415</v>
      </c>
      <c r="AM29" s="6" t="s">
        <v>1415</v>
      </c>
      <c r="AN29" s="6" t="s">
        <v>1415</v>
      </c>
      <c r="AO29" s="6" t="s">
        <v>1415</v>
      </c>
      <c r="AP29" s="6" t="s">
        <v>1415</v>
      </c>
      <c r="AQ29" s="6" t="s">
        <v>1415</v>
      </c>
      <c r="AR29" s="6" t="s">
        <v>1415</v>
      </c>
      <c r="AS29" s="6" t="s">
        <v>1415</v>
      </c>
      <c r="AT29" s="6" t="s">
        <v>1415</v>
      </c>
      <c r="AU29" s="6" t="s">
        <v>1415</v>
      </c>
      <c r="AV29" s="63" t="s">
        <v>1415</v>
      </c>
      <c r="AW29" s="63" t="s">
        <v>1415</v>
      </c>
      <c r="AX29" s="6">
        <f t="array" ref="AX29">IFERROR(INDEX(Datos_Consumo[CANTIDAD],MATCH(TABLATRANSFERENCIA[[#This Row],[CODIGO]]&amp;TABLATRANSFERENCIA[[#Headers],[Columna1]],Datos_Consumo[CODIGO]&amp;Datos_Consumo[FECHA_FORMATO],0)),0)</f>
        <v>0</v>
      </c>
      <c r="AY29" s="6">
        <f t="array" ref="AY29">IFERROR(INDEX(Datos_Consumo[CANTIDAD],MATCH(TABLATRANSFERENCIA[[#This Row],[CODIGO]]&amp;TABLATRANSFERENCIA[[#Headers],[Columna2]],Datos_Consumo[CODIGO]&amp;Datos_Consumo[FECHA_FORMATO],0)),0)</f>
        <v>0</v>
      </c>
      <c r="AZ29" s="6">
        <f t="array" ref="AZ29">IFERROR(INDEX(Datos_Consumo[CANTIDAD],MATCH(TABLATRANSFERENCIA[[#This Row],[CODIGO]]&amp;TABLATRANSFERENCIA[[#Headers],[Columna3]],Datos_Consumo[CODIGO]&amp;Datos_Consumo[FECHA_FORMATO],0)),0)</f>
        <v>0</v>
      </c>
      <c r="BA29" s="6">
        <f t="array" ref="BA29">IFERROR(INDEX(Datos_Consumo[CANTIDAD],MATCH(TABLATRANSFERENCIA[[#This Row],[CODIGO]]&amp;TABLATRANSFERENCIA[[#Headers],[Columna4]],Datos_Consumo[CODIGO]&amp;Datos_Consumo[FECHA_FORMATO],0)),0)</f>
        <v>0</v>
      </c>
      <c r="BB29" s="6">
        <f t="array" ref="BB29">IFERROR(INDEX(Datos_Consumo[CANTIDAD],MATCH(TABLATRANSFERENCIA[[#This Row],[CODIGO]]&amp;TABLATRANSFERENCIA[[#Headers],[Columna5]],Datos_Consumo[CODIGO]&amp;Datos_Consumo[FECHA_FORMATO],0)),0)</f>
        <v>0</v>
      </c>
      <c r="BC29" s="6">
        <f t="array" ref="BC29">IFERROR(INDEX(Datos_Consumo[CANTIDAD],MATCH(TABLATRANSFERENCIA[[#This Row],[CODIGO]]&amp;TABLATRANSFERENCIA[[#Headers],[Columna6]],Datos_Consumo[CODIGO]&amp;Datos_Consumo[FECHA_FORMATO],0)),0)</f>
        <v>0</v>
      </c>
      <c r="BD29" s="50">
        <v>10</v>
      </c>
      <c r="BE29" s="55">
        <v>10</v>
      </c>
      <c r="BF29" s="50"/>
      <c r="BG29" s="51"/>
      <c r="BH29"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I2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9" s="51"/>
      <c r="BN29" s="46">
        <f>IFERROR(TABLATRANSFERENCIA[[#This Row],[REQUERIM]]/TABLATRANSFERENCIA[[#This Row],[PEDIDO PROMEDIO]],0)</f>
        <v>0</v>
      </c>
      <c r="BO29" s="51"/>
      <c r="BP29" s="60"/>
      <c r="BQ29" s="3">
        <f>IF(TABLATRANSFERENCIA[[#This Row],[RECIBIDO]]&lt;&gt;"",0,IF(TABLATRANSFERENCIA[[#This Row],[DESPACHO]]&lt;&gt;"",TABLATRANSFERENCIA[[#This Row],[DESPACHO]],TABLATRANSFERENCIA[[#This Row],[REQUERIM]]))</f>
        <v>10</v>
      </c>
      <c r="BR29" s="50"/>
      <c r="BS29" s="50"/>
      <c r="BT29" s="50" t="str">
        <f t="shared" si="0"/>
        <v>N</v>
      </c>
      <c r="BU29" s="51">
        <f t="array" ref="BU29">IF(SUM(--(TABLATRANSFERENCIA[[#This Row],[CODIGO GENERICO]]=TABLATRANSFERENCIA[CODIGO GENERICO])*TABLATRANSFERENCIA[REQUERIM])&lt;TABLATRANSFERENCIA[[#This Row],[PEDIDO MIN GRUPO]],1,0)</f>
        <v>1</v>
      </c>
      <c r="BV2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29" s="51" t="s">
        <v>1415</v>
      </c>
      <c r="BX29" s="51" t="s">
        <v>1415</v>
      </c>
    </row>
    <row r="30" spans="1:76" x14ac:dyDescent="0.25">
      <c r="A30" s="54" t="s">
        <v>1402</v>
      </c>
      <c r="B30" s="3" t="s">
        <v>1415</v>
      </c>
      <c r="C30" s="3" t="s">
        <v>1415</v>
      </c>
      <c r="D30" s="3" t="s">
        <v>1415</v>
      </c>
      <c r="E30" s="3" t="s">
        <v>1415</v>
      </c>
      <c r="F30" s="3" t="s">
        <v>1415</v>
      </c>
      <c r="G30" s="3" t="s">
        <v>1415</v>
      </c>
      <c r="H30" s="3" t="s">
        <v>1415</v>
      </c>
      <c r="I30" s="3" t="s">
        <v>1415</v>
      </c>
      <c r="J30" s="3" t="s">
        <v>1415</v>
      </c>
      <c r="K30" s="3" t="s">
        <v>1415</v>
      </c>
      <c r="L30" s="3" t="s">
        <v>1415</v>
      </c>
      <c r="M30" s="3" t="s">
        <v>1415</v>
      </c>
      <c r="N30" s="3" t="s">
        <v>1415</v>
      </c>
      <c r="O30" s="5" t="s">
        <v>1415</v>
      </c>
      <c r="P30" s="5" t="s">
        <v>1415</v>
      </c>
      <c r="Q30" s="5" t="s">
        <v>1415</v>
      </c>
      <c r="R30" s="46" t="s">
        <v>1415</v>
      </c>
      <c r="S30" s="46" t="s">
        <v>1415</v>
      </c>
      <c r="T30" s="46" t="s">
        <v>1415</v>
      </c>
      <c r="U30" s="46" t="s">
        <v>1415</v>
      </c>
      <c r="V30" s="49" t="s">
        <v>1415</v>
      </c>
      <c r="W30" s="49" t="s">
        <v>1415</v>
      </c>
      <c r="X30" s="51" t="s">
        <v>1415</v>
      </c>
      <c r="Y30" s="51" t="s">
        <v>1415</v>
      </c>
      <c r="Z30" s="6" t="s">
        <v>1415</v>
      </c>
      <c r="AA30" s="6" t="s">
        <v>1415</v>
      </c>
      <c r="AB30" s="6" t="s">
        <v>1415</v>
      </c>
      <c r="AC30" s="4" t="s">
        <v>1415</v>
      </c>
      <c r="AD30" s="6" t="s">
        <v>1415</v>
      </c>
      <c r="AE30" s="6" t="s">
        <v>1415</v>
      </c>
      <c r="AF30" s="6" t="s">
        <v>1415</v>
      </c>
      <c r="AG30" s="6" t="s">
        <v>1415</v>
      </c>
      <c r="AH30" s="6" t="s">
        <v>1415</v>
      </c>
      <c r="AI30" s="6" t="s">
        <v>1415</v>
      </c>
      <c r="AJ30" s="6" t="s">
        <v>1415</v>
      </c>
      <c r="AK30" s="6" t="s">
        <v>1415</v>
      </c>
      <c r="AL30" s="4" t="s">
        <v>1415</v>
      </c>
      <c r="AM30" s="6" t="s">
        <v>1415</v>
      </c>
      <c r="AN30" s="6" t="s">
        <v>1415</v>
      </c>
      <c r="AO30" s="6" t="s">
        <v>1415</v>
      </c>
      <c r="AP30" s="6" t="s">
        <v>1415</v>
      </c>
      <c r="AQ30" s="6" t="s">
        <v>1415</v>
      </c>
      <c r="AR30" s="6" t="s">
        <v>1415</v>
      </c>
      <c r="AS30" s="6" t="s">
        <v>1415</v>
      </c>
      <c r="AT30" s="6" t="s">
        <v>1415</v>
      </c>
      <c r="AU30" s="6" t="s">
        <v>1415</v>
      </c>
      <c r="AV30" s="63" t="s">
        <v>1415</v>
      </c>
      <c r="AW30" s="63" t="s">
        <v>1415</v>
      </c>
      <c r="AX30" s="6">
        <f t="array" ref="AX30">IFERROR(INDEX(Datos_Consumo[CANTIDAD],MATCH(TABLATRANSFERENCIA[[#This Row],[CODIGO]]&amp;TABLATRANSFERENCIA[[#Headers],[Columna1]],Datos_Consumo[CODIGO]&amp;Datos_Consumo[FECHA_FORMATO],0)),0)</f>
        <v>0</v>
      </c>
      <c r="AY30" s="6">
        <f t="array" ref="AY30">IFERROR(INDEX(Datos_Consumo[CANTIDAD],MATCH(TABLATRANSFERENCIA[[#This Row],[CODIGO]]&amp;TABLATRANSFERENCIA[[#Headers],[Columna2]],Datos_Consumo[CODIGO]&amp;Datos_Consumo[FECHA_FORMATO],0)),0)</f>
        <v>0</v>
      </c>
      <c r="AZ30" s="6">
        <f t="array" ref="AZ30">IFERROR(INDEX(Datos_Consumo[CANTIDAD],MATCH(TABLATRANSFERENCIA[[#This Row],[CODIGO]]&amp;TABLATRANSFERENCIA[[#Headers],[Columna3]],Datos_Consumo[CODIGO]&amp;Datos_Consumo[FECHA_FORMATO],0)),0)</f>
        <v>0</v>
      </c>
      <c r="BA30" s="6">
        <f t="array" ref="BA30">IFERROR(INDEX(Datos_Consumo[CANTIDAD],MATCH(TABLATRANSFERENCIA[[#This Row],[CODIGO]]&amp;TABLATRANSFERENCIA[[#Headers],[Columna4]],Datos_Consumo[CODIGO]&amp;Datos_Consumo[FECHA_FORMATO],0)),0)</f>
        <v>0</v>
      </c>
      <c r="BB30" s="6">
        <f t="array" ref="BB30">IFERROR(INDEX(Datos_Consumo[CANTIDAD],MATCH(TABLATRANSFERENCIA[[#This Row],[CODIGO]]&amp;TABLATRANSFERENCIA[[#Headers],[Columna5]],Datos_Consumo[CODIGO]&amp;Datos_Consumo[FECHA_FORMATO],0)),0)</f>
        <v>0</v>
      </c>
      <c r="BC30" s="6">
        <f t="array" ref="BC30">IFERROR(INDEX(Datos_Consumo[CANTIDAD],MATCH(TABLATRANSFERENCIA[[#This Row],[CODIGO]]&amp;TABLATRANSFERENCIA[[#Headers],[Columna6]],Datos_Consumo[CODIGO]&amp;Datos_Consumo[FECHA_FORMATO],0)),0)</f>
        <v>0</v>
      </c>
      <c r="BD30" s="50">
        <v>10</v>
      </c>
      <c r="BE30" s="55">
        <v>10</v>
      </c>
      <c r="BF30" s="50"/>
      <c r="BG30" s="51"/>
      <c r="BH30"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I3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0" s="51"/>
      <c r="BN30" s="46">
        <f>IFERROR(TABLATRANSFERENCIA[[#This Row],[REQUERIM]]/TABLATRANSFERENCIA[[#This Row],[PEDIDO PROMEDIO]],0)</f>
        <v>0</v>
      </c>
      <c r="BO30" s="51"/>
      <c r="BP30" s="60"/>
      <c r="BQ30" s="3">
        <f>IF(TABLATRANSFERENCIA[[#This Row],[RECIBIDO]]&lt;&gt;"",0,IF(TABLATRANSFERENCIA[[#This Row],[DESPACHO]]&lt;&gt;"",TABLATRANSFERENCIA[[#This Row],[DESPACHO]],TABLATRANSFERENCIA[[#This Row],[REQUERIM]]))</f>
        <v>10</v>
      </c>
      <c r="BR30" s="50"/>
      <c r="BS30" s="50"/>
      <c r="BT30" s="50" t="str">
        <f t="shared" si="0"/>
        <v>N</v>
      </c>
      <c r="BU30" s="51">
        <f t="array" ref="BU30">IF(SUM(--(TABLATRANSFERENCIA[[#This Row],[CODIGO GENERICO]]=TABLATRANSFERENCIA[CODIGO GENERICO])*TABLATRANSFERENCIA[REQUERIM])&lt;TABLATRANSFERENCIA[[#This Row],[PEDIDO MIN GRUPO]],1,0)</f>
        <v>1</v>
      </c>
      <c r="BV3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30" s="51" t="s">
        <v>1415</v>
      </c>
      <c r="BX30" s="51" t="s">
        <v>1415</v>
      </c>
    </row>
    <row r="31" spans="1:76" x14ac:dyDescent="0.25">
      <c r="A31" s="54" t="s">
        <v>1403</v>
      </c>
      <c r="B31" s="3" t="s">
        <v>1415</v>
      </c>
      <c r="C31" s="3" t="s">
        <v>1415</v>
      </c>
      <c r="D31" s="3" t="s">
        <v>1415</v>
      </c>
      <c r="E31" s="3" t="s">
        <v>1415</v>
      </c>
      <c r="F31" s="3" t="s">
        <v>1415</v>
      </c>
      <c r="G31" s="3" t="s">
        <v>1415</v>
      </c>
      <c r="H31" s="3" t="s">
        <v>1415</v>
      </c>
      <c r="I31" s="3" t="s">
        <v>1415</v>
      </c>
      <c r="J31" s="3" t="s">
        <v>1415</v>
      </c>
      <c r="K31" s="3" t="s">
        <v>1415</v>
      </c>
      <c r="L31" s="3" t="s">
        <v>1415</v>
      </c>
      <c r="M31" s="3" t="s">
        <v>1415</v>
      </c>
      <c r="N31" s="3" t="s">
        <v>1415</v>
      </c>
      <c r="O31" s="5" t="s">
        <v>1415</v>
      </c>
      <c r="P31" s="5" t="s">
        <v>1415</v>
      </c>
      <c r="Q31" s="5" t="s">
        <v>1415</v>
      </c>
      <c r="R31" s="46" t="s">
        <v>1415</v>
      </c>
      <c r="S31" s="46" t="s">
        <v>1415</v>
      </c>
      <c r="T31" s="46" t="s">
        <v>1415</v>
      </c>
      <c r="U31" s="46" t="s">
        <v>1415</v>
      </c>
      <c r="V31" s="49" t="s">
        <v>1415</v>
      </c>
      <c r="W31" s="49" t="s">
        <v>1415</v>
      </c>
      <c r="X31" s="51" t="s">
        <v>1415</v>
      </c>
      <c r="Y31" s="51" t="s">
        <v>1415</v>
      </c>
      <c r="Z31" s="6" t="s">
        <v>1415</v>
      </c>
      <c r="AA31" s="6" t="s">
        <v>1415</v>
      </c>
      <c r="AB31" s="6" t="s">
        <v>1415</v>
      </c>
      <c r="AC31" s="4" t="s">
        <v>1415</v>
      </c>
      <c r="AD31" s="6" t="s">
        <v>1415</v>
      </c>
      <c r="AE31" s="6" t="s">
        <v>1415</v>
      </c>
      <c r="AF31" s="6" t="s">
        <v>1415</v>
      </c>
      <c r="AG31" s="6" t="s">
        <v>1415</v>
      </c>
      <c r="AH31" s="6" t="s">
        <v>1415</v>
      </c>
      <c r="AI31" s="6" t="s">
        <v>1415</v>
      </c>
      <c r="AJ31" s="6" t="s">
        <v>1415</v>
      </c>
      <c r="AK31" s="6" t="s">
        <v>1415</v>
      </c>
      <c r="AL31" s="4" t="s">
        <v>1415</v>
      </c>
      <c r="AM31" s="6" t="s">
        <v>1415</v>
      </c>
      <c r="AN31" s="6" t="s">
        <v>1415</v>
      </c>
      <c r="AO31" s="6" t="s">
        <v>1415</v>
      </c>
      <c r="AP31" s="6" t="s">
        <v>1415</v>
      </c>
      <c r="AQ31" s="6" t="s">
        <v>1415</v>
      </c>
      <c r="AR31" s="6" t="s">
        <v>1415</v>
      </c>
      <c r="AS31" s="6" t="s">
        <v>1415</v>
      </c>
      <c r="AT31" s="6" t="s">
        <v>1415</v>
      </c>
      <c r="AU31" s="6" t="s">
        <v>1415</v>
      </c>
      <c r="AV31" s="63" t="s">
        <v>1415</v>
      </c>
      <c r="AW31" s="63" t="s">
        <v>1415</v>
      </c>
      <c r="AX31" s="6">
        <f t="array" ref="AX31">IFERROR(INDEX(Datos_Consumo[CANTIDAD],MATCH(TABLATRANSFERENCIA[[#This Row],[CODIGO]]&amp;TABLATRANSFERENCIA[[#Headers],[Columna1]],Datos_Consumo[CODIGO]&amp;Datos_Consumo[FECHA_FORMATO],0)),0)</f>
        <v>0</v>
      </c>
      <c r="AY31" s="6">
        <f t="array" ref="AY31">IFERROR(INDEX(Datos_Consumo[CANTIDAD],MATCH(TABLATRANSFERENCIA[[#This Row],[CODIGO]]&amp;TABLATRANSFERENCIA[[#Headers],[Columna2]],Datos_Consumo[CODIGO]&amp;Datos_Consumo[FECHA_FORMATO],0)),0)</f>
        <v>0</v>
      </c>
      <c r="AZ31" s="6">
        <f t="array" ref="AZ31">IFERROR(INDEX(Datos_Consumo[CANTIDAD],MATCH(TABLATRANSFERENCIA[[#This Row],[CODIGO]]&amp;TABLATRANSFERENCIA[[#Headers],[Columna3]],Datos_Consumo[CODIGO]&amp;Datos_Consumo[FECHA_FORMATO],0)),0)</f>
        <v>0</v>
      </c>
      <c r="BA31" s="6">
        <f t="array" ref="BA31">IFERROR(INDEX(Datos_Consumo[CANTIDAD],MATCH(TABLATRANSFERENCIA[[#This Row],[CODIGO]]&amp;TABLATRANSFERENCIA[[#Headers],[Columna4]],Datos_Consumo[CODIGO]&amp;Datos_Consumo[FECHA_FORMATO],0)),0)</f>
        <v>0</v>
      </c>
      <c r="BB31" s="6">
        <f t="array" ref="BB31">IFERROR(INDEX(Datos_Consumo[CANTIDAD],MATCH(TABLATRANSFERENCIA[[#This Row],[CODIGO]]&amp;TABLATRANSFERENCIA[[#Headers],[Columna5]],Datos_Consumo[CODIGO]&amp;Datos_Consumo[FECHA_FORMATO],0)),0)</f>
        <v>0</v>
      </c>
      <c r="BC31" s="6">
        <f t="array" ref="BC31">IFERROR(INDEX(Datos_Consumo[CANTIDAD],MATCH(TABLATRANSFERENCIA[[#This Row],[CODIGO]]&amp;TABLATRANSFERENCIA[[#Headers],[Columna6]],Datos_Consumo[CODIGO]&amp;Datos_Consumo[FECHA_FORMATO],0)),0)</f>
        <v>0</v>
      </c>
      <c r="BD31" s="50">
        <v>10</v>
      </c>
      <c r="BE31" s="55">
        <v>10</v>
      </c>
      <c r="BF31" s="50"/>
      <c r="BG31" s="51"/>
      <c r="BH31"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I3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1" s="51"/>
      <c r="BN31" s="46">
        <f>IFERROR(TABLATRANSFERENCIA[[#This Row],[REQUERIM]]/TABLATRANSFERENCIA[[#This Row],[PEDIDO PROMEDIO]],0)</f>
        <v>0</v>
      </c>
      <c r="BO31" s="51"/>
      <c r="BP31" s="60"/>
      <c r="BQ31" s="3">
        <f>IF(TABLATRANSFERENCIA[[#This Row],[RECIBIDO]]&lt;&gt;"",0,IF(TABLATRANSFERENCIA[[#This Row],[DESPACHO]]&lt;&gt;"",TABLATRANSFERENCIA[[#This Row],[DESPACHO]],TABLATRANSFERENCIA[[#This Row],[REQUERIM]]))</f>
        <v>10</v>
      </c>
      <c r="BR31" s="50"/>
      <c r="BS31" s="50"/>
      <c r="BT31" s="50" t="str">
        <f t="shared" si="0"/>
        <v>N</v>
      </c>
      <c r="BU31" s="51">
        <f t="array" ref="BU31">IF(SUM(--(TABLATRANSFERENCIA[[#This Row],[CODIGO GENERICO]]=TABLATRANSFERENCIA[CODIGO GENERICO])*TABLATRANSFERENCIA[REQUERIM])&lt;TABLATRANSFERENCIA[[#This Row],[PEDIDO MIN GRUPO]],1,0)</f>
        <v>1</v>
      </c>
      <c r="BV3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31" s="51" t="s">
        <v>1415</v>
      </c>
      <c r="BX31" s="51" t="s">
        <v>1415</v>
      </c>
    </row>
    <row r="32" spans="1:76" x14ac:dyDescent="0.25">
      <c r="A32" s="54" t="s">
        <v>1404</v>
      </c>
      <c r="B32" s="3" t="s">
        <v>1415</v>
      </c>
      <c r="C32" s="3" t="s">
        <v>1415</v>
      </c>
      <c r="D32" s="3" t="s">
        <v>1415</v>
      </c>
      <c r="E32" s="3" t="s">
        <v>1415</v>
      </c>
      <c r="F32" s="3" t="s">
        <v>1415</v>
      </c>
      <c r="G32" s="3" t="s">
        <v>1415</v>
      </c>
      <c r="H32" s="3" t="s">
        <v>1415</v>
      </c>
      <c r="I32" s="3" t="s">
        <v>1415</v>
      </c>
      <c r="J32" s="3" t="s">
        <v>1415</v>
      </c>
      <c r="K32" s="3" t="s">
        <v>1415</v>
      </c>
      <c r="L32" s="3" t="s">
        <v>1415</v>
      </c>
      <c r="M32" s="3" t="s">
        <v>1415</v>
      </c>
      <c r="N32" s="3" t="s">
        <v>1415</v>
      </c>
      <c r="O32" s="5" t="s">
        <v>1415</v>
      </c>
      <c r="P32" s="5" t="s">
        <v>1415</v>
      </c>
      <c r="Q32" s="5" t="s">
        <v>1415</v>
      </c>
      <c r="R32" s="46" t="s">
        <v>1415</v>
      </c>
      <c r="S32" s="46" t="s">
        <v>1415</v>
      </c>
      <c r="T32" s="46" t="s">
        <v>1415</v>
      </c>
      <c r="U32" s="46" t="s">
        <v>1415</v>
      </c>
      <c r="V32" s="49" t="s">
        <v>1415</v>
      </c>
      <c r="W32" s="49" t="s">
        <v>1415</v>
      </c>
      <c r="X32" s="51" t="s">
        <v>1415</v>
      </c>
      <c r="Y32" s="51" t="s">
        <v>1415</v>
      </c>
      <c r="Z32" s="6" t="s">
        <v>1415</v>
      </c>
      <c r="AA32" s="6" t="s">
        <v>1415</v>
      </c>
      <c r="AB32" s="6" t="s">
        <v>1415</v>
      </c>
      <c r="AC32" s="4" t="s">
        <v>1415</v>
      </c>
      <c r="AD32" s="6" t="s">
        <v>1415</v>
      </c>
      <c r="AE32" s="6" t="s">
        <v>1415</v>
      </c>
      <c r="AF32" s="6" t="s">
        <v>1415</v>
      </c>
      <c r="AG32" s="6" t="s">
        <v>1415</v>
      </c>
      <c r="AH32" s="6" t="s">
        <v>1415</v>
      </c>
      <c r="AI32" s="6" t="s">
        <v>1415</v>
      </c>
      <c r="AJ32" s="6" t="s">
        <v>1415</v>
      </c>
      <c r="AK32" s="6" t="s">
        <v>1415</v>
      </c>
      <c r="AL32" s="4" t="s">
        <v>1415</v>
      </c>
      <c r="AM32" s="6" t="s">
        <v>1415</v>
      </c>
      <c r="AN32" s="6" t="s">
        <v>1415</v>
      </c>
      <c r="AO32" s="6" t="s">
        <v>1415</v>
      </c>
      <c r="AP32" s="6" t="s">
        <v>1415</v>
      </c>
      <c r="AQ32" s="6" t="s">
        <v>1415</v>
      </c>
      <c r="AR32" s="6" t="s">
        <v>1415</v>
      </c>
      <c r="AS32" s="6" t="s">
        <v>1415</v>
      </c>
      <c r="AT32" s="6" t="s">
        <v>1415</v>
      </c>
      <c r="AU32" s="6" t="s">
        <v>1415</v>
      </c>
      <c r="AV32" s="63" t="s">
        <v>1415</v>
      </c>
      <c r="AW32" s="63" t="s">
        <v>1415</v>
      </c>
      <c r="AX32" s="6">
        <f t="array" ref="AX32">IFERROR(INDEX(Datos_Consumo[CANTIDAD],MATCH(TABLATRANSFERENCIA[[#This Row],[CODIGO]]&amp;TABLATRANSFERENCIA[[#Headers],[Columna1]],Datos_Consumo[CODIGO]&amp;Datos_Consumo[FECHA_FORMATO],0)),0)</f>
        <v>0</v>
      </c>
      <c r="AY32" s="6">
        <f t="array" ref="AY32">IFERROR(INDEX(Datos_Consumo[CANTIDAD],MATCH(TABLATRANSFERENCIA[[#This Row],[CODIGO]]&amp;TABLATRANSFERENCIA[[#Headers],[Columna2]],Datos_Consumo[CODIGO]&amp;Datos_Consumo[FECHA_FORMATO],0)),0)</f>
        <v>0</v>
      </c>
      <c r="AZ32" s="6">
        <f t="array" ref="AZ32">IFERROR(INDEX(Datos_Consumo[CANTIDAD],MATCH(TABLATRANSFERENCIA[[#This Row],[CODIGO]]&amp;TABLATRANSFERENCIA[[#Headers],[Columna3]],Datos_Consumo[CODIGO]&amp;Datos_Consumo[FECHA_FORMATO],0)),0)</f>
        <v>0</v>
      </c>
      <c r="BA32" s="6">
        <f t="array" ref="BA32">IFERROR(INDEX(Datos_Consumo[CANTIDAD],MATCH(TABLATRANSFERENCIA[[#This Row],[CODIGO]]&amp;TABLATRANSFERENCIA[[#Headers],[Columna4]],Datos_Consumo[CODIGO]&amp;Datos_Consumo[FECHA_FORMATO],0)),0)</f>
        <v>0</v>
      </c>
      <c r="BB32" s="6">
        <f t="array" ref="BB32">IFERROR(INDEX(Datos_Consumo[CANTIDAD],MATCH(TABLATRANSFERENCIA[[#This Row],[CODIGO]]&amp;TABLATRANSFERENCIA[[#Headers],[Columna5]],Datos_Consumo[CODIGO]&amp;Datos_Consumo[FECHA_FORMATO],0)),0)</f>
        <v>0</v>
      </c>
      <c r="BC32" s="6">
        <f t="array" ref="BC32">IFERROR(INDEX(Datos_Consumo[CANTIDAD],MATCH(TABLATRANSFERENCIA[[#This Row],[CODIGO]]&amp;TABLATRANSFERENCIA[[#Headers],[Columna6]],Datos_Consumo[CODIGO]&amp;Datos_Consumo[FECHA_FORMATO],0)),0)</f>
        <v>0</v>
      </c>
      <c r="BD32" s="50">
        <v>20</v>
      </c>
      <c r="BE32" s="55">
        <v>20</v>
      </c>
      <c r="BF32" s="50"/>
      <c r="BG32" s="51"/>
      <c r="BH32"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3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2" s="51"/>
      <c r="BN32" s="46">
        <f>IFERROR(TABLATRANSFERENCIA[[#This Row],[REQUERIM]]/TABLATRANSFERENCIA[[#This Row],[PEDIDO PROMEDIO]],0)</f>
        <v>0</v>
      </c>
      <c r="BO32" s="51"/>
      <c r="BP32" s="60"/>
      <c r="BQ32" s="3">
        <f>IF(TABLATRANSFERENCIA[[#This Row],[RECIBIDO]]&lt;&gt;"",0,IF(TABLATRANSFERENCIA[[#This Row],[DESPACHO]]&lt;&gt;"",TABLATRANSFERENCIA[[#This Row],[DESPACHO]],TABLATRANSFERENCIA[[#This Row],[REQUERIM]]))</f>
        <v>20</v>
      </c>
      <c r="BR32" s="50"/>
      <c r="BS32" s="50"/>
      <c r="BT32" s="50" t="str">
        <f t="shared" si="0"/>
        <v>N</v>
      </c>
      <c r="BU32" s="51">
        <f t="array" ref="BU32">IF(SUM(--(TABLATRANSFERENCIA[[#This Row],[CODIGO GENERICO]]=TABLATRANSFERENCIA[CODIGO GENERICO])*TABLATRANSFERENCIA[REQUERIM])&lt;TABLATRANSFERENCIA[[#This Row],[PEDIDO MIN GRUPO]],1,0)</f>
        <v>1</v>
      </c>
      <c r="BV32"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32" s="51" t="s">
        <v>1415</v>
      </c>
      <c r="BX32" s="51" t="s">
        <v>1415</v>
      </c>
    </row>
    <row r="33" spans="1:76" x14ac:dyDescent="0.25">
      <c r="A33" s="54" t="s">
        <v>1405</v>
      </c>
      <c r="B33" s="3" t="s">
        <v>1415</v>
      </c>
      <c r="C33" s="3" t="s">
        <v>1415</v>
      </c>
      <c r="D33" s="3" t="s">
        <v>1415</v>
      </c>
      <c r="E33" s="3" t="s">
        <v>1415</v>
      </c>
      <c r="F33" s="3" t="s">
        <v>1415</v>
      </c>
      <c r="G33" s="3" t="s">
        <v>1415</v>
      </c>
      <c r="H33" s="3" t="s">
        <v>1415</v>
      </c>
      <c r="I33" s="3" t="s">
        <v>1415</v>
      </c>
      <c r="J33" s="3" t="s">
        <v>1415</v>
      </c>
      <c r="K33" s="3" t="s">
        <v>1415</v>
      </c>
      <c r="L33" s="3" t="s">
        <v>1415</v>
      </c>
      <c r="M33" s="3" t="s">
        <v>1415</v>
      </c>
      <c r="N33" s="3" t="s">
        <v>1415</v>
      </c>
      <c r="O33" s="5" t="s">
        <v>1415</v>
      </c>
      <c r="P33" s="5" t="s">
        <v>1415</v>
      </c>
      <c r="Q33" s="5" t="s">
        <v>1415</v>
      </c>
      <c r="R33" s="46" t="s">
        <v>1415</v>
      </c>
      <c r="S33" s="46" t="s">
        <v>1415</v>
      </c>
      <c r="T33" s="46" t="s">
        <v>1415</v>
      </c>
      <c r="U33" s="46" t="s">
        <v>1415</v>
      </c>
      <c r="V33" s="49" t="s">
        <v>1415</v>
      </c>
      <c r="W33" s="49" t="s">
        <v>1415</v>
      </c>
      <c r="X33" s="51" t="s">
        <v>1415</v>
      </c>
      <c r="Y33" s="51" t="s">
        <v>1415</v>
      </c>
      <c r="Z33" s="6" t="s">
        <v>1415</v>
      </c>
      <c r="AA33" s="6" t="s">
        <v>1415</v>
      </c>
      <c r="AB33" s="6" t="s">
        <v>1415</v>
      </c>
      <c r="AC33" s="4" t="s">
        <v>1415</v>
      </c>
      <c r="AD33" s="6" t="s">
        <v>1415</v>
      </c>
      <c r="AE33" s="6" t="s">
        <v>1415</v>
      </c>
      <c r="AF33" s="6" t="s">
        <v>1415</v>
      </c>
      <c r="AG33" s="6" t="s">
        <v>1415</v>
      </c>
      <c r="AH33" s="6" t="s">
        <v>1415</v>
      </c>
      <c r="AI33" s="6" t="s">
        <v>1415</v>
      </c>
      <c r="AJ33" s="6" t="s">
        <v>1415</v>
      </c>
      <c r="AK33" s="6" t="s">
        <v>1415</v>
      </c>
      <c r="AL33" s="4" t="s">
        <v>1415</v>
      </c>
      <c r="AM33" s="6" t="s">
        <v>1415</v>
      </c>
      <c r="AN33" s="6" t="s">
        <v>1415</v>
      </c>
      <c r="AO33" s="6" t="s">
        <v>1415</v>
      </c>
      <c r="AP33" s="6" t="s">
        <v>1415</v>
      </c>
      <c r="AQ33" s="6" t="s">
        <v>1415</v>
      </c>
      <c r="AR33" s="6" t="s">
        <v>1415</v>
      </c>
      <c r="AS33" s="6" t="s">
        <v>1415</v>
      </c>
      <c r="AT33" s="6" t="s">
        <v>1415</v>
      </c>
      <c r="AU33" s="6" t="s">
        <v>1415</v>
      </c>
      <c r="AV33" s="63" t="s">
        <v>1415</v>
      </c>
      <c r="AW33" s="63" t="s">
        <v>1415</v>
      </c>
      <c r="AX33" s="6">
        <f t="array" ref="AX33">IFERROR(INDEX(Datos_Consumo[CANTIDAD],MATCH(TABLATRANSFERENCIA[[#This Row],[CODIGO]]&amp;TABLATRANSFERENCIA[[#Headers],[Columna1]],Datos_Consumo[CODIGO]&amp;Datos_Consumo[FECHA_FORMATO],0)),0)</f>
        <v>0</v>
      </c>
      <c r="AY33" s="6">
        <f t="array" ref="AY33">IFERROR(INDEX(Datos_Consumo[CANTIDAD],MATCH(TABLATRANSFERENCIA[[#This Row],[CODIGO]]&amp;TABLATRANSFERENCIA[[#Headers],[Columna2]],Datos_Consumo[CODIGO]&amp;Datos_Consumo[FECHA_FORMATO],0)),0)</f>
        <v>0</v>
      </c>
      <c r="AZ33" s="6">
        <f t="array" ref="AZ33">IFERROR(INDEX(Datos_Consumo[CANTIDAD],MATCH(TABLATRANSFERENCIA[[#This Row],[CODIGO]]&amp;TABLATRANSFERENCIA[[#Headers],[Columna3]],Datos_Consumo[CODIGO]&amp;Datos_Consumo[FECHA_FORMATO],0)),0)</f>
        <v>0</v>
      </c>
      <c r="BA33" s="6">
        <f t="array" ref="BA33">IFERROR(INDEX(Datos_Consumo[CANTIDAD],MATCH(TABLATRANSFERENCIA[[#This Row],[CODIGO]]&amp;TABLATRANSFERENCIA[[#Headers],[Columna4]],Datos_Consumo[CODIGO]&amp;Datos_Consumo[FECHA_FORMATO],0)),0)</f>
        <v>0</v>
      </c>
      <c r="BB33" s="6">
        <f t="array" ref="BB33">IFERROR(INDEX(Datos_Consumo[CANTIDAD],MATCH(TABLATRANSFERENCIA[[#This Row],[CODIGO]]&amp;TABLATRANSFERENCIA[[#Headers],[Columna5]],Datos_Consumo[CODIGO]&amp;Datos_Consumo[FECHA_FORMATO],0)),0)</f>
        <v>0</v>
      </c>
      <c r="BC33" s="6">
        <f t="array" ref="BC33">IFERROR(INDEX(Datos_Consumo[CANTIDAD],MATCH(TABLATRANSFERENCIA[[#This Row],[CODIGO]]&amp;TABLATRANSFERENCIA[[#Headers],[Columna6]],Datos_Consumo[CODIGO]&amp;Datos_Consumo[FECHA_FORMATO],0)),0)</f>
        <v>0</v>
      </c>
      <c r="BD33" s="50">
        <v>10</v>
      </c>
      <c r="BE33" s="55">
        <v>10</v>
      </c>
      <c r="BF33" s="50"/>
      <c r="BG33" s="51"/>
      <c r="BH33"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I3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3" s="51"/>
      <c r="BN33" s="46">
        <f>IFERROR(TABLATRANSFERENCIA[[#This Row],[REQUERIM]]/TABLATRANSFERENCIA[[#This Row],[PEDIDO PROMEDIO]],0)</f>
        <v>0</v>
      </c>
      <c r="BO33" s="51"/>
      <c r="BP33" s="60"/>
      <c r="BQ33" s="3">
        <f>IF(TABLATRANSFERENCIA[[#This Row],[RECIBIDO]]&lt;&gt;"",0,IF(TABLATRANSFERENCIA[[#This Row],[DESPACHO]]&lt;&gt;"",TABLATRANSFERENCIA[[#This Row],[DESPACHO]],TABLATRANSFERENCIA[[#This Row],[REQUERIM]]))</f>
        <v>10</v>
      </c>
      <c r="BR33" s="50"/>
      <c r="BS33" s="50"/>
      <c r="BT33" s="50" t="str">
        <f t="shared" si="0"/>
        <v>N</v>
      </c>
      <c r="BU33" s="51">
        <f t="array" ref="BU33">IF(SUM(--(TABLATRANSFERENCIA[[#This Row],[CODIGO GENERICO]]=TABLATRANSFERENCIA[CODIGO GENERICO])*TABLATRANSFERENCIA[REQUERIM])&lt;TABLATRANSFERENCIA[[#This Row],[PEDIDO MIN GRUPO]],1,0)</f>
        <v>1</v>
      </c>
      <c r="BV33"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33" s="51" t="s">
        <v>1415</v>
      </c>
      <c r="BX33" s="51" t="s">
        <v>1415</v>
      </c>
    </row>
    <row r="34" spans="1:76" x14ac:dyDescent="0.25">
      <c r="A34" s="54" t="s">
        <v>1406</v>
      </c>
      <c r="B34" s="3" t="s">
        <v>1415</v>
      </c>
      <c r="C34" s="3" t="s">
        <v>1415</v>
      </c>
      <c r="D34" s="3" t="s">
        <v>1415</v>
      </c>
      <c r="E34" s="3" t="s">
        <v>1415</v>
      </c>
      <c r="F34" s="3" t="s">
        <v>1415</v>
      </c>
      <c r="G34" s="3" t="s">
        <v>1415</v>
      </c>
      <c r="H34" s="3" t="s">
        <v>1415</v>
      </c>
      <c r="I34" s="3" t="s">
        <v>1415</v>
      </c>
      <c r="J34" s="3" t="s">
        <v>1415</v>
      </c>
      <c r="K34" s="3" t="s">
        <v>1415</v>
      </c>
      <c r="L34" s="3" t="s">
        <v>1415</v>
      </c>
      <c r="M34" s="3" t="s">
        <v>1415</v>
      </c>
      <c r="N34" s="3" t="s">
        <v>1415</v>
      </c>
      <c r="O34" s="5" t="s">
        <v>1415</v>
      </c>
      <c r="P34" s="5" t="s">
        <v>1415</v>
      </c>
      <c r="Q34" s="5" t="s">
        <v>1415</v>
      </c>
      <c r="R34" s="46" t="s">
        <v>1415</v>
      </c>
      <c r="S34" s="46" t="s">
        <v>1415</v>
      </c>
      <c r="T34" s="46" t="s">
        <v>1415</v>
      </c>
      <c r="U34" s="46" t="s">
        <v>1415</v>
      </c>
      <c r="V34" s="49" t="s">
        <v>1415</v>
      </c>
      <c r="W34" s="49" t="s">
        <v>1415</v>
      </c>
      <c r="X34" s="51" t="s">
        <v>1415</v>
      </c>
      <c r="Y34" s="51" t="s">
        <v>1415</v>
      </c>
      <c r="Z34" s="6" t="s">
        <v>1415</v>
      </c>
      <c r="AA34" s="6" t="s">
        <v>1415</v>
      </c>
      <c r="AB34" s="6" t="s">
        <v>1415</v>
      </c>
      <c r="AC34" s="4" t="s">
        <v>1415</v>
      </c>
      <c r="AD34" s="6" t="s">
        <v>1415</v>
      </c>
      <c r="AE34" s="6" t="s">
        <v>1415</v>
      </c>
      <c r="AF34" s="6" t="s">
        <v>1415</v>
      </c>
      <c r="AG34" s="6" t="s">
        <v>1415</v>
      </c>
      <c r="AH34" s="6" t="s">
        <v>1415</v>
      </c>
      <c r="AI34" s="6" t="s">
        <v>1415</v>
      </c>
      <c r="AJ34" s="6" t="s">
        <v>1415</v>
      </c>
      <c r="AK34" s="6" t="s">
        <v>1415</v>
      </c>
      <c r="AL34" s="4" t="s">
        <v>1415</v>
      </c>
      <c r="AM34" s="6" t="s">
        <v>1415</v>
      </c>
      <c r="AN34" s="6" t="s">
        <v>1415</v>
      </c>
      <c r="AO34" s="6" t="s">
        <v>1415</v>
      </c>
      <c r="AP34" s="6" t="s">
        <v>1415</v>
      </c>
      <c r="AQ34" s="6" t="s">
        <v>1415</v>
      </c>
      <c r="AR34" s="6" t="s">
        <v>1415</v>
      </c>
      <c r="AS34" s="6" t="s">
        <v>1415</v>
      </c>
      <c r="AT34" s="6" t="s">
        <v>1415</v>
      </c>
      <c r="AU34" s="6" t="s">
        <v>1415</v>
      </c>
      <c r="AV34" s="63" t="s">
        <v>1415</v>
      </c>
      <c r="AW34" s="63" t="s">
        <v>1415</v>
      </c>
      <c r="AX34" s="6">
        <f t="array" ref="AX34">IFERROR(INDEX(Datos_Consumo[CANTIDAD],MATCH(TABLATRANSFERENCIA[[#This Row],[CODIGO]]&amp;TABLATRANSFERENCIA[[#Headers],[Columna1]],Datos_Consumo[CODIGO]&amp;Datos_Consumo[FECHA_FORMATO],0)),0)</f>
        <v>0</v>
      </c>
      <c r="AY34" s="6">
        <f t="array" ref="AY34">IFERROR(INDEX(Datos_Consumo[CANTIDAD],MATCH(TABLATRANSFERENCIA[[#This Row],[CODIGO]]&amp;TABLATRANSFERENCIA[[#Headers],[Columna2]],Datos_Consumo[CODIGO]&amp;Datos_Consumo[FECHA_FORMATO],0)),0)</f>
        <v>0</v>
      </c>
      <c r="AZ34" s="6">
        <f t="array" ref="AZ34">IFERROR(INDEX(Datos_Consumo[CANTIDAD],MATCH(TABLATRANSFERENCIA[[#This Row],[CODIGO]]&amp;TABLATRANSFERENCIA[[#Headers],[Columna3]],Datos_Consumo[CODIGO]&amp;Datos_Consumo[FECHA_FORMATO],0)),0)</f>
        <v>0</v>
      </c>
      <c r="BA34" s="6">
        <f t="array" ref="BA34">IFERROR(INDEX(Datos_Consumo[CANTIDAD],MATCH(TABLATRANSFERENCIA[[#This Row],[CODIGO]]&amp;TABLATRANSFERENCIA[[#Headers],[Columna4]],Datos_Consumo[CODIGO]&amp;Datos_Consumo[FECHA_FORMATO],0)),0)</f>
        <v>0</v>
      </c>
      <c r="BB34" s="6">
        <f t="array" ref="BB34">IFERROR(INDEX(Datos_Consumo[CANTIDAD],MATCH(TABLATRANSFERENCIA[[#This Row],[CODIGO]]&amp;TABLATRANSFERENCIA[[#Headers],[Columna5]],Datos_Consumo[CODIGO]&amp;Datos_Consumo[FECHA_FORMATO],0)),0)</f>
        <v>0</v>
      </c>
      <c r="BC34" s="6">
        <f t="array" ref="BC34">IFERROR(INDEX(Datos_Consumo[CANTIDAD],MATCH(TABLATRANSFERENCIA[[#This Row],[CODIGO]]&amp;TABLATRANSFERENCIA[[#Headers],[Columna6]],Datos_Consumo[CODIGO]&amp;Datos_Consumo[FECHA_FORMATO],0)),0)</f>
        <v>0</v>
      </c>
      <c r="BD34" s="50">
        <v>10</v>
      </c>
      <c r="BE34" s="55">
        <v>10</v>
      </c>
      <c r="BF34" s="50"/>
      <c r="BG34" s="51"/>
      <c r="BH34"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I3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4" s="51"/>
      <c r="BN34" s="46">
        <f>IFERROR(TABLATRANSFERENCIA[[#This Row],[REQUERIM]]/TABLATRANSFERENCIA[[#This Row],[PEDIDO PROMEDIO]],0)</f>
        <v>0</v>
      </c>
      <c r="BO34" s="51"/>
      <c r="BP34" s="60"/>
      <c r="BQ34" s="3">
        <f>IF(TABLATRANSFERENCIA[[#This Row],[RECIBIDO]]&lt;&gt;"",0,IF(TABLATRANSFERENCIA[[#This Row],[DESPACHO]]&lt;&gt;"",TABLATRANSFERENCIA[[#This Row],[DESPACHO]],TABLATRANSFERENCIA[[#This Row],[REQUERIM]]))</f>
        <v>10</v>
      </c>
      <c r="BR34" s="50"/>
      <c r="BS34" s="50"/>
      <c r="BT34" s="50" t="str">
        <f t="shared" si="0"/>
        <v>N</v>
      </c>
      <c r="BU34" s="51">
        <f t="array" ref="BU34">IF(SUM(--(TABLATRANSFERENCIA[[#This Row],[CODIGO GENERICO]]=TABLATRANSFERENCIA[CODIGO GENERICO])*TABLATRANSFERENCIA[REQUERIM])&lt;TABLATRANSFERENCIA[[#This Row],[PEDIDO MIN GRUPO]],1,0)</f>
        <v>1</v>
      </c>
      <c r="BV34"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34" s="51" t="s">
        <v>1415</v>
      </c>
      <c r="BX34" s="51" t="s">
        <v>1415</v>
      </c>
    </row>
    <row r="35" spans="1:76" x14ac:dyDescent="0.25">
      <c r="A35" s="54" t="s">
        <v>1407</v>
      </c>
      <c r="B35" s="3" t="s">
        <v>1415</v>
      </c>
      <c r="C35" s="3" t="s">
        <v>1415</v>
      </c>
      <c r="D35" s="3" t="s">
        <v>1415</v>
      </c>
      <c r="E35" s="3" t="s">
        <v>1415</v>
      </c>
      <c r="F35" s="3" t="s">
        <v>1415</v>
      </c>
      <c r="G35" s="3" t="s">
        <v>1415</v>
      </c>
      <c r="H35" s="3" t="s">
        <v>1415</v>
      </c>
      <c r="I35" s="3" t="s">
        <v>1415</v>
      </c>
      <c r="J35" s="3" t="s">
        <v>1415</v>
      </c>
      <c r="K35" s="3" t="s">
        <v>1415</v>
      </c>
      <c r="L35" s="3" t="s">
        <v>1415</v>
      </c>
      <c r="M35" s="3" t="s">
        <v>1415</v>
      </c>
      <c r="N35" s="3" t="s">
        <v>1415</v>
      </c>
      <c r="O35" s="5" t="s">
        <v>1415</v>
      </c>
      <c r="P35" s="5" t="s">
        <v>1415</v>
      </c>
      <c r="Q35" s="5" t="s">
        <v>1415</v>
      </c>
      <c r="R35" s="46" t="s">
        <v>1415</v>
      </c>
      <c r="S35" s="46" t="s">
        <v>1415</v>
      </c>
      <c r="T35" s="46" t="s">
        <v>1415</v>
      </c>
      <c r="U35" s="46" t="s">
        <v>1415</v>
      </c>
      <c r="V35" s="49" t="s">
        <v>1415</v>
      </c>
      <c r="W35" s="49" t="s">
        <v>1415</v>
      </c>
      <c r="X35" s="51" t="s">
        <v>1415</v>
      </c>
      <c r="Y35" s="51" t="s">
        <v>1415</v>
      </c>
      <c r="Z35" s="6" t="s">
        <v>1415</v>
      </c>
      <c r="AA35" s="6" t="s">
        <v>1415</v>
      </c>
      <c r="AB35" s="6" t="s">
        <v>1415</v>
      </c>
      <c r="AC35" s="4" t="s">
        <v>1415</v>
      </c>
      <c r="AD35" s="6" t="s">
        <v>1415</v>
      </c>
      <c r="AE35" s="6" t="s">
        <v>1415</v>
      </c>
      <c r="AF35" s="6" t="s">
        <v>1415</v>
      </c>
      <c r="AG35" s="6" t="s">
        <v>1415</v>
      </c>
      <c r="AH35" s="6" t="s">
        <v>1415</v>
      </c>
      <c r="AI35" s="6" t="s">
        <v>1415</v>
      </c>
      <c r="AJ35" s="6" t="s">
        <v>1415</v>
      </c>
      <c r="AK35" s="6" t="s">
        <v>1415</v>
      </c>
      <c r="AL35" s="4" t="s">
        <v>1415</v>
      </c>
      <c r="AM35" s="6" t="s">
        <v>1415</v>
      </c>
      <c r="AN35" s="6" t="s">
        <v>1415</v>
      </c>
      <c r="AO35" s="6" t="s">
        <v>1415</v>
      </c>
      <c r="AP35" s="6" t="s">
        <v>1415</v>
      </c>
      <c r="AQ35" s="6" t="s">
        <v>1415</v>
      </c>
      <c r="AR35" s="6" t="s">
        <v>1415</v>
      </c>
      <c r="AS35" s="6" t="s">
        <v>1415</v>
      </c>
      <c r="AT35" s="6" t="s">
        <v>1415</v>
      </c>
      <c r="AU35" s="6" t="s">
        <v>1415</v>
      </c>
      <c r="AV35" s="63" t="s">
        <v>1415</v>
      </c>
      <c r="AW35" s="63" t="s">
        <v>1415</v>
      </c>
      <c r="AX35" s="6">
        <f t="array" ref="AX35">IFERROR(INDEX(Datos_Consumo[CANTIDAD],MATCH(TABLATRANSFERENCIA[[#This Row],[CODIGO]]&amp;TABLATRANSFERENCIA[[#Headers],[Columna1]],Datos_Consumo[CODIGO]&amp;Datos_Consumo[FECHA_FORMATO],0)),0)</f>
        <v>0</v>
      </c>
      <c r="AY35" s="6">
        <f t="array" ref="AY35">IFERROR(INDEX(Datos_Consumo[CANTIDAD],MATCH(TABLATRANSFERENCIA[[#This Row],[CODIGO]]&amp;TABLATRANSFERENCIA[[#Headers],[Columna2]],Datos_Consumo[CODIGO]&amp;Datos_Consumo[FECHA_FORMATO],0)),0)</f>
        <v>0</v>
      </c>
      <c r="AZ35" s="6">
        <f t="array" ref="AZ35">IFERROR(INDEX(Datos_Consumo[CANTIDAD],MATCH(TABLATRANSFERENCIA[[#This Row],[CODIGO]]&amp;TABLATRANSFERENCIA[[#Headers],[Columna3]],Datos_Consumo[CODIGO]&amp;Datos_Consumo[FECHA_FORMATO],0)),0)</f>
        <v>0</v>
      </c>
      <c r="BA35" s="6">
        <f t="array" ref="BA35">IFERROR(INDEX(Datos_Consumo[CANTIDAD],MATCH(TABLATRANSFERENCIA[[#This Row],[CODIGO]]&amp;TABLATRANSFERENCIA[[#Headers],[Columna4]],Datos_Consumo[CODIGO]&amp;Datos_Consumo[FECHA_FORMATO],0)),0)</f>
        <v>0</v>
      </c>
      <c r="BB35" s="6">
        <f t="array" ref="BB35">IFERROR(INDEX(Datos_Consumo[CANTIDAD],MATCH(TABLATRANSFERENCIA[[#This Row],[CODIGO]]&amp;TABLATRANSFERENCIA[[#Headers],[Columna5]],Datos_Consumo[CODIGO]&amp;Datos_Consumo[FECHA_FORMATO],0)),0)</f>
        <v>0</v>
      </c>
      <c r="BC35" s="6">
        <f t="array" ref="BC35">IFERROR(INDEX(Datos_Consumo[CANTIDAD],MATCH(TABLATRANSFERENCIA[[#This Row],[CODIGO]]&amp;TABLATRANSFERENCIA[[#Headers],[Columna6]],Datos_Consumo[CODIGO]&amp;Datos_Consumo[FECHA_FORMATO],0)),0)</f>
        <v>0</v>
      </c>
      <c r="BD35" s="50">
        <v>10</v>
      </c>
      <c r="BE35" s="55">
        <v>10</v>
      </c>
      <c r="BF35" s="50"/>
      <c r="BG35" s="51"/>
      <c r="BH35"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I3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5" s="51"/>
      <c r="BN35" s="46">
        <f>IFERROR(TABLATRANSFERENCIA[[#This Row],[REQUERIM]]/TABLATRANSFERENCIA[[#This Row],[PEDIDO PROMEDIO]],0)</f>
        <v>0</v>
      </c>
      <c r="BO35" s="51"/>
      <c r="BP35" s="60"/>
      <c r="BQ35" s="3">
        <f>IF(TABLATRANSFERENCIA[[#This Row],[RECIBIDO]]&lt;&gt;"",0,IF(TABLATRANSFERENCIA[[#This Row],[DESPACHO]]&lt;&gt;"",TABLATRANSFERENCIA[[#This Row],[DESPACHO]],TABLATRANSFERENCIA[[#This Row],[REQUERIM]]))</f>
        <v>10</v>
      </c>
      <c r="BR35" s="50"/>
      <c r="BS35" s="50"/>
      <c r="BT35" s="50" t="str">
        <f t="shared" si="0"/>
        <v>N</v>
      </c>
      <c r="BU35" s="51">
        <f t="array" ref="BU35">IF(SUM(--(TABLATRANSFERENCIA[[#This Row],[CODIGO GENERICO]]=TABLATRANSFERENCIA[CODIGO GENERICO])*TABLATRANSFERENCIA[REQUERIM])&lt;TABLATRANSFERENCIA[[#This Row],[PEDIDO MIN GRUPO]],1,0)</f>
        <v>1</v>
      </c>
      <c r="BV35"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35" s="51" t="s">
        <v>1415</v>
      </c>
      <c r="BX35" s="51" t="s">
        <v>1415</v>
      </c>
    </row>
    <row r="36" spans="1:76" x14ac:dyDescent="0.25">
      <c r="A36" s="54" t="s">
        <v>1408</v>
      </c>
      <c r="B36" s="3" t="s">
        <v>1415</v>
      </c>
      <c r="C36" s="3" t="s">
        <v>1415</v>
      </c>
      <c r="D36" s="3" t="s">
        <v>1415</v>
      </c>
      <c r="E36" s="3" t="s">
        <v>1415</v>
      </c>
      <c r="F36" s="3" t="s">
        <v>1415</v>
      </c>
      <c r="G36" s="3" t="s">
        <v>1415</v>
      </c>
      <c r="H36" s="3" t="s">
        <v>1415</v>
      </c>
      <c r="I36" s="3" t="s">
        <v>1415</v>
      </c>
      <c r="J36" s="3" t="s">
        <v>1415</v>
      </c>
      <c r="K36" s="3" t="s">
        <v>1415</v>
      </c>
      <c r="L36" s="3" t="s">
        <v>1415</v>
      </c>
      <c r="M36" s="3" t="s">
        <v>1415</v>
      </c>
      <c r="N36" s="3" t="s">
        <v>1415</v>
      </c>
      <c r="O36" s="5" t="s">
        <v>1415</v>
      </c>
      <c r="P36" s="5" t="s">
        <v>1415</v>
      </c>
      <c r="Q36" s="5" t="s">
        <v>1415</v>
      </c>
      <c r="R36" s="46" t="s">
        <v>1415</v>
      </c>
      <c r="S36" s="46" t="s">
        <v>1415</v>
      </c>
      <c r="T36" s="46" t="s">
        <v>1415</v>
      </c>
      <c r="U36" s="46" t="s">
        <v>1415</v>
      </c>
      <c r="V36" s="49" t="s">
        <v>1415</v>
      </c>
      <c r="W36" s="49" t="s">
        <v>1415</v>
      </c>
      <c r="X36" s="51" t="s">
        <v>1415</v>
      </c>
      <c r="Y36" s="51" t="s">
        <v>1415</v>
      </c>
      <c r="Z36" s="6" t="s">
        <v>1415</v>
      </c>
      <c r="AA36" s="6" t="s">
        <v>1415</v>
      </c>
      <c r="AB36" s="6" t="s">
        <v>1415</v>
      </c>
      <c r="AC36" s="4" t="s">
        <v>1415</v>
      </c>
      <c r="AD36" s="6" t="s">
        <v>1415</v>
      </c>
      <c r="AE36" s="6" t="s">
        <v>1415</v>
      </c>
      <c r="AF36" s="6" t="s">
        <v>1415</v>
      </c>
      <c r="AG36" s="6" t="s">
        <v>1415</v>
      </c>
      <c r="AH36" s="6" t="s">
        <v>1415</v>
      </c>
      <c r="AI36" s="6" t="s">
        <v>1415</v>
      </c>
      <c r="AJ36" s="6" t="s">
        <v>1415</v>
      </c>
      <c r="AK36" s="6" t="s">
        <v>1415</v>
      </c>
      <c r="AL36" s="4" t="s">
        <v>1415</v>
      </c>
      <c r="AM36" s="6" t="s">
        <v>1415</v>
      </c>
      <c r="AN36" s="6" t="s">
        <v>1415</v>
      </c>
      <c r="AO36" s="6" t="s">
        <v>1415</v>
      </c>
      <c r="AP36" s="6" t="s">
        <v>1415</v>
      </c>
      <c r="AQ36" s="6" t="s">
        <v>1415</v>
      </c>
      <c r="AR36" s="6" t="s">
        <v>1415</v>
      </c>
      <c r="AS36" s="6" t="s">
        <v>1415</v>
      </c>
      <c r="AT36" s="6" t="s">
        <v>1415</v>
      </c>
      <c r="AU36" s="6" t="s">
        <v>1415</v>
      </c>
      <c r="AV36" s="63" t="s">
        <v>1415</v>
      </c>
      <c r="AW36" s="63" t="s">
        <v>1415</v>
      </c>
      <c r="AX36" s="6">
        <f t="array" ref="AX36">IFERROR(INDEX(Datos_Consumo[CANTIDAD],MATCH(TABLATRANSFERENCIA[[#This Row],[CODIGO]]&amp;TABLATRANSFERENCIA[[#Headers],[Columna1]],Datos_Consumo[CODIGO]&amp;Datos_Consumo[FECHA_FORMATO],0)),0)</f>
        <v>0</v>
      </c>
      <c r="AY36" s="6">
        <f t="array" ref="AY36">IFERROR(INDEX(Datos_Consumo[CANTIDAD],MATCH(TABLATRANSFERENCIA[[#This Row],[CODIGO]]&amp;TABLATRANSFERENCIA[[#Headers],[Columna2]],Datos_Consumo[CODIGO]&amp;Datos_Consumo[FECHA_FORMATO],0)),0)</f>
        <v>0</v>
      </c>
      <c r="AZ36" s="6">
        <f t="array" ref="AZ36">IFERROR(INDEX(Datos_Consumo[CANTIDAD],MATCH(TABLATRANSFERENCIA[[#This Row],[CODIGO]]&amp;TABLATRANSFERENCIA[[#Headers],[Columna3]],Datos_Consumo[CODIGO]&amp;Datos_Consumo[FECHA_FORMATO],0)),0)</f>
        <v>0</v>
      </c>
      <c r="BA36" s="6">
        <f t="array" ref="BA36">IFERROR(INDEX(Datos_Consumo[CANTIDAD],MATCH(TABLATRANSFERENCIA[[#This Row],[CODIGO]]&amp;TABLATRANSFERENCIA[[#Headers],[Columna4]],Datos_Consumo[CODIGO]&amp;Datos_Consumo[FECHA_FORMATO],0)),0)</f>
        <v>0</v>
      </c>
      <c r="BB36" s="6">
        <f t="array" ref="BB36">IFERROR(INDEX(Datos_Consumo[CANTIDAD],MATCH(TABLATRANSFERENCIA[[#This Row],[CODIGO]]&amp;TABLATRANSFERENCIA[[#Headers],[Columna5]],Datos_Consumo[CODIGO]&amp;Datos_Consumo[FECHA_FORMATO],0)),0)</f>
        <v>0</v>
      </c>
      <c r="BC36" s="6">
        <f t="array" ref="BC36">IFERROR(INDEX(Datos_Consumo[CANTIDAD],MATCH(TABLATRANSFERENCIA[[#This Row],[CODIGO]]&amp;TABLATRANSFERENCIA[[#Headers],[Columna6]],Datos_Consumo[CODIGO]&amp;Datos_Consumo[FECHA_FORMATO],0)),0)</f>
        <v>0</v>
      </c>
      <c r="BD36" s="50">
        <v>10</v>
      </c>
      <c r="BE36" s="55">
        <v>10</v>
      </c>
      <c r="BF36" s="50"/>
      <c r="BG36" s="51"/>
      <c r="BH36"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I3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6" s="51"/>
      <c r="BN36" s="46">
        <f>IFERROR(TABLATRANSFERENCIA[[#This Row],[REQUERIM]]/TABLATRANSFERENCIA[[#This Row],[PEDIDO PROMEDIO]],0)</f>
        <v>0</v>
      </c>
      <c r="BO36" s="51"/>
      <c r="BP36" s="60"/>
      <c r="BQ36" s="3">
        <f>IF(TABLATRANSFERENCIA[[#This Row],[RECIBIDO]]&lt;&gt;"",0,IF(TABLATRANSFERENCIA[[#This Row],[DESPACHO]]&lt;&gt;"",TABLATRANSFERENCIA[[#This Row],[DESPACHO]],TABLATRANSFERENCIA[[#This Row],[REQUERIM]]))</f>
        <v>10</v>
      </c>
      <c r="BR36" s="50"/>
      <c r="BS36" s="50"/>
      <c r="BT36" s="50" t="str">
        <f t="shared" si="0"/>
        <v>N</v>
      </c>
      <c r="BU36" s="51">
        <f t="array" ref="BU36">IF(SUM(--(TABLATRANSFERENCIA[[#This Row],[CODIGO GENERICO]]=TABLATRANSFERENCIA[CODIGO GENERICO])*TABLATRANSFERENCIA[REQUERIM])&lt;TABLATRANSFERENCIA[[#This Row],[PEDIDO MIN GRUPO]],1,0)</f>
        <v>1</v>
      </c>
      <c r="BV36"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36" s="51" t="s">
        <v>1415</v>
      </c>
      <c r="BX36" s="51" t="s">
        <v>1415</v>
      </c>
    </row>
    <row r="37" spans="1:76" x14ac:dyDescent="0.25">
      <c r="A37" s="54" t="s">
        <v>1409</v>
      </c>
      <c r="B37" s="3" t="s">
        <v>1415</v>
      </c>
      <c r="C37" s="3" t="s">
        <v>1415</v>
      </c>
      <c r="D37" s="3" t="s">
        <v>1415</v>
      </c>
      <c r="E37" s="3" t="s">
        <v>1415</v>
      </c>
      <c r="F37" s="3" t="s">
        <v>1415</v>
      </c>
      <c r="G37" s="3" t="s">
        <v>1415</v>
      </c>
      <c r="H37" s="3" t="s">
        <v>1415</v>
      </c>
      <c r="I37" s="3" t="s">
        <v>1415</v>
      </c>
      <c r="J37" s="3" t="s">
        <v>1415</v>
      </c>
      <c r="K37" s="3" t="s">
        <v>1415</v>
      </c>
      <c r="L37" s="3" t="s">
        <v>1415</v>
      </c>
      <c r="M37" s="3" t="s">
        <v>1415</v>
      </c>
      <c r="N37" s="3" t="s">
        <v>1415</v>
      </c>
      <c r="O37" s="5" t="s">
        <v>1415</v>
      </c>
      <c r="P37" s="5" t="s">
        <v>1415</v>
      </c>
      <c r="Q37" s="5" t="s">
        <v>1415</v>
      </c>
      <c r="R37" s="46" t="s">
        <v>1415</v>
      </c>
      <c r="S37" s="46" t="s">
        <v>1415</v>
      </c>
      <c r="T37" s="46" t="s">
        <v>1415</v>
      </c>
      <c r="U37" s="46" t="s">
        <v>1415</v>
      </c>
      <c r="V37" s="49" t="s">
        <v>1415</v>
      </c>
      <c r="W37" s="49" t="s">
        <v>1415</v>
      </c>
      <c r="X37" s="51" t="s">
        <v>1415</v>
      </c>
      <c r="Y37" s="51" t="s">
        <v>1415</v>
      </c>
      <c r="Z37" s="6" t="s">
        <v>1415</v>
      </c>
      <c r="AA37" s="6" t="s">
        <v>1415</v>
      </c>
      <c r="AB37" s="6" t="s">
        <v>1415</v>
      </c>
      <c r="AC37" s="4" t="s">
        <v>1415</v>
      </c>
      <c r="AD37" s="6" t="s">
        <v>1415</v>
      </c>
      <c r="AE37" s="6" t="s">
        <v>1415</v>
      </c>
      <c r="AF37" s="6" t="s">
        <v>1415</v>
      </c>
      <c r="AG37" s="6" t="s">
        <v>1415</v>
      </c>
      <c r="AH37" s="6" t="s">
        <v>1415</v>
      </c>
      <c r="AI37" s="6" t="s">
        <v>1415</v>
      </c>
      <c r="AJ37" s="6" t="s">
        <v>1415</v>
      </c>
      <c r="AK37" s="6" t="s">
        <v>1415</v>
      </c>
      <c r="AL37" s="4" t="s">
        <v>1415</v>
      </c>
      <c r="AM37" s="6" t="s">
        <v>1415</v>
      </c>
      <c r="AN37" s="6" t="s">
        <v>1415</v>
      </c>
      <c r="AO37" s="6" t="s">
        <v>1415</v>
      </c>
      <c r="AP37" s="6" t="s">
        <v>1415</v>
      </c>
      <c r="AQ37" s="6" t="s">
        <v>1415</v>
      </c>
      <c r="AR37" s="6" t="s">
        <v>1415</v>
      </c>
      <c r="AS37" s="6" t="s">
        <v>1415</v>
      </c>
      <c r="AT37" s="6" t="s">
        <v>1415</v>
      </c>
      <c r="AU37" s="6" t="s">
        <v>1415</v>
      </c>
      <c r="AV37" s="63" t="s">
        <v>1415</v>
      </c>
      <c r="AW37" s="63" t="s">
        <v>1415</v>
      </c>
      <c r="AX37" s="6">
        <f t="array" ref="AX37">IFERROR(INDEX(Datos_Consumo[CANTIDAD],MATCH(TABLATRANSFERENCIA[[#This Row],[CODIGO]]&amp;TABLATRANSFERENCIA[[#Headers],[Columna1]],Datos_Consumo[CODIGO]&amp;Datos_Consumo[FECHA_FORMATO],0)),0)</f>
        <v>0</v>
      </c>
      <c r="AY37" s="6">
        <f t="array" ref="AY37">IFERROR(INDEX(Datos_Consumo[CANTIDAD],MATCH(TABLATRANSFERENCIA[[#This Row],[CODIGO]]&amp;TABLATRANSFERENCIA[[#Headers],[Columna2]],Datos_Consumo[CODIGO]&amp;Datos_Consumo[FECHA_FORMATO],0)),0)</f>
        <v>0</v>
      </c>
      <c r="AZ37" s="6">
        <f t="array" ref="AZ37">IFERROR(INDEX(Datos_Consumo[CANTIDAD],MATCH(TABLATRANSFERENCIA[[#This Row],[CODIGO]]&amp;TABLATRANSFERENCIA[[#Headers],[Columna3]],Datos_Consumo[CODIGO]&amp;Datos_Consumo[FECHA_FORMATO],0)),0)</f>
        <v>0</v>
      </c>
      <c r="BA37" s="6">
        <f t="array" ref="BA37">IFERROR(INDEX(Datos_Consumo[CANTIDAD],MATCH(TABLATRANSFERENCIA[[#This Row],[CODIGO]]&amp;TABLATRANSFERENCIA[[#Headers],[Columna4]],Datos_Consumo[CODIGO]&amp;Datos_Consumo[FECHA_FORMATO],0)),0)</f>
        <v>0</v>
      </c>
      <c r="BB37" s="6">
        <f t="array" ref="BB37">IFERROR(INDEX(Datos_Consumo[CANTIDAD],MATCH(TABLATRANSFERENCIA[[#This Row],[CODIGO]]&amp;TABLATRANSFERENCIA[[#Headers],[Columna5]],Datos_Consumo[CODIGO]&amp;Datos_Consumo[FECHA_FORMATO],0)),0)</f>
        <v>0</v>
      </c>
      <c r="BC37" s="6">
        <f t="array" ref="BC37">IFERROR(INDEX(Datos_Consumo[CANTIDAD],MATCH(TABLATRANSFERENCIA[[#This Row],[CODIGO]]&amp;TABLATRANSFERENCIA[[#Headers],[Columna6]],Datos_Consumo[CODIGO]&amp;Datos_Consumo[FECHA_FORMATO],0)),0)</f>
        <v>0</v>
      </c>
      <c r="BD37" s="50">
        <v>10</v>
      </c>
      <c r="BE37" s="55">
        <v>10</v>
      </c>
      <c r="BF37" s="50"/>
      <c r="BG37" s="51"/>
      <c r="BH37"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I3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7" s="51"/>
      <c r="BN37" s="46">
        <f>IFERROR(TABLATRANSFERENCIA[[#This Row],[REQUERIM]]/TABLATRANSFERENCIA[[#This Row],[PEDIDO PROMEDIO]],0)</f>
        <v>0</v>
      </c>
      <c r="BO37" s="51"/>
      <c r="BP37" s="60"/>
      <c r="BQ37" s="3">
        <f>IF(TABLATRANSFERENCIA[[#This Row],[RECIBIDO]]&lt;&gt;"",0,IF(TABLATRANSFERENCIA[[#This Row],[DESPACHO]]&lt;&gt;"",TABLATRANSFERENCIA[[#This Row],[DESPACHO]],TABLATRANSFERENCIA[[#This Row],[REQUERIM]]))</f>
        <v>10</v>
      </c>
      <c r="BR37" s="50"/>
      <c r="BS37" s="50"/>
      <c r="BT37" s="50" t="str">
        <f t="shared" si="0"/>
        <v>N</v>
      </c>
      <c r="BU37" s="51">
        <f t="array" ref="BU37">IF(SUM(--(TABLATRANSFERENCIA[[#This Row],[CODIGO GENERICO]]=TABLATRANSFERENCIA[CODIGO GENERICO])*TABLATRANSFERENCIA[REQUERIM])&lt;TABLATRANSFERENCIA[[#This Row],[PEDIDO MIN GRUPO]],1,0)</f>
        <v>1</v>
      </c>
      <c r="BV37"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37" s="51" t="s">
        <v>1415</v>
      </c>
      <c r="BX37" s="51" t="s">
        <v>1415</v>
      </c>
    </row>
    <row r="38" spans="1:76" x14ac:dyDescent="0.25">
      <c r="A38" s="54" t="s">
        <v>1410</v>
      </c>
      <c r="B38" s="3" t="s">
        <v>1415</v>
      </c>
      <c r="C38" s="3" t="s">
        <v>1415</v>
      </c>
      <c r="D38" s="3" t="s">
        <v>1415</v>
      </c>
      <c r="E38" s="3" t="s">
        <v>1415</v>
      </c>
      <c r="F38" s="3" t="s">
        <v>1415</v>
      </c>
      <c r="G38" s="3" t="s">
        <v>1415</v>
      </c>
      <c r="H38" s="3" t="s">
        <v>1415</v>
      </c>
      <c r="I38" s="3" t="s">
        <v>1415</v>
      </c>
      <c r="J38" s="3" t="s">
        <v>1415</v>
      </c>
      <c r="K38" s="3" t="s">
        <v>1415</v>
      </c>
      <c r="L38" s="3" t="s">
        <v>1415</v>
      </c>
      <c r="M38" s="3" t="s">
        <v>1415</v>
      </c>
      <c r="N38" s="3" t="s">
        <v>1415</v>
      </c>
      <c r="O38" s="5" t="s">
        <v>1415</v>
      </c>
      <c r="P38" s="5" t="s">
        <v>1415</v>
      </c>
      <c r="Q38" s="5" t="s">
        <v>1415</v>
      </c>
      <c r="R38" s="46" t="s">
        <v>1415</v>
      </c>
      <c r="S38" s="46" t="s">
        <v>1415</v>
      </c>
      <c r="T38" s="46" t="s">
        <v>1415</v>
      </c>
      <c r="U38" s="46" t="s">
        <v>1415</v>
      </c>
      <c r="V38" s="49" t="s">
        <v>1415</v>
      </c>
      <c r="W38" s="49" t="s">
        <v>1415</v>
      </c>
      <c r="X38" s="51" t="s">
        <v>1415</v>
      </c>
      <c r="Y38" s="51" t="s">
        <v>1415</v>
      </c>
      <c r="Z38" s="6" t="s">
        <v>1415</v>
      </c>
      <c r="AA38" s="6" t="s">
        <v>1415</v>
      </c>
      <c r="AB38" s="6" t="s">
        <v>1415</v>
      </c>
      <c r="AC38" s="4" t="s">
        <v>1415</v>
      </c>
      <c r="AD38" s="6" t="s">
        <v>1415</v>
      </c>
      <c r="AE38" s="6" t="s">
        <v>1415</v>
      </c>
      <c r="AF38" s="6" t="s">
        <v>1415</v>
      </c>
      <c r="AG38" s="6" t="s">
        <v>1415</v>
      </c>
      <c r="AH38" s="6" t="s">
        <v>1415</v>
      </c>
      <c r="AI38" s="6" t="s">
        <v>1415</v>
      </c>
      <c r="AJ38" s="6" t="s">
        <v>1415</v>
      </c>
      <c r="AK38" s="6" t="s">
        <v>1415</v>
      </c>
      <c r="AL38" s="4" t="s">
        <v>1415</v>
      </c>
      <c r="AM38" s="6" t="s">
        <v>1415</v>
      </c>
      <c r="AN38" s="6" t="s">
        <v>1415</v>
      </c>
      <c r="AO38" s="6" t="s">
        <v>1415</v>
      </c>
      <c r="AP38" s="6" t="s">
        <v>1415</v>
      </c>
      <c r="AQ38" s="6" t="s">
        <v>1415</v>
      </c>
      <c r="AR38" s="6" t="s">
        <v>1415</v>
      </c>
      <c r="AS38" s="6" t="s">
        <v>1415</v>
      </c>
      <c r="AT38" s="6" t="s">
        <v>1415</v>
      </c>
      <c r="AU38" s="6" t="s">
        <v>1415</v>
      </c>
      <c r="AV38" s="63" t="s">
        <v>1415</v>
      </c>
      <c r="AW38" s="63" t="s">
        <v>1415</v>
      </c>
      <c r="AX38" s="6">
        <f t="array" ref="AX38">IFERROR(INDEX(Datos_Consumo[CANTIDAD],MATCH(TABLATRANSFERENCIA[[#This Row],[CODIGO]]&amp;TABLATRANSFERENCIA[[#Headers],[Columna1]],Datos_Consumo[CODIGO]&amp;Datos_Consumo[FECHA_FORMATO],0)),0)</f>
        <v>0</v>
      </c>
      <c r="AY38" s="6">
        <f t="array" ref="AY38">IFERROR(INDEX(Datos_Consumo[CANTIDAD],MATCH(TABLATRANSFERENCIA[[#This Row],[CODIGO]]&amp;TABLATRANSFERENCIA[[#Headers],[Columna2]],Datos_Consumo[CODIGO]&amp;Datos_Consumo[FECHA_FORMATO],0)),0)</f>
        <v>0</v>
      </c>
      <c r="AZ38" s="6">
        <f t="array" ref="AZ38">IFERROR(INDEX(Datos_Consumo[CANTIDAD],MATCH(TABLATRANSFERENCIA[[#This Row],[CODIGO]]&amp;TABLATRANSFERENCIA[[#Headers],[Columna3]],Datos_Consumo[CODIGO]&amp;Datos_Consumo[FECHA_FORMATO],0)),0)</f>
        <v>0</v>
      </c>
      <c r="BA38" s="6">
        <f t="array" ref="BA38">IFERROR(INDEX(Datos_Consumo[CANTIDAD],MATCH(TABLATRANSFERENCIA[[#This Row],[CODIGO]]&amp;TABLATRANSFERENCIA[[#Headers],[Columna4]],Datos_Consumo[CODIGO]&amp;Datos_Consumo[FECHA_FORMATO],0)),0)</f>
        <v>0</v>
      </c>
      <c r="BB38" s="6">
        <f t="array" ref="BB38">IFERROR(INDEX(Datos_Consumo[CANTIDAD],MATCH(TABLATRANSFERENCIA[[#This Row],[CODIGO]]&amp;TABLATRANSFERENCIA[[#Headers],[Columna5]],Datos_Consumo[CODIGO]&amp;Datos_Consumo[FECHA_FORMATO],0)),0)</f>
        <v>0</v>
      </c>
      <c r="BC38" s="6">
        <f t="array" ref="BC38">IFERROR(INDEX(Datos_Consumo[CANTIDAD],MATCH(TABLATRANSFERENCIA[[#This Row],[CODIGO]]&amp;TABLATRANSFERENCIA[[#Headers],[Columna6]],Datos_Consumo[CODIGO]&amp;Datos_Consumo[FECHA_FORMATO],0)),0)</f>
        <v>0</v>
      </c>
      <c r="BD38" s="50">
        <v>10</v>
      </c>
      <c r="BE38" s="55">
        <v>10</v>
      </c>
      <c r="BF38" s="50"/>
      <c r="BG38" s="51"/>
      <c r="BH38"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I3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8" s="51"/>
      <c r="BN38" s="46">
        <f>IFERROR(TABLATRANSFERENCIA[[#This Row],[REQUERIM]]/TABLATRANSFERENCIA[[#This Row],[PEDIDO PROMEDIO]],0)</f>
        <v>0</v>
      </c>
      <c r="BO38" s="51"/>
      <c r="BP38" s="60"/>
      <c r="BQ38" s="3">
        <f>IF(TABLATRANSFERENCIA[[#This Row],[RECIBIDO]]&lt;&gt;"",0,IF(TABLATRANSFERENCIA[[#This Row],[DESPACHO]]&lt;&gt;"",TABLATRANSFERENCIA[[#This Row],[DESPACHO]],TABLATRANSFERENCIA[[#This Row],[REQUERIM]]))</f>
        <v>10</v>
      </c>
      <c r="BR38" s="50"/>
      <c r="BS38" s="50"/>
      <c r="BT38" s="50" t="str">
        <f t="shared" si="0"/>
        <v>N</v>
      </c>
      <c r="BU38" s="51">
        <f t="array" ref="BU38">IF(SUM(--(TABLATRANSFERENCIA[[#This Row],[CODIGO GENERICO]]=TABLATRANSFERENCIA[CODIGO GENERICO])*TABLATRANSFERENCIA[REQUERIM])&lt;TABLATRANSFERENCIA[[#This Row],[PEDIDO MIN GRUPO]],1,0)</f>
        <v>1</v>
      </c>
      <c r="BV38"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38" s="51" t="s">
        <v>1415</v>
      </c>
      <c r="BX38" s="51" t="s">
        <v>1415</v>
      </c>
    </row>
    <row r="39" spans="1:76" x14ac:dyDescent="0.25">
      <c r="A39" s="54" t="s">
        <v>1411</v>
      </c>
      <c r="B39" s="3" t="s">
        <v>1415</v>
      </c>
      <c r="C39" s="3" t="s">
        <v>1415</v>
      </c>
      <c r="D39" s="3" t="s">
        <v>1415</v>
      </c>
      <c r="E39" s="3" t="s">
        <v>1415</v>
      </c>
      <c r="F39" s="3" t="s">
        <v>1415</v>
      </c>
      <c r="G39" s="3" t="s">
        <v>1415</v>
      </c>
      <c r="H39" s="3" t="s">
        <v>1415</v>
      </c>
      <c r="I39" s="3" t="s">
        <v>1415</v>
      </c>
      <c r="J39" s="3" t="s">
        <v>1415</v>
      </c>
      <c r="K39" s="3" t="s">
        <v>1415</v>
      </c>
      <c r="L39" s="3" t="s">
        <v>1415</v>
      </c>
      <c r="M39" s="3" t="s">
        <v>1415</v>
      </c>
      <c r="N39" s="3" t="s">
        <v>1415</v>
      </c>
      <c r="O39" s="5" t="s">
        <v>1415</v>
      </c>
      <c r="P39" s="5" t="s">
        <v>1415</v>
      </c>
      <c r="Q39" s="5" t="s">
        <v>1415</v>
      </c>
      <c r="R39" s="46" t="s">
        <v>1415</v>
      </c>
      <c r="S39" s="46" t="s">
        <v>1415</v>
      </c>
      <c r="T39" s="46" t="s">
        <v>1415</v>
      </c>
      <c r="U39" s="46" t="s">
        <v>1415</v>
      </c>
      <c r="V39" s="49" t="s">
        <v>1415</v>
      </c>
      <c r="W39" s="49" t="s">
        <v>1415</v>
      </c>
      <c r="X39" s="51" t="s">
        <v>1415</v>
      </c>
      <c r="Y39" s="51" t="s">
        <v>1415</v>
      </c>
      <c r="Z39" s="6" t="s">
        <v>1415</v>
      </c>
      <c r="AA39" s="6" t="s">
        <v>1415</v>
      </c>
      <c r="AB39" s="6" t="s">
        <v>1415</v>
      </c>
      <c r="AC39" s="4" t="s">
        <v>1415</v>
      </c>
      <c r="AD39" s="6" t="s">
        <v>1415</v>
      </c>
      <c r="AE39" s="6" t="s">
        <v>1415</v>
      </c>
      <c r="AF39" s="6" t="s">
        <v>1415</v>
      </c>
      <c r="AG39" s="6" t="s">
        <v>1415</v>
      </c>
      <c r="AH39" s="6" t="s">
        <v>1415</v>
      </c>
      <c r="AI39" s="6" t="s">
        <v>1415</v>
      </c>
      <c r="AJ39" s="6" t="s">
        <v>1415</v>
      </c>
      <c r="AK39" s="6" t="s">
        <v>1415</v>
      </c>
      <c r="AL39" s="4" t="s">
        <v>1415</v>
      </c>
      <c r="AM39" s="6" t="s">
        <v>1415</v>
      </c>
      <c r="AN39" s="6" t="s">
        <v>1415</v>
      </c>
      <c r="AO39" s="6" t="s">
        <v>1415</v>
      </c>
      <c r="AP39" s="6" t="s">
        <v>1415</v>
      </c>
      <c r="AQ39" s="6" t="s">
        <v>1415</v>
      </c>
      <c r="AR39" s="6" t="s">
        <v>1415</v>
      </c>
      <c r="AS39" s="6" t="s">
        <v>1415</v>
      </c>
      <c r="AT39" s="6" t="s">
        <v>1415</v>
      </c>
      <c r="AU39" s="6" t="s">
        <v>1415</v>
      </c>
      <c r="AV39" s="63" t="s">
        <v>1415</v>
      </c>
      <c r="AW39" s="63" t="s">
        <v>1415</v>
      </c>
      <c r="AX39" s="6">
        <f t="array" ref="AX39">IFERROR(INDEX(Datos_Consumo[CANTIDAD],MATCH(TABLATRANSFERENCIA[[#This Row],[CODIGO]]&amp;TABLATRANSFERENCIA[[#Headers],[Columna1]],Datos_Consumo[CODIGO]&amp;Datos_Consumo[FECHA_FORMATO],0)),0)</f>
        <v>0</v>
      </c>
      <c r="AY39" s="6">
        <f t="array" ref="AY39">IFERROR(INDEX(Datos_Consumo[CANTIDAD],MATCH(TABLATRANSFERENCIA[[#This Row],[CODIGO]]&amp;TABLATRANSFERENCIA[[#Headers],[Columna2]],Datos_Consumo[CODIGO]&amp;Datos_Consumo[FECHA_FORMATO],0)),0)</f>
        <v>0</v>
      </c>
      <c r="AZ39" s="6">
        <f t="array" ref="AZ39">IFERROR(INDEX(Datos_Consumo[CANTIDAD],MATCH(TABLATRANSFERENCIA[[#This Row],[CODIGO]]&amp;TABLATRANSFERENCIA[[#Headers],[Columna3]],Datos_Consumo[CODIGO]&amp;Datos_Consumo[FECHA_FORMATO],0)),0)</f>
        <v>0</v>
      </c>
      <c r="BA39" s="6">
        <f t="array" ref="BA39">IFERROR(INDEX(Datos_Consumo[CANTIDAD],MATCH(TABLATRANSFERENCIA[[#This Row],[CODIGO]]&amp;TABLATRANSFERENCIA[[#Headers],[Columna4]],Datos_Consumo[CODIGO]&amp;Datos_Consumo[FECHA_FORMATO],0)),0)</f>
        <v>0</v>
      </c>
      <c r="BB39" s="6">
        <f t="array" ref="BB39">IFERROR(INDEX(Datos_Consumo[CANTIDAD],MATCH(TABLATRANSFERENCIA[[#This Row],[CODIGO]]&amp;TABLATRANSFERENCIA[[#Headers],[Columna5]],Datos_Consumo[CODIGO]&amp;Datos_Consumo[FECHA_FORMATO],0)),0)</f>
        <v>0</v>
      </c>
      <c r="BC39" s="6">
        <f t="array" ref="BC39">IFERROR(INDEX(Datos_Consumo[CANTIDAD],MATCH(TABLATRANSFERENCIA[[#This Row],[CODIGO]]&amp;TABLATRANSFERENCIA[[#Headers],[Columna6]],Datos_Consumo[CODIGO]&amp;Datos_Consumo[FECHA_FORMATO],0)),0)</f>
        <v>0</v>
      </c>
      <c r="BD39" s="50">
        <v>10</v>
      </c>
      <c r="BE39" s="55">
        <v>10</v>
      </c>
      <c r="BF39" s="50"/>
      <c r="BG39" s="51"/>
      <c r="BH39"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I3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9" s="51"/>
      <c r="BN39" s="46">
        <f>IFERROR(TABLATRANSFERENCIA[[#This Row],[REQUERIM]]/TABLATRANSFERENCIA[[#This Row],[PEDIDO PROMEDIO]],0)</f>
        <v>0</v>
      </c>
      <c r="BO39" s="51"/>
      <c r="BP39" s="60"/>
      <c r="BQ39" s="3">
        <f>IF(TABLATRANSFERENCIA[[#This Row],[RECIBIDO]]&lt;&gt;"",0,IF(TABLATRANSFERENCIA[[#This Row],[DESPACHO]]&lt;&gt;"",TABLATRANSFERENCIA[[#This Row],[DESPACHO]],TABLATRANSFERENCIA[[#This Row],[REQUERIM]]))</f>
        <v>10</v>
      </c>
      <c r="BR39" s="50"/>
      <c r="BS39" s="50"/>
      <c r="BT39" s="50" t="str">
        <f t="shared" si="0"/>
        <v>N</v>
      </c>
      <c r="BU39" s="51">
        <f t="array" ref="BU39">IF(SUM(--(TABLATRANSFERENCIA[[#This Row],[CODIGO GENERICO]]=TABLATRANSFERENCIA[CODIGO GENERICO])*TABLATRANSFERENCIA[REQUERIM])&lt;TABLATRANSFERENCIA[[#This Row],[PEDIDO MIN GRUPO]],1,0)</f>
        <v>1</v>
      </c>
      <c r="BV3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39" s="51" t="s">
        <v>1415</v>
      </c>
      <c r="BX39" s="51" t="s">
        <v>1415</v>
      </c>
    </row>
    <row r="40" spans="1:76" x14ac:dyDescent="0.25">
      <c r="A40" s="54" t="s">
        <v>1412</v>
      </c>
      <c r="B40" s="3" t="s">
        <v>1415</v>
      </c>
      <c r="C40" s="3" t="s">
        <v>1415</v>
      </c>
      <c r="D40" s="3" t="s">
        <v>1415</v>
      </c>
      <c r="E40" s="3" t="s">
        <v>1415</v>
      </c>
      <c r="F40" s="3" t="s">
        <v>1415</v>
      </c>
      <c r="G40" s="3" t="s">
        <v>1415</v>
      </c>
      <c r="H40" s="3" t="s">
        <v>1415</v>
      </c>
      <c r="I40" s="3" t="s">
        <v>1415</v>
      </c>
      <c r="J40" s="3" t="s">
        <v>1415</v>
      </c>
      <c r="K40" s="3" t="s">
        <v>1415</v>
      </c>
      <c r="L40" s="3" t="s">
        <v>1415</v>
      </c>
      <c r="M40" s="3" t="s">
        <v>1415</v>
      </c>
      <c r="N40" s="3" t="s">
        <v>1415</v>
      </c>
      <c r="O40" s="5" t="s">
        <v>1415</v>
      </c>
      <c r="P40" s="5" t="s">
        <v>1415</v>
      </c>
      <c r="Q40" s="5" t="s">
        <v>1415</v>
      </c>
      <c r="R40" s="46" t="s">
        <v>1415</v>
      </c>
      <c r="S40" s="46" t="s">
        <v>1415</v>
      </c>
      <c r="T40" s="46" t="s">
        <v>1415</v>
      </c>
      <c r="U40" s="46" t="s">
        <v>1415</v>
      </c>
      <c r="V40" s="49" t="s">
        <v>1415</v>
      </c>
      <c r="W40" s="49" t="s">
        <v>1415</v>
      </c>
      <c r="X40" s="51" t="s">
        <v>1415</v>
      </c>
      <c r="Y40" s="51" t="s">
        <v>1415</v>
      </c>
      <c r="Z40" s="6" t="s">
        <v>1415</v>
      </c>
      <c r="AA40" s="6" t="s">
        <v>1415</v>
      </c>
      <c r="AB40" s="6" t="s">
        <v>1415</v>
      </c>
      <c r="AC40" s="4" t="s">
        <v>1415</v>
      </c>
      <c r="AD40" s="6" t="s">
        <v>1415</v>
      </c>
      <c r="AE40" s="6" t="s">
        <v>1415</v>
      </c>
      <c r="AF40" s="6" t="s">
        <v>1415</v>
      </c>
      <c r="AG40" s="6" t="s">
        <v>1415</v>
      </c>
      <c r="AH40" s="6" t="s">
        <v>1415</v>
      </c>
      <c r="AI40" s="6" t="s">
        <v>1415</v>
      </c>
      <c r="AJ40" s="6" t="s">
        <v>1415</v>
      </c>
      <c r="AK40" s="6" t="s">
        <v>1415</v>
      </c>
      <c r="AL40" s="4" t="s">
        <v>1415</v>
      </c>
      <c r="AM40" s="6" t="s">
        <v>1415</v>
      </c>
      <c r="AN40" s="6" t="s">
        <v>1415</v>
      </c>
      <c r="AO40" s="6" t="s">
        <v>1415</v>
      </c>
      <c r="AP40" s="6" t="s">
        <v>1415</v>
      </c>
      <c r="AQ40" s="6" t="s">
        <v>1415</v>
      </c>
      <c r="AR40" s="6" t="s">
        <v>1415</v>
      </c>
      <c r="AS40" s="6" t="s">
        <v>1415</v>
      </c>
      <c r="AT40" s="6" t="s">
        <v>1415</v>
      </c>
      <c r="AU40" s="6" t="s">
        <v>1415</v>
      </c>
      <c r="AV40" s="63" t="s">
        <v>1415</v>
      </c>
      <c r="AW40" s="63" t="s">
        <v>1415</v>
      </c>
      <c r="AX40" s="6">
        <f t="array" ref="AX40">IFERROR(INDEX(Datos_Consumo[CANTIDAD],MATCH(TABLATRANSFERENCIA[[#This Row],[CODIGO]]&amp;TABLATRANSFERENCIA[[#Headers],[Columna1]],Datos_Consumo[CODIGO]&amp;Datos_Consumo[FECHA_FORMATO],0)),0)</f>
        <v>0</v>
      </c>
      <c r="AY40" s="6">
        <f t="array" ref="AY40">IFERROR(INDEX(Datos_Consumo[CANTIDAD],MATCH(TABLATRANSFERENCIA[[#This Row],[CODIGO]]&amp;TABLATRANSFERENCIA[[#Headers],[Columna2]],Datos_Consumo[CODIGO]&amp;Datos_Consumo[FECHA_FORMATO],0)),0)</f>
        <v>0</v>
      </c>
      <c r="AZ40" s="6">
        <f t="array" ref="AZ40">IFERROR(INDEX(Datos_Consumo[CANTIDAD],MATCH(TABLATRANSFERENCIA[[#This Row],[CODIGO]]&amp;TABLATRANSFERENCIA[[#Headers],[Columna3]],Datos_Consumo[CODIGO]&amp;Datos_Consumo[FECHA_FORMATO],0)),0)</f>
        <v>0</v>
      </c>
      <c r="BA40" s="6">
        <f t="array" ref="BA40">IFERROR(INDEX(Datos_Consumo[CANTIDAD],MATCH(TABLATRANSFERENCIA[[#This Row],[CODIGO]]&amp;TABLATRANSFERENCIA[[#Headers],[Columna4]],Datos_Consumo[CODIGO]&amp;Datos_Consumo[FECHA_FORMATO],0)),0)</f>
        <v>0</v>
      </c>
      <c r="BB40" s="6">
        <f t="array" ref="BB40">IFERROR(INDEX(Datos_Consumo[CANTIDAD],MATCH(TABLATRANSFERENCIA[[#This Row],[CODIGO]]&amp;TABLATRANSFERENCIA[[#Headers],[Columna5]],Datos_Consumo[CODIGO]&amp;Datos_Consumo[FECHA_FORMATO],0)),0)</f>
        <v>0</v>
      </c>
      <c r="BC40" s="6">
        <f t="array" ref="BC40">IFERROR(INDEX(Datos_Consumo[CANTIDAD],MATCH(TABLATRANSFERENCIA[[#This Row],[CODIGO]]&amp;TABLATRANSFERENCIA[[#Headers],[Columna6]],Datos_Consumo[CODIGO]&amp;Datos_Consumo[FECHA_FORMATO],0)),0)</f>
        <v>0</v>
      </c>
      <c r="BD40" s="50">
        <v>20</v>
      </c>
      <c r="BE40" s="55">
        <v>20</v>
      </c>
      <c r="BF40" s="50"/>
      <c r="BG40" s="51"/>
      <c r="BH40"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I4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4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4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4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40" s="51"/>
      <c r="BN40" s="46">
        <f>IFERROR(TABLATRANSFERENCIA[[#This Row],[REQUERIM]]/TABLATRANSFERENCIA[[#This Row],[PEDIDO PROMEDIO]],0)</f>
        <v>0</v>
      </c>
      <c r="BO40" s="51"/>
      <c r="BP40" s="60"/>
      <c r="BQ40" s="3">
        <f>IF(TABLATRANSFERENCIA[[#This Row],[RECIBIDO]]&lt;&gt;"",0,IF(TABLATRANSFERENCIA[[#This Row],[DESPACHO]]&lt;&gt;"",TABLATRANSFERENCIA[[#This Row],[DESPACHO]],TABLATRANSFERENCIA[[#This Row],[REQUERIM]]))</f>
        <v>20</v>
      </c>
      <c r="BR40" s="50"/>
      <c r="BS40" s="50"/>
      <c r="BT40" s="50" t="str">
        <f t="shared" si="0"/>
        <v>N</v>
      </c>
      <c r="BU40" s="51">
        <f t="array" ref="BU40">IF(SUM(--(TABLATRANSFERENCIA[[#This Row],[CODIGO GENERICO]]=TABLATRANSFERENCIA[CODIGO GENERICO])*TABLATRANSFERENCIA[REQUERIM])&lt;TABLATRANSFERENCIA[[#This Row],[PEDIDO MIN GRUPO]],1,0)</f>
        <v>1</v>
      </c>
      <c r="BV4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W40" s="51" t="s">
        <v>1415</v>
      </c>
      <c r="BX40" s="51" t="s">
        <v>1415</v>
      </c>
    </row>
  </sheetData>
  <sheetProtection algorithmName="SHA-512" hashValue="xezz30YMCVVIANGdzH3iyQsj/Q+KR9bXtLo/DAdToOsd6WCEREW7NE5Mn3um73cMAHa8q+Jh8f1Dwu0OANbNng==" saltValue="O166HoM/DMg71zlnqaK2GQ==" spinCount="100000" sheet="1" objects="1" scenarios="1" formatCells="0" sort="0" autoFilter="0"/>
  <conditionalFormatting sqref="BO9:BP40">
    <cfRule type="expression" dxfId="44" priority="34">
      <formula>ISBLANK(BO9)</formula>
    </cfRule>
  </conditionalFormatting>
  <conditionalFormatting sqref="B5">
    <cfRule type="expression" dxfId="43" priority="26">
      <formula>ISBLANK(REFERENCIA)</formula>
    </cfRule>
  </conditionalFormatting>
  <conditionalFormatting sqref="D3">
    <cfRule type="expression" dxfId="42" priority="24">
      <formula>AND(ISNUMBER($D$3),$D$3&lt;$D$2)</formula>
    </cfRule>
    <cfRule type="expression" dxfId="41" priority="33">
      <formula>ISBLANK(FECHACIERRE)</formula>
    </cfRule>
  </conditionalFormatting>
  <conditionalFormatting sqref="B6 D3">
    <cfRule type="expression" dxfId="40" priority="25">
      <formula>ISBLANK(FECHAARRIBO)</formula>
    </cfRule>
  </conditionalFormatting>
  <conditionalFormatting sqref="B7">
    <cfRule type="expression" dxfId="39" priority="23">
      <formula>NOT((B7=""))</formula>
    </cfRule>
  </conditionalFormatting>
  <conditionalFormatting sqref="AK9:AK40 AB9:AB40">
    <cfRule type="expression" dxfId="38" priority="15">
      <formula>AD9="G"</formula>
    </cfRule>
    <cfRule type="expression" dxfId="37" priority="16">
      <formula>AD9="L"</formula>
    </cfRule>
    <cfRule type="expression" dxfId="36" priority="17">
      <formula>AD9="V"</formula>
    </cfRule>
    <cfRule type="expression" dxfId="35" priority="18">
      <formula>AD9="A"</formula>
    </cfRule>
    <cfRule type="expression" dxfId="34" priority="19">
      <formula>AD9="N"</formula>
    </cfRule>
    <cfRule type="expression" dxfId="33" priority="20">
      <formula>AD9="R"</formula>
    </cfRule>
  </conditionalFormatting>
  <conditionalFormatting sqref="BS9:BS40">
    <cfRule type="expression" dxfId="32" priority="17384">
      <formula>AND(ISNUMBER($BP9),$BO9&lt;&gt;$BP9)</formula>
    </cfRule>
  </conditionalFormatting>
  <conditionalFormatting sqref="AO9:AO40">
    <cfRule type="expression" dxfId="31" priority="8">
      <formula>$BU9=1</formula>
    </cfRule>
  </conditionalFormatting>
  <conditionalFormatting sqref="BD9:BD40">
    <cfRule type="expression" dxfId="30" priority="2">
      <formula>$BV9="N"</formula>
    </cfRule>
    <cfRule type="expression" dxfId="29" priority="3">
      <formula>$BV9="R"</formula>
    </cfRule>
    <cfRule type="expression" dxfId="28" priority="4">
      <formula>$BV9="A"</formula>
    </cfRule>
    <cfRule type="expression" dxfId="27" priority="5">
      <formula>$BV9="L"</formula>
    </cfRule>
    <cfRule type="expression" dxfId="26" priority="6">
      <formula>$BV9="V"</formula>
    </cfRule>
    <cfRule type="expression" dxfId="25" priority="7">
      <formula>$BV9="G"</formula>
    </cfRule>
  </conditionalFormatting>
  <conditionalFormatting sqref="BR9:BR40">
    <cfRule type="expression" dxfId="24" priority="35604">
      <formula>AND(ISNUMBER($BO9),$BD9&lt;&gt;$BO9)</formula>
    </cfRule>
  </conditionalFormatting>
  <conditionalFormatting sqref="AV9:AV40">
    <cfRule type="expression" dxfId="23" priority="1">
      <formula>TODAY()&lt;=(AV9+Y9*7)</formula>
    </cfRule>
  </conditionalFormatting>
  <conditionalFormatting sqref="R1:S1">
    <cfRule type="expression" dxfId="22" priority="62649">
      <formula>COUNTA($BP$9:$BP$40)=0</formula>
    </cfRule>
  </conditionalFormatting>
  <dataValidations count="6">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R9:BS40">
      <formula1>RangoCausas</formula1>
    </dataValidation>
    <dataValidation type="whole" allowBlank="1" showErrorMessage="1" promptTitle="Número de Embarques" sqref="BH9:BL40">
      <formula1>0</formula1>
      <formula2>1000000</formula2>
    </dataValidation>
    <dataValidation type="whole" allowBlank="1" showErrorMessage="1" promptTitle="Número de Embarques" sqref="BG9:BG40">
      <formula1>1</formula1>
      <formula2>5</formula2>
    </dataValidation>
    <dataValidation allowBlank="1" showErrorMessage="1" promptTitle="Número de Embarques" sqref="BM9:BM40"/>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79" r:id="rId4" name="cmdAnadeRegistro">
          <controlPr defaultSize="0" autoLine="0" r:id="rId5">
            <anchor>
              <from>
                <xdr:col>2</xdr:col>
                <xdr:colOff>247650</xdr:colOff>
                <xdr:row>0</xdr:row>
                <xdr:rowOff>28575</xdr:rowOff>
              </from>
              <to>
                <xdr:col>2</xdr:col>
                <xdr:colOff>438150</xdr:colOff>
                <xdr:row>0</xdr:row>
                <xdr:rowOff>266700</xdr:rowOff>
              </to>
            </anchor>
          </controlPr>
        </control>
      </mc:Choice>
      <mc:Fallback>
        <control shapeId="1079" r:id="rId4" name="cmdAnadeRegistro"/>
      </mc:Fallback>
    </mc:AlternateContent>
    <mc:AlternateContent xmlns:mc="http://schemas.openxmlformats.org/markup-compatibility/2006">
      <mc:Choice Requires="x14">
        <control shapeId="1077" r:id="rId6" name="cmdOrdenamientoMultiple">
          <controlPr defaultSize="0" autoLine="0" r:id="rId7">
            <anchor>
              <from>
                <xdr:col>1</xdr:col>
                <xdr:colOff>2886075</xdr:colOff>
                <xdr:row>0</xdr:row>
                <xdr:rowOff>28575</xdr:rowOff>
              </from>
              <to>
                <xdr:col>2</xdr:col>
                <xdr:colOff>66675</xdr:colOff>
                <xdr:row>0</xdr:row>
                <xdr:rowOff>266700</xdr:rowOff>
              </to>
            </anchor>
          </controlPr>
        </control>
      </mc:Choice>
      <mc:Fallback>
        <control shapeId="1077" r:id="rId6" name="cmdOrdenamientoMultiple"/>
      </mc:Fallback>
    </mc:AlternateContent>
    <mc:AlternateContent xmlns:mc="http://schemas.openxmlformats.org/markup-compatibility/2006">
      <mc:Choice Requires="x14">
        <control shapeId="1072" r:id="rId8" name="cmdDescendente">
          <controlPr defaultSize="0" autoLine="0" r:id="rId9">
            <anchor>
              <from>
                <xdr:col>1</xdr:col>
                <xdr:colOff>2695575</xdr:colOff>
                <xdr:row>0</xdr:row>
                <xdr:rowOff>28575</xdr:rowOff>
              </from>
              <to>
                <xdr:col>1</xdr:col>
                <xdr:colOff>2867025</xdr:colOff>
                <xdr:row>0</xdr:row>
                <xdr:rowOff>266700</xdr:rowOff>
              </to>
            </anchor>
          </controlPr>
        </control>
      </mc:Choice>
      <mc:Fallback>
        <control shapeId="1072" r:id="rId8" name="cmdDescendente"/>
      </mc:Fallback>
    </mc:AlternateContent>
    <mc:AlternateContent xmlns:mc="http://schemas.openxmlformats.org/markup-compatibility/2006">
      <mc:Choice Requires="x14">
        <control shapeId="1071" r:id="rId10" name="cmdAscendente">
          <controlPr defaultSize="0" autoLine="0" r:id="rId11">
            <anchor>
              <from>
                <xdr:col>1</xdr:col>
                <xdr:colOff>2514600</xdr:colOff>
                <xdr:row>0</xdr:row>
                <xdr:rowOff>28575</xdr:rowOff>
              </from>
              <to>
                <xdr:col>1</xdr:col>
                <xdr:colOff>2686050</xdr:colOff>
                <xdr:row>0</xdr:row>
                <xdr:rowOff>266700</xdr:rowOff>
              </to>
            </anchor>
          </controlPr>
        </control>
      </mc:Choice>
      <mc:Fallback>
        <control shapeId="1071" r:id="rId10" name="cmdAscendente"/>
      </mc:Fallback>
    </mc:AlternateContent>
    <mc:AlternateContent xmlns:mc="http://schemas.openxmlformats.org/markup-compatibility/2006">
      <mc:Choice Requires="x14">
        <control shapeId="1070" r:id="rId12" name="cmdBorraRegistro">
          <controlPr defaultSize="0" autoLine="0" r:id="rId13">
            <anchor>
              <from>
                <xdr:col>2</xdr:col>
                <xdr:colOff>76200</xdr:colOff>
                <xdr:row>0</xdr:row>
                <xdr:rowOff>28575</xdr:rowOff>
              </from>
              <to>
                <xdr:col>2</xdr:col>
                <xdr:colOff>266700</xdr:colOff>
                <xdr:row>0</xdr:row>
                <xdr:rowOff>266700</xdr:rowOff>
              </to>
            </anchor>
          </controlPr>
        </control>
      </mc:Choice>
      <mc:Fallback>
        <control shapeId="1070" r:id="rId12" name="cmdBorraRegistro"/>
      </mc:Fallback>
    </mc:AlternateContent>
    <mc:AlternateContent xmlns:mc="http://schemas.openxmlformats.org/markup-compatibility/2006">
      <mc:Choice Requires="x14">
        <control shapeId="1067" r:id="rId14" name="cmdImprimir">
          <controlPr defaultSize="0" autoLine="0" r:id="rId15">
            <anchor>
              <from>
                <xdr:col>1</xdr:col>
                <xdr:colOff>209550</xdr:colOff>
                <xdr:row>0</xdr:row>
                <xdr:rowOff>28575</xdr:rowOff>
              </from>
              <to>
                <xdr:col>1</xdr:col>
                <xdr:colOff>581025</xdr:colOff>
                <xdr:row>0</xdr:row>
                <xdr:rowOff>295275</xdr:rowOff>
              </to>
            </anchor>
          </controlPr>
        </control>
      </mc:Choice>
      <mc:Fallback>
        <control shapeId="1067" r:id="rId14" name="cmdImprimir"/>
      </mc:Fallback>
    </mc:AlternateContent>
    <mc:AlternateContent xmlns:mc="http://schemas.openxmlformats.org/markup-compatibility/2006">
      <mc:Choice Requires="x14">
        <control shapeId="1039" r:id="rId16" name="cmdMRP">
          <controlPr defaultSize="0" autoLine="0" r:id="rId17">
            <anchor>
              <from>
                <xdr:col>1</xdr:col>
                <xdr:colOff>581025</xdr:colOff>
                <xdr:row>0</xdr:row>
                <xdr:rowOff>28575</xdr:rowOff>
              </from>
              <to>
                <xdr:col>1</xdr:col>
                <xdr:colOff>923925</xdr:colOff>
                <xdr:row>0</xdr:row>
                <xdr:rowOff>295275</xdr:rowOff>
              </to>
            </anchor>
          </controlPr>
        </control>
      </mc:Choice>
      <mc:Fallback>
        <control shapeId="1039" r:id="rId16" name="cmdMRP"/>
      </mc:Fallback>
    </mc:AlternateContent>
    <mc:AlternateContent xmlns:mc="http://schemas.openxmlformats.org/markup-compatibility/2006">
      <mc:Choice Requires="x14">
        <control shapeId="1038" r:id="rId18" name="cmdFechaCierre">
          <controlPr defaultSize="0" autoLine="0" r:id="rId19">
            <anchor moveWithCells="1">
              <from>
                <xdr:col>3</xdr:col>
                <xdr:colOff>1009650</xdr:colOff>
                <xdr:row>2</xdr:row>
                <xdr:rowOff>0</xdr:rowOff>
              </from>
              <to>
                <xdr:col>11</xdr:col>
                <xdr:colOff>28575</xdr:colOff>
                <xdr:row>3</xdr:row>
                <xdr:rowOff>19050</xdr:rowOff>
              </to>
            </anchor>
          </controlPr>
        </control>
      </mc:Choice>
      <mc:Fallback>
        <control shapeId="1038" r:id="rId18" name="cmdFechaCierre"/>
      </mc:Fallback>
    </mc:AlternateContent>
    <mc:AlternateContent xmlns:mc="http://schemas.openxmlformats.org/markup-compatibility/2006">
      <mc:Choice Requires="x14">
        <control shapeId="1037" r:id="rId20" name="cmdFechaArribo">
          <controlPr defaultSize="0" autoLine="0" r:id="rId21">
            <anchor moveWithCells="1">
              <from>
                <xdr:col>1</xdr:col>
                <xdr:colOff>2933700</xdr:colOff>
                <xdr:row>5</xdr:row>
                <xdr:rowOff>0</xdr:rowOff>
              </from>
              <to>
                <xdr:col>2</xdr:col>
                <xdr:colOff>19050</xdr:colOff>
                <xdr:row>5</xdr:row>
                <xdr:rowOff>209550</xdr:rowOff>
              </to>
            </anchor>
          </controlPr>
        </control>
      </mc:Choice>
      <mc:Fallback>
        <control shapeId="1037" r:id="rId20" name="cmdFechaArribo"/>
      </mc:Fallback>
    </mc:AlternateContent>
    <mc:AlternateContent xmlns:mc="http://schemas.openxmlformats.org/markup-compatibility/2006">
      <mc:Choice Requires="x14">
        <control shapeId="1030" r:id="rId22" name="cmdLlenarTransferEspecial">
          <controlPr defaultSize="0" autoLine="0" r:id="rId23">
            <anchor>
              <from>
                <xdr:col>11</xdr:col>
                <xdr:colOff>1038225</xdr:colOff>
                <xdr:row>0</xdr:row>
                <xdr:rowOff>276225</xdr:rowOff>
              </from>
              <to>
                <xdr:col>25</xdr:col>
                <xdr:colOff>704850</xdr:colOff>
                <xdr:row>0</xdr:row>
                <xdr:rowOff>542925</xdr:rowOff>
              </to>
            </anchor>
          </controlPr>
        </control>
      </mc:Choice>
      <mc:Fallback>
        <control shapeId="1030" r:id="rId22" name="cmdLlenarTransferEspecial"/>
      </mc:Fallback>
    </mc:AlternateContent>
    <mc:AlternateContent xmlns:mc="http://schemas.openxmlformats.org/markup-compatibility/2006">
      <mc:Choice Requires="x14">
        <control shapeId="1028" r:id="rId24" name="cmdDarDeBaja">
          <controlPr defaultSize="0" autoLine="0" r:id="rId25">
            <anchor>
              <from>
                <xdr:col>0</xdr:col>
                <xdr:colOff>1123950</xdr:colOff>
                <xdr:row>0</xdr:row>
                <xdr:rowOff>28575</xdr:rowOff>
              </from>
              <to>
                <xdr:col>1</xdr:col>
                <xdr:colOff>219075</xdr:colOff>
                <xdr:row>0</xdr:row>
                <xdr:rowOff>295275</xdr:rowOff>
              </to>
            </anchor>
          </controlPr>
        </control>
      </mc:Choice>
      <mc:Fallback>
        <control shapeId="1028" r:id="rId24" name="cmdDarDeBaja"/>
      </mc:Fallback>
    </mc:AlternateContent>
    <mc:AlternateContent xmlns:mc="http://schemas.openxmlformats.org/markup-compatibility/2006">
      <mc:Choice Requires="x14">
        <control shapeId="1025" r:id="rId26" name="cmdConfirmar">
          <controlPr defaultSize="0" autoLine="0" r:id="rId27">
            <anchor>
              <from>
                <xdr:col>0</xdr:col>
                <xdr:colOff>19050</xdr:colOff>
                <xdr:row>0</xdr:row>
                <xdr:rowOff>333375</xdr:rowOff>
              </from>
              <to>
                <xdr:col>0</xdr:col>
                <xdr:colOff>676275</xdr:colOff>
                <xdr:row>0</xdr:row>
                <xdr:rowOff>600075</xdr:rowOff>
              </to>
            </anchor>
          </controlPr>
        </control>
      </mc:Choice>
      <mc:Fallback>
        <control shapeId="1025" r:id="rId26" name="cmdConfirmar"/>
      </mc:Fallback>
    </mc:AlternateContent>
    <mc:AlternateContent xmlns:mc="http://schemas.openxmlformats.org/markup-compatibility/2006">
      <mc:Choice Requires="x14">
        <control shapeId="1026" r:id="rId28" name="cmdCancelar">
          <controlPr defaultSize="0" autoLine="0" r:id="rId29">
            <anchor>
              <from>
                <xdr:col>0</xdr:col>
                <xdr:colOff>685800</xdr:colOff>
                <xdr:row>0</xdr:row>
                <xdr:rowOff>333375</xdr:rowOff>
              </from>
              <to>
                <xdr:col>1</xdr:col>
                <xdr:colOff>38100</xdr:colOff>
                <xdr:row>0</xdr:row>
                <xdr:rowOff>600075</xdr:rowOff>
              </to>
            </anchor>
          </controlPr>
        </control>
      </mc:Choice>
      <mc:Fallback>
        <control shapeId="1026" r:id="rId28" name="cmdCancelar"/>
      </mc:Fallback>
    </mc:AlternateContent>
    <mc:AlternateContent xmlns:mc="http://schemas.openxmlformats.org/markup-compatibility/2006">
      <mc:Choice Requires="x14">
        <control shapeId="1029" r:id="rId30" name="cmdLlenarTransfer">
          <controlPr defaultSize="0" autoLine="0" r:id="rId31">
            <anchor>
              <from>
                <xdr:col>25</xdr:col>
                <xdr:colOff>276225</xdr:colOff>
                <xdr:row>0</xdr:row>
                <xdr:rowOff>276225</xdr:rowOff>
              </from>
              <to>
                <xdr:col>27</xdr:col>
                <xdr:colOff>85725</xdr:colOff>
                <xdr:row>0</xdr:row>
                <xdr:rowOff>542925</xdr:rowOff>
              </to>
            </anchor>
          </controlPr>
        </control>
      </mc:Choice>
      <mc:Fallback>
        <control shapeId="1029" r:id="rId30" name="cmdLlenarTransfer"/>
      </mc:Fallback>
    </mc:AlternateContent>
    <mc:AlternateContent xmlns:mc="http://schemas.openxmlformats.org/markup-compatibility/2006">
      <mc:Choice Requires="x14">
        <control shapeId="1031" r:id="rId32" name="cmdBuscaItem">
          <controlPr defaultSize="0" autoLine="0" r:id="rId33">
            <anchor>
              <from>
                <xdr:col>0</xdr:col>
                <xdr:colOff>0</xdr:colOff>
                <xdr:row>0</xdr:row>
                <xdr:rowOff>28575</xdr:rowOff>
              </from>
              <to>
                <xdr:col>0</xdr:col>
                <xdr:colOff>276225</xdr:colOff>
                <xdr:row>0</xdr:row>
                <xdr:rowOff>295275</xdr:rowOff>
              </to>
            </anchor>
          </controlPr>
        </control>
      </mc:Choice>
      <mc:Fallback>
        <control shapeId="1031" r:id="rId32" name="cmdBuscaItem"/>
      </mc:Fallback>
    </mc:AlternateContent>
    <mc:AlternateContent xmlns:mc="http://schemas.openxmlformats.org/markup-compatibility/2006">
      <mc:Choice Requires="x14">
        <control shapeId="1068" r:id="rId34" name="txtBusqueda">
          <controlPr defaultSize="0" autoLine="0" r:id="rId35">
            <anchor>
              <from>
                <xdr:col>1</xdr:col>
                <xdr:colOff>933450</xdr:colOff>
                <xdr:row>0</xdr:row>
                <xdr:rowOff>28575</xdr:rowOff>
              </from>
              <to>
                <xdr:col>1</xdr:col>
                <xdr:colOff>2276475</xdr:colOff>
                <xdr:row>0</xdr:row>
                <xdr:rowOff>314325</xdr:rowOff>
              </to>
            </anchor>
          </controlPr>
        </control>
      </mc:Choice>
      <mc:Fallback>
        <control shapeId="1068" r:id="rId34" name="txtBusqueda"/>
      </mc:Fallback>
    </mc:AlternateContent>
    <mc:AlternateContent xmlns:mc="http://schemas.openxmlformats.org/markup-compatibility/2006">
      <mc:Choice Requires="x14">
        <control shapeId="1069" r:id="rId36" name="cmdQuitaFiltros">
          <controlPr defaultSize="0" autoLine="0" r:id="rId37">
            <anchor>
              <from>
                <xdr:col>1</xdr:col>
                <xdr:colOff>2276475</xdr:colOff>
                <xdr:row>0</xdr:row>
                <xdr:rowOff>28575</xdr:rowOff>
              </from>
              <to>
                <xdr:col>1</xdr:col>
                <xdr:colOff>2505075</xdr:colOff>
                <xdr:row>0</xdr:row>
                <xdr:rowOff>276225</xdr:rowOff>
              </to>
            </anchor>
          </controlPr>
        </control>
      </mc:Choice>
      <mc:Fallback>
        <control shapeId="1069" r:id="rId36" name="cmdQuitaFiltros"/>
      </mc:Fallback>
    </mc:AlternateContent>
    <mc:AlternateContent xmlns:mc="http://schemas.openxmlformats.org/markup-compatibility/2006">
      <mc:Choice Requires="x14">
        <control shapeId="1073" r:id="rId38" name="cmdVistas">
          <controlPr defaultSize="0" autoLine="0" r:id="rId39">
            <anchor>
              <from>
                <xdr:col>0</xdr:col>
                <xdr:colOff>533400</xdr:colOff>
                <xdr:row>0</xdr:row>
                <xdr:rowOff>28575</xdr:rowOff>
              </from>
              <to>
                <xdr:col>0</xdr:col>
                <xdr:colOff>828675</xdr:colOff>
                <xdr:row>0</xdr:row>
                <xdr:rowOff>295275</xdr:rowOff>
              </to>
            </anchor>
          </controlPr>
        </control>
      </mc:Choice>
      <mc:Fallback>
        <control shapeId="1073" r:id="rId38" name="cmdVistas"/>
      </mc:Fallback>
    </mc:AlternateContent>
    <mc:AlternateContent xmlns:mc="http://schemas.openxmlformats.org/markup-compatibility/2006">
      <mc:Choice Requires="x14">
        <control shapeId="1074" r:id="rId40" name="cmdRefrescar">
          <controlPr defaultSize="0" print="0" autoLine="0" r:id="rId41">
            <anchor>
              <from>
                <xdr:col>0</xdr:col>
                <xdr:colOff>828675</xdr:colOff>
                <xdr:row>0</xdr:row>
                <xdr:rowOff>28575</xdr:rowOff>
              </from>
              <to>
                <xdr:col>0</xdr:col>
                <xdr:colOff>1085850</xdr:colOff>
                <xdr:row>0</xdr:row>
                <xdr:rowOff>295275</xdr:rowOff>
              </to>
            </anchor>
          </controlPr>
        </control>
      </mc:Choice>
      <mc:Fallback>
        <control shapeId="1074" r:id="rId40" name="cmdRefrescar"/>
      </mc:Fallback>
    </mc:AlternateContent>
    <mc:AlternateContent xmlns:mc="http://schemas.openxmlformats.org/markup-compatibility/2006">
      <mc:Choice Requires="x14">
        <control shapeId="1082" r:id="rId42" name="cmdCambiarPropiedad">
          <controlPr defaultSize="0" autoLine="0" r:id="rId43">
            <anchor>
              <from>
                <xdr:col>1</xdr:col>
                <xdr:colOff>47625</xdr:colOff>
                <xdr:row>0</xdr:row>
                <xdr:rowOff>333375</xdr:rowOff>
              </from>
              <to>
                <xdr:col>1</xdr:col>
                <xdr:colOff>704850</xdr:colOff>
                <xdr:row>0</xdr:row>
                <xdr:rowOff>600075</xdr:rowOff>
              </to>
            </anchor>
          </controlPr>
        </control>
      </mc:Choice>
      <mc:Fallback>
        <control shapeId="1082" r:id="rId42" name="cmdCambiarPropiedad"/>
      </mc:Fallback>
    </mc:AlternateContent>
  </controls>
  <tableParts count="1">
    <tablePart r:id="rId4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W2"/>
  <sheetViews>
    <sheetView topLeftCell="BK1" workbookViewId="0">
      <selection activeCell="BK2" sqref="BK2"/>
    </sheetView>
  </sheetViews>
  <sheetFormatPr baseColWidth="10" defaultRowHeight="15" x14ac:dyDescent="0.25"/>
  <sheetData>
    <row r="1" spans="1:75" ht="60" x14ac:dyDescent="0.25">
      <c r="A1" s="61" t="s">
        <v>26</v>
      </c>
      <c r="B1" s="48" t="s">
        <v>851</v>
      </c>
      <c r="C1" s="48" t="s">
        <v>909</v>
      </c>
      <c r="D1" s="48" t="s">
        <v>1020</v>
      </c>
      <c r="E1" s="48" t="s">
        <v>892</v>
      </c>
      <c r="F1" s="48" t="s">
        <v>903</v>
      </c>
      <c r="G1" s="48" t="s">
        <v>891</v>
      </c>
      <c r="H1" s="48" t="s">
        <v>884</v>
      </c>
      <c r="I1" s="48" t="s">
        <v>885</v>
      </c>
      <c r="J1" s="48" t="s">
        <v>886</v>
      </c>
      <c r="K1" s="48" t="s">
        <v>887</v>
      </c>
      <c r="L1" s="48" t="s">
        <v>888</v>
      </c>
      <c r="M1" s="48" t="s">
        <v>889</v>
      </c>
      <c r="N1" s="48" t="s">
        <v>890</v>
      </c>
      <c r="O1" s="43" t="s">
        <v>1038</v>
      </c>
      <c r="P1" s="43" t="s">
        <v>18</v>
      </c>
      <c r="Q1" s="43" t="s">
        <v>19</v>
      </c>
      <c r="R1" s="43" t="s">
        <v>10</v>
      </c>
      <c r="S1" s="43" t="s">
        <v>980</v>
      </c>
      <c r="T1" s="43" t="s">
        <v>37</v>
      </c>
      <c r="U1" s="43" t="s">
        <v>38</v>
      </c>
      <c r="V1" s="43" t="s">
        <v>844</v>
      </c>
      <c r="W1" s="43" t="s">
        <v>908</v>
      </c>
      <c r="X1" s="43" t="s">
        <v>1027</v>
      </c>
      <c r="Y1" s="43" t="s">
        <v>1028</v>
      </c>
      <c r="Z1" s="45" t="s">
        <v>8</v>
      </c>
      <c r="AA1" s="45" t="s">
        <v>1149</v>
      </c>
      <c r="AB1" s="45" t="s">
        <v>904</v>
      </c>
      <c r="AC1" s="45" t="s">
        <v>9</v>
      </c>
      <c r="AD1" s="45" t="s">
        <v>977</v>
      </c>
      <c r="AE1" s="45" t="s">
        <v>907</v>
      </c>
      <c r="AF1" s="45" t="s">
        <v>916</v>
      </c>
      <c r="AG1" s="45" t="s">
        <v>917</v>
      </c>
      <c r="AH1" s="45" t="s">
        <v>918</v>
      </c>
      <c r="AI1" s="45" t="s">
        <v>905</v>
      </c>
      <c r="AJ1" s="45" t="s">
        <v>906</v>
      </c>
      <c r="AK1" s="45" t="s">
        <v>913</v>
      </c>
      <c r="AL1" s="45" t="s">
        <v>973</v>
      </c>
      <c r="AM1" s="45" t="s">
        <v>978</v>
      </c>
      <c r="AN1" s="45" t="s">
        <v>910</v>
      </c>
      <c r="AO1" s="45" t="s">
        <v>911</v>
      </c>
      <c r="AP1" s="45" t="s">
        <v>914</v>
      </c>
      <c r="AQ1" s="44" t="s">
        <v>912</v>
      </c>
      <c r="AR1" s="45" t="s">
        <v>974</v>
      </c>
      <c r="AS1" s="45" t="s">
        <v>975</v>
      </c>
      <c r="AT1" s="45" t="s">
        <v>976</v>
      </c>
      <c r="AU1" s="45" t="s">
        <v>979</v>
      </c>
      <c r="AV1" s="44" t="s">
        <v>1039</v>
      </c>
      <c r="AW1" s="44" t="s">
        <v>1040</v>
      </c>
      <c r="AX1" s="52" t="s">
        <v>1374</v>
      </c>
      <c r="AY1" s="52" t="s">
        <v>1375</v>
      </c>
      <c r="AZ1" s="52" t="s">
        <v>1376</v>
      </c>
      <c r="BA1" s="52" t="s">
        <v>1377</v>
      </c>
      <c r="BB1" s="52" t="s">
        <v>1378</v>
      </c>
      <c r="BC1" s="52" t="s">
        <v>1379</v>
      </c>
      <c r="BD1" s="44" t="s">
        <v>11</v>
      </c>
      <c r="BE1" s="44" t="s">
        <v>17</v>
      </c>
      <c r="BF1" s="58" t="s">
        <v>1044</v>
      </c>
      <c r="BG1" s="57" t="s">
        <v>1045</v>
      </c>
      <c r="BH1" s="57" t="s">
        <v>1046</v>
      </c>
      <c r="BI1" s="57" t="s">
        <v>1047</v>
      </c>
      <c r="BJ1" s="57" t="s">
        <v>1048</v>
      </c>
      <c r="BK1" s="57" t="s">
        <v>1049</v>
      </c>
      <c r="BL1" s="44" t="s">
        <v>1050</v>
      </c>
      <c r="BM1" s="45" t="s">
        <v>919</v>
      </c>
      <c r="BN1" s="44" t="s">
        <v>13</v>
      </c>
      <c r="BO1" s="44" t="s">
        <v>14</v>
      </c>
      <c r="BP1" s="40" t="s">
        <v>15</v>
      </c>
      <c r="BQ1" s="39" t="s">
        <v>20</v>
      </c>
      <c r="BR1" s="39" t="s">
        <v>21</v>
      </c>
      <c r="BS1" s="39" t="s">
        <v>22</v>
      </c>
      <c r="BT1" s="42" t="s">
        <v>915</v>
      </c>
      <c r="BU1" s="42" t="s">
        <v>1032</v>
      </c>
      <c r="BV1" s="42" t="s">
        <v>1033</v>
      </c>
      <c r="BW1" s="42" t="s">
        <v>1034</v>
      </c>
    </row>
    <row r="2" spans="1:75" x14ac:dyDescent="0.25">
      <c r="A2" s="54" t="s">
        <v>1370</v>
      </c>
      <c r="B2" s="59"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6" t="str">
        <f ca="1">IFERROR(INDEX(OFFSET(INDIRECT("v_buffer_hist_hoy!$A$1"),1,MATCH("buh_roi_pasado",INDIRECT("v_buffer_hist_hoy!$1:$1"),0)-1,100000,1),MATCH(CLEAN(TABLATRANSFERENCIA[[#This Row],[CODIGO]]),OFFSET(INDIRECT("v_buffer_hist_hoy!$A$1"),1,MATCH("buh_codigo",INDIRECT("v_buffer_hist_hoy!$1:$1"),0)-1,100000,1),0)),"")</f>
        <v/>
      </c>
      <c r="S2" s="46" t="str">
        <f ca="1">IFERROR(INDEX(OFFSET(INDIRECT("v_buffer_hist_hoy!$A$1"),1,MATCH("buh_roi_proyectado",INDIRECT("v_buffer_hist_hoy!$1:$1"),0)-1,100000,1),MATCH(CLEAN(TABLATRANSFERENCIA[[#This Row],[CODIGO]]),OFFSET(INDIRECT("v_buffer_hist_hoy!$A$1"),1,MATCH("buh_codigo",INDIRECT("v_buffer_hist_hoy!$1:$1"),0)-1,100000,1),0)),"")</f>
        <v/>
      </c>
      <c r="T2" s="46" t="str">
        <f ca="1">IFERROR(INDEX(OFFSET(INDIRECT("v_buffer_hist_hoy!$A$1"),1,MATCH("buh_velocity",INDIRECT("v_buffer_hist_hoy!$1:$1"),0)-1,100000,1),MATCH(CLEAN(TABLATRANSFERENCIA[[#This Row],[CODIGO]]),OFFSET(INDIRECT("v_buffer_hist_hoy!$A$1"),1,MATCH("buh_codigo",INDIRECT("v_buffer_hist_hoy!$1:$1"),0)-1,100000,1),0)),"")</f>
        <v/>
      </c>
      <c r="U2" s="46" t="str">
        <f ca="1">IFERROR(INDEX(OFFSET(INDIRECT("v_buffer_hist_hoy!$A$1"),1,MATCH("buh_nivel_servicio",INDIRECT("v_buffer_hist_hoy!$1:$1"),0)-1,100000,1),MATCH(CLEAN(TABLATRANSFERENCIA[[#This Row],[CODIGO]]),OFFSET(INDIRECT("v_buffer_hist_hoy!$A$1"),1,MATCH("buh_codigo",INDIRECT("v_buffer_hist_hoy!$1:$1"),0)-1,100000,1),0)),"")</f>
        <v/>
      </c>
      <c r="V2" s="49" t="str">
        <f ca="1">IFERROR(INDEX(OFFSET(INDIRECT("v_buffer_hist_hoy!$A$1"),1,MATCH("pro_nombre",INDIRECT("v_buffer_hist_hoy!$1:$1"),0)-1,100000,1),MATCH(CLEAN(TABLATRANSFERENCIA[[#This Row],[CODIGO]]),OFFSET(INDIRECT("v_buffer_hist_hoy!$A$1"),1,MATCH("buh_codigo",INDIRECT("v_buffer_hist_hoy!$1:$1"),0)-1,100000,1),0)),"")</f>
        <v/>
      </c>
      <c r="W2" s="49" t="str">
        <f ca="1">IFERROR(INDEX(OFFSET(INDIRECT("v_buffer_hist_hoy!$A$1"),1,MATCH("pre_nombre",INDIRECT("v_buffer_hist_hoy!$1:$1"),0)-1,100000,1),MATCH(CLEAN(TABLATRANSFERENCIA[[#This Row],[CODIGO]]),OFFSET(INDIRECT("v_buffer_hist_hoy!$A$1"),1,MATCH("buh_codigo",INDIRECT("v_buffer_hist_hoy!$1:$1"),0)-1,100000,1),0)),"")</f>
        <v/>
      </c>
      <c r="X2" s="51" t="str">
        <f ca="1">IFERROR(INDEX(OFFSET(INDIRECT("v_buffer_hist_hoy!$A$1"),1,MATCH("buh_tiempo_suministro",INDIRECT("v_buffer_hist_hoy!$1:$1"),0)-1,100000,1),MATCH(CLEAN(TABLATRANSFERENCIA[[#This Row],[CODIGO]]),OFFSET(INDIRECT("v_buffer_hist_hoy!$A$1"),1,MATCH("buh_codigo",INDIRECT("v_buffer_hist_hoy!$1:$1"),0)-1,100000,1),0)),"")</f>
        <v/>
      </c>
      <c r="Y2" s="51" t="str">
        <f ca="1">IFERROR(INDEX(OFFSET(INDIRECT("v_buffer_hist_hoy!$A$1"),1,MATCH("buh_frecuencia_reposicion",INDIRECT("v_buffer_hist_hoy!$1:$1"),0)-1,100000,1),MATCH(CLEAN(TABLATRANSFERENCIA[[#This Row],[CODIGO]]),OFFSET(INDIRECT("v_buffer_hist_hoy!$A$1"),1,MATCH("buh_codigo",INDIRECT("v_buffer_hist_hoy!$1:$1"),0)-1,100000,1),0)),"")</f>
        <v/>
      </c>
      <c r="Z2" s="51" t="str">
        <f ca="1">IFERROR(INDEX(OFFSET(INDIRECT("v_buffer_hist_hoy!$A$1"),1,MATCH("buh_buffer_actual",INDIRECT("v_buffer_hist_hoy!$1:$1"),0)-1,100000,1),MATCH(CLEAN(TABLATRANSFERENCIA[[#This Row],[CODIGO]]),OFFSET(INDIRECT("v_buffer_hist_hoy!$A$1"),1,MATCH("buh_codigo",INDIRECT("v_buffer_hist_hoy!$1:$1"),0)-1,100000,1),0)),"")</f>
        <v/>
      </c>
      <c r="AA2" s="51"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6" t="str">
        <f ca="1">IFERROR(INDEX(OFFSET(INDIRECT("v_buffer_hist_hoy!$A$1"),1,MATCH("buh_ultima_transferencia_ini",INDIRECT("v_buffer_hist_hoy!$1:$1"),0)-1,100000,1),MATCH(CLEAN(TABLATRANSFERENCIA[[#This Row],[CODIGO]]),OFFSET(INDIRECT("v_buffer_hist_hoy!$A$1"),1,MATCH("buh_codigo",INDIRECT("v_buffer_hist_hoy!$1:$1"),0)-1,100000,1),0)),"")</f>
        <v/>
      </c>
      <c r="AW2" s="56"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50">
        <v>3</v>
      </c>
      <c r="BE2" s="55">
        <v>3</v>
      </c>
      <c r="BF2" s="51"/>
      <c r="BG2" s="51">
        <f>IF(RIGHT(XXYY[[#Headers],[Emb1]],1)*1&lt;=XXYY[[#This Row],[EMBARQUES]],IF(ISBLANK(XXYY[[#This Row],[EMBARQUES]]),XXYY[[#This Row],[REQUERIM]],ROUND(XXYY[[#This Row],[REQUERIM]]/XXYY[[#This Row],[EMBARQUES]],0)),XXYY[[#This Row],[REQUERIM]])</f>
        <v>3</v>
      </c>
      <c r="BH2" s="51">
        <f>IF(RIGHT(XXYY[[#Headers],[Emb2]],1)*1&lt;XXYY[[#This Row],[EMBARQUES]],ROUND(XXYY[[#This Row],[REQUERIM]]/XXYY[[#This Row],[EMBARQUES]],0),IF(RIGHT(XXYY[[#Headers],[Emb2]],1)*1=XXYY[[#This Row],[EMBARQUES]],XXYY[[#This Row],[REQUERIM]]-SUM(XXYY[[#This Row],[Emb1]]),0))</f>
        <v>0</v>
      </c>
      <c r="BI2" s="51">
        <f>IF(RIGHT(XXYY[[#Headers],[Emb3]],1)*1&lt;XXYY[[#This Row],[EMBARQUES]],ROUND(XXYY[[#This Row],[REQUERIM]]/XXYY[[#This Row],[EMBARQUES]],0),IF(RIGHT(XXYY[[#Headers],[Emb3]],1)*1=XXYY[[#This Row],[EMBARQUES]],XXYY[[#This Row],[REQUERIM]]-SUM(XXYY[[#This Row],[Emb1]:[Emb2]]),0))</f>
        <v>0</v>
      </c>
      <c r="BJ2" s="51">
        <f>IF(RIGHT(XXYY[[#Headers],[Emb4]],1)*1&lt;XXYY[[#This Row],[EMBARQUES]],ROUND(XXYY[[#This Row],[REQUERIM]]/XXYY[[#This Row],[EMBARQUES]],0),IF(RIGHT(XXYY[[#Headers],[Emb4]],1)*1=XXYY[[#This Row],[EMBARQUES]],XXYY[[#This Row],[REQUERIM]]-SUM(XXYY[[#This Row],[Emb1]:[Emb3]]),0))</f>
        <v>0</v>
      </c>
      <c r="BK2" s="51">
        <f>IF(RIGHT(XXYY[[#Headers],[Emb5]],1)*1&lt;XXYY[[#This Row],[EMBARQUES]],ROUND(XXYY[[#This Row],[REQUERIM]]/XXYY[[#This Row],[EMBARQUES]],0),IF(RIGHT(XXYY[[#Headers],[Emb5]],1)*1=XXYY[[#This Row],[EMBARQUES]],XXYY[[#This Row],[REQUERIM]]-SUM(XXYY[[#This Row],[Emb1]:[Emb4]]),0))</f>
        <v>0</v>
      </c>
      <c r="BL2" s="51"/>
      <c r="BM2" s="46">
        <f ca="1">IFERROR(XXYY[[#This Row],[REQUERIM]]/XXYY[[#This Row],[PEDIDO PROMEDIO]],0)</f>
        <v>0</v>
      </c>
      <c r="BN2" s="51"/>
      <c r="BO2" s="60"/>
      <c r="BP2" s="3">
        <f>IF(XXYY[[#This Row],[RECIBIDO]]&lt;&gt;"",0,IF(XXYY[[#This Row],[DESPACHO]]&lt;&gt;"",XXYY[[#This Row],[DESPACHO]],XXYY[[#This Row],[REQUERIM]]))</f>
        <v>3</v>
      </c>
      <c r="BQ2" s="50"/>
      <c r="BR2" s="50"/>
      <c r="BS2" s="50" t="str">
        <f>"N"</f>
        <v>N</v>
      </c>
      <c r="BT2" s="51">
        <f t="array" aca="1" ref="BT2" ca="1">IF(SUM(--(XXYY[[#This Row],[CODIGO GENERICO]]=XXYY[CODIGO GENERICO])*XXYY[REQUERIM])&lt;XXYY[[#This Row],[PEDIDO MIN GRUPO]],1,0)</f>
        <v>1</v>
      </c>
      <c r="BU2" s="51"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51" t="str">
        <f ca="1">IFERROR(INDEX(OFFSET(INDIRECT("v_buffer_hist_hoy!$A$1"),1,MATCH("buh_zona_amarilla",INDIRECT("v_buffer_hist_hoy!$1:$1"),0)-1,100000,1),MATCH(CLEAN(TABLATRANSFERENCIA[[#This Row],[CODIGO]]),OFFSET(INDIRECT("v_buffer_hist_hoy!$A$1"),1,MATCH("buh_codigo",INDIRECT("v_buffer_hist_hoy!$1:$1"),0)-1,100000,1),0)),"")</f>
        <v/>
      </c>
      <c r="BW2" s="51" t="str">
        <f ca="1">IFERROR(INDEX(OFFSET(INDIRECT("v_buffer_hist_hoy!$A$1"),1,MATCH("buh_zona_roja",INDIRECT("v_buffer_hist_hoy!$1:$1"),0)-1,100000,1),MATCH(CLEAN(TABLATRANSFERENCIA[[#This Row],[CODIGO]]),OFFSET(INDIRECT("v_buffer_hist_hoy!$A$1"),1,MATCH("buh_codigo",INDIRECT("v_buffer_hist_hoy!$1:$1"),0)-1,100000,1),0)),"")</f>
        <v/>
      </c>
    </row>
  </sheetData>
  <conditionalFormatting sqref="BN2:BO2">
    <cfRule type="expression" dxfId="21" priority="15">
      <formula>ISBLANK(BN2)</formula>
    </cfRule>
  </conditionalFormatting>
  <conditionalFormatting sqref="AK2 AB2">
    <cfRule type="expression" dxfId="20" priority="9">
      <formula>AD2="G"</formula>
    </cfRule>
    <cfRule type="expression" dxfId="19" priority="10">
      <formula>AD2="L"</formula>
    </cfRule>
    <cfRule type="expression" dxfId="18" priority="11">
      <formula>AD2="V"</formula>
    </cfRule>
    <cfRule type="expression" dxfId="17" priority="12">
      <formula>AD2="A"</formula>
    </cfRule>
    <cfRule type="expression" dxfId="16" priority="13">
      <formula>AD2="N"</formula>
    </cfRule>
    <cfRule type="expression" dxfId="15" priority="14">
      <formula>AD2="R"</formula>
    </cfRule>
  </conditionalFormatting>
  <conditionalFormatting sqref="BR2">
    <cfRule type="expression" dxfId="14" priority="16">
      <formula>AND(ISNUMBER($BO2),$BN2&lt;&gt;$BO2)</formula>
    </cfRule>
  </conditionalFormatting>
  <conditionalFormatting sqref="AO2">
    <cfRule type="expression" dxfId="13" priority="8">
      <formula>$BT2=1</formula>
    </cfRule>
  </conditionalFormatting>
  <conditionalFormatting sqref="BD2">
    <cfRule type="expression" dxfId="12" priority="2">
      <formula>$BU2="N"</formula>
    </cfRule>
    <cfRule type="expression" dxfId="11" priority="3">
      <formula>$BU2="R"</formula>
    </cfRule>
    <cfRule type="expression" dxfId="10" priority="4">
      <formula>$BU2="A"</formula>
    </cfRule>
    <cfRule type="expression" dxfId="9" priority="5">
      <formula>$BU2="L"</formula>
    </cfRule>
    <cfRule type="expression" dxfId="8" priority="6">
      <formula>$BU2="V"</formula>
    </cfRule>
    <cfRule type="expression" dxfId="7" priority="7">
      <formula>$BU2="G"</formula>
    </cfRule>
  </conditionalFormatting>
  <conditionalFormatting sqref="BQ2">
    <cfRule type="expression" dxfId="6" priority="17">
      <formula>AND(ISNUMBER($BN2),$BD2&lt;&gt;$BN2)</formula>
    </cfRule>
  </conditionalFormatting>
  <conditionalFormatting sqref="AV2">
    <cfRule type="expression" dxfId="5"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3"/>
  <sheetViews>
    <sheetView workbookViewId="0">
      <selection activeCell="A2" sqref="A2"/>
    </sheetView>
  </sheetViews>
  <sheetFormatPr baseColWidth="10" defaultRowHeight="15" x14ac:dyDescent="0.25"/>
  <sheetData>
    <row r="1" spans="1:1" x14ac:dyDescent="0.25">
      <c r="A1" t="s">
        <v>1051</v>
      </c>
    </row>
    <row r="3" spans="1:1" x14ac:dyDescent="0.25">
      <c r="A3">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881</v>
      </c>
      <c r="Q1" t="s">
        <v>969</v>
      </c>
      <c r="R1" t="s">
        <v>970</v>
      </c>
      <c r="T1" t="s">
        <v>969</v>
      </c>
      <c r="U1" t="s">
        <v>970</v>
      </c>
      <c r="V1" t="s">
        <v>971</v>
      </c>
      <c r="W1" t="s">
        <v>972</v>
      </c>
    </row>
    <row r="2" spans="1:23" x14ac:dyDescent="0.25">
      <c r="E2" s="3"/>
      <c r="L2" s="41"/>
      <c r="M2" s="41"/>
      <c r="N2" s="41"/>
      <c r="Q2" t="s">
        <v>1024</v>
      </c>
      <c r="R2" t="s">
        <v>1148</v>
      </c>
      <c r="T2" t="s">
        <v>1024</v>
      </c>
      <c r="U2" t="s">
        <v>1148</v>
      </c>
      <c r="V2" t="s">
        <v>1152</v>
      </c>
      <c r="W2" t="s">
        <v>1153</v>
      </c>
    </row>
    <row r="3" spans="1:23" x14ac:dyDescent="0.25">
      <c r="Q3" t="s">
        <v>1150</v>
      </c>
      <c r="R3" t="s">
        <v>1151</v>
      </c>
      <c r="T3" t="s">
        <v>1024</v>
      </c>
      <c r="U3" t="s">
        <v>1148</v>
      </c>
      <c r="V3" t="s">
        <v>1154</v>
      </c>
      <c r="W3" t="s">
        <v>1155</v>
      </c>
    </row>
    <row r="4" spans="1:23" x14ac:dyDescent="0.25">
      <c r="T4" t="s">
        <v>1024</v>
      </c>
      <c r="U4" t="s">
        <v>1148</v>
      </c>
      <c r="V4" t="s">
        <v>1156</v>
      </c>
      <c r="W4" t="s">
        <v>1157</v>
      </c>
    </row>
    <row r="5" spans="1:23" x14ac:dyDescent="0.25">
      <c r="T5" t="s">
        <v>1024</v>
      </c>
      <c r="U5" t="s">
        <v>1148</v>
      </c>
      <c r="V5" t="s">
        <v>1158</v>
      </c>
      <c r="W5" t="s">
        <v>1159</v>
      </c>
    </row>
    <row r="6" spans="1:23" x14ac:dyDescent="0.25">
      <c r="T6" t="s">
        <v>1024</v>
      </c>
      <c r="U6" t="s">
        <v>1148</v>
      </c>
      <c r="V6" t="s">
        <v>1160</v>
      </c>
      <c r="W6" t="s">
        <v>1161</v>
      </c>
    </row>
    <row r="7" spans="1:23" x14ac:dyDescent="0.25">
      <c r="T7" t="s">
        <v>1024</v>
      </c>
      <c r="U7" t="s">
        <v>1148</v>
      </c>
      <c r="V7" t="s">
        <v>1162</v>
      </c>
      <c r="W7" t="s">
        <v>1163</v>
      </c>
    </row>
    <row r="8" spans="1:23" x14ac:dyDescent="0.25">
      <c r="D8" s="41"/>
      <c r="T8" t="s">
        <v>1024</v>
      </c>
      <c r="U8" t="s">
        <v>1148</v>
      </c>
      <c r="V8" t="s">
        <v>1164</v>
      </c>
      <c r="W8" t="s">
        <v>1165</v>
      </c>
    </row>
    <row r="9" spans="1:23" x14ac:dyDescent="0.25">
      <c r="T9" t="s">
        <v>1024</v>
      </c>
      <c r="U9" t="s">
        <v>1148</v>
      </c>
      <c r="V9" t="s">
        <v>1166</v>
      </c>
      <c r="W9" t="s">
        <v>1167</v>
      </c>
    </row>
    <row r="10" spans="1:23" x14ac:dyDescent="0.25">
      <c r="T10" t="s">
        <v>1024</v>
      </c>
      <c r="U10" t="s">
        <v>1148</v>
      </c>
      <c r="V10" t="s">
        <v>1168</v>
      </c>
      <c r="W10" t="s">
        <v>1169</v>
      </c>
    </row>
    <row r="11" spans="1:23" x14ac:dyDescent="0.25">
      <c r="T11" t="s">
        <v>1024</v>
      </c>
      <c r="U11" t="s">
        <v>1148</v>
      </c>
      <c r="V11" t="s">
        <v>1170</v>
      </c>
      <c r="W11" t="s">
        <v>1171</v>
      </c>
    </row>
    <row r="12" spans="1:23" x14ac:dyDescent="0.25">
      <c r="T12" t="s">
        <v>1024</v>
      </c>
      <c r="U12" t="s">
        <v>1148</v>
      </c>
      <c r="V12" t="s">
        <v>1172</v>
      </c>
      <c r="W12" t="s">
        <v>1173</v>
      </c>
    </row>
    <row r="13" spans="1:23" x14ac:dyDescent="0.25">
      <c r="T13" t="s">
        <v>1024</v>
      </c>
      <c r="U13" t="s">
        <v>1148</v>
      </c>
      <c r="V13" t="s">
        <v>1174</v>
      </c>
      <c r="W13" t="s">
        <v>1175</v>
      </c>
    </row>
    <row r="14" spans="1:23" x14ac:dyDescent="0.25">
      <c r="T14" t="s">
        <v>1024</v>
      </c>
      <c r="U14" t="s">
        <v>1148</v>
      </c>
      <c r="V14" t="s">
        <v>1176</v>
      </c>
      <c r="W14" t="s">
        <v>1177</v>
      </c>
    </row>
    <row r="15" spans="1:23" x14ac:dyDescent="0.25">
      <c r="T15" t="s">
        <v>1024</v>
      </c>
      <c r="U15" t="s">
        <v>1148</v>
      </c>
      <c r="V15" t="s">
        <v>1178</v>
      </c>
      <c r="W15" t="s">
        <v>1179</v>
      </c>
    </row>
    <row r="16" spans="1:23" x14ac:dyDescent="0.25">
      <c r="T16" t="s">
        <v>1024</v>
      </c>
      <c r="U16" t="s">
        <v>1148</v>
      </c>
      <c r="V16" t="s">
        <v>1180</v>
      </c>
      <c r="W16" t="s">
        <v>1181</v>
      </c>
    </row>
    <row r="17" spans="6:23" x14ac:dyDescent="0.25">
      <c r="T17" t="s">
        <v>1024</v>
      </c>
      <c r="U17" t="s">
        <v>1148</v>
      </c>
      <c r="V17" t="s">
        <v>1182</v>
      </c>
      <c r="W17" t="s">
        <v>1183</v>
      </c>
    </row>
    <row r="18" spans="6:23" x14ac:dyDescent="0.25">
      <c r="T18" t="s">
        <v>1024</v>
      </c>
      <c r="U18" t="s">
        <v>1148</v>
      </c>
      <c r="V18" t="s">
        <v>1184</v>
      </c>
      <c r="W18" t="s">
        <v>1185</v>
      </c>
    </row>
    <row r="19" spans="6:23" x14ac:dyDescent="0.25">
      <c r="T19" t="s">
        <v>1024</v>
      </c>
      <c r="U19" t="s">
        <v>1148</v>
      </c>
      <c r="V19" t="s">
        <v>1186</v>
      </c>
      <c r="W19" t="s">
        <v>1187</v>
      </c>
    </row>
    <row r="20" spans="6:23" x14ac:dyDescent="0.25">
      <c r="T20" t="s">
        <v>1024</v>
      </c>
      <c r="U20" t="s">
        <v>1148</v>
      </c>
      <c r="V20" t="s">
        <v>1188</v>
      </c>
      <c r="W20" t="s">
        <v>1189</v>
      </c>
    </row>
    <row r="21" spans="6:23" x14ac:dyDescent="0.25">
      <c r="T21" t="s">
        <v>1024</v>
      </c>
      <c r="U21" t="s">
        <v>1148</v>
      </c>
      <c r="V21" t="s">
        <v>1190</v>
      </c>
      <c r="W21" t="s">
        <v>1191</v>
      </c>
    </row>
    <row r="22" spans="6:23" x14ac:dyDescent="0.25">
      <c r="T22" t="s">
        <v>1024</v>
      </c>
      <c r="U22" t="s">
        <v>1148</v>
      </c>
      <c r="V22" t="s">
        <v>1192</v>
      </c>
      <c r="W22" t="s">
        <v>1193</v>
      </c>
    </row>
    <row r="23" spans="6:23" x14ac:dyDescent="0.25">
      <c r="T23" t="s">
        <v>1024</v>
      </c>
      <c r="U23" t="s">
        <v>1148</v>
      </c>
      <c r="V23" t="s">
        <v>1194</v>
      </c>
      <c r="W23" t="s">
        <v>1195</v>
      </c>
    </row>
    <row r="24" spans="6:23" x14ac:dyDescent="0.25">
      <c r="T24" t="s">
        <v>1024</v>
      </c>
      <c r="U24" t="s">
        <v>1148</v>
      </c>
      <c r="V24" t="s">
        <v>1196</v>
      </c>
      <c r="W24" t="s">
        <v>1197</v>
      </c>
    </row>
    <row r="25" spans="6:23" x14ac:dyDescent="0.25">
      <c r="F25" s="41"/>
      <c r="T25" t="s">
        <v>1024</v>
      </c>
      <c r="U25" t="s">
        <v>1148</v>
      </c>
      <c r="V25" t="s">
        <v>1198</v>
      </c>
      <c r="W25" t="s">
        <v>1199</v>
      </c>
    </row>
    <row r="26" spans="6:23" x14ac:dyDescent="0.25">
      <c r="T26" t="s">
        <v>1024</v>
      </c>
      <c r="U26" t="s">
        <v>1148</v>
      </c>
      <c r="V26" t="s">
        <v>1200</v>
      </c>
      <c r="W26" t="s">
        <v>1201</v>
      </c>
    </row>
    <row r="27" spans="6:23" x14ac:dyDescent="0.25">
      <c r="T27" t="s">
        <v>1024</v>
      </c>
      <c r="U27" t="s">
        <v>1148</v>
      </c>
      <c r="V27" t="s">
        <v>1202</v>
      </c>
      <c r="W27" t="s">
        <v>1203</v>
      </c>
    </row>
    <row r="28" spans="6:23" x14ac:dyDescent="0.25">
      <c r="T28" t="s">
        <v>1024</v>
      </c>
      <c r="U28" t="s">
        <v>1148</v>
      </c>
      <c r="V28" t="s">
        <v>1204</v>
      </c>
      <c r="W28" t="s">
        <v>1205</v>
      </c>
    </row>
    <row r="29" spans="6:23" x14ac:dyDescent="0.25">
      <c r="T29" t="s">
        <v>1024</v>
      </c>
      <c r="U29" t="s">
        <v>1148</v>
      </c>
      <c r="V29" t="s">
        <v>1206</v>
      </c>
      <c r="W29" t="s">
        <v>612</v>
      </c>
    </row>
    <row r="30" spans="6:23" x14ac:dyDescent="0.25">
      <c r="T30" t="s">
        <v>1024</v>
      </c>
      <c r="U30" t="s">
        <v>1148</v>
      </c>
      <c r="V30" t="s">
        <v>1207</v>
      </c>
      <c r="W30" t="s">
        <v>1208</v>
      </c>
    </row>
    <row r="31" spans="6:23" x14ac:dyDescent="0.25">
      <c r="T31" t="s">
        <v>1024</v>
      </c>
      <c r="U31" t="s">
        <v>1148</v>
      </c>
      <c r="V31" t="s">
        <v>1209</v>
      </c>
      <c r="W31" t="s">
        <v>1210</v>
      </c>
    </row>
    <row r="32" spans="6:23" x14ac:dyDescent="0.25">
      <c r="T32" t="s">
        <v>1024</v>
      </c>
      <c r="U32" t="s">
        <v>1148</v>
      </c>
      <c r="V32" t="s">
        <v>1211</v>
      </c>
      <c r="W32" t="s">
        <v>1212</v>
      </c>
    </row>
    <row r="33" spans="20:23" x14ac:dyDescent="0.25">
      <c r="T33" t="s">
        <v>1024</v>
      </c>
      <c r="U33" t="s">
        <v>1148</v>
      </c>
      <c r="V33" t="s">
        <v>1213</v>
      </c>
      <c r="W33" t="s">
        <v>1214</v>
      </c>
    </row>
    <row r="34" spans="20:23" x14ac:dyDescent="0.25">
      <c r="T34" t="s">
        <v>1024</v>
      </c>
      <c r="U34" t="s">
        <v>1148</v>
      </c>
      <c r="V34" t="s">
        <v>1215</v>
      </c>
      <c r="W34" t="s">
        <v>1216</v>
      </c>
    </row>
    <row r="35" spans="20:23" x14ac:dyDescent="0.25">
      <c r="T35" t="s">
        <v>1024</v>
      </c>
      <c r="U35" t="s">
        <v>1148</v>
      </c>
      <c r="V35" t="s">
        <v>1217</v>
      </c>
      <c r="W35" t="s">
        <v>1218</v>
      </c>
    </row>
    <row r="36" spans="20:23" x14ac:dyDescent="0.25">
      <c r="T36" t="s">
        <v>1024</v>
      </c>
      <c r="U36" t="s">
        <v>1148</v>
      </c>
      <c r="V36" t="s">
        <v>1219</v>
      </c>
      <c r="W36" t="s">
        <v>1220</v>
      </c>
    </row>
    <row r="37" spans="20:23" x14ac:dyDescent="0.25">
      <c r="T37" t="s">
        <v>1024</v>
      </c>
      <c r="U37" t="s">
        <v>1148</v>
      </c>
      <c r="V37" t="s">
        <v>1221</v>
      </c>
      <c r="W37" t="s">
        <v>1222</v>
      </c>
    </row>
    <row r="38" spans="20:23" x14ac:dyDescent="0.25">
      <c r="T38" t="s">
        <v>1024</v>
      </c>
      <c r="U38" t="s">
        <v>1148</v>
      </c>
      <c r="V38" t="s">
        <v>1223</v>
      </c>
      <c r="W38" t="s">
        <v>1224</v>
      </c>
    </row>
    <row r="39" spans="20:23" x14ac:dyDescent="0.25">
      <c r="T39" t="s">
        <v>1024</v>
      </c>
      <c r="U39" t="s">
        <v>1148</v>
      </c>
      <c r="V39" t="s">
        <v>1225</v>
      </c>
      <c r="W39" t="s">
        <v>1226</v>
      </c>
    </row>
    <row r="40" spans="20:23" x14ac:dyDescent="0.25">
      <c r="T40" t="s">
        <v>1024</v>
      </c>
      <c r="U40" t="s">
        <v>1148</v>
      </c>
      <c r="V40" t="s">
        <v>1227</v>
      </c>
      <c r="W40" t="s">
        <v>1228</v>
      </c>
    </row>
    <row r="41" spans="20:23" x14ac:dyDescent="0.25">
      <c r="T41" t="s">
        <v>1024</v>
      </c>
      <c r="U41" t="s">
        <v>1148</v>
      </c>
      <c r="V41" t="s">
        <v>1229</v>
      </c>
      <c r="W41" t="s">
        <v>1230</v>
      </c>
    </row>
    <row r="42" spans="20:23" x14ac:dyDescent="0.25">
      <c r="T42" t="s">
        <v>1024</v>
      </c>
      <c r="U42" t="s">
        <v>1148</v>
      </c>
      <c r="V42" t="s">
        <v>1231</v>
      </c>
      <c r="W42" t="s">
        <v>1232</v>
      </c>
    </row>
    <row r="43" spans="20:23" x14ac:dyDescent="0.25">
      <c r="T43" t="s">
        <v>1024</v>
      </c>
      <c r="U43" t="s">
        <v>1148</v>
      </c>
      <c r="V43" t="s">
        <v>1233</v>
      </c>
      <c r="W43" t="s">
        <v>1234</v>
      </c>
    </row>
    <row r="44" spans="20:23" x14ac:dyDescent="0.25">
      <c r="T44" t="s">
        <v>1024</v>
      </c>
      <c r="U44" t="s">
        <v>1148</v>
      </c>
      <c r="V44" t="s">
        <v>1235</v>
      </c>
      <c r="W44" t="s">
        <v>1236</v>
      </c>
    </row>
    <row r="45" spans="20:23" x14ac:dyDescent="0.25">
      <c r="T45" t="s">
        <v>1024</v>
      </c>
      <c r="U45" t="s">
        <v>1148</v>
      </c>
      <c r="V45" t="s">
        <v>1237</v>
      </c>
      <c r="W45" t="s">
        <v>1238</v>
      </c>
    </row>
    <row r="46" spans="20:23" x14ac:dyDescent="0.25">
      <c r="T46" t="s">
        <v>1024</v>
      </c>
      <c r="U46" t="s">
        <v>1148</v>
      </c>
      <c r="V46" t="s">
        <v>1239</v>
      </c>
      <c r="W46" t="s">
        <v>1240</v>
      </c>
    </row>
    <row r="47" spans="20:23" x14ac:dyDescent="0.25">
      <c r="T47" t="s">
        <v>1024</v>
      </c>
      <c r="U47" t="s">
        <v>1148</v>
      </c>
      <c r="V47" t="s">
        <v>1241</v>
      </c>
      <c r="W47" t="s">
        <v>1242</v>
      </c>
    </row>
    <row r="48" spans="20:23" x14ac:dyDescent="0.25">
      <c r="T48" t="s">
        <v>1024</v>
      </c>
      <c r="U48" t="s">
        <v>1148</v>
      </c>
      <c r="V48" t="s">
        <v>1243</v>
      </c>
      <c r="W48" t="s">
        <v>1244</v>
      </c>
    </row>
    <row r="49" spans="20:23" x14ac:dyDescent="0.25">
      <c r="T49" t="s">
        <v>1024</v>
      </c>
      <c r="U49" t="s">
        <v>1148</v>
      </c>
      <c r="V49" t="s">
        <v>1245</v>
      </c>
      <c r="W49" t="s">
        <v>1246</v>
      </c>
    </row>
    <row r="50" spans="20:23" x14ac:dyDescent="0.25">
      <c r="T50" t="s">
        <v>1024</v>
      </c>
      <c r="U50" t="s">
        <v>1148</v>
      </c>
      <c r="V50" t="s">
        <v>1247</v>
      </c>
      <c r="W50" t="s">
        <v>1248</v>
      </c>
    </row>
    <row r="51" spans="20:23" x14ac:dyDescent="0.25">
      <c r="T51" t="s">
        <v>1024</v>
      </c>
      <c r="U51" t="s">
        <v>1148</v>
      </c>
      <c r="V51" t="s">
        <v>1249</v>
      </c>
      <c r="W51" t="s">
        <v>1250</v>
      </c>
    </row>
    <row r="52" spans="20:23" x14ac:dyDescent="0.25">
      <c r="T52" t="s">
        <v>1024</v>
      </c>
      <c r="U52" t="s">
        <v>1148</v>
      </c>
      <c r="V52" t="s">
        <v>1251</v>
      </c>
      <c r="W52" t="s">
        <v>1252</v>
      </c>
    </row>
    <row r="53" spans="20:23" x14ac:dyDescent="0.25">
      <c r="T53" t="s">
        <v>1024</v>
      </c>
      <c r="U53" t="s">
        <v>1148</v>
      </c>
      <c r="V53" t="s">
        <v>1253</v>
      </c>
      <c r="W53" t="s">
        <v>1254</v>
      </c>
    </row>
    <row r="54" spans="20:23" x14ac:dyDescent="0.25">
      <c r="T54" t="s">
        <v>1024</v>
      </c>
      <c r="U54" t="s">
        <v>1148</v>
      </c>
      <c r="V54" t="s">
        <v>1255</v>
      </c>
      <c r="W54" t="s">
        <v>1256</v>
      </c>
    </row>
    <row r="55" spans="20:23" x14ac:dyDescent="0.25">
      <c r="T55" t="s">
        <v>1024</v>
      </c>
      <c r="U55" t="s">
        <v>1148</v>
      </c>
      <c r="V55" t="s">
        <v>1257</v>
      </c>
      <c r="W55" t="s">
        <v>1258</v>
      </c>
    </row>
    <row r="56" spans="20:23" x14ac:dyDescent="0.25">
      <c r="T56" t="s">
        <v>1024</v>
      </c>
      <c r="U56" t="s">
        <v>1148</v>
      </c>
      <c r="V56" t="s">
        <v>1259</v>
      </c>
      <c r="W56" t="s">
        <v>1260</v>
      </c>
    </row>
    <row r="57" spans="20:23" x14ac:dyDescent="0.25">
      <c r="T57" t="s">
        <v>1024</v>
      </c>
      <c r="U57" t="s">
        <v>1148</v>
      </c>
      <c r="V57" t="s">
        <v>1261</v>
      </c>
      <c r="W57" t="s">
        <v>1262</v>
      </c>
    </row>
    <row r="58" spans="20:23" x14ac:dyDescent="0.25">
      <c r="T58" t="s">
        <v>1024</v>
      </c>
      <c r="U58" t="s">
        <v>1148</v>
      </c>
      <c r="V58" t="s">
        <v>1263</v>
      </c>
      <c r="W58" t="s">
        <v>1264</v>
      </c>
    </row>
    <row r="59" spans="20:23" x14ac:dyDescent="0.25">
      <c r="T59" t="s">
        <v>1024</v>
      </c>
      <c r="U59" t="s">
        <v>1148</v>
      </c>
      <c r="V59" t="s">
        <v>1265</v>
      </c>
      <c r="W59" t="s">
        <v>1266</v>
      </c>
    </row>
    <row r="60" spans="20:23" x14ac:dyDescent="0.25">
      <c r="T60" t="s">
        <v>1024</v>
      </c>
      <c r="U60" t="s">
        <v>1148</v>
      </c>
      <c r="V60" t="s">
        <v>1267</v>
      </c>
      <c r="W60" t="s">
        <v>1268</v>
      </c>
    </row>
    <row r="61" spans="20:23" x14ac:dyDescent="0.25">
      <c r="T61" t="s">
        <v>1024</v>
      </c>
      <c r="U61" t="s">
        <v>1148</v>
      </c>
      <c r="V61" t="s">
        <v>1269</v>
      </c>
      <c r="W61" t="s">
        <v>1270</v>
      </c>
    </row>
    <row r="62" spans="20:23" x14ac:dyDescent="0.25">
      <c r="T62" t="s">
        <v>1024</v>
      </c>
      <c r="U62" t="s">
        <v>1148</v>
      </c>
      <c r="V62" t="s">
        <v>1271</v>
      </c>
      <c r="W62" t="s">
        <v>1272</v>
      </c>
    </row>
    <row r="63" spans="20:23" x14ac:dyDescent="0.25">
      <c r="T63" t="s">
        <v>1024</v>
      </c>
      <c r="U63" t="s">
        <v>1148</v>
      </c>
      <c r="V63" t="s">
        <v>1273</v>
      </c>
      <c r="W63" t="s">
        <v>1274</v>
      </c>
    </row>
    <row r="64" spans="20:23" x14ac:dyDescent="0.25">
      <c r="T64" t="s">
        <v>1024</v>
      </c>
      <c r="U64" t="s">
        <v>1148</v>
      </c>
      <c r="V64" t="s">
        <v>1275</v>
      </c>
      <c r="W64" t="s">
        <v>1276</v>
      </c>
    </row>
    <row r="65" spans="20:23" x14ac:dyDescent="0.25">
      <c r="T65" t="s">
        <v>1024</v>
      </c>
      <c r="U65" t="s">
        <v>1148</v>
      </c>
      <c r="V65" t="s">
        <v>1277</v>
      </c>
      <c r="W65" t="s">
        <v>1278</v>
      </c>
    </row>
    <row r="66" spans="20:23" x14ac:dyDescent="0.25">
      <c r="T66" t="s">
        <v>1024</v>
      </c>
      <c r="U66" t="s">
        <v>1148</v>
      </c>
      <c r="V66" t="s">
        <v>1279</v>
      </c>
      <c r="W66" t="s">
        <v>1280</v>
      </c>
    </row>
    <row r="67" spans="20:23" x14ac:dyDescent="0.25">
      <c r="T67" t="s">
        <v>1024</v>
      </c>
      <c r="U67" t="s">
        <v>1148</v>
      </c>
      <c r="V67" t="s">
        <v>1281</v>
      </c>
      <c r="W67" t="s">
        <v>1282</v>
      </c>
    </row>
    <row r="68" spans="20:23" x14ac:dyDescent="0.25">
      <c r="T68" t="s">
        <v>1024</v>
      </c>
      <c r="U68" t="s">
        <v>1148</v>
      </c>
      <c r="V68" t="s">
        <v>1283</v>
      </c>
      <c r="W68" t="s">
        <v>1284</v>
      </c>
    </row>
    <row r="69" spans="20:23" x14ac:dyDescent="0.25">
      <c r="T69" t="s">
        <v>1024</v>
      </c>
      <c r="U69" t="s">
        <v>1148</v>
      </c>
      <c r="V69" t="s">
        <v>1285</v>
      </c>
      <c r="W69" t="s">
        <v>1286</v>
      </c>
    </row>
    <row r="70" spans="20:23" x14ac:dyDescent="0.25">
      <c r="T70" t="s">
        <v>1024</v>
      </c>
      <c r="U70" t="s">
        <v>1148</v>
      </c>
      <c r="V70" t="s">
        <v>1287</v>
      </c>
      <c r="W70" t="s">
        <v>1288</v>
      </c>
    </row>
    <row r="71" spans="20:23" x14ac:dyDescent="0.25">
      <c r="T71" t="s">
        <v>1024</v>
      </c>
      <c r="U71" t="s">
        <v>1148</v>
      </c>
      <c r="V71" t="s">
        <v>1289</v>
      </c>
      <c r="W71" t="s">
        <v>1290</v>
      </c>
    </row>
    <row r="72" spans="20:23" x14ac:dyDescent="0.25">
      <c r="T72" t="s">
        <v>1024</v>
      </c>
      <c r="U72" t="s">
        <v>1148</v>
      </c>
      <c r="V72" t="s">
        <v>1291</v>
      </c>
      <c r="W72" t="s">
        <v>1292</v>
      </c>
    </row>
    <row r="73" spans="20:23" x14ac:dyDescent="0.25">
      <c r="T73" t="s">
        <v>1024</v>
      </c>
      <c r="U73" t="s">
        <v>1148</v>
      </c>
      <c r="V73" t="s">
        <v>1293</v>
      </c>
      <c r="W73" t="s">
        <v>1294</v>
      </c>
    </row>
    <row r="74" spans="20:23" x14ac:dyDescent="0.25">
      <c r="T74" t="s">
        <v>1024</v>
      </c>
      <c r="U74" t="s">
        <v>1148</v>
      </c>
      <c r="V74" t="s">
        <v>1295</v>
      </c>
      <c r="W74" t="s">
        <v>1296</v>
      </c>
    </row>
    <row r="75" spans="20:23" x14ac:dyDescent="0.25">
      <c r="T75" t="s">
        <v>1024</v>
      </c>
      <c r="U75" t="s">
        <v>1148</v>
      </c>
      <c r="V75" t="s">
        <v>1297</v>
      </c>
      <c r="W75" t="s">
        <v>1298</v>
      </c>
    </row>
    <row r="76" spans="20:23" x14ac:dyDescent="0.25">
      <c r="T76" t="s">
        <v>1024</v>
      </c>
      <c r="U76" t="s">
        <v>1148</v>
      </c>
      <c r="V76" t="s">
        <v>1299</v>
      </c>
      <c r="W76" t="s">
        <v>1300</v>
      </c>
    </row>
    <row r="77" spans="20:23" x14ac:dyDescent="0.25">
      <c r="T77" t="s">
        <v>1024</v>
      </c>
      <c r="U77" t="s">
        <v>1148</v>
      </c>
      <c r="V77" t="s">
        <v>1301</v>
      </c>
      <c r="W77" t="s">
        <v>1302</v>
      </c>
    </row>
    <row r="78" spans="20:23" x14ac:dyDescent="0.25">
      <c r="T78" t="s">
        <v>1024</v>
      </c>
      <c r="U78" t="s">
        <v>1148</v>
      </c>
      <c r="V78" t="s">
        <v>1303</v>
      </c>
      <c r="W78" t="s">
        <v>1304</v>
      </c>
    </row>
    <row r="79" spans="20:23" x14ac:dyDescent="0.25">
      <c r="T79" t="s">
        <v>1024</v>
      </c>
      <c r="U79" t="s">
        <v>1148</v>
      </c>
      <c r="V79" t="s">
        <v>1305</v>
      </c>
      <c r="W79" t="s">
        <v>1306</v>
      </c>
    </row>
    <row r="80" spans="20:23" x14ac:dyDescent="0.25">
      <c r="T80" t="s">
        <v>1024</v>
      </c>
      <c r="U80" t="s">
        <v>1148</v>
      </c>
      <c r="V80" t="s">
        <v>1307</v>
      </c>
      <c r="W80" t="s">
        <v>1308</v>
      </c>
    </row>
    <row r="81" spans="20:23" x14ac:dyDescent="0.25">
      <c r="T81" t="s">
        <v>1024</v>
      </c>
      <c r="U81" t="s">
        <v>1148</v>
      </c>
      <c r="V81" t="s">
        <v>1309</v>
      </c>
      <c r="W81" t="s">
        <v>1310</v>
      </c>
    </row>
    <row r="82" spans="20:23" x14ac:dyDescent="0.25">
      <c r="T82" t="s">
        <v>1024</v>
      </c>
      <c r="U82" t="s">
        <v>1148</v>
      </c>
      <c r="V82" t="s">
        <v>1311</v>
      </c>
      <c r="W82" t="s">
        <v>1312</v>
      </c>
    </row>
    <row r="83" spans="20:23" x14ac:dyDescent="0.25">
      <c r="T83" t="s">
        <v>1024</v>
      </c>
      <c r="U83" t="s">
        <v>1148</v>
      </c>
      <c r="V83" t="s">
        <v>1313</v>
      </c>
      <c r="W83" t="s">
        <v>1314</v>
      </c>
    </row>
    <row r="84" spans="20:23" x14ac:dyDescent="0.25">
      <c r="T84" t="s">
        <v>1024</v>
      </c>
      <c r="U84" t="s">
        <v>1148</v>
      </c>
      <c r="V84" t="s">
        <v>1315</v>
      </c>
      <c r="W84" t="s">
        <v>1316</v>
      </c>
    </row>
    <row r="85" spans="20:23" x14ac:dyDescent="0.25">
      <c r="T85" t="s">
        <v>1024</v>
      </c>
      <c r="U85" t="s">
        <v>1148</v>
      </c>
      <c r="V85" t="s">
        <v>1317</v>
      </c>
      <c r="W85" t="s">
        <v>1318</v>
      </c>
    </row>
    <row r="86" spans="20:23" x14ac:dyDescent="0.25">
      <c r="T86" t="s">
        <v>1024</v>
      </c>
      <c r="U86" t="s">
        <v>1148</v>
      </c>
      <c r="V86" t="s">
        <v>1319</v>
      </c>
      <c r="W86" t="s">
        <v>1320</v>
      </c>
    </row>
    <row r="87" spans="20:23" x14ac:dyDescent="0.25">
      <c r="T87" t="s">
        <v>1024</v>
      </c>
      <c r="U87" t="s">
        <v>1148</v>
      </c>
      <c r="V87" t="s">
        <v>1321</v>
      </c>
      <c r="W87" t="s">
        <v>1322</v>
      </c>
    </row>
    <row r="88" spans="20:23" x14ac:dyDescent="0.25">
      <c r="T88" t="s">
        <v>1024</v>
      </c>
      <c r="U88" t="s">
        <v>1148</v>
      </c>
      <c r="V88" t="s">
        <v>1323</v>
      </c>
      <c r="W88" t="s">
        <v>1324</v>
      </c>
    </row>
    <row r="89" spans="20:23" x14ac:dyDescent="0.25">
      <c r="T89" t="s">
        <v>1024</v>
      </c>
      <c r="U89" t="s">
        <v>1148</v>
      </c>
      <c r="V89" t="s">
        <v>1325</v>
      </c>
      <c r="W89" t="s">
        <v>1326</v>
      </c>
    </row>
    <row r="90" spans="20:23" x14ac:dyDescent="0.25">
      <c r="T90" t="s">
        <v>1024</v>
      </c>
      <c r="U90" t="s">
        <v>1148</v>
      </c>
      <c r="V90" t="s">
        <v>1327</v>
      </c>
      <c r="W90" t="s">
        <v>1328</v>
      </c>
    </row>
    <row r="91" spans="20:23" x14ac:dyDescent="0.25">
      <c r="T91" t="s">
        <v>1024</v>
      </c>
      <c r="U91" t="s">
        <v>1148</v>
      </c>
      <c r="V91" t="s">
        <v>1147</v>
      </c>
      <c r="W91" t="s">
        <v>1147</v>
      </c>
    </row>
    <row r="92" spans="20:23" x14ac:dyDescent="0.25">
      <c r="T92" t="s">
        <v>1150</v>
      </c>
      <c r="U92" t="s">
        <v>1151</v>
      </c>
      <c r="V92" t="s">
        <v>1329</v>
      </c>
      <c r="W92" t="s">
        <v>1330</v>
      </c>
    </row>
    <row r="93" spans="20:23" x14ac:dyDescent="0.25">
      <c r="T93" t="s">
        <v>1150</v>
      </c>
      <c r="U93" t="s">
        <v>1151</v>
      </c>
      <c r="V93" t="s">
        <v>1331</v>
      </c>
      <c r="W93" t="s">
        <v>1332</v>
      </c>
    </row>
    <row r="94" spans="20:23" x14ac:dyDescent="0.25">
      <c r="T94" t="s">
        <v>1150</v>
      </c>
      <c r="U94" t="s">
        <v>1151</v>
      </c>
      <c r="V94" t="s">
        <v>1333</v>
      </c>
      <c r="W94" t="s">
        <v>1334</v>
      </c>
    </row>
    <row r="95" spans="20:23" x14ac:dyDescent="0.25">
      <c r="T95" t="s">
        <v>1150</v>
      </c>
      <c r="U95" t="s">
        <v>1151</v>
      </c>
      <c r="V95" t="s">
        <v>1335</v>
      </c>
      <c r="W95" t="s">
        <v>1336</v>
      </c>
    </row>
    <row r="96" spans="20:23" x14ac:dyDescent="0.25">
      <c r="T96" t="s">
        <v>1150</v>
      </c>
      <c r="U96" t="s">
        <v>1151</v>
      </c>
      <c r="V96" t="s">
        <v>1337</v>
      </c>
      <c r="W96" t="s">
        <v>1338</v>
      </c>
    </row>
    <row r="97" spans="20:23" x14ac:dyDescent="0.25">
      <c r="T97" t="s">
        <v>1150</v>
      </c>
      <c r="U97" t="s">
        <v>1151</v>
      </c>
      <c r="V97" t="s">
        <v>1339</v>
      </c>
      <c r="W97" t="s">
        <v>1340</v>
      </c>
    </row>
    <row r="98" spans="20:23" x14ac:dyDescent="0.25">
      <c r="T98" t="s">
        <v>1150</v>
      </c>
      <c r="U98" t="s">
        <v>1151</v>
      </c>
      <c r="V98" t="s">
        <v>1341</v>
      </c>
      <c r="W98" t="s">
        <v>1342</v>
      </c>
    </row>
    <row r="99" spans="20:23" x14ac:dyDescent="0.25">
      <c r="T99" t="s">
        <v>1150</v>
      </c>
      <c r="U99" t="s">
        <v>1151</v>
      </c>
      <c r="V99" t="s">
        <v>1343</v>
      </c>
      <c r="W99" t="s">
        <v>1344</v>
      </c>
    </row>
    <row r="100" spans="20:23" x14ac:dyDescent="0.25">
      <c r="T100" t="s">
        <v>1150</v>
      </c>
      <c r="U100" t="s">
        <v>1151</v>
      </c>
      <c r="V100" t="s">
        <v>1345</v>
      </c>
      <c r="W100" t="s">
        <v>1346</v>
      </c>
    </row>
    <row r="101" spans="20:23" x14ac:dyDescent="0.25">
      <c r="T101" t="s">
        <v>1150</v>
      </c>
      <c r="U101" t="s">
        <v>1151</v>
      </c>
      <c r="V101" t="s">
        <v>1347</v>
      </c>
      <c r="W101" t="s">
        <v>1348</v>
      </c>
    </row>
    <row r="102" spans="20:23" x14ac:dyDescent="0.25">
      <c r="T102" t="s">
        <v>1150</v>
      </c>
      <c r="U102" t="s">
        <v>1151</v>
      </c>
      <c r="V102" t="s">
        <v>1349</v>
      </c>
      <c r="W102" t="s">
        <v>1350</v>
      </c>
    </row>
    <row r="103" spans="20:23" x14ac:dyDescent="0.25">
      <c r="T103" t="s">
        <v>1150</v>
      </c>
      <c r="U103" t="s">
        <v>1151</v>
      </c>
      <c r="V103" t="s">
        <v>1351</v>
      </c>
      <c r="W103" t="s">
        <v>1352</v>
      </c>
    </row>
    <row r="104" spans="20:23" x14ac:dyDescent="0.25">
      <c r="T104" t="s">
        <v>1150</v>
      </c>
      <c r="U104" t="s">
        <v>1151</v>
      </c>
      <c r="V104" t="s">
        <v>1353</v>
      </c>
      <c r="W104" t="s">
        <v>1354</v>
      </c>
    </row>
    <row r="105" spans="20:23" x14ac:dyDescent="0.25">
      <c r="T105" t="s">
        <v>1150</v>
      </c>
      <c r="U105" t="s">
        <v>1151</v>
      </c>
      <c r="V105" t="s">
        <v>1355</v>
      </c>
      <c r="W105" t="s">
        <v>1356</v>
      </c>
    </row>
    <row r="106" spans="20:23" x14ac:dyDescent="0.25">
      <c r="T106" t="s">
        <v>1150</v>
      </c>
      <c r="U106" t="s">
        <v>1151</v>
      </c>
      <c r="V106" t="s">
        <v>1357</v>
      </c>
      <c r="W106" t="s">
        <v>1358</v>
      </c>
    </row>
    <row r="107" spans="20:23" x14ac:dyDescent="0.25">
      <c r="T107" t="s">
        <v>1150</v>
      </c>
      <c r="U107" t="s">
        <v>1151</v>
      </c>
      <c r="V107" t="s">
        <v>1359</v>
      </c>
      <c r="W107" t="s">
        <v>1360</v>
      </c>
    </row>
    <row r="108" spans="20:23" x14ac:dyDescent="0.25">
      <c r="T108" t="s">
        <v>1150</v>
      </c>
      <c r="U108" t="s">
        <v>1151</v>
      </c>
      <c r="V108" t="s">
        <v>1361</v>
      </c>
      <c r="W108" t="s">
        <v>1362</v>
      </c>
    </row>
    <row r="109" spans="20:23" x14ac:dyDescent="0.25">
      <c r="T109" t="s">
        <v>1150</v>
      </c>
      <c r="U109" t="s">
        <v>1151</v>
      </c>
      <c r="V109" t="s">
        <v>1363</v>
      </c>
      <c r="W109" t="s">
        <v>1364</v>
      </c>
    </row>
    <row r="110" spans="20:23" x14ac:dyDescent="0.25">
      <c r="T110" t="s">
        <v>1150</v>
      </c>
      <c r="U110" t="s">
        <v>1151</v>
      </c>
      <c r="V110" t="s">
        <v>1365</v>
      </c>
      <c r="W110" t="s">
        <v>1366</v>
      </c>
    </row>
    <row r="111" spans="20:23" x14ac:dyDescent="0.25">
      <c r="T111" t="s">
        <v>1150</v>
      </c>
      <c r="U111" t="s">
        <v>1151</v>
      </c>
      <c r="V111" t="s">
        <v>1367</v>
      </c>
      <c r="W111" t="s">
        <v>1368</v>
      </c>
    </row>
  </sheetData>
  <pageMargins left="0.7" right="0.7" top="0.75" bottom="0.75" header="0.3" footer="0.3"/>
  <pageSetup orientation="portrait" r:id="rId1"/>
  <tableParts count="5">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17-2-2017</v>
      </c>
    </row>
    <row r="2" spans="1:1" x14ac:dyDescent="0.25">
      <c r="A2" t="str">
        <f ca="1">CELL("nombrearchivo",A1)</f>
        <v>D:\Documents RAMCAS\RAM CAS\MEJORA CONTINUA\CONTROL DE BUFFERS\TRANSFERENCIAS\[PATRON TRANSFERENCIAS.xlsm]DATOS</v>
      </c>
    </row>
    <row r="3" spans="1:1" x14ac:dyDescent="0.25">
      <c r="A3" t="str">
        <f ca="1">LEFT(SUBSTITUTE(SUBSTITUTE(A2,"[",""),"]",""),FIND("xlsm",SUBSTITUTE(SUBSTITUTE(A2,"[",""),"]",""),1)+3)</f>
        <v>D:\Documents RAMCAS\RAM CAS\MEJORA CONTINUA\CONTROL DE BUFFERS\TRANSFERENCIAS\PATRON TRANSFERENCIAS.xlsm</v>
      </c>
    </row>
    <row r="6" spans="1:1" x14ac:dyDescent="0.25">
      <c r="A6" t="s">
        <v>30</v>
      </c>
    </row>
    <row r="7" spans="1:1" x14ac:dyDescent="0.25">
      <c r="A7" t="s">
        <v>1388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844</v>
      </c>
    </row>
    <row r="2" spans="1:21" x14ac:dyDescent="0.25">
      <c r="A2" t="s">
        <v>854</v>
      </c>
      <c r="B2" t="s">
        <v>855</v>
      </c>
      <c r="C2" t="s">
        <v>856</v>
      </c>
      <c r="D2" t="s">
        <v>852</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857</v>
      </c>
      <c r="C3" t="s">
        <v>858</v>
      </c>
      <c r="D3" t="s">
        <v>852</v>
      </c>
      <c r="E3">
        <v>10</v>
      </c>
      <c r="F3">
        <v>229.81200000000001</v>
      </c>
      <c r="G3">
        <v>464</v>
      </c>
      <c r="H3">
        <v>20</v>
      </c>
      <c r="I3">
        <v>0.9</v>
      </c>
      <c r="J3">
        <v>0.73</v>
      </c>
      <c r="K3">
        <v>0</v>
      </c>
      <c r="L3">
        <v>0.46969699999999998</v>
      </c>
      <c r="M3">
        <v>7</v>
      </c>
      <c r="N3">
        <v>7</v>
      </c>
      <c r="O3">
        <v>7</v>
      </c>
      <c r="P3">
        <v>7</v>
      </c>
      <c r="Q3">
        <v>0</v>
      </c>
      <c r="T3" t="s">
        <v>838</v>
      </c>
    </row>
    <row r="4" spans="1:21" x14ac:dyDescent="0.25">
      <c r="A4" t="s">
        <v>859</v>
      </c>
      <c r="B4" t="s">
        <v>860</v>
      </c>
      <c r="C4" t="s">
        <v>858</v>
      </c>
      <c r="D4" t="s">
        <v>852</v>
      </c>
      <c r="E4">
        <v>8</v>
      </c>
      <c r="F4">
        <v>378.37759999999997</v>
      </c>
      <c r="G4">
        <v>780</v>
      </c>
      <c r="H4">
        <v>15</v>
      </c>
      <c r="I4">
        <v>0.87</v>
      </c>
      <c r="J4">
        <v>0.33</v>
      </c>
      <c r="K4">
        <v>0</v>
      </c>
      <c r="L4">
        <v>1</v>
      </c>
      <c r="M4">
        <v>5</v>
      </c>
      <c r="N4">
        <v>5</v>
      </c>
      <c r="O4">
        <v>5</v>
      </c>
      <c r="P4">
        <v>5</v>
      </c>
      <c r="Q4">
        <v>0</v>
      </c>
      <c r="T4" t="s">
        <v>838</v>
      </c>
    </row>
    <row r="5" spans="1:21" x14ac:dyDescent="0.25">
      <c r="A5" t="s">
        <v>39</v>
      </c>
      <c r="B5" t="s">
        <v>861</v>
      </c>
      <c r="C5" t="s">
        <v>856</v>
      </c>
      <c r="D5" t="s">
        <v>852</v>
      </c>
      <c r="E5">
        <v>290</v>
      </c>
      <c r="F5">
        <v>324.18680000000001</v>
      </c>
      <c r="G5">
        <v>795</v>
      </c>
      <c r="H5">
        <v>650</v>
      </c>
      <c r="I5">
        <v>0.78</v>
      </c>
      <c r="J5">
        <v>1.27</v>
      </c>
      <c r="K5">
        <v>0</v>
      </c>
      <c r="L5">
        <v>0.46803099999999997</v>
      </c>
      <c r="M5">
        <v>207</v>
      </c>
      <c r="N5">
        <v>207</v>
      </c>
      <c r="O5">
        <v>207</v>
      </c>
      <c r="P5">
        <v>207</v>
      </c>
      <c r="Q5">
        <v>0</v>
      </c>
      <c r="T5" t="s">
        <v>838</v>
      </c>
    </row>
    <row r="6" spans="1:21" x14ac:dyDescent="0.25">
      <c r="A6" t="s">
        <v>862</v>
      </c>
      <c r="B6" t="s">
        <v>863</v>
      </c>
      <c r="C6" t="s">
        <v>864</v>
      </c>
      <c r="D6" t="s">
        <v>852</v>
      </c>
      <c r="E6">
        <v>37</v>
      </c>
      <c r="F6">
        <v>372.49869999999999</v>
      </c>
      <c r="G6">
        <v>624</v>
      </c>
      <c r="H6">
        <v>80</v>
      </c>
      <c r="I6">
        <v>0.76</v>
      </c>
      <c r="J6">
        <v>0.19</v>
      </c>
      <c r="K6">
        <v>0</v>
      </c>
      <c r="L6">
        <v>0.52694600000000003</v>
      </c>
      <c r="M6">
        <v>31</v>
      </c>
      <c r="N6">
        <v>31</v>
      </c>
      <c r="O6">
        <v>31</v>
      </c>
      <c r="P6">
        <v>31</v>
      </c>
      <c r="Q6">
        <v>0</v>
      </c>
      <c r="T6" t="s">
        <v>838</v>
      </c>
    </row>
    <row r="7" spans="1:21" x14ac:dyDescent="0.25">
      <c r="A7" t="s">
        <v>865</v>
      </c>
      <c r="B7" t="s">
        <v>866</v>
      </c>
      <c r="C7" t="s">
        <v>853</v>
      </c>
      <c r="D7" t="s">
        <v>852</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867</v>
      </c>
      <c r="C8" t="s">
        <v>868</v>
      </c>
      <c r="D8" t="s">
        <v>852</v>
      </c>
      <c r="E8">
        <v>48</v>
      </c>
      <c r="F8">
        <v>379.2577</v>
      </c>
      <c r="G8">
        <v>774</v>
      </c>
      <c r="H8">
        <v>105</v>
      </c>
      <c r="I8">
        <v>0.7</v>
      </c>
      <c r="J8">
        <v>0.83</v>
      </c>
      <c r="K8">
        <v>0</v>
      </c>
      <c r="L8">
        <v>0.31236900000000001</v>
      </c>
      <c r="M8">
        <v>6</v>
      </c>
      <c r="N8">
        <v>6</v>
      </c>
      <c r="O8">
        <v>6</v>
      </c>
      <c r="P8">
        <v>6</v>
      </c>
      <c r="Q8">
        <v>0</v>
      </c>
      <c r="T8" t="s">
        <v>838</v>
      </c>
    </row>
    <row r="9" spans="1:21" x14ac:dyDescent="0.25">
      <c r="A9" t="s">
        <v>869</v>
      </c>
      <c r="B9" t="s">
        <v>870</v>
      </c>
      <c r="C9" t="s">
        <v>871</v>
      </c>
      <c r="D9" t="s">
        <v>852</v>
      </c>
      <c r="E9">
        <v>2</v>
      </c>
      <c r="F9">
        <v>2.16</v>
      </c>
      <c r="G9">
        <v>4.13</v>
      </c>
      <c r="H9">
        <v>3</v>
      </c>
      <c r="I9">
        <v>0.67</v>
      </c>
      <c r="J9">
        <v>0.51</v>
      </c>
      <c r="K9">
        <v>0</v>
      </c>
      <c r="L9">
        <v>1</v>
      </c>
      <c r="M9">
        <v>2</v>
      </c>
      <c r="N9">
        <v>2</v>
      </c>
      <c r="O9">
        <v>2</v>
      </c>
      <c r="P9">
        <v>2</v>
      </c>
      <c r="Q9">
        <v>0</v>
      </c>
      <c r="T9" t="s">
        <v>838</v>
      </c>
    </row>
    <row r="10" spans="1:21" x14ac:dyDescent="0.25">
      <c r="A10" t="s">
        <v>872</v>
      </c>
      <c r="B10" t="s">
        <v>873</v>
      </c>
      <c r="C10" t="s">
        <v>853</v>
      </c>
      <c r="D10" t="s">
        <v>852</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874</v>
      </c>
      <c r="C11" t="s">
        <v>875</v>
      </c>
      <c r="D11" t="s">
        <v>852</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876</v>
      </c>
      <c r="B12" t="s">
        <v>877</v>
      </c>
      <c r="C12" t="s">
        <v>878</v>
      </c>
      <c r="D12" t="s">
        <v>852</v>
      </c>
      <c r="E12">
        <v>2</v>
      </c>
      <c r="F12">
        <v>20.21</v>
      </c>
      <c r="G12">
        <v>117</v>
      </c>
      <c r="H12">
        <v>2</v>
      </c>
      <c r="I12">
        <v>0.5</v>
      </c>
      <c r="J12">
        <v>0.86</v>
      </c>
      <c r="K12">
        <v>0</v>
      </c>
      <c r="L12">
        <v>1</v>
      </c>
      <c r="M12">
        <v>1</v>
      </c>
      <c r="N12">
        <v>1</v>
      </c>
      <c r="O12">
        <v>1</v>
      </c>
      <c r="P12">
        <v>1</v>
      </c>
      <c r="Q12">
        <v>0</v>
      </c>
      <c r="T12" t="s">
        <v>838</v>
      </c>
    </row>
    <row r="13" spans="1:21" x14ac:dyDescent="0.25">
      <c r="A13" t="s">
        <v>879</v>
      </c>
      <c r="B13" t="s">
        <v>880</v>
      </c>
      <c r="C13" t="s">
        <v>856</v>
      </c>
      <c r="D13" t="s">
        <v>852</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1051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849</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849</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849</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847</v>
      </c>
      <c r="B742" t="s">
        <v>620</v>
      </c>
    </row>
    <row r="743" spans="1:2" x14ac:dyDescent="0.25">
      <c r="A743" t="s">
        <v>846</v>
      </c>
      <c r="B743" t="s">
        <v>612</v>
      </c>
    </row>
    <row r="744" spans="1:2" x14ac:dyDescent="0.25">
      <c r="A744" t="s">
        <v>845</v>
      </c>
      <c r="B744" t="s">
        <v>618</v>
      </c>
    </row>
    <row r="745" spans="1:2" x14ac:dyDescent="0.25">
      <c r="A745" t="s">
        <v>848</v>
      </c>
      <c r="B745" t="s">
        <v>616</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882</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Hay errores de pedido mínimo.</v>
      </c>
    </row>
    <row r="3" spans="1:4" x14ac:dyDescent="0.25">
      <c r="A3" t="s">
        <v>883</v>
      </c>
    </row>
    <row r="4" spans="1:4" x14ac:dyDescent="0.25">
      <c r="A4" t="s">
        <v>968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C10" sqref="C10"/>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841</v>
      </c>
      <c r="B1" s="1"/>
      <c r="C1" s="1"/>
    </row>
    <row r="2" spans="1:4" x14ac:dyDescent="0.25">
      <c r="A2" t="s">
        <v>842</v>
      </c>
      <c r="B2" t="str">
        <f>EMPRESA</f>
        <v>Clínica Kennedy</v>
      </c>
    </row>
    <row r="3" spans="1:4" x14ac:dyDescent="0.25">
      <c r="A3" t="s">
        <v>843</v>
      </c>
      <c r="B3" s="12">
        <f ca="1">TODAY()</f>
        <v>42783</v>
      </c>
    </row>
    <row r="5" spans="1:4" x14ac:dyDescent="0.25">
      <c r="A5" s="2" t="s">
        <v>839</v>
      </c>
      <c r="B5" s="14" t="s">
        <v>840</v>
      </c>
      <c r="C5" s="2" t="s">
        <v>28</v>
      </c>
      <c r="D5" s="2" t="s">
        <v>850</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5" r:id="rId4" name="cmdImprimir">
          <controlPr defaultSize="0" print="0" disabled="1" autoLine="0" r:id="rId5">
            <anchor>
              <from>
                <xdr:col>3</xdr:col>
                <xdr:colOff>76200</xdr:colOff>
                <xdr:row>1</xdr:row>
                <xdr:rowOff>76200</xdr:rowOff>
              </from>
              <to>
                <xdr:col>4</xdr:col>
                <xdr:colOff>47625</xdr:colOff>
                <xdr:row>2</xdr:row>
                <xdr:rowOff>152400</xdr:rowOff>
              </to>
            </anchor>
          </controlPr>
        </control>
      </mc:Choice>
      <mc:Fallback>
        <control shapeId="3075" r:id="rId4" name="cmdImprimir"/>
      </mc:Fallback>
    </mc:AlternateContent>
    <mc:AlternateContent xmlns:mc="http://schemas.openxmlformats.org/markup-compatibility/2006">
      <mc:Choice Requires="x14">
        <control shapeId="3073" r:id="rId6" name="cmdVolver">
          <controlPr defaultSize="0" print="0" autoLine="0" r:id="rId7">
            <anchor>
              <from>
                <xdr:col>3</xdr:col>
                <xdr:colOff>76200</xdr:colOff>
                <xdr:row>0</xdr:row>
                <xdr:rowOff>19050</xdr:rowOff>
              </from>
              <to>
                <xdr:col>4</xdr:col>
                <xdr:colOff>47625</xdr:colOff>
                <xdr:row>1</xdr:row>
                <xdr:rowOff>85725</xdr:rowOff>
              </to>
            </anchor>
          </controlPr>
        </control>
      </mc:Choice>
      <mc:Fallback>
        <control shapeId="3073" r:id="rId6" name="cmdVolver"/>
      </mc:Fallback>
    </mc:AlternateContent>
  </controls>
  <tableParts count="1">
    <tablePart r:id="rId8"/>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26</v>
      </c>
      <c r="B1" s="15" t="s">
        <v>851</v>
      </c>
    </row>
    <row r="2" spans="1:2" x14ac:dyDescent="0.25">
      <c r="A2" s="16" t="str">
        <f>"=**"</f>
        <v>=**</v>
      </c>
      <c r="B2" s="15"/>
    </row>
    <row r="3" spans="1:2" x14ac:dyDescent="0.25">
      <c r="A3" s="15"/>
      <c r="B3" s="16" t="str">
        <f>"=**"</f>
        <v>=**</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1017</v>
      </c>
      <c r="B1" t="s">
        <v>920</v>
      </c>
      <c r="C1" t="s">
        <v>921</v>
      </c>
      <c r="D1" t="s">
        <v>922</v>
      </c>
      <c r="E1" t="s">
        <v>923</v>
      </c>
      <c r="F1" t="s">
        <v>924</v>
      </c>
      <c r="G1" t="s">
        <v>925</v>
      </c>
      <c r="H1" t="s">
        <v>926</v>
      </c>
      <c r="I1" t="s">
        <v>927</v>
      </c>
      <c r="J1" t="s">
        <v>928</v>
      </c>
      <c r="K1" t="s">
        <v>929</v>
      </c>
      <c r="L1" t="s">
        <v>930</v>
      </c>
      <c r="M1" t="s">
        <v>931</v>
      </c>
      <c r="N1" t="s">
        <v>932</v>
      </c>
      <c r="O1" t="s">
        <v>933</v>
      </c>
      <c r="P1" t="s">
        <v>934</v>
      </c>
      <c r="Q1" t="s">
        <v>935</v>
      </c>
      <c r="R1" t="s">
        <v>936</v>
      </c>
      <c r="S1" t="s">
        <v>937</v>
      </c>
      <c r="T1" t="s">
        <v>938</v>
      </c>
      <c r="U1" t="s">
        <v>939</v>
      </c>
      <c r="V1" t="s">
        <v>940</v>
      </c>
      <c r="W1" t="s">
        <v>941</v>
      </c>
      <c r="X1" t="s">
        <v>942</v>
      </c>
      <c r="Y1" t="s">
        <v>943</v>
      </c>
      <c r="Z1" t="s">
        <v>944</v>
      </c>
      <c r="AA1" t="s">
        <v>945</v>
      </c>
      <c r="AB1" t="s">
        <v>946</v>
      </c>
      <c r="AC1" t="s">
        <v>947</v>
      </c>
      <c r="AD1" t="s">
        <v>948</v>
      </c>
      <c r="AE1" t="s">
        <v>949</v>
      </c>
      <c r="AF1" t="s">
        <v>950</v>
      </c>
      <c r="AG1" t="s">
        <v>951</v>
      </c>
      <c r="AH1" t="s">
        <v>952</v>
      </c>
      <c r="AI1" t="s">
        <v>953</v>
      </c>
      <c r="AJ1" t="s">
        <v>954</v>
      </c>
      <c r="AK1" t="s">
        <v>955</v>
      </c>
      <c r="AL1" t="s">
        <v>956</v>
      </c>
      <c r="AM1" t="s">
        <v>957</v>
      </c>
      <c r="AN1" t="s">
        <v>958</v>
      </c>
      <c r="AO1" t="s">
        <v>959</v>
      </c>
      <c r="AP1" t="s">
        <v>960</v>
      </c>
      <c r="AQ1" t="s">
        <v>961</v>
      </c>
      <c r="AR1" t="s">
        <v>967</v>
      </c>
      <c r="AS1" t="s">
        <v>981</v>
      </c>
      <c r="AT1" t="s">
        <v>982</v>
      </c>
      <c r="AU1" t="s">
        <v>983</v>
      </c>
      <c r="AV1" t="s">
        <v>984</v>
      </c>
      <c r="AW1" t="s">
        <v>985</v>
      </c>
      <c r="AX1" t="s">
        <v>986</v>
      </c>
      <c r="AY1" t="s">
        <v>987</v>
      </c>
      <c r="AZ1" t="s">
        <v>988</v>
      </c>
      <c r="BA1" t="s">
        <v>989</v>
      </c>
      <c r="BB1" t="s">
        <v>990</v>
      </c>
      <c r="BC1" t="s">
        <v>991</v>
      </c>
      <c r="BD1" t="s">
        <v>992</v>
      </c>
      <c r="BE1" t="s">
        <v>993</v>
      </c>
      <c r="BF1" t="s">
        <v>994</v>
      </c>
      <c r="BG1" t="s">
        <v>995</v>
      </c>
      <c r="BH1" t="s">
        <v>996</v>
      </c>
      <c r="BI1" t="s">
        <v>997</v>
      </c>
      <c r="BJ1" t="s">
        <v>998</v>
      </c>
      <c r="BK1" t="s">
        <v>999</v>
      </c>
      <c r="BL1" t="s">
        <v>1000</v>
      </c>
      <c r="BM1" t="s">
        <v>1001</v>
      </c>
      <c r="BN1" t="s">
        <v>1002</v>
      </c>
      <c r="BO1" t="s">
        <v>1003</v>
      </c>
      <c r="BP1" t="s">
        <v>1004</v>
      </c>
      <c r="BQ1" t="s">
        <v>1005</v>
      </c>
      <c r="BR1" t="s">
        <v>1006</v>
      </c>
      <c r="BS1" t="s">
        <v>1007</v>
      </c>
      <c r="BT1" t="s">
        <v>1008</v>
      </c>
      <c r="BU1" t="s">
        <v>1009</v>
      </c>
      <c r="BV1" t="s">
        <v>1010</v>
      </c>
      <c r="BW1" t="s">
        <v>1011</v>
      </c>
      <c r="BX1" t="s">
        <v>1012</v>
      </c>
      <c r="BY1" t="s">
        <v>1013</v>
      </c>
      <c r="BZ1" t="s">
        <v>1014</v>
      </c>
      <c r="CA1" t="s">
        <v>1029</v>
      </c>
      <c r="CB1" t="s">
        <v>1030</v>
      </c>
      <c r="CC1" t="s">
        <v>1031</v>
      </c>
      <c r="CD1" t="s">
        <v>1041</v>
      </c>
      <c r="CE1" t="s">
        <v>1042</v>
      </c>
      <c r="CF1" t="s">
        <v>1043</v>
      </c>
      <c r="CG1" t="s">
        <v>893</v>
      </c>
      <c r="CH1" t="s">
        <v>970</v>
      </c>
      <c r="CI1" t="s">
        <v>972</v>
      </c>
      <c r="CJ1" t="s">
        <v>1018</v>
      </c>
      <c r="CK1" t="s">
        <v>894</v>
      </c>
      <c r="CL1" t="s">
        <v>895</v>
      </c>
      <c r="CM1" t="s">
        <v>896</v>
      </c>
      <c r="CN1" t="s">
        <v>897</v>
      </c>
      <c r="CO1" t="s">
        <v>898</v>
      </c>
      <c r="CP1" t="s">
        <v>899</v>
      </c>
      <c r="CQ1" t="s">
        <v>900</v>
      </c>
      <c r="CR1" t="s">
        <v>901</v>
      </c>
      <c r="CS1" t="s">
        <v>902</v>
      </c>
      <c r="CT1" t="s">
        <v>962</v>
      </c>
      <c r="CU1" t="s">
        <v>963</v>
      </c>
      <c r="CV1" t="s">
        <v>964</v>
      </c>
      <c r="CW1" t="s">
        <v>965</v>
      </c>
      <c r="CX1" t="s">
        <v>966</v>
      </c>
      <c r="CY1" t="s">
        <v>1015</v>
      </c>
      <c r="CZ1" t="s">
        <v>1016</v>
      </c>
      <c r="DA1" t="s">
        <v>1019</v>
      </c>
      <c r="DB1" t="s">
        <v>1021</v>
      </c>
      <c r="DC1" t="s">
        <v>1022</v>
      </c>
      <c r="DD1" t="s">
        <v>1023</v>
      </c>
      <c r="DE1" t="s">
        <v>1025</v>
      </c>
      <c r="DF1" t="s">
        <v>1026</v>
      </c>
    </row>
    <row r="2" spans="1:110" x14ac:dyDescent="0.25">
      <c r="AN2" s="47"/>
      <c r="AP2" s="47"/>
      <c r="BP2" s="47"/>
      <c r="BQ2" s="47"/>
      <c r="CA2" s="47"/>
      <c r="CB2" s="47"/>
      <c r="CC2" s="47"/>
      <c r="CD2" s="56"/>
      <c r="CE2" s="56"/>
      <c r="CF2" s="56"/>
      <c r="CH2" s="47"/>
      <c r="CI2" s="47"/>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1"/>
  <sheetViews>
    <sheetView topLeftCell="BW1" workbookViewId="0"/>
  </sheetViews>
  <sheetFormatPr baseColWidth="10" defaultRowHeight="15" x14ac:dyDescent="0.25"/>
  <sheetData>
    <row r="1" spans="1:110" x14ac:dyDescent="0.25">
      <c r="A1" t="s">
        <v>1052</v>
      </c>
      <c r="B1" t="s">
        <v>1053</v>
      </c>
      <c r="C1" t="s">
        <v>1054</v>
      </c>
      <c r="D1" t="s">
        <v>1055</v>
      </c>
      <c r="E1" t="s">
        <v>1056</v>
      </c>
      <c r="F1" t="s">
        <v>1057</v>
      </c>
      <c r="G1" t="s">
        <v>1058</v>
      </c>
      <c r="H1" t="s">
        <v>1059</v>
      </c>
      <c r="I1" t="s">
        <v>1060</v>
      </c>
      <c r="J1" t="s">
        <v>1061</v>
      </c>
      <c r="K1" t="s">
        <v>1062</v>
      </c>
      <c r="L1" t="s">
        <v>1063</v>
      </c>
      <c r="M1" t="s">
        <v>1064</v>
      </c>
      <c r="N1" t="s">
        <v>1065</v>
      </c>
      <c r="O1" t="s">
        <v>1066</v>
      </c>
      <c r="P1" t="s">
        <v>1067</v>
      </c>
      <c r="Q1" t="s">
        <v>1068</v>
      </c>
      <c r="R1" t="s">
        <v>1069</v>
      </c>
      <c r="S1" t="s">
        <v>1070</v>
      </c>
      <c r="T1" t="s">
        <v>1071</v>
      </c>
      <c r="U1" t="s">
        <v>1072</v>
      </c>
      <c r="V1" t="s">
        <v>1073</v>
      </c>
      <c r="W1" t="s">
        <v>1074</v>
      </c>
      <c r="X1" t="s">
        <v>1075</v>
      </c>
      <c r="Y1" t="s">
        <v>1076</v>
      </c>
      <c r="Z1" t="s">
        <v>1077</v>
      </c>
      <c r="AA1" t="s">
        <v>1078</v>
      </c>
      <c r="AB1" t="s">
        <v>1079</v>
      </c>
      <c r="AC1" t="s">
        <v>1080</v>
      </c>
      <c r="AD1" t="s">
        <v>1081</v>
      </c>
      <c r="AE1" t="s">
        <v>1082</v>
      </c>
      <c r="AF1" t="s">
        <v>1083</v>
      </c>
      <c r="AG1" t="s">
        <v>1084</v>
      </c>
      <c r="AH1" t="s">
        <v>1085</v>
      </c>
      <c r="AI1" t="s">
        <v>1086</v>
      </c>
      <c r="AJ1" t="s">
        <v>1087</v>
      </c>
      <c r="AK1" t="s">
        <v>1088</v>
      </c>
      <c r="AL1" t="s">
        <v>1089</v>
      </c>
      <c r="AM1" t="s">
        <v>1090</v>
      </c>
      <c r="AN1" t="s">
        <v>1091</v>
      </c>
      <c r="AO1" t="s">
        <v>1092</v>
      </c>
      <c r="AP1" t="s">
        <v>1144</v>
      </c>
      <c r="AQ1" t="s">
        <v>1093</v>
      </c>
      <c r="AR1" t="s">
        <v>1094</v>
      </c>
      <c r="AS1" t="s">
        <v>1145</v>
      </c>
      <c r="AT1" t="s">
        <v>1095</v>
      </c>
      <c r="AU1" t="s">
        <v>1096</v>
      </c>
      <c r="AV1" t="s">
        <v>1097</v>
      </c>
      <c r="AW1" t="s">
        <v>1098</v>
      </c>
      <c r="AX1" t="s">
        <v>1099</v>
      </c>
      <c r="AY1" t="s">
        <v>1100</v>
      </c>
      <c r="AZ1" t="s">
        <v>1101</v>
      </c>
      <c r="BA1" t="s">
        <v>1102</v>
      </c>
      <c r="BB1" t="s">
        <v>1103</v>
      </c>
      <c r="BC1" t="s">
        <v>1104</v>
      </c>
      <c r="BD1" t="s">
        <v>1105</v>
      </c>
      <c r="BE1" t="s">
        <v>1106</v>
      </c>
      <c r="BF1" t="s">
        <v>1107</v>
      </c>
      <c r="BG1" t="s">
        <v>1108</v>
      </c>
      <c r="BH1" t="s">
        <v>1109</v>
      </c>
      <c r="BI1" t="s">
        <v>1110</v>
      </c>
      <c r="BJ1" t="s">
        <v>1111</v>
      </c>
      <c r="BK1" t="s">
        <v>1112</v>
      </c>
      <c r="BL1" t="s">
        <v>1113</v>
      </c>
      <c r="BM1" t="s">
        <v>1114</v>
      </c>
      <c r="BN1" t="s">
        <v>1115</v>
      </c>
      <c r="BO1" t="s">
        <v>1116</v>
      </c>
      <c r="BP1" t="s">
        <v>1117</v>
      </c>
      <c r="BQ1" t="s">
        <v>1146</v>
      </c>
      <c r="BR1" t="s">
        <v>1118</v>
      </c>
      <c r="BS1" t="s">
        <v>1119</v>
      </c>
      <c r="BT1" t="s">
        <v>1120</v>
      </c>
      <c r="BU1" t="s">
        <v>1121</v>
      </c>
      <c r="BV1" t="s">
        <v>1122</v>
      </c>
      <c r="BW1" t="s">
        <v>1123</v>
      </c>
      <c r="BX1" t="s">
        <v>1124</v>
      </c>
      <c r="BY1" t="s">
        <v>1125</v>
      </c>
      <c r="BZ1" t="s">
        <v>1126</v>
      </c>
      <c r="CA1" t="s">
        <v>1127</v>
      </c>
      <c r="CB1" t="s">
        <v>1128</v>
      </c>
      <c r="CC1" t="s">
        <v>1129</v>
      </c>
      <c r="CD1" t="s">
        <v>1130</v>
      </c>
      <c r="CE1" t="s">
        <v>1131</v>
      </c>
      <c r="CF1" t="s">
        <v>1132</v>
      </c>
      <c r="CG1" t="s">
        <v>1133</v>
      </c>
      <c r="CH1" t="s">
        <v>1134</v>
      </c>
      <c r="CI1" t="s">
        <v>1135</v>
      </c>
      <c r="CJ1" t="s">
        <v>1136</v>
      </c>
      <c r="CK1" t="s">
        <v>1137</v>
      </c>
      <c r="CL1" t="s">
        <v>1138</v>
      </c>
      <c r="CM1" t="s">
        <v>1139</v>
      </c>
      <c r="CN1" t="s">
        <v>1140</v>
      </c>
      <c r="CO1" t="s">
        <v>1141</v>
      </c>
      <c r="CP1" t="s">
        <v>1142</v>
      </c>
      <c r="CQ1" t="s">
        <v>970</v>
      </c>
      <c r="CR1" t="s">
        <v>972</v>
      </c>
      <c r="CS1" t="s">
        <v>1143</v>
      </c>
      <c r="CT1" t="s">
        <v>1018</v>
      </c>
      <c r="CU1" t="s">
        <v>1019</v>
      </c>
      <c r="CV1" t="s">
        <v>1021</v>
      </c>
      <c r="CW1" t="s">
        <v>893</v>
      </c>
      <c r="CX1" t="s">
        <v>894</v>
      </c>
      <c r="CY1" t="s">
        <v>895</v>
      </c>
      <c r="CZ1" t="s">
        <v>896</v>
      </c>
      <c r="DA1" t="s">
        <v>897</v>
      </c>
      <c r="DB1" t="s">
        <v>898</v>
      </c>
      <c r="DC1" t="s">
        <v>899</v>
      </c>
      <c r="DD1" t="s">
        <v>900</v>
      </c>
      <c r="DE1" t="s">
        <v>901</v>
      </c>
      <c r="DF1" t="s">
        <v>902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2"/>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1035</v>
      </c>
      <c r="D1" t="s">
        <v>1037</v>
      </c>
      <c r="F1" t="s">
        <v>1036</v>
      </c>
      <c r="G1" t="s">
        <v>1037</v>
      </c>
    </row>
    <row r="2" spans="1:7" x14ac:dyDescent="0.25">
      <c r="C2" s="47"/>
      <c r="D2" s="3"/>
      <c r="F2" s="47"/>
      <c r="G2" s="53"/>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24</vt:i4>
      </vt:variant>
    </vt:vector>
  </HeadingPairs>
  <TitlesOfParts>
    <vt:vector size="41" baseType="lpstr">
      <vt:lpstr>TRANSFERENCIA</vt:lpstr>
      <vt:lpstr>Form</vt:lpstr>
      <vt:lpstr>DUE</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FaltaCausa</vt:lpstr>
      <vt:lpstr>FECHAARRIBO</vt:lpstr>
      <vt:lpstr>FECHACIERRE</vt:lpstr>
      <vt:lpstr>FECHANOMBRE</vt:lpstr>
      <vt:lpstr>FECHAORIGEN</vt:lpstr>
      <vt:lpstr>ImprEmpresa</vt:lpstr>
      <vt:lpstr>ImprFecha</vt:lpstr>
      <vt:lpstr>INI_PERIODO</vt:lpstr>
      <vt:lpstr>INICIO</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2012-09-10T17:11:01Z</cp:lastPrinted>
  <dcterms:created xsi:type="dcterms:W3CDTF">2010-03-30T06:48:36Z</dcterms:created>
  <dcterms:modified xsi:type="dcterms:W3CDTF">2017-02-17T05:22:21Z</dcterms:modified>
</cp:coreProperties>
</file>