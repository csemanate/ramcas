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TRANSFERENCIA!$A$8:$CB$49</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TABLATRANSFERENCIA[[#Headers],[2017-12]]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TRANSFERENCIA!$A$8:$BX$49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4" r:id="rId22"/>
  </pivotCaches>
</workbook>
</file>

<file path=xl/calcChain.xml><?xml version="1.0" encoding="utf-8"?>
<calcChain xmlns="http://schemas.openxmlformats.org/spreadsheetml/2006/main">
  <c r="G2" i="16" l="1"/>
  <c r="G3" i="16"/>
  <c r="G4" i="16"/>
  <c r="G5" i="16"/>
  <c r="G6" i="16"/>
  <c r="G7"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1" i="1" a="1"/>
  <c r="AX11" i="1" s="1"/>
  <c r="AX12" i="1" a="1"/>
  <c r="AX12" i="1" s="1"/>
  <c r="AX13" i="1" a="1"/>
  <c r="AX13" i="1" s="1"/>
  <c r="AX14" i="1" a="1"/>
  <c r="AX14" i="1" s="1"/>
  <c r="AX15" i="1" a="1"/>
  <c r="AX15" i="1" s="1"/>
  <c r="AX16" i="1" a="1"/>
  <c r="AX16" i="1" s="1"/>
  <c r="AX17" i="1" a="1"/>
  <c r="AX17" i="1"/>
  <c r="AX18" i="1" a="1"/>
  <c r="AX18" i="1" s="1"/>
  <c r="AX19" i="1" a="1"/>
  <c r="AX19" i="1" s="1"/>
  <c r="AX20" i="1" a="1"/>
  <c r="AX20" i="1" s="1"/>
  <c r="AX21" i="1" a="1"/>
  <c r="AX21" i="1"/>
  <c r="AX22" i="1" a="1"/>
  <c r="AX22" i="1" s="1"/>
  <c r="AX23" i="1" a="1"/>
  <c r="AX23" i="1" s="1"/>
  <c r="AX24" i="1" a="1"/>
  <c r="AX24" i="1" s="1"/>
  <c r="AX25" i="1" a="1"/>
  <c r="AX25" i="1"/>
  <c r="AX26" i="1" a="1"/>
  <c r="AX26" i="1" s="1"/>
  <c r="AX27" i="1" a="1"/>
  <c r="AX27" i="1" s="1"/>
  <c r="AX28" i="1" a="1"/>
  <c r="AX28" i="1" s="1"/>
  <c r="AX29" i="1" a="1"/>
  <c r="AX29" i="1" s="1"/>
  <c r="AX30" i="1" a="1"/>
  <c r="AX30" i="1" s="1"/>
  <c r="AX31" i="1" a="1"/>
  <c r="AX31" i="1" s="1"/>
  <c r="AX32" i="1" a="1"/>
  <c r="AX32" i="1" s="1"/>
  <c r="AX33" i="1" a="1"/>
  <c r="AX33" i="1" s="1"/>
  <c r="AX34" i="1" a="1"/>
  <c r="AX34" i="1" s="1"/>
  <c r="AX35" i="1" a="1"/>
  <c r="AX35" i="1" s="1"/>
  <c r="AX36" i="1" a="1"/>
  <c r="AX36" i="1" s="1"/>
  <c r="AX37" i="1" a="1"/>
  <c r="AX37" i="1"/>
  <c r="AX38" i="1" a="1"/>
  <c r="AX38" i="1" s="1"/>
  <c r="AX39" i="1" a="1"/>
  <c r="AX39" i="1" s="1"/>
  <c r="AX40" i="1" a="1"/>
  <c r="AX40" i="1" s="1"/>
  <c r="AX41" i="1" a="1"/>
  <c r="AX41" i="1" s="1"/>
  <c r="AX42" i="1" a="1"/>
  <c r="AX42" i="1" s="1"/>
  <c r="AX43" i="1" a="1"/>
  <c r="AX43" i="1" s="1"/>
  <c r="AX44" i="1" a="1"/>
  <c r="AX44" i="1" s="1"/>
  <c r="AX45" i="1" a="1"/>
  <c r="AX45" i="1" s="1"/>
  <c r="AX46" i="1" a="1"/>
  <c r="AX46" i="1" s="1"/>
  <c r="AX47" i="1" a="1"/>
  <c r="AX47" i="1" s="1"/>
  <c r="AX48" i="1" a="1"/>
  <c r="AX48" i="1" s="1"/>
  <c r="AX49" i="1" a="1"/>
  <c r="AX49" i="1"/>
  <c r="AY10" i="1" a="1"/>
  <c r="AY10" i="1" s="1"/>
  <c r="AY11" i="1" a="1"/>
  <c r="AY11" i="1" s="1"/>
  <c r="AY12" i="1" a="1"/>
  <c r="AY12" i="1" s="1"/>
  <c r="AY13" i="1" a="1"/>
  <c r="AY13" i="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c r="AY26" i="1" a="1"/>
  <c r="AY26" i="1" s="1"/>
  <c r="AY27" i="1" a="1"/>
  <c r="AY27" i="1" s="1"/>
  <c r="AY28" i="1" a="1"/>
  <c r="AY28" i="1" s="1"/>
  <c r="AY29" i="1" a="1"/>
  <c r="AY29" i="1"/>
  <c r="AY30" i="1" a="1"/>
  <c r="AY30" i="1" s="1"/>
  <c r="AY31" i="1" a="1"/>
  <c r="AY31" i="1" s="1"/>
  <c r="AY32" i="1" a="1"/>
  <c r="AY32" i="1" s="1"/>
  <c r="AY33" i="1" a="1"/>
  <c r="AY33" i="1"/>
  <c r="AY34" i="1" a="1"/>
  <c r="AY34" i="1" s="1"/>
  <c r="AY35" i="1" a="1"/>
  <c r="AY35" i="1" s="1"/>
  <c r="AY36" i="1" a="1"/>
  <c r="AY36" i="1" s="1"/>
  <c r="AY37" i="1" a="1"/>
  <c r="AY37" i="1" s="1"/>
  <c r="AY38" i="1" a="1"/>
  <c r="AY38" i="1" s="1"/>
  <c r="AY39" i="1" a="1"/>
  <c r="AY39" i="1" s="1"/>
  <c r="AY40" i="1" a="1"/>
  <c r="AY40" i="1" s="1"/>
  <c r="AY41" i="1" a="1"/>
  <c r="AY41" i="1"/>
  <c r="AY42" i="1" a="1"/>
  <c r="AY42" i="1" s="1"/>
  <c r="AY43" i="1" a="1"/>
  <c r="AY43" i="1" s="1"/>
  <c r="AY44" i="1" a="1"/>
  <c r="AY44" i="1" s="1"/>
  <c r="AY45" i="1" a="1"/>
  <c r="AY45" i="1" s="1"/>
  <c r="AY46" i="1" a="1"/>
  <c r="AY46" i="1" s="1"/>
  <c r="AY47" i="1" a="1"/>
  <c r="AY47" i="1" s="1"/>
  <c r="AY48" i="1" a="1"/>
  <c r="AY48" i="1" s="1"/>
  <c r="AY49" i="1" a="1"/>
  <c r="AY49" i="1"/>
  <c r="AZ10" i="1" a="1"/>
  <c r="AZ10" i="1" s="1"/>
  <c r="AZ11" i="1" a="1"/>
  <c r="AZ11" i="1" s="1"/>
  <c r="AZ12" i="1" a="1"/>
  <c r="AZ12" i="1" s="1"/>
  <c r="AZ13" i="1" a="1"/>
  <c r="AZ13" i="1" s="1"/>
  <c r="AZ14" i="1" a="1"/>
  <c r="AZ14" i="1" s="1"/>
  <c r="AZ15" i="1" a="1"/>
  <c r="AZ15" i="1" s="1"/>
  <c r="AZ16" i="1" a="1"/>
  <c r="AZ16" i="1" s="1"/>
  <c r="AZ17" i="1" a="1"/>
  <c r="AZ17" i="1"/>
  <c r="AZ18" i="1" a="1"/>
  <c r="AZ18" i="1" s="1"/>
  <c r="AZ19" i="1" a="1"/>
  <c r="AZ19" i="1" s="1"/>
  <c r="AZ20" i="1" a="1"/>
  <c r="AZ20" i="1" s="1"/>
  <c r="AZ21" i="1" a="1"/>
  <c r="AZ21" i="1" s="1"/>
  <c r="AZ22" i="1" a="1"/>
  <c r="AZ22" i="1" s="1"/>
  <c r="AZ23" i="1" a="1"/>
  <c r="AZ23" i="1" s="1"/>
  <c r="AZ24" i="1" a="1"/>
  <c r="AZ24" i="1" s="1"/>
  <c r="AZ25" i="1" a="1"/>
  <c r="AZ25" i="1"/>
  <c r="AZ26" i="1" a="1"/>
  <c r="AZ26" i="1" s="1"/>
  <c r="AZ27" i="1" a="1"/>
  <c r="AZ27" i="1" s="1"/>
  <c r="AZ28" i="1" a="1"/>
  <c r="AZ28" i="1" s="1"/>
  <c r="AZ29" i="1" a="1"/>
  <c r="AZ29" i="1" s="1"/>
  <c r="AZ30" i="1" a="1"/>
  <c r="AZ30" i="1" s="1"/>
  <c r="AZ31" i="1" a="1"/>
  <c r="AZ31" i="1" s="1"/>
  <c r="AZ32" i="1" a="1"/>
  <c r="AZ32" i="1" s="1"/>
  <c r="AZ33" i="1" a="1"/>
  <c r="AZ33" i="1"/>
  <c r="AZ34" i="1" a="1"/>
  <c r="AZ34" i="1" s="1"/>
  <c r="AZ35" i="1" a="1"/>
  <c r="AZ35" i="1" s="1"/>
  <c r="AZ36" i="1" a="1"/>
  <c r="AZ36" i="1" s="1"/>
  <c r="AZ37" i="1" a="1"/>
  <c r="AZ37" i="1" s="1"/>
  <c r="AZ38" i="1" a="1"/>
  <c r="AZ38" i="1" s="1"/>
  <c r="AZ39" i="1" a="1"/>
  <c r="AZ39" i="1" s="1"/>
  <c r="AZ40" i="1" a="1"/>
  <c r="AZ40" i="1" s="1"/>
  <c r="AZ41" i="1" a="1"/>
  <c r="AZ41" i="1"/>
  <c r="AZ42" i="1" a="1"/>
  <c r="AZ42" i="1" s="1"/>
  <c r="AZ43" i="1" a="1"/>
  <c r="AZ43" i="1" s="1"/>
  <c r="AZ44" i="1" a="1"/>
  <c r="AZ44" i="1" s="1"/>
  <c r="AZ45" i="1" a="1"/>
  <c r="AZ45" i="1" s="1"/>
  <c r="AZ46" i="1" a="1"/>
  <c r="AZ46" i="1" s="1"/>
  <c r="AZ47" i="1" a="1"/>
  <c r="AZ47" i="1" s="1"/>
  <c r="AZ48" i="1" a="1"/>
  <c r="AZ48" i="1" s="1"/>
  <c r="AZ49" i="1" a="1"/>
  <c r="AZ4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c r="BA22" i="1" a="1"/>
  <c r="BA22" i="1" s="1"/>
  <c r="BA23" i="1" a="1"/>
  <c r="BA23" i="1" s="1"/>
  <c r="BA24" i="1" a="1"/>
  <c r="BA24" i="1" s="1"/>
  <c r="BA25" i="1" a="1"/>
  <c r="BA25" i="1" s="1"/>
  <c r="BA26" i="1" a="1"/>
  <c r="BA26" i="1" s="1"/>
  <c r="BA27" i="1" a="1"/>
  <c r="BA27" i="1"/>
  <c r="BA28" i="1" a="1"/>
  <c r="BA28" i="1" s="1"/>
  <c r="BA29" i="1" a="1"/>
  <c r="BA29" i="1" s="1"/>
  <c r="BA30" i="1" a="1"/>
  <c r="BA30" i="1" s="1"/>
  <c r="BA31" i="1" a="1"/>
  <c r="BA31" i="1" s="1"/>
  <c r="BA32" i="1" a="1"/>
  <c r="BA32" i="1" s="1"/>
  <c r="BA33" i="1" a="1"/>
  <c r="BA33" i="1"/>
  <c r="BA34" i="1" a="1"/>
  <c r="BA34" i="1" s="1"/>
  <c r="BA35" i="1" a="1"/>
  <c r="BA35" i="1" s="1"/>
  <c r="BA36" i="1" a="1"/>
  <c r="BA36" i="1" s="1"/>
  <c r="BA37" i="1" a="1"/>
  <c r="BA37" i="1" s="1"/>
  <c r="BA38" i="1" a="1"/>
  <c r="BA38" i="1" s="1"/>
  <c r="BA39" i="1" a="1"/>
  <c r="BA39" i="1" s="1"/>
  <c r="BA40" i="1" a="1"/>
  <c r="BA40" i="1" s="1"/>
  <c r="BA41" i="1" a="1"/>
  <c r="BA41" i="1"/>
  <c r="BA42" i="1" a="1"/>
  <c r="BA42" i="1" s="1"/>
  <c r="BA43" i="1" a="1"/>
  <c r="BA43" i="1" s="1"/>
  <c r="BA44" i="1" a="1"/>
  <c r="BA44" i="1" s="1"/>
  <c r="BA45" i="1" a="1"/>
  <c r="BA45" i="1" s="1"/>
  <c r="BA46" i="1" a="1"/>
  <c r="BA46" i="1" s="1"/>
  <c r="BA47" i="1" a="1"/>
  <c r="BA47" i="1" s="1"/>
  <c r="BA48" i="1" a="1"/>
  <c r="BA48" i="1" s="1"/>
  <c r="BA49" i="1" a="1"/>
  <c r="BA49" i="1"/>
  <c r="BB10" i="1" a="1"/>
  <c r="BB10" i="1" s="1"/>
  <c r="BB11" i="1" a="1"/>
  <c r="BB11" i="1" s="1"/>
  <c r="BB12" i="1" a="1"/>
  <c r="BB12" i="1" s="1"/>
  <c r="BB13" i="1" a="1"/>
  <c r="BB13" i="1" s="1"/>
  <c r="BB14" i="1" a="1"/>
  <c r="BB14" i="1" s="1"/>
  <c r="BB15" i="1" a="1"/>
  <c r="BB15" i="1" s="1"/>
  <c r="BB16" i="1" a="1"/>
  <c r="BB16" i="1" s="1"/>
  <c r="BB17" i="1" a="1"/>
  <c r="BB17" i="1"/>
  <c r="BB18" i="1" a="1"/>
  <c r="BB18" i="1" s="1"/>
  <c r="BB19" i="1" a="1"/>
  <c r="BB19" i="1" s="1"/>
  <c r="BB20" i="1" a="1"/>
  <c r="BB20" i="1" s="1"/>
  <c r="BB21" i="1" a="1"/>
  <c r="BB21" i="1"/>
  <c r="BB22" i="1" a="1"/>
  <c r="BB22" i="1" s="1"/>
  <c r="BB23" i="1" a="1"/>
  <c r="BB23" i="1" s="1"/>
  <c r="BB24" i="1" a="1"/>
  <c r="BB24" i="1" s="1"/>
  <c r="BB25" i="1" a="1"/>
  <c r="BB25" i="1"/>
  <c r="BB26" i="1" a="1"/>
  <c r="BB26" i="1" s="1"/>
  <c r="BB27" i="1" a="1"/>
  <c r="BB27" i="1" s="1"/>
  <c r="BB28" i="1" a="1"/>
  <c r="BB28" i="1" s="1"/>
  <c r="BB29" i="1" a="1"/>
  <c r="BB29" i="1"/>
  <c r="BB30" i="1" a="1"/>
  <c r="BB30" i="1" s="1"/>
  <c r="BB31" i="1" a="1"/>
  <c r="BB31" i="1" s="1"/>
  <c r="BB32" i="1" a="1"/>
  <c r="BB32" i="1" s="1"/>
  <c r="BB33" i="1" a="1"/>
  <c r="BB33" i="1"/>
  <c r="BB34" i="1" a="1"/>
  <c r="BB34" i="1" s="1"/>
  <c r="BB35" i="1" a="1"/>
  <c r="BB35" i="1" s="1"/>
  <c r="BB36" i="1" a="1"/>
  <c r="BB36" i="1" s="1"/>
  <c r="BB37" i="1" a="1"/>
  <c r="BB37" i="1" s="1"/>
  <c r="BB38" i="1" a="1"/>
  <c r="BB38" i="1" s="1"/>
  <c r="BB39" i="1" a="1"/>
  <c r="BB39" i="1" s="1"/>
  <c r="BB40" i="1" a="1"/>
  <c r="BB40" i="1" s="1"/>
  <c r="BB41" i="1" a="1"/>
  <c r="BB41" i="1" s="1"/>
  <c r="BB42" i="1" a="1"/>
  <c r="BB42" i="1" s="1"/>
  <c r="BB43" i="1" a="1"/>
  <c r="BB43" i="1" s="1"/>
  <c r="BB44" i="1" a="1"/>
  <c r="BB44" i="1" s="1"/>
  <c r="BB45" i="1" a="1"/>
  <c r="BB45" i="1" s="1"/>
  <c r="BB46" i="1" a="1"/>
  <c r="BB46" i="1" s="1"/>
  <c r="BB47" i="1" a="1"/>
  <c r="BB47" i="1" s="1"/>
  <c r="BB48" i="1" a="1"/>
  <c r="BB48" i="1" s="1"/>
  <c r="BB49" i="1" a="1"/>
  <c r="BB4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C30" i="1" a="1"/>
  <c r="BC30" i="1" s="1"/>
  <c r="BC31" i="1" a="1"/>
  <c r="BC31" i="1" s="1"/>
  <c r="BC32" i="1" a="1"/>
  <c r="BC32" i="1" s="1"/>
  <c r="BC33" i="1" a="1"/>
  <c r="BC33" i="1" s="1"/>
  <c r="BC34" i="1" a="1"/>
  <c r="BC34" i="1" s="1"/>
  <c r="BC35" i="1" a="1"/>
  <c r="BC35" i="1" s="1"/>
  <c r="BC36" i="1" a="1"/>
  <c r="BC36" i="1" s="1"/>
  <c r="BC37" i="1" a="1"/>
  <c r="BC37" i="1" s="1"/>
  <c r="BC38" i="1" a="1"/>
  <c r="BC38" i="1" s="1"/>
  <c r="BC39" i="1" a="1"/>
  <c r="BC39" i="1" s="1"/>
  <c r="BC40" i="1" a="1"/>
  <c r="BC40" i="1" s="1"/>
  <c r="BC41" i="1" a="1"/>
  <c r="BC41" i="1" s="1"/>
  <c r="BC42" i="1" a="1"/>
  <c r="BC42" i="1" s="1"/>
  <c r="BC43" i="1" a="1"/>
  <c r="BC43" i="1" s="1"/>
  <c r="BC44" i="1" a="1"/>
  <c r="BC44" i="1" s="1"/>
  <c r="BC45" i="1" a="1"/>
  <c r="BC45" i="1" s="1"/>
  <c r="BC46" i="1" a="1"/>
  <c r="BC46" i="1" s="1"/>
  <c r="BC47" i="1" a="1"/>
  <c r="BC47" i="1" s="1"/>
  <c r="BC48" i="1" a="1"/>
  <c r="BC48" i="1" s="1"/>
  <c r="BC49" i="1" a="1"/>
  <c r="BC49" i="1" s="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9" i="1"/>
  <c r="AX9" i="1" a="1"/>
  <c r="AX9" i="1"/>
  <c r="AY9" i="1" a="1"/>
  <c r="AY9" i="1"/>
  <c r="AZ9" i="1" a="1"/>
  <c r="AZ9" i="1" s="1"/>
  <c r="BA9" i="1" a="1"/>
  <c r="BA9" i="1" s="1"/>
  <c r="BB9" i="1" a="1"/>
  <c r="BB9" i="1" s="1"/>
  <c r="BC9" i="1" a="1"/>
  <c r="BC9" i="1" s="1"/>
  <c r="BJ9" i="1"/>
  <c r="BK9" i="1"/>
  <c r="BL9" i="1"/>
  <c r="BM9" i="1"/>
  <c r="BN9" i="1"/>
  <c r="BS9" i="1"/>
  <c r="BX9" i="1" l="1" a="1"/>
  <c r="BX9" i="1" s="1"/>
  <c r="BX10" i="1" a="1"/>
  <c r="BX10" i="1" s="1"/>
  <c r="BX11" i="1" a="1"/>
  <c r="BX11" i="1" s="1"/>
  <c r="BX12" i="1" a="1"/>
  <c r="BX12" i="1" s="1"/>
  <c r="BX13" i="1" a="1"/>
  <c r="BX13" i="1" s="1"/>
  <c r="BX14" i="1" a="1"/>
  <c r="BX14" i="1" s="1"/>
  <c r="BX15" i="1" a="1"/>
  <c r="BX15" i="1" s="1"/>
  <c r="BX16" i="1" a="1"/>
  <c r="BX16" i="1" s="1"/>
  <c r="BX17" i="1" a="1"/>
  <c r="BX17" i="1" s="1"/>
  <c r="BX18" i="1" a="1"/>
  <c r="BX18" i="1" s="1"/>
  <c r="BX19" i="1" a="1"/>
  <c r="BX19" i="1" s="1"/>
  <c r="BY9" i="1"/>
  <c r="BY10" i="1"/>
  <c r="BY11" i="1"/>
  <c r="BY12" i="1"/>
  <c r="BY13" i="1"/>
  <c r="BY14" i="1"/>
  <c r="BY15" i="1"/>
  <c r="BY16" i="1"/>
  <c r="BY17" i="1"/>
  <c r="BY18" i="1"/>
  <c r="BY19" i="1"/>
  <c r="BP9" i="1"/>
  <c r="BP10" i="1"/>
  <c r="BP11" i="1"/>
  <c r="BP12" i="1"/>
  <c r="BP13" i="1"/>
  <c r="BP14" i="1"/>
  <c r="BP15" i="1"/>
  <c r="BP16" i="1"/>
  <c r="BP17" i="1"/>
  <c r="BP18" i="1"/>
  <c r="BP19" i="1"/>
  <c r="BX20" i="1" a="1"/>
  <c r="BX20" i="1" s="1"/>
  <c r="BX21" i="1" a="1"/>
  <c r="BX21" i="1" s="1"/>
  <c r="BX22" i="1" a="1"/>
  <c r="BX22" i="1" s="1"/>
  <c r="BX23" i="1" a="1"/>
  <c r="BX23" i="1" s="1"/>
  <c r="BX24" i="1" a="1"/>
  <c r="BX24" i="1" s="1"/>
  <c r="BX25" i="1" a="1"/>
  <c r="BX25" i="1" s="1"/>
  <c r="BX26" i="1" a="1"/>
  <c r="BX26" i="1" s="1"/>
  <c r="BX27" i="1" a="1"/>
  <c r="BX27" i="1" s="1"/>
  <c r="BX28" i="1" a="1"/>
  <c r="BX28" i="1" s="1"/>
  <c r="BX29" i="1" a="1"/>
  <c r="BX29" i="1" s="1"/>
  <c r="BY20" i="1"/>
  <c r="BY21" i="1"/>
  <c r="BY22" i="1"/>
  <c r="BY23" i="1"/>
  <c r="BY24" i="1"/>
  <c r="BY25" i="1"/>
  <c r="BY26" i="1"/>
  <c r="BY27" i="1"/>
  <c r="BY28" i="1"/>
  <c r="BY29" i="1"/>
  <c r="BY30" i="1"/>
  <c r="BP20" i="1"/>
  <c r="BP21" i="1"/>
  <c r="BP22" i="1"/>
  <c r="BP23" i="1"/>
  <c r="BP24" i="1"/>
  <c r="BP25" i="1"/>
  <c r="BP26" i="1"/>
  <c r="BP27" i="1"/>
  <c r="BP28" i="1"/>
  <c r="BP29" i="1"/>
  <c r="BY31" i="1"/>
  <c r="BY32" i="1"/>
  <c r="BY33" i="1"/>
  <c r="BY34" i="1"/>
  <c r="BY35" i="1"/>
  <c r="BY36" i="1"/>
  <c r="BY37" i="1"/>
  <c r="BY38" i="1"/>
  <c r="BY39" i="1"/>
  <c r="BY40" i="1"/>
  <c r="BP30" i="1"/>
  <c r="BP31" i="1"/>
  <c r="BP32" i="1"/>
  <c r="BP33" i="1"/>
  <c r="BP34" i="1"/>
  <c r="BP35" i="1"/>
  <c r="BP36" i="1"/>
  <c r="BP37" i="1"/>
  <c r="BP38" i="1"/>
  <c r="BP39" i="1"/>
  <c r="BP40" i="1"/>
  <c r="BX30" i="1" a="1"/>
  <c r="BX30" i="1" s="1"/>
  <c r="BX31" i="1" a="1"/>
  <c r="BX31" i="1" s="1"/>
  <c r="BX32" i="1" a="1"/>
  <c r="BX32" i="1" s="1"/>
  <c r="BX33" i="1" a="1"/>
  <c r="BX33" i="1" s="1"/>
  <c r="BX34" i="1" a="1"/>
  <c r="BX34" i="1" s="1"/>
  <c r="BX35" i="1" a="1"/>
  <c r="BX35" i="1" s="1"/>
  <c r="BX36" i="1" a="1"/>
  <c r="BX36" i="1" s="1"/>
  <c r="BX37" i="1" a="1"/>
  <c r="BX37" i="1" s="1"/>
  <c r="BX38" i="1" a="1"/>
  <c r="BX38" i="1" s="1"/>
  <c r="BX39" i="1" a="1"/>
  <c r="BX39" i="1" s="1"/>
  <c r="BX40" i="1" a="1"/>
  <c r="BX40" i="1" s="1"/>
  <c r="BX41" i="1" a="1"/>
  <c r="BX41" i="1" s="1"/>
  <c r="BX42" i="1" a="1"/>
  <c r="BX42" i="1" s="1"/>
  <c r="BX43" i="1" a="1"/>
  <c r="BX43" i="1" s="1"/>
  <c r="BX44" i="1" a="1"/>
  <c r="BX44" i="1" s="1"/>
  <c r="BX45" i="1" a="1"/>
  <c r="BX45" i="1" s="1"/>
  <c r="BX46" i="1" a="1"/>
  <c r="BX46" i="1" s="1"/>
  <c r="BX47" i="1" a="1"/>
  <c r="BX47" i="1" s="1"/>
  <c r="BX48" i="1" a="1"/>
  <c r="BX48" i="1" s="1"/>
  <c r="BX49" i="1" a="1"/>
  <c r="BX49" i="1" s="1"/>
  <c r="BY41" i="1"/>
  <c r="BY42" i="1"/>
  <c r="BY43" i="1"/>
  <c r="BY44" i="1"/>
  <c r="BY45" i="1"/>
  <c r="BY46" i="1"/>
  <c r="BY47" i="1"/>
  <c r="BY48" i="1"/>
  <c r="BY49" i="1"/>
  <c r="BP41" i="1"/>
  <c r="BP42" i="1"/>
  <c r="BP43" i="1"/>
  <c r="BP44" i="1"/>
  <c r="BP45" i="1"/>
  <c r="BP46" i="1"/>
  <c r="BP47" i="1"/>
  <c r="BP48" i="1"/>
  <c r="BP49"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H2" i="21"/>
  <c r="Q2" i="21"/>
  <c r="AJ2" i="21"/>
  <c r="G2" i="21"/>
  <c r="W2" i="21"/>
  <c r="E2" i="21"/>
  <c r="H2" i="21"/>
  <c r="AF2" i="21"/>
  <c r="AS2" i="21"/>
  <c r="AN2" i="21"/>
  <c r="AG2" i="21"/>
  <c r="AR2" i="21"/>
  <c r="AD2" i="21"/>
  <c r="L2" i="21"/>
  <c r="D2" i="21"/>
  <c r="AV2" i="21"/>
  <c r="M2" i="21"/>
  <c r="J2" i="21"/>
  <c r="AM2" i="21"/>
  <c r="S2" i="21"/>
  <c r="P2" i="21"/>
  <c r="AQ2" i="21"/>
  <c r="X2" i="21"/>
  <c r="AP2" i="21"/>
  <c r="AU2" i="21"/>
  <c r="AB2" i="21"/>
  <c r="V2" i="21"/>
  <c r="Z2" i="21"/>
  <c r="N2" i="21"/>
  <c r="AW2" i="21"/>
  <c r="BW2" i="21"/>
  <c r="BV2" i="21"/>
  <c r="B2" i="21"/>
  <c r="AA2" i="21"/>
  <c r="Y2" i="21"/>
  <c r="O2" i="21"/>
  <c r="AE2" i="21"/>
  <c r="F2" i="21"/>
  <c r="T2" i="21"/>
  <c r="U2" i="21"/>
  <c r="K2" i="21"/>
  <c r="AI2" i="21"/>
  <c r="AC2" i="21"/>
  <c r="AL2" i="21"/>
  <c r="R2" i="21"/>
  <c r="AO2" i="21"/>
  <c r="C2" i="21"/>
  <c r="AT2" i="21"/>
  <c r="I2" i="21"/>
  <c r="AK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<sst xmlns="http://schemas.openxmlformats.org/spreadsheetml/2006/main" count="12640" uniqueCount="4224">
  <si>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</si>
  <si>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</si>
  <si>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</si>
  <si>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</si>
  <si>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</si>
  <si>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</si>
  <si>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</si>
  <si>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</si>
  <si>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</si>
  <si>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</si>
  <si>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</si>
  <si>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</si>
  <si>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</si>
  <si>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</si>
  <si>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</si>
  <si>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</si>
  <si>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</si>
  <si>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</si>
  <si>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</si>
  <si>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</si>
  <si>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</si>
  <si>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</si>
  <si>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</si>
  <si>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</si>
  <si>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</si>
  <si>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</si>
  <si>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</si>
  <si>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</si>
  <si>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</si>
  <si>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</si>
  <si>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</si>
  <si>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</si>
  <si>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</si>
  <si>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</si>
  <si>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</si>
  <si>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</si>
  <si>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</si>
  <si>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</si>
  <si>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</si>
  <si>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</si>
  <si>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</si>
  <si>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</si>
  <si>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</si>
  <si>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</si>
  <si>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</si>
  <si>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</si>
  <si>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</si>
  <si>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</si>
  <si>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</si>
  <si>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</si>
  <si>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</si>
  <si>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</si>
  <si>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</si>
  <si>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</si>
  <si>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</si>
  <si>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</si>
  <si>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</si>
  <si>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</si>
  <si>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</si>
  <si>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</si>
  <si>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</si>
  <si>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</si>
  <si>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</si>
  <si>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</si>
  <si>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</si>
  <si>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</si>
  <si>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</si>
  <si>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</si>
  <si>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</si>
  <si>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</si>
  <si>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</si>
  <si>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</si>
  <si>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</si>
  <si>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</si>
  <si>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</si>
  <si>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</si>
  <si>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</si>
  <si>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</si>
  <si>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</si>
  <si>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</si>
  <si>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</si>
  <si>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</si>
  <si>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</si>
  <si>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</si>
  <si>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</si>
  <si>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</si>
  <si>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</si>
  <si>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</si>
  <si>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</si>
  <si>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</si>
  <si>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</si>
  <si>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</si>
  <si>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</si>
  <si>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</si>
  <si>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</si>
  <si>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</si>
  <si>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</si>
  <si>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</si>
  <si>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</si>
  <si>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</si>
  <si>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</si>
  <si>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</si>
  <si>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</si>
  <si>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</si>
  <si>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</si>
  <si>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</si>
  <si>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</si>
  <si>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</si>
  <si>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</si>
  <si>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</si>
  <si>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</si>
  <si>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</si>
  <si>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</si>
  <si>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</si>
  <si>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</si>
  <si>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</si>
  <si>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</si>
  <si>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</si>
  <si>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</si>
  <si>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</si>
  <si>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</si>
  <si>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</si>
  <si>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</si>
  <si>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</si>
  <si>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</si>
  <si>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</si>
  <si>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</si>
  <si>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</si>
  <si>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</si>
  <si>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</si>
  <si>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</si>
  <si>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</si>
  <si>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</si>
  <si>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</si>
  <si>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</si>
  <si>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</si>
  <si>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</si>
  <si>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</si>
  <si>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</si>
  <si>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</si>
  <si>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</si>
  <si>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</si>
  <si>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</si>
  <si>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</si>
  <si>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</si>
  <si>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</si>
  <si>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</si>
  <si>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</si>
  <si>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</si>
  <si>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</si>
  <si>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</si>
  <si>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</si>
  <si>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</si>
  <si>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</si>
  <si>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</si>
  <si>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</si>
  <si>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</si>
  <si>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</si>
  <si>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</si>
  <si>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</si>
  <si>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</si>
  <si>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</si>
  <si>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</si>
  <si>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</si>
  <si>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</si>
  <si>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</si>
  <si>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</si>
  <si>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</si>
  <si>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</si>
  <si>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</si>
  <si>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</si>
  <si>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</si>
  <si>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</si>
  <si>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</si>
  <si>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</si>
  <si>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</si>
  <si>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</si>
  <si>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</si>
  <si>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</si>
  <si>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</si>
  <si>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</si>
  <si>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</si>
  <si>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</si>
  <si>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</si>
  <si>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</si>
  <si>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</si>
  <si>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</si>
  <si>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</si>
  <si>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</si>
  <si>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</si>
  <si>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</si>
  <si>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</si>
  <si>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</si>
  <si>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</si>
  <si>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</si>
  <si>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</si>
  <si>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</si>
  <si>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</si>
  <si>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</si>
  <si>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</si>
  <si>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</si>
  <si>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</si>
  <si>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</si>
  <si>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</si>
  <si>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</si>
  <si>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</si>
  <si>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</si>
  <si>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</si>
  <si>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</si>
  <si>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</si>
  <si>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</si>
  <si>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</si>
  <si>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</si>
  <si>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</si>
  <si>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</si>
  <si>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</si>
  <si>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</si>
  <si>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</si>
  <si>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</si>
  <si>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</si>
  <si>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</si>
  <si>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</si>
  <si>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</si>
  <si>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</si>
  <si>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</si>
  <si>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</si>
  <si>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</si>
  <si>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</si>
  <si>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</si>
  <si>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</si>
  <si>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</si>
  <si>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</si>
  <si>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</si>
  <si>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</si>
  <si>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</si>
  <si>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</si>
  <si>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</si>
  <si>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</si>
  <si>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</si>
  <si>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</si>
  <si>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</si>
  <si>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</si>
  <si>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</si>
  <si>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</si>
  <si>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</si>
  <si>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</si>
  <si>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</si>
  <si>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</si>
  <si>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</si>
  <si>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</si>
  <si>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</si>
  <si>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</si>
  <si>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</si>
  <si>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</si>
  <si>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</si>
  <si>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</si>
  <si>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</si>
  <si>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</si>
  <si>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</si>
  <si>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</si>
  <si>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</si>
  <si>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</si>
  <si>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</si>
  <si>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</si>
  <si>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</si>
  <si>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</si>
  <si>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</si>
  <si>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</si>
  <si>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</si>
  <si>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</si>
  <si>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</si>
  <si>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</si>
  <si>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</si>
  <si>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</si>
  <si>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</si>
  <si>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</si>
  <si>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</si>
  <si>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</si>
  <si>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</si>
  <si>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</si>
  <si>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</si>
  <si>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</si>
  <si>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</si>
  <si>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</si>
  <si>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</si>
  <si>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</si>
  <si>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</si>
  <si>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</si>
  <si>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</si>
  <si>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</si>
  <si>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</si>
  <si>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</si>
  <si>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</si>
  <si>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</si>
  <si>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</si>
  <si>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</si>
  <si>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</si>
  <si>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</si>
  <si>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</si>
  <si>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</si>
  <si>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</si>
  <si>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</si>
  <si>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</si>
  <si>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</si>
  <si>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</si>
  <si>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</si>
  <si>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</si>
  <si>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</si>
  <si>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</si>
  <si>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</si>
  <si>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</si>
  <si>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</si>
  <si>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</si>
  <si>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</si>
  <si>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</si>
  <si>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</si>
  <si>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</si>
  <si>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</si>
  <si>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</si>
  <si>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</si>
  <si>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</si>
  <si>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</si>
  <si>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</si>
  <si>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</si>
  <si>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</si>
  <si>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</si>
  <si>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</si>
  <si>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</si>
  <si>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</si>
  <si>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</si>
  <si>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</si>
  <si>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</si>
  <si>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</si>
  <si>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</si>
  <si>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</si>
  <si>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</si>
  <si>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</si>
  <si>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</si>
  <si>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</si>
  <si>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</si>
  <si>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</si>
  <si>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</si>
  <si>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</si>
  <si>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</si>
  <si>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</si>
  <si>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</si>
  <si>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</si>
  <si>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</si>
  <si>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</si>
  <si>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</si>
  <si>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</si>
  <si>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</si>
  <si>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</si>
  <si>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</si>
  <si>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</si>
  <si>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</si>
  <si>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</si>
  <si>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</si>
  <si>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</si>
  <si>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</si>
  <si>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</si>
  <si>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</si>
  <si>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</si>
  <si>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</si>
  <si>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</si>
  <si>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</si>
  <si>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</si>
  <si>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</si>
  <si>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</si>
  <si>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</si>
  <si>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</si>
  <si>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</si>
  <si>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</si>
  <si>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</si>
  <si>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</si>
  <si>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</si>
  <si>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</si>
  <si>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</si>
  <si>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</si>
  <si>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</si>
  <si>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</si>
  <si>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</si>
  <si>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</si>
  <si>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</si>
  <si>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</si>
  <si>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</si>
  <si>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</si>
  <si>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</si>
  <si>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</si>
  <si>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</si>
  <si>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</si>
  <si>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</si>
  <si>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</si>
  <si>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</si>
  <si>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</si>
  <si>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</si>
  <si>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</si>
  <si>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</si>
  <si>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</si>
  <si>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</si>
  <si>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</si>
  <si>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</si>
  <si>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</si>
  <si>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</si>
  <si>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</si>
  <si>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</si>
  <si>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</si>
  <si>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</si>
  <si>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</si>
  <si>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</si>
  <si>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</si>
  <si>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</si>
  <si>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</si>
  <si>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</si>
  <si>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</si>
  <si>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</si>
  <si>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</si>
  <si>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</si>
  <si>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</si>
  <si>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</si>
  <si>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</si>
  <si>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</si>
  <si>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</si>
  <si>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</si>
  <si>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</si>
  <si>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</si>
  <si>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</si>
  <si>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</si>
  <si>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</si>
  <si>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</si>
  <si>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</si>
  <si>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</si>
  <si>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</si>
  <si>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</si>
  <si>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</si>
  <si>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</si>
  <si>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</si>
  <si>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</si>
  <si>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</si>
  <si>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</si>
  <si>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</si>
  <si>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</si>
  <si>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</si>
  <si>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</si>
  <si>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</si>
  <si>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</si>
  <si>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</si>
  <si>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</si>
  <si>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</si>
  <si>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</si>
  <si>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</si>
  <si>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</si>
  <si>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</si>
  <si>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</si>
  <si>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</si>
  <si>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</si>
  <si>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</si>
  <si>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</si>
  <si>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</si>
  <si>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</si>
  <si>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</si>
  <si>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</si>
  <si>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</si>
  <si>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</si>
  <si>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</si>
  <si>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</si>
  <si>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</si>
  <si>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</si>
  <si>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</si>
  <si>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</si>
  <si>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</si>
  <si>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</si>
  <si>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</si>
  <si>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</si>
  <si>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</si>
  <si>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</si>
  <si>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</si>
  <si>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</si>
  <si>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</si>
  <si>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</si>
  <si>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</si>
  <si>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</si>
  <si>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</si>
  <si>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</si>
  <si>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</si>
  <si>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</si>
  <si>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</si>
  <si>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</si>
  <si>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</si>
  <si>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</si>
  <si>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</si>
  <si>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</si>
  <si>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</si>
  <si>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</si>
  <si>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</si>
  <si>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</si>
  <si>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</si>
  <si>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</si>
  <si>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</si>
  <si>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</si>
  <si>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</si>
  <si>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</si>
  <si>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</si>
  <si>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</si>
  <si>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</si>
  <si>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</si>
  <si>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</si>
  <si>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</si>
  <si>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</si>
  <si>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</si>
  <si>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</si>
  <si>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</si>
  <si>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</si>
  <si>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</si>
  <si>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</si>
  <si>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</si>
  <si>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</si>
  <si>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</si>
  <si>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</si>
  <si>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</si>
  <si>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</si>
  <si>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</si>
  <si>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</si>
  <si>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</si>
  <si>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</si>
  <si>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</si>
  <si>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</si>
  <si>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</si>
  <si>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</si>
  <si>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</si>
  <si>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</si>
  <si>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</si>
  <si>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</si>
  <si>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</si>
  <si>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</si>
  <si>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</si>
  <si>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</si>
  <si>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</si>
  <si>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</si>
  <si>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</si>
  <si>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</si>
  <si>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</si>
  <si>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</si>
  <si>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</si>
  <si>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</si>
  <si>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</si>
  <si>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</si>
  <si>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</si>
  <si>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</si>
  <si>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</si>
  <si>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</si>
  <si>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</si>
  <si>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</si>
  <si>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</si>
  <si>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</si>
  <si>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</si>
  <si>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</si>
  <si>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</si>
  <si>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</si>
  <si>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</si>
  <si>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</si>
  <si>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</si>
  <si>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</si>
  <si>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</si>
  <si>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</si>
  <si>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</si>
  <si>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</si>
  <si>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</si>
  <si>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</si>
  <si>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</si>
  <si>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</si>
  <si>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</si>
  <si>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</si>
  <si>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</si>
  <si>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</si>
  <si>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</si>
  <si>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</si>
  <si>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</si>
  <si>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</si>
  <si>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</si>
  <si>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</si>
  <si>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</si>
  <si>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</si>
  <si>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</si>
  <si>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</si>
  <si>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</si>
  <si>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</si>
  <si>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</si>
  <si>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</si>
  <si>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</si>
  <si>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</si>
  <si>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</si>
  <si>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</si>
  <si>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</si>
  <si>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</si>
  <si>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</si>
  <si>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</si>
  <si>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</si>
  <si>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</si>
  <si>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</si>
  <si>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</si>
  <si>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</si>
  <si>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</si>
  <si>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</si>
  <si>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</si>
  <si>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</si>
  <si>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</si>
  <si>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</si>
  <si>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</si>
  <si>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</si>
  <si>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</si>
  <si>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</si>
  <si>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</si>
  <si>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</si>
  <si>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</si>
  <si>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</si>
  <si>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</si>
  <si>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</si>
  <si>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</si>
  <si>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</si>
  <si>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</si>
  <si>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</si>
  <si>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</si>
  <si>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</si>
  <si>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</si>
  <si>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</si>
  <si>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</si>
  <si>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</si>
  <si>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</si>
  <si>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</si>
  <si>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</si>
  <si>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</si>
  <si>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</si>
  <si>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</si>
  <si>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</si>
  <si>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</si>
  <si>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</si>
  <si>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</si>
  <si>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</si>
  <si>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</si>
  <si>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</si>
  <si>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</si>
  <si>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</si>
  <si>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</si>
  <si>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</si>
  <si>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</si>
  <si>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</si>
  <si>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</si>
  <si>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</si>
  <si>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</si>
  <si>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</si>
  <si>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</si>
  <si>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</si>
  <si>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</si>
  <si>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</si>
  <si>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</si>
  <si>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</si>
  <si>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</si>
  <si>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</si>
  <si>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</si>
  <si>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</si>
  <si>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</si>
  <si>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</si>
  <si>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</si>
  <si>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</si>
  <si>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</si>
  <si>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</si>
  <si>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</si>
  <si>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</si>
  <si>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</si>
  <si>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</si>
  <si>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</si>
  <si>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</si>
  <si>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</si>
  <si>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</si>
  <si>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</si>
  <si>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</si>
  <si>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</si>
  <si>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</si>
  <si>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</si>
  <si>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</si>
  <si>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</si>
  <si>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</si>
  <si>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</si>
  <si>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</si>
  <si>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</si>
  <si>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</si>
  <si>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</si>
  <si>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</si>
  <si>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</si>
  <si>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</si>
  <si>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</si>
  <si>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</si>
  <si>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</si>
  <si>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</si>
  <si>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</si>
  <si>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</si>
  <si>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</si>
  <si>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</si>
  <si>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</si>
  <si>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</si>
  <si>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</si>
  <si>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</si>
  <si>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</si>
  <si>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</si>
  <si>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</si>
  <si>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</si>
  <si>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</si>
  <si>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</si>
  <si>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</si>
  <si>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</si>
  <si>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</si>
  <si>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</si>
  <si>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</si>
  <si>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</si>
  <si>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</si>
  <si>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</si>
  <si>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</si>
  <si>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</si>
  <si>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</si>
  <si>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</si>
  <si>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</si>
  <si>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</si>
  <si>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</si>
  <si>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</si>
  <si>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</si>
  <si>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</si>
  <si>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</si>
  <si>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</si>
  <si>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</si>
  <si>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</si>
  <si>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</si>
  <si>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</si>
  <si>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</si>
  <si>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</si>
  <si>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</si>
  <si>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</si>
  <si>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</si>
  <si>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</si>
  <si>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</si>
  <si>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</si>
  <si>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</si>
  <si>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</si>
  <si>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</si>
  <si>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</si>
  <si>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</si>
  <si>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</si>
  <si>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</si>
  <si>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</si>
  <si>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</si>
  <si>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</si>
  <si>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</si>
  <si>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</si>
  <si>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</si>
  <si>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</si>
  <si>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</si>
  <si>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</si>
  <si>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</si>
  <si>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</si>
  <si>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</si>
  <si>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</si>
  <si>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</si>
  <si>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</si>
  <si>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</si>
  <si>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</si>
  <si>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</si>
  <si>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</si>
  <si>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</si>
  <si>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</si>
  <si>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</si>
  <si>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</si>
  <si>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</si>
  <si>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</si>
  <si>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</si>
  <si>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</si>
  <si>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</si>
  <si>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</si>
  <si>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</si>
  <si>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</si>
  <si>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</si>
  <si>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</si>
  <si>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</si>
  <si>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</si>
  <si>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</si>
  <si>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</si>
  <si>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</si>
  <si>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</si>
  <si>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</si>
  <si>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</si>
  <si>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</si>
  <si>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</si>
  <si>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</si>
  <si>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</si>
  <si>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</si>
  <si>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</si>
  <si>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</si>
  <si>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</si>
  <si>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</si>
  <si>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</si>
  <si>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</si>
  <si>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</si>
  <si>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</si>
  <si>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</si>
  <si>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</si>
  <si>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</si>
  <si>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</si>
  <si>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</si>
  <si>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</si>
  <si>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</si>
  <si>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</si>
  <si>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</si>
  <si>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</si>
  <si>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</si>
  <si>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</si>
  <si>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</si>
  <si>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</si>
  <si>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</si>
  <si>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</si>
  <si>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</si>
  <si>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</si>
  <si>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</si>
  <si>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</si>
  <si>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</si>
  <si>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</si>
  <si>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</si>
  <si>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</si>
  <si>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</si>
  <si>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</si>
  <si>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</si>
  <si>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</si>
  <si>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</si>
  <si>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</si>
  <si>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</si>
  <si>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</si>
  <si>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</si>
  <si>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</si>
  <si>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</si>
  <si>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</si>
  <si>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</si>
  <si>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</si>
  <si>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</si>
  <si>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</si>
  <si>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</si>
  <si>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</si>
  <si>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</si>
  <si>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</si>
  <si>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</si>
  <si>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</si>
  <si>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</si>
  <si>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</si>
  <si>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</si>
  <si>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</si>
  <si>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</si>
  <si>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</si>
  <si>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</si>
  <si>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</si>
  <si>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</si>
  <si>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</si>
  <si>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</si>
  <si>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</si>
  <si>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</si>
  <si>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</si>
  <si>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</si>
  <si>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</si>
  <si>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</si>
  <si>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</si>
  <si>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</si>
  <si>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</si>
  <si>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</si>
  <si>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</si>
  <si>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</si>
  <si>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</si>
  <si>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</si>
  <si>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</si>
  <si>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</si>
  <si>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</si>
  <si>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</si>
  <si>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</si>
  <si>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</si>
  <si>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</si>
  <si>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</si>
  <si>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</si>
  <si>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</si>
  <si>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</si>
  <si>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</si>
  <si>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</si>
  <si>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</si>
  <si>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</si>
  <si>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</si>
  <si>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</si>
  <si>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</si>
  <si>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</si>
  <si>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</si>
  <si>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</si>
  <si>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</si>
  <si>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</si>
  <si>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</si>
  <si>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</si>
  <si>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</si>
  <si>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</si>
  <si>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</si>
  <si>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</si>
  <si>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</si>
  <si>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</si>
  <si>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</si>
  <si>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</si>
  <si>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</si>
  <si>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</si>
  <si>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</si>
  <si>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</si>
  <si>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</si>
  <si>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</si>
  <si>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</si>
  <si>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</si>
  <si>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</si>
  <si>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</si>
  <si>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</si>
  <si>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</si>
  <si>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</si>
  <si>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</si>
  <si>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</si>
  <si>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</si>
  <si>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</si>
  <si>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</si>
  <si>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</si>
  <si>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</si>
  <si>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</si>
  <si>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</si>
  <si>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</si>
  <si>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</si>
  <si>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</si>
  <si>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</si>
  <si>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</si>
  <si>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</si>
  <si>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</si>
  <si>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</si>
  <si>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</si>
  <si>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</si>
  <si>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</si>
  <si>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</si>
  <si>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</si>
  <si>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</si>
  <si>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</si>
  <si>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</si>
  <si>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</si>
  <si>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</si>
  <si>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</si>
  <si>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</si>
  <si>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</si>
  <si>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</si>
  <si>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</si>
  <si>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</si>
  <si>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</si>
  <si>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</si>
  <si>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</si>
  <si>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</si>
  <si>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</si>
  <si>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</si>
  <si>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</si>
  <si>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</si>
  <si>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</si>
  <si>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</si>
  <si>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</si>
  <si>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</si>
  <si>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</si>
  <si>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</si>
  <si>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</si>
  <si>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</si>
  <si>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</si>
  <si>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</si>
  <si>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</si>
  <si>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</si>
  <si>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</si>
  <si>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</si>
  <si>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</si>
  <si>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</si>
  <si>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</si>
  <si>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</si>
  <si>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</si>
  <si>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</si>
  <si>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</si>
  <si>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</si>
  <si>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</si>
  <si>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</si>
  <si>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</si>
  <si>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</si>
  <si>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</si>
  <si>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</si>
  <si>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</si>
  <si>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</si>
  <si>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</si>
  <si>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</si>
  <si>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</si>
  <si>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</si>
  <si>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</si>
  <si>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</si>
  <si>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</si>
  <si>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</si>
  <si>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</si>
  <si>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</si>
  <si>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</si>
  <si>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</si>
  <si>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</si>
  <si>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</si>
  <si>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</si>
  <si>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</si>
  <si>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</si>
  <si>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</si>
  <si>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</si>
  <si>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</si>
  <si>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</si>
  <si>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</si>
  <si>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</si>
  <si>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</si>
  <si>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</si>
  <si>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</si>
  <si>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</si>
  <si>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</si>
  <si>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</si>
  <si>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</si>
  <si>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</si>
  <si>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</si>
  <si>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</si>
  <si>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</si>
  <si>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</si>
  <si>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</si>
  <si>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</si>
  <si>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</si>
  <si>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</si>
  <si>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</si>
  <si>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</si>
  <si>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</si>
  <si>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</si>
  <si>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</si>
  <si>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</si>
  <si>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</si>
  <si>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</si>
  <si>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</si>
  <si>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</si>
  <si>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</si>
  <si>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</si>
  <si>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</si>
  <si>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</si>
  <si>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</si>
  <si>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</si>
  <si>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</si>
  <si>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</si>
  <si>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</si>
  <si>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</si>
  <si>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</si>
  <si>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</si>
  <si>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</si>
  <si>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</si>
  <si>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</si>
  <si>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</si>
  <si>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</si>
  <si>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</si>
  <si>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</si>
  <si>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</si>
  <si>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</si>
  <si>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</si>
  <si>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</si>
  <si>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</si>
  <si>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</si>
  <si>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</si>
  <si>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</si>
  <si>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</si>
  <si>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</si>
  <si>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</si>
  <si>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</si>
  <si>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</si>
  <si>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</si>
  <si>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</si>
  <si>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</si>
  <si>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</si>
  <si>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</si>
  <si>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</si>
  <si>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</si>
  <si>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</si>
  <si>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</si>
  <si>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</si>
  <si>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</si>
  <si>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</si>
  <si>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</si>
  <si>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</si>
  <si>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</si>
  <si>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</si>
  <si>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</si>
  <si>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</si>
  <si>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</si>
  <si>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</si>
  <si>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</si>
  <si>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</si>
  <si>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</si>
  <si>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</si>
  <si>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</si>
  <si>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</si>
  <si>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</si>
  <si>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</si>
  <si>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</si>
  <si>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</si>
  <si>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</si>
  <si>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</si>
  <si>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</si>
  <si>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</si>
  <si>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</si>
  <si>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</si>
  <si>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</si>
  <si>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</si>
  <si>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</si>
  <si>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</si>
  <si>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</si>
  <si>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</si>
  <si>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</si>
  <si>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</si>
  <si>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</si>
  <si>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</si>
  <si>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</si>
  <si>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</si>
  <si>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</si>
  <si>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</si>
  <si>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</si>
  <si>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</si>
  <si>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</si>
  <si>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</si>
  <si>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</si>
  <si>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</si>
  <si>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</si>
  <si>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</si>
  <si>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</si>
  <si>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</si>
  <si>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</si>
  <si>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</si>
  <si>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</si>
  <si>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</si>
  <si>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</si>
  <si>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</si>
  <si>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</si>
  <si>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</si>
  <si>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</si>
  <si>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</si>
  <si>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</si>
  <si>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</si>
  <si>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</si>
  <si>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</si>
  <si>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</si>
  <si>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</si>
  <si>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</si>
  <si>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</si>
  <si>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</si>
  <si>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</si>
  <si>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</si>
  <si>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</si>
  <si>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</si>
  <si>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</si>
  <si>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</si>
  <si>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</si>
  <si>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</si>
  <si>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</si>
  <si>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</si>
  <si>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</si>
  <si>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</si>
  <si>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</si>
  <si>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</si>
  <si>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</si>
  <si>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</si>
  <si>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</si>
  <si>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</si>
  <si>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</si>
  <si>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</si>
  <si>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</si>
  <si>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</si>
  <si>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</si>
  <si>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</si>
  <si>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</si>
  <si>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</si>
  <si>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</si>
  <si>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</si>
  <si>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</si>
  <si>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</si>
  <si>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</si>
  <si>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</si>
  <si>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</si>
  <si>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</si>
  <si>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</si>
  <si>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</si>
  <si>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</si>
  <si>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</si>
  <si>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</si>
  <si>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</si>
  <si>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</si>
  <si>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</si>
  <si>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</si>
  <si>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</si>
  <si>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</si>
  <si>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</si>
  <si>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</si>
  <si>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</si>
  <si>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</si>
  <si>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</si>
  <si>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</si>
  <si>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</si>
  <si>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</si>
  <si>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</si>
  <si>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</si>
  <si>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</si>
  <si>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</si>
  <si>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</si>
  <si>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</si>
  <si>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</si>
  <si>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</si>
  <si>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</si>
  <si>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</si>
  <si>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</si>
  <si>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</si>
  <si>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</si>
  <si>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</si>
  <si>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</si>
  <si>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</si>
  <si>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</si>
  <si>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</si>
  <si>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</si>
  <si>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</si>
  <si>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</si>
  <si>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</si>
  <si>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</si>
  <si>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</si>
  <si>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</si>
  <si>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</si>
  <si>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</si>
  <si>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</si>
  <si>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</si>
  <si>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</si>
  <si>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</si>
  <si>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</si>
  <si>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</si>
  <si>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</si>
  <si>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</si>
  <si>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</si>
  <si>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</si>
  <si>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</si>
  <si>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</si>
  <si>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</si>
  <si>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</si>
  <si>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</si>
  <si>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</si>
  <si>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</si>
  <si>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</si>
  <si>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</si>
  <si>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</si>
  <si>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</si>
  <si>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</si>
  <si>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</si>
  <si>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</si>
  <si>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</si>
  <si>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</si>
  <si>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</si>
  <si>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</si>
  <si>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</si>
  <si>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</si>
  <si>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</si>
  <si>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</si>
  <si>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</si>
  <si>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</si>
  <si>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</si>
  <si>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</si>
  <si>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</si>
  <si>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</si>
  <si>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</si>
  <si>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</si>
  <si>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</si>
  <si>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</si>
  <si>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</si>
  <si>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</si>
  <si>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</si>
  <si>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</si>
  <si>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</si>
  <si>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</si>
  <si>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</si>
  <si>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</si>
  <si>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</si>
  <si>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</si>
  <si>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</si>
  <si>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</si>
  <si>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</si>
  <si>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</si>
  <si>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</si>
  <si>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</si>
  <si>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</si>
  <si>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</si>
  <si>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</si>
  <si>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</si>
  <si>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</si>
  <si>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</si>
  <si>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</si>
  <si>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</si>
  <si>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</si>
  <si>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</si>
  <si>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</si>
  <si>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</si>
  <si>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</si>
  <si>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</si>
  <si>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</si>
  <si>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</si>
  <si>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</si>
  <si>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</si>
  <si>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</si>
  <si>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</si>
  <si>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</si>
  <si>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</si>
  <si>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</si>
  <si>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</si>
  <si>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</si>
  <si>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</si>
  <si>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</si>
  <si>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</si>
  <si>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</si>
  <si>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</si>
  <si>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</si>
  <si>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</si>
  <si>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</si>
  <si>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</si>
  <si>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</si>
  <si>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</si>
  <si>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</si>
  <si>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</si>
  <si>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</si>
  <si>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</si>
  <si>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</si>
  <si>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</si>
  <si>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</si>
  <si>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</si>
  <si>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</si>
  <si>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</si>
  <si>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</si>
  <si>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</si>
  <si>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</si>
  <si>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</si>
  <si>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</si>
  <si>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</si>
  <si>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</si>
  <si>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</si>
  <si>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</si>
  <si>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</si>
  <si>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</si>
  <si>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</si>
  <si>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</si>
  <si>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</si>
  <si>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</si>
  <si>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</si>
  <si>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</si>
  <si>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</si>
  <si>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</si>
  <si>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</si>
  <si>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</si>
  <si>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</si>
  <si>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</si>
  <si>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</si>
  <si>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</si>
  <si>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</si>
  <si>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</si>
  <si>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</si>
  <si>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</si>
  <si>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</si>
  <si>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</si>
  <si>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129418</t>
  </si>
  <si>
    <t>2016-5</t>
  </si>
  <si>
    <t>2016-6</t>
  </si>
  <si>
    <t>Columna3</t>
  </si>
  <si>
    <t>Columna4</t>
  </si>
  <si>
    <t>Columna5</t>
  </si>
  <si>
    <t>Columna6</t>
  </si>
  <si>
    <t>CÓD REFERENCIAL</t>
  </si>
  <si>
    <t>PO</t>
  </si>
  <si>
    <t>admin</t>
  </si>
  <si>
    <t>Borrar</t>
  </si>
  <si>
    <t>DE FECHA</t>
  </si>
  <si>
    <t>A FECHA</t>
  </si>
  <si>
    <t>Tiene vacíos en la fecha de inicio</t>
  </si>
  <si>
    <t>Tiene problemas de pedido mínimo de grupo</t>
  </si>
  <si>
    <t>Tiene vacíos en la fecha de fin</t>
  </si>
  <si>
    <t>Tiene filas con código vacío</t>
  </si>
  <si>
    <t>0</t>
  </si>
  <si>
    <t>Default</t>
  </si>
  <si>
    <t>=</t>
  </si>
  <si>
    <t>G</t>
  </si>
  <si>
    <t>Pedido Calculado</t>
  </si>
  <si>
    <t>ESTADO</t>
  </si>
  <si>
    <t>ACT</t>
  </si>
  <si>
    <t>L</t>
  </si>
  <si>
    <t>V</t>
  </si>
  <si>
    <t>-</t>
  </si>
  <si>
    <t>INV FÍSICO</t>
  </si>
  <si>
    <t>COD VINCULADO</t>
  </si>
  <si>
    <t>R</t>
  </si>
  <si>
    <t>DETALLE REQUERIMIENTOS</t>
  </si>
  <si>
    <t>HOSPICARE</t>
  </si>
  <si>
    <t>buh_estado_reposiciones</t>
  </si>
  <si>
    <t>buh_fecha_nuevo_pedido</t>
  </si>
  <si>
    <t>buh_fecha_esperada_arribo</t>
  </si>
  <si>
    <t>MAC</t>
  </si>
  <si>
    <t>A</t>
  </si>
  <si>
    <t>TRANSFERENCIA CARGADA</t>
  </si>
  <si>
    <t>Chatani</t>
  </si>
  <si>
    <t>131118112056333</t>
  </si>
  <si>
    <t>131118112416746</t>
  </si>
  <si>
    <t>131118121547433</t>
  </si>
  <si>
    <t>131118122504946</t>
  </si>
  <si>
    <t>131118161106853</t>
  </si>
  <si>
    <t>131119095735911</t>
  </si>
  <si>
    <t>131119103235578</t>
  </si>
  <si>
    <t>131120083035878</t>
  </si>
  <si>
    <t>131120084234866</t>
  </si>
  <si>
    <t>131120090232556</t>
  </si>
  <si>
    <t>131120091009777</t>
  </si>
  <si>
    <t>131120104528409</t>
  </si>
  <si>
    <t>131120112941985</t>
  </si>
  <si>
    <t>131120113451738</t>
  </si>
  <si>
    <t>131120114206666</t>
  </si>
  <si>
    <t>131120130533861</t>
  </si>
  <si>
    <t>131120160907383</t>
  </si>
  <si>
    <t>140604163356084</t>
  </si>
  <si>
    <t>140605103820669</t>
  </si>
  <si>
    <t>140605132820686</t>
  </si>
  <si>
    <t>140606090927307</t>
  </si>
  <si>
    <t>140808105156491</t>
  </si>
  <si>
    <t>150210120423626</t>
  </si>
  <si>
    <t>150210122527290</t>
  </si>
  <si>
    <t>150210145755547</t>
  </si>
  <si>
    <t>150210153425262</t>
  </si>
  <si>
    <t>150210154043660</t>
  </si>
  <si>
    <t>150224124337287</t>
  </si>
  <si>
    <t>150224130226480</t>
  </si>
  <si>
    <t>150224172903528</t>
  </si>
  <si>
    <t>150922112546408</t>
  </si>
  <si>
    <t>150923200053765</t>
  </si>
  <si>
    <t>150928171746836</t>
  </si>
  <si>
    <t>150929100326222</t>
  </si>
  <si>
    <t>151204181722571</t>
  </si>
  <si>
    <t>160229123602223</t>
  </si>
  <si>
    <t>160915132338979</t>
  </si>
  <si>
    <t>160915132745270</t>
  </si>
  <si>
    <t>170116162805322</t>
  </si>
  <si>
    <t>170322111236563</t>
  </si>
  <si>
    <t>170915163718126</t>
  </si>
  <si>
    <t>10000000009</t>
  </si>
  <si>
    <t>10000000011</t>
  </si>
  <si>
    <t>10000000012</t>
  </si>
  <si>
    <t>10000000013</t>
  </si>
  <si>
    <t>10000000014</t>
  </si>
  <si>
    <t>10000000015</t>
  </si>
  <si>
    <t>10000000021</t>
  </si>
  <si>
    <t>10000000026</t>
  </si>
  <si>
    <t>10000000041</t>
  </si>
  <si>
    <t>10000000042</t>
  </si>
  <si>
    <t>10000000043</t>
  </si>
  <si>
    <t>10000000044</t>
  </si>
  <si>
    <t>10000000048</t>
  </si>
  <si>
    <t>10000000056</t>
  </si>
  <si>
    <t>10000000060</t>
  </si>
  <si>
    <t>10000000061</t>
  </si>
  <si>
    <t>10000000062</t>
  </si>
  <si>
    <t>10000000063</t>
  </si>
  <si>
    <t>10000000064</t>
  </si>
  <si>
    <t>10000000065</t>
  </si>
  <si>
    <t>10000000067</t>
  </si>
  <si>
    <t>10000000068</t>
  </si>
  <si>
    <t>10000000070</t>
  </si>
  <si>
    <t>10000000071</t>
  </si>
  <si>
    <t>10000000079</t>
  </si>
  <si>
    <t>10000000080</t>
  </si>
  <si>
    <t>10000000083</t>
  </si>
  <si>
    <t>10000000084</t>
  </si>
  <si>
    <t>10000000085</t>
  </si>
  <si>
    <t>10000000086</t>
  </si>
  <si>
    <t>10000000089</t>
  </si>
  <si>
    <t>10000000094</t>
  </si>
  <si>
    <t>10000000095</t>
  </si>
  <si>
    <t>10000000096</t>
  </si>
  <si>
    <t>10000000103</t>
  </si>
  <si>
    <t>10000000105</t>
  </si>
  <si>
    <t>10000000106</t>
  </si>
  <si>
    <t>10000000107</t>
  </si>
  <si>
    <t>10000000108</t>
  </si>
  <si>
    <t>10000000109</t>
  </si>
  <si>
    <t>10000000110</t>
  </si>
  <si>
    <t>10000000113</t>
  </si>
  <si>
    <t>10000000115</t>
  </si>
  <si>
    <t>10000000116</t>
  </si>
  <si>
    <t>10000000117</t>
  </si>
  <si>
    <t>10000000118</t>
  </si>
  <si>
    <t>10000000119</t>
  </si>
  <si>
    <t>10000000121</t>
  </si>
  <si>
    <t>10000000122</t>
  </si>
  <si>
    <t>10000000126</t>
  </si>
  <si>
    <t>10000000127</t>
  </si>
  <si>
    <t>10000000128</t>
  </si>
  <si>
    <t>10000000132</t>
  </si>
  <si>
    <t>10000000133</t>
  </si>
  <si>
    <t>10000000136</t>
  </si>
  <si>
    <t>10000000137</t>
  </si>
  <si>
    <t>10000000142</t>
  </si>
  <si>
    <t>10000000145</t>
  </si>
  <si>
    <t>10000000148</t>
  </si>
  <si>
    <t>10000000149</t>
  </si>
  <si>
    <t>10000000150</t>
  </si>
  <si>
    <t>10000000151</t>
  </si>
  <si>
    <t>10000000152</t>
  </si>
  <si>
    <t>10000000153</t>
  </si>
  <si>
    <t>10000000154</t>
  </si>
  <si>
    <t>10000000155</t>
  </si>
  <si>
    <t>10000000156</t>
  </si>
  <si>
    <t>10000000157</t>
  </si>
  <si>
    <t>10000000162</t>
  </si>
  <si>
    <t>10000000164</t>
  </si>
  <si>
    <t>10000000168</t>
  </si>
  <si>
    <t>10000000169</t>
  </si>
  <si>
    <t>10000000172</t>
  </si>
  <si>
    <t>10000000173</t>
  </si>
  <si>
    <t>10000000174</t>
  </si>
  <si>
    <t>10000000175</t>
  </si>
  <si>
    <t>10000000177</t>
  </si>
  <si>
    <t>10000000178</t>
  </si>
  <si>
    <t>10000000179</t>
  </si>
  <si>
    <t>10000000181</t>
  </si>
  <si>
    <t>10000000182</t>
  </si>
  <si>
    <t>10000000184</t>
  </si>
  <si>
    <t>10000000185</t>
  </si>
  <si>
    <t>10000000187</t>
  </si>
  <si>
    <t>10000000188</t>
  </si>
  <si>
    <t>10000000189</t>
  </si>
  <si>
    <t>10000000192</t>
  </si>
  <si>
    <t>10000000193</t>
  </si>
  <si>
    <t>10000000194</t>
  </si>
  <si>
    <t>10000000195</t>
  </si>
  <si>
    <t>10000000196</t>
  </si>
  <si>
    <t>10000000200</t>
  </si>
  <si>
    <t>10000000220</t>
  </si>
  <si>
    <t>10000000225</t>
  </si>
  <si>
    <t>10000000233</t>
  </si>
  <si>
    <t>10000000234</t>
  </si>
  <si>
    <t>10000000235</t>
  </si>
  <si>
    <t>10000000236</t>
  </si>
  <si>
    <t>10000000237</t>
  </si>
  <si>
    <t>10000000239</t>
  </si>
  <si>
    <t>10000000244</t>
  </si>
  <si>
    <t>10000000251</t>
  </si>
  <si>
    <t>10000000252</t>
  </si>
  <si>
    <t>10000000255</t>
  </si>
  <si>
    <t>10000000261</t>
  </si>
  <si>
    <t>10000000262</t>
  </si>
  <si>
    <t>10000000272</t>
  </si>
  <si>
    <t>10000000277</t>
  </si>
  <si>
    <t>10000000279</t>
  </si>
  <si>
    <t>10000000280</t>
  </si>
  <si>
    <t>10000000286</t>
  </si>
  <si>
    <t>10000000287</t>
  </si>
  <si>
    <t>10000000296</t>
  </si>
  <si>
    <t>10000000301</t>
  </si>
  <si>
    <t>10000000302</t>
  </si>
  <si>
    <t>10000000311</t>
  </si>
  <si>
    <t>10000000333</t>
  </si>
  <si>
    <t>10000000344</t>
  </si>
  <si>
    <t>10000000349</t>
  </si>
  <si>
    <t>10000000350</t>
  </si>
  <si>
    <t>10000000353</t>
  </si>
  <si>
    <t>10000000360</t>
  </si>
  <si>
    <t>10000000364</t>
  </si>
  <si>
    <t>10000000372</t>
  </si>
  <si>
    <t>10000000373</t>
  </si>
  <si>
    <t>10000000374</t>
  </si>
  <si>
    <t>10000000375</t>
  </si>
  <si>
    <t>10000000376</t>
  </si>
  <si>
    <t>10000000377</t>
  </si>
  <si>
    <t>10000000378</t>
  </si>
  <si>
    <t>10000000380</t>
  </si>
  <si>
    <t>10000000383</t>
  </si>
  <si>
    <t>10000000387</t>
  </si>
  <si>
    <t>10000000389</t>
  </si>
  <si>
    <t>10000000392</t>
  </si>
  <si>
    <t>10000000394</t>
  </si>
  <si>
    <t>10000000401</t>
  </si>
  <si>
    <t>10000000408</t>
  </si>
  <si>
    <t>10000000412</t>
  </si>
  <si>
    <t>10000000418</t>
  </si>
  <si>
    <t>10000000442</t>
  </si>
  <si>
    <t>10000000452</t>
  </si>
  <si>
    <t>10000000461</t>
  </si>
  <si>
    <t>10000000465</t>
  </si>
  <si>
    <t>10000000478</t>
  </si>
  <si>
    <t>10000000487</t>
  </si>
  <si>
    <t>10000000503</t>
  </si>
  <si>
    <t>10000000504</t>
  </si>
  <si>
    <t>10000000506</t>
  </si>
  <si>
    <t>10000000510</t>
  </si>
  <si>
    <t>10000000516</t>
  </si>
  <si>
    <t>10000000517</t>
  </si>
  <si>
    <t>10000000519</t>
  </si>
  <si>
    <t>10000000520</t>
  </si>
  <si>
    <t>10000000524</t>
  </si>
  <si>
    <t>10000000525</t>
  </si>
  <si>
    <t>10000000526</t>
  </si>
  <si>
    <t>10000000527</t>
  </si>
  <si>
    <t>10000000528</t>
  </si>
  <si>
    <t>10000000530</t>
  </si>
  <si>
    <t>10000000531</t>
  </si>
  <si>
    <t>10000000534</t>
  </si>
  <si>
    <t>10000000535</t>
  </si>
  <si>
    <t>10000000536</t>
  </si>
  <si>
    <t>10000000537</t>
  </si>
  <si>
    <t>10000000541</t>
  </si>
  <si>
    <t>10000000542</t>
  </si>
  <si>
    <t>10000000543</t>
  </si>
  <si>
    <t>10000000546</t>
  </si>
  <si>
    <t>10000000551</t>
  </si>
  <si>
    <t>10000000553</t>
  </si>
  <si>
    <t>10000000554</t>
  </si>
  <si>
    <t>10000000557</t>
  </si>
  <si>
    <t>10000000558</t>
  </si>
  <si>
    <t>10000000559</t>
  </si>
  <si>
    <t>10000000560</t>
  </si>
  <si>
    <t>10000000562</t>
  </si>
  <si>
    <t>10000000563</t>
  </si>
  <si>
    <t>10000000564</t>
  </si>
  <si>
    <t>10000000565</t>
  </si>
  <si>
    <t>10000000566</t>
  </si>
  <si>
    <t>10000000570</t>
  </si>
  <si>
    <t>10000000571</t>
  </si>
  <si>
    <t>10000000573</t>
  </si>
  <si>
    <t>10000000574</t>
  </si>
  <si>
    <t>10000000580</t>
  </si>
  <si>
    <t>10000000581</t>
  </si>
  <si>
    <t>10000000594</t>
  </si>
  <si>
    <t>10000000596</t>
  </si>
  <si>
    <t>10000000599</t>
  </si>
  <si>
    <t>10000000600</t>
  </si>
  <si>
    <t>10000000601</t>
  </si>
  <si>
    <t>10000000606</t>
  </si>
  <si>
    <t>10000000608</t>
  </si>
  <si>
    <t>10000000610</t>
  </si>
  <si>
    <t>10000000612</t>
  </si>
  <si>
    <t>10000000613</t>
  </si>
  <si>
    <t>10000000614</t>
  </si>
  <si>
    <t>10000000633</t>
  </si>
  <si>
    <t>10000000635</t>
  </si>
  <si>
    <t>10000000637</t>
  </si>
  <si>
    <t>10000000643</t>
  </si>
  <si>
    <t>10000000644</t>
  </si>
  <si>
    <t>10000000646</t>
  </si>
  <si>
    <t>10000000648</t>
  </si>
  <si>
    <t>10000000649</t>
  </si>
  <si>
    <t>10000000651</t>
  </si>
  <si>
    <t>10000000652</t>
  </si>
  <si>
    <t>10000000653</t>
  </si>
  <si>
    <t>10000000654</t>
  </si>
  <si>
    <t>10000000657</t>
  </si>
  <si>
    <t>10000000659</t>
  </si>
  <si>
    <t>10000000667</t>
  </si>
  <si>
    <t>10000000670</t>
  </si>
  <si>
    <t>10000000674</t>
  </si>
  <si>
    <t>10000000679</t>
  </si>
  <si>
    <t>10000000680</t>
  </si>
  <si>
    <t>10000000681</t>
  </si>
  <si>
    <t>10000000682</t>
  </si>
  <si>
    <t>10000000683</t>
  </si>
  <si>
    <t>10000000684</t>
  </si>
  <si>
    <t>10000000685</t>
  </si>
  <si>
    <t>10000000687</t>
  </si>
  <si>
    <t>10000000688</t>
  </si>
  <si>
    <t>10000000689</t>
  </si>
  <si>
    <t>10000000690</t>
  </si>
  <si>
    <t>10000000695</t>
  </si>
  <si>
    <t>10000000698</t>
  </si>
  <si>
    <t>10000000699</t>
  </si>
  <si>
    <t>10000000700</t>
  </si>
  <si>
    <t>10000000707</t>
  </si>
  <si>
    <t>10000000716</t>
  </si>
  <si>
    <t>10000000717</t>
  </si>
  <si>
    <t>10000000723</t>
  </si>
  <si>
    <t>10000000724</t>
  </si>
  <si>
    <t>10000000726</t>
  </si>
  <si>
    <t>10000000731</t>
  </si>
  <si>
    <t>10000000734</t>
  </si>
  <si>
    <t>10000000735</t>
  </si>
  <si>
    <t>10000000736</t>
  </si>
  <si>
    <t>10000000738</t>
  </si>
  <si>
    <t>10000000739</t>
  </si>
  <si>
    <t>10000000742</t>
  </si>
  <si>
    <t>10000000743</t>
  </si>
  <si>
    <t>10000000746</t>
  </si>
  <si>
    <t>10000000747</t>
  </si>
  <si>
    <t>10000000753</t>
  </si>
  <si>
    <t>10000000755</t>
  </si>
  <si>
    <t>10000000756</t>
  </si>
  <si>
    <t>10000000760</t>
  </si>
  <si>
    <t>10000000761</t>
  </si>
  <si>
    <t>10000000766</t>
  </si>
  <si>
    <t>10000000777</t>
  </si>
  <si>
    <t>10000000798</t>
  </si>
  <si>
    <t>10000000799</t>
  </si>
  <si>
    <t>10000000800</t>
  </si>
  <si>
    <t>10000000803</t>
  </si>
  <si>
    <t>10000000804</t>
  </si>
  <si>
    <t>10000000805</t>
  </si>
  <si>
    <t>10000000806</t>
  </si>
  <si>
    <t>10000000808</t>
  </si>
  <si>
    <t>10000000809</t>
  </si>
  <si>
    <t>10000000810</t>
  </si>
  <si>
    <t>10000000813</t>
  </si>
  <si>
    <t>10000000814</t>
  </si>
  <si>
    <t>10000000816</t>
  </si>
  <si>
    <t>10000000819</t>
  </si>
  <si>
    <t>10000000821</t>
  </si>
  <si>
    <t>10000000822</t>
  </si>
  <si>
    <t>10000000825</t>
  </si>
  <si>
    <t>10000000827</t>
  </si>
  <si>
    <t>10000000829</t>
  </si>
  <si>
    <t>10000000832</t>
  </si>
  <si>
    <t>10000000833</t>
  </si>
  <si>
    <t>10000000834</t>
  </si>
  <si>
    <t>10000000835</t>
  </si>
  <si>
    <t>10000000836</t>
  </si>
  <si>
    <t>10000000838</t>
  </si>
  <si>
    <t>10000000841</t>
  </si>
  <si>
    <t>10000000843</t>
  </si>
  <si>
    <t>10000000844</t>
  </si>
  <si>
    <t>10000000845</t>
  </si>
  <si>
    <t>10000000846</t>
  </si>
  <si>
    <t>10000000873</t>
  </si>
  <si>
    <t>10000000877</t>
  </si>
  <si>
    <t>10000000893</t>
  </si>
  <si>
    <t>10000000898</t>
  </si>
  <si>
    <t>10000000904</t>
  </si>
  <si>
    <t>10000000908</t>
  </si>
  <si>
    <t>10000000910</t>
  </si>
  <si>
    <t>10000000921</t>
  </si>
  <si>
    <t>10000000941</t>
  </si>
  <si>
    <t>10000000972</t>
  </si>
  <si>
    <t>10000000973</t>
  </si>
  <si>
    <t>10000000974</t>
  </si>
  <si>
    <t>10000000975</t>
  </si>
  <si>
    <t>10000000976</t>
  </si>
  <si>
    <t>10000000977</t>
  </si>
  <si>
    <t>10000000978</t>
  </si>
  <si>
    <t>10000000979</t>
  </si>
  <si>
    <t>10000000980</t>
  </si>
  <si>
    <t>10000000981</t>
  </si>
  <si>
    <t>10000001010</t>
  </si>
  <si>
    <t>10000001046</t>
  </si>
  <si>
    <t>10000001049</t>
  </si>
  <si>
    <t>10000001058</t>
  </si>
  <si>
    <t>10000001061</t>
  </si>
  <si>
    <t>10000001086</t>
  </si>
  <si>
    <t>10000001117</t>
  </si>
  <si>
    <t>10000001118</t>
  </si>
  <si>
    <t>10000001145</t>
  </si>
  <si>
    <t>10000001156</t>
  </si>
  <si>
    <t>10000001157</t>
  </si>
  <si>
    <t>10000001161</t>
  </si>
  <si>
    <t>10000001162</t>
  </si>
  <si>
    <t>10000001164</t>
  </si>
  <si>
    <t>10000001165</t>
  </si>
  <si>
    <t>10000001169</t>
  </si>
  <si>
    <t>10000001183</t>
  </si>
  <si>
    <t>10000001188</t>
  </si>
  <si>
    <t>10000001189</t>
  </si>
  <si>
    <t>10000001190</t>
  </si>
  <si>
    <t>10000001192</t>
  </si>
  <si>
    <t>10000001196</t>
  </si>
  <si>
    <t>10000001198</t>
  </si>
  <si>
    <t>10000001202</t>
  </si>
  <si>
    <t>10000001203</t>
  </si>
  <si>
    <t>10000001207</t>
  </si>
  <si>
    <t>10000001212</t>
  </si>
  <si>
    <t>10000001214</t>
  </si>
  <si>
    <t>10000001215</t>
  </si>
  <si>
    <t>10000001221</t>
  </si>
  <si>
    <t>10000001222</t>
  </si>
  <si>
    <t>10000001223</t>
  </si>
  <si>
    <t>10000001224</t>
  </si>
  <si>
    <t>10000001226</t>
  </si>
  <si>
    <t>10000001227</t>
  </si>
  <si>
    <t>10000001228</t>
  </si>
  <si>
    <t>10000001229</t>
  </si>
  <si>
    <t>10000001230</t>
  </si>
  <si>
    <t>10000001231</t>
  </si>
  <si>
    <t>10000001232</t>
  </si>
  <si>
    <t>10000001233</t>
  </si>
  <si>
    <t>10000001235</t>
  </si>
  <si>
    <t>10000001237</t>
  </si>
  <si>
    <t>10000001239</t>
  </si>
  <si>
    <t>10000001240</t>
  </si>
  <si>
    <t>10000001266</t>
  </si>
  <si>
    <t>10000001284</t>
  </si>
  <si>
    <t>10000001294</t>
  </si>
  <si>
    <t>10000001295</t>
  </si>
  <si>
    <t>10000001296</t>
  </si>
  <si>
    <t>10000001311</t>
  </si>
  <si>
    <t>10000001314</t>
  </si>
  <si>
    <t>10000001316</t>
  </si>
  <si>
    <t>10000001333</t>
  </si>
  <si>
    <t>10000001346</t>
  </si>
  <si>
    <t>10000001347</t>
  </si>
  <si>
    <t>10000001348</t>
  </si>
  <si>
    <t>10000001351</t>
  </si>
  <si>
    <t>10000001361</t>
  </si>
  <si>
    <t>100702152835923</t>
  </si>
  <si>
    <t>100913103923042</t>
  </si>
  <si>
    <t>100913104459238</t>
  </si>
  <si>
    <t>100913104702338</t>
  </si>
  <si>
    <t>100913105001270</t>
  </si>
  <si>
    <t>100913110011198</t>
  </si>
  <si>
    <t>100913111336065</t>
  </si>
  <si>
    <t>100913113934037</t>
  </si>
  <si>
    <t>100913115046210</t>
  </si>
  <si>
    <t>100913115240277</t>
  </si>
  <si>
    <t>100913115557664</t>
  </si>
  <si>
    <t>100913115750842</t>
  </si>
  <si>
    <t>100913115924925</t>
  </si>
  <si>
    <t>100913120617842</t>
  </si>
  <si>
    <t>100913120847882</t>
  </si>
  <si>
    <t>100913121242460</t>
  </si>
  <si>
    <t>100913122617060</t>
  </si>
  <si>
    <t>100913122839254</t>
  </si>
  <si>
    <t>100913123035786</t>
  </si>
  <si>
    <t>100913123211976</t>
  </si>
  <si>
    <t>100913124259470</t>
  </si>
  <si>
    <t>100913124628463</t>
  </si>
  <si>
    <t>100913124815104</t>
  </si>
  <si>
    <t>100913125118966</t>
  </si>
  <si>
    <t>100913125817857</t>
  </si>
  <si>
    <t>100913130112920</t>
  </si>
  <si>
    <t>100913130317065</t>
  </si>
  <si>
    <t>100930164946524</t>
  </si>
  <si>
    <t>1010201324093</t>
  </si>
  <si>
    <t>10102013241613</t>
  </si>
  <si>
    <t>10102013242119</t>
  </si>
  <si>
    <t>10102013242323</t>
  </si>
  <si>
    <t>10102013243032</t>
  </si>
  <si>
    <t>10102013243843</t>
  </si>
  <si>
    <t>10102013244147</t>
  </si>
  <si>
    <t>10102013245974</t>
  </si>
  <si>
    <t>10102013250076</t>
  </si>
  <si>
    <t>10102013250177</t>
  </si>
  <si>
    <t>10102013250480</t>
  </si>
  <si>
    <t>10102013250582</t>
  </si>
  <si>
    <t>10102013250887</t>
  </si>
  <si>
    <t>10102013251697</t>
  </si>
  <si>
    <t>101020132519102</t>
  </si>
  <si>
    <t>101020132521105</t>
  </si>
  <si>
    <t>101020132525110</t>
  </si>
  <si>
    <t>101020132528113</t>
  </si>
  <si>
    <t>101020132528114</t>
  </si>
  <si>
    <t>101020132544136</t>
  </si>
  <si>
    <t>101020132545138</t>
  </si>
  <si>
    <t>101020134011488</t>
  </si>
  <si>
    <t>101020134024506</t>
  </si>
  <si>
    <t>101020134025508</t>
  </si>
  <si>
    <t>101020134026509</t>
  </si>
  <si>
    <t>101020134028512</t>
  </si>
  <si>
    <t>101020134028513</t>
  </si>
  <si>
    <t>101020134029514</t>
  </si>
  <si>
    <t>101020134029515</t>
  </si>
  <si>
    <t>101020134032517</t>
  </si>
  <si>
    <t>101020134032518</t>
  </si>
  <si>
    <t>101020134033519</t>
  </si>
  <si>
    <t>101020134034520</t>
  </si>
  <si>
    <t>101020134034521</t>
  </si>
  <si>
    <t>101020134035522</t>
  </si>
  <si>
    <t>101020134036523</t>
  </si>
  <si>
    <t>101020134036524</t>
  </si>
  <si>
    <t>101130120840321</t>
  </si>
  <si>
    <t>101217103839104</t>
  </si>
  <si>
    <t>101217105729487</t>
  </si>
  <si>
    <t>101217113247248</t>
  </si>
  <si>
    <t>101217114049993</t>
  </si>
  <si>
    <t>101217133604800</t>
  </si>
  <si>
    <t>101217145600161</t>
  </si>
  <si>
    <t>101217151800881</t>
  </si>
  <si>
    <t>101217152459994</t>
  </si>
  <si>
    <t>101217153012027</t>
  </si>
  <si>
    <t>101217160504765</t>
  </si>
  <si>
    <t>101217161456601</t>
  </si>
  <si>
    <t>101220095714038</t>
  </si>
  <si>
    <t>110104101941486</t>
  </si>
  <si>
    <t>110104131959172</t>
  </si>
  <si>
    <t>110104133738996</t>
  </si>
  <si>
    <t>110104152701490</t>
  </si>
  <si>
    <t>110104173503260</t>
  </si>
  <si>
    <t>110105170300750</t>
  </si>
  <si>
    <t>110105170604753</t>
  </si>
  <si>
    <t>110105172843897</t>
  </si>
  <si>
    <t>110105181139145</t>
  </si>
  <si>
    <t>110105190134333</t>
  </si>
  <si>
    <t>110105190415202</t>
  </si>
  <si>
    <t>110105191346243</t>
  </si>
  <si>
    <t>110105191826671</t>
  </si>
  <si>
    <t>110105192215041</t>
  </si>
  <si>
    <t>110105192710600</t>
  </si>
  <si>
    <t>110105193015274</t>
  </si>
  <si>
    <t>110105193138844</t>
  </si>
  <si>
    <t>110105193407528</t>
  </si>
  <si>
    <t>110105193654793</t>
  </si>
  <si>
    <t>110105193837831</t>
  </si>
  <si>
    <t>110105193941511</t>
  </si>
  <si>
    <t>110105194010948</t>
  </si>
  <si>
    <t>110105194308103</t>
  </si>
  <si>
    <t>110105194553480</t>
  </si>
  <si>
    <t>110105194732041</t>
  </si>
  <si>
    <t>110105200606762</t>
  </si>
  <si>
    <t>110105201113475</t>
  </si>
  <si>
    <t>110105203359561</t>
  </si>
  <si>
    <t>110105204628943</t>
  </si>
  <si>
    <t>110105205057920</t>
  </si>
  <si>
    <t>110105205345527</t>
  </si>
  <si>
    <t>110105210031223</t>
  </si>
  <si>
    <t>110105210212671</t>
  </si>
  <si>
    <t>110105210535768</t>
  </si>
  <si>
    <t>110105210854077</t>
  </si>
  <si>
    <t>110105211245146</t>
  </si>
  <si>
    <t>110105211455406</t>
  </si>
  <si>
    <t>110105211525327</t>
  </si>
  <si>
    <t>110105211740986</t>
  </si>
  <si>
    <t>110105211850297</t>
  </si>
  <si>
    <t>110105212036877</t>
  </si>
  <si>
    <t>110105212119902</t>
  </si>
  <si>
    <t>110105212452937</t>
  </si>
  <si>
    <t>110105212526181</t>
  </si>
  <si>
    <t>110105212720576</t>
  </si>
  <si>
    <t>110105212751543</t>
  </si>
  <si>
    <t>110105212809046</t>
  </si>
  <si>
    <t>110105212956187</t>
  </si>
  <si>
    <t>110105213104859</t>
  </si>
  <si>
    <t>110105213324683</t>
  </si>
  <si>
    <t>110105213454508</t>
  </si>
  <si>
    <t>110105214047960</t>
  </si>
  <si>
    <t>110105214159174</t>
  </si>
  <si>
    <t>110105214303821</t>
  </si>
  <si>
    <t>110105214450307</t>
  </si>
  <si>
    <t>110105215124147</t>
  </si>
  <si>
    <t>110105215203132</t>
  </si>
  <si>
    <t>110105215355796</t>
  </si>
  <si>
    <t>110105215412769</t>
  </si>
  <si>
    <t>110105215615042</t>
  </si>
  <si>
    <t>110105215631875</t>
  </si>
  <si>
    <t>110105215649893</t>
  </si>
  <si>
    <t>110105215746022</t>
  </si>
  <si>
    <t>110105215832526</t>
  </si>
  <si>
    <t>110106084908563</t>
  </si>
  <si>
    <t>110106085046687</t>
  </si>
  <si>
    <t>110106085734536</t>
  </si>
  <si>
    <t>110106090010865</t>
  </si>
  <si>
    <t>110106090316584</t>
  </si>
  <si>
    <t>110106091756024</t>
  </si>
  <si>
    <t>110106092331489</t>
  </si>
  <si>
    <t>110106092754584</t>
  </si>
  <si>
    <t>110106093144733</t>
  </si>
  <si>
    <t>110106093616330</t>
  </si>
  <si>
    <t>110106093909616</t>
  </si>
  <si>
    <t>110106094107085</t>
  </si>
  <si>
    <t>110106094545703</t>
  </si>
  <si>
    <t>110106100836991</t>
  </si>
  <si>
    <t>110106101024085</t>
  </si>
  <si>
    <t>110106101243800</t>
  </si>
  <si>
    <t>110106101623980</t>
  </si>
  <si>
    <t>110106101935596</t>
  </si>
  <si>
    <t>110106102109789</t>
  </si>
  <si>
    <t>110106102140693</t>
  </si>
  <si>
    <t>110106102425602</t>
  </si>
  <si>
    <t>110106102704333</t>
  </si>
  <si>
    <t>110106103258517</t>
  </si>
  <si>
    <t>110106103457453</t>
  </si>
  <si>
    <t>110106103751206</t>
  </si>
  <si>
    <t>110106103815199</t>
  </si>
  <si>
    <t>110106104019173</t>
  </si>
  <si>
    <t>110106104457744</t>
  </si>
  <si>
    <t>110106104729705</t>
  </si>
  <si>
    <t>110106104802918</t>
  </si>
  <si>
    <t>110106104940574</t>
  </si>
  <si>
    <t>110106105214532</t>
  </si>
  <si>
    <t>110106105523386</t>
  </si>
  <si>
    <t>110106111102856</t>
  </si>
  <si>
    <t>110106111356126</t>
  </si>
  <si>
    <t>110106111949936</t>
  </si>
  <si>
    <t>110106112007112</t>
  </si>
  <si>
    <t>110106112301209</t>
  </si>
  <si>
    <t>110106112314110</t>
  </si>
  <si>
    <t>110106112735178</t>
  </si>
  <si>
    <t>110106113058946</t>
  </si>
  <si>
    <t>110106113940255</t>
  </si>
  <si>
    <t>110106120230805</t>
  </si>
  <si>
    <t>110106120941933</t>
  </si>
  <si>
    <t>110106121031931</t>
  </si>
  <si>
    <t>110106121059170</t>
  </si>
  <si>
    <t>110106122924045</t>
  </si>
  <si>
    <t>110106123014239</t>
  </si>
  <si>
    <t>110106123053182</t>
  </si>
  <si>
    <t>110106123430885</t>
  </si>
  <si>
    <t>110106125358358</t>
  </si>
  <si>
    <t>110106130038390</t>
  </si>
  <si>
    <t>110106131712534</t>
  </si>
  <si>
    <t>110106132114112</t>
  </si>
  <si>
    <t>110106132446508</t>
  </si>
  <si>
    <t>110106132958644</t>
  </si>
  <si>
    <t>110106141858164</t>
  </si>
  <si>
    <t>110106142102926</t>
  </si>
  <si>
    <t>110106142334832</t>
  </si>
  <si>
    <t>110106142838396</t>
  </si>
  <si>
    <t>110106143124627</t>
  </si>
  <si>
    <t>110106143509208</t>
  </si>
  <si>
    <t>110106143748628</t>
  </si>
  <si>
    <t>110106144125648</t>
  </si>
  <si>
    <t>110106144326137</t>
  </si>
  <si>
    <t>110106145623332</t>
  </si>
  <si>
    <t>110106150021641</t>
  </si>
  <si>
    <t>110106150403511</t>
  </si>
  <si>
    <t>110106150657469</t>
  </si>
  <si>
    <t>110106150932702</t>
  </si>
  <si>
    <t>110106151411225</t>
  </si>
  <si>
    <t>110106151731526</t>
  </si>
  <si>
    <t>110106151809588</t>
  </si>
  <si>
    <t>110106152037215</t>
  </si>
  <si>
    <t>110106152241867</t>
  </si>
  <si>
    <t>110106152301108</t>
  </si>
  <si>
    <t>110106152456633</t>
  </si>
  <si>
    <t>110106152555374</t>
  </si>
  <si>
    <t>110106152757114</t>
  </si>
  <si>
    <t>110106152825123</t>
  </si>
  <si>
    <t>110106152959831</t>
  </si>
  <si>
    <t>110106153110339</t>
  </si>
  <si>
    <t>110106153124799</t>
  </si>
  <si>
    <t>110106153215224</t>
  </si>
  <si>
    <t>110106153245461</t>
  </si>
  <si>
    <t>110106153340592</t>
  </si>
  <si>
    <t>110106153505070</t>
  </si>
  <si>
    <t>110106153525299</t>
  </si>
  <si>
    <t>110106153626942</t>
  </si>
  <si>
    <t>110106153746784</t>
  </si>
  <si>
    <t>110106153827524</t>
  </si>
  <si>
    <t>110106154031924</t>
  </si>
  <si>
    <t>110106154128876</t>
  </si>
  <si>
    <t>110106154332249</t>
  </si>
  <si>
    <t>110106154424651</t>
  </si>
  <si>
    <t>110106154631980</t>
  </si>
  <si>
    <t>110106154754871</t>
  </si>
  <si>
    <t>110106154857387</t>
  </si>
  <si>
    <t>110106155120023</t>
  </si>
  <si>
    <t>110106155419741</t>
  </si>
  <si>
    <t>110106155650361</t>
  </si>
  <si>
    <t>110106161453285</t>
  </si>
  <si>
    <t>110106161816960</t>
  </si>
  <si>
    <t>110106162016675</t>
  </si>
  <si>
    <t>110106162311692</t>
  </si>
  <si>
    <t>110106162749249</t>
  </si>
  <si>
    <t>110106162831245</t>
  </si>
  <si>
    <t>110106162907437</t>
  </si>
  <si>
    <t>110106163217555</t>
  </si>
  <si>
    <t>110106163300144</t>
  </si>
  <si>
    <t>110106163542587</t>
  </si>
  <si>
    <t>110106163808636</t>
  </si>
  <si>
    <t>110106165137393</t>
  </si>
  <si>
    <t>110106171228738</t>
  </si>
  <si>
    <t>110106171538622</t>
  </si>
  <si>
    <t>110106171716201</t>
  </si>
  <si>
    <t>110106171756605</t>
  </si>
  <si>
    <t>110106171901439</t>
  </si>
  <si>
    <t>110106172043324</t>
  </si>
  <si>
    <t>110106172154460</t>
  </si>
  <si>
    <t>110106172235566</t>
  </si>
  <si>
    <t>110106172325362</t>
  </si>
  <si>
    <t>110106172826568</t>
  </si>
  <si>
    <t>110106173346901</t>
  </si>
  <si>
    <t>110106174207649</t>
  </si>
  <si>
    <t>110106174324042</t>
  </si>
  <si>
    <t>110106174520903</t>
  </si>
  <si>
    <t>110106174528671</t>
  </si>
  <si>
    <t>110106175047085</t>
  </si>
  <si>
    <t>110106175155382</t>
  </si>
  <si>
    <t>110106175235943</t>
  </si>
  <si>
    <t>110107090528062</t>
  </si>
  <si>
    <t>110107090711609</t>
  </si>
  <si>
    <t>110107090959265</t>
  </si>
  <si>
    <t>110107091138421</t>
  </si>
  <si>
    <t>110107091452000</t>
  </si>
  <si>
    <t>110107091501281</t>
  </si>
  <si>
    <t>110107091540953</t>
  </si>
  <si>
    <t>110107091745625</t>
  </si>
  <si>
    <t>110107092020000</t>
  </si>
  <si>
    <t>110107092052515</t>
  </si>
  <si>
    <t>110107092300750</t>
  </si>
  <si>
    <t>110107092629421</t>
  </si>
  <si>
    <t>110107093002578</t>
  </si>
  <si>
    <t>110107093306625</t>
  </si>
  <si>
    <t>110107094149890</t>
  </si>
  <si>
    <t>110107094838078</t>
  </si>
  <si>
    <t>110107095828218</t>
  </si>
  <si>
    <t>110107100524062</t>
  </si>
  <si>
    <t>110107100702187</t>
  </si>
  <si>
    <t>110107100850687</t>
  </si>
  <si>
    <t>110107101102359</t>
  </si>
  <si>
    <t>110107102332343</t>
  </si>
  <si>
    <t>110107102505546</t>
  </si>
  <si>
    <t>110107102724140</t>
  </si>
  <si>
    <t>110107103241453</t>
  </si>
  <si>
    <t>110107103348984</t>
  </si>
  <si>
    <t>110107104910156</t>
  </si>
  <si>
    <t>110107105251765</t>
  </si>
  <si>
    <t>110107105441609</t>
  </si>
  <si>
    <t>110107105904671</t>
  </si>
  <si>
    <t>110107105939406</t>
  </si>
  <si>
    <t>110107110302078</t>
  </si>
  <si>
    <t>110107110452968</t>
  </si>
  <si>
    <t>110107110815546</t>
  </si>
  <si>
    <t>110107151723765</t>
  </si>
  <si>
    <t>110107152001296</t>
  </si>
  <si>
    <t>110107164119401</t>
  </si>
  <si>
    <t>110107165342819</t>
  </si>
  <si>
    <t>110107165618522</t>
  </si>
  <si>
    <t>110107170246058</t>
  </si>
  <si>
    <t>110107170403153</t>
  </si>
  <si>
    <t>110107170653567</t>
  </si>
  <si>
    <t>110110092001059</t>
  </si>
  <si>
    <t>110110155708080</t>
  </si>
  <si>
    <t>110111120944100</t>
  </si>
  <si>
    <t>110111123217057</t>
  </si>
  <si>
    <t>110111151756893</t>
  </si>
  <si>
    <t>110112160243767</t>
  </si>
  <si>
    <t>110112171850589</t>
  </si>
  <si>
    <t>110112172126838</t>
  </si>
  <si>
    <t>110112172405771</t>
  </si>
  <si>
    <t>110112172935929</t>
  </si>
  <si>
    <t>110112173348634</t>
  </si>
  <si>
    <t>110113092000805</t>
  </si>
  <si>
    <t>110113092703677</t>
  </si>
  <si>
    <t>110113093007056</t>
  </si>
  <si>
    <t>110113093311106</t>
  </si>
  <si>
    <t>110113094009002</t>
  </si>
  <si>
    <t>110113094920075</t>
  </si>
  <si>
    <t>110113095106312</t>
  </si>
  <si>
    <t>110113095348631</t>
  </si>
  <si>
    <t>110113095700091</t>
  </si>
  <si>
    <t>110113100344243</t>
  </si>
  <si>
    <t>110113100735421</t>
  </si>
  <si>
    <t>110113104345223</t>
  </si>
  <si>
    <t>110113112302679</t>
  </si>
  <si>
    <t>110113113029934</t>
  </si>
  <si>
    <t>110113113333173</t>
  </si>
  <si>
    <t>110113114534818</t>
  </si>
  <si>
    <t>110113115147691</t>
  </si>
  <si>
    <t>110113115422522</t>
  </si>
  <si>
    <t>110113121028075</t>
  </si>
  <si>
    <t>110113122058802</t>
  </si>
  <si>
    <t>110113122346675</t>
  </si>
  <si>
    <t>110113123402380</t>
  </si>
  <si>
    <t>110113123725384</t>
  </si>
  <si>
    <t>110113124027125</t>
  </si>
  <si>
    <t>110113124533573</t>
  </si>
  <si>
    <t>110113124856858</t>
  </si>
  <si>
    <t>110113125209582</t>
  </si>
  <si>
    <t>110113131355326</t>
  </si>
  <si>
    <t>110113153100848</t>
  </si>
  <si>
    <t>110113153333027</t>
  </si>
  <si>
    <t>110114092329680</t>
  </si>
  <si>
    <t>110118102455914</t>
  </si>
  <si>
    <t>110118124915920</t>
  </si>
  <si>
    <t>110118125122780</t>
  </si>
  <si>
    <t>110118133900110</t>
  </si>
  <si>
    <t>110121172140891</t>
  </si>
  <si>
    <t>110125191051374</t>
  </si>
  <si>
    <t>110126092602982</t>
  </si>
  <si>
    <t>110126093858806</t>
  </si>
  <si>
    <t>110126094713049</t>
  </si>
  <si>
    <t>110126095449820</t>
  </si>
  <si>
    <t>110126100059199</t>
  </si>
  <si>
    <t>110126102020470</t>
  </si>
  <si>
    <t>110126103122133</t>
  </si>
  <si>
    <t>110126103427462</t>
  </si>
  <si>
    <t>110126103819529</t>
  </si>
  <si>
    <t>110126104633335</t>
  </si>
  <si>
    <t>110126110501457</t>
  </si>
  <si>
    <t>110126110712685</t>
  </si>
  <si>
    <t>110126110724775</t>
  </si>
  <si>
    <t>110126112458203</t>
  </si>
  <si>
    <t>110126113129328</t>
  </si>
  <si>
    <t>110126113425407</t>
  </si>
  <si>
    <t>110126113538649</t>
  </si>
  <si>
    <t>110126113749768</t>
  </si>
  <si>
    <t>110126113859407</t>
  </si>
  <si>
    <t>110126114024927</t>
  </si>
  <si>
    <t>110126114248026</t>
  </si>
  <si>
    <t>110126114308385</t>
  </si>
  <si>
    <t>110126114527865</t>
  </si>
  <si>
    <t>110126114541063</t>
  </si>
  <si>
    <t>110126114849294</t>
  </si>
  <si>
    <t>110126115516831</t>
  </si>
  <si>
    <t>110126120501383</t>
  </si>
  <si>
    <t>110126121627475</t>
  </si>
  <si>
    <t>110126122329645</t>
  </si>
  <si>
    <t>110126122424058</t>
  </si>
  <si>
    <t>110126123052610</t>
  </si>
  <si>
    <t>110126123404647</t>
  </si>
  <si>
    <t>110126123646794</t>
  </si>
  <si>
    <t>110126124130014</t>
  </si>
  <si>
    <t>110126130229504</t>
  </si>
  <si>
    <t>110126131819363</t>
  </si>
  <si>
    <t>110126133511591</t>
  </si>
  <si>
    <t>110126145138254</t>
  </si>
  <si>
    <t>110126153748851</t>
  </si>
  <si>
    <t>110126154850919</t>
  </si>
  <si>
    <t>110126155311253</t>
  </si>
  <si>
    <t>110126155508441</t>
  </si>
  <si>
    <t>110126155527567</t>
  </si>
  <si>
    <t>110126155736689</t>
  </si>
  <si>
    <t>110126155951131</t>
  </si>
  <si>
    <t>110126160604660</t>
  </si>
  <si>
    <t>110126160635017</t>
  </si>
  <si>
    <t>110126160903468</t>
  </si>
  <si>
    <t>110126161135585</t>
  </si>
  <si>
    <t>110126161435922</t>
  </si>
  <si>
    <t>110126161624842</t>
  </si>
  <si>
    <t>110126161817334</t>
  </si>
  <si>
    <t>110126162613761</t>
  </si>
  <si>
    <t>110126162750872</t>
  </si>
  <si>
    <t>110126163027107</t>
  </si>
  <si>
    <t>110126163415071</t>
  </si>
  <si>
    <t>110126163802801</t>
  </si>
  <si>
    <t>110126163912206</t>
  </si>
  <si>
    <t>110126164037117</t>
  </si>
  <si>
    <t>110126164207130</t>
  </si>
  <si>
    <t>110126164742438</t>
  </si>
  <si>
    <t>110126165616633</t>
  </si>
  <si>
    <t>110126165743307</t>
  </si>
  <si>
    <t>110126170136279</t>
  </si>
  <si>
    <t>110126170623399</t>
  </si>
  <si>
    <t>110126170747078</t>
  </si>
  <si>
    <t>110126170911615</t>
  </si>
  <si>
    <t>110126170941442</t>
  </si>
  <si>
    <t>110126171013688</t>
  </si>
  <si>
    <t>110126171121221</t>
  </si>
  <si>
    <t>110126171217677</t>
  </si>
  <si>
    <t>110126171245555</t>
  </si>
  <si>
    <t>110126171246694</t>
  </si>
  <si>
    <t>110126171357612</t>
  </si>
  <si>
    <t>110126171614659</t>
  </si>
  <si>
    <t>110126171721177</t>
  </si>
  <si>
    <t>110126171845137</t>
  </si>
  <si>
    <t>110126171917913</t>
  </si>
  <si>
    <t>110126171926025</t>
  </si>
  <si>
    <t>110126172002701</t>
  </si>
  <si>
    <t>110126172149920</t>
  </si>
  <si>
    <t>110126172220528</t>
  </si>
  <si>
    <t>110126172300043</t>
  </si>
  <si>
    <t>110126172323802</t>
  </si>
  <si>
    <t>110126172700347</t>
  </si>
  <si>
    <t>110126173017579</t>
  </si>
  <si>
    <t>110126173545680</t>
  </si>
  <si>
    <t>110126173938948</t>
  </si>
  <si>
    <t>110126174358160</t>
  </si>
  <si>
    <t>110126180034320</t>
  </si>
  <si>
    <t>110126180210822</t>
  </si>
  <si>
    <t>110126180343767</t>
  </si>
  <si>
    <t>110127103738270</t>
  </si>
  <si>
    <t>110127104315434</t>
  </si>
  <si>
    <t>110127105841581</t>
  </si>
  <si>
    <t>110127124044964</t>
  </si>
  <si>
    <t>110127124231512</t>
  </si>
  <si>
    <t>110127124405862</t>
  </si>
  <si>
    <t>110207181356778</t>
  </si>
  <si>
    <t>110209123918947</t>
  </si>
  <si>
    <t>110210110113040</t>
  </si>
  <si>
    <t>110211104936834</t>
  </si>
  <si>
    <t>110211133331802</t>
  </si>
  <si>
    <t>110211163404181</t>
  </si>
  <si>
    <t>110214111326872</t>
  </si>
  <si>
    <t>110216160438335</t>
  </si>
  <si>
    <t>110217103508297</t>
  </si>
  <si>
    <t>110217105825277</t>
  </si>
  <si>
    <t>110217110147422</t>
  </si>
  <si>
    <t>110217111253479</t>
  </si>
  <si>
    <t>110217121018661</t>
  </si>
  <si>
    <t>110217121538009</t>
  </si>
  <si>
    <t>110217122004972</t>
  </si>
  <si>
    <t>110218161755031</t>
  </si>
  <si>
    <t>110218171718047</t>
  </si>
  <si>
    <t>110222153234369</t>
  </si>
  <si>
    <t>110222153549384</t>
  </si>
  <si>
    <t>110223164851244</t>
  </si>
  <si>
    <t>110223165532507</t>
  </si>
  <si>
    <t>110224125547567</t>
  </si>
  <si>
    <t>110225141644947</t>
  </si>
  <si>
    <t>110225141920947</t>
  </si>
  <si>
    <t>110225142109663</t>
  </si>
  <si>
    <t>110225151852161</t>
  </si>
  <si>
    <t>110228090042691</t>
  </si>
  <si>
    <t>110302100802390</t>
  </si>
  <si>
    <t>110323113300436</t>
  </si>
  <si>
    <t>110323113919204</t>
  </si>
  <si>
    <t>110323120338996</t>
  </si>
  <si>
    <t>110323153603173</t>
  </si>
  <si>
    <t>110323155108023</t>
  </si>
  <si>
    <t>110323160145303</t>
  </si>
  <si>
    <t>110323172115418</t>
  </si>
  <si>
    <t>110324091945213</t>
  </si>
  <si>
    <t>110329121535870</t>
  </si>
  <si>
    <t>110330100706181</t>
  </si>
  <si>
    <t>110330101127251</t>
  </si>
  <si>
    <t>110330101859891</t>
  </si>
  <si>
    <t>110330104544825</t>
  </si>
  <si>
    <t>110330112405247</t>
  </si>
  <si>
    <t>110330113333686</t>
  </si>
  <si>
    <t>110331110702900</t>
  </si>
  <si>
    <t>110413091352820</t>
  </si>
  <si>
    <t>110413110007900</t>
  </si>
  <si>
    <t>110413111150961</t>
  </si>
  <si>
    <t>110414092004747</t>
  </si>
  <si>
    <t>110427131731649</t>
  </si>
  <si>
    <t>110429152222690</t>
  </si>
  <si>
    <t>110429154625768</t>
  </si>
  <si>
    <t>110502155236976</t>
  </si>
  <si>
    <t>110502155835932</t>
  </si>
  <si>
    <t>110502160944767</t>
  </si>
  <si>
    <t>110502162300741</t>
  </si>
  <si>
    <t>110502164329381</t>
  </si>
  <si>
    <t>110503090900791</t>
  </si>
  <si>
    <t>110503091524723</t>
  </si>
  <si>
    <t>110503093042767</t>
  </si>
  <si>
    <t>110503093859986</t>
  </si>
  <si>
    <t>110503123911473</t>
  </si>
  <si>
    <t>110503124717288</t>
  </si>
  <si>
    <t>110504154723722</t>
  </si>
  <si>
    <t>110504161735225</t>
  </si>
  <si>
    <t>110504164144306</t>
  </si>
  <si>
    <t>110504170827842</t>
  </si>
  <si>
    <t>110504174745668</t>
  </si>
  <si>
    <t>110509123207107</t>
  </si>
  <si>
    <t>110512125513549</t>
  </si>
  <si>
    <t>110627114713573</t>
  </si>
  <si>
    <t>110628110150569</t>
  </si>
  <si>
    <t>110801133620826</t>
  </si>
  <si>
    <t>110801150010876</t>
  </si>
  <si>
    <t>110801150355034</t>
  </si>
  <si>
    <t>110803154842600</t>
  </si>
  <si>
    <t>110803155249534</t>
  </si>
  <si>
    <t>110803155655500</t>
  </si>
  <si>
    <t>110914174411637</t>
  </si>
  <si>
    <t>110919111638084</t>
  </si>
  <si>
    <t>110919124457607</t>
  </si>
  <si>
    <t>110922145740789</t>
  </si>
  <si>
    <t>110926101110631</t>
  </si>
  <si>
    <t>110926161841481</t>
  </si>
  <si>
    <t>110927132620264</t>
  </si>
  <si>
    <t>110927161650291</t>
  </si>
  <si>
    <t>110929113945315</t>
  </si>
  <si>
    <t>111024162509834</t>
  </si>
  <si>
    <t>111108123846541</t>
  </si>
  <si>
    <t>111108152947054</t>
  </si>
  <si>
    <t>111108154001682</t>
  </si>
  <si>
    <t>111108164245534</t>
  </si>
  <si>
    <t>111108170105684</t>
  </si>
  <si>
    <t>111108174852718</t>
  </si>
  <si>
    <t>111114104908529</t>
  </si>
  <si>
    <t>111117131717377</t>
  </si>
  <si>
    <t>111121121055083</t>
  </si>
  <si>
    <t>111121122714600</t>
  </si>
  <si>
    <t>111121161439760</t>
  </si>
  <si>
    <t>111216111000923</t>
  </si>
  <si>
    <t>111221091707892</t>
  </si>
  <si>
    <t>111221093247500</t>
  </si>
  <si>
    <t>111221102419308</t>
  </si>
  <si>
    <t>111221102626781</t>
  </si>
  <si>
    <t>111230123850127</t>
  </si>
  <si>
    <t>120123133836091</t>
  </si>
  <si>
    <t>120123144246819</t>
  </si>
  <si>
    <t>120123145046694</t>
  </si>
  <si>
    <t>120123150159838</t>
  </si>
  <si>
    <t>120123151910381</t>
  </si>
  <si>
    <t>120123153436590</t>
  </si>
  <si>
    <t>120123154522684</t>
  </si>
  <si>
    <t>120123155040006</t>
  </si>
  <si>
    <t>120124095933470</t>
  </si>
  <si>
    <t>120127180103179</t>
  </si>
  <si>
    <t>120131123653093</t>
  </si>
  <si>
    <t>120131153702652</t>
  </si>
  <si>
    <t>120201123545597</t>
  </si>
  <si>
    <t>120208133639899</t>
  </si>
  <si>
    <t>120210102707915</t>
  </si>
  <si>
    <t>120210113717712</t>
  </si>
  <si>
    <t>120210122351799</t>
  </si>
  <si>
    <t>120210123050786</t>
  </si>
  <si>
    <t>120210124522489</t>
  </si>
  <si>
    <t>120210125447789</t>
  </si>
  <si>
    <t>120210130112722</t>
  </si>
  <si>
    <t>120210130928680</t>
  </si>
  <si>
    <t>120210131430667</t>
  </si>
  <si>
    <t>120210132741342</t>
  </si>
  <si>
    <t>120210151325186</t>
  </si>
  <si>
    <t>120210151714382</t>
  </si>
  <si>
    <t>120210153543315</t>
  </si>
  <si>
    <t>120210155123518</t>
  </si>
  <si>
    <t>120210155750166</t>
  </si>
  <si>
    <t>120210160328392</t>
  </si>
  <si>
    <t>120210161506138</t>
  </si>
  <si>
    <t>120210162927981</t>
  </si>
  <si>
    <t>120210163342294</t>
  </si>
  <si>
    <t>120210164802967</t>
  </si>
  <si>
    <t>120210165226250</t>
  </si>
  <si>
    <t>120210165552124</t>
  </si>
  <si>
    <t>120210170149990</t>
  </si>
  <si>
    <t>120210170524788</t>
  </si>
  <si>
    <t>120210170835593</t>
  </si>
  <si>
    <t>120210171602957</t>
  </si>
  <si>
    <t>120210171933995</t>
  </si>
  <si>
    <t>120210172750531</t>
  </si>
  <si>
    <t>120306104949182</t>
  </si>
  <si>
    <t>120307165214656</t>
  </si>
  <si>
    <t>120307170305196</t>
  </si>
  <si>
    <t>120307170737137</t>
  </si>
  <si>
    <t>120307171259809</t>
  </si>
  <si>
    <t>120307171731033</t>
  </si>
  <si>
    <t>120307172657348</t>
  </si>
  <si>
    <t>120307173533726</t>
  </si>
  <si>
    <t>120320125208697</t>
  </si>
  <si>
    <t>120327103351480</t>
  </si>
  <si>
    <t>120328125341229</t>
  </si>
  <si>
    <t>120328125659896</t>
  </si>
  <si>
    <t>120328132225554</t>
  </si>
  <si>
    <t>120328133023931</t>
  </si>
  <si>
    <t>120328150933014</t>
  </si>
  <si>
    <t>120328152259087</t>
  </si>
  <si>
    <t>120330165615278</t>
  </si>
  <si>
    <t>120402153346301</t>
  </si>
  <si>
    <t>120425111836811</t>
  </si>
  <si>
    <t>120425112521101</t>
  </si>
  <si>
    <t>120425112840235</t>
  </si>
  <si>
    <t>120425113109652</t>
  </si>
  <si>
    <t>120425174915421</t>
  </si>
  <si>
    <t>120425175850656</t>
  </si>
  <si>
    <t>120426170015530</t>
  </si>
  <si>
    <t>120504114641655</t>
  </si>
  <si>
    <t>120511122754574</t>
  </si>
  <si>
    <t>120511123908264</t>
  </si>
  <si>
    <t>120515123928527</t>
  </si>
  <si>
    <t>120515154145070</t>
  </si>
  <si>
    <t>120611175609126</t>
  </si>
  <si>
    <t>120618123715092</t>
  </si>
  <si>
    <t>120621153418743</t>
  </si>
  <si>
    <t>120627173331184</t>
  </si>
  <si>
    <t>120704115052643</t>
  </si>
  <si>
    <t>120705093950910</t>
  </si>
  <si>
    <t>120706090604971</t>
  </si>
  <si>
    <t>120709122703144</t>
  </si>
  <si>
    <t>120723165356918</t>
  </si>
  <si>
    <t>120807091015422</t>
  </si>
  <si>
    <t>120807091519934</t>
  </si>
  <si>
    <t>120808161340060</t>
  </si>
  <si>
    <t>120817103554729</t>
  </si>
  <si>
    <t>120903112222842</t>
  </si>
  <si>
    <t>120905133516910</t>
  </si>
  <si>
    <t>120905152628277</t>
  </si>
  <si>
    <t>120905154921460</t>
  </si>
  <si>
    <t>120919131900783</t>
  </si>
  <si>
    <t>121010112626768</t>
  </si>
  <si>
    <t>121010113006246</t>
  </si>
  <si>
    <t>121017084649615</t>
  </si>
  <si>
    <t>121017084846897</t>
  </si>
  <si>
    <t>121017085040169</t>
  </si>
  <si>
    <t>121017085353407</t>
  </si>
  <si>
    <t>121026162346683</t>
  </si>
  <si>
    <t>121026173722201</t>
  </si>
  <si>
    <t>121029073658402</t>
  </si>
  <si>
    <t>121029172030567</t>
  </si>
  <si>
    <t>121031104643841</t>
  </si>
  <si>
    <t>121114171333702</t>
  </si>
  <si>
    <t>121126103900103</t>
  </si>
  <si>
    <t>121203173423067</t>
  </si>
  <si>
    <t>121203173947671</t>
  </si>
  <si>
    <t>121205092543068</t>
  </si>
  <si>
    <t>121205093340522</t>
  </si>
  <si>
    <t>121206143812715</t>
  </si>
  <si>
    <t>121206144224546</t>
  </si>
  <si>
    <t>121206145020362</t>
  </si>
  <si>
    <t>121206163956495</t>
  </si>
  <si>
    <t>121227100137398</t>
  </si>
  <si>
    <t>130103131840765</t>
  </si>
  <si>
    <t>130107121036984</t>
  </si>
  <si>
    <t>130107125733021</t>
  </si>
  <si>
    <t>130109122816499</t>
  </si>
  <si>
    <t>130114102919287</t>
  </si>
  <si>
    <t>130115103632475</t>
  </si>
  <si>
    <t>130122114020281</t>
  </si>
  <si>
    <t>130125120821472</t>
  </si>
  <si>
    <t>130129102202117</t>
  </si>
  <si>
    <t>130201093642970</t>
  </si>
  <si>
    <t>130201094911198</t>
  </si>
  <si>
    <t>130206120153097</t>
  </si>
  <si>
    <t>130206121445472</t>
  </si>
  <si>
    <t>130220102520351</t>
  </si>
  <si>
    <t>130222121136735</t>
  </si>
  <si>
    <t>130222153709066</t>
  </si>
  <si>
    <t>130226093709618</t>
  </si>
  <si>
    <t>130301174759797</t>
  </si>
  <si>
    <t>130307094843186</t>
  </si>
  <si>
    <t>130314145412386</t>
  </si>
  <si>
    <t>130314145756201</t>
  </si>
  <si>
    <t>130314150858238</t>
  </si>
  <si>
    <t>130314151207748</t>
  </si>
  <si>
    <t>130314151641046</t>
  </si>
  <si>
    <t>130314152047730</t>
  </si>
  <si>
    <t>130326100555456</t>
  </si>
  <si>
    <t>130326101501191</t>
  </si>
  <si>
    <t>130326112812279</t>
  </si>
  <si>
    <t>130403084117250</t>
  </si>
  <si>
    <t>130403090419020</t>
  </si>
  <si>
    <t>130417112502621</t>
  </si>
  <si>
    <t>130423084040994</t>
  </si>
  <si>
    <t>130503130520913</t>
  </si>
  <si>
    <t>130509083829577</t>
  </si>
  <si>
    <t>130509090443539</t>
  </si>
  <si>
    <t>130511060216257</t>
  </si>
  <si>
    <t>130511060807072</t>
  </si>
  <si>
    <t>130511061528087</t>
  </si>
  <si>
    <t>130511062311629</t>
  </si>
  <si>
    <t>130511062851773</t>
  </si>
  <si>
    <t>130511064929376</t>
  </si>
  <si>
    <t>130511065424499</t>
  </si>
  <si>
    <t>130511065851401</t>
  </si>
  <si>
    <t>130511070355556</t>
  </si>
  <si>
    <t>130511175422310</t>
  </si>
  <si>
    <t>130511194902844</t>
  </si>
  <si>
    <t>130511195519680</t>
  </si>
  <si>
    <t>130511213022858</t>
  </si>
  <si>
    <t>130513085913449</t>
  </si>
  <si>
    <t>130513091621868</t>
  </si>
  <si>
    <t>130513091841094</t>
  </si>
  <si>
    <t>130513092107581</t>
  </si>
  <si>
    <t>130513093254055</t>
  </si>
  <si>
    <t>130513093547129</t>
  </si>
  <si>
    <t>130513094047239</t>
  </si>
  <si>
    <t>130513094422737</t>
  </si>
  <si>
    <t>130513094715015</t>
  </si>
  <si>
    <t>130513094835868</t>
  </si>
  <si>
    <t>130513095400341</t>
  </si>
  <si>
    <t>130513100741321</t>
  </si>
  <si>
    <t>130513101115893</t>
  </si>
  <si>
    <t>130513101317789</t>
  </si>
  <si>
    <t>130513110015479</t>
  </si>
  <si>
    <t>130513110557759</t>
  </si>
  <si>
    <t>130513111019215</t>
  </si>
  <si>
    <t>130513184909591</t>
  </si>
  <si>
    <t>130516170758434</t>
  </si>
  <si>
    <t>130516171024435</t>
  </si>
  <si>
    <t>130516172705759</t>
  </si>
  <si>
    <t>130517083908102</t>
  </si>
  <si>
    <t>130521093642742</t>
  </si>
  <si>
    <t>130522125408159</t>
  </si>
  <si>
    <t>130522132012183</t>
  </si>
  <si>
    <t>130523092412492</t>
  </si>
  <si>
    <t>130523095504181</t>
  </si>
  <si>
    <t>130527134559735</t>
  </si>
  <si>
    <t>130528102210176</t>
  </si>
  <si>
    <t>130529115945654</t>
  </si>
  <si>
    <t>130606161808595</t>
  </si>
  <si>
    <t>130606162741708</t>
  </si>
  <si>
    <t>130607122113008</t>
  </si>
  <si>
    <t>130627094455782</t>
  </si>
  <si>
    <t>130627121313133</t>
  </si>
  <si>
    <t>130627122005804</t>
  </si>
  <si>
    <t>130627152844358</t>
  </si>
  <si>
    <t>130628082210090</t>
  </si>
  <si>
    <t>130628082649564</t>
  </si>
  <si>
    <t>130703172552668</t>
  </si>
  <si>
    <t>130705131335363</t>
  </si>
  <si>
    <t>130705135313754</t>
  </si>
  <si>
    <t>130705154135756</t>
  </si>
  <si>
    <t>130705154454422</t>
  </si>
  <si>
    <t>130710103236619</t>
  </si>
  <si>
    <t>130722103556048</t>
  </si>
  <si>
    <t>130723114147052</t>
  </si>
  <si>
    <t>130729111211768</t>
  </si>
  <si>
    <t>130730133652109</t>
  </si>
  <si>
    <t>130802172940673</t>
  </si>
  <si>
    <t>130805082221015</t>
  </si>
  <si>
    <t>130805090633873</t>
  </si>
  <si>
    <t>130805092158188</t>
  </si>
  <si>
    <t>130805103609788</t>
  </si>
  <si>
    <t>130805104410861</t>
  </si>
  <si>
    <t>130805105135405</t>
  </si>
  <si>
    <t>130805110032765</t>
  </si>
  <si>
    <t>130812092901842</t>
  </si>
  <si>
    <t>130812093037065</t>
  </si>
  <si>
    <t>130812093228589</t>
  </si>
  <si>
    <t>130812093905344</t>
  </si>
  <si>
    <t>130812094548760</t>
  </si>
  <si>
    <t>130813131924034</t>
  </si>
  <si>
    <t>130814160413676</t>
  </si>
  <si>
    <t>130814160716665</t>
  </si>
  <si>
    <t>130816120819919</t>
  </si>
  <si>
    <t>130822112629082</t>
  </si>
  <si>
    <t>130826173227734</t>
  </si>
  <si>
    <t>130827113629285</t>
  </si>
  <si>
    <t>130827115242335</t>
  </si>
  <si>
    <t>130827154035064</t>
  </si>
  <si>
    <t>130827161208084</t>
  </si>
  <si>
    <t>130828165431761</t>
  </si>
  <si>
    <t>130902164835419</t>
  </si>
  <si>
    <t>130902174057727</t>
  </si>
  <si>
    <t>130902180620927</t>
  </si>
  <si>
    <t>130903102630632</t>
  </si>
  <si>
    <t>130911101403849</t>
  </si>
  <si>
    <t>130913084939383</t>
  </si>
  <si>
    <t>130913085353710</t>
  </si>
  <si>
    <t>130913090113286</t>
  </si>
  <si>
    <t>130913090733802</t>
  </si>
  <si>
    <t>130913091554874</t>
  </si>
  <si>
    <t>130913092408036</t>
  </si>
  <si>
    <t>130913093712794</t>
  </si>
  <si>
    <t>130913103914939</t>
  </si>
  <si>
    <t>130913111621776</t>
  </si>
  <si>
    <t>130913112313710</t>
  </si>
  <si>
    <t>130913112733715</t>
  </si>
  <si>
    <t>130913114918234</t>
  </si>
  <si>
    <t>130913115454398</t>
  </si>
  <si>
    <t>130916100451158</t>
  </si>
  <si>
    <t>130916113329105</t>
  </si>
  <si>
    <t>130916122004547</t>
  </si>
  <si>
    <t>130916142250726</t>
  </si>
  <si>
    <t>130916142526524</t>
  </si>
  <si>
    <t>130916142755004</t>
  </si>
  <si>
    <t>130916144003790</t>
  </si>
  <si>
    <t>130916144510205</t>
  </si>
  <si>
    <t>130916162533786</t>
  </si>
  <si>
    <t>130916162841563</t>
  </si>
  <si>
    <t>130919160239021</t>
  </si>
  <si>
    <t>130927121614745</t>
  </si>
  <si>
    <t>131029124916859</t>
  </si>
  <si>
    <t>131029132516507</t>
  </si>
  <si>
    <t>131030131737531</t>
  </si>
  <si>
    <t>131030145746277</t>
  </si>
  <si>
    <t>131030171129497</t>
  </si>
  <si>
    <t>131118084150240</t>
  </si>
  <si>
    <t>131118084823001</t>
  </si>
  <si>
    <t>131118092112252</t>
  </si>
  <si>
    <t>131118094538075</t>
  </si>
  <si>
    <t>131118095041963</t>
  </si>
  <si>
    <t>131118095238307</t>
  </si>
  <si>
    <t>131118101914967</t>
  </si>
  <si>
    <t>131118103007328</t>
  </si>
  <si>
    <t>131118104417154</t>
  </si>
  <si>
    <t>131118104553265</t>
  </si>
  <si>
    <t>131118104901557</t>
  </si>
  <si>
    <t>131118110723339</t>
  </si>
  <si>
    <t>131118111429047</t>
  </si>
  <si>
    <t>131118112757065</t>
  </si>
  <si>
    <t>131118112854488</t>
  </si>
  <si>
    <t>131118113742392</t>
  </si>
  <si>
    <t>131118121034279</t>
  </si>
  <si>
    <t>131118121727211</t>
  </si>
  <si>
    <t>131118122047702</t>
  </si>
  <si>
    <t>131118122516958</t>
  </si>
  <si>
    <t>131118123544983</t>
  </si>
  <si>
    <t>131118131531721</t>
  </si>
  <si>
    <t>131118150107473</t>
  </si>
  <si>
    <t>131118154818858</t>
  </si>
  <si>
    <t>131118160647565</t>
  </si>
  <si>
    <t>131118161754762</t>
  </si>
  <si>
    <t>131118165950699</t>
  </si>
  <si>
    <t>131118170309287</t>
  </si>
  <si>
    <t>131118192143775</t>
  </si>
  <si>
    <t>131118192958014</t>
  </si>
  <si>
    <t>131118193412341</t>
  </si>
  <si>
    <t>131119054533296</t>
  </si>
  <si>
    <t>131119055406286</t>
  </si>
  <si>
    <t>131119061617762</t>
  </si>
  <si>
    <t>131119062005678</t>
  </si>
  <si>
    <t>131119070122349</t>
  </si>
  <si>
    <t>131119084815719</t>
  </si>
  <si>
    <t>131119091302898</t>
  </si>
  <si>
    <t>131119093511394</t>
  </si>
  <si>
    <t>131119093838141</t>
  </si>
  <si>
    <t>131119094051147</t>
  </si>
  <si>
    <t>131119094621945</t>
  </si>
  <si>
    <t>131119100140738</t>
  </si>
  <si>
    <t>131119100553302</t>
  </si>
  <si>
    <t>131119101706083</t>
  </si>
  <si>
    <t>131120081947635</t>
  </si>
  <si>
    <t>131120083824127</t>
  </si>
  <si>
    <t>131120085817808</t>
  </si>
  <si>
    <t>131120090555013</t>
  </si>
  <si>
    <t>131120110620761</t>
  </si>
  <si>
    <t>131120114626718</t>
  </si>
  <si>
    <t>131120115254175</t>
  </si>
  <si>
    <t>131122150231462</t>
  </si>
  <si>
    <t>131122151222409</t>
  </si>
  <si>
    <t>131122154651763</t>
  </si>
  <si>
    <t>131126102714299</t>
  </si>
  <si>
    <t>131203153453451</t>
  </si>
  <si>
    <t>131206100336682</t>
  </si>
  <si>
    <t>131210123901826</t>
  </si>
  <si>
    <t>131210125042812</t>
  </si>
  <si>
    <t>131210125412632</t>
  </si>
  <si>
    <t>131210125715620</t>
  </si>
  <si>
    <t>131210130417553</t>
  </si>
  <si>
    <t>131210130833861</t>
  </si>
  <si>
    <t>131210132227759</t>
  </si>
  <si>
    <t>131210132942282</t>
  </si>
  <si>
    <t>131210145149947</t>
  </si>
  <si>
    <t>131210145904579</t>
  </si>
  <si>
    <t>131210150216397</t>
  </si>
  <si>
    <t>131210151246481</t>
  </si>
  <si>
    <t>131210154353177</t>
  </si>
  <si>
    <t>131211095031960</t>
  </si>
  <si>
    <t>131211132823026</t>
  </si>
  <si>
    <t>131211154706079</t>
  </si>
  <si>
    <t>131211175615098</t>
  </si>
  <si>
    <t>131217105446635</t>
  </si>
  <si>
    <t>131217110901979</t>
  </si>
  <si>
    <t>131217112712204</t>
  </si>
  <si>
    <t>131220102635559</t>
  </si>
  <si>
    <t>131220112338018</t>
  </si>
  <si>
    <t>131220170344544</t>
  </si>
  <si>
    <t>140107153548916</t>
  </si>
  <si>
    <t>140110153405668</t>
  </si>
  <si>
    <t>140110160214410</t>
  </si>
  <si>
    <t>140122094358955</t>
  </si>
  <si>
    <t>140122102054280</t>
  </si>
  <si>
    <t>140129152711440</t>
  </si>
  <si>
    <t>140205101034212</t>
  </si>
  <si>
    <t>140206151717633</t>
  </si>
  <si>
    <t>140206174501054</t>
  </si>
  <si>
    <t>140210170521432</t>
  </si>
  <si>
    <t>140214085104064</t>
  </si>
  <si>
    <t>140214090536765</t>
  </si>
  <si>
    <t>140217080845018</t>
  </si>
  <si>
    <t>140217081211252</t>
  </si>
  <si>
    <t>140217082138581</t>
  </si>
  <si>
    <t>140217082554953</t>
  </si>
  <si>
    <t>140217083239791</t>
  </si>
  <si>
    <t>140217090236548</t>
  </si>
  <si>
    <t>140217091241270</t>
  </si>
  <si>
    <t>140217091722774</t>
  </si>
  <si>
    <t>140217093233477</t>
  </si>
  <si>
    <t>140217094659376</t>
  </si>
  <si>
    <t>140217095115966</t>
  </si>
  <si>
    <t>140217095647032</t>
  </si>
  <si>
    <t>140217100304133</t>
  </si>
  <si>
    <t>140217100725138</t>
  </si>
  <si>
    <t>140217102808950</t>
  </si>
  <si>
    <t>140217104046007</t>
  </si>
  <si>
    <t>140217110015578</t>
  </si>
  <si>
    <t>140217110645096</t>
  </si>
  <si>
    <t>140217112651374</t>
  </si>
  <si>
    <t>140217120821790</t>
  </si>
  <si>
    <t>140217121832300</t>
  </si>
  <si>
    <t>140218170711149</t>
  </si>
  <si>
    <t>140307083017569</t>
  </si>
  <si>
    <t>140307084059389</t>
  </si>
  <si>
    <t>140307084823695</t>
  </si>
  <si>
    <t>140311114101801</t>
  </si>
  <si>
    <t>140311175512493</t>
  </si>
  <si>
    <t>140311175830146</t>
  </si>
  <si>
    <t>140315121232863</t>
  </si>
  <si>
    <t>140401151139093</t>
  </si>
  <si>
    <t>140402083013225</t>
  </si>
  <si>
    <t>140402092540960</t>
  </si>
  <si>
    <t>140411110244160</t>
  </si>
  <si>
    <t>140411111606489</t>
  </si>
  <si>
    <t>140417154001196</t>
  </si>
  <si>
    <t>140424165418046</t>
  </si>
  <si>
    <t>140424170138437</t>
  </si>
  <si>
    <t>140424170830311</t>
  </si>
  <si>
    <t>140515155254877</t>
  </si>
  <si>
    <t>140520131554489</t>
  </si>
  <si>
    <t>140521111502049</t>
  </si>
  <si>
    <t>140521112151801</t>
  </si>
  <si>
    <t>140521114458478</t>
  </si>
  <si>
    <t>140521124558979</t>
  </si>
  <si>
    <t>140521125131995</t>
  </si>
  <si>
    <t>140521125655946</t>
  </si>
  <si>
    <t>140521130348709</t>
  </si>
  <si>
    <t>140521131001708</t>
  </si>
  <si>
    <t>140522092530399</t>
  </si>
  <si>
    <t>140522094728389</t>
  </si>
  <si>
    <t>140522102104967</t>
  </si>
  <si>
    <t>140522131248911</t>
  </si>
  <si>
    <t>140523093312345</t>
  </si>
  <si>
    <t>140528131725713</t>
  </si>
  <si>
    <t>140602154941409</t>
  </si>
  <si>
    <t>140603152531957</t>
  </si>
  <si>
    <t>140603170653952</t>
  </si>
  <si>
    <t>140603172437364</t>
  </si>
  <si>
    <t>140604161747303</t>
  </si>
  <si>
    <t>140604164329357</t>
  </si>
  <si>
    <t>140604164340495</t>
  </si>
  <si>
    <t>140604164806087</t>
  </si>
  <si>
    <t>140605112539014</t>
  </si>
  <si>
    <t>140605112805483</t>
  </si>
  <si>
    <t>140605114938778</t>
  </si>
  <si>
    <t>140606090533960</t>
  </si>
  <si>
    <t>140606091459277</t>
  </si>
  <si>
    <t>140606091833248</t>
  </si>
  <si>
    <t>140606092913882</t>
  </si>
  <si>
    <t>140606093451967</t>
  </si>
  <si>
    <t>140606093854080</t>
  </si>
  <si>
    <t>140619101937994</t>
  </si>
  <si>
    <t>140702091553124</t>
  </si>
  <si>
    <t>140702092516911</t>
  </si>
  <si>
    <t>140702093115293</t>
  </si>
  <si>
    <t>140702094513065</t>
  </si>
  <si>
    <t>140702104429310</t>
  </si>
  <si>
    <t>140714121545770</t>
  </si>
  <si>
    <t>140715130051934</t>
  </si>
  <si>
    <t>140715152226563</t>
  </si>
  <si>
    <t>140715153628906</t>
  </si>
  <si>
    <t>140715154404944</t>
  </si>
  <si>
    <t>140715162750893</t>
  </si>
  <si>
    <t>140718130509351</t>
  </si>
  <si>
    <t>140729104704048</t>
  </si>
  <si>
    <t>140729105125459</t>
  </si>
  <si>
    <t>140729105702983</t>
  </si>
  <si>
    <t>140729110043225</t>
  </si>
  <si>
    <t>140729111311531</t>
  </si>
  <si>
    <t>140729115019724</t>
  </si>
  <si>
    <t>140730124631716</t>
  </si>
  <si>
    <t>140804163721881</t>
  </si>
  <si>
    <t>140820150021865</t>
  </si>
  <si>
    <t>140825130604631</t>
  </si>
  <si>
    <t>140826125322706</t>
  </si>
  <si>
    <t>140903095422126</t>
  </si>
  <si>
    <t>140908161754993</t>
  </si>
  <si>
    <t>140908173104221</t>
  </si>
  <si>
    <t>140910095553359</t>
  </si>
  <si>
    <t>140910100243345</t>
  </si>
  <si>
    <t>140910104138977</t>
  </si>
  <si>
    <t>140910112646265</t>
  </si>
  <si>
    <t>140910113040095</t>
  </si>
  <si>
    <t>140910114157560</t>
  </si>
  <si>
    <t>140910115048369</t>
  </si>
  <si>
    <t>140910115809977</t>
  </si>
  <si>
    <t>140911102200638</t>
  </si>
  <si>
    <t>140911102634997</t>
  </si>
  <si>
    <t>140911103129854</t>
  </si>
  <si>
    <t>140911110451519</t>
  </si>
  <si>
    <t>140911164832964</t>
  </si>
  <si>
    <t>140918130418669</t>
  </si>
  <si>
    <t>140930152138133</t>
  </si>
  <si>
    <t>141009120204603</t>
  </si>
  <si>
    <t>141017160806951</t>
  </si>
  <si>
    <t>141022101612400</t>
  </si>
  <si>
    <t>141022122414810</t>
  </si>
  <si>
    <t>141022122445948</t>
  </si>
  <si>
    <t>141022123405149</t>
  </si>
  <si>
    <t>141024103243427</t>
  </si>
  <si>
    <t>141027090702161</t>
  </si>
  <si>
    <t>141029092740059</t>
  </si>
  <si>
    <t>141029093149957</t>
  </si>
  <si>
    <t>141029095255765</t>
  </si>
  <si>
    <t>141029100500483</t>
  </si>
  <si>
    <t>141106085237215</t>
  </si>
  <si>
    <t>141124101044142</t>
  </si>
  <si>
    <t>141125105606484</t>
  </si>
  <si>
    <t>141212085248068</t>
  </si>
  <si>
    <t>141212100825981</t>
  </si>
  <si>
    <t>141217172348163</t>
  </si>
  <si>
    <t>150108111605271</t>
  </si>
  <si>
    <t>150108111951753</t>
  </si>
  <si>
    <t>150108115854576</t>
  </si>
  <si>
    <t>150119095426186</t>
  </si>
  <si>
    <t>150119101835981</t>
  </si>
  <si>
    <t>150127150116904</t>
  </si>
  <si>
    <t>150202103030710</t>
  </si>
  <si>
    <t>150202104055881</t>
  </si>
  <si>
    <t>150202110708315</t>
  </si>
  <si>
    <t>150202111924926</t>
  </si>
  <si>
    <t>150203095706192</t>
  </si>
  <si>
    <t>150210110558354</t>
  </si>
  <si>
    <t>150210122152596</t>
  </si>
  <si>
    <t>150210123254634</t>
  </si>
  <si>
    <t>150210144524009</t>
  </si>
  <si>
    <t>150210144930157</t>
  </si>
  <si>
    <t>150210150607559</t>
  </si>
  <si>
    <t>150210152811160</t>
  </si>
  <si>
    <t>150210153729166</t>
  </si>
  <si>
    <t>150220093315404</t>
  </si>
  <si>
    <t>150220102453393</t>
  </si>
  <si>
    <t>150220132614316</t>
  </si>
  <si>
    <t>150223105427375</t>
  </si>
  <si>
    <t>150223155621984</t>
  </si>
  <si>
    <t>150224123940963</t>
  </si>
  <si>
    <t>150224124717429</t>
  </si>
  <si>
    <t>150224125140315</t>
  </si>
  <si>
    <t>150224130002814</t>
  </si>
  <si>
    <t>150224171155684</t>
  </si>
  <si>
    <t>150224171600404</t>
  </si>
  <si>
    <t>150224172305624</t>
  </si>
  <si>
    <t>150224172620403</t>
  </si>
  <si>
    <t>150225175214514</t>
  </si>
  <si>
    <t>150226110058460</t>
  </si>
  <si>
    <t>150226110348863</t>
  </si>
  <si>
    <t>150226112314560</t>
  </si>
  <si>
    <t>150226112716829</t>
  </si>
  <si>
    <t>150226120437267</t>
  </si>
  <si>
    <t>150226121438095</t>
  </si>
  <si>
    <t>150227091940211</t>
  </si>
  <si>
    <t>150227172848709</t>
  </si>
  <si>
    <t>150227174044530</t>
  </si>
  <si>
    <t>150304094027233</t>
  </si>
  <si>
    <t>150309153026614</t>
  </si>
  <si>
    <t>150309160747628</t>
  </si>
  <si>
    <t>150312112813283</t>
  </si>
  <si>
    <t>150312113333360</t>
  </si>
  <si>
    <t>150312113757390</t>
  </si>
  <si>
    <t>150312115521765</t>
  </si>
  <si>
    <t>150312115922769</t>
  </si>
  <si>
    <t>150312120515785</t>
  </si>
  <si>
    <t>150312120809881</t>
  </si>
  <si>
    <t>150312121206748</t>
  </si>
  <si>
    <t>150312123559207</t>
  </si>
  <si>
    <t>150312125217783</t>
  </si>
  <si>
    <t>150312125618959</t>
  </si>
  <si>
    <t>150319084926939</t>
  </si>
  <si>
    <t>150324081548676</t>
  </si>
  <si>
    <t>150402103139973</t>
  </si>
  <si>
    <t>150408110122015</t>
  </si>
  <si>
    <t>150408111540823</t>
  </si>
  <si>
    <t>150408113723725</t>
  </si>
  <si>
    <t>150408121150297</t>
  </si>
  <si>
    <t>150409131637678</t>
  </si>
  <si>
    <t>150409145914369</t>
  </si>
  <si>
    <t>150420092705113</t>
  </si>
  <si>
    <t>150420094049352</t>
  </si>
  <si>
    <t>150420094738456</t>
  </si>
  <si>
    <t>150421175642150</t>
  </si>
  <si>
    <t>150427101533043</t>
  </si>
  <si>
    <t>150427102304506</t>
  </si>
  <si>
    <t>150427102808959</t>
  </si>
  <si>
    <t>150429112753168</t>
  </si>
  <si>
    <t>150504171240944</t>
  </si>
  <si>
    <t>150513162637982</t>
  </si>
  <si>
    <t>150513164200528</t>
  </si>
  <si>
    <t>150518091724991</t>
  </si>
  <si>
    <t>150518155433333</t>
  </si>
  <si>
    <t>150519144149140</t>
  </si>
  <si>
    <t>150519165106973</t>
  </si>
  <si>
    <t>150522082820688</t>
  </si>
  <si>
    <t>150522083907926</t>
  </si>
  <si>
    <t>150522100148127</t>
  </si>
  <si>
    <t>150525085857414</t>
  </si>
  <si>
    <t>150525173710737</t>
  </si>
  <si>
    <t>150601112003442</t>
  </si>
  <si>
    <t>150612103911627</t>
  </si>
  <si>
    <t>150612110458216</t>
  </si>
  <si>
    <t>150615101450841</t>
  </si>
  <si>
    <t>150615101943130</t>
  </si>
  <si>
    <t>150618082627588</t>
  </si>
  <si>
    <t>150622125211525</t>
  </si>
  <si>
    <t>150626120608080</t>
  </si>
  <si>
    <t>150626121407556</t>
  </si>
  <si>
    <t>150629171137341</t>
  </si>
  <si>
    <t>150630162948463</t>
  </si>
  <si>
    <t>150701095557616</t>
  </si>
  <si>
    <t>150701123710723</t>
  </si>
  <si>
    <t>150701124329250</t>
  </si>
  <si>
    <t>150701150251740</t>
  </si>
  <si>
    <t>150701150559895</t>
  </si>
  <si>
    <t>150701150954437</t>
  </si>
  <si>
    <t>150701153354884</t>
  </si>
  <si>
    <t>150701153714219</t>
  </si>
  <si>
    <t>150701160950952</t>
  </si>
  <si>
    <t>150701161338692</t>
  </si>
  <si>
    <t>150701161833979</t>
  </si>
  <si>
    <t>150701162148651</t>
  </si>
  <si>
    <t>150701162431000</t>
  </si>
  <si>
    <t>150702104230985</t>
  </si>
  <si>
    <t>150709122841994</t>
  </si>
  <si>
    <t>150709124004800</t>
  </si>
  <si>
    <t>150721090333075</t>
  </si>
  <si>
    <t>150727154907592</t>
  </si>
  <si>
    <t>150731102719247</t>
  </si>
  <si>
    <t>150805162929876</t>
  </si>
  <si>
    <t>150813125325661</t>
  </si>
  <si>
    <t>150817101827784</t>
  </si>
  <si>
    <t>150818110849841</t>
  </si>
  <si>
    <t>150819125709931</t>
  </si>
  <si>
    <t>150819131027699</t>
  </si>
  <si>
    <t>150828093228784</t>
  </si>
  <si>
    <t>150828094019821</t>
  </si>
  <si>
    <t>150915165021640</t>
  </si>
  <si>
    <t>150922160021978</t>
  </si>
  <si>
    <t>150923092854237</t>
  </si>
  <si>
    <t>150923094326571</t>
  </si>
  <si>
    <t>150923102509357</t>
  </si>
  <si>
    <t>150928132026006</t>
  </si>
  <si>
    <t>150928160611511</t>
  </si>
  <si>
    <t>150928163010338</t>
  </si>
  <si>
    <t>150929083000342</t>
  </si>
  <si>
    <t>150929114500771</t>
  </si>
  <si>
    <t>150930120522124</t>
  </si>
  <si>
    <t>151006123801732</t>
  </si>
  <si>
    <t>151008112250789</t>
  </si>
  <si>
    <t>151008155012054</t>
  </si>
  <si>
    <t>151008155446451</t>
  </si>
  <si>
    <t>151021093723457</t>
  </si>
  <si>
    <t>151109160449262</t>
  </si>
  <si>
    <t>151111113329197</t>
  </si>
  <si>
    <t>151111115153514</t>
  </si>
  <si>
    <t>151111120016423</t>
  </si>
  <si>
    <t>151123115731808</t>
  </si>
  <si>
    <t>151124103507070</t>
  </si>
  <si>
    <t>151124130022712</t>
  </si>
  <si>
    <t>151221180959329</t>
  </si>
  <si>
    <t>160119103524200</t>
  </si>
  <si>
    <t>160119105714001</t>
  </si>
  <si>
    <t>160119131400840</t>
  </si>
  <si>
    <t>160125102030849</t>
  </si>
  <si>
    <t>160125113907729</t>
  </si>
  <si>
    <t>160127172635816</t>
  </si>
  <si>
    <t>160129153118213</t>
  </si>
  <si>
    <t>160203094934607</t>
  </si>
  <si>
    <t>160215113021292</t>
  </si>
  <si>
    <t>160215113711295</t>
  </si>
  <si>
    <t>160215120226111</t>
  </si>
  <si>
    <t>160215121348438</t>
  </si>
  <si>
    <t>160215121648871</t>
  </si>
  <si>
    <t>160215122537276</t>
  </si>
  <si>
    <t>160215122820354</t>
  </si>
  <si>
    <t>160215125538910</t>
  </si>
  <si>
    <t>160215130507807</t>
  </si>
  <si>
    <t>160215130813563</t>
  </si>
  <si>
    <t>160215131138193</t>
  </si>
  <si>
    <t>160215150559616</t>
  </si>
  <si>
    <t>160215151134222</t>
  </si>
  <si>
    <t>160215151725374</t>
  </si>
  <si>
    <t>160215153739802</t>
  </si>
  <si>
    <t>160215155036235</t>
  </si>
  <si>
    <t>160215162132949</t>
  </si>
  <si>
    <t>160215163847755</t>
  </si>
  <si>
    <t>160215165443062</t>
  </si>
  <si>
    <t>160215170021866</t>
  </si>
  <si>
    <t>160215170412150</t>
  </si>
  <si>
    <t>160215172730330</t>
  </si>
  <si>
    <t>160215173053436</t>
  </si>
  <si>
    <t>160215173345691</t>
  </si>
  <si>
    <t>160216082633806</t>
  </si>
  <si>
    <t>160216084224515</t>
  </si>
  <si>
    <t>160216084529576</t>
  </si>
  <si>
    <t>160216085447859</t>
  </si>
  <si>
    <t>160216090016856</t>
  </si>
  <si>
    <t>160216091448816</t>
  </si>
  <si>
    <t>160216091726304</t>
  </si>
  <si>
    <t>160216092250572</t>
  </si>
  <si>
    <t>160216094310480</t>
  </si>
  <si>
    <t>160216094549046</t>
  </si>
  <si>
    <t>160216094822548</t>
  </si>
  <si>
    <t>160216095356913</t>
  </si>
  <si>
    <t>160216095627394</t>
  </si>
  <si>
    <t>160216100841899</t>
  </si>
  <si>
    <t>160216101111159</t>
  </si>
  <si>
    <t>160216101445353</t>
  </si>
  <si>
    <t>160216102304825</t>
  </si>
  <si>
    <t>160216102515711</t>
  </si>
  <si>
    <t>160216103914597</t>
  </si>
  <si>
    <t>160216104205812</t>
  </si>
  <si>
    <t>160216104502945</t>
  </si>
  <si>
    <t>160216110626034</t>
  </si>
  <si>
    <t>160216112223593</t>
  </si>
  <si>
    <t>160219171655329</t>
  </si>
  <si>
    <t>160223142711896</t>
  </si>
  <si>
    <t>160225094138632</t>
  </si>
  <si>
    <t>160225113531540</t>
  </si>
  <si>
    <t>160225120018840</t>
  </si>
  <si>
    <t>160225120414712</t>
  </si>
  <si>
    <t>160225120836882</t>
  </si>
  <si>
    <t>160225121229558</t>
  </si>
  <si>
    <t>160225123929158</t>
  </si>
  <si>
    <t>160226103250892</t>
  </si>
  <si>
    <t>160226110024223</t>
  </si>
  <si>
    <t>160226125936533</t>
  </si>
  <si>
    <t>160226131354777</t>
  </si>
  <si>
    <t>160229094348375</t>
  </si>
  <si>
    <t>160229095428751</t>
  </si>
  <si>
    <t>160229100218878</t>
  </si>
  <si>
    <t>160229102010978</t>
  </si>
  <si>
    <t>160229102730973</t>
  </si>
  <si>
    <t>160229103435719</t>
  </si>
  <si>
    <t>160229104227508</t>
  </si>
  <si>
    <t>160229105322787</t>
  </si>
  <si>
    <t>160229110322367</t>
  </si>
  <si>
    <t>160229111605985</t>
  </si>
  <si>
    <t>160229113149169</t>
  </si>
  <si>
    <t>160229113840698</t>
  </si>
  <si>
    <t>160229123210112</t>
  </si>
  <si>
    <t>160229124049064</t>
  </si>
  <si>
    <t>160303131943913</t>
  </si>
  <si>
    <t>160310165757785</t>
  </si>
  <si>
    <t>160310171146584</t>
  </si>
  <si>
    <t>160310172306110</t>
  </si>
  <si>
    <t>160311081740334</t>
  </si>
  <si>
    <t>160311082422122</t>
  </si>
  <si>
    <t>160311082734015</t>
  </si>
  <si>
    <t>160311091357053</t>
  </si>
  <si>
    <t>160311093916803</t>
  </si>
  <si>
    <t>160311095208317</t>
  </si>
  <si>
    <t>160318164211659</t>
  </si>
  <si>
    <t>160321121036376</t>
  </si>
  <si>
    <t>160321121432780</t>
  </si>
  <si>
    <t>160321121830255</t>
  </si>
  <si>
    <t>160324140743969</t>
  </si>
  <si>
    <t>160331091121027</t>
  </si>
  <si>
    <t>160331170623144</t>
  </si>
  <si>
    <t>160401082952503</t>
  </si>
  <si>
    <t>160405095847855</t>
  </si>
  <si>
    <t>160406082614132</t>
  </si>
  <si>
    <t>160406122146063</t>
  </si>
  <si>
    <t>160408153823876</t>
  </si>
  <si>
    <t>160412115422951</t>
  </si>
  <si>
    <t>160412120039005</t>
  </si>
  <si>
    <t>160412120632480</t>
  </si>
  <si>
    <t>160412121529053</t>
  </si>
  <si>
    <t>160412121936908</t>
  </si>
  <si>
    <t>160412122241905</t>
  </si>
  <si>
    <t>160412122703895</t>
  </si>
  <si>
    <t>160412123157034</t>
  </si>
  <si>
    <t>160412123855617</t>
  </si>
  <si>
    <t>160412124209348</t>
  </si>
  <si>
    <t>160415092843409</t>
  </si>
  <si>
    <t>160415093808159</t>
  </si>
  <si>
    <t>160415095457680</t>
  </si>
  <si>
    <t>160415100232087</t>
  </si>
  <si>
    <t>160415103210860</t>
  </si>
  <si>
    <t>160415103434900</t>
  </si>
  <si>
    <t>160415103738078</t>
  </si>
  <si>
    <t>160415160830548</t>
  </si>
  <si>
    <t>160418123155419</t>
  </si>
  <si>
    <t>160429130010706</t>
  </si>
  <si>
    <t>160503131900019</t>
  </si>
  <si>
    <t>160503132248688</t>
  </si>
  <si>
    <t>160503165727315</t>
  </si>
  <si>
    <t>160503172522677</t>
  </si>
  <si>
    <t>160506174707764</t>
  </si>
  <si>
    <t>160524130413472</t>
  </si>
  <si>
    <t>160524130910795</t>
  </si>
  <si>
    <t>160524131649422</t>
  </si>
  <si>
    <t>160525111841760</t>
  </si>
  <si>
    <t>160525154046505</t>
  </si>
  <si>
    <t>160603123519513</t>
  </si>
  <si>
    <t>160603124631349</t>
  </si>
  <si>
    <t>160603124913958</t>
  </si>
  <si>
    <t>160608172141188</t>
  </si>
  <si>
    <t>160613104851482</t>
  </si>
  <si>
    <t>160615160219483</t>
  </si>
  <si>
    <t>160615161621766</t>
  </si>
  <si>
    <t>160617150858238</t>
  </si>
  <si>
    <t>160629164033946</t>
  </si>
  <si>
    <t>160629164338645</t>
  </si>
  <si>
    <t>160629174825964</t>
  </si>
  <si>
    <t>160630091603877</t>
  </si>
  <si>
    <t>160630092206424</t>
  </si>
  <si>
    <t>160701173925695</t>
  </si>
  <si>
    <t>160704153831989</t>
  </si>
  <si>
    <t>160704155925387</t>
  </si>
  <si>
    <t>160704160258585</t>
  </si>
  <si>
    <t>160704160546839</t>
  </si>
  <si>
    <t>160704160859907</t>
  </si>
  <si>
    <t>160704161208237</t>
  </si>
  <si>
    <t>160704161512446</t>
  </si>
  <si>
    <t>160706155134686</t>
  </si>
  <si>
    <t>160713175135476</t>
  </si>
  <si>
    <t>160714152408833</t>
  </si>
  <si>
    <t>160720173454847</t>
  </si>
  <si>
    <t>160721132207916</t>
  </si>
  <si>
    <t>160721133121590</t>
  </si>
  <si>
    <t>160721151005438</t>
  </si>
  <si>
    <t>160801085342249</t>
  </si>
  <si>
    <t>160801091600343</t>
  </si>
  <si>
    <t>160801092100251</t>
  </si>
  <si>
    <t>160801092947433</t>
  </si>
  <si>
    <t>160801093344119</t>
  </si>
  <si>
    <t>160801093656974</t>
  </si>
  <si>
    <t>160803093223108</t>
  </si>
  <si>
    <t>160803104747603</t>
  </si>
  <si>
    <t>160803111717936</t>
  </si>
  <si>
    <t>160803112635583</t>
  </si>
  <si>
    <t>160803114736628</t>
  </si>
  <si>
    <t>160803115401959</t>
  </si>
  <si>
    <t>160803120014173</t>
  </si>
  <si>
    <t>160803121330980</t>
  </si>
  <si>
    <t>160803121814601</t>
  </si>
  <si>
    <t>160803122138804</t>
  </si>
  <si>
    <t>160803125211561</t>
  </si>
  <si>
    <t>160803130056862</t>
  </si>
  <si>
    <t>160803131238414</t>
  </si>
  <si>
    <t>160803132332625</t>
  </si>
  <si>
    <t>160803132703562</t>
  </si>
  <si>
    <t>160804110456861</t>
  </si>
  <si>
    <t>160804111626566</t>
  </si>
  <si>
    <t>160804111900210</t>
  </si>
  <si>
    <t>160805104403784</t>
  </si>
  <si>
    <t>160805123049333</t>
  </si>
  <si>
    <t>160805130327248</t>
  </si>
  <si>
    <t>160805131059357</t>
  </si>
  <si>
    <t>160805131538444</t>
  </si>
  <si>
    <t>160808122924051</t>
  </si>
  <si>
    <t>160808124556392</t>
  </si>
  <si>
    <t>160808124941287</t>
  </si>
  <si>
    <t>160808125617004</t>
  </si>
  <si>
    <t>160808125909073</t>
  </si>
  <si>
    <t>160808130249152</t>
  </si>
  <si>
    <t>160808154342751</t>
  </si>
  <si>
    <t>160808160323143</t>
  </si>
  <si>
    <t>160808161103790</t>
  </si>
  <si>
    <t>160808161548935</t>
  </si>
  <si>
    <t>160808161728440</t>
  </si>
  <si>
    <t>160808165145756</t>
  </si>
  <si>
    <t>160809103052039</t>
  </si>
  <si>
    <t>160809121504221</t>
  </si>
  <si>
    <t>160809121735708</t>
  </si>
  <si>
    <t>160809125628834</t>
  </si>
  <si>
    <t>160809130916182</t>
  </si>
  <si>
    <t>160809131236447</t>
  </si>
  <si>
    <t>160809131801265</t>
  </si>
  <si>
    <t>160809132504478</t>
  </si>
  <si>
    <t>160809132741737</t>
  </si>
  <si>
    <t>160809151311993</t>
  </si>
  <si>
    <t>160809151654590</t>
  </si>
  <si>
    <t>160809151937867</t>
  </si>
  <si>
    <t>160809152433616</t>
  </si>
  <si>
    <t>160809153007373</t>
  </si>
  <si>
    <t>160809155047328</t>
  </si>
  <si>
    <t>160809171257090</t>
  </si>
  <si>
    <t>160811121717902</t>
  </si>
  <si>
    <t>160811123455470</t>
  </si>
  <si>
    <t>160815105546053</t>
  </si>
  <si>
    <t>160817083908051</t>
  </si>
  <si>
    <t>160817124052648</t>
  </si>
  <si>
    <t>160817124637713</t>
  </si>
  <si>
    <t>160817130524347</t>
  </si>
  <si>
    <t>160817131741112</t>
  </si>
  <si>
    <t>160817132017647</t>
  </si>
  <si>
    <t>160817132906121</t>
  </si>
  <si>
    <t>160817133855055</t>
  </si>
  <si>
    <t>160817134916407</t>
  </si>
  <si>
    <t>160817135233116</t>
  </si>
  <si>
    <t>160817152535671</t>
  </si>
  <si>
    <t>160817155428042</t>
  </si>
  <si>
    <t>160817162759377</t>
  </si>
  <si>
    <t>160822174553242</t>
  </si>
  <si>
    <t>160822175220855</t>
  </si>
  <si>
    <t>160823082740670</t>
  </si>
  <si>
    <t>160831113342423</t>
  </si>
  <si>
    <t>160831113852428</t>
  </si>
  <si>
    <t>160831114523942</t>
  </si>
  <si>
    <t>160909104619225</t>
  </si>
  <si>
    <t>160909105102203</t>
  </si>
  <si>
    <t>160915100423256</t>
  </si>
  <si>
    <t>160915131652379</t>
  </si>
  <si>
    <t>160919132020398</t>
  </si>
  <si>
    <t>160919132514323</t>
  </si>
  <si>
    <t>160919160055296</t>
  </si>
  <si>
    <t>160919160540772</t>
  </si>
  <si>
    <t>160919160947446</t>
  </si>
  <si>
    <t>160919161329226</t>
  </si>
  <si>
    <t>160920113905761</t>
  </si>
  <si>
    <t>160926112221917</t>
  </si>
  <si>
    <t>160930093805356</t>
  </si>
  <si>
    <t>160930095233334</t>
  </si>
  <si>
    <t>160930110534886</t>
  </si>
  <si>
    <t>160930151438114</t>
  </si>
  <si>
    <t>160930151944497</t>
  </si>
  <si>
    <t>160930160110757</t>
  </si>
  <si>
    <t>160930160600061</t>
  </si>
  <si>
    <t>160930162734477</t>
  </si>
  <si>
    <t>161006110907760</t>
  </si>
  <si>
    <t>161014133232457</t>
  </si>
  <si>
    <t>161018122022180</t>
  </si>
  <si>
    <t>161018122720000</t>
  </si>
  <si>
    <t>161018123015407</t>
  </si>
  <si>
    <t>161018123308837</t>
  </si>
  <si>
    <t>161018131252327</t>
  </si>
  <si>
    <t>161018132027058</t>
  </si>
  <si>
    <t>161018152039081</t>
  </si>
  <si>
    <t>161018154058232</t>
  </si>
  <si>
    <t>161018154858509</t>
  </si>
  <si>
    <t>161018155628526</t>
  </si>
  <si>
    <t>161019120616542</t>
  </si>
  <si>
    <t>161021082705571</t>
  </si>
  <si>
    <t>161026165542237</t>
  </si>
  <si>
    <t>161027114902622</t>
  </si>
  <si>
    <t>161027120247323</t>
  </si>
  <si>
    <t>161027120625088</t>
  </si>
  <si>
    <t>161027120918093</t>
  </si>
  <si>
    <t>161027121243454</t>
  </si>
  <si>
    <t>161027153102187</t>
  </si>
  <si>
    <t>161027153549411</t>
  </si>
  <si>
    <t>161027154033496</t>
  </si>
  <si>
    <t>161107124456747</t>
  </si>
  <si>
    <t>161107160604583</t>
  </si>
  <si>
    <t>161107161056145</t>
  </si>
  <si>
    <t>161114103848373</t>
  </si>
  <si>
    <t>161114160711381</t>
  </si>
  <si>
    <t>161117170055651</t>
  </si>
  <si>
    <t>161125121305599</t>
  </si>
  <si>
    <t>161128170546797</t>
  </si>
  <si>
    <t>161201154919529</t>
  </si>
  <si>
    <t>161205112356452</t>
  </si>
  <si>
    <t>161205120116118</t>
  </si>
  <si>
    <t>161205120504061</t>
  </si>
  <si>
    <t>161207093411504</t>
  </si>
  <si>
    <t>161208112437789</t>
  </si>
  <si>
    <t>161209092940117</t>
  </si>
  <si>
    <t>161209093717020</t>
  </si>
  <si>
    <t>161212094407909</t>
  </si>
  <si>
    <t>161212132759974</t>
  </si>
  <si>
    <t>161212150219706</t>
  </si>
  <si>
    <t>161212150601005</t>
  </si>
  <si>
    <t>161212172749712</t>
  </si>
  <si>
    <t>161213090649482</t>
  </si>
  <si>
    <t>161213105130339</t>
  </si>
  <si>
    <t>161213132005484</t>
  </si>
  <si>
    <t>161213133025735</t>
  </si>
  <si>
    <t>161213153313980</t>
  </si>
  <si>
    <t>161213162949128</t>
  </si>
  <si>
    <t>161213163543341</t>
  </si>
  <si>
    <t>161213163910893</t>
  </si>
  <si>
    <t>161213164818299</t>
  </si>
  <si>
    <t>161213165113085</t>
  </si>
  <si>
    <t>161214161336615</t>
  </si>
  <si>
    <t>161215101214340</t>
  </si>
  <si>
    <t>161215103058105</t>
  </si>
  <si>
    <t>161215110306516</t>
  </si>
  <si>
    <t>161215130019217</t>
  </si>
  <si>
    <t>161215131508913</t>
  </si>
  <si>
    <t>161215155411522</t>
  </si>
  <si>
    <t>161215160029735</t>
  </si>
  <si>
    <t>161215160612260</t>
  </si>
  <si>
    <t>161215161218754</t>
  </si>
  <si>
    <t>161215161545669</t>
  </si>
  <si>
    <t>161216112830037</t>
  </si>
  <si>
    <t>161216124309343</t>
  </si>
  <si>
    <t>161216130556052</t>
  </si>
  <si>
    <t>161216160446903</t>
  </si>
  <si>
    <t>161219100712307</t>
  </si>
  <si>
    <t>161219170912695</t>
  </si>
  <si>
    <t>161219171304842</t>
  </si>
  <si>
    <t>161219175325978</t>
  </si>
  <si>
    <t>161220081431179</t>
  </si>
  <si>
    <t>161221093039745</t>
  </si>
  <si>
    <t>161221132542484</t>
  </si>
  <si>
    <t>161221132930037</t>
  </si>
  <si>
    <t>161228092306656</t>
  </si>
  <si>
    <t>161228103504164</t>
  </si>
  <si>
    <t>161228104125300</t>
  </si>
  <si>
    <t>161228120818612</t>
  </si>
  <si>
    <t>170105124711332</t>
  </si>
  <si>
    <t>170110083408972</t>
  </si>
  <si>
    <t>170118123904759</t>
  </si>
  <si>
    <t>170118173821808</t>
  </si>
  <si>
    <t>170123171305948</t>
  </si>
  <si>
    <t>170123171935239</t>
  </si>
  <si>
    <t>170124154439407</t>
  </si>
  <si>
    <t>170125113848345</t>
  </si>
  <si>
    <t>170125125624149</t>
  </si>
  <si>
    <t>170126100553809</t>
  </si>
  <si>
    <t>170126123530736</t>
  </si>
  <si>
    <t>170214124948223</t>
  </si>
  <si>
    <t>170214153630241</t>
  </si>
  <si>
    <t>170215151458206</t>
  </si>
  <si>
    <t>170222152048873</t>
  </si>
  <si>
    <t>170224111413135</t>
  </si>
  <si>
    <t>170224113605218</t>
  </si>
  <si>
    <t>170224122708711</t>
  </si>
  <si>
    <t>170307172450266</t>
  </si>
  <si>
    <t>170314131153452</t>
  </si>
  <si>
    <t>170314131508236</t>
  </si>
  <si>
    <t>170314154528657</t>
  </si>
  <si>
    <t>170315083812933</t>
  </si>
  <si>
    <t>170315084112578</t>
  </si>
  <si>
    <t>170315084437441</t>
  </si>
  <si>
    <t>170320152432195</t>
  </si>
  <si>
    <t>170320155009151</t>
  </si>
  <si>
    <t>170320160433188</t>
  </si>
  <si>
    <t>170329114204721</t>
  </si>
  <si>
    <t>170330122313659</t>
  </si>
  <si>
    <t>170405094645309</t>
  </si>
  <si>
    <t>170419104525446</t>
  </si>
  <si>
    <t>170421171018683</t>
  </si>
  <si>
    <t>170425082307839</t>
  </si>
  <si>
    <t>170425082750518</t>
  </si>
  <si>
    <t>170428165756294</t>
  </si>
  <si>
    <t>170428172204489</t>
  </si>
  <si>
    <t>170502112254984</t>
  </si>
  <si>
    <t>170502113816308</t>
  </si>
  <si>
    <t>170502124052608</t>
  </si>
  <si>
    <t>170503102335640</t>
  </si>
  <si>
    <t>170503123432011</t>
  </si>
  <si>
    <t>170508120322363</t>
  </si>
  <si>
    <t>170510130336839</t>
  </si>
  <si>
    <t>170511132927159</t>
  </si>
  <si>
    <t>170511165843023</t>
  </si>
  <si>
    <t>170511170303065</t>
  </si>
  <si>
    <t>170524150945497</t>
  </si>
  <si>
    <t>170529093830208</t>
  </si>
  <si>
    <t>170529171759495</t>
  </si>
  <si>
    <t>170530164234557</t>
  </si>
  <si>
    <t>170531122056391</t>
  </si>
  <si>
    <t>170602151646111</t>
  </si>
  <si>
    <t>170606165834410</t>
  </si>
  <si>
    <t>170606170512303</t>
  </si>
  <si>
    <t>170607161530651</t>
  </si>
  <si>
    <t>170608102558169</t>
  </si>
  <si>
    <t>170620102715750</t>
  </si>
  <si>
    <t>170621091302743</t>
  </si>
  <si>
    <t>170622161019666</t>
  </si>
  <si>
    <t>170626115808008</t>
  </si>
  <si>
    <t>170628101551144</t>
  </si>
  <si>
    <t>170630101644769</t>
  </si>
  <si>
    <t>170703112632068</t>
  </si>
  <si>
    <t>170703150514720</t>
  </si>
  <si>
    <t>170703154018258</t>
  </si>
  <si>
    <t>170711121908841</t>
  </si>
  <si>
    <t>170711123348603</t>
  </si>
  <si>
    <t>170711124819417</t>
  </si>
  <si>
    <t>170721153837211</t>
  </si>
  <si>
    <t>170721154214761</t>
  </si>
  <si>
    <t>170721171441035</t>
  </si>
  <si>
    <t>170721172017677</t>
  </si>
  <si>
    <t>170721172915514</t>
  </si>
  <si>
    <t>170721173436758</t>
  </si>
  <si>
    <t>170724170016364</t>
  </si>
  <si>
    <t>170725124852069</t>
  </si>
  <si>
    <t>170725130158518</t>
  </si>
  <si>
    <t>170725130518712</t>
  </si>
  <si>
    <t>170727125503535</t>
  </si>
  <si>
    <t>170728083026904</t>
  </si>
  <si>
    <t>170728103502094</t>
  </si>
  <si>
    <t>170728104445169</t>
  </si>
  <si>
    <t>170728104806641</t>
  </si>
  <si>
    <t>170728110045808</t>
  </si>
  <si>
    <t>170728110624189</t>
  </si>
  <si>
    <t>170728111229807</t>
  </si>
  <si>
    <t>170728111556321</t>
  </si>
  <si>
    <t>170728111843169</t>
  </si>
  <si>
    <t>170728112133423</t>
  </si>
  <si>
    <t>170728112521137</t>
  </si>
  <si>
    <t>170728113059622</t>
  </si>
  <si>
    <t>170728113459034</t>
  </si>
  <si>
    <t>170803120233787</t>
  </si>
  <si>
    <t>170803122803761</t>
  </si>
  <si>
    <t>170816111454022</t>
  </si>
  <si>
    <t>170824165254981</t>
  </si>
  <si>
    <t>170829104534973</t>
  </si>
  <si>
    <t>170829104904920</t>
  </si>
  <si>
    <t>170830084154771</t>
  </si>
  <si>
    <t>170830161017779</t>
  </si>
  <si>
    <t>170905164620725</t>
  </si>
  <si>
    <t>170906132206610</t>
  </si>
  <si>
    <t>170906155148687</t>
  </si>
  <si>
    <t>170908093229463</t>
  </si>
  <si>
    <t>170911123822021</t>
  </si>
  <si>
    <t>170912114938684</t>
  </si>
  <si>
    <t>170912160746453</t>
  </si>
  <si>
    <t>170919094118791</t>
  </si>
  <si>
    <t>170920100022567</t>
  </si>
  <si>
    <t>170921132757865</t>
  </si>
  <si>
    <t>170921151334334</t>
  </si>
  <si>
    <t>170921151911056</t>
  </si>
  <si>
    <t>170922081838537</t>
  </si>
  <si>
    <t>170922084722136</t>
  </si>
  <si>
    <t>170922085003767</t>
  </si>
  <si>
    <t>170922085616460</t>
  </si>
  <si>
    <t>170922095754043</t>
  </si>
  <si>
    <t>170922100350636</t>
  </si>
  <si>
    <t>170922111010657</t>
  </si>
  <si>
    <t>170922154847151</t>
  </si>
  <si>
    <t>170926123125379</t>
  </si>
  <si>
    <t>170926163017578</t>
  </si>
  <si>
    <t>170926174310049</t>
  </si>
  <si>
    <t>170926174725756</t>
  </si>
  <si>
    <t>170927103306240</t>
  </si>
  <si>
    <t>170929104435713</t>
  </si>
  <si>
    <t>170929104912757</t>
  </si>
  <si>
    <t>171004085410981</t>
  </si>
  <si>
    <t>171004095803170</t>
  </si>
  <si>
    <t>171004114633600</t>
  </si>
  <si>
    <t>171005160516620</t>
  </si>
  <si>
    <t>171005160842464</t>
  </si>
  <si>
    <t>171005163553277</t>
  </si>
  <si>
    <t>171005163836360</t>
  </si>
  <si>
    <t>171005164130799</t>
  </si>
  <si>
    <t>171005164430431</t>
  </si>
  <si>
    <t>171005165206348</t>
  </si>
  <si>
    <t>171006164705687</t>
  </si>
  <si>
    <t>171017105116469</t>
  </si>
  <si>
    <t>171017171825033</t>
  </si>
  <si>
    <t>171023161137368</t>
  </si>
  <si>
    <t>171023162526748</t>
  </si>
  <si>
    <t>171023170343673</t>
  </si>
  <si>
    <t>171023170734574</t>
  </si>
  <si>
    <t>171023171414693</t>
  </si>
  <si>
    <t>171023171656413</t>
  </si>
  <si>
    <t>171024081919835</t>
  </si>
  <si>
    <t>171024082541932</t>
  </si>
  <si>
    <t>171025115255235</t>
  </si>
  <si>
    <t>171025153414629</t>
  </si>
  <si>
    <t>171026154517148</t>
  </si>
  <si>
    <t>171026154907067</t>
  </si>
  <si>
    <t>171027115520094</t>
  </si>
  <si>
    <t>171027115820771</t>
  </si>
  <si>
    <t>171027155216396</t>
  </si>
  <si>
    <t>171101154737163</t>
  </si>
  <si>
    <t>171101155056856</t>
  </si>
  <si>
    <t>171101165527798</t>
  </si>
  <si>
    <t>171109122443302</t>
  </si>
  <si>
    <t>171110101734674</t>
  </si>
  <si>
    <t>171110165650572</t>
  </si>
  <si>
    <t>171113130413553</t>
  </si>
  <si>
    <t>171114103818063</t>
  </si>
  <si>
    <t>171114110235613</t>
  </si>
  <si>
    <t>171116091513419</t>
  </si>
  <si>
    <t>171116153921839</t>
  </si>
  <si>
    <t>171116165511214</t>
  </si>
  <si>
    <t>171117150722849</t>
  </si>
  <si>
    <t>171121103041876</t>
  </si>
  <si>
    <t>171122093753983</t>
  </si>
  <si>
    <t>171127100409608</t>
  </si>
  <si>
    <t>171127114303982</t>
  </si>
  <si>
    <t>171127114752476</t>
  </si>
  <si>
    <t>171127115714584</t>
  </si>
  <si>
    <t>171127122533676</t>
  </si>
  <si>
    <t>171127130501150</t>
  </si>
  <si>
    <t>171129162458794</t>
  </si>
  <si>
    <t>171130132504698</t>
  </si>
  <si>
    <t>171201083027788</t>
  </si>
  <si>
    <t>171201110304650</t>
  </si>
  <si>
    <t>171201112107208</t>
  </si>
  <si>
    <t>171201112426536</t>
  </si>
  <si>
    <t>171201112743777</t>
  </si>
  <si>
    <t>171201113047118</t>
  </si>
  <si>
    <t>171204155338894</t>
  </si>
  <si>
    <t>171204155834340</t>
  </si>
  <si>
    <t>171204160252430</t>
  </si>
  <si>
    <t>171204161404689</t>
  </si>
  <si>
    <t>171205093410214</t>
  </si>
  <si>
    <t>171206150050555</t>
  </si>
  <si>
    <t>171212114749154</t>
  </si>
  <si>
    <t>171212115813163</t>
  </si>
  <si>
    <t>171213160706355</t>
  </si>
  <si>
    <t>171213162614280</t>
  </si>
  <si>
    <t>171213162940504</t>
  </si>
  <si>
    <t>171214123242224</t>
  </si>
  <si>
    <t>171214131728372</t>
  </si>
  <si>
    <t>171215091442764</t>
  </si>
  <si>
    <t>171215152538293</t>
  </si>
  <si>
    <t>171218114300440</t>
  </si>
  <si>
    <t>171220081000275</t>
  </si>
  <si>
    <t>171220105719123</t>
  </si>
  <si>
    <t>171220110744784</t>
  </si>
  <si>
    <t>171220161844729</t>
  </si>
  <si>
    <t>171221125447472</t>
  </si>
  <si>
    <t>171221125751000</t>
  </si>
  <si>
    <t>171221130147868</t>
  </si>
  <si>
    <t>171221130529933</t>
  </si>
  <si>
    <t>171222114152873</t>
  </si>
  <si>
    <t>171222152028937</t>
  </si>
  <si>
    <t>171222153037451</t>
  </si>
  <si>
    <t>171227114505621</t>
  </si>
  <si>
    <t>171228110453558</t>
  </si>
  <si>
    <t>171228111117712</t>
  </si>
  <si>
    <t>171228111809269</t>
  </si>
  <si>
    <t>171228113934403</t>
  </si>
  <si>
    <t>171228114434248</t>
  </si>
  <si>
    <t>171228120949340</t>
  </si>
  <si>
    <t>180108131450139</t>
  </si>
  <si>
    <t>180108131732892</t>
  </si>
  <si>
    <t>180110172622655</t>
  </si>
  <si>
    <t>180116115208517</t>
  </si>
  <si>
    <t>180117113616367</t>
  </si>
  <si>
    <t>180118154937429</t>
  </si>
  <si>
    <t>180118155729156</t>
  </si>
  <si>
    <t>180119123834680</t>
  </si>
  <si>
    <t>180119124216208</t>
  </si>
  <si>
    <t>180119124559539</t>
  </si>
  <si>
    <t>180122114736065</t>
  </si>
  <si>
    <t>180122115741129</t>
  </si>
  <si>
    <t>180122133113871</t>
  </si>
  <si>
    <t>180122165133333</t>
  </si>
  <si>
    <t>180122171254437</t>
  </si>
  <si>
    <t>180122171631874</t>
  </si>
  <si>
    <t>180122172015663</t>
  </si>
  <si>
    <t>180122173150989</t>
  </si>
  <si>
    <t>180123152827233</t>
  </si>
  <si>
    <t>180123155210917</t>
  </si>
  <si>
    <t>180124091828436</t>
  </si>
  <si>
    <t>180125122710888</t>
  </si>
  <si>
    <t>180125130726035</t>
  </si>
  <si>
    <t>180125131515531</t>
  </si>
  <si>
    <t>180125132118744</t>
  </si>
  <si>
    <t>180125132524604</t>
  </si>
  <si>
    <t>180125155713189</t>
  </si>
  <si>
    <t>180125155903238</t>
  </si>
  <si>
    <t>180125160234228</t>
  </si>
  <si>
    <t>180125160629138</t>
  </si>
  <si>
    <t>180125164043706</t>
  </si>
  <si>
    <t>180125164132801</t>
  </si>
  <si>
    <t>180126141938386</t>
  </si>
  <si>
    <t>180126161115131</t>
  </si>
  <si>
    <t>180126162524068</t>
  </si>
  <si>
    <t>180126162837449</t>
  </si>
  <si>
    <t>180129165638611</t>
  </si>
  <si>
    <t>180130104939624</t>
  </si>
  <si>
    <t>180130105535234</t>
  </si>
  <si>
    <t>180131093530583</t>
  </si>
  <si>
    <t>180131155242422</t>
  </si>
  <si>
    <t>180131160835448</t>
  </si>
  <si>
    <t>180131161348850</t>
  </si>
  <si>
    <t>180131161654567</t>
  </si>
  <si>
    <t>180131161958959</t>
  </si>
  <si>
    <t>180131162332035</t>
  </si>
  <si>
    <t>180131162828825</t>
  </si>
  <si>
    <t>180131163119960</t>
  </si>
  <si>
    <t>180131171340793</t>
  </si>
  <si>
    <t>180131172110784</t>
  </si>
  <si>
    <t>180131172502683</t>
  </si>
  <si>
    <t>180131172813109</t>
  </si>
  <si>
    <t>180131173115208</t>
  </si>
  <si>
    <t>180131173424275</t>
  </si>
  <si>
    <t>180131173845266</t>
  </si>
  <si>
    <t>180201111849417</t>
  </si>
  <si>
    <t>180201113503003</t>
  </si>
  <si>
    <t>180201115451532</t>
  </si>
  <si>
    <t>180201115852986</t>
  </si>
  <si>
    <t>180201120252027</t>
  </si>
  <si>
    <t>180201120654980</t>
  </si>
  <si>
    <t>180201120940140</t>
  </si>
  <si>
    <t>180201124021397</t>
  </si>
  <si>
    <t>180201124436338</t>
  </si>
  <si>
    <t>180201124824258</t>
  </si>
  <si>
    <t>180201125634849</t>
  </si>
  <si>
    <t>180201130203175</t>
  </si>
  <si>
    <t>180201130448317</t>
  </si>
  <si>
    <t>180201154326368</t>
  </si>
  <si>
    <t>180201172533620</t>
  </si>
  <si>
    <t>180208111547141</t>
  </si>
  <si>
    <t>180215171435347</t>
  </si>
  <si>
    <t>180216103350776</t>
  </si>
  <si>
    <t>180219095713637</t>
  </si>
  <si>
    <t>180219110342052</t>
  </si>
  <si>
    <t>180220120016086</t>
  </si>
  <si>
    <t>180222130438332</t>
  </si>
  <si>
    <t>180222171257016</t>
  </si>
  <si>
    <t>180228113247387</t>
  </si>
  <si>
    <t>180228172249791</t>
  </si>
  <si>
    <t>180302100448505</t>
  </si>
  <si>
    <t>180326085937690</t>
  </si>
  <si>
    <t>180327110223923</t>
  </si>
  <si>
    <t>180410101110641</t>
  </si>
  <si>
    <t>180411105129354</t>
  </si>
  <si>
    <t>EC-6450061</t>
  </si>
  <si>
    <t>2017-12</t>
  </si>
  <si>
    <t>2018-1</t>
  </si>
  <si>
    <t>2018-2</t>
  </si>
  <si>
    <t>2018-3</t>
  </si>
  <si>
    <t>2018-4</t>
  </si>
  <si>
    <t>111121163313577</t>
  </si>
  <si>
    <t>SU-EX17PR</t>
  </si>
  <si>
    <t>LIBRE-425</t>
  </si>
  <si>
    <t>Ferretera.xlsm</t>
  </si>
  <si>
    <t>JAPON CHATANI</t>
  </si>
  <si>
    <t>MOTOR GASOLINA SUBARU 6HP EX17 PREMIUM</t>
  </si>
  <si>
    <t>MOTORES 4T</t>
  </si>
  <si>
    <t>INDUSTRIAL</t>
  </si>
  <si>
    <t>Subaru</t>
  </si>
  <si>
    <t>SU-040-11400-30</t>
  </si>
  <si>
    <t>+-</t>
  </si>
  <si>
    <t>LIBRE-113</t>
  </si>
  <si>
    <t>Repuestos Ferreteria.xlsm</t>
  </si>
  <si>
    <t>TAPON DRENAJE ACEITE EX27 EX17 EX40-PTG210 PTG310 EH12</t>
  </si>
  <si>
    <t>REPUESTOS 4T</t>
  </si>
  <si>
    <t>REPUESTOS</t>
  </si>
  <si>
    <t>OK</t>
  </si>
  <si>
    <t>131118091658986</t>
  </si>
  <si>
    <t>SU-044-02502-10</t>
  </si>
  <si>
    <t>SUSP-89</t>
  </si>
  <si>
    <t>SELLO ACEITE CUBIERTA PRINCIPAL EX17</t>
  </si>
  <si>
    <t>131118092316069</t>
  </si>
  <si>
    <t>SU-277-63601-23</t>
  </si>
  <si>
    <t>MEDIDOR ACEITE EX17 (SU-277-63601-30)</t>
  </si>
  <si>
    <t>131118095358460</t>
  </si>
  <si>
    <t>SU-279-15001-33</t>
  </si>
  <si>
    <t>EMPAQUE CABEZOTE EX27</t>
  </si>
  <si>
    <t>131118102413333</t>
  </si>
  <si>
    <t>SU-279-20901-71</t>
  </si>
  <si>
    <t>CIGUEÑAL EX27</t>
  </si>
  <si>
    <t>SU-279-22501-30</t>
  </si>
  <si>
    <t>BUF</t>
  </si>
  <si>
    <t>BIELA EX27 (279-22501-20)</t>
  </si>
  <si>
    <t>SU-279-23511-17</t>
  </si>
  <si>
    <t>ANILLO PISTON SET STD EX27 (279-23511-07)</t>
  </si>
  <si>
    <t>131118105311267</t>
  </si>
  <si>
    <t>SU-056-51800-10</t>
  </si>
  <si>
    <t>SEGURO PIN PISTON EX27</t>
  </si>
  <si>
    <t>SU-277-20901-51</t>
  </si>
  <si>
    <t>CIGUEÑAL EX17</t>
  </si>
  <si>
    <t>SU-277-22501-10</t>
  </si>
  <si>
    <t>BIELA EX17</t>
  </si>
  <si>
    <t>SU-22E-33401-03</t>
  </si>
  <si>
    <t>VALVULA ADMISION EX27 279-33401-H3 / 279-33401-13</t>
  </si>
  <si>
    <t>MAC MFR-82</t>
  </si>
  <si>
    <t>SU-22E-33501-03</t>
  </si>
  <si>
    <t>VALVULA ESCAPE EX27 (SU-279-33501-H3)</t>
  </si>
  <si>
    <t>SU-277-23511-47</t>
  </si>
  <si>
    <t>ANILLO PISTON STD EX17 (277-23531-07) (..-17) (..-37)</t>
  </si>
  <si>
    <t>131118114714460</t>
  </si>
  <si>
    <t>SU-277-31601-51</t>
  </si>
  <si>
    <t>ARBOL DE LEVAS EX17</t>
  </si>
  <si>
    <t>SU-20A-33401-03</t>
  </si>
  <si>
    <t>VALVULA ADMISION EX17 (SU-277-33401-H3)</t>
  </si>
  <si>
    <t>MFR-61</t>
  </si>
  <si>
    <t>SU-279-32607-17</t>
  </si>
  <si>
    <t>FILTRO AIRE ELEMENTO EX27 (279-32607-07)</t>
  </si>
  <si>
    <t>SU-277-33501-H3</t>
  </si>
  <si>
    <t>VALVULA ESCAPE EX17 EX21</t>
  </si>
  <si>
    <t>131118152954518</t>
  </si>
  <si>
    <t>SU-279-60102-11</t>
  </si>
  <si>
    <t>TANQUE COMBUSTIBLE EX27</t>
  </si>
  <si>
    <t>131118160545649</t>
  </si>
  <si>
    <t>SU-277-32715-40</t>
  </si>
  <si>
    <t>FILTRO AIRE KIT EX17 (277-32715-30)</t>
  </si>
  <si>
    <t>SU-279-79430-11</t>
  </si>
  <si>
    <t>BOBINA EX27 (279-79430-01)</t>
  </si>
  <si>
    <t>SU-20A-32636-00</t>
  </si>
  <si>
    <t>FILTRO AIRE ELEMENTO EX17</t>
  </si>
  <si>
    <t>SU-279-63601-30</t>
  </si>
  <si>
    <t>MEDIDOR ACEITE EX-40 (279-63601-23)</t>
  </si>
  <si>
    <t>SU-20B-22503-00</t>
  </si>
  <si>
    <t>BIELA EX40(SU-20B-22501-00)</t>
  </si>
  <si>
    <t>SU-20B-23401-J3</t>
  </si>
  <si>
    <t>PISTON EX40 (20B-23401-H3)</t>
  </si>
  <si>
    <t>SU-20B-33401-H3</t>
  </si>
  <si>
    <t>VALVULA ADMISION EX40</t>
  </si>
  <si>
    <t>SU-20B-33501-H3</t>
  </si>
  <si>
    <t>VALVULA ESCAPE EX40</t>
  </si>
  <si>
    <t>SU-20B-32610-J7</t>
  </si>
  <si>
    <t>FILTRO AIRE ELEMENTO EX40 (20B-32651-H0)</t>
  </si>
  <si>
    <t>131119084535039</t>
  </si>
  <si>
    <t>SU-277-43502-03</t>
  </si>
  <si>
    <t>PLACA STOP EX17</t>
  </si>
  <si>
    <t>SU-20B-50301-H0</t>
  </si>
  <si>
    <t>ARRANCADOR EX40 (SU-20B-50301-20)</t>
  </si>
  <si>
    <t>SU-X64-13600-10</t>
  </si>
  <si>
    <t>FILTRO GASOLINA EX40 EX17 PTG310</t>
  </si>
  <si>
    <t>SU-277-60102-31</t>
  </si>
  <si>
    <t>TANQUE COMBUSTIBLE EX17 EX21 (277-60102-11)</t>
  </si>
  <si>
    <t>SU-20B-79430-H1</t>
  </si>
  <si>
    <t>BOBINA EX40</t>
  </si>
  <si>
    <t>SU-277-62302-60</t>
  </si>
  <si>
    <t>CARBURADOR EX17 (277-62302-50)</t>
  </si>
  <si>
    <t>SU-277-32902-H3</t>
  </si>
  <si>
    <t>AISLADOR INSULADOR CARBURADOR EX17(SU-20A-32902-01)</t>
  </si>
  <si>
    <t>SU-277-79431-11</t>
  </si>
  <si>
    <t>BOBINA EX17 EX21</t>
  </si>
  <si>
    <t>131119110904710</t>
  </si>
  <si>
    <t>SU-227-45003-01</t>
  </si>
  <si>
    <t xml:space="preserve">ENGRANAJE REGULADOR EH12 PTG310 </t>
  </si>
  <si>
    <t>131119165954913</t>
  </si>
  <si>
    <t>SU-EX27ST</t>
  </si>
  <si>
    <t>LIBRE-734</t>
  </si>
  <si>
    <t>MOTOR GASOLINA SUBARU 9HP EX27 STANDARD</t>
  </si>
  <si>
    <t>SANYO-0439</t>
  </si>
  <si>
    <t>LIBRE-96</t>
  </si>
  <si>
    <t>CUCHILLA CORBATIN SANYO 14" (7117)</t>
  </si>
  <si>
    <t>ACCESORIOS EQUIPOS 4T</t>
  </si>
  <si>
    <t>ACCESORIOS</t>
  </si>
  <si>
    <t>SANYO</t>
  </si>
  <si>
    <t>SANYO-3923</t>
  </si>
  <si>
    <t>LIBRE-55</t>
  </si>
  <si>
    <t>CUCHILLA SANYO KE TRES PUNTAS 12"</t>
  </si>
  <si>
    <t>SANYO-3924</t>
  </si>
  <si>
    <t>SUSP-49</t>
  </si>
  <si>
    <t>CUCHILLA SANYO KE TRES PUNTAS 14" 355MM</t>
  </si>
  <si>
    <t>SANYO-3961</t>
  </si>
  <si>
    <t>SUSP-246</t>
  </si>
  <si>
    <t>DISCO VIDEA SANYO KT 10" X 40D</t>
  </si>
  <si>
    <t>ASAB-1100</t>
  </si>
  <si>
    <t>LANZA SUPER SHUTTLE TIP0 1100</t>
  </si>
  <si>
    <t>ACCESORIOS EQUIPOS 2T</t>
  </si>
  <si>
    <t>ASABA</t>
  </si>
  <si>
    <t>SAC</t>
  </si>
  <si>
    <t>ASAB-300H</t>
  </si>
  <si>
    <t>PISTOLA ULTRA BEAM 300 H GRADUABLE</t>
  </si>
  <si>
    <t>ASAB-300A</t>
  </si>
  <si>
    <t>LIBRE-56</t>
  </si>
  <si>
    <t>PISTOLA SUPER SHUTTLE 300 A GRADUABLE</t>
  </si>
  <si>
    <t>ASAB-AP-1</t>
  </si>
  <si>
    <t>PISTOLA GOLD AP1 GRADUABLE</t>
  </si>
  <si>
    <t>131120091641867</t>
  </si>
  <si>
    <t>ASAB-910-LT</t>
  </si>
  <si>
    <t>SUSP-61</t>
  </si>
  <si>
    <t>LANZA ELECTROSTATICA</t>
  </si>
  <si>
    <t>ASAB-3HEADS</t>
  </si>
  <si>
    <t>BOQUILLA 3 SALIDAS CERAMICA ANGULO ABIERTO</t>
  </si>
  <si>
    <t>MFR-82</t>
  </si>
  <si>
    <t>ASAB-2HEADS</t>
  </si>
  <si>
    <t>BOQUILLA HORQUETA  2 SALIDAS HEXAGONAL METALICA</t>
  </si>
  <si>
    <t>ASAB-2HEADSR</t>
  </si>
  <si>
    <t>BOQUILLA HORQUETA 2 SALIDAS HEXAGONAL PLASTICA</t>
  </si>
  <si>
    <t>ASAB-W-2D-3</t>
  </si>
  <si>
    <t>BOQUILLA 2 SALIDAS ANGULO ABIERTO VERTICAL</t>
  </si>
  <si>
    <t>ASAB-HOSES</t>
  </si>
  <si>
    <t>Analisis comercial</t>
  </si>
  <si>
    <t>MANGUERA DE FUMIGACIÓN 5MPA</t>
  </si>
  <si>
    <t>ASAB-TREE</t>
  </si>
  <si>
    <t>BOQUILLA GRADUABLE PARA ARBUSTOS</t>
  </si>
  <si>
    <t>ASAB-1</t>
  </si>
  <si>
    <t>LANZA SUPER JET TIPO 1</t>
  </si>
  <si>
    <t>140218102342690</t>
  </si>
  <si>
    <t>SU-PTX320ST</t>
  </si>
  <si>
    <t>LIBRE-610</t>
  </si>
  <si>
    <t>BOMBA DE AGUA SUBARU DE 3" DE CAUDAL STANDARD (6446)</t>
  </si>
  <si>
    <t>BOMBAS DE AGUA DE CAUDAL</t>
  </si>
  <si>
    <t>BOMBAS DE AGUA 4T</t>
  </si>
  <si>
    <t>SANYO-0438</t>
  </si>
  <si>
    <t>CUCHILLA CORBATIN SANYO 12"</t>
  </si>
  <si>
    <t>SU-279-23512-17</t>
  </si>
  <si>
    <t>ANILLO PISTON SET 0.25 EX27</t>
  </si>
  <si>
    <t>SU-X66-00005-30</t>
  </si>
  <si>
    <t>SWITCH EX27 (X66-00004-20)(066-00004-91)</t>
  </si>
  <si>
    <t>SU-277-23531-07</t>
  </si>
  <si>
    <t>ANILLO PISTON SET STD EX17 EX21</t>
  </si>
  <si>
    <t>SU-277-23532-07</t>
  </si>
  <si>
    <t>ANILLO PISTON SET 0.25 EX17 EX21</t>
  </si>
  <si>
    <t>140604164835868</t>
  </si>
  <si>
    <t>SU-277-23533-07</t>
  </si>
  <si>
    <t>ANILLO PISTON SET 0.50 EX17 EX21</t>
  </si>
  <si>
    <t>SU-253-15001-33</t>
  </si>
  <si>
    <t>EMPAQUE CABEZOTE EH12 (253-15001-23)</t>
  </si>
  <si>
    <t>MFR-273</t>
  </si>
  <si>
    <t>SU-268-33401-03</t>
  </si>
  <si>
    <t>VALVULA ADMISION EH12</t>
  </si>
  <si>
    <t>SU-044-02500-70</t>
  </si>
  <si>
    <t>SELLO ACEITE EH12 (044-02501-50)</t>
  </si>
  <si>
    <t>SU-252-23501-17</t>
  </si>
  <si>
    <t>ANILLO PISTON SET STD EH12</t>
  </si>
  <si>
    <t>SU-252-23502-17</t>
  </si>
  <si>
    <t>ANILLO PISTON SET 0.25 EH12</t>
  </si>
  <si>
    <t>SU-252-23503-17</t>
  </si>
  <si>
    <t>ANILLO PISTON SET 0.50 EH12 (252-23503-07)</t>
  </si>
  <si>
    <t>SU-252-22501-20</t>
  </si>
  <si>
    <t>BIELA EH12 (252-22501-10)</t>
  </si>
  <si>
    <t>SU-268-23301-13</t>
  </si>
  <si>
    <t>BULON PISTON EH12 (268-23301-03)</t>
  </si>
  <si>
    <t>SU-268-33501-03</t>
  </si>
  <si>
    <t>VALVULA ESCAPE EH12</t>
  </si>
  <si>
    <t>SU-253-31701-11</t>
  </si>
  <si>
    <t>ARBOL DE LEVAS EH12</t>
  </si>
  <si>
    <t>SU-215-25004-03</t>
  </si>
  <si>
    <t>SEGURO PIN PISTON EH12</t>
  </si>
  <si>
    <t>SU-EH122D46262</t>
  </si>
  <si>
    <t>MOTOR GASOLINA SUBARU 4HP EH12-2D4 (WEBER)</t>
  </si>
  <si>
    <t>140901124232350</t>
  </si>
  <si>
    <t>SU-EX40PR</t>
  </si>
  <si>
    <t>LIBRE-426</t>
  </si>
  <si>
    <t>MOTOR GASOLINA SUBARU 14HP EX40 PREMIUM</t>
  </si>
  <si>
    <t>140901153032900</t>
  </si>
  <si>
    <t>SU-EX27PR</t>
  </si>
  <si>
    <t>MOTOR GASOLINA SUBARU 9HP EX27 PREMIUM</t>
  </si>
  <si>
    <t>ARS-UV-32E-W</t>
  </si>
  <si>
    <t>SUSP-211</t>
  </si>
  <si>
    <t>SUPERTURBOCUT SERRUCHO W 32 cm</t>
  </si>
  <si>
    <t>TIJERAS</t>
  </si>
  <si>
    <t>HERRAMIENTAS PODA MANUAL</t>
  </si>
  <si>
    <t>ARS</t>
  </si>
  <si>
    <t>150210120645078</t>
  </si>
  <si>
    <t>ARS-UV-32E-1</t>
  </si>
  <si>
    <t>HOJA DE SUPERTURBOCUT</t>
  </si>
  <si>
    <t>REPUESTOS 2T</t>
  </si>
  <si>
    <t>ARS-GR-17</t>
  </si>
  <si>
    <t>SUSP-183</t>
  </si>
  <si>
    <t>SIERRA PLEGABLE GR17</t>
  </si>
  <si>
    <t>ARS-GR-18L</t>
  </si>
  <si>
    <t>SIERRA PLEGABLE GR18R</t>
  </si>
  <si>
    <t>ARS-VS-9R</t>
  </si>
  <si>
    <t>LIBRE-198</t>
  </si>
  <si>
    <t>TIJERA DE PODAR 9R 227mm 0.25mm</t>
  </si>
  <si>
    <t>ARS-VS-9Z</t>
  </si>
  <si>
    <t>TIJERA DE PODAR 9Z 227mm 0.25mm</t>
  </si>
  <si>
    <t>ARS-VS-9-1</t>
  </si>
  <si>
    <t>JUEGO DE CUCHILLAS VS91 / VS-9Z / VS-9R</t>
  </si>
  <si>
    <t>150210145215644</t>
  </si>
  <si>
    <t>ARS-160-1</t>
  </si>
  <si>
    <t>HOJA REPUESTO 160R-1.8</t>
  </si>
  <si>
    <t>ARS-CB-9</t>
  </si>
  <si>
    <t>TIJERA DE PODAR CB-9 225 160 0.25mm</t>
  </si>
  <si>
    <t>150210150213414</t>
  </si>
  <si>
    <t>ARS-CB-9-1</t>
  </si>
  <si>
    <t>HOJA CB-9-1 / CB-9</t>
  </si>
  <si>
    <t>ARS-CB-9-2</t>
  </si>
  <si>
    <t>CONTRAHOJA CB-92</t>
  </si>
  <si>
    <t>ASAB-NS-2802</t>
  </si>
  <si>
    <t>LIBRE-236</t>
  </si>
  <si>
    <t>BRASIL</t>
  </si>
  <si>
    <t>BOMBA DE FUMIGACION ESTACIONARIA ASABA NS-2802</t>
  </si>
  <si>
    <t>FUMIGACION ESTACIONARIA</t>
  </si>
  <si>
    <t>FUMIGACION</t>
  </si>
  <si>
    <t>ARS-300L</t>
  </si>
  <si>
    <t>TIJERA DE COSECHA 190 mm 300L</t>
  </si>
  <si>
    <t>ARS-160R-1.8</t>
  </si>
  <si>
    <t>SUSP-42</t>
  </si>
  <si>
    <t>PODADORA TELESCOPICA CUT &amp; HOLD 160R-1.8</t>
  </si>
  <si>
    <t>ARS-180ZF-3.0-5</t>
  </si>
  <si>
    <t>PODADORA TELESCOPICA 180ZF 1.8 - 3.0 M</t>
  </si>
  <si>
    <t>PODADORAS DE ALTURA MANUAL</t>
  </si>
  <si>
    <t>ARS-180ZR-1</t>
  </si>
  <si>
    <t>JUEGO DE HOJAS180ZR-1</t>
  </si>
  <si>
    <t>ARS LPB-20M</t>
  </si>
  <si>
    <t>TIJERA PODADORA GRANDE LPB-20M</t>
  </si>
  <si>
    <t>ARS-KR-1000</t>
  </si>
  <si>
    <t>LIBRE-282</t>
  </si>
  <si>
    <t>PODADORA DE SETOS KR 1000</t>
  </si>
  <si>
    <t>ARS-LPB-30L</t>
  </si>
  <si>
    <t>TIJERA PODADORA GRANDE LPB-30L</t>
  </si>
  <si>
    <t>ARS-9F-10</t>
  </si>
  <si>
    <t>AFILADOR SIERRAS ARS</t>
  </si>
  <si>
    <t>ARS-SS-240</t>
  </si>
  <si>
    <t>PIEDRA DE AFILAR ARS</t>
  </si>
  <si>
    <t>ARS-GO-1</t>
  </si>
  <si>
    <t>LIMPIADOR CUCHILLA ARS</t>
  </si>
  <si>
    <t>ACCESORIOS EQUIPOS MANUALES</t>
  </si>
  <si>
    <t>ARS-EXP-3.3</t>
  </si>
  <si>
    <t>PERTIGA PARA SIERRA DE MASTIL</t>
  </si>
  <si>
    <t>ARS-SH-VSZ</t>
  </si>
  <si>
    <t>LIBRE-134</t>
  </si>
  <si>
    <t>PORTATIJERAS PARA VS-9Z</t>
  </si>
  <si>
    <t>ARS-LPB-30-1</t>
  </si>
  <si>
    <t>REPUESTO PARA LPB-30L</t>
  </si>
  <si>
    <t>ARS-UV-34</t>
  </si>
  <si>
    <t>SIERRA DE MASTIL</t>
  </si>
  <si>
    <t>ARS-UV-32E</t>
  </si>
  <si>
    <t>SUPERTURBOCUT SERRUCHO 160 32 cm</t>
  </si>
  <si>
    <t>150224174705654</t>
  </si>
  <si>
    <t>ARS-LPB-20-1</t>
  </si>
  <si>
    <t>LIBRE-526</t>
  </si>
  <si>
    <t>REPUESTO PARA LPB-20M</t>
  </si>
  <si>
    <t>150331085145825</t>
  </si>
  <si>
    <t>SU-269-79430-31</t>
  </si>
  <si>
    <t>BOBINA EH12 269-79430-11 / 269-79430-01</t>
  </si>
  <si>
    <t>SU-252-32712-40</t>
  </si>
  <si>
    <t>FILTRO AIRE KIT EH12 (252-32712-30) (...-20)</t>
  </si>
  <si>
    <t>SU-268-21902-21</t>
  </si>
  <si>
    <t>CIGUEÑAL EH12 EJE CONICO WEBER (268-21902-11)</t>
  </si>
  <si>
    <t>ARS-SE-45</t>
  </si>
  <si>
    <t>TIJERA DE COSECHA SE-45</t>
  </si>
  <si>
    <t>150811165529275</t>
  </si>
  <si>
    <t>SU-EX21PR</t>
  </si>
  <si>
    <t>MOTOR GASOLINA SUBARU 7HP EX21 PREMIUM</t>
  </si>
  <si>
    <t>SU-252-30401-11</t>
  </si>
  <si>
    <t xml:space="preserve">SILENCIADOR EH12 </t>
  </si>
  <si>
    <t>150827131329684</t>
  </si>
  <si>
    <t>SU-EH122D46212</t>
  </si>
  <si>
    <t>MOTOR GASOLINA SUBARU 4HP EH12 (MASALTA)</t>
  </si>
  <si>
    <t>SU-252-32602-07</t>
  </si>
  <si>
    <t>FILTRO AIRE ELEMENTO EH12</t>
  </si>
  <si>
    <t>SU-22B-23403-J3</t>
  </si>
  <si>
    <t>PISTON 0,25 EX40 EX35 (20B-23403-H3)</t>
  </si>
  <si>
    <t>150922181741888</t>
  </si>
  <si>
    <t>SU-22B-23404-J3</t>
  </si>
  <si>
    <t>PISTON 0,50 EX40 (20B-23404-H3)</t>
  </si>
  <si>
    <t>150923152146798</t>
  </si>
  <si>
    <t>SU-066-00004-81</t>
  </si>
  <si>
    <t>SWITCH EH12 (066-00003-71)</t>
  </si>
  <si>
    <t>SU-252-62551-40</t>
  </si>
  <si>
    <t>CARBURADOR EH12 (252-62551-00)</t>
  </si>
  <si>
    <t>SU-277-27011-K7</t>
  </si>
  <si>
    <t>PISTON KIT STD EX17 EX21</t>
  </si>
  <si>
    <t>150928164330218</t>
  </si>
  <si>
    <t>SU-279-27011-H7</t>
  </si>
  <si>
    <t>LIBRE-609</t>
  </si>
  <si>
    <t>PISTON KIT STD EX27</t>
  </si>
  <si>
    <t>SU-278-62301-60</t>
  </si>
  <si>
    <t>CARBURADOR EX21 (278-62301-30)(278-62301-50)</t>
  </si>
  <si>
    <t>SU-268-21903-31</t>
  </si>
  <si>
    <t>CIGUEÑAL EH12 EJE RECTO ROSCADO MASALTA</t>
  </si>
  <si>
    <t>SU-226-62407-08</t>
  </si>
  <si>
    <t>CICLOR DE GASOLINA #62.5 EH12</t>
  </si>
  <si>
    <t>SU-268-27002-J7</t>
  </si>
  <si>
    <t>PISTON SET 0.25 EH12</t>
  </si>
  <si>
    <t>ARS-SP-323</t>
  </si>
  <si>
    <t>JUEGO PERNO Y TUERCA PARA MAGO VS-9Z / VS-9R</t>
  </si>
  <si>
    <t>ARS-SP-61</t>
  </si>
  <si>
    <t>RESORTE VS-9Z / VS-9R</t>
  </si>
  <si>
    <t>160229125330069</t>
  </si>
  <si>
    <t>ARS-SP-60</t>
  </si>
  <si>
    <t>PERNO Y TUERCA VS9R Y 9Z</t>
  </si>
  <si>
    <t>160229125633998</t>
  </si>
  <si>
    <t>ARS-SP-151</t>
  </si>
  <si>
    <t>AMORTIGUADOR PLASTICO  VS9R Y 9Z</t>
  </si>
  <si>
    <t>160301101940973</t>
  </si>
  <si>
    <t>SU-X66-00003-62</t>
  </si>
  <si>
    <t>SUSP-62</t>
  </si>
  <si>
    <t>CA SWITCH AY EX-40 (KU3-11077-21)</t>
  </si>
  <si>
    <t>ARS-VS-8Z</t>
  </si>
  <si>
    <t>LIBRE-261</t>
  </si>
  <si>
    <t>TIJERA DE PODAR 8Z 200mm 0.22mm</t>
  </si>
  <si>
    <t>ARS-SP-23</t>
  </si>
  <si>
    <t>RESORTE 300L</t>
  </si>
  <si>
    <t>ARS-SP-188</t>
  </si>
  <si>
    <t>RESORTE SE-45</t>
  </si>
  <si>
    <t>ARS-160ZF-3.0-5</t>
  </si>
  <si>
    <t>PODADORA TELECOPICA 160ZF-3.0-5</t>
  </si>
  <si>
    <t>MFR-321</t>
  </si>
  <si>
    <t>ASAB-250H</t>
  </si>
  <si>
    <t>PISTOLA SUPER SHUTTLE 250H</t>
  </si>
  <si>
    <t>170330123845705</t>
  </si>
  <si>
    <t>ARS-LP-40</t>
  </si>
  <si>
    <t>SUSP-198</t>
  </si>
  <si>
    <t>PODADORA LP-40</t>
  </si>
  <si>
    <t>PODADORA ELECTRICA</t>
  </si>
  <si>
    <t xml:space="preserve">PODADORA </t>
  </si>
  <si>
    <t>SU-KU3-11077-21</t>
  </si>
  <si>
    <t xml:space="preserve">SWITCH EX40 </t>
  </si>
  <si>
    <t>ARS-120EU</t>
  </si>
  <si>
    <t>TIJERA DE PODAR 120 EU</t>
  </si>
  <si>
    <t>10000000003</t>
  </si>
  <si>
    <t>10000000016</t>
  </si>
  <si>
    <t>10000000017</t>
  </si>
  <si>
    <t>10000000019</t>
  </si>
  <si>
    <t>10000000020</t>
  </si>
  <si>
    <t>10000000027</t>
  </si>
  <si>
    <t>10000000031</t>
  </si>
  <si>
    <t>10000000045</t>
  </si>
  <si>
    <t>10000000046</t>
  </si>
  <si>
    <t>10000000047</t>
  </si>
  <si>
    <t>10000000049</t>
  </si>
  <si>
    <t>10000000050</t>
  </si>
  <si>
    <t>10000000052</t>
  </si>
  <si>
    <t>10000000054</t>
  </si>
  <si>
    <t>10000000166</t>
  </si>
  <si>
    <t>10000000293</t>
  </si>
  <si>
    <t>10000000521</t>
  </si>
  <si>
    <t>10000000627</t>
  </si>
  <si>
    <t>10000000820</t>
  </si>
  <si>
    <t>10000000917</t>
  </si>
  <si>
    <t>10000000918</t>
  </si>
  <si>
    <t>10000000919</t>
  </si>
  <si>
    <t>10000000964</t>
  </si>
  <si>
    <t>10000000968</t>
  </si>
  <si>
    <t>10000001125</t>
  </si>
  <si>
    <t>10000001186</t>
  </si>
  <si>
    <t>10000001206</t>
  </si>
  <si>
    <t>10000001270</t>
  </si>
  <si>
    <t>10000001310</t>
  </si>
  <si>
    <t>101217131115099</t>
  </si>
  <si>
    <t>110105192615360</t>
  </si>
  <si>
    <t>110105192939846</t>
  </si>
  <si>
    <t>110105193249434</t>
  </si>
  <si>
    <t>110105193712998</t>
  </si>
  <si>
    <t>110105194118996</t>
  </si>
  <si>
    <t>110105213223577</t>
  </si>
  <si>
    <t>110106100453613</t>
  </si>
  <si>
    <t>110106104008409</t>
  </si>
  <si>
    <t>110106162555181</t>
  </si>
  <si>
    <t>110106164210562</t>
  </si>
  <si>
    <t>110113100016512</t>
  </si>
  <si>
    <t>110113120314907</t>
  </si>
  <si>
    <t>110118105130634</t>
  </si>
  <si>
    <t>110217115217924</t>
  </si>
  <si>
    <t>110803133606829</t>
  </si>
  <si>
    <t>111108161853414</t>
  </si>
  <si>
    <t>111114101706644</t>
  </si>
  <si>
    <t>111121164235735</t>
  </si>
  <si>
    <t>120123134739910</t>
  </si>
  <si>
    <t>120210154703370</t>
  </si>
  <si>
    <t>120210155309208</t>
  </si>
  <si>
    <t>120210173915750</t>
  </si>
  <si>
    <t>120425171751784</t>
  </si>
  <si>
    <t>130503125158698</t>
  </si>
  <si>
    <t>130829125518359</t>
  </si>
  <si>
    <t>130829131122086</t>
  </si>
  <si>
    <t>131118161023423</t>
  </si>
  <si>
    <t>131119084037890</t>
  </si>
  <si>
    <t>140108162039972</t>
  </si>
  <si>
    <t>140108162637789</t>
  </si>
  <si>
    <t>140108163536301</t>
  </si>
  <si>
    <t>140225162729726</t>
  </si>
  <si>
    <t>140401152117935</t>
  </si>
  <si>
    <t>140424162743045</t>
  </si>
  <si>
    <t>140522091731054</t>
  </si>
  <si>
    <t>140605120741909</t>
  </si>
  <si>
    <t>140605130837855</t>
  </si>
  <si>
    <t>140606094427221</t>
  </si>
  <si>
    <t>140606115840117</t>
  </si>
  <si>
    <t>140702085615192</t>
  </si>
  <si>
    <t>140717171437960</t>
  </si>
  <si>
    <t>140820162004341</t>
  </si>
  <si>
    <t>141022130644693</t>
  </si>
  <si>
    <t>141117105740524</t>
  </si>
  <si>
    <t>150324114243021</t>
  </si>
  <si>
    <t>150331172639134</t>
  </si>
  <si>
    <t>150521165410365</t>
  </si>
  <si>
    <t>150522105306108</t>
  </si>
  <si>
    <t>150616090146268</t>
  </si>
  <si>
    <t>150728161938406</t>
  </si>
  <si>
    <t>150807160346381</t>
  </si>
  <si>
    <t>160125103007136</t>
  </si>
  <si>
    <t>160215123447680</t>
  </si>
  <si>
    <t>160215125213812</t>
  </si>
  <si>
    <t>160215150852896</t>
  </si>
  <si>
    <t>160215153444890</t>
  </si>
  <si>
    <t>160215154743228</t>
  </si>
  <si>
    <t>160215155636214</t>
  </si>
  <si>
    <t>160215160344374</t>
  </si>
  <si>
    <t>160215161300264</t>
  </si>
  <si>
    <t>160215163001523</t>
  </si>
  <si>
    <t>160215173636336</t>
  </si>
  <si>
    <t>160216085204376</t>
  </si>
  <si>
    <t>160216102728595</t>
  </si>
  <si>
    <t>160216103640045</t>
  </si>
  <si>
    <t>160216160030830</t>
  </si>
  <si>
    <t>160222133122562</t>
  </si>
  <si>
    <t>160226103028064</t>
  </si>
  <si>
    <t>160311092653038</t>
  </si>
  <si>
    <t>160401083414336</t>
  </si>
  <si>
    <t>160405125215846</t>
  </si>
  <si>
    <t>160426084609770</t>
  </si>
  <si>
    <t>160503154126587</t>
  </si>
  <si>
    <t>160803115043430</t>
  </si>
  <si>
    <t>160803123503695</t>
  </si>
  <si>
    <t>160803130618118</t>
  </si>
  <si>
    <t>160803131508244</t>
  </si>
  <si>
    <t>160803132932120</t>
  </si>
  <si>
    <t>160803152119359</t>
  </si>
  <si>
    <t>160805104047800</t>
  </si>
  <si>
    <t>160809164239190</t>
  </si>
  <si>
    <t>160811101840863</t>
  </si>
  <si>
    <t>160811104542674</t>
  </si>
  <si>
    <t>160817130241257</t>
  </si>
  <si>
    <t>160817141941827</t>
  </si>
  <si>
    <t>160920091029634</t>
  </si>
  <si>
    <t>161018152329569</t>
  </si>
  <si>
    <t>161116090248899</t>
  </si>
  <si>
    <t>161116123453374</t>
  </si>
  <si>
    <t>161212153457534</t>
  </si>
  <si>
    <t>161213085002408</t>
  </si>
  <si>
    <t>170224104227993</t>
  </si>
  <si>
    <t>170224115058975</t>
  </si>
  <si>
    <t>170224122425650</t>
  </si>
  <si>
    <t>170320161801087</t>
  </si>
  <si>
    <t>170320162340816</t>
  </si>
  <si>
    <t>170502111858178</t>
  </si>
  <si>
    <t>170511171703289</t>
  </si>
  <si>
    <t>170523163109845</t>
  </si>
  <si>
    <t>170524161742042</t>
  </si>
  <si>
    <t>170529154427984</t>
  </si>
  <si>
    <t>170531095127781</t>
  </si>
  <si>
    <t>170531103942688</t>
  </si>
  <si>
    <t>170531170029762</t>
  </si>
  <si>
    <t>170531170616241</t>
  </si>
  <si>
    <t>170608085615781</t>
  </si>
  <si>
    <t>170608101724090</t>
  </si>
  <si>
    <t>170608105522414</t>
  </si>
  <si>
    <t>170630112112421</t>
  </si>
  <si>
    <t>170705152903520</t>
  </si>
  <si>
    <t>170706091304351</t>
  </si>
  <si>
    <t>170711150126061</t>
  </si>
  <si>
    <t>170712131736160</t>
  </si>
  <si>
    <t>170726095251190</t>
  </si>
  <si>
    <t>170921094727837</t>
  </si>
  <si>
    <t>171017092500145</t>
  </si>
  <si>
    <t>171017093405752</t>
  </si>
  <si>
    <t>171017095309934</t>
  </si>
  <si>
    <t>171017102437366</t>
  </si>
  <si>
    <t>171017104755105</t>
  </si>
  <si>
    <t>171124163052732</t>
  </si>
  <si>
    <t>171129125417444</t>
  </si>
  <si>
    <t>171211090420162</t>
  </si>
  <si>
    <t>171214174623527</t>
  </si>
  <si>
    <t>171214175022642</t>
  </si>
  <si>
    <t>171229152101036</t>
  </si>
  <si>
    <t>180115101454468</t>
  </si>
  <si>
    <t>180115131702926</t>
  </si>
  <si>
    <t>180115132017014</t>
  </si>
  <si>
    <t>180117113921657</t>
  </si>
  <si>
    <t>180117115524801</t>
  </si>
  <si>
    <t>180118132653004</t>
  </si>
  <si>
    <t>180125121239075</t>
  </si>
  <si>
    <t>180125123451281</t>
  </si>
  <si>
    <t>180125124251989</t>
  </si>
  <si>
    <t>180125130328695</t>
  </si>
  <si>
    <t>180125132506557</t>
  </si>
  <si>
    <t>180125154452659</t>
  </si>
  <si>
    <t>180125155209900</t>
  </si>
  <si>
    <t>180314151208531</t>
  </si>
  <si>
    <t>180326172905079</t>
  </si>
  <si>
    <t>180329115941190</t>
  </si>
  <si>
    <t>180329122628186</t>
  </si>
  <si>
    <t>180329124100214</t>
  </si>
  <si>
    <t>180329125236411</t>
  </si>
  <si>
    <t>180405085101878</t>
  </si>
  <si>
    <t>180405085403559</t>
  </si>
  <si>
    <t>180405092525739</t>
  </si>
  <si>
    <t>180405092903244</t>
  </si>
  <si>
    <t>180405093459449</t>
  </si>
  <si>
    <t>180405093814532</t>
  </si>
  <si>
    <t>180405094203158</t>
  </si>
  <si>
    <t>180405094520703</t>
  </si>
  <si>
    <t>180405100429664</t>
  </si>
  <si>
    <t>180405100959395</t>
  </si>
  <si>
    <t>180405101438749</t>
  </si>
  <si>
    <t>180405101610564</t>
  </si>
  <si>
    <t>180405102402910</t>
  </si>
  <si>
    <t>180405102647815</t>
  </si>
  <si>
    <t>180405103400136</t>
  </si>
  <si>
    <t>180405103722315</t>
  </si>
  <si>
    <t>180405104325760</t>
  </si>
  <si>
    <t>180405104755001</t>
  </si>
  <si>
    <t>180405105041539</t>
  </si>
  <si>
    <t>180405105433488</t>
  </si>
  <si>
    <t>180405105839331</t>
  </si>
  <si>
    <t>180405110414767</t>
  </si>
  <si>
    <t>180405110731371</t>
  </si>
  <si>
    <t>180405113542288</t>
  </si>
  <si>
    <t>180419104006909</t>
  </si>
  <si>
    <t>180426123604362</t>
  </si>
  <si>
    <t>180507152301216</t>
  </si>
  <si>
    <t>2018-5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</si>
</sst>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4"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49" totalsRowShown="0" headerRowDxfId="188">
  <autoFilter ref="A8:CB49"/>
  <tableColumns count="80">
    <tableColumn id="1" name="CODIGO" dataDxfId="3"/>
    <tableColumn id="2" name="DESCRIPCION" dataDxfId="4"/>
    <tableColumn id="36" name="CODIGO GENERICO" dataDxfId="187"/>
    <tableColumn id="45" name="CODIGO VINCULADO" dataDxfId="186"/>
    <tableColumn id="4" name="LINEA" dataDxfId="185"/>
    <tableColumn id="29" name="SUBLINEA" dataDxfId="184"/>
    <tableColumn id="3" name="GRUPO" dataDxfId="183"/>
    <tableColumn id="22" name="FAMILIA" dataDxfId="182"/>
    <tableColumn id="23" name="SUBFAMILIA" dataDxfId="181"/>
    <tableColumn id="24" name="CATEGORIA" dataDxfId="180"/>
    <tableColumn id="25" name="TIPO" dataDxfId="179"/>
    <tableColumn id="26" name="MARCA" dataDxfId="178"/>
    <tableColumn id="27" name="MODELO" dataDxfId="177"/>
    <tableColumn id="28" name="CAT MANAGEMENT" dataDxfId="176"/>
    <tableColumn id="65" name="Estatus" dataDxfId="175"/>
    <tableColumn id="14" name="CTV" dataDxfId="174"/>
    <tableColumn id="15" name="PVP" dataDxfId="173"/>
    <tableColumn id="7" name="RENTABILIDAD" dataDxfId="172"/>
    <tableColumn id="53" name="RENTABILID PROY" dataDxfId="171"/>
    <tableColumn id="19" name="VEL EFECT" dataDxfId="170"/>
    <tableColumn id="20" name="SERVICIO" dataDxfId="169"/>
    <tableColumn id="21" name="PROVEEDOR" dataDxfId="168"/>
    <tableColumn id="39" name="PERFIL" dataDxfId="167"/>
    <tableColumn id="54" name="T REP" dataDxfId="166"/>
    <tableColumn id="55" name="F REP" dataDxfId="165"/>
    <tableColumn id="5" name="BUFFER" dataDxfId="164"/>
    <tableColumn id="75" name="INV PROVEEDOR" dataDxfId="163"/>
    <tableColumn id="31" name="INV FISICO" dataDxfId="162"/>
    <tableColumn id="6" name="CONS BUFF" dataDxfId="161"/>
    <tableColumn id="50" name="COLOR" dataDxfId="160"/>
    <tableColumn id="32" name="INV TRANSITO" dataDxfId="159"/>
    <tableColumn id="41" name="NEGOCIACIÓN" dataDxfId="158"/>
    <tableColumn id="42" name="PRODUCCIÓN" dataDxfId="157"/>
    <tableColumn id="43" name="EMBARCADO" dataDxfId="156"/>
    <tableColumn id="33" name="COMPROMETIDO" dataDxfId="155"/>
    <tableColumn id="34" name="BACKORDER" dataDxfId="154"/>
    <tableColumn id="40" name="INV PROYECTADO" dataDxfId="153"/>
    <tableColumn id="46" name="CONSUMO INV PROY" dataDxfId="152"/>
    <tableColumn id="51" name="COLOR1" dataDxfId="151"/>
    <tableColumn id="37" name="PEDIDO MIN" dataDxfId="150"/>
    <tableColumn id="38" name="PEDIDO MIN GRUPO" dataDxfId="149"/>
    <tableColumn id="30" name="UNIDAD EMPAQUE" dataDxfId="148"/>
    <tableColumn id="12" name="PEDIDO PROMEDIO" dataDxfId="147"/>
    <tableColumn id="47" name="COBERT BUFFER" dataDxfId="146"/>
    <tableColumn id="48" name="COBERT INV PROY" dataDxfId="145"/>
    <tableColumn id="49" name="COBERT PEDID MIN" dataDxfId="144"/>
    <tableColumn id="52" name="DIAS DESABASTECIM" dataDxfId="143"/>
    <tableColumn id="67" name="ULT TRANSFER INI" dataDxfId="142"/>
    <tableColumn id="68" name="ULT TRANSFER FIN" dataDxfId="141"/>
    <tableColumn id="64" name="2017-12" dataDxfId="140">
      <calculatedColumnFormula array="1">IFERROR(INDEX(Datos_Consumo[CANTIDAD],MATCH(TABLATRANSFERENCIA[[#This Row],[CODIGO]]&amp;TABLATRANSFERENCIA[[#Headers],[2017-12]],Datos_Consumo[CODIGO]&amp;Datos_Consumo[FECHA_FORMATO],0)),0)</calculatedColumnFormula>
    </tableColumn>
    <tableColumn id="63" name="2018-1" dataDxfId="139">
      <calculatedColumnFormula array="1">IFERROR(INDEX(Datos_Consumo[CANTIDAD],MATCH(TABLATRANSFERENCIA[[#This Row],[CODIGO]]&amp;TABLATRANSFERENCIA[[#Headers],[2018-1]],Datos_Consumo[CODIGO]&amp;Datos_Consumo[FECHA_FORMATO],0)),0)</calculatedColumnFormula>
    </tableColumn>
    <tableColumn id="62" name="2018-2" dataDxfId="138">
      <calculatedColumnFormula array="1">IFERROR(INDEX(Datos_Consumo[CANTIDAD],MATCH(TABLATRANSFERENCIA[[#This Row],[CODIGO]]&amp;TABLATRANSFERENCIA[[#Headers],[2018-2]],Datos_Consumo[CODIGO]&amp;Datos_Consumo[FECHA_FORMATO],0)),0)</calculatedColumnFormula>
    </tableColumn>
    <tableColumn id="61" name="2018-3" dataDxfId="137">
      <calculatedColumnFormula array="1">IFERROR(INDEX(Datos_Consumo[CANTIDAD],MATCH(TABLATRANSFERENCIA[[#This Row],[CODIGO]]&amp;TABLATRANSFERENCIA[[#Headers],[2018-3]],Datos_Consumo[CODIGO]&amp;Datos_Consumo[FECHA_FORMATO],0)),0)</calculatedColumnFormula>
    </tableColumn>
    <tableColumn id="60" name="2018-4" dataDxfId="136">
      <calculatedColumnFormula array="1">IFERROR(INDEX(Datos_Consumo[CANTIDAD],MATCH(TABLATRANSFERENCIA[[#This Row],[CODIGO]]&amp;TABLATRANSFERENCIA[[#Headers],[2018-4]],Datos_Consumo[CODIGO]&amp;Datos_Consumo[FECHA_FORMATO],0)),0)</calculatedColumnFormula>
    </tableColumn>
    <tableColumn id="59" name="2018-5" dataDxfId="135">
      <calculatedColumnFormula array="1">IFERROR(INDEX(Datos_Consumo[CANTIDAD],MATCH(TABLATRANSFERENCIA[[#This Row],[CODIGO]]&amp;TABLATRANSFERENCIA[[#Headers],[2018-5]],Datos_Consumo[CODIGO]&amp;Datos_Consumo[FECHA_FORMATO],0)),0)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34"/>
    <tableColumn id="66" name="EMBARQUES" dataDxfId="133"/>
    <tableColumn id="69" name="Emb1" dataDxfId="132">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31">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30">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9">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8">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7"/>
    <tableColumn id="44" name="TAMAÑO RELATIVO" dataDxfId="126">
      <calculatedColumnFormula>IFERROR(TABLATRANSFERENCIA[[#This Row],[REQUERIM]]/TABLATRANSFERENCIA[[#This Row],[PEDIDO PROMEDIO]],0)</calculatedColumnFormula>
    </tableColumn>
    <tableColumn id="9" name="DESPACHO" dataDxfId="125"/>
    <tableColumn id="10" name="RECIBIDO" dataDxfId="124"/>
    <tableColumn id="11" name="TRANSITO" dataDxfId="123">
      <calculatedColumnFormula>IF(TABLATRANSFERENCIA[[#This Row],[RECIBIDO]]&lt;&gt;"",0,IF(TABLATRANSFERENCIA[[#This Row],[DESPACHO]]&lt;&gt;"",TABLATRANSFERENCIA[[#This Row],[DESPACHO]],TABLATRANSFERENCIA[[#This Row],[REQUERIM]]))</calculatedColumnFormula>
    </tableColumn>
    <tableColumn id="16" name="OBSERVACIONES DESPACHOS" dataDxfId="122"/>
    <tableColumn id="17" name="OBSERVACIONES RECEPCIONES" dataDxfId="121"/>
    <tableColumn id="18" name="TIPO TRANSF" dataDxfId="120">
      <calculatedColumnFormula>"N"</calculatedColumnFormula>
    </tableColumn>
    <tableColumn id="80" name="ESTADO" dataDxfId="119"/>
    <tableColumn id="35" name="Error Pedid Min Grupo" dataDxfId="118">
      <calculatedColumnFormula array="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1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6"/>
    <tableColumn id="58" name="ZONA ROJA" dataDxfId="115"/>
    <tableColumn id="77" name="Borrar" dataDxfId="114"/>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96">
  <autoFilter ref="A1:BX2"/>
  <tableColumns count="76">
    <tableColumn id="1" name="CODIGO" dataDxfId="95"/>
    <tableColumn id="2" name="DESCRIPCION" dataDxfId="94">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9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9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8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80">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9">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8">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7">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6">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5">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4">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3">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2">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71">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70">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9">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8">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7">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6">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5">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4">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3">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2">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61">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60">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9">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8">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7">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6">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5">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4">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3">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2">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51">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50">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9">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6">
      <calculatedColumnFormula array="1">IFERROR(INDEX(Datos_Consumo[CANTIDAD],MATCH(XXYY[[#This Row],[CODIGO]]&amp;XXYY[[#Headers],[2016-5]],Datos_Consumo[CODIGO]&amp;Datos_Consumo[FECHA_FORMATO],0)),0)</calculatedColumnFormula>
    </tableColumn>
    <tableColumn id="63" name="2016-6" dataDxfId="45">
      <calculatedColumnFormula array="1">IFERROR(INDEX(Datos_Consumo[CANTIDAD],MATCH(XXYY[[#This Row],[CODIGO]]&amp;XXYY[[#Headers],[2016-6]],Datos_Consumo[CODIGO]&amp;Datos_Consumo[FECHA_FORMATO],0)),0)</calculatedColumnFormula>
    </tableColumn>
    <tableColumn id="62" name="Columna3" dataDxfId="44">
      <calculatedColumnFormula array="1">IFERROR(INDEX(Datos_Consumo[CANTIDAD],MATCH(XXYY[[#This Row],[CODIGO]]&amp;XXYY[[#Headers],[Columna3]],Datos_Consumo[CODIGO]&amp;Datos_Consumo[FECHA_FORMATO],0)),0)</calculatedColumnFormula>
    </tableColumn>
    <tableColumn id="61" name="Columna4" dataDxfId="43">
      <calculatedColumnFormula array="1">IFERROR(INDEX(Datos_Consumo[CANTIDAD],MATCH(XXYY[[#This Row],[CODIGO]]&amp;XXYY[[#Headers],[Columna4]],Datos_Consumo[CODIGO]&amp;Datos_Consumo[FECHA_FORMATO],0)),0)</calculatedColumnFormula>
    </tableColumn>
    <tableColumn id="60" name="Columna5" dataDxfId="42">
      <calculatedColumnFormula array="1">IFERROR(INDEX(Datos_Consumo[CANTIDAD],MATCH(XXYY[[#This Row],[CODIGO]]&amp;XXYY[[#Headers],[Columna5]],Datos_Consumo[CODIGO]&amp;Datos_Consumo[FECHA_FORMATO],0)),0)</calculatedColumnFormula>
    </tableColumn>
    <tableColumn id="59" name="Columna6" dataDxfId="41">
      <calculatedColumnFormula array="1">IFERROR(INDEX(Datos_Consumo[CANTIDAD],MATCH(XXYY[[#This Row],[CODIGO]]&amp;XXYY[[#Headers],[Columna6]],Datos_Consumo[CODIGO]&amp;Datos_Consumo[FECHA_FORMATO],0)),0)</calculatedColumnFormula>
    </tableColumn>
    <tableColumn id="8" name="REQUERIM" dataDxfId="40"/>
    <tableColumn id="13" name="REQ TOTAL" dataDxfId="39"/>
    <tableColumn id="66" name="EMBARQUES" dataDxfId="38"/>
    <tableColumn id="69" name="Emb1" dataDxfId="37">
      <calculatedColumnFormula>IF(RIGHT(XXYY[[#Headers],[Emb1]],1)*1&lt;=XXYY[[#This Row],[EMBARQUES]],IF(ISBLANK(XXYY[[#This Row],[EMBARQUES]]),XXYY[[#This Row],[REQUERIM]],ROUND(XXYY[[#This Row],[REQUERIM]]/XXYY[[#This Row],[EMBARQUES]],0)),XXYY[[#This Row],[REQUERIM]])</calculatedColumnFormula>
    </tableColumn>
    <tableColumn id="70" name="Emb2" dataDxfId="36">
      <calculatedColumnFormula>IF(RIGHT(XXYY[[#Headers],[Emb2]],1)*1&lt;XXYY[[#This Row],[EMBARQUES]],ROUND(XXYY[[#This Row],[REQUERIM]]/XXYY[[#This Row],[EMBARQUES]],0),IF(RIGHT(XXYY[[#Headers],[Emb2]],1)*1=XXYY[[#This Row],[EMBARQUES]],XXYY[[#This Row],[REQUERIM]]-SUM(XXYY[[#This Row],[Emb1]]),0))</calculatedColumnFormula>
    </tableColumn>
    <tableColumn id="71" name="Emb3" dataDxfId="35">
      <calculatedColumnFormula>IF(RIGHT(XXYY[[#Headers],[Emb3]],1)*1&lt;XXYY[[#This Row],[EMBARQUES]],ROUND(XXYY[[#This Row],[REQUERIM]]/XXYY[[#This Row],[EMBARQUES]],0),IF(RIGHT(XXYY[[#Headers],[Emb3]],1)*1=XXYY[[#This Row],[EMBARQUES]],XXYY[[#This Row],[REQUERIM]]-SUM(XXYY[[#This Row],[Emb1]:[Emb2]]),0))</calculatedColumnFormula>
    </tableColumn>
    <tableColumn id="72" name="Emb4" dataDxfId="34">
      <calculatedColumnFormula>IF(RIGHT(XXYY[[#Headers],[Emb4]],1)*1&lt;XXYY[[#This Row],[EMBARQUES]],ROUND(XXYY[[#This Row],[REQUERIM]]/XXYY[[#This Row],[EMBARQUES]],0),IF(RIGHT(XXYY[[#Headers],[Emb4]],1)*1=XXYY[[#This Row],[EMBARQUES]],XXYY[[#This Row],[REQUERIM]]-SUM(XXYY[[#This Row],[Emb1]:[Emb3]]),0))</calculatedColumnFormula>
    </tableColumn>
    <tableColumn id="73" name="Emb5" dataDxfId="33">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2"/>
    <tableColumn id="44" name="TAMAÑO RELATIVO" dataDxfId="31">
      <calculatedColumnFormula>IFERROR(XXYY[[#This Row],[REQUERIM]]/XXYY[[#This Row],[PEDIDO PROMEDIO]],0)</calculatedColumnFormula>
    </tableColumn>
    <tableColumn id="9" name="DESPACHO" dataDxfId="30"/>
    <tableColumn id="10" name="RECIBIDO" dataDxfId="29"/>
    <tableColumn id="11" name="TRANSITO" dataDxfId="28">
      <calculatedColumnFormula>IF(XXYY[[#This Row],[RECIBIDO]]&lt;&gt;"",0,IF(XXYY[[#This Row],[DESPACHO]]&lt;&gt;"",XXYY[[#This Row],[DESPACHO]],XXYY[[#This Row],[REQUERIM]]))</calculatedColumnFormula>
    </tableColumn>
    <tableColumn id="16" name="OBSERVACIONES DESPACHOS" dataDxfId="27"/>
    <tableColumn id="17" name="OBSERVACIONES RECEPCIONES" dataDxfId="26"/>
    <tableColumn id="18" name="TIPO TRANSF" dataDxfId="25">
      <calculatedColumnFormula>"N"</calculatedColumnFormula>
    </tableColumn>
    <tableColumn id="35" name="Error Pedid Min Grupo" dataDxfId="24">
      <calculatedColumnFormula array="1">IF(SUM(--(XXYY[[#This Row],[CODIGO GENERICO]]=XXYY[CODIGO GENERICO])*XXYY[REQUERIM])&lt;XXYY[[#This Row],[PEDIDO MIN GRUPO]],1,0)</calculatedColumnFormula>
    </tableColumn>
    <tableColumn id="56" name="Color Proyectado" dataDxfId="23">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2">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21">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20">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9"/>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8"/>
    <tableColumn id="7" uniqueName="7" name="PATH" queryTableFieldId="7" dataDxfId="17"/>
    <tableColumn id="5" uniqueName="5" name="COMPLETO" queryTableFieldId="5" dataDxfId="16">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5"/>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4">
      <calculatedColumnFormula>IFERROR(MATCH(Tabla_Recetas[[#This Row],[Cod Padre]],TABLATRANSFERENCIA[CODIGO],0),0)</calculatedColumnFormula>
    </tableColumn>
    <tableColumn id="12" uniqueName="12" name="Cantidad Requerida" queryTableFieldId="12" dataDxfId="13">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12">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11"/>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10"/>
    <tableColumn id="109" name="con_ultima_transferencia_ini" dataDxfId="9"/>
    <tableColumn id="110" name="con_ultima_transferencia_fin" dataDxfId="8"/>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6107" totalsRowShown="0">
  <autoFilter ref="A1:D6107"/>
  <tableColumns count="4">
    <tableColumn id="1" name="CODIGO"/>
    <tableColumn id="2" name="CANTIDAD"/>
    <tableColumn id="3" name="FECHA"/>
    <tableColumn id="4" name="FECHA_FORMATO" dataDxfId="7">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6">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49"/>
  <sheetViews>
    <sheetView showGridLines="0" tabSelected="1" zoomScale="80" zoomScaleNormal="80" workbookViewId="0">
      <pane xSplit="4" ySplit="8" topLeftCell="BB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1402</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43234</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1403</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1143</v>
      </c>
      <c r="C4" s="25" t="str">
        <f>COUNTA(TABLATRANSFERENCIA[CODIGO])&amp;"-"&amp;SUBTOTAL(3,TABLATRANSFERENCIA[CODIGO])&amp;" SKU"</f>
        <v>41-41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1372</v>
      </c>
      <c r="B5" s="27"/>
      <c r="C5" s="22" t="s">
        <v>23</v>
      </c>
      <c r="D5" s="28">
        <f>IFERROR(SUMPRODUCT(TABLATRANSFERENCIA[CTV],TABLATRANSFERENCIA[TRANSITO]),"")</f>
        <v>24209.93</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3657</v>
      </c>
      <c r="AY8" s="50" t="s">
        <v>3658</v>
      </c>
      <c r="AZ8" s="50" t="s">
        <v>3659</v>
      </c>
      <c r="BA8" s="50" t="s">
        <v>3660</v>
      </c>
      <c r="BB8" s="50" t="s">
        <v>3661</v>
      </c>
      <c r="BC8" s="50" t="s">
        <v>4223</v>
      </c>
      <c r="BD8" s="42" t="s">
        <v>11</v>
      </c>
      <c r="BE8" s="42" t="s">
        <v>17</v>
      </c>
      <c r="BF8" s="61" t="s">
        <v>1376</v>
      </c>
      <c r="BG8" s="61" t="s">
        <v>1377</v>
      </c>
      <c r="BH8" s="42" t="s">
        <v>1373</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1387</v>
      </c>
      <c r="BX8" s="40" t="s">
        <v>912</v>
      </c>
      <c r="BY8" s="40" t="s">
        <v>1029</v>
      </c>
      <c r="BZ8" s="40" t="s">
        <v>1030</v>
      </c>
      <c r="CA8" s="40" t="s">
        <v>1031</v>
      </c>
      <c r="CB8" s="40" t="s">
        <v>1375</v>
      </c>
    </row>
    <row r="9" spans="1:80" x14ac:dyDescent="0.25">
      <c r="A9" s="52" t="s">
        <v>1404</v>
      </c>
      <c r="B9" s="3" t="s">
        <v>3705</v>
      </c>
      <c r="C9" s="3" t="s">
        <v>1382</v>
      </c>
      <c r="D9" s="3" t="s">
        <v>3704</v>
      </c>
      <c r="E9" s="3" t="s">
        <v>3669</v>
      </c>
      <c r="F9" s="3">
        <v>0</v>
      </c>
      <c r="G9" s="3" t="s">
        <v>3676</v>
      </c>
      <c r="H9" s="3">
        <v>0</v>
      </c>
      <c r="I9" s="3">
        <v>0</v>
      </c>
      <c r="J9" s="3" t="s">
        <v>3677</v>
      </c>
      <c r="K9" s="3">
        <v>0</v>
      </c>
      <c r="L9" s="3" t="s">
        <v>3670</v>
      </c>
      <c r="M9" s="3">
        <v>0</v>
      </c>
      <c r="N9" s="3">
        <v>0</v>
      </c>
      <c r="O9" s="5" t="s">
        <v>1382</v>
      </c>
      <c r="P9" s="5">
        <v>4.04</v>
      </c>
      <c r="Q9" s="5">
        <v>9</v>
      </c>
      <c r="R9" s="44">
        <v>0</v>
      </c>
      <c r="S9" s="44">
        <v>1.59</v>
      </c>
      <c r="T9" s="44">
        <v>0</v>
      </c>
      <c r="U9" s="44">
        <v>0</v>
      </c>
      <c r="V9" s="47" t="s">
        <v>1403</v>
      </c>
      <c r="W9" s="47" t="s">
        <v>3666</v>
      </c>
      <c r="X9" s="49">
        <v>20</v>
      </c>
      <c r="Y9" s="49">
        <v>17</v>
      </c>
      <c r="Z9" s="6">
        <v>10</v>
      </c>
      <c r="AA9" s="6">
        <v>1000000000</v>
      </c>
      <c r="AB9" s="6">
        <v>9</v>
      </c>
      <c r="AC9" s="4">
        <v>0.1</v>
      </c>
      <c r="AD9" s="6" t="s">
        <v>1390</v>
      </c>
      <c r="AE9" s="6">
        <v>0</v>
      </c>
      <c r="AF9" s="6">
        <v>0</v>
      </c>
      <c r="AG9" s="6">
        <v>0</v>
      </c>
      <c r="AH9" s="6">
        <v>0</v>
      </c>
      <c r="AI9" s="6">
        <v>0</v>
      </c>
      <c r="AJ9" s="6">
        <v>0</v>
      </c>
      <c r="AK9" s="6">
        <v>9</v>
      </c>
      <c r="AL9" s="4">
        <v>0.1</v>
      </c>
      <c r="AM9" s="6" t="s">
        <v>1390</v>
      </c>
      <c r="AN9" s="6">
        <v>1</v>
      </c>
      <c r="AO9" s="6">
        <v>0</v>
      </c>
      <c r="AP9" s="6">
        <v>1</v>
      </c>
      <c r="AQ9" s="6">
        <v>5</v>
      </c>
      <c r="AR9" s="6">
        <v>3.97</v>
      </c>
      <c r="AS9" s="6">
        <v>3.57</v>
      </c>
      <c r="AT9" s="6">
        <v>0.4</v>
      </c>
      <c r="AU9" s="6">
        <v>0</v>
      </c>
      <c r="AV9" s="65">
        <v>43007</v>
      </c>
      <c r="AW9" s="65">
        <v>43122</v>
      </c>
      <c r="AX9" s="6">
        <f t="array" ref="AX9">IFERROR(INDEX(Datos_Consumo[CANTIDAD],MATCH(TABLATRANSFERENCIA[[#This Row],[CODIGO]]&amp;TABLATRANSFERENCIA[[#Headers],[2017-12]],Datos_Consumo[CODIGO]&amp;Datos_Consumo[FECHA_FORMATO],0)),0)</f>
        <v>1</v>
      </c>
      <c r="AY9" s="6">
        <f t="array" ref="AY9">IFERROR(INDEX(Datos_Consumo[CANTIDAD],MATCH(TABLATRANSFERENCIA[[#This Row],[CODIGO]]&amp;TABLATRANSFERENCIA[[#Headers],[2018-1]],Datos_Consumo[CODIGO]&amp;Datos_Consumo[FECHA_FORMATO],0)),0)</f>
        <v>13</v>
      </c>
      <c r="AZ9" s="6">
        <f t="array" ref="AZ9">IFERROR(INDEX(Datos_Consumo[CANTIDAD],MATCH(TABLATRANSFERENCIA[[#This Row],[CODIGO]]&amp;TABLATRANSFERENCIA[[#Headers],[2018-2]],Datos_Consumo[CODIGO]&amp;Datos_Consumo[FECHA_FORMATO],0)),0)</f>
        <v>0</v>
      </c>
      <c r="BA9" s="6">
        <f t="array" ref="BA9">IFERROR(INDEX(Datos_Consumo[CANTIDAD],MATCH(TABLATRANSFERENCIA[[#This Row],[CODIGO]]&amp;TABLATRANSFERENCIA[[#Headers],[2018-3]],Datos_Consumo[CODIGO]&amp;Datos_Consumo[FECHA_FORMATO],0)),0)</f>
        <v>1</v>
      </c>
      <c r="BB9" s="6">
        <f t="array" ref="BB9">IFERROR(INDEX(Datos_Consumo[CANTIDAD],MATCH(TABLATRANSFERENCIA[[#This Row],[CODIGO]]&amp;TABLATRANSFERENCIA[[#Headers],[2018-4]],Datos_Consumo[CODIGO]&amp;Datos_Consumo[FECHA_FORMATO],0)),0)</f>
        <v>9</v>
      </c>
      <c r="BC9" s="6">
        <f t="array" ref="BC9">IFERROR(INDEX(Datos_Consumo[CANTIDAD],MATCH(TABLATRANSFERENCIA[[#This Row],[CODIGO]]&amp;TABLATRANSFERENCIA[[#Headers],[2018-5]],Datos_Consumo[CODIGO]&amp;Datos_Consumo[FECHA_FORMATO],0)),0)</f>
        <v>0</v>
      </c>
      <c r="BD9" s="48">
        <v>1</v>
      </c>
      <c r="BE9" s="53">
        <v>1</v>
      </c>
      <c r="BF9" s="62">
        <v>43234</v>
      </c>
      <c r="BG9" s="60">
        <v>43353</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0.2</v>
      </c>
      <c r="BQ9" s="49"/>
      <c r="BR9" s="58"/>
      <c r="BS9" s="3">
        <f>IF(TABLATRANSFERENCIA[[#This Row],[RECIBIDO]]&lt;&gt;"",0,IF(TABLATRANSFERENCIA[[#This Row],[DESPACHO]]&lt;&gt;"",TABLATRANSFERENCIA[[#This Row],[DESPACHO]],TABLATRANSFERENCIA[[#This Row],[REQUERIM]]))</f>
        <v>1</v>
      </c>
      <c r="BT9" s="48"/>
      <c r="BU9" s="48"/>
      <c r="BV9" s="48" t="str">
        <f>"N"</f>
        <v>N</v>
      </c>
      <c r="BW9" s="49" t="s">
        <v>1388</v>
      </c>
      <c r="BX9" s="49">
        <f t="array" ref="BX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49">
        <v>7</v>
      </c>
      <c r="CA9" s="49">
        <v>3</v>
      </c>
      <c r="CB9" s="49"/>
    </row>
    <row r="10" spans="1:80" x14ac:dyDescent="0.25">
      <c r="A10" s="52" t="s">
        <v>1405</v>
      </c>
      <c r="B10" s="3" t="s">
        <v>3708</v>
      </c>
      <c r="C10" s="3" t="s">
        <v>1382</v>
      </c>
      <c r="D10" s="3" t="s">
        <v>3707</v>
      </c>
      <c r="E10" s="3" t="s">
        <v>3669</v>
      </c>
      <c r="F10" s="3">
        <v>0</v>
      </c>
      <c r="G10" s="3" t="s">
        <v>3676</v>
      </c>
      <c r="H10" s="3">
        <v>0</v>
      </c>
      <c r="I10" s="3">
        <v>0</v>
      </c>
      <c r="J10" s="3" t="s">
        <v>3677</v>
      </c>
      <c r="K10" s="3">
        <v>0</v>
      </c>
      <c r="L10" s="3" t="s">
        <v>3670</v>
      </c>
      <c r="M10" s="3">
        <v>0</v>
      </c>
      <c r="N10" s="3">
        <v>0</v>
      </c>
      <c r="O10" s="5" t="s">
        <v>1382</v>
      </c>
      <c r="P10" s="5">
        <v>6.58</v>
      </c>
      <c r="Q10" s="5">
        <v>15</v>
      </c>
      <c r="R10" s="44">
        <v>0</v>
      </c>
      <c r="S10" s="44">
        <v>1.66</v>
      </c>
      <c r="T10" s="44">
        <v>0</v>
      </c>
      <c r="U10" s="44">
        <v>1</v>
      </c>
      <c r="V10" s="47" t="s">
        <v>1403</v>
      </c>
      <c r="W10" s="47" t="s">
        <v>3666</v>
      </c>
      <c r="X10" s="49">
        <v>20</v>
      </c>
      <c r="Y10" s="49">
        <v>17</v>
      </c>
      <c r="Z10" s="6">
        <v>12</v>
      </c>
      <c r="AA10" s="6">
        <v>1000000000</v>
      </c>
      <c r="AB10" s="6">
        <v>9</v>
      </c>
      <c r="AC10" s="4">
        <v>0.25</v>
      </c>
      <c r="AD10" s="6" t="s">
        <v>1390</v>
      </c>
      <c r="AE10" s="6">
        <v>0</v>
      </c>
      <c r="AF10" s="6">
        <v>0</v>
      </c>
      <c r="AG10" s="6">
        <v>0</v>
      </c>
      <c r="AH10" s="6">
        <v>0</v>
      </c>
      <c r="AI10" s="6">
        <v>0</v>
      </c>
      <c r="AJ10" s="6">
        <v>0</v>
      </c>
      <c r="AK10" s="6">
        <v>9</v>
      </c>
      <c r="AL10" s="4">
        <v>0.25</v>
      </c>
      <c r="AM10" s="6" t="s">
        <v>1390</v>
      </c>
      <c r="AN10" s="6">
        <v>1</v>
      </c>
      <c r="AO10" s="6">
        <v>0</v>
      </c>
      <c r="AP10" s="6">
        <v>1</v>
      </c>
      <c r="AQ10" s="6">
        <v>6</v>
      </c>
      <c r="AR10" s="6">
        <v>7.14</v>
      </c>
      <c r="AS10" s="6">
        <v>5.36</v>
      </c>
      <c r="AT10" s="6">
        <v>0.6</v>
      </c>
      <c r="AU10" s="6">
        <v>0</v>
      </c>
      <c r="AV10" s="65">
        <v>43132</v>
      </c>
      <c r="AW10" s="65">
        <v>43195</v>
      </c>
      <c r="AX10" s="6">
        <f t="array" ref="AX10">IFERROR(INDEX(Datos_Consumo[CANTIDAD],MATCH(TABLATRANSFERENCIA[[#This Row],[CODIGO]]&amp;TABLATRANSFERENCIA[[#Headers],[2017-12]],Datos_Consumo[CODIGO]&amp;Datos_Consumo[FECHA_FORMATO],0)),0)</f>
        <v>1</v>
      </c>
      <c r="AY10" s="6">
        <f t="array" ref="AY10">IFERROR(INDEX(Datos_Consumo[CANTIDAD],MATCH(TABLATRANSFERENCIA[[#This Row],[CODIGO]]&amp;TABLATRANSFERENCIA[[#Headers],[2018-1]],Datos_Consumo[CODIGO]&amp;Datos_Consumo[FECHA_FORMATO],0)),0)</f>
        <v>8</v>
      </c>
      <c r="AZ10" s="6">
        <f t="array" ref="AZ10">IFERROR(INDEX(Datos_Consumo[CANTIDAD],MATCH(TABLATRANSFERENCIA[[#This Row],[CODIGO]]&amp;TABLATRANSFERENCIA[[#Headers],[2018-2]],Datos_Consumo[CODIGO]&amp;Datos_Consumo[FECHA_FORMATO],0)),0)</f>
        <v>0</v>
      </c>
      <c r="BA10" s="6">
        <f t="array" ref="BA10">IFERROR(INDEX(Datos_Consumo[CANTIDAD],MATCH(TABLATRANSFERENCIA[[#This Row],[CODIGO]]&amp;TABLATRANSFERENCIA[[#Headers],[2018-3]],Datos_Consumo[CODIGO]&amp;Datos_Consumo[FECHA_FORMATO],0)),0)</f>
        <v>1</v>
      </c>
      <c r="BB10" s="6">
        <f t="array" ref="BB10">IFERROR(INDEX(Datos_Consumo[CANTIDAD],MATCH(TABLATRANSFERENCIA[[#This Row],[CODIGO]]&amp;TABLATRANSFERENCIA[[#Headers],[2018-4]],Datos_Consumo[CODIGO]&amp;Datos_Consumo[FECHA_FORMATO],0)),0)</f>
        <v>3</v>
      </c>
      <c r="BC10" s="6">
        <f t="array" ref="BC10">IFERROR(INDEX(Datos_Consumo[CANTIDAD],MATCH(TABLATRANSFERENCIA[[#This Row],[CODIGO]]&amp;TABLATRANSFERENCIA[[#Headers],[2018-5]],Datos_Consumo[CODIGO]&amp;Datos_Consumo[FECHA_FORMATO],0)),0)</f>
        <v>0</v>
      </c>
      <c r="BD10" s="48">
        <v>3</v>
      </c>
      <c r="BE10" s="53">
        <v>3</v>
      </c>
      <c r="BF10" s="62">
        <v>43234</v>
      </c>
      <c r="BG10" s="60">
        <v>43353</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0.5</v>
      </c>
      <c r="BQ10" s="49"/>
      <c r="BR10" s="58"/>
      <c r="BS10" s="3">
        <f>IF(TABLATRANSFERENCIA[[#This Row],[RECIBIDO]]&lt;&gt;"",0,IF(TABLATRANSFERENCIA[[#This Row],[DESPACHO]]&lt;&gt;"",TABLATRANSFERENCIA[[#This Row],[DESPACHO]],TABLATRANSFERENCIA[[#This Row],[REQUERIM]]))</f>
        <v>3</v>
      </c>
      <c r="BT10" s="48"/>
      <c r="BU10" s="48"/>
      <c r="BV10" s="48" t="str">
        <f t="shared" ref="BV10:BV49" si="0">"N"</f>
        <v>N</v>
      </c>
      <c r="BW10" s="49" t="s">
        <v>1388</v>
      </c>
      <c r="BX10" s="49">
        <f t="array" ref="BX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49">
        <v>8</v>
      </c>
      <c r="CA10" s="49">
        <v>4</v>
      </c>
      <c r="CB10" s="49"/>
    </row>
    <row r="11" spans="1:80" x14ac:dyDescent="0.25">
      <c r="A11" s="52" t="s">
        <v>1406</v>
      </c>
      <c r="B11" s="3" t="s">
        <v>3715</v>
      </c>
      <c r="C11" s="3" t="s">
        <v>1382</v>
      </c>
      <c r="D11" s="3" t="s">
        <v>3714</v>
      </c>
      <c r="E11" s="3" t="s">
        <v>3669</v>
      </c>
      <c r="F11" s="3">
        <v>0</v>
      </c>
      <c r="G11" s="3" t="s">
        <v>3676</v>
      </c>
      <c r="H11" s="3">
        <v>0</v>
      </c>
      <c r="I11" s="3">
        <v>0</v>
      </c>
      <c r="J11" s="3" t="s">
        <v>3677</v>
      </c>
      <c r="K11" s="3">
        <v>0</v>
      </c>
      <c r="L11" s="3" t="s">
        <v>3670</v>
      </c>
      <c r="M11" s="3">
        <v>0</v>
      </c>
      <c r="N11" s="3">
        <v>0</v>
      </c>
      <c r="O11" s="5" t="s">
        <v>1382</v>
      </c>
      <c r="P11" s="5">
        <v>3.81</v>
      </c>
      <c r="Q11" s="5">
        <v>9.25</v>
      </c>
      <c r="R11" s="44">
        <v>0</v>
      </c>
      <c r="S11" s="44">
        <v>1.85</v>
      </c>
      <c r="T11" s="44">
        <v>0</v>
      </c>
      <c r="U11" s="44">
        <v>1</v>
      </c>
      <c r="V11" s="47" t="s">
        <v>1403</v>
      </c>
      <c r="W11" s="47" t="s">
        <v>3666</v>
      </c>
      <c r="X11" s="49">
        <v>20</v>
      </c>
      <c r="Y11" s="49">
        <v>17</v>
      </c>
      <c r="Z11" s="6">
        <v>8</v>
      </c>
      <c r="AA11" s="6">
        <v>1000000000</v>
      </c>
      <c r="AB11" s="6">
        <v>7</v>
      </c>
      <c r="AC11" s="4">
        <v>0.13</v>
      </c>
      <c r="AD11" s="6" t="s">
        <v>1390</v>
      </c>
      <c r="AE11" s="6">
        <v>0</v>
      </c>
      <c r="AF11" s="6">
        <v>0</v>
      </c>
      <c r="AG11" s="6">
        <v>0</v>
      </c>
      <c r="AH11" s="6">
        <v>0</v>
      </c>
      <c r="AI11" s="6">
        <v>0</v>
      </c>
      <c r="AJ11" s="6">
        <v>0</v>
      </c>
      <c r="AK11" s="6">
        <v>7</v>
      </c>
      <c r="AL11" s="4">
        <v>0.13</v>
      </c>
      <c r="AM11" s="6" t="s">
        <v>1390</v>
      </c>
      <c r="AN11" s="6">
        <v>1</v>
      </c>
      <c r="AO11" s="6">
        <v>0</v>
      </c>
      <c r="AP11" s="6">
        <v>1</v>
      </c>
      <c r="AQ11" s="6">
        <v>4</v>
      </c>
      <c r="AR11" s="6">
        <v>4.3499999999999996</v>
      </c>
      <c r="AS11" s="6">
        <v>3.8</v>
      </c>
      <c r="AT11" s="6">
        <v>0.54</v>
      </c>
      <c r="AU11" s="6">
        <v>0</v>
      </c>
      <c r="AV11" s="65">
        <v>43028</v>
      </c>
      <c r="AW11" s="65">
        <v>43122</v>
      </c>
      <c r="AX11" s="6">
        <f t="array" ref="AX11">IFERROR(INDEX(Datos_Consumo[CANTIDAD],MATCH(TABLATRANSFERENCIA[[#This Row],[CODIGO]]&amp;TABLATRANSFERENCIA[[#Headers],[2017-12]],Datos_Consumo[CODIGO]&amp;Datos_Consumo[FECHA_FORMATO],0)),0)</f>
        <v>2</v>
      </c>
      <c r="AY11" s="6">
        <f t="array" ref="AY11">IFERROR(INDEX(Datos_Consumo[CANTIDAD],MATCH(TABLATRANSFERENCIA[[#This Row],[CODIGO]]&amp;TABLATRANSFERENCIA[[#Headers],[2018-1]],Datos_Consumo[CODIGO]&amp;Datos_Consumo[FECHA_FORMATO],0)),0)</f>
        <v>7</v>
      </c>
      <c r="AZ11" s="6">
        <f t="array" ref="AZ11">IFERROR(INDEX(Datos_Consumo[CANTIDAD],MATCH(TABLATRANSFERENCIA[[#This Row],[CODIGO]]&amp;TABLATRANSFERENCIA[[#Headers],[2018-2]],Datos_Consumo[CODIGO]&amp;Datos_Consumo[FECHA_FORMATO],0)),0)</f>
        <v>2</v>
      </c>
      <c r="BA11" s="6">
        <f t="array" ref="BA11">IFERROR(INDEX(Datos_Consumo[CANTIDAD],MATCH(TABLATRANSFERENCIA[[#This Row],[CODIGO]]&amp;TABLATRANSFERENCIA[[#Headers],[2018-3]],Datos_Consumo[CODIGO]&amp;Datos_Consumo[FECHA_FORMATO],0)),0)</f>
        <v>0</v>
      </c>
      <c r="BB11" s="6">
        <f t="array" ref="BB11">IFERROR(INDEX(Datos_Consumo[CANTIDAD],MATCH(TABLATRANSFERENCIA[[#This Row],[CODIGO]]&amp;TABLATRANSFERENCIA[[#Headers],[2018-4]],Datos_Consumo[CODIGO]&amp;Datos_Consumo[FECHA_FORMATO],0)),0)</f>
        <v>0</v>
      </c>
      <c r="BC11" s="6">
        <f t="array" ref="BC11">IFERROR(INDEX(Datos_Consumo[CANTIDAD],MATCH(TABLATRANSFERENCIA[[#This Row],[CODIGO]]&amp;TABLATRANSFERENCIA[[#Headers],[2018-5]],Datos_Consumo[CODIGO]&amp;Datos_Consumo[FECHA_FORMATO],0)),0)</f>
        <v>0</v>
      </c>
      <c r="BD11" s="48">
        <v>1</v>
      </c>
      <c r="BE11" s="53">
        <v>1</v>
      </c>
      <c r="BF11" s="62">
        <v>43234</v>
      </c>
      <c r="BG11" s="60">
        <v>43353</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0.25</v>
      </c>
      <c r="BQ11" s="49"/>
      <c r="BR11" s="58"/>
      <c r="BS11" s="3">
        <f>IF(TABLATRANSFERENCIA[[#This Row],[RECIBIDO]]&lt;&gt;"",0,IF(TABLATRANSFERENCIA[[#This Row],[DESPACHO]]&lt;&gt;"",TABLATRANSFERENCIA[[#This Row],[DESPACHO]],TABLATRANSFERENCIA[[#This Row],[REQUERIM]]))</f>
        <v>1</v>
      </c>
      <c r="BT11" s="48"/>
      <c r="BU11" s="48"/>
      <c r="BV11" s="48" t="str">
        <f t="shared" si="0"/>
        <v>N</v>
      </c>
      <c r="BW11" s="49" t="s">
        <v>1388</v>
      </c>
      <c r="BX11" s="49">
        <f t="array" ref="BX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5</v>
      </c>
      <c r="CA11" s="49">
        <v>3</v>
      </c>
      <c r="CB11" s="49"/>
    </row>
    <row r="12" spans="1:80" x14ac:dyDescent="0.25">
      <c r="A12" s="52" t="s">
        <v>1407</v>
      </c>
      <c r="B12" s="3" t="s">
        <v>3718</v>
      </c>
      <c r="C12" s="3" t="s">
        <v>1382</v>
      </c>
      <c r="D12" s="3" t="s">
        <v>3717</v>
      </c>
      <c r="E12" s="3" t="s">
        <v>3669</v>
      </c>
      <c r="F12" s="3">
        <v>0</v>
      </c>
      <c r="G12" s="3" t="s">
        <v>3676</v>
      </c>
      <c r="H12" s="3">
        <v>0</v>
      </c>
      <c r="I12" s="3">
        <v>0</v>
      </c>
      <c r="J12" s="3" t="s">
        <v>3677</v>
      </c>
      <c r="K12" s="3">
        <v>0</v>
      </c>
      <c r="L12" s="3" t="s">
        <v>3670</v>
      </c>
      <c r="M12" s="3">
        <v>0</v>
      </c>
      <c r="N12" s="3">
        <v>0</v>
      </c>
      <c r="O12" s="5" t="s">
        <v>1382</v>
      </c>
      <c r="P12" s="5">
        <v>12.23</v>
      </c>
      <c r="Q12" s="5">
        <v>26.5</v>
      </c>
      <c r="R12" s="44">
        <v>0</v>
      </c>
      <c r="S12" s="44">
        <v>1.51</v>
      </c>
      <c r="T12" s="44">
        <v>0</v>
      </c>
      <c r="U12" s="44">
        <v>0</v>
      </c>
      <c r="V12" s="47" t="s">
        <v>1403</v>
      </c>
      <c r="W12" s="47" t="s">
        <v>3666</v>
      </c>
      <c r="X12" s="49">
        <v>20</v>
      </c>
      <c r="Y12" s="49">
        <v>17</v>
      </c>
      <c r="Z12" s="6">
        <v>25</v>
      </c>
      <c r="AA12" s="6">
        <v>1000000000</v>
      </c>
      <c r="AB12" s="6">
        <v>1</v>
      </c>
      <c r="AC12" s="4">
        <v>0.96</v>
      </c>
      <c r="AD12" s="6" t="s">
        <v>1394</v>
      </c>
      <c r="AE12" s="6">
        <v>19</v>
      </c>
      <c r="AF12" s="6">
        <v>0</v>
      </c>
      <c r="AG12" s="6">
        <v>0</v>
      </c>
      <c r="AH12" s="6">
        <v>0</v>
      </c>
      <c r="AI12" s="6">
        <v>0</v>
      </c>
      <c r="AJ12" s="6">
        <v>0</v>
      </c>
      <c r="AK12" s="6">
        <v>20</v>
      </c>
      <c r="AL12" s="4">
        <v>0.2</v>
      </c>
      <c r="AM12" s="6" t="s">
        <v>1390</v>
      </c>
      <c r="AN12" s="6">
        <v>1</v>
      </c>
      <c r="AO12" s="6">
        <v>0</v>
      </c>
      <c r="AP12" s="6">
        <v>1</v>
      </c>
      <c r="AQ12" s="6">
        <v>11</v>
      </c>
      <c r="AR12" s="6">
        <v>5.17</v>
      </c>
      <c r="AS12" s="6">
        <v>4.13</v>
      </c>
      <c r="AT12" s="6">
        <v>0.21</v>
      </c>
      <c r="AU12" s="6">
        <v>14</v>
      </c>
      <c r="AV12" s="65">
        <v>43195</v>
      </c>
      <c r="AW12" s="65">
        <v>43195</v>
      </c>
      <c r="AX12" s="6">
        <f t="array" ref="AX12">IFERROR(INDEX(Datos_Consumo[CANTIDAD],MATCH(TABLATRANSFERENCIA[[#This Row],[CODIGO]]&amp;TABLATRANSFERENCIA[[#Headers],[2017-12]],Datos_Consumo[CODIGO]&amp;Datos_Consumo[FECHA_FORMATO],0)),0)</f>
        <v>4</v>
      </c>
      <c r="AY12" s="6">
        <f t="array" ref="AY12">IFERROR(INDEX(Datos_Consumo[CANTIDAD],MATCH(TABLATRANSFERENCIA[[#This Row],[CODIGO]]&amp;TABLATRANSFERENCIA[[#Headers],[2018-1]],Datos_Consumo[CODIGO]&amp;Datos_Consumo[FECHA_FORMATO],0)),0)</f>
        <v>1</v>
      </c>
      <c r="AZ12" s="6">
        <f t="array" ref="AZ12">IFERROR(INDEX(Datos_Consumo[CANTIDAD],MATCH(TABLATRANSFERENCIA[[#This Row],[CODIGO]]&amp;TABLATRANSFERENCIA[[#Headers],[2018-2]],Datos_Consumo[CODIGO]&amp;Datos_Consumo[FECHA_FORMATO],0)),0)</f>
        <v>1</v>
      </c>
      <c r="BA12" s="6">
        <f t="array" ref="BA12">IFERROR(INDEX(Datos_Consumo[CANTIDAD],MATCH(TABLATRANSFERENCIA[[#This Row],[CODIGO]]&amp;TABLATRANSFERENCIA[[#Headers],[2018-3]],Datos_Consumo[CODIGO]&amp;Datos_Consumo[FECHA_FORMATO],0)),0)</f>
        <v>6</v>
      </c>
      <c r="BB12" s="6">
        <f t="array" ref="BB12">IFERROR(INDEX(Datos_Consumo[CANTIDAD],MATCH(TABLATRANSFERENCIA[[#This Row],[CODIGO]]&amp;TABLATRANSFERENCIA[[#Headers],[2018-4]],Datos_Consumo[CODIGO]&amp;Datos_Consumo[FECHA_FORMATO],0)),0)</f>
        <v>3</v>
      </c>
      <c r="BC12" s="6">
        <f t="array" ref="BC12">IFERROR(INDEX(Datos_Consumo[CANTIDAD],MATCH(TABLATRANSFERENCIA[[#This Row],[CODIGO]]&amp;TABLATRANSFERENCIA[[#Headers],[2018-5]],Datos_Consumo[CODIGO]&amp;Datos_Consumo[FECHA_FORMATO],0)),0)</f>
        <v>1</v>
      </c>
      <c r="BD12" s="48">
        <v>5</v>
      </c>
      <c r="BE12" s="53">
        <v>5</v>
      </c>
      <c r="BF12" s="62">
        <v>43234</v>
      </c>
      <c r="BG12" s="60">
        <v>43353</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0.45454545454545453</v>
      </c>
      <c r="BQ12" s="49"/>
      <c r="BR12" s="58"/>
      <c r="BS12" s="3">
        <f>IF(TABLATRANSFERENCIA[[#This Row],[RECIBIDO]]&lt;&gt;"",0,IF(TABLATRANSFERENCIA[[#This Row],[DESPACHO]]&lt;&gt;"",TABLATRANSFERENCIA[[#This Row],[DESPACHO]],TABLATRANSFERENCIA[[#This Row],[REQUERIM]]))</f>
        <v>5</v>
      </c>
      <c r="BT12" s="48"/>
      <c r="BU12" s="48"/>
      <c r="BV12" s="48" t="str">
        <f t="shared" si="0"/>
        <v>N</v>
      </c>
      <c r="BW12" s="49" t="s">
        <v>1388</v>
      </c>
      <c r="BX12" s="49">
        <f t="array" ref="BX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49">
        <v>17</v>
      </c>
      <c r="CA12" s="49">
        <v>8</v>
      </c>
      <c r="CB12" s="49"/>
    </row>
    <row r="13" spans="1:80" x14ac:dyDescent="0.25">
      <c r="A13" s="52" t="s">
        <v>1408</v>
      </c>
      <c r="B13" s="3" t="s">
        <v>3730</v>
      </c>
      <c r="C13" s="3" t="s">
        <v>1382</v>
      </c>
      <c r="D13" s="3" t="s">
        <v>3729</v>
      </c>
      <c r="E13" s="3" t="s">
        <v>3669</v>
      </c>
      <c r="F13" s="3">
        <v>0</v>
      </c>
      <c r="G13" s="3" t="s">
        <v>3676</v>
      </c>
      <c r="H13" s="3">
        <v>0</v>
      </c>
      <c r="I13" s="3">
        <v>0</v>
      </c>
      <c r="J13" s="3" t="s">
        <v>3677</v>
      </c>
      <c r="K13" s="3">
        <v>0</v>
      </c>
      <c r="L13" s="3" t="s">
        <v>3670</v>
      </c>
      <c r="M13" s="3">
        <v>0</v>
      </c>
      <c r="N13" s="3">
        <v>0</v>
      </c>
      <c r="O13" s="5" t="s">
        <v>1382</v>
      </c>
      <c r="P13" s="5">
        <v>11.05</v>
      </c>
      <c r="Q13" s="5">
        <v>25</v>
      </c>
      <c r="R13" s="44">
        <v>0</v>
      </c>
      <c r="S13" s="44">
        <v>1.64</v>
      </c>
      <c r="T13" s="44">
        <v>0</v>
      </c>
      <c r="U13" s="44">
        <v>1.1000000000000001</v>
      </c>
      <c r="V13" s="47" t="s">
        <v>1403</v>
      </c>
      <c r="W13" s="47" t="s">
        <v>3666</v>
      </c>
      <c r="X13" s="49">
        <v>20</v>
      </c>
      <c r="Y13" s="49">
        <v>17</v>
      </c>
      <c r="Z13" s="6">
        <v>55</v>
      </c>
      <c r="AA13" s="6">
        <v>1000000000</v>
      </c>
      <c r="AB13" s="6">
        <v>0</v>
      </c>
      <c r="AC13" s="4">
        <v>1</v>
      </c>
      <c r="AD13" s="6" t="s">
        <v>838</v>
      </c>
      <c r="AE13" s="6">
        <v>23</v>
      </c>
      <c r="AF13" s="6">
        <v>0</v>
      </c>
      <c r="AG13" s="6">
        <v>0</v>
      </c>
      <c r="AH13" s="6">
        <v>0</v>
      </c>
      <c r="AI13" s="6">
        <v>0</v>
      </c>
      <c r="AJ13" s="6">
        <v>0</v>
      </c>
      <c r="AK13" s="6">
        <v>23</v>
      </c>
      <c r="AL13" s="4">
        <v>0.57999999999999996</v>
      </c>
      <c r="AM13" s="6" t="s">
        <v>1401</v>
      </c>
      <c r="AN13" s="6">
        <v>1</v>
      </c>
      <c r="AO13" s="6">
        <v>0</v>
      </c>
      <c r="AP13" s="6">
        <v>1</v>
      </c>
      <c r="AQ13" s="6">
        <v>25</v>
      </c>
      <c r="AR13" s="6">
        <v>3.33</v>
      </c>
      <c r="AS13" s="6">
        <v>1.39</v>
      </c>
      <c r="AT13" s="6">
        <v>0.06</v>
      </c>
      <c r="AU13" s="6">
        <v>3</v>
      </c>
      <c r="AV13" s="65">
        <v>43195</v>
      </c>
      <c r="AW13" s="65">
        <v>43195</v>
      </c>
      <c r="AX13" s="6">
        <f t="array" ref="AX13">IFERROR(INDEX(Datos_Consumo[CANTIDAD],MATCH(TABLATRANSFERENCIA[[#This Row],[CODIGO]]&amp;TABLATRANSFERENCIA[[#Headers],[2017-12]],Datos_Consumo[CODIGO]&amp;Datos_Consumo[FECHA_FORMATO],0)),0)</f>
        <v>2</v>
      </c>
      <c r="AY13" s="6">
        <f t="array" ref="AY13">IFERROR(INDEX(Datos_Consumo[CANTIDAD],MATCH(TABLATRANSFERENCIA[[#This Row],[CODIGO]]&amp;TABLATRANSFERENCIA[[#Headers],[2018-1]],Datos_Consumo[CODIGO]&amp;Datos_Consumo[FECHA_FORMATO],0)),0)</f>
        <v>40</v>
      </c>
      <c r="AZ13" s="6">
        <f t="array" ref="AZ13">IFERROR(INDEX(Datos_Consumo[CANTIDAD],MATCH(TABLATRANSFERENCIA[[#This Row],[CODIGO]]&amp;TABLATRANSFERENCIA[[#Headers],[2018-2]],Datos_Consumo[CODIGO]&amp;Datos_Consumo[FECHA_FORMATO],0)),0)</f>
        <v>2</v>
      </c>
      <c r="BA13" s="6">
        <f t="array" ref="BA13">IFERROR(INDEX(Datos_Consumo[CANTIDAD],MATCH(TABLATRANSFERENCIA[[#This Row],[CODIGO]]&amp;TABLATRANSFERENCIA[[#Headers],[2018-3]],Datos_Consumo[CODIGO]&amp;Datos_Consumo[FECHA_FORMATO],0)),0)</f>
        <v>50</v>
      </c>
      <c r="BB13" s="6">
        <f t="array" ref="BB13">IFERROR(INDEX(Datos_Consumo[CANTIDAD],MATCH(TABLATRANSFERENCIA[[#This Row],[CODIGO]]&amp;TABLATRANSFERENCIA[[#Headers],[2018-4]],Datos_Consumo[CODIGO]&amp;Datos_Consumo[FECHA_FORMATO],0)),0)</f>
        <v>5</v>
      </c>
      <c r="BC13" s="6">
        <f t="array" ref="BC13">IFERROR(INDEX(Datos_Consumo[CANTIDAD],MATCH(TABLATRANSFERENCIA[[#This Row],[CODIGO]]&amp;TABLATRANSFERENCIA[[#Headers],[2018-5]],Datos_Consumo[CODIGO]&amp;Datos_Consumo[FECHA_FORMATO],0)),0)</f>
        <v>0</v>
      </c>
      <c r="BD13" s="48">
        <v>32</v>
      </c>
      <c r="BE13" s="53">
        <v>32</v>
      </c>
      <c r="BF13" s="62">
        <v>43234</v>
      </c>
      <c r="BG13" s="60">
        <v>43353</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1.28</v>
      </c>
      <c r="BQ13" s="49"/>
      <c r="BR13" s="58"/>
      <c r="BS13" s="3">
        <f>IF(TABLATRANSFERENCIA[[#This Row],[RECIBIDO]]&lt;&gt;"",0,IF(TABLATRANSFERENCIA[[#This Row],[DESPACHO]]&lt;&gt;"",TABLATRANSFERENCIA[[#This Row],[DESPACHO]],TABLATRANSFERENCIA[[#This Row],[REQUERIM]]))</f>
        <v>32</v>
      </c>
      <c r="BT13" s="48"/>
      <c r="BU13" s="48"/>
      <c r="BV13" s="48" t="str">
        <f t="shared" si="0"/>
        <v>N</v>
      </c>
      <c r="BW13" s="49" t="s">
        <v>1388</v>
      </c>
      <c r="BX13" s="49">
        <f t="array" ref="BX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49">
        <v>37</v>
      </c>
      <c r="CA13" s="49">
        <v>18</v>
      </c>
      <c r="CB13" s="49"/>
    </row>
    <row r="14" spans="1:80" x14ac:dyDescent="0.25">
      <c r="A14" s="52" t="s">
        <v>1409</v>
      </c>
      <c r="B14" s="3" t="s">
        <v>3755</v>
      </c>
      <c r="C14" s="3" t="s">
        <v>1382</v>
      </c>
      <c r="D14" s="3" t="s">
        <v>3754</v>
      </c>
      <c r="E14" s="3" t="s">
        <v>3669</v>
      </c>
      <c r="F14" s="3">
        <v>0</v>
      </c>
      <c r="G14" s="3" t="s">
        <v>3676</v>
      </c>
      <c r="H14" s="3">
        <v>0</v>
      </c>
      <c r="I14" s="3">
        <v>0</v>
      </c>
      <c r="J14" s="3" t="s">
        <v>3677</v>
      </c>
      <c r="K14" s="3">
        <v>0</v>
      </c>
      <c r="L14" s="3" t="s">
        <v>3670</v>
      </c>
      <c r="M14" s="3">
        <v>0</v>
      </c>
      <c r="N14" s="3">
        <v>0</v>
      </c>
      <c r="O14" s="5" t="s">
        <v>1382</v>
      </c>
      <c r="P14" s="5">
        <v>31.01</v>
      </c>
      <c r="Q14" s="5">
        <v>70</v>
      </c>
      <c r="R14" s="44">
        <v>0</v>
      </c>
      <c r="S14" s="44">
        <v>1.63</v>
      </c>
      <c r="T14" s="44">
        <v>0</v>
      </c>
      <c r="U14" s="44">
        <v>1</v>
      </c>
      <c r="V14" s="47" t="s">
        <v>1403</v>
      </c>
      <c r="W14" s="47" t="s">
        <v>3666</v>
      </c>
      <c r="X14" s="49">
        <v>20</v>
      </c>
      <c r="Y14" s="49">
        <v>17</v>
      </c>
      <c r="Z14" s="6">
        <v>5</v>
      </c>
      <c r="AA14" s="6">
        <v>1000000000</v>
      </c>
      <c r="AB14" s="6">
        <v>4</v>
      </c>
      <c r="AC14" s="4">
        <v>0.2</v>
      </c>
      <c r="AD14" s="6" t="s">
        <v>1390</v>
      </c>
      <c r="AE14" s="6">
        <v>0</v>
      </c>
      <c r="AF14" s="6">
        <v>0</v>
      </c>
      <c r="AG14" s="6">
        <v>0</v>
      </c>
      <c r="AH14" s="6">
        <v>0</v>
      </c>
      <c r="AI14" s="6">
        <v>0</v>
      </c>
      <c r="AJ14" s="6">
        <v>0</v>
      </c>
      <c r="AK14" s="6">
        <v>4</v>
      </c>
      <c r="AL14" s="4">
        <v>0.2</v>
      </c>
      <c r="AM14" s="6" t="s">
        <v>1390</v>
      </c>
      <c r="AN14" s="6">
        <v>1</v>
      </c>
      <c r="AO14" s="6">
        <v>0</v>
      </c>
      <c r="AP14" s="6">
        <v>1</v>
      </c>
      <c r="AQ14" s="6">
        <v>2</v>
      </c>
      <c r="AR14" s="6">
        <v>5.95</v>
      </c>
      <c r="AS14" s="6">
        <v>4.76</v>
      </c>
      <c r="AT14" s="6">
        <v>1.19</v>
      </c>
      <c r="AU14" s="6">
        <v>0</v>
      </c>
      <c r="AV14" s="65">
        <v>43028</v>
      </c>
      <c r="AW14" s="65">
        <v>43122</v>
      </c>
      <c r="AX14" s="6">
        <f t="array" ref="AX14">IFERROR(INDEX(Datos_Consumo[CANTIDAD],MATCH(TABLATRANSFERENCIA[[#This Row],[CODIGO]]&amp;TABLATRANSFERENCIA[[#Headers],[2017-12]],Datos_Consumo[CODIGO]&amp;Datos_Consumo[FECHA_FORMATO],0)),0)</f>
        <v>0</v>
      </c>
      <c r="AY14" s="6">
        <f t="array" ref="AY14">IFERROR(INDEX(Datos_Consumo[CANTIDAD],MATCH(TABLATRANSFERENCIA[[#This Row],[CODIGO]]&amp;TABLATRANSFERENCIA[[#Headers],[2018-1]],Datos_Consumo[CODIGO]&amp;Datos_Consumo[FECHA_FORMATO],0)),0)</f>
        <v>3</v>
      </c>
      <c r="AZ14" s="6">
        <f t="array" ref="AZ14">IFERROR(INDEX(Datos_Consumo[CANTIDAD],MATCH(TABLATRANSFERENCIA[[#This Row],[CODIGO]]&amp;TABLATRANSFERENCIA[[#Headers],[2018-2]],Datos_Consumo[CODIGO]&amp;Datos_Consumo[FECHA_FORMATO],0)),0)</f>
        <v>1</v>
      </c>
      <c r="BA14" s="6">
        <f t="array" ref="BA14">IFERROR(INDEX(Datos_Consumo[CANTIDAD],MATCH(TABLATRANSFERENCIA[[#This Row],[CODIGO]]&amp;TABLATRANSFERENCIA[[#Headers],[2018-3]],Datos_Consumo[CODIGO]&amp;Datos_Consumo[FECHA_FORMATO],0)),0)</f>
        <v>0</v>
      </c>
      <c r="BB14" s="6">
        <f t="array" ref="BB14">IFERROR(INDEX(Datos_Consumo[CANTIDAD],MATCH(TABLATRANSFERENCIA[[#This Row],[CODIGO]]&amp;TABLATRANSFERENCIA[[#Headers],[2018-4]],Datos_Consumo[CODIGO]&amp;Datos_Consumo[FECHA_FORMATO],0)),0)</f>
        <v>1</v>
      </c>
      <c r="BC14" s="6">
        <f t="array" ref="BC14">IFERROR(INDEX(Datos_Consumo[CANTIDAD],MATCH(TABLATRANSFERENCIA[[#This Row],[CODIGO]]&amp;TABLATRANSFERENCIA[[#Headers],[2018-5]],Datos_Consumo[CODIGO]&amp;Datos_Consumo[FECHA_FORMATO],0)),0)</f>
        <v>0</v>
      </c>
      <c r="BD14" s="48">
        <v>1</v>
      </c>
      <c r="BE14" s="53">
        <v>1</v>
      </c>
      <c r="BF14" s="62">
        <v>43234</v>
      </c>
      <c r="BG14" s="60">
        <v>43353</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0.5</v>
      </c>
      <c r="BQ14" s="49"/>
      <c r="BR14" s="58"/>
      <c r="BS14" s="3">
        <f>IF(TABLATRANSFERENCIA[[#This Row],[RECIBIDO]]&lt;&gt;"",0,IF(TABLATRANSFERENCIA[[#This Row],[DESPACHO]]&lt;&gt;"",TABLATRANSFERENCIA[[#This Row],[DESPACHO]],TABLATRANSFERENCIA[[#This Row],[REQUERIM]]))</f>
        <v>1</v>
      </c>
      <c r="BT14" s="48"/>
      <c r="BU14" s="48"/>
      <c r="BV14" s="48" t="str">
        <f t="shared" si="0"/>
        <v>N</v>
      </c>
      <c r="BW14" s="49" t="s">
        <v>1388</v>
      </c>
      <c r="BX14" s="49">
        <f t="array" ref="BX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3</v>
      </c>
      <c r="CA14" s="49">
        <v>2</v>
      </c>
      <c r="CB14" s="49"/>
    </row>
    <row r="15" spans="1:80" x14ac:dyDescent="0.25">
      <c r="A15" s="52" t="s">
        <v>1410</v>
      </c>
      <c r="B15" s="3" t="s">
        <v>3759</v>
      </c>
      <c r="C15" s="3" t="s">
        <v>1382</v>
      </c>
      <c r="D15" s="3" t="s">
        <v>3758</v>
      </c>
      <c r="E15" s="3" t="s">
        <v>3669</v>
      </c>
      <c r="F15" s="3">
        <v>0</v>
      </c>
      <c r="G15" s="3" t="s">
        <v>3676</v>
      </c>
      <c r="H15" s="3">
        <v>0</v>
      </c>
      <c r="I15" s="3">
        <v>0</v>
      </c>
      <c r="J15" s="3" t="s">
        <v>3677</v>
      </c>
      <c r="K15" s="3">
        <v>0</v>
      </c>
      <c r="L15" s="3" t="s">
        <v>3670</v>
      </c>
      <c r="M15" s="3">
        <v>0</v>
      </c>
      <c r="N15" s="3">
        <v>0</v>
      </c>
      <c r="O15" s="5" t="s">
        <v>1382</v>
      </c>
      <c r="P15" s="5">
        <v>25.8</v>
      </c>
      <c r="Q15" s="5">
        <v>55.85</v>
      </c>
      <c r="R15" s="44">
        <v>0</v>
      </c>
      <c r="S15" s="44">
        <v>1.51</v>
      </c>
      <c r="T15" s="44">
        <v>0</v>
      </c>
      <c r="U15" s="44">
        <v>0</v>
      </c>
      <c r="V15" s="47" t="s">
        <v>1403</v>
      </c>
      <c r="W15" s="47" t="s">
        <v>3666</v>
      </c>
      <c r="X15" s="49">
        <v>20</v>
      </c>
      <c r="Y15" s="49">
        <v>17</v>
      </c>
      <c r="Z15" s="6">
        <v>5</v>
      </c>
      <c r="AA15" s="6">
        <v>1000000000</v>
      </c>
      <c r="AB15" s="6">
        <v>4</v>
      </c>
      <c r="AC15" s="4">
        <v>0.2</v>
      </c>
      <c r="AD15" s="6" t="s">
        <v>1390</v>
      </c>
      <c r="AE15" s="6">
        <v>0</v>
      </c>
      <c r="AF15" s="6">
        <v>0</v>
      </c>
      <c r="AG15" s="6">
        <v>0</v>
      </c>
      <c r="AH15" s="6">
        <v>0</v>
      </c>
      <c r="AI15" s="6">
        <v>0</v>
      </c>
      <c r="AJ15" s="6">
        <v>0</v>
      </c>
      <c r="AK15" s="6">
        <v>4</v>
      </c>
      <c r="AL15" s="4">
        <v>0.2</v>
      </c>
      <c r="AM15" s="6" t="s">
        <v>1390</v>
      </c>
      <c r="AN15" s="6">
        <v>1</v>
      </c>
      <c r="AO15" s="6">
        <v>0</v>
      </c>
      <c r="AP15" s="6">
        <v>1</v>
      </c>
      <c r="AQ15" s="6">
        <v>2</v>
      </c>
      <c r="AR15" s="6">
        <v>5.95</v>
      </c>
      <c r="AS15" s="6">
        <v>4.76</v>
      </c>
      <c r="AT15" s="6">
        <v>1.19</v>
      </c>
      <c r="AU15" s="6">
        <v>0</v>
      </c>
      <c r="AV15" s="65">
        <v>43007</v>
      </c>
      <c r="AW15" s="65">
        <v>43122</v>
      </c>
      <c r="AX15" s="6">
        <f t="array" ref="AX15">IFERROR(INDEX(Datos_Consumo[CANTIDAD],MATCH(TABLATRANSFERENCIA[[#This Row],[CODIGO]]&amp;TABLATRANSFERENCIA[[#Headers],[2017-12]],Datos_Consumo[CODIGO]&amp;Datos_Consumo[FECHA_FORMATO],0)),0)</f>
        <v>0</v>
      </c>
      <c r="AY15" s="6">
        <f t="array" ref="AY15">IFERROR(INDEX(Datos_Consumo[CANTIDAD],MATCH(TABLATRANSFERENCIA[[#This Row],[CODIGO]]&amp;TABLATRANSFERENCIA[[#Headers],[2018-1]],Datos_Consumo[CODIGO]&amp;Datos_Consumo[FECHA_FORMATO],0)),0)</f>
        <v>4</v>
      </c>
      <c r="AZ15" s="6">
        <f t="array" ref="AZ15">IFERROR(INDEX(Datos_Consumo[CANTIDAD],MATCH(TABLATRANSFERENCIA[[#This Row],[CODIGO]]&amp;TABLATRANSFERENCIA[[#Headers],[2018-2]],Datos_Consumo[CODIGO]&amp;Datos_Consumo[FECHA_FORMATO],0)),0)</f>
        <v>0</v>
      </c>
      <c r="BA15" s="6">
        <f t="array" ref="BA15">IFERROR(INDEX(Datos_Consumo[CANTIDAD],MATCH(TABLATRANSFERENCIA[[#This Row],[CODIGO]]&amp;TABLATRANSFERENCIA[[#Headers],[2018-3]],Datos_Consumo[CODIGO]&amp;Datos_Consumo[FECHA_FORMATO],0)),0)</f>
        <v>0</v>
      </c>
      <c r="BB15" s="6">
        <f t="array" ref="BB15">IFERROR(INDEX(Datos_Consumo[CANTIDAD],MATCH(TABLATRANSFERENCIA[[#This Row],[CODIGO]]&amp;TABLATRANSFERENCIA[[#Headers],[2018-4]],Datos_Consumo[CODIGO]&amp;Datos_Consumo[FECHA_FORMATO],0)),0)</f>
        <v>1</v>
      </c>
      <c r="BC15" s="6">
        <f t="array" ref="BC15">IFERROR(INDEX(Datos_Consumo[CANTIDAD],MATCH(TABLATRANSFERENCIA[[#This Row],[CODIGO]]&amp;TABLATRANSFERENCIA[[#Headers],[2018-5]],Datos_Consumo[CODIGO]&amp;Datos_Consumo[FECHA_FORMATO],0)),0)</f>
        <v>0</v>
      </c>
      <c r="BD15" s="48">
        <v>1</v>
      </c>
      <c r="BE15" s="53">
        <v>1</v>
      </c>
      <c r="BF15" s="62">
        <v>43234</v>
      </c>
      <c r="BG15" s="60">
        <v>43353</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0.5</v>
      </c>
      <c r="BQ15" s="49"/>
      <c r="BR15" s="58"/>
      <c r="BS15" s="3">
        <f>IF(TABLATRANSFERENCIA[[#This Row],[RECIBIDO]]&lt;&gt;"",0,IF(TABLATRANSFERENCIA[[#This Row],[DESPACHO]]&lt;&gt;"",TABLATRANSFERENCIA[[#This Row],[DESPACHO]],TABLATRANSFERENCIA[[#This Row],[REQUERIM]]))</f>
        <v>1</v>
      </c>
      <c r="BT15" s="48"/>
      <c r="BU15" s="48"/>
      <c r="BV15" s="48" t="str">
        <f t="shared" si="0"/>
        <v>N</v>
      </c>
      <c r="BW15" s="49" t="s">
        <v>1388</v>
      </c>
      <c r="BX15" s="49">
        <f t="array" ref="BX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49">
        <v>3</v>
      </c>
      <c r="CA15" s="49">
        <v>2</v>
      </c>
      <c r="CB15" s="49"/>
    </row>
    <row r="16" spans="1:80" x14ac:dyDescent="0.25">
      <c r="A16" s="52" t="s">
        <v>1411</v>
      </c>
      <c r="B16" s="3" t="s">
        <v>3775</v>
      </c>
      <c r="C16" s="3" t="s">
        <v>1382</v>
      </c>
      <c r="D16" s="3" t="s">
        <v>3773</v>
      </c>
      <c r="E16" s="3" t="s">
        <v>849</v>
      </c>
      <c r="F16" s="3">
        <v>0</v>
      </c>
      <c r="G16" s="3" t="s">
        <v>3770</v>
      </c>
      <c r="H16" s="3">
        <v>0</v>
      </c>
      <c r="I16" s="3">
        <v>0</v>
      </c>
      <c r="J16" s="3" t="s">
        <v>3771</v>
      </c>
      <c r="K16" s="3">
        <v>0</v>
      </c>
      <c r="L16" s="3" t="s">
        <v>3772</v>
      </c>
      <c r="M16" s="3">
        <v>0</v>
      </c>
      <c r="N16" s="3">
        <v>0</v>
      </c>
      <c r="O16" s="5" t="s">
        <v>1382</v>
      </c>
      <c r="P16" s="5">
        <v>9.7899999999999991</v>
      </c>
      <c r="Q16" s="5">
        <v>18.21</v>
      </c>
      <c r="R16" s="44">
        <v>0</v>
      </c>
      <c r="S16" s="44">
        <v>1.1200000000000001</v>
      </c>
      <c r="T16" s="44">
        <v>0</v>
      </c>
      <c r="U16" s="44">
        <v>1</v>
      </c>
      <c r="V16" s="47" t="s">
        <v>1403</v>
      </c>
      <c r="W16" s="47" t="s">
        <v>3666</v>
      </c>
      <c r="X16" s="49">
        <v>20</v>
      </c>
      <c r="Y16" s="49">
        <v>17</v>
      </c>
      <c r="Z16" s="6">
        <v>400</v>
      </c>
      <c r="AA16" s="6">
        <v>1000000000</v>
      </c>
      <c r="AB16" s="6">
        <v>15</v>
      </c>
      <c r="AC16" s="4">
        <v>0.96</v>
      </c>
      <c r="AD16" s="6" t="s">
        <v>1394</v>
      </c>
      <c r="AE16" s="6">
        <v>0</v>
      </c>
      <c r="AF16" s="6">
        <v>0</v>
      </c>
      <c r="AG16" s="6">
        <v>0</v>
      </c>
      <c r="AH16" s="6">
        <v>0</v>
      </c>
      <c r="AI16" s="6">
        <v>0</v>
      </c>
      <c r="AJ16" s="6">
        <v>0</v>
      </c>
      <c r="AK16" s="6">
        <v>15</v>
      </c>
      <c r="AL16" s="4">
        <v>0.96</v>
      </c>
      <c r="AM16" s="6" t="s">
        <v>1394</v>
      </c>
      <c r="AN16" s="6">
        <v>1</v>
      </c>
      <c r="AO16" s="6">
        <v>0</v>
      </c>
      <c r="AP16" s="6">
        <v>1</v>
      </c>
      <c r="AQ16" s="6">
        <v>184</v>
      </c>
      <c r="AR16" s="6">
        <v>31.95</v>
      </c>
      <c r="AS16" s="6">
        <v>1.2</v>
      </c>
      <c r="AT16" s="6">
        <v>0.08</v>
      </c>
      <c r="AU16" s="6">
        <v>0</v>
      </c>
      <c r="AV16" s="65">
        <v>43132</v>
      </c>
      <c r="AW16" s="65">
        <v>43195</v>
      </c>
      <c r="AX16" s="6">
        <f t="array" ref="AX16">IFERROR(INDEX(Datos_Consumo[CANTIDAD],MATCH(TABLATRANSFERENCIA[[#This Row],[CODIGO]]&amp;TABLATRANSFERENCIA[[#Headers],[2017-12]],Datos_Consumo[CODIGO]&amp;Datos_Consumo[FECHA_FORMATO],0)),0)</f>
        <v>7</v>
      </c>
      <c r="AY16" s="6">
        <f t="array" ref="AY16">IFERROR(INDEX(Datos_Consumo[CANTIDAD],MATCH(TABLATRANSFERENCIA[[#This Row],[CODIGO]]&amp;TABLATRANSFERENCIA[[#Headers],[2018-1]],Datos_Consumo[CODIGO]&amp;Datos_Consumo[FECHA_FORMATO],0)),0)</f>
        <v>13</v>
      </c>
      <c r="AZ16" s="6">
        <f t="array" ref="AZ16">IFERROR(INDEX(Datos_Consumo[CANTIDAD],MATCH(TABLATRANSFERENCIA[[#This Row],[CODIGO]]&amp;TABLATRANSFERENCIA[[#Headers],[2018-2]],Datos_Consumo[CODIGO]&amp;Datos_Consumo[FECHA_FORMATO],0)),0)</f>
        <v>37</v>
      </c>
      <c r="BA16" s="6">
        <f t="array" ref="BA16">IFERROR(INDEX(Datos_Consumo[CANTIDAD],MATCH(TABLATRANSFERENCIA[[#This Row],[CODIGO]]&amp;TABLATRANSFERENCIA[[#Headers],[2018-3]],Datos_Consumo[CODIGO]&amp;Datos_Consumo[FECHA_FORMATO],0)),0)</f>
        <v>12</v>
      </c>
      <c r="BB16" s="6">
        <f t="array" ref="BB16">IFERROR(INDEX(Datos_Consumo[CANTIDAD],MATCH(TABLATRANSFERENCIA[[#This Row],[CODIGO]]&amp;TABLATRANSFERENCIA[[#Headers],[2018-4]],Datos_Consumo[CODIGO]&amp;Datos_Consumo[FECHA_FORMATO],0)),0)</f>
        <v>11</v>
      </c>
      <c r="BC16" s="6">
        <f t="array" ref="BC16">IFERROR(INDEX(Datos_Consumo[CANTIDAD],MATCH(TABLATRANSFERENCIA[[#This Row],[CODIGO]]&amp;TABLATRANSFERENCIA[[#Headers],[2018-5]],Datos_Consumo[CODIGO]&amp;Datos_Consumo[FECHA_FORMATO],0)),0)</f>
        <v>7</v>
      </c>
      <c r="BD16" s="48">
        <v>385</v>
      </c>
      <c r="BE16" s="53">
        <v>385</v>
      </c>
      <c r="BF16" s="62">
        <v>43234</v>
      </c>
      <c r="BG16" s="60">
        <v>43353</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385</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2.0923913043478262</v>
      </c>
      <c r="BQ16" s="49"/>
      <c r="BR16" s="58"/>
      <c r="BS16" s="3">
        <f>IF(TABLATRANSFERENCIA[[#This Row],[RECIBIDO]]&lt;&gt;"",0,IF(TABLATRANSFERENCIA[[#This Row],[DESPACHO]]&lt;&gt;"",TABLATRANSFERENCIA[[#This Row],[DESPACHO]],TABLATRANSFERENCIA[[#This Row],[REQUERIM]]))</f>
        <v>385</v>
      </c>
      <c r="BT16" s="48"/>
      <c r="BU16" s="48"/>
      <c r="BV16" s="48" t="str">
        <f t="shared" si="0"/>
        <v>N</v>
      </c>
      <c r="BW16" s="49" t="s">
        <v>1388</v>
      </c>
      <c r="BX16" s="49">
        <f t="array" ref="BX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49">
        <v>266</v>
      </c>
      <c r="CA16" s="49">
        <v>132</v>
      </c>
      <c r="CB16" s="49"/>
    </row>
    <row r="17" spans="1:80" x14ac:dyDescent="0.25">
      <c r="A17" s="52" t="s">
        <v>1412</v>
      </c>
      <c r="B17" s="3" t="s">
        <v>3781</v>
      </c>
      <c r="C17" s="3" t="s">
        <v>1382</v>
      </c>
      <c r="D17" s="3" t="s">
        <v>3779</v>
      </c>
      <c r="E17" s="3" t="s">
        <v>849</v>
      </c>
      <c r="F17" s="3">
        <v>0</v>
      </c>
      <c r="G17" s="3" t="s">
        <v>3770</v>
      </c>
      <c r="H17" s="3">
        <v>0</v>
      </c>
      <c r="I17" s="3">
        <v>0</v>
      </c>
      <c r="J17" s="3" t="s">
        <v>3771</v>
      </c>
      <c r="K17" s="3">
        <v>0</v>
      </c>
      <c r="L17" s="3" t="s">
        <v>3772</v>
      </c>
      <c r="M17" s="3">
        <v>0</v>
      </c>
      <c r="N17" s="3">
        <v>0</v>
      </c>
      <c r="O17" s="5" t="s">
        <v>1382</v>
      </c>
      <c r="P17" s="5">
        <v>10.46</v>
      </c>
      <c r="Q17" s="5">
        <v>20.36</v>
      </c>
      <c r="R17" s="44">
        <v>0</v>
      </c>
      <c r="S17" s="44">
        <v>1.23</v>
      </c>
      <c r="T17" s="44">
        <v>0</v>
      </c>
      <c r="U17" s="44">
        <v>0</v>
      </c>
      <c r="V17" s="47" t="s">
        <v>1403</v>
      </c>
      <c r="W17" s="47" t="s">
        <v>3666</v>
      </c>
      <c r="X17" s="49">
        <v>20</v>
      </c>
      <c r="Y17" s="49">
        <v>17</v>
      </c>
      <c r="Z17" s="6">
        <v>3000</v>
      </c>
      <c r="AA17" s="6">
        <v>1000000000</v>
      </c>
      <c r="AB17" s="6">
        <v>0</v>
      </c>
      <c r="AC17" s="4">
        <v>1</v>
      </c>
      <c r="AD17" s="6" t="s">
        <v>838</v>
      </c>
      <c r="AE17" s="6">
        <v>2000</v>
      </c>
      <c r="AF17" s="6">
        <v>0</v>
      </c>
      <c r="AG17" s="6">
        <v>0</v>
      </c>
      <c r="AH17" s="6">
        <v>0</v>
      </c>
      <c r="AI17" s="6">
        <v>0</v>
      </c>
      <c r="AJ17" s="6">
        <v>0</v>
      </c>
      <c r="AK17" s="6">
        <v>2000</v>
      </c>
      <c r="AL17" s="4">
        <v>0.33</v>
      </c>
      <c r="AM17" s="6" t="s">
        <v>1390</v>
      </c>
      <c r="AN17" s="6">
        <v>1</v>
      </c>
      <c r="AO17" s="6">
        <v>0</v>
      </c>
      <c r="AP17" s="6">
        <v>1</v>
      </c>
      <c r="AQ17" s="6">
        <v>1378</v>
      </c>
      <c r="AR17" s="6">
        <v>20.83</v>
      </c>
      <c r="AS17" s="6">
        <v>13.89</v>
      </c>
      <c r="AT17" s="6">
        <v>0.01</v>
      </c>
      <c r="AU17" s="6">
        <v>14</v>
      </c>
      <c r="AV17" s="65">
        <v>43195</v>
      </c>
      <c r="AW17" s="65">
        <v>43122</v>
      </c>
      <c r="AX17" s="6">
        <f t="array" ref="AX17">IFERROR(INDEX(Datos_Consumo[CANTIDAD],MATCH(TABLATRANSFERENCIA[[#This Row],[CODIGO]]&amp;TABLATRANSFERENCIA[[#Headers],[2017-12]],Datos_Consumo[CODIGO]&amp;Datos_Consumo[FECHA_FORMATO],0)),0)</f>
        <v>350</v>
      </c>
      <c r="AY17" s="6">
        <f t="array" ref="AY17">IFERROR(INDEX(Datos_Consumo[CANTIDAD],MATCH(TABLATRANSFERENCIA[[#This Row],[CODIGO]]&amp;TABLATRANSFERENCIA[[#Headers],[2018-1]],Datos_Consumo[CODIGO]&amp;Datos_Consumo[FECHA_FORMATO],0)),0)</f>
        <v>503</v>
      </c>
      <c r="AZ17" s="6">
        <f t="array" ref="AZ17">IFERROR(INDEX(Datos_Consumo[CANTIDAD],MATCH(TABLATRANSFERENCIA[[#This Row],[CODIGO]]&amp;TABLATRANSFERENCIA[[#Headers],[2018-2]],Datos_Consumo[CODIGO]&amp;Datos_Consumo[FECHA_FORMATO],0)),0)</f>
        <v>7</v>
      </c>
      <c r="BA17" s="6">
        <f t="array" ref="BA17">IFERROR(INDEX(Datos_Consumo[CANTIDAD],MATCH(TABLATRANSFERENCIA[[#This Row],[CODIGO]]&amp;TABLATRANSFERENCIA[[#Headers],[2018-3]],Datos_Consumo[CODIGO]&amp;Datos_Consumo[FECHA_FORMATO],0)),0)</f>
        <v>2</v>
      </c>
      <c r="BB17" s="6">
        <f t="array" ref="BB17">IFERROR(INDEX(Datos_Consumo[CANTIDAD],MATCH(TABLATRANSFERENCIA[[#This Row],[CODIGO]]&amp;TABLATRANSFERENCIA[[#Headers],[2018-4]],Datos_Consumo[CODIGO]&amp;Datos_Consumo[FECHA_FORMATO],0)),0)</f>
        <v>2</v>
      </c>
      <c r="BC17" s="6">
        <f t="array" ref="BC17">IFERROR(INDEX(Datos_Consumo[CANTIDAD],MATCH(TABLATRANSFERENCIA[[#This Row],[CODIGO]]&amp;TABLATRANSFERENCIA[[#Headers],[2018-5]],Datos_Consumo[CODIGO]&amp;Datos_Consumo[FECHA_FORMATO],0)),0)</f>
        <v>0</v>
      </c>
      <c r="BD17" s="48">
        <v>1000</v>
      </c>
      <c r="BE17" s="53">
        <v>1000</v>
      </c>
      <c r="BF17" s="62">
        <v>43234</v>
      </c>
      <c r="BG17" s="60">
        <v>43353</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0.72568940493468792</v>
      </c>
      <c r="BQ17" s="49"/>
      <c r="BR17" s="58"/>
      <c r="BS17" s="3">
        <f>IF(TABLATRANSFERENCIA[[#This Row],[RECIBIDO]]&lt;&gt;"",0,IF(TABLATRANSFERENCIA[[#This Row],[DESPACHO]]&lt;&gt;"",TABLATRANSFERENCIA[[#This Row],[DESPACHO]],TABLATRANSFERENCIA[[#This Row],[REQUERIM]]))</f>
        <v>1000</v>
      </c>
      <c r="BT17" s="48"/>
      <c r="BU17" s="48"/>
      <c r="BV17" s="48" t="str">
        <f t="shared" si="0"/>
        <v>N</v>
      </c>
      <c r="BW17" s="49" t="s">
        <v>1388</v>
      </c>
      <c r="BX17" s="49">
        <f t="array" ref="BX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1995</v>
      </c>
      <c r="CA17" s="49">
        <v>990</v>
      </c>
      <c r="CB17" s="49"/>
    </row>
    <row r="18" spans="1:80" x14ac:dyDescent="0.25">
      <c r="A18" s="52" t="s">
        <v>1413</v>
      </c>
      <c r="B18" s="3" t="s">
        <v>3788</v>
      </c>
      <c r="C18" s="3" t="s">
        <v>1382</v>
      </c>
      <c r="D18" s="3" t="s">
        <v>3787</v>
      </c>
      <c r="E18" s="3" t="s">
        <v>849</v>
      </c>
      <c r="F18" s="3">
        <v>0</v>
      </c>
      <c r="G18" s="3" t="s">
        <v>3784</v>
      </c>
      <c r="H18" s="3">
        <v>0</v>
      </c>
      <c r="I18" s="3">
        <v>0</v>
      </c>
      <c r="J18" s="3" t="s">
        <v>3771</v>
      </c>
      <c r="K18" s="3">
        <v>0</v>
      </c>
      <c r="L18" s="3" t="s">
        <v>3785</v>
      </c>
      <c r="M18" s="3">
        <v>0</v>
      </c>
      <c r="N18" s="3">
        <v>0</v>
      </c>
      <c r="O18" s="5" t="s">
        <v>1382</v>
      </c>
      <c r="P18" s="5">
        <v>27.86</v>
      </c>
      <c r="Q18" s="5">
        <v>62.14</v>
      </c>
      <c r="R18" s="44">
        <v>0</v>
      </c>
      <c r="S18" s="44">
        <v>1.6</v>
      </c>
      <c r="T18" s="44">
        <v>0</v>
      </c>
      <c r="U18" s="44">
        <v>0.18</v>
      </c>
      <c r="V18" s="47" t="s">
        <v>1403</v>
      </c>
      <c r="W18" s="47" t="s">
        <v>3666</v>
      </c>
      <c r="X18" s="49">
        <v>20</v>
      </c>
      <c r="Y18" s="49">
        <v>17</v>
      </c>
      <c r="Z18" s="6">
        <v>60</v>
      </c>
      <c r="AA18" s="6">
        <v>1000000000</v>
      </c>
      <c r="AB18" s="6">
        <v>9</v>
      </c>
      <c r="AC18" s="4">
        <v>0.85</v>
      </c>
      <c r="AD18" s="6" t="s">
        <v>1394</v>
      </c>
      <c r="AE18" s="6">
        <v>6</v>
      </c>
      <c r="AF18" s="6">
        <v>0</v>
      </c>
      <c r="AG18" s="6">
        <v>0</v>
      </c>
      <c r="AH18" s="6">
        <v>0</v>
      </c>
      <c r="AI18" s="6">
        <v>0</v>
      </c>
      <c r="AJ18" s="6">
        <v>0</v>
      </c>
      <c r="AK18" s="6">
        <v>15</v>
      </c>
      <c r="AL18" s="4">
        <v>0.75</v>
      </c>
      <c r="AM18" s="6" t="s">
        <v>1394</v>
      </c>
      <c r="AN18" s="6">
        <v>1</v>
      </c>
      <c r="AO18" s="6">
        <v>0</v>
      </c>
      <c r="AP18" s="6">
        <v>1</v>
      </c>
      <c r="AQ18" s="6">
        <v>28</v>
      </c>
      <c r="AR18" s="6">
        <v>7.04</v>
      </c>
      <c r="AS18" s="6">
        <v>1.76</v>
      </c>
      <c r="AT18" s="6">
        <v>0.12</v>
      </c>
      <c r="AU18" s="6">
        <v>0</v>
      </c>
      <c r="AV18" s="65">
        <v>43195</v>
      </c>
      <c r="AW18" s="65">
        <v>43195</v>
      </c>
      <c r="AX18" s="6">
        <f t="array" ref="AX18">IFERROR(INDEX(Datos_Consumo[CANTIDAD],MATCH(TABLATRANSFERENCIA[[#This Row],[CODIGO]]&amp;TABLATRANSFERENCIA[[#Headers],[2017-12]],Datos_Consumo[CODIGO]&amp;Datos_Consumo[FECHA_FORMATO],0)),0)</f>
        <v>1</v>
      </c>
      <c r="AY18" s="6">
        <f t="array" ref="AY18">IFERROR(INDEX(Datos_Consumo[CANTIDAD],MATCH(TABLATRANSFERENCIA[[#This Row],[CODIGO]]&amp;TABLATRANSFERENCIA[[#Headers],[2018-1]],Datos_Consumo[CODIGO]&amp;Datos_Consumo[FECHA_FORMATO],0)),0)</f>
        <v>1</v>
      </c>
      <c r="AZ18" s="6">
        <f t="array" ref="AZ18">IFERROR(INDEX(Datos_Consumo[CANTIDAD],MATCH(TABLATRANSFERENCIA[[#This Row],[CODIGO]]&amp;TABLATRANSFERENCIA[[#Headers],[2018-2]],Datos_Consumo[CODIGO]&amp;Datos_Consumo[FECHA_FORMATO],0)),0)</f>
        <v>3</v>
      </c>
      <c r="BA18" s="6">
        <f t="array" ref="BA18">IFERROR(INDEX(Datos_Consumo[CANTIDAD],MATCH(TABLATRANSFERENCIA[[#This Row],[CODIGO]]&amp;TABLATRANSFERENCIA[[#Headers],[2018-3]],Datos_Consumo[CODIGO]&amp;Datos_Consumo[FECHA_FORMATO],0)),0)</f>
        <v>30</v>
      </c>
      <c r="BB18" s="6">
        <f t="array" ref="BB18">IFERROR(INDEX(Datos_Consumo[CANTIDAD],MATCH(TABLATRANSFERENCIA[[#This Row],[CODIGO]]&amp;TABLATRANSFERENCIA[[#Headers],[2018-4]],Datos_Consumo[CODIGO]&amp;Datos_Consumo[FECHA_FORMATO],0)),0)</f>
        <v>10</v>
      </c>
      <c r="BC18" s="6">
        <f t="array" ref="BC18">IFERROR(INDEX(Datos_Consumo[CANTIDAD],MATCH(TABLATRANSFERENCIA[[#This Row],[CODIGO]]&amp;TABLATRANSFERENCIA[[#Headers],[2018-5]],Datos_Consumo[CODIGO]&amp;Datos_Consumo[FECHA_FORMATO],0)),0)</f>
        <v>6</v>
      </c>
      <c r="BD18" s="48">
        <v>45</v>
      </c>
      <c r="BE18" s="53">
        <v>45</v>
      </c>
      <c r="BF18" s="62">
        <v>43234</v>
      </c>
      <c r="BG18" s="60">
        <v>43353</v>
      </c>
      <c r="BH18" s="49"/>
      <c r="BI18" s="49"/>
      <c r="BJ18" s="49">
        <f>IF(RIGHT(TABLATRANSFERENCIA[[#Headers],[Emb1]],1)*1&lt;=TABLATRANSFERENCIA[[#This Row],[EMBARQUES]],IF(ISBLANK(TABLATRANSFERENCIA[[#This Row],[EMBARQUES]]),TABLATRANSFERENCIA[[#This Row],[REQUERIM]],ROUND(TABLATRANSFERENCIA[[#This Row],[REQUERIM]]/TABLATRANSFERENCIA[[#This Row],[EMBARQUES]],0)),TABLATRANSFERENCIA[[#This Row],[REQUERIM]])</f>
        <v>45</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IFERROR(TABLATRANSFERENCIA[[#This Row],[REQUERIM]]/TABLATRANSFERENCIA[[#This Row],[PEDIDO PROMEDIO]],0)</f>
        <v>1.6071428571428572</v>
      </c>
      <c r="BQ18" s="49"/>
      <c r="BR18" s="58"/>
      <c r="BS18" s="3">
        <f>IF(TABLATRANSFERENCIA[[#This Row],[RECIBIDO]]&lt;&gt;"",0,IF(TABLATRANSFERENCIA[[#This Row],[DESPACHO]]&lt;&gt;"",TABLATRANSFERENCIA[[#This Row],[DESPACHO]],TABLATRANSFERENCIA[[#This Row],[REQUERIM]]))</f>
        <v>45</v>
      </c>
      <c r="BT18" s="48"/>
      <c r="BU18" s="48"/>
      <c r="BV18" s="48" t="str">
        <f t="shared" si="0"/>
        <v>N</v>
      </c>
      <c r="BW18" s="49" t="s">
        <v>1388</v>
      </c>
      <c r="BX18" s="49">
        <f t="array" ref="BX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40</v>
      </c>
      <c r="CA18" s="49">
        <v>20</v>
      </c>
      <c r="CB18" s="49"/>
    </row>
    <row r="19" spans="1:80" x14ac:dyDescent="0.25">
      <c r="A19" s="52" t="s">
        <v>1414</v>
      </c>
      <c r="B19" s="3" t="s">
        <v>3793</v>
      </c>
      <c r="C19" s="3" t="s">
        <v>1382</v>
      </c>
      <c r="D19" s="3" t="s">
        <v>3792</v>
      </c>
      <c r="E19" s="3" t="s">
        <v>849</v>
      </c>
      <c r="F19" s="3">
        <v>0</v>
      </c>
      <c r="G19" s="3" t="s">
        <v>3784</v>
      </c>
      <c r="H19" s="3">
        <v>0</v>
      </c>
      <c r="I19" s="3">
        <v>0</v>
      </c>
      <c r="J19" s="3" t="s">
        <v>3771</v>
      </c>
      <c r="K19" s="3">
        <v>0</v>
      </c>
      <c r="L19" s="3" t="s">
        <v>3785</v>
      </c>
      <c r="M19" s="3">
        <v>0</v>
      </c>
      <c r="N19" s="3">
        <v>0</v>
      </c>
      <c r="O19" s="5" t="s">
        <v>1382</v>
      </c>
      <c r="P19" s="5">
        <v>23.08</v>
      </c>
      <c r="Q19" s="5">
        <v>48.21</v>
      </c>
      <c r="R19" s="44">
        <v>0</v>
      </c>
      <c r="S19" s="44">
        <v>1.41</v>
      </c>
      <c r="T19" s="44">
        <v>0</v>
      </c>
      <c r="U19" s="44">
        <v>1</v>
      </c>
      <c r="V19" s="47" t="s">
        <v>1403</v>
      </c>
      <c r="W19" s="47" t="s">
        <v>3666</v>
      </c>
      <c r="X19" s="49">
        <v>20</v>
      </c>
      <c r="Y19" s="49">
        <v>17</v>
      </c>
      <c r="Z19" s="6">
        <v>50</v>
      </c>
      <c r="AA19" s="6">
        <v>1000000000</v>
      </c>
      <c r="AB19" s="6">
        <v>38</v>
      </c>
      <c r="AC19" s="4">
        <v>0.24</v>
      </c>
      <c r="AD19" s="6" t="s">
        <v>1390</v>
      </c>
      <c r="AE19" s="6">
        <v>0</v>
      </c>
      <c r="AF19" s="6">
        <v>0</v>
      </c>
      <c r="AG19" s="6">
        <v>0</v>
      </c>
      <c r="AH19" s="6">
        <v>0</v>
      </c>
      <c r="AI19" s="6">
        <v>0</v>
      </c>
      <c r="AJ19" s="6">
        <v>0</v>
      </c>
      <c r="AK19" s="6">
        <v>38</v>
      </c>
      <c r="AL19" s="4">
        <v>0.24</v>
      </c>
      <c r="AM19" s="6" t="s">
        <v>1390</v>
      </c>
      <c r="AN19" s="6">
        <v>1</v>
      </c>
      <c r="AO19" s="6">
        <v>0</v>
      </c>
      <c r="AP19" s="6">
        <v>1</v>
      </c>
      <c r="AQ19" s="6">
        <v>23</v>
      </c>
      <c r="AR19" s="6">
        <v>18.66</v>
      </c>
      <c r="AS19" s="6">
        <v>14.18</v>
      </c>
      <c r="AT19" s="6">
        <v>0.37</v>
      </c>
      <c r="AU19" s="6">
        <v>0</v>
      </c>
      <c r="AV19" s="65">
        <v>43132</v>
      </c>
      <c r="AW19" s="65">
        <v>43195</v>
      </c>
      <c r="AX19" s="6">
        <f t="array" ref="AX19">IFERROR(INDEX(Datos_Consumo[CANTIDAD],MATCH(TABLATRANSFERENCIA[[#This Row],[CODIGO]]&amp;TABLATRANSFERENCIA[[#Headers],[2017-12]],Datos_Consumo[CODIGO]&amp;Datos_Consumo[FECHA_FORMATO],0)),0)</f>
        <v>2</v>
      </c>
      <c r="AY19" s="6">
        <f t="array" ref="AY19">IFERROR(INDEX(Datos_Consumo[CANTIDAD],MATCH(TABLATRANSFERENCIA[[#This Row],[CODIGO]]&amp;TABLATRANSFERENCIA[[#Headers],[2018-1]],Datos_Consumo[CODIGO]&amp;Datos_Consumo[FECHA_FORMATO],0)),0)</f>
        <v>1</v>
      </c>
      <c r="AZ19" s="6">
        <f t="array" ref="AZ19">IFERROR(INDEX(Datos_Consumo[CANTIDAD],MATCH(TABLATRANSFERENCIA[[#This Row],[CODIGO]]&amp;TABLATRANSFERENCIA[[#Headers],[2018-2]],Datos_Consumo[CODIGO]&amp;Datos_Consumo[FECHA_FORMATO],0)),0)</f>
        <v>2</v>
      </c>
      <c r="BA19" s="6">
        <f t="array" ref="BA19">IFERROR(INDEX(Datos_Consumo[CANTIDAD],MATCH(TABLATRANSFERENCIA[[#This Row],[CODIGO]]&amp;TABLATRANSFERENCIA[[#Headers],[2018-3]],Datos_Consumo[CODIGO]&amp;Datos_Consumo[FECHA_FORMATO],0)),0)</f>
        <v>5</v>
      </c>
      <c r="BB19" s="6">
        <f t="array" ref="BB19">IFERROR(INDEX(Datos_Consumo[CANTIDAD],MATCH(TABLATRANSFERENCIA[[#This Row],[CODIGO]]&amp;TABLATRANSFERENCIA[[#Headers],[2018-4]],Datos_Consumo[CODIGO]&amp;Datos_Consumo[FECHA_FORMATO],0)),0)</f>
        <v>2</v>
      </c>
      <c r="BC19" s="6">
        <f t="array" ref="BC19">IFERROR(INDEX(Datos_Consumo[CANTIDAD],MATCH(TABLATRANSFERENCIA[[#This Row],[CODIGO]]&amp;TABLATRANSFERENCIA[[#Headers],[2018-5]],Datos_Consumo[CODIGO]&amp;Datos_Consumo[FECHA_FORMATO],0)),0)</f>
        <v>0</v>
      </c>
      <c r="BD19" s="48">
        <v>12</v>
      </c>
      <c r="BE19" s="53">
        <v>12</v>
      </c>
      <c r="BF19" s="62">
        <v>43234</v>
      </c>
      <c r="BG19" s="60">
        <v>43353</v>
      </c>
      <c r="BH19" s="49"/>
      <c r="BI19" s="49"/>
      <c r="BJ19"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49"/>
      <c r="BP19" s="44">
        <f>IFERROR(TABLATRANSFERENCIA[[#This Row],[REQUERIM]]/TABLATRANSFERENCIA[[#This Row],[PEDIDO PROMEDIO]],0)</f>
        <v>0.52173913043478259</v>
      </c>
      <c r="BQ19" s="49"/>
      <c r="BR19" s="58"/>
      <c r="BS19" s="3">
        <f>IF(TABLATRANSFERENCIA[[#This Row],[RECIBIDO]]&lt;&gt;"",0,IF(TABLATRANSFERENCIA[[#This Row],[DESPACHO]]&lt;&gt;"",TABLATRANSFERENCIA[[#This Row],[DESPACHO]],TABLATRANSFERENCIA[[#This Row],[REQUERIM]]))</f>
        <v>12</v>
      </c>
      <c r="BT19" s="48"/>
      <c r="BU19" s="48"/>
      <c r="BV19" s="48" t="str">
        <f t="shared" si="0"/>
        <v>N</v>
      </c>
      <c r="BW19" s="49" t="s">
        <v>1388</v>
      </c>
      <c r="BX19" s="49">
        <f t="array" ref="BX1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9" s="49">
        <v>33</v>
      </c>
      <c r="CA19" s="49">
        <v>17</v>
      </c>
      <c r="CB19" s="49"/>
    </row>
    <row r="20" spans="1:80" x14ac:dyDescent="0.25">
      <c r="A20" s="52" t="s">
        <v>1415</v>
      </c>
      <c r="B20" s="3" t="s">
        <v>3799</v>
      </c>
      <c r="C20" s="3" t="s">
        <v>1382</v>
      </c>
      <c r="D20" s="3" t="s">
        <v>3798</v>
      </c>
      <c r="E20" s="3" t="s">
        <v>849</v>
      </c>
      <c r="F20" s="3">
        <v>0</v>
      </c>
      <c r="G20" s="3" t="s">
        <v>3784</v>
      </c>
      <c r="H20" s="3">
        <v>0</v>
      </c>
      <c r="I20" s="3">
        <v>0</v>
      </c>
      <c r="J20" s="3" t="s">
        <v>3771</v>
      </c>
      <c r="K20" s="3">
        <v>0</v>
      </c>
      <c r="L20" s="3" t="s">
        <v>3785</v>
      </c>
      <c r="M20" s="3">
        <v>0</v>
      </c>
      <c r="N20" s="3">
        <v>0</v>
      </c>
      <c r="O20" s="5" t="s">
        <v>1382</v>
      </c>
      <c r="P20" s="5">
        <v>26.27</v>
      </c>
      <c r="Q20" s="5">
        <v>60</v>
      </c>
      <c r="R20" s="44">
        <v>0</v>
      </c>
      <c r="S20" s="44">
        <v>1.67</v>
      </c>
      <c r="T20" s="44">
        <v>0</v>
      </c>
      <c r="U20" s="44">
        <v>1</v>
      </c>
      <c r="V20" s="47" t="s">
        <v>1403</v>
      </c>
      <c r="W20" s="47" t="s">
        <v>3666</v>
      </c>
      <c r="X20" s="49">
        <v>20</v>
      </c>
      <c r="Y20" s="49">
        <v>17</v>
      </c>
      <c r="Z20" s="6">
        <v>8</v>
      </c>
      <c r="AA20" s="6">
        <v>1000000000</v>
      </c>
      <c r="AB20" s="6">
        <v>4</v>
      </c>
      <c r="AC20" s="4">
        <v>0.5</v>
      </c>
      <c r="AD20" s="6" t="s">
        <v>1401</v>
      </c>
      <c r="AE20" s="6">
        <v>0</v>
      </c>
      <c r="AF20" s="6">
        <v>0</v>
      </c>
      <c r="AG20" s="6">
        <v>0</v>
      </c>
      <c r="AH20" s="6">
        <v>0</v>
      </c>
      <c r="AI20" s="6">
        <v>0</v>
      </c>
      <c r="AJ20" s="6">
        <v>0</v>
      </c>
      <c r="AK20" s="6">
        <v>4</v>
      </c>
      <c r="AL20" s="4">
        <v>0.5</v>
      </c>
      <c r="AM20" s="6" t="s">
        <v>1401</v>
      </c>
      <c r="AN20" s="6">
        <v>1</v>
      </c>
      <c r="AO20" s="6">
        <v>0</v>
      </c>
      <c r="AP20" s="6">
        <v>1</v>
      </c>
      <c r="AQ20" s="6">
        <v>4</v>
      </c>
      <c r="AR20" s="6">
        <v>6.06</v>
      </c>
      <c r="AS20" s="6">
        <v>3.03</v>
      </c>
      <c r="AT20" s="6">
        <v>0.76</v>
      </c>
      <c r="AU20" s="6">
        <v>0</v>
      </c>
      <c r="AV20" s="65">
        <v>43007</v>
      </c>
      <c r="AW20" s="65">
        <v>43122</v>
      </c>
      <c r="AX20" s="6">
        <f t="array" ref="AX20">IFERROR(INDEX(Datos_Consumo[CANTIDAD],MATCH(TABLATRANSFERENCIA[[#This Row],[CODIGO]]&amp;TABLATRANSFERENCIA[[#Headers],[2017-12]],Datos_Consumo[CODIGO]&amp;Datos_Consumo[FECHA_FORMATO],0)),0)</f>
        <v>0</v>
      </c>
      <c r="AY20" s="6">
        <f t="array" ref="AY20">IFERROR(INDEX(Datos_Consumo[CANTIDAD],MATCH(TABLATRANSFERENCIA[[#This Row],[CODIGO]]&amp;TABLATRANSFERENCIA[[#Headers],[2018-1]],Datos_Consumo[CODIGO]&amp;Datos_Consumo[FECHA_FORMATO],0)),0)</f>
        <v>2</v>
      </c>
      <c r="AZ20" s="6">
        <f t="array" ref="AZ20">IFERROR(INDEX(Datos_Consumo[CANTIDAD],MATCH(TABLATRANSFERENCIA[[#This Row],[CODIGO]]&amp;TABLATRANSFERENCIA[[#Headers],[2018-2]],Datos_Consumo[CODIGO]&amp;Datos_Consumo[FECHA_FORMATO],0)),0)</f>
        <v>3</v>
      </c>
      <c r="BA20" s="6">
        <f t="array" ref="BA20">IFERROR(INDEX(Datos_Consumo[CANTIDAD],MATCH(TABLATRANSFERENCIA[[#This Row],[CODIGO]]&amp;TABLATRANSFERENCIA[[#Headers],[2018-3]],Datos_Consumo[CODIGO]&amp;Datos_Consumo[FECHA_FORMATO],0)),0)</f>
        <v>0</v>
      </c>
      <c r="BB20" s="6">
        <f t="array" ref="BB20">IFERROR(INDEX(Datos_Consumo[CANTIDAD],MATCH(TABLATRANSFERENCIA[[#This Row],[CODIGO]]&amp;TABLATRANSFERENCIA[[#Headers],[2018-4]],Datos_Consumo[CODIGO]&amp;Datos_Consumo[FECHA_FORMATO],0)),0)</f>
        <v>0</v>
      </c>
      <c r="BC20" s="6">
        <f t="array" ref="BC20">IFERROR(INDEX(Datos_Consumo[CANTIDAD],MATCH(TABLATRANSFERENCIA[[#This Row],[CODIGO]]&amp;TABLATRANSFERENCIA[[#Headers],[2018-5]],Datos_Consumo[CODIGO]&amp;Datos_Consumo[FECHA_FORMATO],0)),0)</f>
        <v>0</v>
      </c>
      <c r="BD20" s="48">
        <v>4</v>
      </c>
      <c r="BE20" s="53">
        <v>4</v>
      </c>
      <c r="BF20" s="62">
        <v>43234</v>
      </c>
      <c r="BG20" s="60">
        <v>43353</v>
      </c>
      <c r="BH20" s="49"/>
      <c r="BI20" s="49"/>
      <c r="BJ20"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49"/>
      <c r="BP20" s="44">
        <f>IFERROR(TABLATRANSFERENCIA[[#This Row],[REQUERIM]]/TABLATRANSFERENCIA[[#This Row],[PEDIDO PROMEDIO]],0)</f>
        <v>1</v>
      </c>
      <c r="BQ20" s="49"/>
      <c r="BR20" s="58"/>
      <c r="BS20" s="3">
        <f>IF(TABLATRANSFERENCIA[[#This Row],[RECIBIDO]]&lt;&gt;"",0,IF(TABLATRANSFERENCIA[[#This Row],[DESPACHO]]&lt;&gt;"",TABLATRANSFERENCIA[[#This Row],[DESPACHO]],TABLATRANSFERENCIA[[#This Row],[REQUERIM]]))</f>
        <v>4</v>
      </c>
      <c r="BT20" s="48"/>
      <c r="BU20" s="48"/>
      <c r="BV20" s="48" t="str">
        <f t="shared" si="0"/>
        <v>N</v>
      </c>
      <c r="BW20" s="49" t="s">
        <v>1388</v>
      </c>
      <c r="BX20" s="49">
        <f t="array" ref="BX2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0" s="49">
        <v>5</v>
      </c>
      <c r="CA20" s="49">
        <v>3</v>
      </c>
      <c r="CB20" s="49"/>
    </row>
    <row r="21" spans="1:80" x14ac:dyDescent="0.25">
      <c r="A21" s="52" t="s">
        <v>1416</v>
      </c>
      <c r="B21" s="3" t="s">
        <v>3802</v>
      </c>
      <c r="C21" s="3" t="s">
        <v>1382</v>
      </c>
      <c r="D21" s="3" t="s">
        <v>3801</v>
      </c>
      <c r="E21" s="3" t="s">
        <v>849</v>
      </c>
      <c r="F21" s="3">
        <v>0</v>
      </c>
      <c r="G21" s="3" t="s">
        <v>3784</v>
      </c>
      <c r="H21" s="3">
        <v>0</v>
      </c>
      <c r="I21" s="3">
        <v>0</v>
      </c>
      <c r="J21" s="3" t="s">
        <v>3771</v>
      </c>
      <c r="K21" s="3">
        <v>0</v>
      </c>
      <c r="L21" s="3" t="s">
        <v>3785</v>
      </c>
      <c r="M21" s="3">
        <v>0</v>
      </c>
      <c r="N21" s="3">
        <v>0</v>
      </c>
      <c r="O21" s="5" t="s">
        <v>1382</v>
      </c>
      <c r="P21" s="5">
        <v>4.93</v>
      </c>
      <c r="Q21" s="5">
        <v>10.82</v>
      </c>
      <c r="R21" s="44">
        <v>0</v>
      </c>
      <c r="S21" s="44">
        <v>1.55</v>
      </c>
      <c r="T21" s="44">
        <v>0</v>
      </c>
      <c r="U21" s="44">
        <v>0</v>
      </c>
      <c r="V21" s="47" t="s">
        <v>1403</v>
      </c>
      <c r="W21" s="47" t="s">
        <v>3666</v>
      </c>
      <c r="X21" s="49">
        <v>20</v>
      </c>
      <c r="Y21" s="49">
        <v>17</v>
      </c>
      <c r="Z21" s="6">
        <v>35</v>
      </c>
      <c r="AA21" s="6">
        <v>1000000000</v>
      </c>
      <c r="AB21" s="6">
        <v>32</v>
      </c>
      <c r="AC21" s="4">
        <v>0.09</v>
      </c>
      <c r="AD21" s="6" t="s">
        <v>1390</v>
      </c>
      <c r="AE21" s="6">
        <v>0</v>
      </c>
      <c r="AF21" s="6">
        <v>0</v>
      </c>
      <c r="AG21" s="6">
        <v>0</v>
      </c>
      <c r="AH21" s="6">
        <v>0</v>
      </c>
      <c r="AI21" s="6">
        <v>0</v>
      </c>
      <c r="AJ21" s="6">
        <v>0</v>
      </c>
      <c r="AK21" s="6">
        <v>32</v>
      </c>
      <c r="AL21" s="4">
        <v>0.09</v>
      </c>
      <c r="AM21" s="6" t="s">
        <v>1390</v>
      </c>
      <c r="AN21" s="6">
        <v>1</v>
      </c>
      <c r="AO21" s="6">
        <v>0</v>
      </c>
      <c r="AP21" s="6">
        <v>1</v>
      </c>
      <c r="AQ21" s="6">
        <v>16</v>
      </c>
      <c r="AR21" s="6">
        <v>17.5</v>
      </c>
      <c r="AS21" s="6">
        <v>16</v>
      </c>
      <c r="AT21" s="6">
        <v>0.5</v>
      </c>
      <c r="AU21" s="6">
        <v>0</v>
      </c>
      <c r="AV21" s="65">
        <v>0</v>
      </c>
      <c r="AW21" s="65">
        <v>0</v>
      </c>
      <c r="AX21" s="6">
        <f t="array" ref="AX21">IFERROR(INDEX(Datos_Consumo[CANTIDAD],MATCH(TABLATRANSFERENCIA[[#This Row],[CODIGO]]&amp;TABLATRANSFERENCIA[[#Headers],[2017-12]],Datos_Consumo[CODIGO]&amp;Datos_Consumo[FECHA_FORMATO],0)),0)</f>
        <v>5</v>
      </c>
      <c r="AY21" s="6">
        <f t="array" ref="AY21">IFERROR(INDEX(Datos_Consumo[CANTIDAD],MATCH(TABLATRANSFERENCIA[[#This Row],[CODIGO]]&amp;TABLATRANSFERENCIA[[#Headers],[2018-1]],Datos_Consumo[CODIGO]&amp;Datos_Consumo[FECHA_FORMATO],0)),0)</f>
        <v>2</v>
      </c>
      <c r="AZ21" s="6">
        <f t="array" ref="AZ21">IFERROR(INDEX(Datos_Consumo[CANTIDAD],MATCH(TABLATRANSFERENCIA[[#This Row],[CODIGO]]&amp;TABLATRANSFERENCIA[[#Headers],[2018-2]],Datos_Consumo[CODIGO]&amp;Datos_Consumo[FECHA_FORMATO],0)),0)</f>
        <v>3</v>
      </c>
      <c r="BA21" s="6">
        <f t="array" ref="BA21">IFERROR(INDEX(Datos_Consumo[CANTIDAD],MATCH(TABLATRANSFERENCIA[[#This Row],[CODIGO]]&amp;TABLATRANSFERENCIA[[#Headers],[2018-3]],Datos_Consumo[CODIGO]&amp;Datos_Consumo[FECHA_FORMATO],0)),0)</f>
        <v>2</v>
      </c>
      <c r="BB21" s="6">
        <f t="array" ref="BB21">IFERROR(INDEX(Datos_Consumo[CANTIDAD],MATCH(TABLATRANSFERENCIA[[#This Row],[CODIGO]]&amp;TABLATRANSFERENCIA[[#Headers],[2018-4]],Datos_Consumo[CODIGO]&amp;Datos_Consumo[FECHA_FORMATO],0)),0)</f>
        <v>0</v>
      </c>
      <c r="BC21" s="6">
        <f t="array" ref="BC21">IFERROR(INDEX(Datos_Consumo[CANTIDAD],MATCH(TABLATRANSFERENCIA[[#This Row],[CODIGO]]&amp;TABLATRANSFERENCIA[[#Headers],[2018-5]],Datos_Consumo[CODIGO]&amp;Datos_Consumo[FECHA_FORMATO],0)),0)</f>
        <v>1</v>
      </c>
      <c r="BD21" s="48">
        <v>3</v>
      </c>
      <c r="BE21" s="53">
        <v>3</v>
      </c>
      <c r="BF21" s="62">
        <v>43234</v>
      </c>
      <c r="BG21" s="60">
        <v>43353</v>
      </c>
      <c r="BH21" s="49"/>
      <c r="BI21" s="49"/>
      <c r="BJ21"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49"/>
      <c r="BP21" s="44">
        <f>IFERROR(TABLATRANSFERENCIA[[#This Row],[REQUERIM]]/TABLATRANSFERENCIA[[#This Row],[PEDIDO PROMEDIO]],0)</f>
        <v>0.1875</v>
      </c>
      <c r="BQ21" s="49"/>
      <c r="BR21" s="58"/>
      <c r="BS21" s="3">
        <f>IF(TABLATRANSFERENCIA[[#This Row],[RECIBIDO]]&lt;&gt;"",0,IF(TABLATRANSFERENCIA[[#This Row],[DESPACHO]]&lt;&gt;"",TABLATRANSFERENCIA[[#This Row],[DESPACHO]],TABLATRANSFERENCIA[[#This Row],[REQUERIM]]))</f>
        <v>3</v>
      </c>
      <c r="BT21" s="48"/>
      <c r="BU21" s="48"/>
      <c r="BV21" s="48" t="str">
        <f t="shared" si="0"/>
        <v>N</v>
      </c>
      <c r="BW21" s="49" t="s">
        <v>1388</v>
      </c>
      <c r="BX21" s="49">
        <f t="array" ref="BX2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1" s="49">
        <v>23</v>
      </c>
      <c r="CA21" s="49">
        <v>12</v>
      </c>
      <c r="CB21" s="49"/>
    </row>
    <row r="22" spans="1:80" x14ac:dyDescent="0.25">
      <c r="A22" s="52" t="s">
        <v>1417</v>
      </c>
      <c r="B22" s="3" t="s">
        <v>3804</v>
      </c>
      <c r="C22" s="3" t="s">
        <v>1382</v>
      </c>
      <c r="D22" s="3" t="s">
        <v>3803</v>
      </c>
      <c r="E22" s="3" t="s">
        <v>849</v>
      </c>
      <c r="F22" s="3">
        <v>0</v>
      </c>
      <c r="G22" s="3" t="s">
        <v>3784</v>
      </c>
      <c r="H22" s="3">
        <v>0</v>
      </c>
      <c r="I22" s="3">
        <v>0</v>
      </c>
      <c r="J22" s="3" t="s">
        <v>3771</v>
      </c>
      <c r="K22" s="3">
        <v>0</v>
      </c>
      <c r="L22" s="3" t="s">
        <v>3785</v>
      </c>
      <c r="M22" s="3">
        <v>0</v>
      </c>
      <c r="N22" s="3">
        <v>0</v>
      </c>
      <c r="O22" s="5" t="s">
        <v>1382</v>
      </c>
      <c r="P22" s="5">
        <v>4.17</v>
      </c>
      <c r="Q22" s="5">
        <v>8.25</v>
      </c>
      <c r="R22" s="44">
        <v>0</v>
      </c>
      <c r="S22" s="44">
        <v>1.27</v>
      </c>
      <c r="T22" s="44">
        <v>0</v>
      </c>
      <c r="U22" s="44">
        <v>1</v>
      </c>
      <c r="V22" s="47" t="s">
        <v>1403</v>
      </c>
      <c r="W22" s="47" t="s">
        <v>3666</v>
      </c>
      <c r="X22" s="49">
        <v>20</v>
      </c>
      <c r="Y22" s="49">
        <v>17</v>
      </c>
      <c r="Z22" s="6">
        <v>35</v>
      </c>
      <c r="AA22" s="6">
        <v>1000000000</v>
      </c>
      <c r="AB22" s="6">
        <v>11</v>
      </c>
      <c r="AC22" s="4">
        <v>0.69</v>
      </c>
      <c r="AD22" s="6" t="s">
        <v>1394</v>
      </c>
      <c r="AE22" s="6">
        <v>0</v>
      </c>
      <c r="AF22" s="6">
        <v>0</v>
      </c>
      <c r="AG22" s="6">
        <v>0</v>
      </c>
      <c r="AH22" s="6">
        <v>0</v>
      </c>
      <c r="AI22" s="6">
        <v>0</v>
      </c>
      <c r="AJ22" s="6">
        <v>0</v>
      </c>
      <c r="AK22" s="6">
        <v>11</v>
      </c>
      <c r="AL22" s="4">
        <v>0.69</v>
      </c>
      <c r="AM22" s="6" t="s">
        <v>1394</v>
      </c>
      <c r="AN22" s="6">
        <v>1</v>
      </c>
      <c r="AO22" s="6">
        <v>0</v>
      </c>
      <c r="AP22" s="6">
        <v>1</v>
      </c>
      <c r="AQ22" s="6">
        <v>16</v>
      </c>
      <c r="AR22" s="6">
        <v>11.08</v>
      </c>
      <c r="AS22" s="6">
        <v>3.48</v>
      </c>
      <c r="AT22" s="6">
        <v>0.32</v>
      </c>
      <c r="AU22" s="6">
        <v>0</v>
      </c>
      <c r="AV22" s="65">
        <v>43132</v>
      </c>
      <c r="AW22" s="65">
        <v>43195</v>
      </c>
      <c r="AX22" s="6">
        <f t="array" ref="AX22">IFERROR(INDEX(Datos_Consumo[CANTIDAD],MATCH(TABLATRANSFERENCIA[[#This Row],[CODIGO]]&amp;TABLATRANSFERENCIA[[#Headers],[2017-12]],Datos_Consumo[CODIGO]&amp;Datos_Consumo[FECHA_FORMATO],0)),0)</f>
        <v>2</v>
      </c>
      <c r="AY22" s="6">
        <f t="array" ref="AY22">IFERROR(INDEX(Datos_Consumo[CANTIDAD],MATCH(TABLATRANSFERENCIA[[#This Row],[CODIGO]]&amp;TABLATRANSFERENCIA[[#Headers],[2018-1]],Datos_Consumo[CODIGO]&amp;Datos_Consumo[FECHA_FORMATO],0)),0)</f>
        <v>0</v>
      </c>
      <c r="AZ22" s="6">
        <f t="array" ref="AZ22">IFERROR(INDEX(Datos_Consumo[CANTIDAD],MATCH(TABLATRANSFERENCIA[[#This Row],[CODIGO]]&amp;TABLATRANSFERENCIA[[#Headers],[2018-2]],Datos_Consumo[CODIGO]&amp;Datos_Consumo[FECHA_FORMATO],0)),0)</f>
        <v>12</v>
      </c>
      <c r="BA22" s="6">
        <f t="array" ref="BA22">IFERROR(INDEX(Datos_Consumo[CANTIDAD],MATCH(TABLATRANSFERENCIA[[#This Row],[CODIGO]]&amp;TABLATRANSFERENCIA[[#Headers],[2018-3]],Datos_Consumo[CODIGO]&amp;Datos_Consumo[FECHA_FORMATO],0)),0)</f>
        <v>5</v>
      </c>
      <c r="BB22" s="6">
        <f t="array" ref="BB22">IFERROR(INDEX(Datos_Consumo[CANTIDAD],MATCH(TABLATRANSFERENCIA[[#This Row],[CODIGO]]&amp;TABLATRANSFERENCIA[[#Headers],[2018-4]],Datos_Consumo[CODIGO]&amp;Datos_Consumo[FECHA_FORMATO],0)),0)</f>
        <v>0</v>
      </c>
      <c r="BC22" s="6">
        <f t="array" ref="BC22">IFERROR(INDEX(Datos_Consumo[CANTIDAD],MATCH(TABLATRANSFERENCIA[[#This Row],[CODIGO]]&amp;TABLATRANSFERENCIA[[#Headers],[2018-5]],Datos_Consumo[CODIGO]&amp;Datos_Consumo[FECHA_FORMATO],0)),0)</f>
        <v>0</v>
      </c>
      <c r="BD22" s="48">
        <v>24</v>
      </c>
      <c r="BE22" s="53">
        <v>24</v>
      </c>
      <c r="BF22" s="62">
        <v>43234</v>
      </c>
      <c r="BG22" s="60">
        <v>43353</v>
      </c>
      <c r="BH22" s="49"/>
      <c r="BI22" s="49"/>
      <c r="BJ22" s="49">
        <f>IF(RIGHT(TABLATRANSFERENCIA[[#Headers],[Emb1]],1)*1&lt;=TABLATRANSFERENCIA[[#This Row],[EMBARQUES]],IF(ISBLANK(TABLATRANSFERENCIA[[#This Row],[EMBARQUES]]),TABLATRANSFERENCIA[[#This Row],[REQUERIM]],ROUND(TABLATRANSFERENCIA[[#This Row],[REQUERIM]]/TABLATRANSFERENCIA[[#This Row],[EMBARQUES]],0)),TABLATRANSFERENCIA[[#This Row],[REQUERIM]])</f>
        <v>24</v>
      </c>
      <c r="BK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49"/>
      <c r="BP22" s="44">
        <f>IFERROR(TABLATRANSFERENCIA[[#This Row],[REQUERIM]]/TABLATRANSFERENCIA[[#This Row],[PEDIDO PROMEDIO]],0)</f>
        <v>1.5</v>
      </c>
      <c r="BQ22" s="49"/>
      <c r="BR22" s="58"/>
      <c r="BS22" s="3">
        <f>IF(TABLATRANSFERENCIA[[#This Row],[RECIBIDO]]&lt;&gt;"",0,IF(TABLATRANSFERENCIA[[#This Row],[DESPACHO]]&lt;&gt;"",TABLATRANSFERENCIA[[#This Row],[DESPACHO]],TABLATRANSFERENCIA[[#This Row],[REQUERIM]]))</f>
        <v>24</v>
      </c>
      <c r="BT22" s="48"/>
      <c r="BU22" s="48"/>
      <c r="BV22" s="48" t="str">
        <f t="shared" si="0"/>
        <v>N</v>
      </c>
      <c r="BW22" s="49" t="s">
        <v>1388</v>
      </c>
      <c r="BX22" s="49">
        <f t="array" ref="BX2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2" s="49">
        <v>23</v>
      </c>
      <c r="CA22" s="49">
        <v>12</v>
      </c>
      <c r="CB22" s="49"/>
    </row>
    <row r="23" spans="1:80" x14ac:dyDescent="0.25">
      <c r="A23" s="52" t="s">
        <v>1418</v>
      </c>
      <c r="B23" s="3" t="s">
        <v>3806</v>
      </c>
      <c r="C23" s="3" t="s">
        <v>1382</v>
      </c>
      <c r="D23" s="3" t="s">
        <v>3805</v>
      </c>
      <c r="E23" s="3" t="s">
        <v>849</v>
      </c>
      <c r="F23" s="3">
        <v>0</v>
      </c>
      <c r="G23" s="3" t="s">
        <v>3784</v>
      </c>
      <c r="H23" s="3">
        <v>0</v>
      </c>
      <c r="I23" s="3">
        <v>0</v>
      </c>
      <c r="J23" s="3" t="s">
        <v>3771</v>
      </c>
      <c r="K23" s="3">
        <v>0</v>
      </c>
      <c r="L23" s="3" t="s">
        <v>3785</v>
      </c>
      <c r="M23" s="3">
        <v>0</v>
      </c>
      <c r="N23" s="3">
        <v>0</v>
      </c>
      <c r="O23" s="5" t="s">
        <v>1382</v>
      </c>
      <c r="P23" s="5">
        <v>6.2</v>
      </c>
      <c r="Q23" s="5">
        <v>12.86</v>
      </c>
      <c r="R23" s="44">
        <v>0</v>
      </c>
      <c r="S23" s="44">
        <v>1.39</v>
      </c>
      <c r="T23" s="44">
        <v>0</v>
      </c>
      <c r="U23" s="44">
        <v>1</v>
      </c>
      <c r="V23" s="47" t="s">
        <v>1403</v>
      </c>
      <c r="W23" s="47" t="s">
        <v>3666</v>
      </c>
      <c r="X23" s="49">
        <v>20</v>
      </c>
      <c r="Y23" s="49">
        <v>17</v>
      </c>
      <c r="Z23" s="6">
        <v>300</v>
      </c>
      <c r="AA23" s="6">
        <v>1000000000</v>
      </c>
      <c r="AB23" s="6">
        <v>183</v>
      </c>
      <c r="AC23" s="4">
        <v>0.39</v>
      </c>
      <c r="AD23" s="6" t="s">
        <v>1401</v>
      </c>
      <c r="AE23" s="6">
        <v>0</v>
      </c>
      <c r="AF23" s="6">
        <v>0</v>
      </c>
      <c r="AG23" s="6">
        <v>0</v>
      </c>
      <c r="AH23" s="6">
        <v>0</v>
      </c>
      <c r="AI23" s="6">
        <v>0</v>
      </c>
      <c r="AJ23" s="6">
        <v>0</v>
      </c>
      <c r="AK23" s="6">
        <v>183</v>
      </c>
      <c r="AL23" s="4">
        <v>0.39</v>
      </c>
      <c r="AM23" s="6" t="s">
        <v>1401</v>
      </c>
      <c r="AN23" s="6">
        <v>1</v>
      </c>
      <c r="AO23" s="6">
        <v>0</v>
      </c>
      <c r="AP23" s="6">
        <v>1</v>
      </c>
      <c r="AQ23" s="6">
        <v>138</v>
      </c>
      <c r="AR23" s="6">
        <v>11.24</v>
      </c>
      <c r="AS23" s="6">
        <v>6.86</v>
      </c>
      <c r="AT23" s="6">
        <v>0.04</v>
      </c>
      <c r="AU23" s="6">
        <v>0</v>
      </c>
      <c r="AV23" s="65">
        <v>43132</v>
      </c>
      <c r="AW23" s="65">
        <v>43195</v>
      </c>
      <c r="AX23" s="6">
        <f t="array" ref="AX23">IFERROR(INDEX(Datos_Consumo[CANTIDAD],MATCH(TABLATRANSFERENCIA[[#This Row],[CODIGO]]&amp;TABLATRANSFERENCIA[[#Headers],[2017-12]],Datos_Consumo[CODIGO]&amp;Datos_Consumo[FECHA_FORMATO],0)),0)</f>
        <v>6</v>
      </c>
      <c r="AY23" s="6">
        <f t="array" ref="AY23">IFERROR(INDEX(Datos_Consumo[CANTIDAD],MATCH(TABLATRANSFERENCIA[[#This Row],[CODIGO]]&amp;TABLATRANSFERENCIA[[#Headers],[2018-1]],Datos_Consumo[CODIGO]&amp;Datos_Consumo[FECHA_FORMATO],0)),0)</f>
        <v>73</v>
      </c>
      <c r="AZ23" s="6">
        <f t="array" ref="AZ23">IFERROR(INDEX(Datos_Consumo[CANTIDAD],MATCH(TABLATRANSFERENCIA[[#This Row],[CODIGO]]&amp;TABLATRANSFERENCIA[[#Headers],[2018-2]],Datos_Consumo[CODIGO]&amp;Datos_Consumo[FECHA_FORMATO],0)),0)</f>
        <v>15</v>
      </c>
      <c r="BA23" s="6">
        <f t="array" ref="BA23">IFERROR(INDEX(Datos_Consumo[CANTIDAD],MATCH(TABLATRANSFERENCIA[[#This Row],[CODIGO]]&amp;TABLATRANSFERENCIA[[#Headers],[2018-3]],Datos_Consumo[CODIGO]&amp;Datos_Consumo[FECHA_FORMATO],0)),0)</f>
        <v>0</v>
      </c>
      <c r="BB23" s="6">
        <f t="array" ref="BB23">IFERROR(INDEX(Datos_Consumo[CANTIDAD],MATCH(TABLATRANSFERENCIA[[#This Row],[CODIGO]]&amp;TABLATRANSFERENCIA[[#Headers],[2018-4]],Datos_Consumo[CODIGO]&amp;Datos_Consumo[FECHA_FORMATO],0)),0)</f>
        <v>17</v>
      </c>
      <c r="BC23" s="6">
        <f t="array" ref="BC23">IFERROR(INDEX(Datos_Consumo[CANTIDAD],MATCH(TABLATRANSFERENCIA[[#This Row],[CODIGO]]&amp;TABLATRANSFERENCIA[[#Headers],[2018-5]],Datos_Consumo[CODIGO]&amp;Datos_Consumo[FECHA_FORMATO],0)),0)</f>
        <v>6</v>
      </c>
      <c r="BD23" s="48">
        <v>117</v>
      </c>
      <c r="BE23" s="53">
        <v>117</v>
      </c>
      <c r="BF23" s="62">
        <v>43234</v>
      </c>
      <c r="BG23" s="60">
        <v>43353</v>
      </c>
      <c r="BH23" s="49"/>
      <c r="BI23" s="49"/>
      <c r="BJ23" s="49">
        <f>IF(RIGHT(TABLATRANSFERENCIA[[#Headers],[Emb1]],1)*1&lt;=TABLATRANSFERENCIA[[#This Row],[EMBARQUES]],IF(ISBLANK(TABLATRANSFERENCIA[[#This Row],[EMBARQUES]]),TABLATRANSFERENCIA[[#This Row],[REQUERIM]],ROUND(TABLATRANSFERENCIA[[#This Row],[REQUERIM]]/TABLATRANSFERENCIA[[#This Row],[EMBARQUES]],0)),TABLATRANSFERENCIA[[#This Row],[REQUERIM]])</f>
        <v>117</v>
      </c>
      <c r="BK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3" s="49"/>
      <c r="BP23" s="44">
        <f>IFERROR(TABLATRANSFERENCIA[[#This Row],[REQUERIM]]/TABLATRANSFERENCIA[[#This Row],[PEDIDO PROMEDIO]],0)</f>
        <v>0.84782608695652173</v>
      </c>
      <c r="BQ23" s="49"/>
      <c r="BR23" s="58"/>
      <c r="BS23" s="3">
        <f>IF(TABLATRANSFERENCIA[[#This Row],[RECIBIDO]]&lt;&gt;"",0,IF(TABLATRANSFERENCIA[[#This Row],[DESPACHO]]&lt;&gt;"",TABLATRANSFERENCIA[[#This Row],[DESPACHO]],TABLATRANSFERENCIA[[#This Row],[REQUERIM]]))</f>
        <v>117</v>
      </c>
      <c r="BT23" s="48"/>
      <c r="BU23" s="48"/>
      <c r="BV23" s="48" t="str">
        <f t="shared" si="0"/>
        <v>N</v>
      </c>
      <c r="BW23" s="49" t="s">
        <v>1388</v>
      </c>
      <c r="BX23" s="49">
        <f t="array" ref="BX2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3" s="49">
        <v>200</v>
      </c>
      <c r="CA23" s="49">
        <v>99</v>
      </c>
      <c r="CB23" s="49"/>
    </row>
    <row r="24" spans="1:80" x14ac:dyDescent="0.25">
      <c r="A24" s="52" t="s">
        <v>1419</v>
      </c>
      <c r="B24" s="3" t="s">
        <v>3811</v>
      </c>
      <c r="C24" s="3" t="s">
        <v>1382</v>
      </c>
      <c r="D24" s="3" t="s">
        <v>3810</v>
      </c>
      <c r="E24" s="3" t="s">
        <v>849</v>
      </c>
      <c r="F24" s="3">
        <v>0</v>
      </c>
      <c r="G24" s="3" t="s">
        <v>3784</v>
      </c>
      <c r="H24" s="3">
        <v>0</v>
      </c>
      <c r="I24" s="3">
        <v>0</v>
      </c>
      <c r="J24" s="3" t="s">
        <v>3771</v>
      </c>
      <c r="K24" s="3">
        <v>0</v>
      </c>
      <c r="L24" s="3" t="s">
        <v>3785</v>
      </c>
      <c r="M24" s="3">
        <v>0</v>
      </c>
      <c r="N24" s="3">
        <v>0</v>
      </c>
      <c r="O24" s="5" t="s">
        <v>1382</v>
      </c>
      <c r="P24" s="5">
        <v>3</v>
      </c>
      <c r="Q24" s="5">
        <v>6.64</v>
      </c>
      <c r="R24" s="44">
        <v>0</v>
      </c>
      <c r="S24" s="44">
        <v>1.57</v>
      </c>
      <c r="T24" s="44">
        <v>0</v>
      </c>
      <c r="U24" s="44">
        <v>0.86</v>
      </c>
      <c r="V24" s="47" t="s">
        <v>1403</v>
      </c>
      <c r="W24" s="47" t="s">
        <v>3666</v>
      </c>
      <c r="X24" s="49">
        <v>20</v>
      </c>
      <c r="Y24" s="49">
        <v>17</v>
      </c>
      <c r="Z24" s="6">
        <v>30</v>
      </c>
      <c r="AA24" s="6">
        <v>1000000000</v>
      </c>
      <c r="AB24" s="6">
        <v>11</v>
      </c>
      <c r="AC24" s="4">
        <v>0.63</v>
      </c>
      <c r="AD24" s="6" t="s">
        <v>1401</v>
      </c>
      <c r="AE24" s="6">
        <v>6</v>
      </c>
      <c r="AF24" s="6">
        <v>0</v>
      </c>
      <c r="AG24" s="6">
        <v>0</v>
      </c>
      <c r="AH24" s="6">
        <v>0</v>
      </c>
      <c r="AI24" s="6">
        <v>0</v>
      </c>
      <c r="AJ24" s="6">
        <v>0</v>
      </c>
      <c r="AK24" s="6">
        <v>17</v>
      </c>
      <c r="AL24" s="4">
        <v>0.43</v>
      </c>
      <c r="AM24" s="6" t="s">
        <v>1401</v>
      </c>
      <c r="AN24" s="6">
        <v>1</v>
      </c>
      <c r="AO24" s="6">
        <v>0</v>
      </c>
      <c r="AP24" s="6">
        <v>1</v>
      </c>
      <c r="AQ24" s="6">
        <v>14</v>
      </c>
      <c r="AR24" s="6">
        <v>11.19</v>
      </c>
      <c r="AS24" s="6">
        <v>6.34</v>
      </c>
      <c r="AT24" s="6">
        <v>0.37</v>
      </c>
      <c r="AU24" s="6">
        <v>0</v>
      </c>
      <c r="AV24" s="65">
        <v>43195</v>
      </c>
      <c r="AW24" s="65">
        <v>43122</v>
      </c>
      <c r="AX24" s="6">
        <f t="array" ref="AX24">IFERROR(INDEX(Datos_Consumo[CANTIDAD],MATCH(TABLATRANSFERENCIA[[#This Row],[CODIGO]]&amp;TABLATRANSFERENCIA[[#Headers],[2017-12]],Datos_Consumo[CODIGO]&amp;Datos_Consumo[FECHA_FORMATO],0)),0)</f>
        <v>0</v>
      </c>
      <c r="AY24" s="6">
        <f t="array" ref="AY24">IFERROR(INDEX(Datos_Consumo[CANTIDAD],MATCH(TABLATRANSFERENCIA[[#This Row],[CODIGO]]&amp;TABLATRANSFERENCIA[[#Headers],[2018-1]],Datos_Consumo[CODIGO]&amp;Datos_Consumo[FECHA_FORMATO],0)),0)</f>
        <v>2</v>
      </c>
      <c r="AZ24" s="6">
        <f t="array" ref="AZ24">IFERROR(INDEX(Datos_Consumo[CANTIDAD],MATCH(TABLATRANSFERENCIA[[#This Row],[CODIGO]]&amp;TABLATRANSFERENCIA[[#Headers],[2018-2]],Datos_Consumo[CODIGO]&amp;Datos_Consumo[FECHA_FORMATO],0)),0)</f>
        <v>8</v>
      </c>
      <c r="BA24" s="6">
        <f t="array" ref="BA24">IFERROR(INDEX(Datos_Consumo[CANTIDAD],MATCH(TABLATRANSFERENCIA[[#This Row],[CODIGO]]&amp;TABLATRANSFERENCIA[[#Headers],[2018-3]],Datos_Consumo[CODIGO]&amp;Datos_Consumo[FECHA_FORMATO],0)),0)</f>
        <v>0</v>
      </c>
      <c r="BB24" s="6">
        <f t="array" ref="BB24">IFERROR(INDEX(Datos_Consumo[CANTIDAD],MATCH(TABLATRANSFERENCIA[[#This Row],[CODIGO]]&amp;TABLATRANSFERENCIA[[#Headers],[2018-4]],Datos_Consumo[CODIGO]&amp;Datos_Consumo[FECHA_FORMATO],0)),0)</f>
        <v>6</v>
      </c>
      <c r="BC24" s="6">
        <f t="array" ref="BC24">IFERROR(INDEX(Datos_Consumo[CANTIDAD],MATCH(TABLATRANSFERENCIA[[#This Row],[CODIGO]]&amp;TABLATRANSFERENCIA[[#Headers],[2018-5]],Datos_Consumo[CODIGO]&amp;Datos_Consumo[FECHA_FORMATO],0)),0)</f>
        <v>0</v>
      </c>
      <c r="BD24" s="48">
        <v>13</v>
      </c>
      <c r="BE24" s="53">
        <v>13</v>
      </c>
      <c r="BF24" s="62">
        <v>43234</v>
      </c>
      <c r="BG24" s="60">
        <v>43353</v>
      </c>
      <c r="BH24" s="49"/>
      <c r="BI24" s="49"/>
      <c r="BJ24"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4" s="49"/>
      <c r="BP24" s="44">
        <f>IFERROR(TABLATRANSFERENCIA[[#This Row],[REQUERIM]]/TABLATRANSFERENCIA[[#This Row],[PEDIDO PROMEDIO]],0)</f>
        <v>0.9285714285714286</v>
      </c>
      <c r="BQ24" s="49"/>
      <c r="BR24" s="58"/>
      <c r="BS24" s="3">
        <f>IF(TABLATRANSFERENCIA[[#This Row],[RECIBIDO]]&lt;&gt;"",0,IF(TABLATRANSFERENCIA[[#This Row],[DESPACHO]]&lt;&gt;"",TABLATRANSFERENCIA[[#This Row],[DESPACHO]],TABLATRANSFERENCIA[[#This Row],[REQUERIM]]))</f>
        <v>13</v>
      </c>
      <c r="BT24" s="48"/>
      <c r="BU24" s="48"/>
      <c r="BV24" s="48" t="str">
        <f t="shared" si="0"/>
        <v>N</v>
      </c>
      <c r="BW24" s="49" t="s">
        <v>1388</v>
      </c>
      <c r="BX24" s="49">
        <f t="array" ref="BX2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4" s="49">
        <v>20</v>
      </c>
      <c r="CA24" s="49">
        <v>10</v>
      </c>
      <c r="CB24" s="49"/>
    </row>
    <row r="25" spans="1:80" x14ac:dyDescent="0.25">
      <c r="A25" s="52" t="s">
        <v>1420</v>
      </c>
      <c r="B25" s="3" t="s">
        <v>3813</v>
      </c>
      <c r="C25" s="3" t="s">
        <v>1382</v>
      </c>
      <c r="D25" s="3" t="s">
        <v>3812</v>
      </c>
      <c r="E25" s="3" t="s">
        <v>849</v>
      </c>
      <c r="F25" s="3">
        <v>0</v>
      </c>
      <c r="G25" s="3" t="s">
        <v>3784</v>
      </c>
      <c r="H25" s="3">
        <v>0</v>
      </c>
      <c r="I25" s="3">
        <v>0</v>
      </c>
      <c r="J25" s="3" t="s">
        <v>3771</v>
      </c>
      <c r="K25" s="3">
        <v>0</v>
      </c>
      <c r="L25" s="3" t="s">
        <v>3785</v>
      </c>
      <c r="M25" s="3">
        <v>0</v>
      </c>
      <c r="N25" s="3">
        <v>0</v>
      </c>
      <c r="O25" s="5" t="s">
        <v>1382</v>
      </c>
      <c r="P25" s="5">
        <v>24.16</v>
      </c>
      <c r="Q25" s="5">
        <v>49.29</v>
      </c>
      <c r="R25" s="44">
        <v>0</v>
      </c>
      <c r="S25" s="44">
        <v>1.35</v>
      </c>
      <c r="T25" s="44">
        <v>0</v>
      </c>
      <c r="U25" s="44">
        <v>1</v>
      </c>
      <c r="V25" s="47" t="s">
        <v>1403</v>
      </c>
      <c r="W25" s="47" t="s">
        <v>3666</v>
      </c>
      <c r="X25" s="49">
        <v>20</v>
      </c>
      <c r="Y25" s="49">
        <v>17</v>
      </c>
      <c r="Z25" s="6">
        <v>60</v>
      </c>
      <c r="AA25" s="6">
        <v>1000000000</v>
      </c>
      <c r="AB25" s="6">
        <v>55</v>
      </c>
      <c r="AC25" s="4">
        <v>0.08</v>
      </c>
      <c r="AD25" s="6" t="s">
        <v>1390</v>
      </c>
      <c r="AE25" s="6">
        <v>0</v>
      </c>
      <c r="AF25" s="6">
        <v>0</v>
      </c>
      <c r="AG25" s="6">
        <v>0</v>
      </c>
      <c r="AH25" s="6">
        <v>0</v>
      </c>
      <c r="AI25" s="6">
        <v>0</v>
      </c>
      <c r="AJ25" s="6">
        <v>0</v>
      </c>
      <c r="AK25" s="6">
        <v>55</v>
      </c>
      <c r="AL25" s="4">
        <v>0.08</v>
      </c>
      <c r="AM25" s="6" t="s">
        <v>1390</v>
      </c>
      <c r="AN25" s="6">
        <v>1</v>
      </c>
      <c r="AO25" s="6">
        <v>0</v>
      </c>
      <c r="AP25" s="6">
        <v>1</v>
      </c>
      <c r="AQ25" s="6">
        <v>28</v>
      </c>
      <c r="AR25" s="6">
        <v>51.72</v>
      </c>
      <c r="AS25" s="6">
        <v>47.41</v>
      </c>
      <c r="AT25" s="6">
        <v>0.86</v>
      </c>
      <c r="AU25" s="6">
        <v>0</v>
      </c>
      <c r="AV25" s="65">
        <v>43132</v>
      </c>
      <c r="AW25" s="65">
        <v>43195</v>
      </c>
      <c r="AX25" s="6">
        <f t="array" ref="AX25">IFERROR(INDEX(Datos_Consumo[CANTIDAD],MATCH(TABLATRANSFERENCIA[[#This Row],[CODIGO]]&amp;TABLATRANSFERENCIA[[#Headers],[2017-12]],Datos_Consumo[CODIGO]&amp;Datos_Consumo[FECHA_FORMATO],0)),0)</f>
        <v>2</v>
      </c>
      <c r="AY25" s="6">
        <f t="array" ref="AY25">IFERROR(INDEX(Datos_Consumo[CANTIDAD],MATCH(TABLATRANSFERENCIA[[#This Row],[CODIGO]]&amp;TABLATRANSFERENCIA[[#Headers],[2018-1]],Datos_Consumo[CODIGO]&amp;Datos_Consumo[FECHA_FORMATO],0)),0)</f>
        <v>2</v>
      </c>
      <c r="AZ25" s="6">
        <f t="array" ref="AZ25">IFERROR(INDEX(Datos_Consumo[CANTIDAD],MATCH(TABLATRANSFERENCIA[[#This Row],[CODIGO]]&amp;TABLATRANSFERENCIA[[#Headers],[2018-2]],Datos_Consumo[CODIGO]&amp;Datos_Consumo[FECHA_FORMATO],0)),0)</f>
        <v>1</v>
      </c>
      <c r="BA25" s="6">
        <f t="array" ref="BA25">IFERROR(INDEX(Datos_Consumo[CANTIDAD],MATCH(TABLATRANSFERENCIA[[#This Row],[CODIGO]]&amp;TABLATRANSFERENCIA[[#Headers],[2018-3]],Datos_Consumo[CODIGO]&amp;Datos_Consumo[FECHA_FORMATO],0)),0)</f>
        <v>0</v>
      </c>
      <c r="BB25" s="6">
        <f t="array" ref="BB25">IFERROR(INDEX(Datos_Consumo[CANTIDAD],MATCH(TABLATRANSFERENCIA[[#This Row],[CODIGO]]&amp;TABLATRANSFERENCIA[[#Headers],[2018-4]],Datos_Consumo[CODIGO]&amp;Datos_Consumo[FECHA_FORMATO],0)),0)</f>
        <v>0</v>
      </c>
      <c r="BC25" s="6">
        <f t="array" ref="BC25">IFERROR(INDEX(Datos_Consumo[CANTIDAD],MATCH(TABLATRANSFERENCIA[[#This Row],[CODIGO]]&amp;TABLATRANSFERENCIA[[#Headers],[2018-5]],Datos_Consumo[CODIGO]&amp;Datos_Consumo[FECHA_FORMATO],0)),0)</f>
        <v>0</v>
      </c>
      <c r="BD25" s="48">
        <v>5</v>
      </c>
      <c r="BE25" s="53">
        <v>5</v>
      </c>
      <c r="BF25" s="62">
        <v>43234</v>
      </c>
      <c r="BG25" s="60">
        <v>43353</v>
      </c>
      <c r="BH25" s="49"/>
      <c r="BI25" s="49"/>
      <c r="BJ25"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5" s="49"/>
      <c r="BP25" s="44">
        <f>IFERROR(TABLATRANSFERENCIA[[#This Row],[REQUERIM]]/TABLATRANSFERENCIA[[#This Row],[PEDIDO PROMEDIO]],0)</f>
        <v>0.17857142857142858</v>
      </c>
      <c r="BQ25" s="49"/>
      <c r="BR25" s="58"/>
      <c r="BS25" s="3">
        <f>IF(TABLATRANSFERENCIA[[#This Row],[RECIBIDO]]&lt;&gt;"",0,IF(TABLATRANSFERENCIA[[#This Row],[DESPACHO]]&lt;&gt;"",TABLATRANSFERENCIA[[#This Row],[DESPACHO]],TABLATRANSFERENCIA[[#This Row],[REQUERIM]]))</f>
        <v>5</v>
      </c>
      <c r="BT25" s="48"/>
      <c r="BU25" s="48"/>
      <c r="BV25" s="48" t="str">
        <f t="shared" si="0"/>
        <v>N</v>
      </c>
      <c r="BW25" s="49" t="s">
        <v>1388</v>
      </c>
      <c r="BX25" s="49">
        <f t="array" ref="BX2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5" s="49">
        <v>40</v>
      </c>
      <c r="CA25" s="49">
        <v>20</v>
      </c>
      <c r="CB25" s="49"/>
    </row>
    <row r="26" spans="1:80" x14ac:dyDescent="0.25">
      <c r="A26" s="52" t="s">
        <v>1421</v>
      </c>
      <c r="B26" s="3" t="s">
        <v>3827</v>
      </c>
      <c r="C26" s="3" t="s">
        <v>1382</v>
      </c>
      <c r="D26" s="3" t="s">
        <v>3826</v>
      </c>
      <c r="E26" s="3" t="s">
        <v>3669</v>
      </c>
      <c r="F26" s="3">
        <v>0</v>
      </c>
      <c r="G26" s="3" t="s">
        <v>3676</v>
      </c>
      <c r="H26" s="3">
        <v>0</v>
      </c>
      <c r="I26" s="3">
        <v>0</v>
      </c>
      <c r="J26" s="3" t="s">
        <v>3677</v>
      </c>
      <c r="K26" s="3">
        <v>0</v>
      </c>
      <c r="L26" s="3" t="s">
        <v>3670</v>
      </c>
      <c r="M26" s="3">
        <v>0</v>
      </c>
      <c r="N26" s="3">
        <v>0</v>
      </c>
      <c r="O26" s="5" t="s">
        <v>1382</v>
      </c>
      <c r="P26" s="5">
        <v>9.31</v>
      </c>
      <c r="Q26" s="5">
        <v>23.7</v>
      </c>
      <c r="R26" s="44">
        <v>0</v>
      </c>
      <c r="S26" s="44">
        <v>2.0099999999999998</v>
      </c>
      <c r="T26" s="44">
        <v>0</v>
      </c>
      <c r="U26" s="44">
        <v>0</v>
      </c>
      <c r="V26" s="47" t="s">
        <v>1403</v>
      </c>
      <c r="W26" s="47" t="s">
        <v>3666</v>
      </c>
      <c r="X26" s="49">
        <v>20</v>
      </c>
      <c r="Y26" s="49">
        <v>17</v>
      </c>
      <c r="Z26" s="6">
        <v>5</v>
      </c>
      <c r="AA26" s="6">
        <v>1000000000</v>
      </c>
      <c r="AB26" s="6">
        <v>0</v>
      </c>
      <c r="AC26" s="4">
        <v>1</v>
      </c>
      <c r="AD26" s="6" t="s">
        <v>838</v>
      </c>
      <c r="AE26" s="6">
        <v>4</v>
      </c>
      <c r="AF26" s="6">
        <v>0</v>
      </c>
      <c r="AG26" s="6">
        <v>0</v>
      </c>
      <c r="AH26" s="6">
        <v>0</v>
      </c>
      <c r="AI26" s="6">
        <v>0</v>
      </c>
      <c r="AJ26" s="6">
        <v>0</v>
      </c>
      <c r="AK26" s="6">
        <v>4</v>
      </c>
      <c r="AL26" s="4">
        <v>0.2</v>
      </c>
      <c r="AM26" s="6" t="s">
        <v>1390</v>
      </c>
      <c r="AN26" s="6">
        <v>1</v>
      </c>
      <c r="AO26" s="6">
        <v>0</v>
      </c>
      <c r="AP26" s="6">
        <v>1</v>
      </c>
      <c r="AQ26" s="6">
        <v>2</v>
      </c>
      <c r="AR26" s="6">
        <v>3.79</v>
      </c>
      <c r="AS26" s="6">
        <v>3.03</v>
      </c>
      <c r="AT26" s="6">
        <v>0.76</v>
      </c>
      <c r="AU26" s="6">
        <v>21</v>
      </c>
      <c r="AV26" s="65">
        <v>43195</v>
      </c>
      <c r="AW26" s="65">
        <v>43195</v>
      </c>
      <c r="AX26" s="6">
        <f t="array" ref="AX26">IFERROR(INDEX(Datos_Consumo[CANTIDAD],MATCH(TABLATRANSFERENCIA[[#This Row],[CODIGO]]&amp;TABLATRANSFERENCIA[[#Headers],[2017-12]],Datos_Consumo[CODIGO]&amp;Datos_Consumo[FECHA_FORMATO],0)),0)</f>
        <v>2</v>
      </c>
      <c r="AY26" s="6">
        <f t="array" ref="AY26">IFERROR(INDEX(Datos_Consumo[CANTIDAD],MATCH(TABLATRANSFERENCIA[[#This Row],[CODIGO]]&amp;TABLATRANSFERENCIA[[#Headers],[2018-1]],Datos_Consumo[CODIGO]&amp;Datos_Consumo[FECHA_FORMATO],0)),0)</f>
        <v>5</v>
      </c>
      <c r="AZ26" s="6">
        <f t="array" ref="AZ26">IFERROR(INDEX(Datos_Consumo[CANTIDAD],MATCH(TABLATRANSFERENCIA[[#This Row],[CODIGO]]&amp;TABLATRANSFERENCIA[[#Headers],[2018-2]],Datos_Consumo[CODIGO]&amp;Datos_Consumo[FECHA_FORMATO],0)),0)</f>
        <v>1</v>
      </c>
      <c r="BA26" s="6">
        <f t="array" ref="BA26">IFERROR(INDEX(Datos_Consumo[CANTIDAD],MATCH(TABLATRANSFERENCIA[[#This Row],[CODIGO]]&amp;TABLATRANSFERENCIA[[#Headers],[2018-3]],Datos_Consumo[CODIGO]&amp;Datos_Consumo[FECHA_FORMATO],0)),0)</f>
        <v>0</v>
      </c>
      <c r="BB26" s="6">
        <f t="array" ref="BB26">IFERROR(INDEX(Datos_Consumo[CANTIDAD],MATCH(TABLATRANSFERENCIA[[#This Row],[CODIGO]]&amp;TABLATRANSFERENCIA[[#Headers],[2018-4]],Datos_Consumo[CODIGO]&amp;Datos_Consumo[FECHA_FORMATO],0)),0)</f>
        <v>0</v>
      </c>
      <c r="BC26" s="6">
        <f t="array" ref="BC26">IFERROR(INDEX(Datos_Consumo[CANTIDAD],MATCH(TABLATRANSFERENCIA[[#This Row],[CODIGO]]&amp;TABLATRANSFERENCIA[[#Headers],[2018-5]],Datos_Consumo[CODIGO]&amp;Datos_Consumo[FECHA_FORMATO],0)),0)</f>
        <v>0</v>
      </c>
      <c r="BD26" s="48">
        <v>1</v>
      </c>
      <c r="BE26" s="53">
        <v>1</v>
      </c>
      <c r="BF26" s="62">
        <v>43234</v>
      </c>
      <c r="BG26" s="60">
        <v>43353</v>
      </c>
      <c r="BH26" s="49"/>
      <c r="BI26" s="49"/>
      <c r="BJ26"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6" s="49"/>
      <c r="BP26" s="44">
        <f>IFERROR(TABLATRANSFERENCIA[[#This Row],[REQUERIM]]/TABLATRANSFERENCIA[[#This Row],[PEDIDO PROMEDIO]],0)</f>
        <v>0.5</v>
      </c>
      <c r="BQ26" s="49"/>
      <c r="BR26" s="58"/>
      <c r="BS26" s="3">
        <f>IF(TABLATRANSFERENCIA[[#This Row],[RECIBIDO]]&lt;&gt;"",0,IF(TABLATRANSFERENCIA[[#This Row],[DESPACHO]]&lt;&gt;"",TABLATRANSFERENCIA[[#This Row],[DESPACHO]],TABLATRANSFERENCIA[[#This Row],[REQUERIM]]))</f>
        <v>1</v>
      </c>
      <c r="BT26" s="48"/>
      <c r="BU26" s="48"/>
      <c r="BV26" s="48" t="str">
        <f t="shared" si="0"/>
        <v>N</v>
      </c>
      <c r="BW26" s="49" t="s">
        <v>1388</v>
      </c>
      <c r="BX26" s="49">
        <f t="array" ref="BX2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6" s="49">
        <v>3</v>
      </c>
      <c r="CA26" s="49">
        <v>2</v>
      </c>
      <c r="CB26" s="49"/>
    </row>
    <row r="27" spans="1:80" x14ac:dyDescent="0.25">
      <c r="A27" s="52" t="s">
        <v>1422</v>
      </c>
      <c r="B27" s="3" t="s">
        <v>3834</v>
      </c>
      <c r="C27" s="3" t="s">
        <v>1382</v>
      </c>
      <c r="D27" s="3" t="s">
        <v>3833</v>
      </c>
      <c r="E27" s="3" t="s">
        <v>3669</v>
      </c>
      <c r="F27" s="3">
        <v>0</v>
      </c>
      <c r="G27" s="3" t="s">
        <v>3676</v>
      </c>
      <c r="H27" s="3">
        <v>0</v>
      </c>
      <c r="I27" s="3">
        <v>0</v>
      </c>
      <c r="J27" s="3" t="s">
        <v>3677</v>
      </c>
      <c r="K27" s="3">
        <v>0</v>
      </c>
      <c r="L27" s="3" t="s">
        <v>3670</v>
      </c>
      <c r="M27" s="3">
        <v>0</v>
      </c>
      <c r="N27" s="3">
        <v>0</v>
      </c>
      <c r="O27" s="5" t="s">
        <v>1382</v>
      </c>
      <c r="P27" s="5">
        <v>1.29</v>
      </c>
      <c r="Q27" s="5">
        <v>3</v>
      </c>
      <c r="R27" s="44">
        <v>0</v>
      </c>
      <c r="S27" s="44">
        <v>1.72</v>
      </c>
      <c r="T27" s="44">
        <v>0</v>
      </c>
      <c r="U27" s="44">
        <v>1</v>
      </c>
      <c r="V27" s="47" t="s">
        <v>1403</v>
      </c>
      <c r="W27" s="47" t="s">
        <v>3666</v>
      </c>
      <c r="X27" s="49">
        <v>20</v>
      </c>
      <c r="Y27" s="49">
        <v>17</v>
      </c>
      <c r="Z27" s="6">
        <v>15</v>
      </c>
      <c r="AA27" s="6">
        <v>1000000000</v>
      </c>
      <c r="AB27" s="6">
        <v>12</v>
      </c>
      <c r="AC27" s="4">
        <v>0.2</v>
      </c>
      <c r="AD27" s="6" t="s">
        <v>1390</v>
      </c>
      <c r="AE27" s="6">
        <v>0</v>
      </c>
      <c r="AF27" s="6">
        <v>0</v>
      </c>
      <c r="AG27" s="6">
        <v>0</v>
      </c>
      <c r="AH27" s="6">
        <v>0</v>
      </c>
      <c r="AI27" s="6">
        <v>0</v>
      </c>
      <c r="AJ27" s="6">
        <v>0</v>
      </c>
      <c r="AK27" s="6">
        <v>12</v>
      </c>
      <c r="AL27" s="4">
        <v>0.2</v>
      </c>
      <c r="AM27" s="6" t="s">
        <v>1390</v>
      </c>
      <c r="AN27" s="6">
        <v>1</v>
      </c>
      <c r="AO27" s="6">
        <v>0</v>
      </c>
      <c r="AP27" s="6">
        <v>1</v>
      </c>
      <c r="AQ27" s="6">
        <v>7</v>
      </c>
      <c r="AR27" s="6">
        <v>5.28</v>
      </c>
      <c r="AS27" s="6">
        <v>4.2300000000000004</v>
      </c>
      <c r="AT27" s="6">
        <v>0.35</v>
      </c>
      <c r="AU27" s="6">
        <v>0</v>
      </c>
      <c r="AV27" s="65">
        <v>42816</v>
      </c>
      <c r="AW27" s="65">
        <v>42900</v>
      </c>
      <c r="AX27" s="6">
        <f t="array" ref="AX27">IFERROR(INDEX(Datos_Consumo[CANTIDAD],MATCH(TABLATRANSFERENCIA[[#This Row],[CODIGO]]&amp;TABLATRANSFERENCIA[[#Headers],[2017-12]],Datos_Consumo[CODIGO]&amp;Datos_Consumo[FECHA_FORMATO],0)),0)</f>
        <v>0</v>
      </c>
      <c r="AY27" s="6">
        <f t="array" ref="AY27">IFERROR(INDEX(Datos_Consumo[CANTIDAD],MATCH(TABLATRANSFERENCIA[[#This Row],[CODIGO]]&amp;TABLATRANSFERENCIA[[#Headers],[2018-1]],Datos_Consumo[CODIGO]&amp;Datos_Consumo[FECHA_FORMATO],0)),0)</f>
        <v>0</v>
      </c>
      <c r="AZ27" s="6">
        <f t="array" ref="AZ27">IFERROR(INDEX(Datos_Consumo[CANTIDAD],MATCH(TABLATRANSFERENCIA[[#This Row],[CODIGO]]&amp;TABLATRANSFERENCIA[[#Headers],[2018-2]],Datos_Consumo[CODIGO]&amp;Datos_Consumo[FECHA_FORMATO],0)),0)</f>
        <v>6</v>
      </c>
      <c r="BA27" s="6">
        <f t="array" ref="BA27">IFERROR(INDEX(Datos_Consumo[CANTIDAD],MATCH(TABLATRANSFERENCIA[[#This Row],[CODIGO]]&amp;TABLATRANSFERENCIA[[#Headers],[2018-3]],Datos_Consumo[CODIGO]&amp;Datos_Consumo[FECHA_FORMATO],0)),0)</f>
        <v>0</v>
      </c>
      <c r="BB27" s="6">
        <f t="array" ref="BB27">IFERROR(INDEX(Datos_Consumo[CANTIDAD],MATCH(TABLATRANSFERENCIA[[#This Row],[CODIGO]]&amp;TABLATRANSFERENCIA[[#Headers],[2018-4]],Datos_Consumo[CODIGO]&amp;Datos_Consumo[FECHA_FORMATO],0)),0)</f>
        <v>0</v>
      </c>
      <c r="BC27" s="6">
        <f t="array" ref="BC27">IFERROR(INDEX(Datos_Consumo[CANTIDAD],MATCH(TABLATRANSFERENCIA[[#This Row],[CODIGO]]&amp;TABLATRANSFERENCIA[[#Headers],[2018-5]],Datos_Consumo[CODIGO]&amp;Datos_Consumo[FECHA_FORMATO],0)),0)</f>
        <v>0</v>
      </c>
      <c r="BD27" s="48">
        <v>3</v>
      </c>
      <c r="BE27" s="53">
        <v>3</v>
      </c>
      <c r="BF27" s="62">
        <v>43234</v>
      </c>
      <c r="BG27" s="60">
        <v>43353</v>
      </c>
      <c r="BH27" s="49"/>
      <c r="BI27" s="49"/>
      <c r="BJ2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7" s="49"/>
      <c r="BP27" s="44">
        <f>IFERROR(TABLATRANSFERENCIA[[#This Row],[REQUERIM]]/TABLATRANSFERENCIA[[#This Row],[PEDIDO PROMEDIO]],0)</f>
        <v>0.42857142857142855</v>
      </c>
      <c r="BQ27" s="49"/>
      <c r="BR27" s="58"/>
      <c r="BS27" s="3">
        <f>IF(TABLATRANSFERENCIA[[#This Row],[RECIBIDO]]&lt;&gt;"",0,IF(TABLATRANSFERENCIA[[#This Row],[DESPACHO]]&lt;&gt;"",TABLATRANSFERENCIA[[#This Row],[DESPACHO]],TABLATRANSFERENCIA[[#This Row],[REQUERIM]]))</f>
        <v>3</v>
      </c>
      <c r="BT27" s="48"/>
      <c r="BU27" s="48"/>
      <c r="BV27" s="48" t="str">
        <f t="shared" si="0"/>
        <v>N</v>
      </c>
      <c r="BW27" s="49" t="s">
        <v>1388</v>
      </c>
      <c r="BX27" s="49">
        <f t="array" ref="BX2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7" s="49">
        <v>10</v>
      </c>
      <c r="CA27" s="49">
        <v>5</v>
      </c>
      <c r="CB27" s="49"/>
    </row>
    <row r="28" spans="1:80" x14ac:dyDescent="0.25">
      <c r="A28" s="52" t="s">
        <v>1423</v>
      </c>
      <c r="B28" s="3" t="s">
        <v>3841</v>
      </c>
      <c r="C28" s="3" t="s">
        <v>1382</v>
      </c>
      <c r="D28" s="3" t="s">
        <v>3840</v>
      </c>
      <c r="E28" s="3" t="s">
        <v>3669</v>
      </c>
      <c r="F28" s="3">
        <v>0</v>
      </c>
      <c r="G28" s="3" t="s">
        <v>3676</v>
      </c>
      <c r="H28" s="3">
        <v>0</v>
      </c>
      <c r="I28" s="3">
        <v>0</v>
      </c>
      <c r="J28" s="3" t="s">
        <v>3677</v>
      </c>
      <c r="K28" s="3">
        <v>0</v>
      </c>
      <c r="L28" s="3" t="s">
        <v>3670</v>
      </c>
      <c r="M28" s="3">
        <v>0</v>
      </c>
      <c r="N28" s="3">
        <v>0</v>
      </c>
      <c r="O28" s="5" t="s">
        <v>1382</v>
      </c>
      <c r="P28" s="5">
        <v>8.2799999999999994</v>
      </c>
      <c r="Q28" s="5">
        <v>24</v>
      </c>
      <c r="R28" s="44">
        <v>0</v>
      </c>
      <c r="S28" s="44">
        <v>2.46</v>
      </c>
      <c r="T28" s="44">
        <v>0</v>
      </c>
      <c r="U28" s="44">
        <v>0</v>
      </c>
      <c r="V28" s="47" t="s">
        <v>1403</v>
      </c>
      <c r="W28" s="47" t="s">
        <v>3666</v>
      </c>
      <c r="X28" s="49">
        <v>20</v>
      </c>
      <c r="Y28" s="49">
        <v>17</v>
      </c>
      <c r="Z28" s="6">
        <v>20</v>
      </c>
      <c r="AA28" s="6">
        <v>1000000000</v>
      </c>
      <c r="AB28" s="6">
        <v>1</v>
      </c>
      <c r="AC28" s="4">
        <v>0.95</v>
      </c>
      <c r="AD28" s="6" t="s">
        <v>1394</v>
      </c>
      <c r="AE28" s="6">
        <v>13</v>
      </c>
      <c r="AF28" s="6">
        <v>0</v>
      </c>
      <c r="AG28" s="6">
        <v>0</v>
      </c>
      <c r="AH28" s="6">
        <v>0</v>
      </c>
      <c r="AI28" s="6">
        <v>0</v>
      </c>
      <c r="AJ28" s="6">
        <v>0</v>
      </c>
      <c r="AK28" s="6">
        <v>14</v>
      </c>
      <c r="AL28" s="4">
        <v>0.3</v>
      </c>
      <c r="AM28" s="6" t="s">
        <v>1390</v>
      </c>
      <c r="AN28" s="6">
        <v>1</v>
      </c>
      <c r="AO28" s="6">
        <v>0</v>
      </c>
      <c r="AP28" s="6">
        <v>1</v>
      </c>
      <c r="AQ28" s="6">
        <v>9</v>
      </c>
      <c r="AR28" s="6">
        <v>3.33</v>
      </c>
      <c r="AS28" s="6">
        <v>2.33</v>
      </c>
      <c r="AT28" s="6">
        <v>0.17</v>
      </c>
      <c r="AU28" s="6">
        <v>0</v>
      </c>
      <c r="AV28" s="65">
        <v>43195</v>
      </c>
      <c r="AW28" s="65">
        <v>43195</v>
      </c>
      <c r="AX28" s="6">
        <f t="array" ref="AX28">IFERROR(INDEX(Datos_Consumo[CANTIDAD],MATCH(TABLATRANSFERENCIA[[#This Row],[CODIGO]]&amp;TABLATRANSFERENCIA[[#Headers],[2017-12]],Datos_Consumo[CODIGO]&amp;Datos_Consumo[FECHA_FORMATO],0)),0)</f>
        <v>0</v>
      </c>
      <c r="AY28" s="6">
        <f t="array" ref="AY28">IFERROR(INDEX(Datos_Consumo[CANTIDAD],MATCH(TABLATRANSFERENCIA[[#This Row],[CODIGO]]&amp;TABLATRANSFERENCIA[[#Headers],[2018-1]],Datos_Consumo[CODIGO]&amp;Datos_Consumo[FECHA_FORMATO],0)),0)</f>
        <v>7</v>
      </c>
      <c r="AZ28" s="6">
        <f t="array" ref="AZ28">IFERROR(INDEX(Datos_Consumo[CANTIDAD],MATCH(TABLATRANSFERENCIA[[#This Row],[CODIGO]]&amp;TABLATRANSFERENCIA[[#Headers],[2018-2]],Datos_Consumo[CODIGO]&amp;Datos_Consumo[FECHA_FORMATO],0)),0)</f>
        <v>6</v>
      </c>
      <c r="BA28" s="6">
        <f t="array" ref="BA28">IFERROR(INDEX(Datos_Consumo[CANTIDAD],MATCH(TABLATRANSFERENCIA[[#This Row],[CODIGO]]&amp;TABLATRANSFERENCIA[[#Headers],[2018-3]],Datos_Consumo[CODIGO]&amp;Datos_Consumo[FECHA_FORMATO],0)),0)</f>
        <v>0</v>
      </c>
      <c r="BB28" s="6">
        <f t="array" ref="BB28">IFERROR(INDEX(Datos_Consumo[CANTIDAD],MATCH(TABLATRANSFERENCIA[[#This Row],[CODIGO]]&amp;TABLATRANSFERENCIA[[#Headers],[2018-4]],Datos_Consumo[CODIGO]&amp;Datos_Consumo[FECHA_FORMATO],0)),0)</f>
        <v>1</v>
      </c>
      <c r="BC28" s="6">
        <f t="array" ref="BC28">IFERROR(INDEX(Datos_Consumo[CANTIDAD],MATCH(TABLATRANSFERENCIA[[#This Row],[CODIGO]]&amp;TABLATRANSFERENCIA[[#Headers],[2018-5]],Datos_Consumo[CODIGO]&amp;Datos_Consumo[FECHA_FORMATO],0)),0)</f>
        <v>0</v>
      </c>
      <c r="BD28" s="48">
        <v>6</v>
      </c>
      <c r="BE28" s="53">
        <v>6</v>
      </c>
      <c r="BF28" s="62">
        <v>43234</v>
      </c>
      <c r="BG28" s="60">
        <v>43353</v>
      </c>
      <c r="BH28" s="49"/>
      <c r="BI28" s="49"/>
      <c r="BJ28" s="49">
        <f>IF(RIGHT(TABLATRANSFERENCIA[[#Headers],[Emb1]],1)*1&lt;=TABLATRANSFERENCIA[[#This Row],[EMBARQUES]],IF(ISBLANK(TABLATRANSFERENCIA[[#This Row],[EMBARQUES]]),TABLATRANSFERENCIA[[#This Row],[REQUERIM]],ROUND(TABLATRANSFERENCIA[[#This Row],[REQUERIM]]/TABLATRANSFERENCIA[[#This Row],[EMBARQUES]],0)),TABLATRANSFERENCIA[[#This Row],[REQUERIM]])</f>
        <v>6</v>
      </c>
      <c r="BK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8" s="49"/>
      <c r="BP28" s="44">
        <f>IFERROR(TABLATRANSFERENCIA[[#This Row],[REQUERIM]]/TABLATRANSFERENCIA[[#This Row],[PEDIDO PROMEDIO]],0)</f>
        <v>0.66666666666666663</v>
      </c>
      <c r="BQ28" s="49"/>
      <c r="BR28" s="58"/>
      <c r="BS28" s="3">
        <f>IF(TABLATRANSFERENCIA[[#This Row],[RECIBIDO]]&lt;&gt;"",0,IF(TABLATRANSFERENCIA[[#This Row],[DESPACHO]]&lt;&gt;"",TABLATRANSFERENCIA[[#This Row],[DESPACHO]],TABLATRANSFERENCIA[[#This Row],[REQUERIM]]))</f>
        <v>6</v>
      </c>
      <c r="BT28" s="48"/>
      <c r="BU28" s="48"/>
      <c r="BV28" s="48" t="str">
        <f t="shared" si="0"/>
        <v>N</v>
      </c>
      <c r="BW28" s="49" t="s">
        <v>1388</v>
      </c>
      <c r="BX28" s="49">
        <f t="array" ref="BX2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8" s="49">
        <v>13</v>
      </c>
      <c r="CA28" s="49">
        <v>7</v>
      </c>
      <c r="CB28" s="49"/>
    </row>
    <row r="29" spans="1:80" x14ac:dyDescent="0.25">
      <c r="A29" s="52" t="s">
        <v>1424</v>
      </c>
      <c r="B29" s="3" t="s">
        <v>3845</v>
      </c>
      <c r="C29" s="3" t="s">
        <v>1382</v>
      </c>
      <c r="D29" s="3" t="s">
        <v>3844</v>
      </c>
      <c r="E29" s="3" t="s">
        <v>3669</v>
      </c>
      <c r="F29" s="3">
        <v>0</v>
      </c>
      <c r="G29" s="3" t="s">
        <v>3676</v>
      </c>
      <c r="H29" s="3">
        <v>0</v>
      </c>
      <c r="I29" s="3">
        <v>0</v>
      </c>
      <c r="J29" s="3" t="s">
        <v>3677</v>
      </c>
      <c r="K29" s="3">
        <v>0</v>
      </c>
      <c r="L29" s="3" t="s">
        <v>3670</v>
      </c>
      <c r="M29" s="3">
        <v>0</v>
      </c>
      <c r="N29" s="3">
        <v>0</v>
      </c>
      <c r="O29" s="5" t="s">
        <v>1382</v>
      </c>
      <c r="P29" s="5">
        <v>10.5</v>
      </c>
      <c r="Q29" s="5">
        <v>28.5</v>
      </c>
      <c r="R29" s="44">
        <v>0</v>
      </c>
      <c r="S29" s="44">
        <v>2.2200000000000002</v>
      </c>
      <c r="T29" s="44">
        <v>0</v>
      </c>
      <c r="U29" s="44">
        <v>1</v>
      </c>
      <c r="V29" s="47" t="s">
        <v>1403</v>
      </c>
      <c r="W29" s="47" t="s">
        <v>3666</v>
      </c>
      <c r="X29" s="49">
        <v>20</v>
      </c>
      <c r="Y29" s="49">
        <v>17</v>
      </c>
      <c r="Z29" s="6">
        <v>5</v>
      </c>
      <c r="AA29" s="6">
        <v>1000000000</v>
      </c>
      <c r="AB29" s="6">
        <v>4</v>
      </c>
      <c r="AC29" s="4">
        <v>0.2</v>
      </c>
      <c r="AD29" s="6" t="s">
        <v>1390</v>
      </c>
      <c r="AE29" s="6">
        <v>0</v>
      </c>
      <c r="AF29" s="6">
        <v>0</v>
      </c>
      <c r="AG29" s="6">
        <v>0</v>
      </c>
      <c r="AH29" s="6">
        <v>0</v>
      </c>
      <c r="AI29" s="6">
        <v>0</v>
      </c>
      <c r="AJ29" s="6">
        <v>0</v>
      </c>
      <c r="AK29" s="6">
        <v>4</v>
      </c>
      <c r="AL29" s="4">
        <v>0.2</v>
      </c>
      <c r="AM29" s="6" t="s">
        <v>1390</v>
      </c>
      <c r="AN29" s="6">
        <v>1</v>
      </c>
      <c r="AO29" s="6">
        <v>0</v>
      </c>
      <c r="AP29" s="6">
        <v>1</v>
      </c>
      <c r="AQ29" s="6">
        <v>2</v>
      </c>
      <c r="AR29" s="6">
        <v>3.29</v>
      </c>
      <c r="AS29" s="6">
        <v>2.63</v>
      </c>
      <c r="AT29" s="6">
        <v>0.66</v>
      </c>
      <c r="AU29" s="6">
        <v>0</v>
      </c>
      <c r="AV29" s="65">
        <v>43028</v>
      </c>
      <c r="AW29" s="65">
        <v>43122</v>
      </c>
      <c r="AX29" s="6">
        <f t="array" ref="AX29">IFERROR(INDEX(Datos_Consumo[CANTIDAD],MATCH(TABLATRANSFERENCIA[[#This Row],[CODIGO]]&amp;TABLATRANSFERENCIA[[#Headers],[2017-12]],Datos_Consumo[CODIGO]&amp;Datos_Consumo[FECHA_FORMATO],0)),0)</f>
        <v>0</v>
      </c>
      <c r="AY29" s="6">
        <f t="array" ref="AY29">IFERROR(INDEX(Datos_Consumo[CANTIDAD],MATCH(TABLATRANSFERENCIA[[#This Row],[CODIGO]]&amp;TABLATRANSFERENCIA[[#Headers],[2018-1]],Datos_Consumo[CODIGO]&amp;Datos_Consumo[FECHA_FORMATO],0)),0)</f>
        <v>3</v>
      </c>
      <c r="AZ29" s="6">
        <f t="array" ref="AZ29">IFERROR(INDEX(Datos_Consumo[CANTIDAD],MATCH(TABLATRANSFERENCIA[[#This Row],[CODIGO]]&amp;TABLATRANSFERENCIA[[#Headers],[2018-2]],Datos_Consumo[CODIGO]&amp;Datos_Consumo[FECHA_FORMATO],0)),0)</f>
        <v>4</v>
      </c>
      <c r="BA29" s="6">
        <f t="array" ref="BA29">IFERROR(INDEX(Datos_Consumo[CANTIDAD],MATCH(TABLATRANSFERENCIA[[#This Row],[CODIGO]]&amp;TABLATRANSFERENCIA[[#Headers],[2018-3]],Datos_Consumo[CODIGO]&amp;Datos_Consumo[FECHA_FORMATO],0)),0)</f>
        <v>2</v>
      </c>
      <c r="BB29" s="6">
        <f t="array" ref="BB29">IFERROR(INDEX(Datos_Consumo[CANTIDAD],MATCH(TABLATRANSFERENCIA[[#This Row],[CODIGO]]&amp;TABLATRANSFERENCIA[[#Headers],[2018-4]],Datos_Consumo[CODIGO]&amp;Datos_Consumo[FECHA_FORMATO],0)),0)</f>
        <v>4</v>
      </c>
      <c r="BC29" s="6">
        <f t="array" ref="BC29">IFERROR(INDEX(Datos_Consumo[CANTIDAD],MATCH(TABLATRANSFERENCIA[[#This Row],[CODIGO]]&amp;TABLATRANSFERENCIA[[#Headers],[2018-5]],Datos_Consumo[CODIGO]&amp;Datos_Consumo[FECHA_FORMATO],0)),0)</f>
        <v>0</v>
      </c>
      <c r="BD29" s="48">
        <v>1</v>
      </c>
      <c r="BE29" s="53">
        <v>1</v>
      </c>
      <c r="BF29" s="62">
        <v>43234</v>
      </c>
      <c r="BG29" s="60">
        <v>43353</v>
      </c>
      <c r="BH29" s="49"/>
      <c r="BI29" s="49"/>
      <c r="BJ2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9" s="49"/>
      <c r="BP29" s="44">
        <f>IFERROR(TABLATRANSFERENCIA[[#This Row],[REQUERIM]]/TABLATRANSFERENCIA[[#This Row],[PEDIDO PROMEDIO]],0)</f>
        <v>0.5</v>
      </c>
      <c r="BQ29" s="49"/>
      <c r="BR29" s="58"/>
      <c r="BS29" s="3">
        <f>IF(TABLATRANSFERENCIA[[#This Row],[RECIBIDO]]&lt;&gt;"",0,IF(TABLATRANSFERENCIA[[#This Row],[DESPACHO]]&lt;&gt;"",TABLATRANSFERENCIA[[#This Row],[DESPACHO]],TABLATRANSFERENCIA[[#This Row],[REQUERIM]]))</f>
        <v>1</v>
      </c>
      <c r="BT29" s="48"/>
      <c r="BU29" s="48"/>
      <c r="BV29" s="48" t="str">
        <f t="shared" si="0"/>
        <v>N</v>
      </c>
      <c r="BW29" s="49" t="s">
        <v>1388</v>
      </c>
      <c r="BX29" s="49">
        <f t="array" ref="BX2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9" s="49">
        <v>3</v>
      </c>
      <c r="CA29" s="49">
        <v>2</v>
      </c>
      <c r="CB29" s="49"/>
    </row>
    <row r="30" spans="1:80" x14ac:dyDescent="0.25">
      <c r="A30" s="52" t="s">
        <v>1425</v>
      </c>
      <c r="B30" s="3" t="s">
        <v>3857</v>
      </c>
      <c r="C30" s="3" t="s">
        <v>1382</v>
      </c>
      <c r="D30" s="3" t="s">
        <v>3856</v>
      </c>
      <c r="E30" s="3" t="s">
        <v>3669</v>
      </c>
      <c r="F30" s="3">
        <v>0</v>
      </c>
      <c r="G30" s="3" t="s">
        <v>3668</v>
      </c>
      <c r="H30" s="3">
        <v>0</v>
      </c>
      <c r="I30" s="3">
        <v>0</v>
      </c>
      <c r="J30" s="3" t="s">
        <v>3668</v>
      </c>
      <c r="K30" s="3">
        <v>0</v>
      </c>
      <c r="L30" s="3" t="s">
        <v>3670</v>
      </c>
      <c r="M30" s="3">
        <v>0</v>
      </c>
      <c r="N30" s="3">
        <v>0</v>
      </c>
      <c r="O30" s="5" t="s">
        <v>1382</v>
      </c>
      <c r="P30" s="5">
        <v>396.99</v>
      </c>
      <c r="Q30" s="5">
        <v>829</v>
      </c>
      <c r="R30" s="44">
        <v>0</v>
      </c>
      <c r="S30" s="44">
        <v>1.41</v>
      </c>
      <c r="T30" s="44">
        <v>0</v>
      </c>
      <c r="U30" s="44">
        <v>1</v>
      </c>
      <c r="V30" s="47" t="s">
        <v>1403</v>
      </c>
      <c r="W30" s="47" t="s">
        <v>3666</v>
      </c>
      <c r="X30" s="49">
        <v>20</v>
      </c>
      <c r="Y30" s="49">
        <v>17</v>
      </c>
      <c r="Z30" s="6">
        <v>1</v>
      </c>
      <c r="AA30" s="6">
        <v>1000000000</v>
      </c>
      <c r="AB30" s="6">
        <v>0</v>
      </c>
      <c r="AC30" s="4">
        <v>1</v>
      </c>
      <c r="AD30" s="6" t="s">
        <v>838</v>
      </c>
      <c r="AE30" s="6">
        <v>0</v>
      </c>
      <c r="AF30" s="6">
        <v>0</v>
      </c>
      <c r="AG30" s="6">
        <v>0</v>
      </c>
      <c r="AH30" s="6">
        <v>0</v>
      </c>
      <c r="AI30" s="6">
        <v>0</v>
      </c>
      <c r="AJ30" s="6">
        <v>0</v>
      </c>
      <c r="AK30" s="6">
        <v>0</v>
      </c>
      <c r="AL30" s="4">
        <v>1</v>
      </c>
      <c r="AM30" s="6" t="s">
        <v>838</v>
      </c>
      <c r="AN30" s="6">
        <v>1</v>
      </c>
      <c r="AO30" s="6">
        <v>0</v>
      </c>
      <c r="AP30" s="6">
        <v>1</v>
      </c>
      <c r="AQ30" s="6">
        <v>0</v>
      </c>
      <c r="AR30" s="6">
        <v>0.5</v>
      </c>
      <c r="AS30" s="6">
        <v>0</v>
      </c>
      <c r="AT30" s="6">
        <v>0.5</v>
      </c>
      <c r="AU30" s="6">
        <v>23</v>
      </c>
      <c r="AV30" s="65">
        <v>43132</v>
      </c>
      <c r="AW30" s="65">
        <v>43195</v>
      </c>
      <c r="AX30" s="6">
        <f t="array" ref="AX30">IFERROR(INDEX(Datos_Consumo[CANTIDAD],MATCH(TABLATRANSFERENCIA[[#This Row],[CODIGO]]&amp;TABLATRANSFERENCIA[[#Headers],[2017-12]],Datos_Consumo[CODIGO]&amp;Datos_Consumo[FECHA_FORMATO],0)),0)</f>
        <v>9</v>
      </c>
      <c r="AY30" s="6">
        <f t="array" ref="AY30">IFERROR(INDEX(Datos_Consumo[CANTIDAD],MATCH(TABLATRANSFERENCIA[[#This Row],[CODIGO]]&amp;TABLATRANSFERENCIA[[#Headers],[2018-1]],Datos_Consumo[CODIGO]&amp;Datos_Consumo[FECHA_FORMATO],0)),0)</f>
        <v>0</v>
      </c>
      <c r="AZ30" s="6">
        <f t="array" ref="AZ30">IFERROR(INDEX(Datos_Consumo[CANTIDAD],MATCH(TABLATRANSFERENCIA[[#This Row],[CODIGO]]&amp;TABLATRANSFERENCIA[[#Headers],[2018-2]],Datos_Consumo[CODIGO]&amp;Datos_Consumo[FECHA_FORMATO],0)),0)</f>
        <v>0</v>
      </c>
      <c r="BA30" s="6">
        <f t="array" ref="BA30">IFERROR(INDEX(Datos_Consumo[CANTIDAD],MATCH(TABLATRANSFERENCIA[[#This Row],[CODIGO]]&amp;TABLATRANSFERENCIA[[#Headers],[2018-3]],Datos_Consumo[CODIGO]&amp;Datos_Consumo[FECHA_FORMATO],0)),0)</f>
        <v>0</v>
      </c>
      <c r="BB30" s="6">
        <f t="array" ref="BB30">IFERROR(INDEX(Datos_Consumo[CANTIDAD],MATCH(TABLATRANSFERENCIA[[#This Row],[CODIGO]]&amp;TABLATRANSFERENCIA[[#Headers],[2018-4]],Datos_Consumo[CODIGO]&amp;Datos_Consumo[FECHA_FORMATO],0)),0)</f>
        <v>0</v>
      </c>
      <c r="BC30" s="6">
        <f t="array" ref="BC30">IFERROR(INDEX(Datos_Consumo[CANTIDAD],MATCH(TABLATRANSFERENCIA[[#This Row],[CODIGO]]&amp;TABLATRANSFERENCIA[[#Headers],[2018-5]],Datos_Consumo[CODIGO]&amp;Datos_Consumo[FECHA_FORMATO],0)),0)</f>
        <v>0</v>
      </c>
      <c r="BD30" s="48">
        <v>1</v>
      </c>
      <c r="BE30" s="53">
        <v>1</v>
      </c>
      <c r="BF30" s="62">
        <v>43234</v>
      </c>
      <c r="BG30" s="60">
        <v>43353</v>
      </c>
      <c r="BH30" s="49"/>
      <c r="BI30" s="49"/>
      <c r="BJ30"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0" s="49"/>
      <c r="BP30" s="44">
        <f>IFERROR(TABLATRANSFERENCIA[[#This Row],[REQUERIM]]/TABLATRANSFERENCIA[[#This Row],[PEDIDO PROMEDIO]],0)</f>
        <v>0</v>
      </c>
      <c r="BQ30" s="49"/>
      <c r="BR30" s="58"/>
      <c r="BS30" s="3">
        <f>IF(TABLATRANSFERENCIA[[#This Row],[RECIBIDO]]&lt;&gt;"",0,IF(TABLATRANSFERENCIA[[#This Row],[DESPACHO]]&lt;&gt;"",TABLATRANSFERENCIA[[#This Row],[DESPACHO]],TABLATRANSFERENCIA[[#This Row],[REQUERIM]]))</f>
        <v>1</v>
      </c>
      <c r="BT30" s="48"/>
      <c r="BU30" s="48"/>
      <c r="BV30" s="48" t="str">
        <f t="shared" si="0"/>
        <v>N</v>
      </c>
      <c r="BW30" s="49" t="s">
        <v>1388</v>
      </c>
      <c r="BX30" s="49">
        <f t="array" ref="BX3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30" s="49">
        <v>1</v>
      </c>
      <c r="CA30" s="49">
        <v>0.5</v>
      </c>
      <c r="CB30" s="49"/>
    </row>
    <row r="31" spans="1:80" x14ac:dyDescent="0.25">
      <c r="A31" s="52" t="s">
        <v>1426</v>
      </c>
      <c r="B31" s="3" t="s">
        <v>3867</v>
      </c>
      <c r="C31" s="3" t="s">
        <v>1382</v>
      </c>
      <c r="D31" s="3" t="s">
        <v>3865</v>
      </c>
      <c r="E31" s="3" t="s">
        <v>849</v>
      </c>
      <c r="F31" s="3">
        <v>0</v>
      </c>
      <c r="G31" s="3" t="s">
        <v>3868</v>
      </c>
      <c r="H31" s="3">
        <v>0</v>
      </c>
      <c r="I31" s="3">
        <v>0</v>
      </c>
      <c r="J31" s="3" t="s">
        <v>3869</v>
      </c>
      <c r="K31" s="3">
        <v>0</v>
      </c>
      <c r="L31" s="3" t="s">
        <v>3870</v>
      </c>
      <c r="M31" s="3">
        <v>0</v>
      </c>
      <c r="N31" s="3">
        <v>0</v>
      </c>
      <c r="O31" s="5" t="s">
        <v>1382</v>
      </c>
      <c r="P31" s="5">
        <v>18.07</v>
      </c>
      <c r="Q31" s="5">
        <v>36.92</v>
      </c>
      <c r="R31" s="44">
        <v>0</v>
      </c>
      <c r="S31" s="44">
        <v>1.35</v>
      </c>
      <c r="T31" s="44">
        <v>0</v>
      </c>
      <c r="U31" s="44">
        <v>3.64</v>
      </c>
      <c r="V31" s="47" t="s">
        <v>1403</v>
      </c>
      <c r="W31" s="47" t="s">
        <v>3666</v>
      </c>
      <c r="X31" s="49">
        <v>20</v>
      </c>
      <c r="Y31" s="49">
        <v>17</v>
      </c>
      <c r="Z31" s="6">
        <v>100</v>
      </c>
      <c r="AA31" s="6">
        <v>1000000000</v>
      </c>
      <c r="AB31" s="6">
        <v>12</v>
      </c>
      <c r="AC31" s="4">
        <v>0.88</v>
      </c>
      <c r="AD31" s="6" t="s">
        <v>1394</v>
      </c>
      <c r="AE31" s="6">
        <v>40</v>
      </c>
      <c r="AF31" s="6">
        <v>0</v>
      </c>
      <c r="AG31" s="6">
        <v>0</v>
      </c>
      <c r="AH31" s="6">
        <v>0</v>
      </c>
      <c r="AI31" s="6">
        <v>0</v>
      </c>
      <c r="AJ31" s="6">
        <v>0</v>
      </c>
      <c r="AK31" s="6">
        <v>52</v>
      </c>
      <c r="AL31" s="4">
        <v>0.48</v>
      </c>
      <c r="AM31" s="6" t="s">
        <v>1401</v>
      </c>
      <c r="AN31" s="6">
        <v>1</v>
      </c>
      <c r="AO31" s="6">
        <v>0</v>
      </c>
      <c r="AP31" s="6">
        <v>1</v>
      </c>
      <c r="AQ31" s="6">
        <v>46</v>
      </c>
      <c r="AR31" s="6">
        <v>19.38</v>
      </c>
      <c r="AS31" s="6">
        <v>10.08</v>
      </c>
      <c r="AT31" s="6">
        <v>0.19</v>
      </c>
      <c r="AU31" s="6">
        <v>0</v>
      </c>
      <c r="AV31" s="65">
        <v>43195</v>
      </c>
      <c r="AW31" s="65">
        <v>43195</v>
      </c>
      <c r="AX31" s="6">
        <f t="array" ref="AX31">IFERROR(INDEX(Datos_Consumo[CANTIDAD],MATCH(TABLATRANSFERENCIA[[#This Row],[CODIGO]]&amp;TABLATRANSFERENCIA[[#Headers],[2017-12]],Datos_Consumo[CODIGO]&amp;Datos_Consumo[FECHA_FORMATO],0)),0)</f>
        <v>2</v>
      </c>
      <c r="AY31" s="6">
        <f t="array" ref="AY31">IFERROR(INDEX(Datos_Consumo[CANTIDAD],MATCH(TABLATRANSFERENCIA[[#This Row],[CODIGO]]&amp;TABLATRANSFERENCIA[[#Headers],[2018-1]],Datos_Consumo[CODIGO]&amp;Datos_Consumo[FECHA_FORMATO],0)),0)</f>
        <v>2</v>
      </c>
      <c r="AZ31" s="6">
        <f t="array" ref="AZ31">IFERROR(INDEX(Datos_Consumo[CANTIDAD],MATCH(TABLATRANSFERENCIA[[#This Row],[CODIGO]]&amp;TABLATRANSFERENCIA[[#Headers],[2018-2]],Datos_Consumo[CODIGO]&amp;Datos_Consumo[FECHA_FORMATO],0)),0)</f>
        <v>12</v>
      </c>
      <c r="BA31" s="6">
        <f t="array" ref="BA31">IFERROR(INDEX(Datos_Consumo[CANTIDAD],MATCH(TABLATRANSFERENCIA[[#This Row],[CODIGO]]&amp;TABLATRANSFERENCIA[[#Headers],[2018-3]],Datos_Consumo[CODIGO]&amp;Datos_Consumo[FECHA_FORMATO],0)),0)</f>
        <v>0</v>
      </c>
      <c r="BB31" s="6">
        <f t="array" ref="BB31">IFERROR(INDEX(Datos_Consumo[CANTIDAD],MATCH(TABLATRANSFERENCIA[[#This Row],[CODIGO]]&amp;TABLATRANSFERENCIA[[#Headers],[2018-4]],Datos_Consumo[CODIGO]&amp;Datos_Consumo[FECHA_FORMATO],0)),0)</f>
        <v>1</v>
      </c>
      <c r="BC31" s="6">
        <f t="array" ref="BC31">IFERROR(INDEX(Datos_Consumo[CANTIDAD],MATCH(TABLATRANSFERENCIA[[#This Row],[CODIGO]]&amp;TABLATRANSFERENCIA[[#Headers],[2018-5]],Datos_Consumo[CODIGO]&amp;Datos_Consumo[FECHA_FORMATO],0)),0)</f>
        <v>0</v>
      </c>
      <c r="BD31" s="48">
        <v>48</v>
      </c>
      <c r="BE31" s="53">
        <v>48</v>
      </c>
      <c r="BF31" s="62">
        <v>43234</v>
      </c>
      <c r="BG31" s="60">
        <v>43353</v>
      </c>
      <c r="BH31" s="49"/>
      <c r="BI31" s="49"/>
      <c r="BJ31" s="49">
        <f>IF(RIGHT(TABLATRANSFERENCIA[[#Headers],[Emb1]],1)*1&lt;=TABLATRANSFERENCIA[[#This Row],[EMBARQUES]],IF(ISBLANK(TABLATRANSFERENCIA[[#This Row],[EMBARQUES]]),TABLATRANSFERENCIA[[#This Row],[REQUERIM]],ROUND(TABLATRANSFERENCIA[[#This Row],[REQUERIM]]/TABLATRANSFERENCIA[[#This Row],[EMBARQUES]],0)),TABLATRANSFERENCIA[[#This Row],[REQUERIM]])</f>
        <v>48</v>
      </c>
      <c r="BK3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1" s="49"/>
      <c r="BP31" s="44">
        <f>IFERROR(TABLATRANSFERENCIA[[#This Row],[REQUERIM]]/TABLATRANSFERENCIA[[#This Row],[PEDIDO PROMEDIO]],0)</f>
        <v>1.0434782608695652</v>
      </c>
      <c r="BQ31" s="49"/>
      <c r="BR31" s="58"/>
      <c r="BS31" s="3">
        <f>IF(TABLATRANSFERENCIA[[#This Row],[RECIBIDO]]&lt;&gt;"",0,IF(TABLATRANSFERENCIA[[#This Row],[DESPACHO]]&lt;&gt;"",TABLATRANSFERENCIA[[#This Row],[DESPACHO]],TABLATRANSFERENCIA[[#This Row],[REQUERIM]]))</f>
        <v>48</v>
      </c>
      <c r="BT31" s="48"/>
      <c r="BU31" s="48"/>
      <c r="BV31" s="48" t="str">
        <f t="shared" si="0"/>
        <v>N</v>
      </c>
      <c r="BW31" s="49" t="s">
        <v>1388</v>
      </c>
      <c r="BX31" s="49">
        <f t="array" ref="BX3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1" s="49">
        <v>67</v>
      </c>
      <c r="CA31" s="49">
        <v>33</v>
      </c>
      <c r="CB31" s="49"/>
    </row>
    <row r="32" spans="1:80" x14ac:dyDescent="0.25">
      <c r="A32" s="52" t="s">
        <v>1427</v>
      </c>
      <c r="B32" s="3" t="s">
        <v>3879</v>
      </c>
      <c r="C32" s="3" t="s">
        <v>1382</v>
      </c>
      <c r="D32" s="3" t="s">
        <v>3878</v>
      </c>
      <c r="E32" s="3" t="s">
        <v>849</v>
      </c>
      <c r="F32" s="3">
        <v>0</v>
      </c>
      <c r="G32" s="3" t="s">
        <v>3868</v>
      </c>
      <c r="H32" s="3">
        <v>0</v>
      </c>
      <c r="I32" s="3">
        <v>0</v>
      </c>
      <c r="J32" s="3" t="s">
        <v>3869</v>
      </c>
      <c r="K32" s="3">
        <v>0</v>
      </c>
      <c r="L32" s="3" t="s">
        <v>3870</v>
      </c>
      <c r="M32" s="3">
        <v>0</v>
      </c>
      <c r="N32" s="3">
        <v>0</v>
      </c>
      <c r="O32" s="5" t="s">
        <v>1382</v>
      </c>
      <c r="P32" s="5">
        <v>13.96</v>
      </c>
      <c r="Q32" s="5">
        <v>24.7</v>
      </c>
      <c r="R32" s="44">
        <v>0</v>
      </c>
      <c r="S32" s="44">
        <v>1</v>
      </c>
      <c r="T32" s="44">
        <v>0</v>
      </c>
      <c r="U32" s="44">
        <v>0</v>
      </c>
      <c r="V32" s="47" t="s">
        <v>1403</v>
      </c>
      <c r="W32" s="47" t="s">
        <v>3666</v>
      </c>
      <c r="X32" s="49">
        <v>20</v>
      </c>
      <c r="Y32" s="49">
        <v>17</v>
      </c>
      <c r="Z32" s="6">
        <v>80</v>
      </c>
      <c r="AA32" s="6">
        <v>1000000000</v>
      </c>
      <c r="AB32" s="6">
        <v>1</v>
      </c>
      <c r="AC32" s="4">
        <v>0.99</v>
      </c>
      <c r="AD32" s="6" t="s">
        <v>1394</v>
      </c>
      <c r="AE32" s="6">
        <v>75</v>
      </c>
      <c r="AF32" s="6">
        <v>0</v>
      </c>
      <c r="AG32" s="6">
        <v>0</v>
      </c>
      <c r="AH32" s="6">
        <v>0</v>
      </c>
      <c r="AI32" s="6">
        <v>0</v>
      </c>
      <c r="AJ32" s="6">
        <v>0</v>
      </c>
      <c r="AK32" s="6">
        <v>76</v>
      </c>
      <c r="AL32" s="4">
        <v>0.05</v>
      </c>
      <c r="AM32" s="6" t="s">
        <v>1390</v>
      </c>
      <c r="AN32" s="6">
        <v>1</v>
      </c>
      <c r="AO32" s="6">
        <v>0</v>
      </c>
      <c r="AP32" s="6">
        <v>1</v>
      </c>
      <c r="AQ32" s="6">
        <v>37</v>
      </c>
      <c r="AR32" s="6">
        <v>26.67</v>
      </c>
      <c r="AS32" s="6">
        <v>25.33</v>
      </c>
      <c r="AT32" s="6">
        <v>0.33</v>
      </c>
      <c r="AU32" s="6">
        <v>0</v>
      </c>
      <c r="AV32" s="65">
        <v>43195</v>
      </c>
      <c r="AW32" s="65">
        <v>43195</v>
      </c>
      <c r="AX32" s="6">
        <f t="array" ref="AX32">IFERROR(INDEX(Datos_Consumo[CANTIDAD],MATCH(TABLATRANSFERENCIA[[#This Row],[CODIGO]]&amp;TABLATRANSFERENCIA[[#Headers],[2017-12]],Datos_Consumo[CODIGO]&amp;Datos_Consumo[FECHA_FORMATO],0)),0)</f>
        <v>6</v>
      </c>
      <c r="AY32" s="6">
        <f t="array" ref="AY32">IFERROR(INDEX(Datos_Consumo[CANTIDAD],MATCH(TABLATRANSFERENCIA[[#This Row],[CODIGO]]&amp;TABLATRANSFERENCIA[[#Headers],[2018-1]],Datos_Consumo[CODIGO]&amp;Datos_Consumo[FECHA_FORMATO],0)),0)</f>
        <v>0</v>
      </c>
      <c r="AZ32" s="6">
        <f t="array" ref="AZ32">IFERROR(INDEX(Datos_Consumo[CANTIDAD],MATCH(TABLATRANSFERENCIA[[#This Row],[CODIGO]]&amp;TABLATRANSFERENCIA[[#Headers],[2018-2]],Datos_Consumo[CODIGO]&amp;Datos_Consumo[FECHA_FORMATO],0)),0)</f>
        <v>2</v>
      </c>
      <c r="BA32" s="6">
        <f t="array" ref="BA32">IFERROR(INDEX(Datos_Consumo[CANTIDAD],MATCH(TABLATRANSFERENCIA[[#This Row],[CODIGO]]&amp;TABLATRANSFERENCIA[[#Headers],[2018-3]],Datos_Consumo[CODIGO]&amp;Datos_Consumo[FECHA_FORMATO],0)),0)</f>
        <v>4</v>
      </c>
      <c r="BB32" s="6">
        <f t="array" ref="BB32">IFERROR(INDEX(Datos_Consumo[CANTIDAD],MATCH(TABLATRANSFERENCIA[[#This Row],[CODIGO]]&amp;TABLATRANSFERENCIA[[#Headers],[2018-4]],Datos_Consumo[CODIGO]&amp;Datos_Consumo[FECHA_FORMATO],0)),0)</f>
        <v>0</v>
      </c>
      <c r="BC32" s="6">
        <f t="array" ref="BC32">IFERROR(INDEX(Datos_Consumo[CANTIDAD],MATCH(TABLATRANSFERENCIA[[#This Row],[CODIGO]]&amp;TABLATRANSFERENCIA[[#Headers],[2018-5]],Datos_Consumo[CODIGO]&amp;Datos_Consumo[FECHA_FORMATO],0)),0)</f>
        <v>0</v>
      </c>
      <c r="BD32" s="48">
        <v>4</v>
      </c>
      <c r="BE32" s="53">
        <v>4</v>
      </c>
      <c r="BF32" s="62">
        <v>43234</v>
      </c>
      <c r="BG32" s="60">
        <v>43353</v>
      </c>
      <c r="BH32" s="49"/>
      <c r="BI32" s="49"/>
      <c r="BJ32"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3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2" s="49"/>
      <c r="BP32" s="44">
        <f>IFERROR(TABLATRANSFERENCIA[[#This Row],[REQUERIM]]/TABLATRANSFERENCIA[[#This Row],[PEDIDO PROMEDIO]],0)</f>
        <v>0.10810810810810811</v>
      </c>
      <c r="BQ32" s="49"/>
      <c r="BR32" s="58"/>
      <c r="BS32" s="3">
        <f>IF(TABLATRANSFERENCIA[[#This Row],[RECIBIDO]]&lt;&gt;"",0,IF(TABLATRANSFERENCIA[[#This Row],[DESPACHO]]&lt;&gt;"",TABLATRANSFERENCIA[[#This Row],[DESPACHO]],TABLATRANSFERENCIA[[#This Row],[REQUERIM]]))</f>
        <v>4</v>
      </c>
      <c r="BT32" s="48"/>
      <c r="BU32" s="48"/>
      <c r="BV32" s="48" t="str">
        <f t="shared" si="0"/>
        <v>N</v>
      </c>
      <c r="BW32" s="49" t="s">
        <v>1388</v>
      </c>
      <c r="BX32" s="49">
        <f t="array" ref="BX3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2" s="49">
        <v>53</v>
      </c>
      <c r="CA32" s="49">
        <v>26</v>
      </c>
      <c r="CB32" s="49"/>
    </row>
    <row r="33" spans="1:80" x14ac:dyDescent="0.25">
      <c r="A33" s="52" t="s">
        <v>1428</v>
      </c>
      <c r="B33" s="3" t="s">
        <v>3891</v>
      </c>
      <c r="C33" s="3" t="s">
        <v>1382</v>
      </c>
      <c r="D33" s="3" t="s">
        <v>3890</v>
      </c>
      <c r="E33" s="3" t="s">
        <v>849</v>
      </c>
      <c r="F33" s="3">
        <v>0</v>
      </c>
      <c r="G33" s="3" t="s">
        <v>3868</v>
      </c>
      <c r="H33" s="3">
        <v>0</v>
      </c>
      <c r="I33" s="3">
        <v>0</v>
      </c>
      <c r="J33" s="3" t="s">
        <v>3869</v>
      </c>
      <c r="K33" s="3">
        <v>0</v>
      </c>
      <c r="L33" s="3" t="s">
        <v>3870</v>
      </c>
      <c r="M33" s="3">
        <v>0</v>
      </c>
      <c r="N33" s="3">
        <v>0</v>
      </c>
      <c r="O33" s="5" t="s">
        <v>1382</v>
      </c>
      <c r="P33" s="5">
        <v>19.45</v>
      </c>
      <c r="Q33" s="5">
        <v>41.87</v>
      </c>
      <c r="R33" s="44">
        <v>0</v>
      </c>
      <c r="S33" s="44">
        <v>1.5</v>
      </c>
      <c r="T33" s="44">
        <v>0</v>
      </c>
      <c r="U33" s="44">
        <v>0</v>
      </c>
      <c r="V33" s="47" t="s">
        <v>1403</v>
      </c>
      <c r="W33" s="47" t="s">
        <v>3666</v>
      </c>
      <c r="X33" s="49">
        <v>20</v>
      </c>
      <c r="Y33" s="49">
        <v>17</v>
      </c>
      <c r="Z33" s="6">
        <v>70</v>
      </c>
      <c r="AA33" s="6">
        <v>1000000000</v>
      </c>
      <c r="AB33" s="6">
        <v>9</v>
      </c>
      <c r="AC33" s="4">
        <v>0.87</v>
      </c>
      <c r="AD33" s="6" t="s">
        <v>1394</v>
      </c>
      <c r="AE33" s="6">
        <v>60</v>
      </c>
      <c r="AF33" s="6">
        <v>0</v>
      </c>
      <c r="AG33" s="6">
        <v>0</v>
      </c>
      <c r="AH33" s="6">
        <v>0</v>
      </c>
      <c r="AI33" s="6">
        <v>0</v>
      </c>
      <c r="AJ33" s="6">
        <v>0</v>
      </c>
      <c r="AK33" s="6">
        <v>69</v>
      </c>
      <c r="AL33" s="4">
        <v>0.01</v>
      </c>
      <c r="AM33" s="6" t="s">
        <v>1390</v>
      </c>
      <c r="AN33" s="6">
        <v>1</v>
      </c>
      <c r="AO33" s="6">
        <v>0</v>
      </c>
      <c r="AP33" s="6">
        <v>1</v>
      </c>
      <c r="AQ33" s="6">
        <v>32</v>
      </c>
      <c r="AR33" s="6">
        <v>19.02</v>
      </c>
      <c r="AS33" s="6">
        <v>18.75</v>
      </c>
      <c r="AT33" s="6">
        <v>0.27</v>
      </c>
      <c r="AU33" s="6">
        <v>0</v>
      </c>
      <c r="AV33" s="65">
        <v>43195</v>
      </c>
      <c r="AW33" s="65">
        <v>43195</v>
      </c>
      <c r="AX33" s="6">
        <f t="array" ref="AX33">IFERROR(INDEX(Datos_Consumo[CANTIDAD],MATCH(TABLATRANSFERENCIA[[#This Row],[CODIGO]]&amp;TABLATRANSFERENCIA[[#Headers],[2017-12]],Datos_Consumo[CODIGO]&amp;Datos_Consumo[FECHA_FORMATO],0)),0)</f>
        <v>1</v>
      </c>
      <c r="AY33" s="6">
        <f t="array" ref="AY33">IFERROR(INDEX(Datos_Consumo[CANTIDAD],MATCH(TABLATRANSFERENCIA[[#This Row],[CODIGO]]&amp;TABLATRANSFERENCIA[[#Headers],[2018-1]],Datos_Consumo[CODIGO]&amp;Datos_Consumo[FECHA_FORMATO],0)),0)</f>
        <v>4</v>
      </c>
      <c r="AZ33" s="6">
        <f t="array" ref="AZ33">IFERROR(INDEX(Datos_Consumo[CANTIDAD],MATCH(TABLATRANSFERENCIA[[#This Row],[CODIGO]]&amp;TABLATRANSFERENCIA[[#Headers],[2018-2]],Datos_Consumo[CODIGO]&amp;Datos_Consumo[FECHA_FORMATO],0)),0)</f>
        <v>2</v>
      </c>
      <c r="BA33" s="6">
        <f t="array" ref="BA33">IFERROR(INDEX(Datos_Consumo[CANTIDAD],MATCH(TABLATRANSFERENCIA[[#This Row],[CODIGO]]&amp;TABLATRANSFERENCIA[[#Headers],[2018-3]],Datos_Consumo[CODIGO]&amp;Datos_Consumo[FECHA_FORMATO],0)),0)</f>
        <v>0</v>
      </c>
      <c r="BB33" s="6">
        <f t="array" ref="BB33">IFERROR(INDEX(Datos_Consumo[CANTIDAD],MATCH(TABLATRANSFERENCIA[[#This Row],[CODIGO]]&amp;TABLATRANSFERENCIA[[#Headers],[2018-4]],Datos_Consumo[CODIGO]&amp;Datos_Consumo[FECHA_FORMATO],0)),0)</f>
        <v>2</v>
      </c>
      <c r="BC33" s="6">
        <f t="array" ref="BC33">IFERROR(INDEX(Datos_Consumo[CANTIDAD],MATCH(TABLATRANSFERENCIA[[#This Row],[CODIGO]]&amp;TABLATRANSFERENCIA[[#Headers],[2018-5]],Datos_Consumo[CODIGO]&amp;Datos_Consumo[FECHA_FORMATO],0)),0)</f>
        <v>0</v>
      </c>
      <c r="BD33" s="48">
        <v>1</v>
      </c>
      <c r="BE33" s="53">
        <v>1</v>
      </c>
      <c r="BF33" s="62">
        <v>43234</v>
      </c>
      <c r="BG33" s="60">
        <v>43353</v>
      </c>
      <c r="BH33" s="49"/>
      <c r="BI33" s="49"/>
      <c r="BJ33"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3" s="49"/>
      <c r="BP33" s="44">
        <f>IFERROR(TABLATRANSFERENCIA[[#This Row],[REQUERIM]]/TABLATRANSFERENCIA[[#This Row],[PEDIDO PROMEDIO]],0)</f>
        <v>3.125E-2</v>
      </c>
      <c r="BQ33" s="49"/>
      <c r="BR33" s="58"/>
      <c r="BS33" s="3">
        <f>IF(TABLATRANSFERENCIA[[#This Row],[RECIBIDO]]&lt;&gt;"",0,IF(TABLATRANSFERENCIA[[#This Row],[DESPACHO]]&lt;&gt;"",TABLATRANSFERENCIA[[#This Row],[DESPACHO]],TABLATRANSFERENCIA[[#This Row],[REQUERIM]]))</f>
        <v>1</v>
      </c>
      <c r="BT33" s="48"/>
      <c r="BU33" s="48"/>
      <c r="BV33" s="48" t="str">
        <f t="shared" si="0"/>
        <v>N</v>
      </c>
      <c r="BW33" s="49" t="s">
        <v>1388</v>
      </c>
      <c r="BX33" s="49">
        <f t="array" ref="BX3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3" s="49">
        <v>47</v>
      </c>
      <c r="CA33" s="49">
        <v>23</v>
      </c>
      <c r="CB33" s="49"/>
    </row>
    <row r="34" spans="1:80" x14ac:dyDescent="0.25">
      <c r="A34" s="52" t="s">
        <v>1429</v>
      </c>
      <c r="B34" s="3" t="s">
        <v>3904</v>
      </c>
      <c r="C34" s="3" t="s">
        <v>1382</v>
      </c>
      <c r="D34" s="3" t="s">
        <v>3903</v>
      </c>
      <c r="E34" s="3" t="s">
        <v>849</v>
      </c>
      <c r="F34" s="3">
        <v>0</v>
      </c>
      <c r="G34" s="3" t="s">
        <v>3868</v>
      </c>
      <c r="H34" s="3">
        <v>0</v>
      </c>
      <c r="I34" s="3">
        <v>0</v>
      </c>
      <c r="J34" s="3" t="s">
        <v>3869</v>
      </c>
      <c r="K34" s="3">
        <v>0</v>
      </c>
      <c r="L34" s="3" t="s">
        <v>3870</v>
      </c>
      <c r="M34" s="3">
        <v>0</v>
      </c>
      <c r="N34" s="3">
        <v>0</v>
      </c>
      <c r="O34" s="5" t="s">
        <v>1382</v>
      </c>
      <c r="P34" s="5">
        <v>4.5999999999999996</v>
      </c>
      <c r="Q34" s="5">
        <v>10.130000000000001</v>
      </c>
      <c r="R34" s="44">
        <v>0</v>
      </c>
      <c r="S34" s="44">
        <v>1.56</v>
      </c>
      <c r="T34" s="44">
        <v>0</v>
      </c>
      <c r="U34" s="44">
        <v>0</v>
      </c>
      <c r="V34" s="47" t="s">
        <v>1403</v>
      </c>
      <c r="W34" s="47" t="s">
        <v>3666</v>
      </c>
      <c r="X34" s="49">
        <v>20</v>
      </c>
      <c r="Y34" s="49">
        <v>17</v>
      </c>
      <c r="Z34" s="6">
        <v>500</v>
      </c>
      <c r="AA34" s="6">
        <v>1000000000</v>
      </c>
      <c r="AB34" s="6">
        <v>33</v>
      </c>
      <c r="AC34" s="4">
        <v>0.93</v>
      </c>
      <c r="AD34" s="6" t="s">
        <v>1394</v>
      </c>
      <c r="AE34" s="6">
        <v>340</v>
      </c>
      <c r="AF34" s="6">
        <v>0</v>
      </c>
      <c r="AG34" s="6">
        <v>0</v>
      </c>
      <c r="AH34" s="6">
        <v>0</v>
      </c>
      <c r="AI34" s="6">
        <v>0</v>
      </c>
      <c r="AJ34" s="6">
        <v>0</v>
      </c>
      <c r="AK34" s="6">
        <v>373</v>
      </c>
      <c r="AL34" s="4">
        <v>0.25</v>
      </c>
      <c r="AM34" s="6" t="s">
        <v>1390</v>
      </c>
      <c r="AN34" s="6">
        <v>1</v>
      </c>
      <c r="AO34" s="6">
        <v>0</v>
      </c>
      <c r="AP34" s="6">
        <v>1</v>
      </c>
      <c r="AQ34" s="6">
        <v>230</v>
      </c>
      <c r="AR34" s="6">
        <v>8.75</v>
      </c>
      <c r="AS34" s="6">
        <v>6.53</v>
      </c>
      <c r="AT34" s="6">
        <v>0.02</v>
      </c>
      <c r="AU34" s="6">
        <v>0</v>
      </c>
      <c r="AV34" s="65">
        <v>43195</v>
      </c>
      <c r="AW34" s="65">
        <v>43195</v>
      </c>
      <c r="AX34" s="6">
        <f t="array" ref="AX34">IFERROR(INDEX(Datos_Consumo[CANTIDAD],MATCH(TABLATRANSFERENCIA[[#This Row],[CODIGO]]&amp;TABLATRANSFERENCIA[[#Headers],[2017-12]],Datos_Consumo[CODIGO]&amp;Datos_Consumo[FECHA_FORMATO],0)),0)</f>
        <v>0</v>
      </c>
      <c r="AY34" s="6">
        <f t="array" ref="AY34">IFERROR(INDEX(Datos_Consumo[CANTIDAD],MATCH(TABLATRANSFERENCIA[[#This Row],[CODIGO]]&amp;TABLATRANSFERENCIA[[#Headers],[2018-1]],Datos_Consumo[CODIGO]&amp;Datos_Consumo[FECHA_FORMATO],0)),0)</f>
        <v>191</v>
      </c>
      <c r="AZ34" s="6">
        <f t="array" ref="AZ34">IFERROR(INDEX(Datos_Consumo[CANTIDAD],MATCH(TABLATRANSFERENCIA[[#This Row],[CODIGO]]&amp;TABLATRANSFERENCIA[[#Headers],[2018-2]],Datos_Consumo[CODIGO]&amp;Datos_Consumo[FECHA_FORMATO],0)),0)</f>
        <v>52</v>
      </c>
      <c r="BA34" s="6">
        <f t="array" ref="BA34">IFERROR(INDEX(Datos_Consumo[CANTIDAD],MATCH(TABLATRANSFERENCIA[[#This Row],[CODIGO]]&amp;TABLATRANSFERENCIA[[#Headers],[2018-3]],Datos_Consumo[CODIGO]&amp;Datos_Consumo[FECHA_FORMATO],0)),0)</f>
        <v>65</v>
      </c>
      <c r="BB34" s="6">
        <f t="array" ref="BB34">IFERROR(INDEX(Datos_Consumo[CANTIDAD],MATCH(TABLATRANSFERENCIA[[#This Row],[CODIGO]]&amp;TABLATRANSFERENCIA[[#Headers],[2018-4]],Datos_Consumo[CODIGO]&amp;Datos_Consumo[FECHA_FORMATO],0)),0)</f>
        <v>62</v>
      </c>
      <c r="BC34" s="6">
        <f t="array" ref="BC34">IFERROR(INDEX(Datos_Consumo[CANTIDAD],MATCH(TABLATRANSFERENCIA[[#This Row],[CODIGO]]&amp;TABLATRANSFERENCIA[[#Headers],[2018-5]],Datos_Consumo[CODIGO]&amp;Datos_Consumo[FECHA_FORMATO],0)),0)</f>
        <v>3</v>
      </c>
      <c r="BD34" s="48">
        <v>127</v>
      </c>
      <c r="BE34" s="53">
        <v>127</v>
      </c>
      <c r="BF34" s="62">
        <v>43234</v>
      </c>
      <c r="BG34" s="60">
        <v>43353</v>
      </c>
      <c r="BH34" s="49"/>
      <c r="BI34" s="49"/>
      <c r="BJ34" s="49">
        <f>IF(RIGHT(TABLATRANSFERENCIA[[#Headers],[Emb1]],1)*1&lt;=TABLATRANSFERENCIA[[#This Row],[EMBARQUES]],IF(ISBLANK(TABLATRANSFERENCIA[[#This Row],[EMBARQUES]]),TABLATRANSFERENCIA[[#This Row],[REQUERIM]],ROUND(TABLATRANSFERENCIA[[#This Row],[REQUERIM]]/TABLATRANSFERENCIA[[#This Row],[EMBARQUES]],0)),TABLATRANSFERENCIA[[#This Row],[REQUERIM]])</f>
        <v>127</v>
      </c>
      <c r="BK3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4" s="49"/>
      <c r="BP34" s="44">
        <f>IFERROR(TABLATRANSFERENCIA[[#This Row],[REQUERIM]]/TABLATRANSFERENCIA[[#This Row],[PEDIDO PROMEDIO]],0)</f>
        <v>0.55217391304347829</v>
      </c>
      <c r="BQ34" s="49"/>
      <c r="BR34" s="58"/>
      <c r="BS34" s="3">
        <f>IF(TABLATRANSFERENCIA[[#This Row],[RECIBIDO]]&lt;&gt;"",0,IF(TABLATRANSFERENCIA[[#This Row],[DESPACHO]]&lt;&gt;"",TABLATRANSFERENCIA[[#This Row],[DESPACHO]],TABLATRANSFERENCIA[[#This Row],[REQUERIM]]))</f>
        <v>127</v>
      </c>
      <c r="BT34" s="48"/>
      <c r="BU34" s="48"/>
      <c r="BV34" s="48" t="str">
        <f t="shared" si="0"/>
        <v>N</v>
      </c>
      <c r="BW34" s="49" t="s">
        <v>1388</v>
      </c>
      <c r="BX34" s="49">
        <f t="array" ref="BX3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4" s="49">
        <v>333</v>
      </c>
      <c r="CA34" s="49">
        <v>165</v>
      </c>
      <c r="CB34" s="49"/>
    </row>
    <row r="35" spans="1:80" x14ac:dyDescent="0.25">
      <c r="A35" s="52" t="s">
        <v>1430</v>
      </c>
      <c r="B35" s="3" t="s">
        <v>3909</v>
      </c>
      <c r="C35" s="3" t="s">
        <v>1382</v>
      </c>
      <c r="D35" s="3" t="s">
        <v>3908</v>
      </c>
      <c r="E35" s="3" t="s">
        <v>849</v>
      </c>
      <c r="F35" s="3">
        <v>0</v>
      </c>
      <c r="G35" s="3" t="s">
        <v>3910</v>
      </c>
      <c r="H35" s="3">
        <v>0</v>
      </c>
      <c r="I35" s="3">
        <v>0</v>
      </c>
      <c r="J35" s="3" t="s">
        <v>872</v>
      </c>
      <c r="K35" s="3">
        <v>0</v>
      </c>
      <c r="L35" s="3" t="s">
        <v>3870</v>
      </c>
      <c r="M35" s="3">
        <v>0</v>
      </c>
      <c r="N35" s="3">
        <v>0</v>
      </c>
      <c r="O35" s="5" t="s">
        <v>1382</v>
      </c>
      <c r="P35" s="5">
        <v>46.95</v>
      </c>
      <c r="Q35" s="5">
        <v>101.65</v>
      </c>
      <c r="R35" s="44">
        <v>0</v>
      </c>
      <c r="S35" s="44">
        <v>1.51</v>
      </c>
      <c r="T35" s="44">
        <v>0</v>
      </c>
      <c r="U35" s="44">
        <v>2</v>
      </c>
      <c r="V35" s="47" t="s">
        <v>1403</v>
      </c>
      <c r="W35" s="47" t="s">
        <v>3666</v>
      </c>
      <c r="X35" s="49">
        <v>20</v>
      </c>
      <c r="Y35" s="49">
        <v>17</v>
      </c>
      <c r="Z35" s="6">
        <v>140</v>
      </c>
      <c r="AA35" s="6">
        <v>1000000000</v>
      </c>
      <c r="AB35" s="6">
        <v>123</v>
      </c>
      <c r="AC35" s="4">
        <v>0.12</v>
      </c>
      <c r="AD35" s="6" t="s">
        <v>1390</v>
      </c>
      <c r="AE35" s="6">
        <v>10</v>
      </c>
      <c r="AF35" s="6">
        <v>0</v>
      </c>
      <c r="AG35" s="6">
        <v>0</v>
      </c>
      <c r="AH35" s="6">
        <v>0</v>
      </c>
      <c r="AI35" s="6">
        <v>0</v>
      </c>
      <c r="AJ35" s="6">
        <v>0</v>
      </c>
      <c r="AK35" s="6">
        <v>133</v>
      </c>
      <c r="AL35" s="4">
        <v>0.05</v>
      </c>
      <c r="AM35" s="6" t="s">
        <v>1390</v>
      </c>
      <c r="AN35" s="6">
        <v>1</v>
      </c>
      <c r="AO35" s="6">
        <v>0</v>
      </c>
      <c r="AP35" s="6">
        <v>1</v>
      </c>
      <c r="AQ35" s="6">
        <v>64</v>
      </c>
      <c r="AR35" s="6">
        <v>38.04</v>
      </c>
      <c r="AS35" s="6">
        <v>36.14</v>
      </c>
      <c r="AT35" s="6">
        <v>0.27</v>
      </c>
      <c r="AU35" s="6">
        <v>0</v>
      </c>
      <c r="AV35" s="65">
        <v>43195</v>
      </c>
      <c r="AW35" s="65">
        <v>43122</v>
      </c>
      <c r="AX35" s="6">
        <f t="array" ref="AX35">IFERROR(INDEX(Datos_Consumo[CANTIDAD],MATCH(TABLATRANSFERENCIA[[#This Row],[CODIGO]]&amp;TABLATRANSFERENCIA[[#Headers],[2017-12]],Datos_Consumo[CODIGO]&amp;Datos_Consumo[FECHA_FORMATO],0)),0)</f>
        <v>2</v>
      </c>
      <c r="AY35" s="6">
        <f t="array" ref="AY35">IFERROR(INDEX(Datos_Consumo[CANTIDAD],MATCH(TABLATRANSFERENCIA[[#This Row],[CODIGO]]&amp;TABLATRANSFERENCIA[[#Headers],[2018-1]],Datos_Consumo[CODIGO]&amp;Datos_Consumo[FECHA_FORMATO],0)),0)</f>
        <v>0</v>
      </c>
      <c r="AZ35" s="6">
        <f t="array" ref="AZ35">IFERROR(INDEX(Datos_Consumo[CANTIDAD],MATCH(TABLATRANSFERENCIA[[#This Row],[CODIGO]]&amp;TABLATRANSFERENCIA[[#Headers],[2018-2]],Datos_Consumo[CODIGO]&amp;Datos_Consumo[FECHA_FORMATO],0)),0)</f>
        <v>4</v>
      </c>
      <c r="BA35" s="6">
        <f t="array" ref="BA35">IFERROR(INDEX(Datos_Consumo[CANTIDAD],MATCH(TABLATRANSFERENCIA[[#This Row],[CODIGO]]&amp;TABLATRANSFERENCIA[[#Headers],[2018-3]],Datos_Consumo[CODIGO]&amp;Datos_Consumo[FECHA_FORMATO],0)),0)</f>
        <v>6</v>
      </c>
      <c r="BB35" s="6">
        <f t="array" ref="BB35">IFERROR(INDEX(Datos_Consumo[CANTIDAD],MATCH(TABLATRANSFERENCIA[[#This Row],[CODIGO]]&amp;TABLATRANSFERENCIA[[#Headers],[2018-4]],Datos_Consumo[CODIGO]&amp;Datos_Consumo[FECHA_FORMATO],0)),0)</f>
        <v>3</v>
      </c>
      <c r="BC35" s="6">
        <f t="array" ref="BC35">IFERROR(INDEX(Datos_Consumo[CANTIDAD],MATCH(TABLATRANSFERENCIA[[#This Row],[CODIGO]]&amp;TABLATRANSFERENCIA[[#Headers],[2018-5]],Datos_Consumo[CODIGO]&amp;Datos_Consumo[FECHA_FORMATO],0)),0)</f>
        <v>1</v>
      </c>
      <c r="BD35" s="48">
        <v>7</v>
      </c>
      <c r="BE35" s="53">
        <v>7</v>
      </c>
      <c r="BF35" s="62">
        <v>43234</v>
      </c>
      <c r="BG35" s="60">
        <v>43353</v>
      </c>
      <c r="BH35" s="49"/>
      <c r="BI35" s="49"/>
      <c r="BJ35" s="49">
        <f>IF(RIGHT(TABLATRANSFERENCIA[[#Headers],[Emb1]],1)*1&lt;=TABLATRANSFERENCIA[[#This Row],[EMBARQUES]],IF(ISBLANK(TABLATRANSFERENCIA[[#This Row],[EMBARQUES]]),TABLATRANSFERENCIA[[#This Row],[REQUERIM]],ROUND(TABLATRANSFERENCIA[[#This Row],[REQUERIM]]/TABLATRANSFERENCIA[[#This Row],[EMBARQUES]],0)),TABLATRANSFERENCIA[[#This Row],[REQUERIM]])</f>
        <v>7</v>
      </c>
      <c r="BK3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5" s="49"/>
      <c r="BP35" s="44">
        <f>IFERROR(TABLATRANSFERENCIA[[#This Row],[REQUERIM]]/TABLATRANSFERENCIA[[#This Row],[PEDIDO PROMEDIO]],0)</f>
        <v>0.109375</v>
      </c>
      <c r="BQ35" s="49"/>
      <c r="BR35" s="58"/>
      <c r="BS35" s="3">
        <f>IF(TABLATRANSFERENCIA[[#This Row],[RECIBIDO]]&lt;&gt;"",0,IF(TABLATRANSFERENCIA[[#This Row],[DESPACHO]]&lt;&gt;"",TABLATRANSFERENCIA[[#This Row],[DESPACHO]],TABLATRANSFERENCIA[[#This Row],[REQUERIM]]))</f>
        <v>7</v>
      </c>
      <c r="BT35" s="48"/>
      <c r="BU35" s="48"/>
      <c r="BV35" s="48" t="str">
        <f t="shared" si="0"/>
        <v>N</v>
      </c>
      <c r="BW35" s="49" t="s">
        <v>1388</v>
      </c>
      <c r="BX35" s="49">
        <f t="array" ref="BX3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5" s="49">
        <v>93</v>
      </c>
      <c r="CA35" s="49">
        <v>46</v>
      </c>
      <c r="CB35" s="49"/>
    </row>
    <row r="36" spans="1:80" x14ac:dyDescent="0.25">
      <c r="A36" s="52" t="s">
        <v>1431</v>
      </c>
      <c r="B36" s="3" t="s">
        <v>3917</v>
      </c>
      <c r="C36" s="3" t="s">
        <v>1382</v>
      </c>
      <c r="D36" s="3" t="s">
        <v>3915</v>
      </c>
      <c r="E36" s="3" t="s">
        <v>849</v>
      </c>
      <c r="F36" s="3">
        <v>0</v>
      </c>
      <c r="G36" s="3" t="s">
        <v>3868</v>
      </c>
      <c r="H36" s="3">
        <v>0</v>
      </c>
      <c r="I36" s="3">
        <v>0</v>
      </c>
      <c r="J36" s="3" t="s">
        <v>3869</v>
      </c>
      <c r="K36" s="3">
        <v>0</v>
      </c>
      <c r="L36" s="3" t="s">
        <v>3870</v>
      </c>
      <c r="M36" s="3">
        <v>0</v>
      </c>
      <c r="N36" s="3">
        <v>0</v>
      </c>
      <c r="O36" s="5" t="s">
        <v>1382</v>
      </c>
      <c r="P36" s="5">
        <v>40.25</v>
      </c>
      <c r="Q36" s="5">
        <v>88.13</v>
      </c>
      <c r="R36" s="44">
        <v>0</v>
      </c>
      <c r="S36" s="44">
        <v>2.2799999999999998</v>
      </c>
      <c r="T36" s="44">
        <v>0</v>
      </c>
      <c r="U36" s="44">
        <v>0</v>
      </c>
      <c r="V36" s="47" t="s">
        <v>1403</v>
      </c>
      <c r="W36" s="47" t="s">
        <v>3899</v>
      </c>
      <c r="X36" s="49">
        <v>12</v>
      </c>
      <c r="Y36" s="49">
        <v>13</v>
      </c>
      <c r="Z36" s="6">
        <v>20</v>
      </c>
      <c r="AA36" s="6">
        <v>1000000000</v>
      </c>
      <c r="AB36" s="6">
        <v>5</v>
      </c>
      <c r="AC36" s="4">
        <v>0.75</v>
      </c>
      <c r="AD36" s="6" t="s">
        <v>1394</v>
      </c>
      <c r="AE36" s="6">
        <v>10</v>
      </c>
      <c r="AF36" s="6">
        <v>0</v>
      </c>
      <c r="AG36" s="6">
        <v>0</v>
      </c>
      <c r="AH36" s="6">
        <v>0</v>
      </c>
      <c r="AI36" s="6">
        <v>0</v>
      </c>
      <c r="AJ36" s="6">
        <v>0</v>
      </c>
      <c r="AK36" s="6">
        <v>15</v>
      </c>
      <c r="AL36" s="4">
        <v>0.25</v>
      </c>
      <c r="AM36" s="6" t="s">
        <v>1390</v>
      </c>
      <c r="AN36" s="6">
        <v>1</v>
      </c>
      <c r="AO36" s="6">
        <v>0</v>
      </c>
      <c r="AP36" s="6">
        <v>1</v>
      </c>
      <c r="AQ36" s="6">
        <v>10</v>
      </c>
      <c r="AR36" s="6">
        <v>7.94</v>
      </c>
      <c r="AS36" s="6">
        <v>5.95</v>
      </c>
      <c r="AT36" s="6">
        <v>0.4</v>
      </c>
      <c r="AU36" s="6">
        <v>0</v>
      </c>
      <c r="AV36" s="65">
        <v>43195</v>
      </c>
      <c r="AW36" s="65">
        <v>43195</v>
      </c>
      <c r="AX36" s="6">
        <f t="array" ref="AX36">IFERROR(INDEX(Datos_Consumo[CANTIDAD],MATCH(TABLATRANSFERENCIA[[#This Row],[CODIGO]]&amp;TABLATRANSFERENCIA[[#Headers],[2017-12]],Datos_Consumo[CODIGO]&amp;Datos_Consumo[FECHA_FORMATO],0)),0)</f>
        <v>2</v>
      </c>
      <c r="AY36" s="6">
        <f t="array" ref="AY36">IFERROR(INDEX(Datos_Consumo[CANTIDAD],MATCH(TABLATRANSFERENCIA[[#This Row],[CODIGO]]&amp;TABLATRANSFERENCIA[[#Headers],[2018-1]],Datos_Consumo[CODIGO]&amp;Datos_Consumo[FECHA_FORMATO],0)),0)</f>
        <v>1</v>
      </c>
      <c r="AZ36" s="6">
        <f t="array" ref="AZ36">IFERROR(INDEX(Datos_Consumo[CANTIDAD],MATCH(TABLATRANSFERENCIA[[#This Row],[CODIGO]]&amp;TABLATRANSFERENCIA[[#Headers],[2018-2]],Datos_Consumo[CODIGO]&amp;Datos_Consumo[FECHA_FORMATO],0)),0)</f>
        <v>2</v>
      </c>
      <c r="BA36" s="6">
        <f t="array" ref="BA36">IFERROR(INDEX(Datos_Consumo[CANTIDAD],MATCH(TABLATRANSFERENCIA[[#This Row],[CODIGO]]&amp;TABLATRANSFERENCIA[[#Headers],[2018-3]],Datos_Consumo[CODIGO]&amp;Datos_Consumo[FECHA_FORMATO],0)),0)</f>
        <v>0</v>
      </c>
      <c r="BB36" s="6">
        <f t="array" ref="BB36">IFERROR(INDEX(Datos_Consumo[CANTIDAD],MATCH(TABLATRANSFERENCIA[[#This Row],[CODIGO]]&amp;TABLATRANSFERENCIA[[#Headers],[2018-4]],Datos_Consumo[CODIGO]&amp;Datos_Consumo[FECHA_FORMATO],0)),0)</f>
        <v>6</v>
      </c>
      <c r="BC36" s="6">
        <f t="array" ref="BC36">IFERROR(INDEX(Datos_Consumo[CANTIDAD],MATCH(TABLATRANSFERENCIA[[#This Row],[CODIGO]]&amp;TABLATRANSFERENCIA[[#Headers],[2018-5]],Datos_Consumo[CODIGO]&amp;Datos_Consumo[FECHA_FORMATO],0)),0)</f>
        <v>0</v>
      </c>
      <c r="BD36" s="48">
        <v>5</v>
      </c>
      <c r="BE36" s="53">
        <v>5</v>
      </c>
      <c r="BF36" s="62">
        <v>43234</v>
      </c>
      <c r="BG36" s="60">
        <v>43325</v>
      </c>
      <c r="BH36" s="49"/>
      <c r="BI36" s="49"/>
      <c r="BJ36"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3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6" s="49"/>
      <c r="BP36" s="44">
        <f>IFERROR(TABLATRANSFERENCIA[[#This Row],[REQUERIM]]/TABLATRANSFERENCIA[[#This Row],[PEDIDO PROMEDIO]],0)</f>
        <v>0.5</v>
      </c>
      <c r="BQ36" s="49"/>
      <c r="BR36" s="58"/>
      <c r="BS36" s="3">
        <f>IF(TABLATRANSFERENCIA[[#This Row],[RECIBIDO]]&lt;&gt;"",0,IF(TABLATRANSFERENCIA[[#This Row],[DESPACHO]]&lt;&gt;"",TABLATRANSFERENCIA[[#This Row],[DESPACHO]],TABLATRANSFERENCIA[[#This Row],[REQUERIM]]))</f>
        <v>5</v>
      </c>
      <c r="BT36" s="48"/>
      <c r="BU36" s="48"/>
      <c r="BV36" s="48" t="str">
        <f t="shared" si="0"/>
        <v>N</v>
      </c>
      <c r="BW36" s="49" t="s">
        <v>1388</v>
      </c>
      <c r="BX36" s="49">
        <f t="array" ref="BX3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6" s="49">
        <v>13</v>
      </c>
      <c r="CA36" s="49">
        <v>7</v>
      </c>
      <c r="CB36" s="49"/>
    </row>
    <row r="37" spans="1:80" x14ac:dyDescent="0.25">
      <c r="A37" s="52" t="s">
        <v>1432</v>
      </c>
      <c r="B37" s="3" t="s">
        <v>3925</v>
      </c>
      <c r="C37" s="3" t="s">
        <v>1382</v>
      </c>
      <c r="D37" s="3" t="s">
        <v>3924</v>
      </c>
      <c r="E37" s="3" t="s">
        <v>849</v>
      </c>
      <c r="F37" s="3">
        <v>0</v>
      </c>
      <c r="G37" s="3" t="s">
        <v>3926</v>
      </c>
      <c r="H37" s="3">
        <v>0</v>
      </c>
      <c r="I37" s="3">
        <v>0</v>
      </c>
      <c r="J37" s="3" t="s">
        <v>3771</v>
      </c>
      <c r="K37" s="3">
        <v>0</v>
      </c>
      <c r="L37" s="3" t="s">
        <v>3870</v>
      </c>
      <c r="M37" s="3">
        <v>0</v>
      </c>
      <c r="N37" s="3">
        <v>0</v>
      </c>
      <c r="O37" s="5" t="s">
        <v>1382</v>
      </c>
      <c r="P37" s="5">
        <v>5.0999999999999996</v>
      </c>
      <c r="Q37" s="5">
        <v>10.14</v>
      </c>
      <c r="R37" s="44">
        <v>0</v>
      </c>
      <c r="S37" s="44">
        <v>1.28</v>
      </c>
      <c r="T37" s="44">
        <v>0</v>
      </c>
      <c r="U37" s="44">
        <v>1</v>
      </c>
      <c r="V37" s="47" t="s">
        <v>1403</v>
      </c>
      <c r="W37" s="47" t="s">
        <v>3666</v>
      </c>
      <c r="X37" s="49">
        <v>20</v>
      </c>
      <c r="Y37" s="49">
        <v>17</v>
      </c>
      <c r="Z37" s="6">
        <v>5</v>
      </c>
      <c r="AA37" s="6">
        <v>1000000000</v>
      </c>
      <c r="AB37" s="6">
        <v>2</v>
      </c>
      <c r="AC37" s="4">
        <v>0.6</v>
      </c>
      <c r="AD37" s="6" t="s">
        <v>1394</v>
      </c>
      <c r="AE37" s="6">
        <v>0</v>
      </c>
      <c r="AF37" s="6">
        <v>0</v>
      </c>
      <c r="AG37" s="6">
        <v>0</v>
      </c>
      <c r="AH37" s="6">
        <v>0</v>
      </c>
      <c r="AI37" s="6">
        <v>0</v>
      </c>
      <c r="AJ37" s="6">
        <v>0</v>
      </c>
      <c r="AK37" s="6">
        <v>2</v>
      </c>
      <c r="AL37" s="4">
        <v>0.6</v>
      </c>
      <c r="AM37" s="6" t="s">
        <v>1394</v>
      </c>
      <c r="AN37" s="6">
        <v>1</v>
      </c>
      <c r="AO37" s="6">
        <v>0</v>
      </c>
      <c r="AP37" s="6">
        <v>1</v>
      </c>
      <c r="AQ37" s="6">
        <v>2</v>
      </c>
      <c r="AR37" s="6">
        <v>7.35</v>
      </c>
      <c r="AS37" s="6">
        <v>2.94</v>
      </c>
      <c r="AT37" s="6">
        <v>1.47</v>
      </c>
      <c r="AU37" s="6">
        <v>0</v>
      </c>
      <c r="AV37" s="65">
        <v>43132</v>
      </c>
      <c r="AW37" s="65">
        <v>43195</v>
      </c>
      <c r="AX37" s="6">
        <f t="array" ref="AX37">IFERROR(INDEX(Datos_Consumo[CANTIDAD],MATCH(TABLATRANSFERENCIA[[#This Row],[CODIGO]]&amp;TABLATRANSFERENCIA[[#Headers],[2017-12]],Datos_Consumo[CODIGO]&amp;Datos_Consumo[FECHA_FORMATO],0)),0)</f>
        <v>1</v>
      </c>
      <c r="AY37" s="6">
        <f t="array" ref="AY37">IFERROR(INDEX(Datos_Consumo[CANTIDAD],MATCH(TABLATRANSFERENCIA[[#This Row],[CODIGO]]&amp;TABLATRANSFERENCIA[[#Headers],[2018-1]],Datos_Consumo[CODIGO]&amp;Datos_Consumo[FECHA_FORMATO],0)),0)</f>
        <v>1</v>
      </c>
      <c r="AZ37" s="6">
        <f t="array" ref="AZ37">IFERROR(INDEX(Datos_Consumo[CANTIDAD],MATCH(TABLATRANSFERENCIA[[#This Row],[CODIGO]]&amp;TABLATRANSFERENCIA[[#Headers],[2018-2]],Datos_Consumo[CODIGO]&amp;Datos_Consumo[FECHA_FORMATO],0)),0)</f>
        <v>2</v>
      </c>
      <c r="BA37" s="6">
        <f t="array" ref="BA37">IFERROR(INDEX(Datos_Consumo[CANTIDAD],MATCH(TABLATRANSFERENCIA[[#This Row],[CODIGO]]&amp;TABLATRANSFERENCIA[[#Headers],[2018-3]],Datos_Consumo[CODIGO]&amp;Datos_Consumo[FECHA_FORMATO],0)),0)</f>
        <v>0</v>
      </c>
      <c r="BB37" s="6">
        <f t="array" ref="BB37">IFERROR(INDEX(Datos_Consumo[CANTIDAD],MATCH(TABLATRANSFERENCIA[[#This Row],[CODIGO]]&amp;TABLATRANSFERENCIA[[#Headers],[2018-4]],Datos_Consumo[CODIGO]&amp;Datos_Consumo[FECHA_FORMATO],0)),0)</f>
        <v>0</v>
      </c>
      <c r="BC37" s="6">
        <f t="array" ref="BC37">IFERROR(INDEX(Datos_Consumo[CANTIDAD],MATCH(TABLATRANSFERENCIA[[#This Row],[CODIGO]]&amp;TABLATRANSFERENCIA[[#Headers],[2018-5]],Datos_Consumo[CODIGO]&amp;Datos_Consumo[FECHA_FORMATO],0)),0)</f>
        <v>0</v>
      </c>
      <c r="BD37" s="48">
        <v>3</v>
      </c>
      <c r="BE37" s="53">
        <v>3</v>
      </c>
      <c r="BF37" s="62">
        <v>43234</v>
      </c>
      <c r="BG37" s="60">
        <v>43353</v>
      </c>
      <c r="BH37" s="49"/>
      <c r="BI37" s="49"/>
      <c r="BJ3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3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7" s="49"/>
      <c r="BP37" s="44">
        <f>IFERROR(TABLATRANSFERENCIA[[#This Row],[REQUERIM]]/TABLATRANSFERENCIA[[#This Row],[PEDIDO PROMEDIO]],0)</f>
        <v>1.5</v>
      </c>
      <c r="BQ37" s="49"/>
      <c r="BR37" s="58"/>
      <c r="BS37" s="3">
        <f>IF(TABLATRANSFERENCIA[[#This Row],[RECIBIDO]]&lt;&gt;"",0,IF(TABLATRANSFERENCIA[[#This Row],[DESPACHO]]&lt;&gt;"",TABLATRANSFERENCIA[[#This Row],[DESPACHO]],TABLATRANSFERENCIA[[#This Row],[REQUERIM]]))</f>
        <v>3</v>
      </c>
      <c r="BT37" s="48"/>
      <c r="BU37" s="48"/>
      <c r="BV37" s="48" t="str">
        <f t="shared" si="0"/>
        <v>N</v>
      </c>
      <c r="BW37" s="49" t="s">
        <v>1388</v>
      </c>
      <c r="BX37" s="49">
        <f t="array" ref="BX3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7" s="49">
        <v>3</v>
      </c>
      <c r="CA37" s="49">
        <v>2</v>
      </c>
      <c r="CB37" s="49"/>
    </row>
    <row r="38" spans="1:80" x14ac:dyDescent="0.25">
      <c r="A38" s="52" t="s">
        <v>1433</v>
      </c>
      <c r="B38" s="3" t="s">
        <v>3937</v>
      </c>
      <c r="C38" s="3" t="s">
        <v>1382</v>
      </c>
      <c r="D38" s="3" t="s">
        <v>3936</v>
      </c>
      <c r="E38" s="3" t="s">
        <v>849</v>
      </c>
      <c r="F38" s="3">
        <v>0</v>
      </c>
      <c r="G38" s="3" t="s">
        <v>3868</v>
      </c>
      <c r="H38" s="3">
        <v>0</v>
      </c>
      <c r="I38" s="3">
        <v>0</v>
      </c>
      <c r="J38" s="3" t="s">
        <v>3869</v>
      </c>
      <c r="K38" s="3">
        <v>0</v>
      </c>
      <c r="L38" s="3" t="s">
        <v>3870</v>
      </c>
      <c r="M38" s="3">
        <v>0</v>
      </c>
      <c r="N38" s="3">
        <v>0</v>
      </c>
      <c r="O38" s="5" t="s">
        <v>1382</v>
      </c>
      <c r="P38" s="5">
        <v>16.25</v>
      </c>
      <c r="Q38" s="5">
        <v>34.33</v>
      </c>
      <c r="R38" s="44">
        <v>0</v>
      </c>
      <c r="S38" s="44">
        <v>1.44</v>
      </c>
      <c r="T38" s="44">
        <v>0</v>
      </c>
      <c r="U38" s="44">
        <v>0.48</v>
      </c>
      <c r="V38" s="47" t="s">
        <v>1403</v>
      </c>
      <c r="W38" s="47" t="s">
        <v>3666</v>
      </c>
      <c r="X38" s="49">
        <v>20</v>
      </c>
      <c r="Y38" s="49">
        <v>17</v>
      </c>
      <c r="Z38" s="6">
        <v>200</v>
      </c>
      <c r="AA38" s="6">
        <v>1000000000</v>
      </c>
      <c r="AB38" s="6">
        <v>45</v>
      </c>
      <c r="AC38" s="4">
        <v>0.78</v>
      </c>
      <c r="AD38" s="6" t="s">
        <v>1394</v>
      </c>
      <c r="AE38" s="6">
        <v>40</v>
      </c>
      <c r="AF38" s="6">
        <v>0</v>
      </c>
      <c r="AG38" s="6">
        <v>0</v>
      </c>
      <c r="AH38" s="6">
        <v>0</v>
      </c>
      <c r="AI38" s="6">
        <v>0</v>
      </c>
      <c r="AJ38" s="6">
        <v>0</v>
      </c>
      <c r="AK38" s="6">
        <v>85</v>
      </c>
      <c r="AL38" s="4">
        <v>0.57999999999999996</v>
      </c>
      <c r="AM38" s="6" t="s">
        <v>1401</v>
      </c>
      <c r="AN38" s="6">
        <v>1</v>
      </c>
      <c r="AO38" s="6">
        <v>0</v>
      </c>
      <c r="AP38" s="6">
        <v>1</v>
      </c>
      <c r="AQ38" s="6">
        <v>92</v>
      </c>
      <c r="AR38" s="6">
        <v>42.74</v>
      </c>
      <c r="AS38" s="6">
        <v>18.16</v>
      </c>
      <c r="AT38" s="6">
        <v>0.21</v>
      </c>
      <c r="AU38" s="6">
        <v>0</v>
      </c>
      <c r="AV38" s="65">
        <v>43195</v>
      </c>
      <c r="AW38" s="65">
        <v>43195</v>
      </c>
      <c r="AX38" s="6">
        <f t="array" ref="AX38">IFERROR(INDEX(Datos_Consumo[CANTIDAD],MATCH(TABLATRANSFERENCIA[[#This Row],[CODIGO]]&amp;TABLATRANSFERENCIA[[#Headers],[2017-12]],Datos_Consumo[CODIGO]&amp;Datos_Consumo[FECHA_FORMATO],0)),0)</f>
        <v>0</v>
      </c>
      <c r="AY38" s="6">
        <f t="array" ref="AY38">IFERROR(INDEX(Datos_Consumo[CANTIDAD],MATCH(TABLATRANSFERENCIA[[#This Row],[CODIGO]]&amp;TABLATRANSFERENCIA[[#Headers],[2018-1]],Datos_Consumo[CODIGO]&amp;Datos_Consumo[FECHA_FORMATO],0)),0)</f>
        <v>6</v>
      </c>
      <c r="AZ38" s="6">
        <f t="array" ref="AZ38">IFERROR(INDEX(Datos_Consumo[CANTIDAD],MATCH(TABLATRANSFERENCIA[[#This Row],[CODIGO]]&amp;TABLATRANSFERENCIA[[#Headers],[2018-2]],Datos_Consumo[CODIGO]&amp;Datos_Consumo[FECHA_FORMATO],0)),0)</f>
        <v>15</v>
      </c>
      <c r="BA38" s="6">
        <f t="array" ref="BA38">IFERROR(INDEX(Datos_Consumo[CANTIDAD],MATCH(TABLATRANSFERENCIA[[#This Row],[CODIGO]]&amp;TABLATRANSFERENCIA[[#Headers],[2018-3]],Datos_Consumo[CODIGO]&amp;Datos_Consumo[FECHA_FORMATO],0)),0)</f>
        <v>0</v>
      </c>
      <c r="BB38" s="6">
        <f t="array" ref="BB38">IFERROR(INDEX(Datos_Consumo[CANTIDAD],MATCH(TABLATRANSFERENCIA[[#This Row],[CODIGO]]&amp;TABLATRANSFERENCIA[[#Headers],[2018-4]],Datos_Consumo[CODIGO]&amp;Datos_Consumo[FECHA_FORMATO],0)),0)</f>
        <v>2</v>
      </c>
      <c r="BC38" s="6">
        <f t="array" ref="BC38">IFERROR(INDEX(Datos_Consumo[CANTIDAD],MATCH(TABLATRANSFERENCIA[[#This Row],[CODIGO]]&amp;TABLATRANSFERENCIA[[#Headers],[2018-5]],Datos_Consumo[CODIGO]&amp;Datos_Consumo[FECHA_FORMATO],0)),0)</f>
        <v>4</v>
      </c>
      <c r="BD38" s="48">
        <v>115</v>
      </c>
      <c r="BE38" s="53">
        <v>115</v>
      </c>
      <c r="BF38" s="62">
        <v>43234</v>
      </c>
      <c r="BG38" s="60">
        <v>43353</v>
      </c>
      <c r="BH38" s="49"/>
      <c r="BI38" s="49"/>
      <c r="BJ38" s="49">
        <f>IF(RIGHT(TABLATRANSFERENCIA[[#Headers],[Emb1]],1)*1&lt;=TABLATRANSFERENCIA[[#This Row],[EMBARQUES]],IF(ISBLANK(TABLATRANSFERENCIA[[#This Row],[EMBARQUES]]),TABLATRANSFERENCIA[[#This Row],[REQUERIM]],ROUND(TABLATRANSFERENCIA[[#This Row],[REQUERIM]]/TABLATRANSFERENCIA[[#This Row],[EMBARQUES]],0)),TABLATRANSFERENCIA[[#This Row],[REQUERIM]])</f>
        <v>115</v>
      </c>
      <c r="BK3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8" s="49"/>
      <c r="BP38" s="44">
        <f>IFERROR(TABLATRANSFERENCIA[[#This Row],[REQUERIM]]/TABLATRANSFERENCIA[[#This Row],[PEDIDO PROMEDIO]],0)</f>
        <v>1.25</v>
      </c>
      <c r="BQ38" s="49"/>
      <c r="BR38" s="58"/>
      <c r="BS38" s="3">
        <f>IF(TABLATRANSFERENCIA[[#This Row],[RECIBIDO]]&lt;&gt;"",0,IF(TABLATRANSFERENCIA[[#This Row],[DESPACHO]]&lt;&gt;"",TABLATRANSFERENCIA[[#This Row],[DESPACHO]],TABLATRANSFERENCIA[[#This Row],[REQUERIM]]))</f>
        <v>115</v>
      </c>
      <c r="BT38" s="48"/>
      <c r="BU38" s="48"/>
      <c r="BV38" s="48" t="str">
        <f t="shared" si="0"/>
        <v>N</v>
      </c>
      <c r="BW38" s="49" t="s">
        <v>1388</v>
      </c>
      <c r="BX38" s="49">
        <f t="array" ref="BX3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8" s="49">
        <v>133</v>
      </c>
      <c r="CA38" s="49">
        <v>66</v>
      </c>
      <c r="CB38" s="49"/>
    </row>
    <row r="39" spans="1:80" x14ac:dyDescent="0.25">
      <c r="A39" s="52" t="s">
        <v>1434</v>
      </c>
      <c r="B39" s="3" t="s">
        <v>3960</v>
      </c>
      <c r="C39" s="3" t="s">
        <v>1382</v>
      </c>
      <c r="D39" s="3" t="s">
        <v>3959</v>
      </c>
      <c r="E39" s="3" t="s">
        <v>3669</v>
      </c>
      <c r="F39" s="3">
        <v>0</v>
      </c>
      <c r="G39" s="3" t="s">
        <v>3676</v>
      </c>
      <c r="H39" s="3">
        <v>0</v>
      </c>
      <c r="I39" s="3">
        <v>0</v>
      </c>
      <c r="J39" s="3" t="s">
        <v>3677</v>
      </c>
      <c r="K39" s="3">
        <v>0</v>
      </c>
      <c r="L39" s="3" t="s">
        <v>3670</v>
      </c>
      <c r="M39" s="3">
        <v>0</v>
      </c>
      <c r="N39" s="3">
        <v>0</v>
      </c>
      <c r="O39" s="5" t="s">
        <v>1382</v>
      </c>
      <c r="P39" s="5">
        <v>10.75</v>
      </c>
      <c r="Q39" s="5">
        <v>19.940000000000001</v>
      </c>
      <c r="R39" s="44">
        <v>0</v>
      </c>
      <c r="S39" s="44">
        <v>1.1100000000000001</v>
      </c>
      <c r="T39" s="44">
        <v>0</v>
      </c>
      <c r="U39" s="44">
        <v>1</v>
      </c>
      <c r="V39" s="47" t="s">
        <v>1403</v>
      </c>
      <c r="W39" s="47" t="s">
        <v>3666</v>
      </c>
      <c r="X39" s="49">
        <v>20</v>
      </c>
      <c r="Y39" s="49">
        <v>17</v>
      </c>
      <c r="Z39" s="6">
        <v>80</v>
      </c>
      <c r="AA39" s="6">
        <v>1000000000</v>
      </c>
      <c r="AB39" s="6">
        <v>0</v>
      </c>
      <c r="AC39" s="4">
        <v>1</v>
      </c>
      <c r="AD39" s="6" t="s">
        <v>838</v>
      </c>
      <c r="AE39" s="6">
        <v>0</v>
      </c>
      <c r="AF39" s="6">
        <v>0</v>
      </c>
      <c r="AG39" s="6">
        <v>0</v>
      </c>
      <c r="AH39" s="6">
        <v>0</v>
      </c>
      <c r="AI39" s="6">
        <v>0</v>
      </c>
      <c r="AJ39" s="6">
        <v>0</v>
      </c>
      <c r="AK39" s="6">
        <v>0</v>
      </c>
      <c r="AL39" s="4">
        <v>1</v>
      </c>
      <c r="AM39" s="6" t="s">
        <v>838</v>
      </c>
      <c r="AN39" s="6">
        <v>1</v>
      </c>
      <c r="AO39" s="6">
        <v>0</v>
      </c>
      <c r="AP39" s="6">
        <v>1</v>
      </c>
      <c r="AQ39" s="6">
        <v>37</v>
      </c>
      <c r="AR39" s="6">
        <v>2.4</v>
      </c>
      <c r="AS39" s="6">
        <v>0</v>
      </c>
      <c r="AT39" s="6">
        <v>0.03</v>
      </c>
      <c r="AU39" s="6">
        <v>21</v>
      </c>
      <c r="AV39" s="65">
        <v>43132</v>
      </c>
      <c r="AW39" s="65">
        <v>43195</v>
      </c>
      <c r="AX39" s="6">
        <f t="array" ref="AX39">IFERROR(INDEX(Datos_Consumo[CANTIDAD],MATCH(TABLATRANSFERENCIA[[#This Row],[CODIGO]]&amp;TABLATRANSFERENCIA[[#Headers],[2017-12]],Datos_Consumo[CODIGO]&amp;Datos_Consumo[FECHA_FORMATO],0)),0)</f>
        <v>0</v>
      </c>
      <c r="AY39" s="6">
        <f t="array" ref="AY39">IFERROR(INDEX(Datos_Consumo[CANTIDAD],MATCH(TABLATRANSFERENCIA[[#This Row],[CODIGO]]&amp;TABLATRANSFERENCIA[[#Headers],[2018-1]],Datos_Consumo[CODIGO]&amp;Datos_Consumo[FECHA_FORMATO],0)),0)</f>
        <v>150</v>
      </c>
      <c r="AZ39" s="6">
        <f t="array" ref="AZ39">IFERROR(INDEX(Datos_Consumo[CANTIDAD],MATCH(TABLATRANSFERENCIA[[#This Row],[CODIGO]]&amp;TABLATRANSFERENCIA[[#Headers],[2018-2]],Datos_Consumo[CODIGO]&amp;Datos_Consumo[FECHA_FORMATO],0)),0)</f>
        <v>6</v>
      </c>
      <c r="BA39" s="6">
        <f t="array" ref="BA39">IFERROR(INDEX(Datos_Consumo[CANTIDAD],MATCH(TABLATRANSFERENCIA[[#This Row],[CODIGO]]&amp;TABLATRANSFERENCIA[[#Headers],[2018-3]],Datos_Consumo[CODIGO]&amp;Datos_Consumo[FECHA_FORMATO],0)),0)</f>
        <v>44</v>
      </c>
      <c r="BB39" s="6">
        <f t="array" ref="BB39">IFERROR(INDEX(Datos_Consumo[CANTIDAD],MATCH(TABLATRANSFERENCIA[[#This Row],[CODIGO]]&amp;TABLATRANSFERENCIA[[#Headers],[2018-4]],Datos_Consumo[CODIGO]&amp;Datos_Consumo[FECHA_FORMATO],0)),0)</f>
        <v>5</v>
      </c>
      <c r="BC39" s="6">
        <f t="array" ref="BC39">IFERROR(INDEX(Datos_Consumo[CANTIDAD],MATCH(TABLATRANSFERENCIA[[#This Row],[CODIGO]]&amp;TABLATRANSFERENCIA[[#Headers],[2018-5]],Datos_Consumo[CODIGO]&amp;Datos_Consumo[FECHA_FORMATO],0)),0)</f>
        <v>0</v>
      </c>
      <c r="BD39" s="48">
        <v>80</v>
      </c>
      <c r="BE39" s="53">
        <v>80</v>
      </c>
      <c r="BF39" s="62">
        <v>43234</v>
      </c>
      <c r="BG39" s="60">
        <v>43353</v>
      </c>
      <c r="BH39" s="49"/>
      <c r="BI39" s="49"/>
      <c r="BJ39" s="49">
        <f>IF(RIGHT(TABLATRANSFERENCIA[[#Headers],[Emb1]],1)*1&lt;=TABLATRANSFERENCIA[[#This Row],[EMBARQUES]],IF(ISBLANK(TABLATRANSFERENCIA[[#This Row],[EMBARQUES]]),TABLATRANSFERENCIA[[#This Row],[REQUERIM]],ROUND(TABLATRANSFERENCIA[[#This Row],[REQUERIM]]/TABLATRANSFERENCIA[[#This Row],[EMBARQUES]],0)),TABLATRANSFERENCIA[[#This Row],[REQUERIM]])</f>
        <v>80</v>
      </c>
      <c r="BK3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9" s="49"/>
      <c r="BP39" s="44">
        <f>IFERROR(TABLATRANSFERENCIA[[#This Row],[REQUERIM]]/TABLATRANSFERENCIA[[#This Row],[PEDIDO PROMEDIO]],0)</f>
        <v>2.1621621621621623</v>
      </c>
      <c r="BQ39" s="49"/>
      <c r="BR39" s="58"/>
      <c r="BS39" s="3">
        <f>IF(TABLATRANSFERENCIA[[#This Row],[RECIBIDO]]&lt;&gt;"",0,IF(TABLATRANSFERENCIA[[#This Row],[DESPACHO]]&lt;&gt;"",TABLATRANSFERENCIA[[#This Row],[DESPACHO]],TABLATRANSFERENCIA[[#This Row],[REQUERIM]]))</f>
        <v>80</v>
      </c>
      <c r="BT39" s="48"/>
      <c r="BU39" s="48"/>
      <c r="BV39" s="48" t="str">
        <f t="shared" si="0"/>
        <v>N</v>
      </c>
      <c r="BW39" s="49" t="s">
        <v>1388</v>
      </c>
      <c r="BX39" s="49">
        <f t="array" ref="BX3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9" s="49">
        <v>53</v>
      </c>
      <c r="CA39" s="49">
        <v>26</v>
      </c>
      <c r="CB39" s="49"/>
    </row>
    <row r="40" spans="1:80" x14ac:dyDescent="0.25">
      <c r="A40" s="52" t="s">
        <v>1435</v>
      </c>
      <c r="B40" s="3" t="s">
        <v>3970</v>
      </c>
      <c r="C40" s="3" t="s">
        <v>1382</v>
      </c>
      <c r="D40" s="3" t="s">
        <v>3969</v>
      </c>
      <c r="E40" s="3" t="s">
        <v>3669</v>
      </c>
      <c r="F40" s="3">
        <v>0</v>
      </c>
      <c r="G40" s="3" t="s">
        <v>3676</v>
      </c>
      <c r="H40" s="3">
        <v>0</v>
      </c>
      <c r="I40" s="3">
        <v>0</v>
      </c>
      <c r="J40" s="3" t="s">
        <v>3677</v>
      </c>
      <c r="K40" s="3">
        <v>0</v>
      </c>
      <c r="L40" s="3" t="s">
        <v>3670</v>
      </c>
      <c r="M40" s="3">
        <v>0</v>
      </c>
      <c r="N40" s="3">
        <v>0</v>
      </c>
      <c r="O40" s="5" t="s">
        <v>1382</v>
      </c>
      <c r="P40" s="5">
        <v>53.24</v>
      </c>
      <c r="Q40" s="5">
        <v>109.65</v>
      </c>
      <c r="R40" s="44">
        <v>0</v>
      </c>
      <c r="S40" s="44">
        <v>1.37</v>
      </c>
      <c r="T40" s="44">
        <v>0</v>
      </c>
      <c r="U40" s="44">
        <v>0</v>
      </c>
      <c r="V40" s="47" t="s">
        <v>1403</v>
      </c>
      <c r="W40" s="47" t="s">
        <v>3666</v>
      </c>
      <c r="X40" s="49">
        <v>20</v>
      </c>
      <c r="Y40" s="49">
        <v>17</v>
      </c>
      <c r="Z40" s="6">
        <v>30</v>
      </c>
      <c r="AA40" s="6">
        <v>1000000000</v>
      </c>
      <c r="AB40" s="6">
        <v>9</v>
      </c>
      <c r="AC40" s="4">
        <v>0.7</v>
      </c>
      <c r="AD40" s="6" t="s">
        <v>1394</v>
      </c>
      <c r="AE40" s="6">
        <v>8</v>
      </c>
      <c r="AF40" s="6">
        <v>0</v>
      </c>
      <c r="AG40" s="6">
        <v>0</v>
      </c>
      <c r="AH40" s="6">
        <v>0</v>
      </c>
      <c r="AI40" s="6">
        <v>0</v>
      </c>
      <c r="AJ40" s="6">
        <v>0</v>
      </c>
      <c r="AK40" s="6">
        <v>17</v>
      </c>
      <c r="AL40" s="4">
        <v>0.43</v>
      </c>
      <c r="AM40" s="6" t="s">
        <v>1401</v>
      </c>
      <c r="AN40" s="6">
        <v>1</v>
      </c>
      <c r="AO40" s="6">
        <v>0</v>
      </c>
      <c r="AP40" s="6">
        <v>1</v>
      </c>
      <c r="AQ40" s="6">
        <v>14</v>
      </c>
      <c r="AR40" s="6">
        <v>2.4700000000000002</v>
      </c>
      <c r="AS40" s="6">
        <v>1.4</v>
      </c>
      <c r="AT40" s="6">
        <v>0.08</v>
      </c>
      <c r="AU40" s="6">
        <v>0</v>
      </c>
      <c r="AV40" s="65">
        <v>43195</v>
      </c>
      <c r="AW40" s="65">
        <v>43195</v>
      </c>
      <c r="AX40" s="6">
        <f t="array" ref="AX40">IFERROR(INDEX(Datos_Consumo[CANTIDAD],MATCH(TABLATRANSFERENCIA[[#This Row],[CODIGO]]&amp;TABLATRANSFERENCIA[[#Headers],[2017-12]],Datos_Consumo[CODIGO]&amp;Datos_Consumo[FECHA_FORMATO],0)),0)</f>
        <v>0</v>
      </c>
      <c r="AY40" s="6">
        <f t="array" ref="AY40">IFERROR(INDEX(Datos_Consumo[CANTIDAD],MATCH(TABLATRANSFERENCIA[[#This Row],[CODIGO]]&amp;TABLATRANSFERENCIA[[#Headers],[2018-1]],Datos_Consumo[CODIGO]&amp;Datos_Consumo[FECHA_FORMATO],0)),0)</f>
        <v>63</v>
      </c>
      <c r="AZ40" s="6">
        <f t="array" ref="AZ40">IFERROR(INDEX(Datos_Consumo[CANTIDAD],MATCH(TABLATRANSFERENCIA[[#This Row],[CODIGO]]&amp;TABLATRANSFERENCIA[[#Headers],[2018-2]],Datos_Consumo[CODIGO]&amp;Datos_Consumo[FECHA_FORMATO],0)),0)</f>
        <v>4</v>
      </c>
      <c r="BA40" s="6">
        <f t="array" ref="BA40">IFERROR(INDEX(Datos_Consumo[CANTIDAD],MATCH(TABLATRANSFERENCIA[[#This Row],[CODIGO]]&amp;TABLATRANSFERENCIA[[#Headers],[2018-3]],Datos_Consumo[CODIGO]&amp;Datos_Consumo[FECHA_FORMATO],0)),0)</f>
        <v>6</v>
      </c>
      <c r="BB40" s="6">
        <f t="array" ref="BB40">IFERROR(INDEX(Datos_Consumo[CANTIDAD],MATCH(TABLATRANSFERENCIA[[#This Row],[CODIGO]]&amp;TABLATRANSFERENCIA[[#Headers],[2018-4]],Datos_Consumo[CODIGO]&amp;Datos_Consumo[FECHA_FORMATO],0)),0)</f>
        <v>4</v>
      </c>
      <c r="BC40" s="6">
        <f t="array" ref="BC40">IFERROR(INDEX(Datos_Consumo[CANTIDAD],MATCH(TABLATRANSFERENCIA[[#This Row],[CODIGO]]&amp;TABLATRANSFERENCIA[[#Headers],[2018-5]],Datos_Consumo[CODIGO]&amp;Datos_Consumo[FECHA_FORMATO],0)),0)</f>
        <v>0</v>
      </c>
      <c r="BD40" s="48">
        <v>13</v>
      </c>
      <c r="BE40" s="53">
        <v>13</v>
      </c>
      <c r="BF40" s="62">
        <v>43234</v>
      </c>
      <c r="BG40" s="60">
        <v>43353</v>
      </c>
      <c r="BH40" s="49"/>
      <c r="BI40" s="49"/>
      <c r="BJ40"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4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0" s="49"/>
      <c r="BP40" s="44">
        <f>IFERROR(TABLATRANSFERENCIA[[#This Row],[REQUERIM]]/TABLATRANSFERENCIA[[#This Row],[PEDIDO PROMEDIO]],0)</f>
        <v>0.9285714285714286</v>
      </c>
      <c r="BQ40" s="49"/>
      <c r="BR40" s="58"/>
      <c r="BS40" s="3">
        <f>IF(TABLATRANSFERENCIA[[#This Row],[RECIBIDO]]&lt;&gt;"",0,IF(TABLATRANSFERENCIA[[#This Row],[DESPACHO]]&lt;&gt;"",TABLATRANSFERENCIA[[#This Row],[DESPACHO]],TABLATRANSFERENCIA[[#This Row],[REQUERIM]]))</f>
        <v>13</v>
      </c>
      <c r="BT40" s="48"/>
      <c r="BU40" s="48"/>
      <c r="BV40" s="48" t="str">
        <f t="shared" si="0"/>
        <v>N</v>
      </c>
      <c r="BW40" s="49" t="s">
        <v>1388</v>
      </c>
      <c r="BX40" s="49">
        <f t="array" ref="BX4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0" s="49">
        <v>20</v>
      </c>
      <c r="CA40" s="49">
        <v>10</v>
      </c>
      <c r="CB40" s="49"/>
    </row>
    <row r="41" spans="1:80" x14ac:dyDescent="0.25">
      <c r="A41" s="52" t="s">
        <v>1436</v>
      </c>
      <c r="B41" s="3" t="s">
        <v>3978</v>
      </c>
      <c r="C41" s="3" t="s">
        <v>1382</v>
      </c>
      <c r="D41" s="3" t="s">
        <v>3977</v>
      </c>
      <c r="E41" s="3" t="s">
        <v>3669</v>
      </c>
      <c r="F41" s="3">
        <v>0</v>
      </c>
      <c r="G41" s="3" t="s">
        <v>3676</v>
      </c>
      <c r="H41" s="3">
        <v>0</v>
      </c>
      <c r="I41" s="3">
        <v>0</v>
      </c>
      <c r="J41" s="3" t="s">
        <v>3677</v>
      </c>
      <c r="K41" s="3">
        <v>0</v>
      </c>
      <c r="L41" s="3" t="s">
        <v>3670</v>
      </c>
      <c r="M41" s="3">
        <v>0</v>
      </c>
      <c r="N41" s="3">
        <v>0</v>
      </c>
      <c r="O41" s="5" t="s">
        <v>1382</v>
      </c>
      <c r="P41" s="5">
        <v>31.16</v>
      </c>
      <c r="Q41" s="5">
        <v>56.1</v>
      </c>
      <c r="R41" s="44">
        <v>0</v>
      </c>
      <c r="S41" s="44">
        <v>1.04</v>
      </c>
      <c r="T41" s="44">
        <v>0</v>
      </c>
      <c r="U41" s="44">
        <v>1</v>
      </c>
      <c r="V41" s="47" t="s">
        <v>1403</v>
      </c>
      <c r="W41" s="47" t="s">
        <v>3666</v>
      </c>
      <c r="X41" s="49">
        <v>20</v>
      </c>
      <c r="Y41" s="49">
        <v>17</v>
      </c>
      <c r="Z41" s="6">
        <v>2</v>
      </c>
      <c r="AA41" s="6">
        <v>1000000000</v>
      </c>
      <c r="AB41" s="6">
        <v>0</v>
      </c>
      <c r="AC41" s="4">
        <v>1</v>
      </c>
      <c r="AD41" s="6" t="s">
        <v>838</v>
      </c>
      <c r="AE41" s="6">
        <v>0</v>
      </c>
      <c r="AF41" s="6">
        <v>0</v>
      </c>
      <c r="AG41" s="6">
        <v>0</v>
      </c>
      <c r="AH41" s="6">
        <v>0</v>
      </c>
      <c r="AI41" s="6">
        <v>0</v>
      </c>
      <c r="AJ41" s="6">
        <v>0</v>
      </c>
      <c r="AK41" s="6">
        <v>0</v>
      </c>
      <c r="AL41" s="4">
        <v>1</v>
      </c>
      <c r="AM41" s="6" t="s">
        <v>838</v>
      </c>
      <c r="AN41" s="6">
        <v>1</v>
      </c>
      <c r="AO41" s="6">
        <v>0</v>
      </c>
      <c r="AP41" s="6">
        <v>1</v>
      </c>
      <c r="AQ41" s="6">
        <v>1</v>
      </c>
      <c r="AR41" s="6">
        <v>2.94</v>
      </c>
      <c r="AS41" s="6">
        <v>0</v>
      </c>
      <c r="AT41" s="6">
        <v>1.47</v>
      </c>
      <c r="AU41" s="6">
        <v>9</v>
      </c>
      <c r="AV41" s="65">
        <v>43028</v>
      </c>
      <c r="AW41" s="65">
        <v>43122</v>
      </c>
      <c r="AX41" s="6">
        <f t="array" ref="AX41">IFERROR(INDEX(Datos_Consumo[CANTIDAD],MATCH(TABLATRANSFERENCIA[[#This Row],[CODIGO]]&amp;TABLATRANSFERENCIA[[#Headers],[2017-12]],Datos_Consumo[CODIGO]&amp;Datos_Consumo[FECHA_FORMATO],0)),0)</f>
        <v>0</v>
      </c>
      <c r="AY41" s="6">
        <f t="array" ref="AY41">IFERROR(INDEX(Datos_Consumo[CANTIDAD],MATCH(TABLATRANSFERENCIA[[#This Row],[CODIGO]]&amp;TABLATRANSFERENCIA[[#Headers],[2018-1]],Datos_Consumo[CODIGO]&amp;Datos_Consumo[FECHA_FORMATO],0)),0)</f>
        <v>2</v>
      </c>
      <c r="AZ41" s="6">
        <f t="array" ref="AZ41">IFERROR(INDEX(Datos_Consumo[CANTIDAD],MATCH(TABLATRANSFERENCIA[[#This Row],[CODIGO]]&amp;TABLATRANSFERENCIA[[#Headers],[2018-2]],Datos_Consumo[CODIGO]&amp;Datos_Consumo[FECHA_FORMATO],0)),0)</f>
        <v>0</v>
      </c>
      <c r="BA41" s="6">
        <f t="array" ref="BA41">IFERROR(INDEX(Datos_Consumo[CANTIDAD],MATCH(TABLATRANSFERENCIA[[#This Row],[CODIGO]]&amp;TABLATRANSFERENCIA[[#Headers],[2018-3]],Datos_Consumo[CODIGO]&amp;Datos_Consumo[FECHA_FORMATO],0)),0)</f>
        <v>0</v>
      </c>
      <c r="BB41" s="6">
        <f t="array" ref="BB41">IFERROR(INDEX(Datos_Consumo[CANTIDAD],MATCH(TABLATRANSFERENCIA[[#This Row],[CODIGO]]&amp;TABLATRANSFERENCIA[[#Headers],[2018-4]],Datos_Consumo[CODIGO]&amp;Datos_Consumo[FECHA_FORMATO],0)),0)</f>
        <v>2</v>
      </c>
      <c r="BC41" s="6">
        <f t="array" ref="BC41">IFERROR(INDEX(Datos_Consumo[CANTIDAD],MATCH(TABLATRANSFERENCIA[[#This Row],[CODIGO]]&amp;TABLATRANSFERENCIA[[#Headers],[2018-5]],Datos_Consumo[CODIGO]&amp;Datos_Consumo[FECHA_FORMATO],0)),0)</f>
        <v>0</v>
      </c>
      <c r="BD41" s="48">
        <v>2</v>
      </c>
      <c r="BE41" s="53">
        <v>2</v>
      </c>
      <c r="BF41" s="62">
        <v>43234</v>
      </c>
      <c r="BG41" s="60">
        <v>43353</v>
      </c>
      <c r="BH41" s="49"/>
      <c r="BI41" s="49"/>
      <c r="BJ41"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1" s="49"/>
      <c r="BP41" s="44">
        <f>IFERROR(TABLATRANSFERENCIA[[#This Row],[REQUERIM]]/TABLATRANSFERENCIA[[#This Row],[PEDIDO PROMEDIO]],0)</f>
        <v>2</v>
      </c>
      <c r="BQ41" s="49"/>
      <c r="BR41" s="58"/>
      <c r="BS41" s="3">
        <f>IF(TABLATRANSFERENCIA[[#This Row],[RECIBIDO]]&lt;&gt;"",0,IF(TABLATRANSFERENCIA[[#This Row],[DESPACHO]]&lt;&gt;"",TABLATRANSFERENCIA[[#This Row],[DESPACHO]],TABLATRANSFERENCIA[[#This Row],[REQUERIM]]))</f>
        <v>2</v>
      </c>
      <c r="BT41" s="48"/>
      <c r="BU41" s="48"/>
      <c r="BV41" s="48" t="str">
        <f t="shared" si="0"/>
        <v>N</v>
      </c>
      <c r="BW41" s="49" t="s">
        <v>1388</v>
      </c>
      <c r="BX41" s="49">
        <f t="array" ref="BX4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41" s="49">
        <v>2</v>
      </c>
      <c r="CA41" s="49">
        <v>1</v>
      </c>
      <c r="CB41" s="49"/>
    </row>
    <row r="42" spans="1:80" x14ac:dyDescent="0.25">
      <c r="A42" s="52" t="s">
        <v>1437</v>
      </c>
      <c r="B42" s="3" t="s">
        <v>3982</v>
      </c>
      <c r="C42" s="3" t="s">
        <v>1382</v>
      </c>
      <c r="D42" s="3" t="s">
        <v>3981</v>
      </c>
      <c r="E42" s="3" t="s">
        <v>3669</v>
      </c>
      <c r="F42" s="3">
        <v>0</v>
      </c>
      <c r="G42" s="3" t="s">
        <v>3676</v>
      </c>
      <c r="H42" s="3">
        <v>0</v>
      </c>
      <c r="I42" s="3">
        <v>0</v>
      </c>
      <c r="J42" s="3" t="s">
        <v>3677</v>
      </c>
      <c r="K42" s="3">
        <v>0</v>
      </c>
      <c r="L42" s="3" t="s">
        <v>3670</v>
      </c>
      <c r="M42" s="3">
        <v>0</v>
      </c>
      <c r="N42" s="3">
        <v>0</v>
      </c>
      <c r="O42" s="5" t="s">
        <v>1382</v>
      </c>
      <c r="P42" s="5">
        <v>4.8899999999999997</v>
      </c>
      <c r="Q42" s="5">
        <v>8.57</v>
      </c>
      <c r="R42" s="44">
        <v>0</v>
      </c>
      <c r="S42" s="44">
        <v>0.98</v>
      </c>
      <c r="T42" s="44">
        <v>0</v>
      </c>
      <c r="U42" s="44">
        <v>1</v>
      </c>
      <c r="V42" s="47" t="s">
        <v>1403</v>
      </c>
      <c r="W42" s="47" t="s">
        <v>3666</v>
      </c>
      <c r="X42" s="49">
        <v>20</v>
      </c>
      <c r="Y42" s="49">
        <v>17</v>
      </c>
      <c r="Z42" s="6">
        <v>25</v>
      </c>
      <c r="AA42" s="6">
        <v>1000000000</v>
      </c>
      <c r="AB42" s="6">
        <v>0</v>
      </c>
      <c r="AC42" s="4">
        <v>1</v>
      </c>
      <c r="AD42" s="6" t="s">
        <v>838</v>
      </c>
      <c r="AE42" s="6">
        <v>0</v>
      </c>
      <c r="AF42" s="6">
        <v>0</v>
      </c>
      <c r="AG42" s="6">
        <v>0</v>
      </c>
      <c r="AH42" s="6">
        <v>0</v>
      </c>
      <c r="AI42" s="6">
        <v>0</v>
      </c>
      <c r="AJ42" s="6">
        <v>0</v>
      </c>
      <c r="AK42" s="6">
        <v>0</v>
      </c>
      <c r="AL42" s="4">
        <v>1</v>
      </c>
      <c r="AM42" s="6" t="s">
        <v>838</v>
      </c>
      <c r="AN42" s="6">
        <v>1</v>
      </c>
      <c r="AO42" s="6">
        <v>0</v>
      </c>
      <c r="AP42" s="6">
        <v>1</v>
      </c>
      <c r="AQ42" s="6">
        <v>11</v>
      </c>
      <c r="AR42" s="6">
        <v>2.5</v>
      </c>
      <c r="AS42" s="6">
        <v>0</v>
      </c>
      <c r="AT42" s="6">
        <v>0.1</v>
      </c>
      <c r="AU42" s="6">
        <v>21</v>
      </c>
      <c r="AV42" s="65">
        <v>43132</v>
      </c>
      <c r="AW42" s="65">
        <v>43195</v>
      </c>
      <c r="AX42" s="6">
        <f t="array" ref="AX42">IFERROR(INDEX(Datos_Consumo[CANTIDAD],MATCH(TABLATRANSFERENCIA[[#This Row],[CODIGO]]&amp;TABLATRANSFERENCIA[[#Headers],[2017-12]],Datos_Consumo[CODIGO]&amp;Datos_Consumo[FECHA_FORMATO],0)),0)</f>
        <v>0</v>
      </c>
      <c r="AY42" s="6">
        <f t="array" ref="AY42">IFERROR(INDEX(Datos_Consumo[CANTIDAD],MATCH(TABLATRANSFERENCIA[[#This Row],[CODIGO]]&amp;TABLATRANSFERENCIA[[#Headers],[2018-1]],Datos_Consumo[CODIGO]&amp;Datos_Consumo[FECHA_FORMATO],0)),0)</f>
        <v>40</v>
      </c>
      <c r="AZ42" s="6">
        <f t="array" ref="AZ42">IFERROR(INDEX(Datos_Consumo[CANTIDAD],MATCH(TABLATRANSFERENCIA[[#This Row],[CODIGO]]&amp;TABLATRANSFERENCIA[[#Headers],[2018-2]],Datos_Consumo[CODIGO]&amp;Datos_Consumo[FECHA_FORMATO],0)),0)</f>
        <v>0</v>
      </c>
      <c r="BA42" s="6">
        <f t="array" ref="BA42">IFERROR(INDEX(Datos_Consumo[CANTIDAD],MATCH(TABLATRANSFERENCIA[[#This Row],[CODIGO]]&amp;TABLATRANSFERENCIA[[#Headers],[2018-3]],Datos_Consumo[CODIGO]&amp;Datos_Consumo[FECHA_FORMATO],0)),0)</f>
        <v>20</v>
      </c>
      <c r="BB42" s="6">
        <f t="array" ref="BB42">IFERROR(INDEX(Datos_Consumo[CANTIDAD],MATCH(TABLATRANSFERENCIA[[#This Row],[CODIGO]]&amp;TABLATRANSFERENCIA[[#Headers],[2018-4]],Datos_Consumo[CODIGO]&amp;Datos_Consumo[FECHA_FORMATO],0)),0)</f>
        <v>0</v>
      </c>
      <c r="BC42" s="6">
        <f t="array" ref="BC42">IFERROR(INDEX(Datos_Consumo[CANTIDAD],MATCH(TABLATRANSFERENCIA[[#This Row],[CODIGO]]&amp;TABLATRANSFERENCIA[[#Headers],[2018-5]],Datos_Consumo[CODIGO]&amp;Datos_Consumo[FECHA_FORMATO],0)),0)</f>
        <v>0</v>
      </c>
      <c r="BD42" s="48">
        <v>25</v>
      </c>
      <c r="BE42" s="53">
        <v>25</v>
      </c>
      <c r="BF42" s="62">
        <v>43234</v>
      </c>
      <c r="BG42" s="60">
        <v>43353</v>
      </c>
      <c r="BH42" s="49"/>
      <c r="BI42" s="49"/>
      <c r="BJ42" s="49">
        <f>IF(RIGHT(TABLATRANSFERENCIA[[#Headers],[Emb1]],1)*1&lt;=TABLATRANSFERENCIA[[#This Row],[EMBARQUES]],IF(ISBLANK(TABLATRANSFERENCIA[[#This Row],[EMBARQUES]]),TABLATRANSFERENCIA[[#This Row],[REQUERIM]],ROUND(TABLATRANSFERENCIA[[#This Row],[REQUERIM]]/TABLATRANSFERENCIA[[#This Row],[EMBARQUES]],0)),TABLATRANSFERENCIA[[#This Row],[REQUERIM]])</f>
        <v>25</v>
      </c>
      <c r="BK4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2" s="49"/>
      <c r="BP42" s="44">
        <f>IFERROR(TABLATRANSFERENCIA[[#This Row],[REQUERIM]]/TABLATRANSFERENCIA[[#This Row],[PEDIDO PROMEDIO]],0)</f>
        <v>2.2727272727272729</v>
      </c>
      <c r="BQ42" s="49"/>
      <c r="BR42" s="58"/>
      <c r="BS42" s="3">
        <f>IF(TABLATRANSFERENCIA[[#This Row],[RECIBIDO]]&lt;&gt;"",0,IF(TABLATRANSFERENCIA[[#This Row],[DESPACHO]]&lt;&gt;"",TABLATRANSFERENCIA[[#This Row],[DESPACHO]],TABLATRANSFERENCIA[[#This Row],[REQUERIM]]))</f>
        <v>25</v>
      </c>
      <c r="BT42" s="48"/>
      <c r="BU42" s="48"/>
      <c r="BV42" s="48" t="str">
        <f t="shared" si="0"/>
        <v>N</v>
      </c>
      <c r="BW42" s="49" t="s">
        <v>1388</v>
      </c>
      <c r="BX42" s="49">
        <f t="array" ref="BX4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2" s="49">
        <v>17</v>
      </c>
      <c r="CA42" s="49">
        <v>8</v>
      </c>
      <c r="CB42" s="49"/>
    </row>
    <row r="43" spans="1:80" x14ac:dyDescent="0.25">
      <c r="A43" s="52" t="s">
        <v>1438</v>
      </c>
      <c r="B43" s="3" t="s">
        <v>3984</v>
      </c>
      <c r="C43" s="3" t="s">
        <v>1382</v>
      </c>
      <c r="D43" s="3" t="s">
        <v>3983</v>
      </c>
      <c r="E43" s="3" t="s">
        <v>3669</v>
      </c>
      <c r="F43" s="3">
        <v>0</v>
      </c>
      <c r="G43" s="3" t="s">
        <v>3676</v>
      </c>
      <c r="H43" s="3">
        <v>0</v>
      </c>
      <c r="I43" s="3">
        <v>0</v>
      </c>
      <c r="J43" s="3" t="s">
        <v>3677</v>
      </c>
      <c r="K43" s="3">
        <v>0</v>
      </c>
      <c r="L43" s="3" t="s">
        <v>3670</v>
      </c>
      <c r="M43" s="3">
        <v>0</v>
      </c>
      <c r="N43" s="3">
        <v>0</v>
      </c>
      <c r="O43" s="5" t="s">
        <v>1382</v>
      </c>
      <c r="P43" s="5">
        <v>22.05</v>
      </c>
      <c r="Q43" s="5">
        <v>42.83</v>
      </c>
      <c r="R43" s="44">
        <v>0</v>
      </c>
      <c r="S43" s="44">
        <v>1.22</v>
      </c>
      <c r="T43" s="44">
        <v>0</v>
      </c>
      <c r="U43" s="44">
        <v>1</v>
      </c>
      <c r="V43" s="47" t="s">
        <v>1403</v>
      </c>
      <c r="W43" s="47" t="s">
        <v>3666</v>
      </c>
      <c r="X43" s="49">
        <v>20</v>
      </c>
      <c r="Y43" s="49">
        <v>17</v>
      </c>
      <c r="Z43" s="6">
        <v>10</v>
      </c>
      <c r="AA43" s="6">
        <v>1000000000</v>
      </c>
      <c r="AB43" s="6">
        <v>8</v>
      </c>
      <c r="AC43" s="4">
        <v>0.2</v>
      </c>
      <c r="AD43" s="6" t="s">
        <v>1390</v>
      </c>
      <c r="AE43" s="6">
        <v>0</v>
      </c>
      <c r="AF43" s="6">
        <v>0</v>
      </c>
      <c r="AG43" s="6">
        <v>0</v>
      </c>
      <c r="AH43" s="6">
        <v>0</v>
      </c>
      <c r="AI43" s="6">
        <v>0</v>
      </c>
      <c r="AJ43" s="6">
        <v>0</v>
      </c>
      <c r="AK43" s="6">
        <v>8</v>
      </c>
      <c r="AL43" s="4">
        <v>0.2</v>
      </c>
      <c r="AM43" s="6" t="s">
        <v>1390</v>
      </c>
      <c r="AN43" s="6">
        <v>1</v>
      </c>
      <c r="AO43" s="6">
        <v>0</v>
      </c>
      <c r="AP43" s="6">
        <v>1</v>
      </c>
      <c r="AQ43" s="6">
        <v>5</v>
      </c>
      <c r="AR43" s="6">
        <v>19.23</v>
      </c>
      <c r="AS43" s="6">
        <v>15.38</v>
      </c>
      <c r="AT43" s="6">
        <v>1.92</v>
      </c>
      <c r="AU43" s="6">
        <v>0</v>
      </c>
      <c r="AV43" s="65">
        <v>42816</v>
      </c>
      <c r="AW43" s="65">
        <v>42900</v>
      </c>
      <c r="AX43" s="6">
        <f t="array" ref="AX43">IFERROR(INDEX(Datos_Consumo[CANTIDAD],MATCH(TABLATRANSFERENCIA[[#This Row],[CODIGO]]&amp;TABLATRANSFERENCIA[[#Headers],[2017-12]],Datos_Consumo[CODIGO]&amp;Datos_Consumo[FECHA_FORMATO],0)),0)</f>
        <v>0</v>
      </c>
      <c r="AY43" s="6">
        <f t="array" ref="AY43">IFERROR(INDEX(Datos_Consumo[CANTIDAD],MATCH(TABLATRANSFERENCIA[[#This Row],[CODIGO]]&amp;TABLATRANSFERENCIA[[#Headers],[2018-1]],Datos_Consumo[CODIGO]&amp;Datos_Consumo[FECHA_FORMATO],0)),0)</f>
        <v>0</v>
      </c>
      <c r="AZ43" s="6">
        <f t="array" ref="AZ43">IFERROR(INDEX(Datos_Consumo[CANTIDAD],MATCH(TABLATRANSFERENCIA[[#This Row],[CODIGO]]&amp;TABLATRANSFERENCIA[[#Headers],[2018-2]],Datos_Consumo[CODIGO]&amp;Datos_Consumo[FECHA_FORMATO],0)),0)</f>
        <v>2</v>
      </c>
      <c r="BA43" s="6">
        <f t="array" ref="BA43">IFERROR(INDEX(Datos_Consumo[CANTIDAD],MATCH(TABLATRANSFERENCIA[[#This Row],[CODIGO]]&amp;TABLATRANSFERENCIA[[#Headers],[2018-3]],Datos_Consumo[CODIGO]&amp;Datos_Consumo[FECHA_FORMATO],0)),0)</f>
        <v>1</v>
      </c>
      <c r="BB43" s="6">
        <f t="array" ref="BB43">IFERROR(INDEX(Datos_Consumo[CANTIDAD],MATCH(TABLATRANSFERENCIA[[#This Row],[CODIGO]]&amp;TABLATRANSFERENCIA[[#Headers],[2018-4]],Datos_Consumo[CODIGO]&amp;Datos_Consumo[FECHA_FORMATO],0)),0)</f>
        <v>0</v>
      </c>
      <c r="BC43" s="6">
        <f t="array" ref="BC43">IFERROR(INDEX(Datos_Consumo[CANTIDAD],MATCH(TABLATRANSFERENCIA[[#This Row],[CODIGO]]&amp;TABLATRANSFERENCIA[[#Headers],[2018-5]],Datos_Consumo[CODIGO]&amp;Datos_Consumo[FECHA_FORMATO],0)),0)</f>
        <v>0</v>
      </c>
      <c r="BD43" s="48">
        <v>2</v>
      </c>
      <c r="BE43" s="53">
        <v>2</v>
      </c>
      <c r="BF43" s="62">
        <v>43234</v>
      </c>
      <c r="BG43" s="60">
        <v>43353</v>
      </c>
      <c r="BH43" s="49"/>
      <c r="BI43" s="49"/>
      <c r="BJ43"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3" s="49"/>
      <c r="BP43" s="44">
        <f>IFERROR(TABLATRANSFERENCIA[[#This Row],[REQUERIM]]/TABLATRANSFERENCIA[[#This Row],[PEDIDO PROMEDIO]],0)</f>
        <v>0.4</v>
      </c>
      <c r="BQ43" s="49"/>
      <c r="BR43" s="58"/>
      <c r="BS43" s="3">
        <f>IF(TABLATRANSFERENCIA[[#This Row],[RECIBIDO]]&lt;&gt;"",0,IF(TABLATRANSFERENCIA[[#This Row],[DESPACHO]]&lt;&gt;"",TABLATRANSFERENCIA[[#This Row],[DESPACHO]],TABLATRANSFERENCIA[[#This Row],[REQUERIM]]))</f>
        <v>2</v>
      </c>
      <c r="BT43" s="48"/>
      <c r="BU43" s="48"/>
      <c r="BV43" s="48" t="str">
        <f t="shared" si="0"/>
        <v>N</v>
      </c>
      <c r="BW43" s="49" t="s">
        <v>1388</v>
      </c>
      <c r="BX43" s="49">
        <f t="array" ref="BX4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3" s="49">
        <v>7</v>
      </c>
      <c r="CA43" s="49">
        <v>3</v>
      </c>
      <c r="CB43" s="49"/>
    </row>
    <row r="44" spans="1:80" x14ac:dyDescent="0.25">
      <c r="A44" s="52" t="s">
        <v>1439</v>
      </c>
      <c r="B44" s="3" t="s">
        <v>3988</v>
      </c>
      <c r="C44" s="3" t="s">
        <v>1382</v>
      </c>
      <c r="D44" s="3" t="s">
        <v>3987</v>
      </c>
      <c r="E44" s="3" t="s">
        <v>849</v>
      </c>
      <c r="F44" s="3">
        <v>0</v>
      </c>
      <c r="G44" s="3" t="s">
        <v>3874</v>
      </c>
      <c r="H44" s="3">
        <v>0</v>
      </c>
      <c r="I44" s="3">
        <v>0</v>
      </c>
      <c r="J44" s="3" t="s">
        <v>3677</v>
      </c>
      <c r="K44" s="3">
        <v>0</v>
      </c>
      <c r="L44" s="3" t="s">
        <v>3870</v>
      </c>
      <c r="M44" s="3">
        <v>0</v>
      </c>
      <c r="N44" s="3">
        <v>0</v>
      </c>
      <c r="O44" s="5" t="s">
        <v>1382</v>
      </c>
      <c r="P44" s="5">
        <v>0.4</v>
      </c>
      <c r="Q44" s="5">
        <v>0.9</v>
      </c>
      <c r="R44" s="44">
        <v>0</v>
      </c>
      <c r="S44" s="44">
        <v>1.62</v>
      </c>
      <c r="T44" s="44">
        <v>0</v>
      </c>
      <c r="U44" s="44">
        <v>0</v>
      </c>
      <c r="V44" s="47" t="s">
        <v>1403</v>
      </c>
      <c r="W44" s="47" t="s">
        <v>3666</v>
      </c>
      <c r="X44" s="49">
        <v>20</v>
      </c>
      <c r="Y44" s="49">
        <v>17</v>
      </c>
      <c r="Z44" s="6">
        <v>200</v>
      </c>
      <c r="AA44" s="6">
        <v>1000000000</v>
      </c>
      <c r="AB44" s="6">
        <v>168</v>
      </c>
      <c r="AC44" s="4">
        <v>0.16</v>
      </c>
      <c r="AD44" s="6" t="s">
        <v>1390</v>
      </c>
      <c r="AE44" s="6">
        <v>0</v>
      </c>
      <c r="AF44" s="6">
        <v>0</v>
      </c>
      <c r="AG44" s="6">
        <v>0</v>
      </c>
      <c r="AH44" s="6">
        <v>0</v>
      </c>
      <c r="AI44" s="6">
        <v>0</v>
      </c>
      <c r="AJ44" s="6">
        <v>0</v>
      </c>
      <c r="AK44" s="6">
        <v>168</v>
      </c>
      <c r="AL44" s="4">
        <v>0.16</v>
      </c>
      <c r="AM44" s="6" t="s">
        <v>1390</v>
      </c>
      <c r="AN44" s="6">
        <v>1</v>
      </c>
      <c r="AO44" s="6">
        <v>0</v>
      </c>
      <c r="AP44" s="6">
        <v>1</v>
      </c>
      <c r="AQ44" s="6">
        <v>92</v>
      </c>
      <c r="AR44" s="6">
        <v>37.590000000000003</v>
      </c>
      <c r="AS44" s="6">
        <v>31.58</v>
      </c>
      <c r="AT44" s="6">
        <v>0.19</v>
      </c>
      <c r="AU44" s="6">
        <v>0</v>
      </c>
      <c r="AV44" s="65">
        <v>43007</v>
      </c>
      <c r="AW44" s="65">
        <v>43122</v>
      </c>
      <c r="AX44" s="6">
        <f t="array" ref="AX44">IFERROR(INDEX(Datos_Consumo[CANTIDAD],MATCH(TABLATRANSFERENCIA[[#This Row],[CODIGO]]&amp;TABLATRANSFERENCIA[[#Headers],[2017-12]],Datos_Consumo[CODIGO]&amp;Datos_Consumo[FECHA_FORMATO],0)),0)</f>
        <v>0</v>
      </c>
      <c r="AY44" s="6">
        <f t="array" ref="AY44">IFERROR(INDEX(Datos_Consumo[CANTIDAD],MATCH(TABLATRANSFERENCIA[[#This Row],[CODIGO]]&amp;TABLATRANSFERENCIA[[#Headers],[2018-1]],Datos_Consumo[CODIGO]&amp;Datos_Consumo[FECHA_FORMATO],0)),0)</f>
        <v>0</v>
      </c>
      <c r="AZ44" s="6">
        <f t="array" ref="AZ44">IFERROR(INDEX(Datos_Consumo[CANTIDAD],MATCH(TABLATRANSFERENCIA[[#This Row],[CODIGO]]&amp;TABLATRANSFERENCIA[[#Headers],[2018-2]],Datos_Consumo[CODIGO]&amp;Datos_Consumo[FECHA_FORMATO],0)),0)</f>
        <v>20</v>
      </c>
      <c r="BA44" s="6">
        <f t="array" ref="BA44">IFERROR(INDEX(Datos_Consumo[CANTIDAD],MATCH(TABLATRANSFERENCIA[[#This Row],[CODIGO]]&amp;TABLATRANSFERENCIA[[#Headers],[2018-3]],Datos_Consumo[CODIGO]&amp;Datos_Consumo[FECHA_FORMATO],0)),0)</f>
        <v>0</v>
      </c>
      <c r="BB44" s="6">
        <f t="array" ref="BB44">IFERROR(INDEX(Datos_Consumo[CANTIDAD],MATCH(TABLATRANSFERENCIA[[#This Row],[CODIGO]]&amp;TABLATRANSFERENCIA[[#Headers],[2018-4]],Datos_Consumo[CODIGO]&amp;Datos_Consumo[FECHA_FORMATO],0)),0)</f>
        <v>12</v>
      </c>
      <c r="BC44" s="6">
        <f t="array" ref="BC44">IFERROR(INDEX(Datos_Consumo[CANTIDAD],MATCH(TABLATRANSFERENCIA[[#This Row],[CODIGO]]&amp;TABLATRANSFERENCIA[[#Headers],[2018-5]],Datos_Consumo[CODIGO]&amp;Datos_Consumo[FECHA_FORMATO],0)),0)</f>
        <v>0</v>
      </c>
      <c r="BD44" s="48">
        <v>32</v>
      </c>
      <c r="BE44" s="53">
        <v>32</v>
      </c>
      <c r="BF44" s="62">
        <v>43234</v>
      </c>
      <c r="BG44" s="60">
        <v>43353</v>
      </c>
      <c r="BH44" s="49"/>
      <c r="BI44" s="49"/>
      <c r="BJ44"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4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4" s="49"/>
      <c r="BP44" s="44">
        <f>IFERROR(TABLATRANSFERENCIA[[#This Row],[REQUERIM]]/TABLATRANSFERENCIA[[#This Row],[PEDIDO PROMEDIO]],0)</f>
        <v>0.34782608695652173</v>
      </c>
      <c r="BQ44" s="49"/>
      <c r="BR44" s="58"/>
      <c r="BS44" s="3">
        <f>IF(TABLATRANSFERENCIA[[#This Row],[RECIBIDO]]&lt;&gt;"",0,IF(TABLATRANSFERENCIA[[#This Row],[DESPACHO]]&lt;&gt;"",TABLATRANSFERENCIA[[#This Row],[DESPACHO]],TABLATRANSFERENCIA[[#This Row],[REQUERIM]]))</f>
        <v>32</v>
      </c>
      <c r="BT44" s="48"/>
      <c r="BU44" s="48"/>
      <c r="BV44" s="48" t="str">
        <f t="shared" si="0"/>
        <v>N</v>
      </c>
      <c r="BW44" s="49" t="s">
        <v>1388</v>
      </c>
      <c r="BX44" s="49">
        <f t="array" ref="BX4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4" s="49">
        <v>133</v>
      </c>
      <c r="CA44" s="49">
        <v>66</v>
      </c>
      <c r="CB44" s="49"/>
    </row>
    <row r="45" spans="1:80" x14ac:dyDescent="0.25">
      <c r="A45" s="52" t="s">
        <v>1440</v>
      </c>
      <c r="B45" s="3" t="s">
        <v>4003</v>
      </c>
      <c r="C45" s="3" t="s">
        <v>1382</v>
      </c>
      <c r="D45" s="3" t="s">
        <v>4002</v>
      </c>
      <c r="E45" s="3" t="s">
        <v>849</v>
      </c>
      <c r="F45" s="3">
        <v>0</v>
      </c>
      <c r="G45" s="3" t="s">
        <v>3874</v>
      </c>
      <c r="H45" s="3">
        <v>0</v>
      </c>
      <c r="I45" s="3">
        <v>0</v>
      </c>
      <c r="J45" s="3" t="s">
        <v>3677</v>
      </c>
      <c r="K45" s="3">
        <v>0</v>
      </c>
      <c r="L45" s="3" t="s">
        <v>3870</v>
      </c>
      <c r="M45" s="3">
        <v>0</v>
      </c>
      <c r="N45" s="3">
        <v>0</v>
      </c>
      <c r="O45" s="5" t="s">
        <v>1382</v>
      </c>
      <c r="P45" s="5">
        <v>0.3</v>
      </c>
      <c r="Q45" s="5">
        <v>0.78</v>
      </c>
      <c r="R45" s="44">
        <v>0</v>
      </c>
      <c r="S45" s="44">
        <v>2.08</v>
      </c>
      <c r="T45" s="44">
        <v>0</v>
      </c>
      <c r="U45" s="44">
        <v>0.62</v>
      </c>
      <c r="V45" s="47" t="s">
        <v>1403</v>
      </c>
      <c r="W45" s="47" t="s">
        <v>3666</v>
      </c>
      <c r="X45" s="49">
        <v>20</v>
      </c>
      <c r="Y45" s="49">
        <v>17</v>
      </c>
      <c r="Z45" s="6">
        <v>200</v>
      </c>
      <c r="AA45" s="6">
        <v>1000000000</v>
      </c>
      <c r="AB45" s="6">
        <v>55</v>
      </c>
      <c r="AC45" s="4">
        <v>0.73</v>
      </c>
      <c r="AD45" s="6" t="s">
        <v>1394</v>
      </c>
      <c r="AE45" s="6">
        <v>40</v>
      </c>
      <c r="AF45" s="6">
        <v>0</v>
      </c>
      <c r="AG45" s="6">
        <v>0</v>
      </c>
      <c r="AH45" s="6">
        <v>0</v>
      </c>
      <c r="AI45" s="6">
        <v>0</v>
      </c>
      <c r="AJ45" s="6">
        <v>0</v>
      </c>
      <c r="AK45" s="6">
        <v>95</v>
      </c>
      <c r="AL45" s="4">
        <v>0.53</v>
      </c>
      <c r="AM45" s="6" t="s">
        <v>1401</v>
      </c>
      <c r="AN45" s="6">
        <v>1</v>
      </c>
      <c r="AO45" s="6">
        <v>0</v>
      </c>
      <c r="AP45" s="6">
        <v>1</v>
      </c>
      <c r="AQ45" s="6">
        <v>92</v>
      </c>
      <c r="AR45" s="6">
        <v>8.2799999999999994</v>
      </c>
      <c r="AS45" s="6">
        <v>3.93</v>
      </c>
      <c r="AT45" s="6">
        <v>0.04</v>
      </c>
      <c r="AU45" s="6">
        <v>0</v>
      </c>
      <c r="AV45" s="65">
        <v>43195</v>
      </c>
      <c r="AW45" s="65">
        <v>43195</v>
      </c>
      <c r="AX45" s="6">
        <f t="array" ref="AX45">IFERROR(INDEX(Datos_Consumo[CANTIDAD],MATCH(TABLATRANSFERENCIA[[#This Row],[CODIGO]]&amp;TABLATRANSFERENCIA[[#Headers],[2017-12]],Datos_Consumo[CODIGO]&amp;Datos_Consumo[FECHA_FORMATO],0)),0)</f>
        <v>0</v>
      </c>
      <c r="AY45" s="6">
        <f t="array" ref="AY45">IFERROR(INDEX(Datos_Consumo[CANTIDAD],MATCH(TABLATRANSFERENCIA[[#This Row],[CODIGO]]&amp;TABLATRANSFERENCIA[[#Headers],[2018-1]],Datos_Consumo[CODIGO]&amp;Datos_Consumo[FECHA_FORMATO],0)),0)</f>
        <v>40</v>
      </c>
      <c r="AZ45" s="6">
        <f t="array" ref="AZ45">IFERROR(INDEX(Datos_Consumo[CANTIDAD],MATCH(TABLATRANSFERENCIA[[#This Row],[CODIGO]]&amp;TABLATRANSFERENCIA[[#Headers],[2018-2]],Datos_Consumo[CODIGO]&amp;Datos_Consumo[FECHA_FORMATO],0)),0)</f>
        <v>5</v>
      </c>
      <c r="BA45" s="6">
        <f t="array" ref="BA45">IFERROR(INDEX(Datos_Consumo[CANTIDAD],MATCH(TABLATRANSFERENCIA[[#This Row],[CODIGO]]&amp;TABLATRANSFERENCIA[[#Headers],[2018-3]],Datos_Consumo[CODIGO]&amp;Datos_Consumo[FECHA_FORMATO],0)),0)</f>
        <v>100</v>
      </c>
      <c r="BB45" s="6">
        <f t="array" ref="BB45">IFERROR(INDEX(Datos_Consumo[CANTIDAD],MATCH(TABLATRANSFERENCIA[[#This Row],[CODIGO]]&amp;TABLATRANSFERENCIA[[#Headers],[2018-4]],Datos_Consumo[CODIGO]&amp;Datos_Consumo[FECHA_FORMATO],0)),0)</f>
        <v>0</v>
      </c>
      <c r="BC45" s="6">
        <f t="array" ref="BC45">IFERROR(INDEX(Datos_Consumo[CANTIDAD],MATCH(TABLATRANSFERENCIA[[#This Row],[CODIGO]]&amp;TABLATRANSFERENCIA[[#Headers],[2018-5]],Datos_Consumo[CODIGO]&amp;Datos_Consumo[FECHA_FORMATO],0)),0)</f>
        <v>50</v>
      </c>
      <c r="BD45" s="48">
        <v>105</v>
      </c>
      <c r="BE45" s="53">
        <v>105</v>
      </c>
      <c r="BF45" s="62">
        <v>43234</v>
      </c>
      <c r="BG45" s="60">
        <v>43353</v>
      </c>
      <c r="BH45" s="49"/>
      <c r="BI45" s="49"/>
      <c r="BJ45" s="49">
        <f>IF(RIGHT(TABLATRANSFERENCIA[[#Headers],[Emb1]],1)*1&lt;=TABLATRANSFERENCIA[[#This Row],[EMBARQUES]],IF(ISBLANK(TABLATRANSFERENCIA[[#This Row],[EMBARQUES]]),TABLATRANSFERENCIA[[#This Row],[REQUERIM]],ROUND(TABLATRANSFERENCIA[[#This Row],[REQUERIM]]/TABLATRANSFERENCIA[[#This Row],[EMBARQUES]],0)),TABLATRANSFERENCIA[[#This Row],[REQUERIM]])</f>
        <v>105</v>
      </c>
      <c r="BK4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5" s="49"/>
      <c r="BP45" s="44">
        <f>IFERROR(TABLATRANSFERENCIA[[#This Row],[REQUERIM]]/TABLATRANSFERENCIA[[#This Row],[PEDIDO PROMEDIO]],0)</f>
        <v>1.1413043478260869</v>
      </c>
      <c r="BQ45" s="49"/>
      <c r="BR45" s="58"/>
      <c r="BS45" s="3">
        <f>IF(TABLATRANSFERENCIA[[#This Row],[RECIBIDO]]&lt;&gt;"",0,IF(TABLATRANSFERENCIA[[#This Row],[DESPACHO]]&lt;&gt;"",TABLATRANSFERENCIA[[#This Row],[DESPACHO]],TABLATRANSFERENCIA[[#This Row],[REQUERIM]]))</f>
        <v>105</v>
      </c>
      <c r="BT45" s="48"/>
      <c r="BU45" s="48"/>
      <c r="BV45" s="48" t="str">
        <f t="shared" si="0"/>
        <v>N</v>
      </c>
      <c r="BW45" s="49" t="s">
        <v>1388</v>
      </c>
      <c r="BX45" s="49">
        <f t="array" ref="BX4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5" s="49">
        <v>133</v>
      </c>
      <c r="CA45" s="49">
        <v>66</v>
      </c>
      <c r="CB45" s="49"/>
    </row>
    <row r="46" spans="1:80" x14ac:dyDescent="0.25">
      <c r="A46" s="52" t="s">
        <v>1441</v>
      </c>
      <c r="B46" s="3" t="s">
        <v>4005</v>
      </c>
      <c r="C46" s="3" t="s">
        <v>1382</v>
      </c>
      <c r="D46" s="3" t="s">
        <v>4004</v>
      </c>
      <c r="E46" s="3" t="s">
        <v>849</v>
      </c>
      <c r="F46" s="3">
        <v>0</v>
      </c>
      <c r="G46" s="3" t="s">
        <v>3874</v>
      </c>
      <c r="H46" s="3">
        <v>0</v>
      </c>
      <c r="I46" s="3">
        <v>0</v>
      </c>
      <c r="J46" s="3" t="s">
        <v>3677</v>
      </c>
      <c r="K46" s="3">
        <v>0</v>
      </c>
      <c r="L46" s="3" t="s">
        <v>3870</v>
      </c>
      <c r="M46" s="3">
        <v>0</v>
      </c>
      <c r="N46" s="3">
        <v>0</v>
      </c>
      <c r="O46" s="5" t="s">
        <v>1382</v>
      </c>
      <c r="P46" s="5">
        <v>0.28999999999999998</v>
      </c>
      <c r="Q46" s="5">
        <v>0.65</v>
      </c>
      <c r="R46" s="44">
        <v>0</v>
      </c>
      <c r="S46" s="44">
        <v>1.61</v>
      </c>
      <c r="T46" s="44">
        <v>0</v>
      </c>
      <c r="U46" s="44">
        <v>0</v>
      </c>
      <c r="V46" s="47" t="s">
        <v>1403</v>
      </c>
      <c r="W46" s="47" t="s">
        <v>3666</v>
      </c>
      <c r="X46" s="49">
        <v>20</v>
      </c>
      <c r="Y46" s="49">
        <v>17</v>
      </c>
      <c r="Z46" s="6">
        <v>200</v>
      </c>
      <c r="AA46" s="6">
        <v>1000000000</v>
      </c>
      <c r="AB46" s="6">
        <v>180</v>
      </c>
      <c r="AC46" s="4">
        <v>0.1</v>
      </c>
      <c r="AD46" s="6" t="s">
        <v>1390</v>
      </c>
      <c r="AE46" s="6">
        <v>0</v>
      </c>
      <c r="AF46" s="6">
        <v>0</v>
      </c>
      <c r="AG46" s="6">
        <v>0</v>
      </c>
      <c r="AH46" s="6">
        <v>0</v>
      </c>
      <c r="AI46" s="6">
        <v>0</v>
      </c>
      <c r="AJ46" s="6">
        <v>0</v>
      </c>
      <c r="AK46" s="6">
        <v>180</v>
      </c>
      <c r="AL46" s="4">
        <v>0.1</v>
      </c>
      <c r="AM46" s="6" t="s">
        <v>1390</v>
      </c>
      <c r="AN46" s="6">
        <v>1</v>
      </c>
      <c r="AO46" s="6">
        <v>0</v>
      </c>
      <c r="AP46" s="6">
        <v>1</v>
      </c>
      <c r="AQ46" s="6">
        <v>92</v>
      </c>
      <c r="AR46" s="6">
        <v>60.24</v>
      </c>
      <c r="AS46" s="6">
        <v>54.22</v>
      </c>
      <c r="AT46" s="6">
        <v>0.3</v>
      </c>
      <c r="AU46" s="6">
        <v>0</v>
      </c>
      <c r="AV46" s="65">
        <v>43007</v>
      </c>
      <c r="AW46" s="65">
        <v>43122</v>
      </c>
      <c r="AX46" s="6">
        <f t="array" ref="AX46">IFERROR(INDEX(Datos_Consumo[CANTIDAD],MATCH(TABLATRANSFERENCIA[[#This Row],[CODIGO]]&amp;TABLATRANSFERENCIA[[#Headers],[2017-12]],Datos_Consumo[CODIGO]&amp;Datos_Consumo[FECHA_FORMATO],0)),0)</f>
        <v>0</v>
      </c>
      <c r="AY46" s="6">
        <f t="array" ref="AY46">IFERROR(INDEX(Datos_Consumo[CANTIDAD],MATCH(TABLATRANSFERENCIA[[#This Row],[CODIGO]]&amp;TABLATRANSFERENCIA[[#Headers],[2018-1]],Datos_Consumo[CODIGO]&amp;Datos_Consumo[FECHA_FORMATO],0)),0)</f>
        <v>0</v>
      </c>
      <c r="AZ46" s="6">
        <f t="array" ref="AZ46">IFERROR(INDEX(Datos_Consumo[CANTIDAD],MATCH(TABLATRANSFERENCIA[[#This Row],[CODIGO]]&amp;TABLATRANSFERENCIA[[#Headers],[2018-2]],Datos_Consumo[CODIGO]&amp;Datos_Consumo[FECHA_FORMATO],0)),0)</f>
        <v>20</v>
      </c>
      <c r="BA46" s="6">
        <f t="array" ref="BA46">IFERROR(INDEX(Datos_Consumo[CANTIDAD],MATCH(TABLATRANSFERENCIA[[#This Row],[CODIGO]]&amp;TABLATRANSFERENCIA[[#Headers],[2018-3]],Datos_Consumo[CODIGO]&amp;Datos_Consumo[FECHA_FORMATO],0)),0)</f>
        <v>0</v>
      </c>
      <c r="BB46" s="6">
        <f t="array" ref="BB46">IFERROR(INDEX(Datos_Consumo[CANTIDAD],MATCH(TABLATRANSFERENCIA[[#This Row],[CODIGO]]&amp;TABLATRANSFERENCIA[[#Headers],[2018-4]],Datos_Consumo[CODIGO]&amp;Datos_Consumo[FECHA_FORMATO],0)),0)</f>
        <v>0</v>
      </c>
      <c r="BC46" s="6">
        <f t="array" ref="BC46">IFERROR(INDEX(Datos_Consumo[CANTIDAD],MATCH(TABLATRANSFERENCIA[[#This Row],[CODIGO]]&amp;TABLATRANSFERENCIA[[#Headers],[2018-5]],Datos_Consumo[CODIGO]&amp;Datos_Consumo[FECHA_FORMATO],0)),0)</f>
        <v>0</v>
      </c>
      <c r="BD46" s="48">
        <v>20</v>
      </c>
      <c r="BE46" s="53">
        <v>20</v>
      </c>
      <c r="BF46" s="62">
        <v>43234</v>
      </c>
      <c r="BG46" s="60">
        <v>43353</v>
      </c>
      <c r="BH46" s="49"/>
      <c r="BI46" s="49"/>
      <c r="BJ46"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4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6" s="49"/>
      <c r="BP46" s="44">
        <f>IFERROR(TABLATRANSFERENCIA[[#This Row],[REQUERIM]]/TABLATRANSFERENCIA[[#This Row],[PEDIDO PROMEDIO]],0)</f>
        <v>0.21739130434782608</v>
      </c>
      <c r="BQ46" s="49"/>
      <c r="BR46" s="58"/>
      <c r="BS46" s="3">
        <f>IF(TABLATRANSFERENCIA[[#This Row],[RECIBIDO]]&lt;&gt;"",0,IF(TABLATRANSFERENCIA[[#This Row],[DESPACHO]]&lt;&gt;"",TABLATRANSFERENCIA[[#This Row],[DESPACHO]],TABLATRANSFERENCIA[[#This Row],[REQUERIM]]))</f>
        <v>20</v>
      </c>
      <c r="BT46" s="48"/>
      <c r="BU46" s="48"/>
      <c r="BV46" s="48" t="str">
        <f t="shared" si="0"/>
        <v>N</v>
      </c>
      <c r="BW46" s="49" t="s">
        <v>1388</v>
      </c>
      <c r="BX46" s="49">
        <f t="array" ref="BX4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6" s="49">
        <v>133</v>
      </c>
      <c r="CA46" s="49">
        <v>66</v>
      </c>
      <c r="CB46" s="49"/>
    </row>
    <row r="47" spans="1:80" x14ac:dyDescent="0.25">
      <c r="A47" s="52" t="s">
        <v>1442</v>
      </c>
      <c r="B47" s="3" t="s">
        <v>4007</v>
      </c>
      <c r="C47" s="3" t="s">
        <v>1382</v>
      </c>
      <c r="D47" s="3" t="s">
        <v>4006</v>
      </c>
      <c r="E47" s="3" t="s">
        <v>849</v>
      </c>
      <c r="F47" s="3">
        <v>0</v>
      </c>
      <c r="G47" s="3" t="s">
        <v>3910</v>
      </c>
      <c r="H47" s="3">
        <v>0</v>
      </c>
      <c r="I47" s="3">
        <v>0</v>
      </c>
      <c r="J47" s="3" t="s">
        <v>872</v>
      </c>
      <c r="K47" s="3">
        <v>0</v>
      </c>
      <c r="L47" s="3" t="s">
        <v>3870</v>
      </c>
      <c r="M47" s="3">
        <v>0</v>
      </c>
      <c r="N47" s="3">
        <v>0</v>
      </c>
      <c r="O47" s="5" t="s">
        <v>1382</v>
      </c>
      <c r="P47" s="5">
        <v>51.03</v>
      </c>
      <c r="Q47" s="5">
        <v>99</v>
      </c>
      <c r="R47" s="44">
        <v>0</v>
      </c>
      <c r="S47" s="44">
        <v>1.22</v>
      </c>
      <c r="T47" s="44">
        <v>0</v>
      </c>
      <c r="U47" s="44">
        <v>1</v>
      </c>
      <c r="V47" s="47" t="s">
        <v>1403</v>
      </c>
      <c r="W47" s="47" t="s">
        <v>3666</v>
      </c>
      <c r="X47" s="49">
        <v>20</v>
      </c>
      <c r="Y47" s="49">
        <v>17</v>
      </c>
      <c r="Z47" s="6">
        <v>30</v>
      </c>
      <c r="AA47" s="6">
        <v>1000000000</v>
      </c>
      <c r="AB47" s="6">
        <v>29</v>
      </c>
      <c r="AC47" s="4">
        <v>0.03</v>
      </c>
      <c r="AD47" s="6" t="s">
        <v>1390</v>
      </c>
      <c r="AE47" s="6">
        <v>0</v>
      </c>
      <c r="AF47" s="6">
        <v>0</v>
      </c>
      <c r="AG47" s="6">
        <v>0</v>
      </c>
      <c r="AH47" s="6">
        <v>0</v>
      </c>
      <c r="AI47" s="6">
        <v>0</v>
      </c>
      <c r="AJ47" s="6">
        <v>0</v>
      </c>
      <c r="AK47" s="6">
        <v>29</v>
      </c>
      <c r="AL47" s="4">
        <v>0.03</v>
      </c>
      <c r="AM47" s="6" t="s">
        <v>1390</v>
      </c>
      <c r="AN47" s="6">
        <v>1</v>
      </c>
      <c r="AO47" s="6">
        <v>0</v>
      </c>
      <c r="AP47" s="6">
        <v>1</v>
      </c>
      <c r="AQ47" s="6">
        <v>14</v>
      </c>
      <c r="AR47" s="6">
        <v>187.5</v>
      </c>
      <c r="AS47" s="6">
        <v>181.25</v>
      </c>
      <c r="AT47" s="6">
        <v>6.25</v>
      </c>
      <c r="AU47" s="6">
        <v>0</v>
      </c>
      <c r="AV47" s="65">
        <v>42768</v>
      </c>
      <c r="AW47" s="65">
        <v>42852</v>
      </c>
      <c r="AX47" s="6">
        <f t="array" ref="AX47">IFERROR(INDEX(Datos_Consumo[CANTIDAD],MATCH(TABLATRANSFERENCIA[[#This Row],[CODIGO]]&amp;TABLATRANSFERENCIA[[#Headers],[2017-12]],Datos_Consumo[CODIGO]&amp;Datos_Consumo[FECHA_FORMATO],0)),0)</f>
        <v>0</v>
      </c>
      <c r="AY47" s="6">
        <f t="array" ref="AY47">IFERROR(INDEX(Datos_Consumo[CANTIDAD],MATCH(TABLATRANSFERENCIA[[#This Row],[CODIGO]]&amp;TABLATRANSFERENCIA[[#Headers],[2018-1]],Datos_Consumo[CODIGO]&amp;Datos_Consumo[FECHA_FORMATO],0)),0)</f>
        <v>0</v>
      </c>
      <c r="AZ47" s="6">
        <f t="array" ref="AZ47">IFERROR(INDEX(Datos_Consumo[CANTIDAD],MATCH(TABLATRANSFERENCIA[[#This Row],[CODIGO]]&amp;TABLATRANSFERENCIA[[#Headers],[2018-2]],Datos_Consumo[CODIGO]&amp;Datos_Consumo[FECHA_FORMATO],0)),0)</f>
        <v>1</v>
      </c>
      <c r="BA47" s="6">
        <f t="array" ref="BA47">IFERROR(INDEX(Datos_Consumo[CANTIDAD],MATCH(TABLATRANSFERENCIA[[#This Row],[CODIGO]]&amp;TABLATRANSFERENCIA[[#Headers],[2018-3]],Datos_Consumo[CODIGO]&amp;Datos_Consumo[FECHA_FORMATO],0)),0)</f>
        <v>0</v>
      </c>
      <c r="BB47" s="6">
        <f t="array" ref="BB47">IFERROR(INDEX(Datos_Consumo[CANTIDAD],MATCH(TABLATRANSFERENCIA[[#This Row],[CODIGO]]&amp;TABLATRANSFERENCIA[[#Headers],[2018-4]],Datos_Consumo[CODIGO]&amp;Datos_Consumo[FECHA_FORMATO],0)),0)</f>
        <v>2</v>
      </c>
      <c r="BC47" s="6">
        <f t="array" ref="BC47">IFERROR(INDEX(Datos_Consumo[CANTIDAD],MATCH(TABLATRANSFERENCIA[[#This Row],[CODIGO]]&amp;TABLATRANSFERENCIA[[#Headers],[2018-5]],Datos_Consumo[CODIGO]&amp;Datos_Consumo[FECHA_FORMATO],0)),0)</f>
        <v>0</v>
      </c>
      <c r="BD47" s="48">
        <v>1</v>
      </c>
      <c r="BE47" s="53">
        <v>1</v>
      </c>
      <c r="BF47" s="62">
        <v>43234</v>
      </c>
      <c r="BG47" s="60">
        <v>43353</v>
      </c>
      <c r="BH47" s="49"/>
      <c r="BI47" s="49"/>
      <c r="BJ47"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4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7" s="49"/>
      <c r="BP47" s="44">
        <f>IFERROR(TABLATRANSFERENCIA[[#This Row],[REQUERIM]]/TABLATRANSFERENCIA[[#This Row],[PEDIDO PROMEDIO]],0)</f>
        <v>7.1428571428571425E-2</v>
      </c>
      <c r="BQ47" s="49"/>
      <c r="BR47" s="58"/>
      <c r="BS47" s="3">
        <f>IF(TABLATRANSFERENCIA[[#This Row],[RECIBIDO]]&lt;&gt;"",0,IF(TABLATRANSFERENCIA[[#This Row],[DESPACHO]]&lt;&gt;"",TABLATRANSFERENCIA[[#This Row],[DESPACHO]],TABLATRANSFERENCIA[[#This Row],[REQUERIM]]))</f>
        <v>1</v>
      </c>
      <c r="BT47" s="48"/>
      <c r="BU47" s="48"/>
      <c r="BV47" s="48" t="str">
        <f t="shared" si="0"/>
        <v>N</v>
      </c>
      <c r="BW47" s="49" t="s">
        <v>1388</v>
      </c>
      <c r="BX47" s="49">
        <f t="array" ref="BX4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7" s="49">
        <v>20</v>
      </c>
      <c r="CA47" s="49">
        <v>10</v>
      </c>
      <c r="CB47" s="49"/>
    </row>
    <row r="48" spans="1:80" x14ac:dyDescent="0.25">
      <c r="A48" s="52" t="s">
        <v>1443</v>
      </c>
      <c r="B48" s="3" t="s">
        <v>4010</v>
      </c>
      <c r="C48" s="3" t="s">
        <v>1382</v>
      </c>
      <c r="D48" s="3" t="s">
        <v>4009</v>
      </c>
      <c r="E48" s="3" t="s">
        <v>849</v>
      </c>
      <c r="F48" s="3">
        <v>0</v>
      </c>
      <c r="G48" s="3" t="s">
        <v>3784</v>
      </c>
      <c r="H48" s="3">
        <v>0</v>
      </c>
      <c r="I48" s="3">
        <v>0</v>
      </c>
      <c r="J48" s="3" t="s">
        <v>3771</v>
      </c>
      <c r="K48" s="3">
        <v>0</v>
      </c>
      <c r="L48" s="3" t="s">
        <v>3785</v>
      </c>
      <c r="M48" s="3">
        <v>0</v>
      </c>
      <c r="N48" s="3">
        <v>0</v>
      </c>
      <c r="O48" s="5" t="s">
        <v>1382</v>
      </c>
      <c r="P48" s="5">
        <v>19.940000000000001</v>
      </c>
      <c r="Q48" s="5">
        <v>38</v>
      </c>
      <c r="R48" s="44">
        <v>0</v>
      </c>
      <c r="S48" s="44">
        <v>1.17</v>
      </c>
      <c r="T48" s="44">
        <v>0</v>
      </c>
      <c r="U48" s="44">
        <v>1</v>
      </c>
      <c r="V48" s="47" t="s">
        <v>1403</v>
      </c>
      <c r="W48" s="47" t="s">
        <v>3666</v>
      </c>
      <c r="X48" s="49">
        <v>20</v>
      </c>
      <c r="Y48" s="49">
        <v>17</v>
      </c>
      <c r="Z48" s="6">
        <v>60</v>
      </c>
      <c r="AA48" s="6">
        <v>1000000000</v>
      </c>
      <c r="AB48" s="6">
        <v>48</v>
      </c>
      <c r="AC48" s="4">
        <v>0.2</v>
      </c>
      <c r="AD48" s="6" t="s">
        <v>1390</v>
      </c>
      <c r="AE48" s="6">
        <v>0</v>
      </c>
      <c r="AF48" s="6">
        <v>0</v>
      </c>
      <c r="AG48" s="6">
        <v>0</v>
      </c>
      <c r="AH48" s="6">
        <v>0</v>
      </c>
      <c r="AI48" s="6">
        <v>0</v>
      </c>
      <c r="AJ48" s="6">
        <v>0</v>
      </c>
      <c r="AK48" s="6">
        <v>48</v>
      </c>
      <c r="AL48" s="4">
        <v>0.2</v>
      </c>
      <c r="AM48" s="6" t="s">
        <v>1390</v>
      </c>
      <c r="AN48" s="6">
        <v>1</v>
      </c>
      <c r="AO48" s="6">
        <v>0</v>
      </c>
      <c r="AP48" s="6">
        <v>1</v>
      </c>
      <c r="AQ48" s="6">
        <v>28</v>
      </c>
      <c r="AR48" s="6">
        <v>23.81</v>
      </c>
      <c r="AS48" s="6">
        <v>19.05</v>
      </c>
      <c r="AT48" s="6">
        <v>0.4</v>
      </c>
      <c r="AU48" s="6">
        <v>0</v>
      </c>
      <c r="AV48" s="65">
        <v>43132</v>
      </c>
      <c r="AW48" s="65">
        <v>43195</v>
      </c>
      <c r="AX48" s="6">
        <f t="array" ref="AX48">IFERROR(INDEX(Datos_Consumo[CANTIDAD],MATCH(TABLATRANSFERENCIA[[#This Row],[CODIGO]]&amp;TABLATRANSFERENCIA[[#Headers],[2017-12]],Datos_Consumo[CODIGO]&amp;Datos_Consumo[FECHA_FORMATO],0)),0)</f>
        <v>7</v>
      </c>
      <c r="AY48" s="6">
        <f t="array" ref="AY48">IFERROR(INDEX(Datos_Consumo[CANTIDAD],MATCH(TABLATRANSFERENCIA[[#This Row],[CODIGO]]&amp;TABLATRANSFERENCIA[[#Headers],[2018-1]],Datos_Consumo[CODIGO]&amp;Datos_Consumo[FECHA_FORMATO],0)),0)</f>
        <v>6</v>
      </c>
      <c r="AZ48" s="6">
        <f t="array" ref="AZ48">IFERROR(INDEX(Datos_Consumo[CANTIDAD],MATCH(TABLATRANSFERENCIA[[#This Row],[CODIGO]]&amp;TABLATRANSFERENCIA[[#Headers],[2018-2]],Datos_Consumo[CODIGO]&amp;Datos_Consumo[FECHA_FORMATO],0)),0)</f>
        <v>0</v>
      </c>
      <c r="BA48" s="6">
        <f t="array" ref="BA48">IFERROR(INDEX(Datos_Consumo[CANTIDAD],MATCH(TABLATRANSFERENCIA[[#This Row],[CODIGO]]&amp;TABLATRANSFERENCIA[[#Headers],[2018-3]],Datos_Consumo[CODIGO]&amp;Datos_Consumo[FECHA_FORMATO],0)),0)</f>
        <v>1</v>
      </c>
      <c r="BB48" s="6">
        <f t="array" ref="BB48">IFERROR(INDEX(Datos_Consumo[CANTIDAD],MATCH(TABLATRANSFERENCIA[[#This Row],[CODIGO]]&amp;TABLATRANSFERENCIA[[#Headers],[2018-4]],Datos_Consumo[CODIGO]&amp;Datos_Consumo[FECHA_FORMATO],0)),0)</f>
        <v>3</v>
      </c>
      <c r="BC48" s="6">
        <f t="array" ref="BC48">IFERROR(INDEX(Datos_Consumo[CANTIDAD],MATCH(TABLATRANSFERENCIA[[#This Row],[CODIGO]]&amp;TABLATRANSFERENCIA[[#Headers],[2018-5]],Datos_Consumo[CODIGO]&amp;Datos_Consumo[FECHA_FORMATO],0)),0)</f>
        <v>0</v>
      </c>
      <c r="BD48" s="48">
        <v>12</v>
      </c>
      <c r="BE48" s="53">
        <v>12</v>
      </c>
      <c r="BF48" s="62">
        <v>43234</v>
      </c>
      <c r="BG48" s="60">
        <v>43353</v>
      </c>
      <c r="BH48" s="49"/>
      <c r="BI48" s="49"/>
      <c r="BJ48"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4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8" s="49"/>
      <c r="BP48" s="44">
        <f>IFERROR(TABLATRANSFERENCIA[[#This Row],[REQUERIM]]/TABLATRANSFERENCIA[[#This Row],[PEDIDO PROMEDIO]],0)</f>
        <v>0.42857142857142855</v>
      </c>
      <c r="BQ48" s="49"/>
      <c r="BR48" s="58"/>
      <c r="BS48" s="3">
        <f>IF(TABLATRANSFERENCIA[[#This Row],[RECIBIDO]]&lt;&gt;"",0,IF(TABLATRANSFERENCIA[[#This Row],[DESPACHO]]&lt;&gt;"",TABLATRANSFERENCIA[[#This Row],[DESPACHO]],TABLATRANSFERENCIA[[#This Row],[REQUERIM]]))</f>
        <v>12</v>
      </c>
      <c r="BT48" s="48"/>
      <c r="BU48" s="48"/>
      <c r="BV48" s="48" t="str">
        <f t="shared" si="0"/>
        <v>N</v>
      </c>
      <c r="BW48" s="49" t="s">
        <v>1388</v>
      </c>
      <c r="BX48" s="49">
        <f t="array" ref="BX4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8" s="49">
        <v>40</v>
      </c>
      <c r="CA48" s="49">
        <v>20</v>
      </c>
      <c r="CB48" s="49"/>
    </row>
    <row r="49" spans="1:80" x14ac:dyDescent="0.25">
      <c r="A49" s="52" t="s">
        <v>1444</v>
      </c>
      <c r="B49" s="3" t="s">
        <v>4020</v>
      </c>
      <c r="C49" s="3" t="s">
        <v>1382</v>
      </c>
      <c r="D49" s="3" t="s">
        <v>4019</v>
      </c>
      <c r="E49" s="3" t="s">
        <v>849</v>
      </c>
      <c r="F49" s="3">
        <v>0</v>
      </c>
      <c r="G49" s="3" t="s">
        <v>3868</v>
      </c>
      <c r="H49" s="3">
        <v>0</v>
      </c>
      <c r="I49" s="3">
        <v>0</v>
      </c>
      <c r="J49" s="3" t="s">
        <v>3869</v>
      </c>
      <c r="K49" s="3">
        <v>0</v>
      </c>
      <c r="L49" s="3" t="s">
        <v>3870</v>
      </c>
      <c r="M49" s="3">
        <v>0</v>
      </c>
      <c r="N49" s="3">
        <v>0</v>
      </c>
      <c r="O49" s="5" t="s">
        <v>1382</v>
      </c>
      <c r="P49" s="5">
        <v>11.61</v>
      </c>
      <c r="Q49" s="5">
        <v>25</v>
      </c>
      <c r="R49" s="44">
        <v>0</v>
      </c>
      <c r="S49" s="44">
        <v>1.5</v>
      </c>
      <c r="T49" s="44">
        <v>0</v>
      </c>
      <c r="U49" s="44">
        <v>0</v>
      </c>
      <c r="V49" s="47" t="s">
        <v>1403</v>
      </c>
      <c r="W49" s="47" t="s">
        <v>3666</v>
      </c>
      <c r="X49" s="49">
        <v>20</v>
      </c>
      <c r="Y49" s="49">
        <v>17</v>
      </c>
      <c r="Z49" s="6">
        <v>200</v>
      </c>
      <c r="AA49" s="6">
        <v>1000000000</v>
      </c>
      <c r="AB49" s="6">
        <v>3</v>
      </c>
      <c r="AC49" s="4">
        <v>0.99</v>
      </c>
      <c r="AD49" s="6" t="s">
        <v>1394</v>
      </c>
      <c r="AE49" s="6">
        <v>170</v>
      </c>
      <c r="AF49" s="6">
        <v>0</v>
      </c>
      <c r="AG49" s="6">
        <v>0</v>
      </c>
      <c r="AH49" s="6">
        <v>0</v>
      </c>
      <c r="AI49" s="6">
        <v>0</v>
      </c>
      <c r="AJ49" s="6">
        <v>0</v>
      </c>
      <c r="AK49" s="6">
        <v>173</v>
      </c>
      <c r="AL49" s="4">
        <v>0.14000000000000001</v>
      </c>
      <c r="AM49" s="6" t="s">
        <v>1390</v>
      </c>
      <c r="AN49" s="6">
        <v>1</v>
      </c>
      <c r="AO49" s="6">
        <v>0</v>
      </c>
      <c r="AP49" s="6">
        <v>1</v>
      </c>
      <c r="AQ49" s="6">
        <v>92</v>
      </c>
      <c r="AR49" s="6">
        <v>24.04</v>
      </c>
      <c r="AS49" s="6">
        <v>20.79</v>
      </c>
      <c r="AT49" s="6">
        <v>0.12</v>
      </c>
      <c r="AU49" s="6">
        <v>0</v>
      </c>
      <c r="AV49" s="65">
        <v>43195</v>
      </c>
      <c r="AW49" s="65">
        <v>43195</v>
      </c>
      <c r="AX49" s="6">
        <f t="array" ref="AX49">IFERROR(INDEX(Datos_Consumo[CANTIDAD],MATCH(TABLATRANSFERENCIA[[#This Row],[CODIGO]]&amp;TABLATRANSFERENCIA[[#Headers],[2017-12]],Datos_Consumo[CODIGO]&amp;Datos_Consumo[FECHA_FORMATO],0)),0)</f>
        <v>0</v>
      </c>
      <c r="AY49" s="6">
        <f t="array" ref="AY49">IFERROR(INDEX(Datos_Consumo[CANTIDAD],MATCH(TABLATRANSFERENCIA[[#This Row],[CODIGO]]&amp;TABLATRANSFERENCIA[[#Headers],[2018-1]],Datos_Consumo[CODIGO]&amp;Datos_Consumo[FECHA_FORMATO],0)),0)</f>
        <v>21</v>
      </c>
      <c r="AZ49" s="6">
        <f t="array" ref="AZ49">IFERROR(INDEX(Datos_Consumo[CANTIDAD],MATCH(TABLATRANSFERENCIA[[#This Row],[CODIGO]]&amp;TABLATRANSFERENCIA[[#Headers],[2018-2]],Datos_Consumo[CODIGO]&amp;Datos_Consumo[FECHA_FORMATO],0)),0)</f>
        <v>21</v>
      </c>
      <c r="BA49" s="6">
        <f t="array" ref="BA49">IFERROR(INDEX(Datos_Consumo[CANTIDAD],MATCH(TABLATRANSFERENCIA[[#This Row],[CODIGO]]&amp;TABLATRANSFERENCIA[[#Headers],[2018-3]],Datos_Consumo[CODIGO]&amp;Datos_Consumo[FECHA_FORMATO],0)),0)</f>
        <v>5</v>
      </c>
      <c r="BB49" s="6">
        <f t="array" ref="BB49">IFERROR(INDEX(Datos_Consumo[CANTIDAD],MATCH(TABLATRANSFERENCIA[[#This Row],[CODIGO]]&amp;TABLATRANSFERENCIA[[#Headers],[2018-4]],Datos_Consumo[CODIGO]&amp;Datos_Consumo[FECHA_FORMATO],0)),0)</f>
        <v>6</v>
      </c>
      <c r="BC49" s="6">
        <f t="array" ref="BC49">IFERROR(INDEX(Datos_Consumo[CANTIDAD],MATCH(TABLATRANSFERENCIA[[#This Row],[CODIGO]]&amp;TABLATRANSFERENCIA[[#Headers],[2018-5]],Datos_Consumo[CODIGO]&amp;Datos_Consumo[FECHA_FORMATO],0)),0)</f>
        <v>0</v>
      </c>
      <c r="BD49" s="48">
        <v>27</v>
      </c>
      <c r="BE49" s="53">
        <v>27</v>
      </c>
      <c r="BF49" s="62">
        <v>43234</v>
      </c>
      <c r="BG49" s="60">
        <v>43353</v>
      </c>
      <c r="BH49" s="49"/>
      <c r="BI49" s="49"/>
      <c r="BJ49" s="49">
        <f>IF(RIGHT(TABLATRANSFERENCIA[[#Headers],[Emb1]],1)*1&lt;=TABLATRANSFERENCIA[[#This Row],[EMBARQUES]],IF(ISBLANK(TABLATRANSFERENCIA[[#This Row],[EMBARQUES]]),TABLATRANSFERENCIA[[#This Row],[REQUERIM]],ROUND(TABLATRANSFERENCIA[[#This Row],[REQUERIM]]/TABLATRANSFERENCIA[[#This Row],[EMBARQUES]],0)),TABLATRANSFERENCIA[[#This Row],[REQUERIM]])</f>
        <v>27</v>
      </c>
      <c r="BK4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9" s="49"/>
      <c r="BP49" s="44">
        <f>IFERROR(TABLATRANSFERENCIA[[#This Row],[REQUERIM]]/TABLATRANSFERENCIA[[#This Row],[PEDIDO PROMEDIO]],0)</f>
        <v>0.29347826086956524</v>
      </c>
      <c r="BQ49" s="49"/>
      <c r="BR49" s="58"/>
      <c r="BS49" s="3">
        <f>IF(TABLATRANSFERENCIA[[#This Row],[RECIBIDO]]&lt;&gt;"",0,IF(TABLATRANSFERENCIA[[#This Row],[DESPACHO]]&lt;&gt;"",TABLATRANSFERENCIA[[#This Row],[DESPACHO]],TABLATRANSFERENCIA[[#This Row],[REQUERIM]]))</f>
        <v>27</v>
      </c>
      <c r="BT49" s="48"/>
      <c r="BU49" s="48"/>
      <c r="BV49" s="48" t="str">
        <f t="shared" si="0"/>
        <v>N</v>
      </c>
      <c r="BW49" s="49" t="s">
        <v>1388</v>
      </c>
      <c r="BX49" s="49">
        <f t="array" ref="BX4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9" s="49">
        <v>133</v>
      </c>
      <c r="CA49" s="49">
        <v>66</v>
      </c>
      <c r="CB49" s="49"/>
    </row>
  </sheetData>
  <sheetProtection algorithmName="SHA-512" hashValue="NAfDHff4jp5T05jnxF0XdaaK+TIcw8Df3YO0PNGOIfuIbVtiIQOaSlwStvWN2/putGaVr2ZjmXWrwgD9ObKxdg==" saltValue="VOimcx4X2rCbypXBOrln+Q==" spinCount="100000" sheet="1" objects="1" scenarios="1" formatCells="0" sort="0" autoFilter="0"/>
  <conditionalFormatting sqref="BQ9:BR49">
    <cfRule type="expression" dxfId="212" priority="36">
      <formula>ISBLANK(BQ9)</formula>
    </cfRule>
  </conditionalFormatting>
  <conditionalFormatting sqref="B5">
    <cfRule type="expression" dxfId="211" priority="28">
      <formula>ISBLANK(REFERENCIA)</formula>
    </cfRule>
  </conditionalFormatting>
  <conditionalFormatting sqref="D3">
    <cfRule type="expression" dxfId="210" priority="26">
      <formula>AND(ISNUMBER($D$3),$D$3&lt;$D$2)</formula>
    </cfRule>
    <cfRule type="expression" dxfId="209" priority="35">
      <formula>ISBLANK(FECHACIERRE)</formula>
    </cfRule>
  </conditionalFormatting>
  <conditionalFormatting sqref="B6 D3">
    <cfRule type="expression" dxfId="208" priority="27">
      <formula>ISBLANK(FECHAARRIBO)</formula>
    </cfRule>
  </conditionalFormatting>
  <conditionalFormatting sqref="B7">
    <cfRule type="expression" dxfId="207" priority="25">
      <formula>NOT((B7=""))</formula>
    </cfRule>
  </conditionalFormatting>
  <conditionalFormatting sqref="AK9:AK49 AB9:AB49">
    <cfRule type="expression" dxfId="206" priority="17">
      <formula>AD9="G"</formula>
    </cfRule>
    <cfRule type="expression" dxfId="205" priority="18">
      <formula>AD9="L"</formula>
    </cfRule>
    <cfRule type="expression" dxfId="204" priority="19">
      <formula>AD9="V"</formula>
    </cfRule>
    <cfRule type="expression" dxfId="203" priority="20">
      <formula>AD9="A"</formula>
    </cfRule>
    <cfRule type="expression" dxfId="202" priority="21">
      <formula>AD9="N"</formula>
    </cfRule>
    <cfRule type="expression" dxfId="201" priority="22">
      <formula>AD9="R"</formula>
    </cfRule>
  </conditionalFormatting>
  <conditionalFormatting sqref="BU9:BU49">
    <cfRule type="expression" dxfId="200" priority="17386">
      <formula>AND(ISNUMBER($BR9),$BQ9&lt;&gt;$BR9)</formula>
    </cfRule>
  </conditionalFormatting>
  <conditionalFormatting sqref="AO9:AO49">
    <cfRule type="expression" dxfId="199" priority="10">
      <formula>$BX9=1</formula>
    </cfRule>
  </conditionalFormatting>
  <conditionalFormatting sqref="BD9:BD49">
    <cfRule type="expression" dxfId="198" priority="4">
      <formula>$BY9="N"</formula>
    </cfRule>
    <cfRule type="expression" dxfId="197" priority="5">
      <formula>$BY9="R"</formula>
    </cfRule>
    <cfRule type="expression" dxfId="196" priority="6">
      <formula>$BY9="A"</formula>
    </cfRule>
    <cfRule type="expression" dxfId="195" priority="7">
      <formula>$BY9="L"</formula>
    </cfRule>
    <cfRule type="expression" dxfId="194" priority="8">
      <formula>$BY9="V"</formula>
    </cfRule>
    <cfRule type="expression" dxfId="193" priority="9">
      <formula>$BY9="G"</formula>
    </cfRule>
  </conditionalFormatting>
  <conditionalFormatting sqref="BT9:BT49">
    <cfRule type="expression" dxfId="192" priority="63702">
      <formula>AND(ISNUMBER($BQ9),$BD9&lt;&gt;$BQ9)</formula>
    </cfRule>
  </conditionalFormatting>
  <conditionalFormatting sqref="D1">
    <cfRule type="expression" dxfId="191" priority="1">
      <formula>mensaje="TRANSFERENCIA CARGADA"</formula>
    </cfRule>
    <cfRule type="expression" dxfId="190" priority="2">
      <formula>mensaje&lt;&gt;""</formula>
    </cfRule>
  </conditionalFormatting>
  <conditionalFormatting sqref="R1:S1">
    <cfRule type="expression" dxfId="189" priority="65032">
      <formula>COUNTA($BR$9:$BR$49)=0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49">
      <formula1>RangoCausas</formula1>
    </dataValidation>
    <dataValidation type="whole" allowBlank="1" showErrorMessage="1" promptTitle="Número de Embarques" sqref="BJ9:BN49">
      <formula1>0</formula1>
      <formula2>1000000</formula2>
    </dataValidation>
    <dataValidation type="whole" allowBlank="1" showErrorMessage="1" promptTitle="Número de Embarques" sqref="BI9:BI49">
      <formula1>1</formula1>
      <formula2>5</formula2>
    </dataValidation>
    <dataValidation allowBlank="1" showErrorMessage="1" promptTitle="Número de Embarques" sqref="BO9:BO49"/>
    <dataValidation type="list" allowBlank="1" showInputMessage="1" showErrorMessage="1" sqref="BW9:BW49">
      <formula1>"ACT,INA"</formula1>
    </dataValidation>
    <dataValidation type="custom" operator="greaterThan" allowBlank="1" showInputMessage="1" showErrorMessage="1" error="No puede ser menor a la fecha de inicio." sqref="BG9:BG49">
      <formula1>BG9&gt;=BF9</formula1>
    </dataValidation>
    <dataValidation type="custom" operator="greaterThanOrEqual" allowBlank="1" showInputMessage="1" showErrorMessage="1" error="No puede ser anterior a la fecha de creación de la transferencia ni menor a la fecha de finalización." sqref="BF9:BF49">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1378</v>
      </c>
      <c r="B1">
        <f>IF(COUNTBLANK(TABLATRANSFERENCIA[DE FECHA])&gt;0,1,0)</f>
        <v>0</v>
      </c>
      <c r="D1" t="str">
        <f>IF(error1,"Vacíos en fecha de inicio",IF(error2,"Error de Pedido Mínimo de Grupo",IF(error3,"Registros con código vacío","")))</f>
        <v/>
      </c>
      <c r="K1" t="b">
        <v>1</v>
      </c>
    </row>
    <row r="2" spans="1:11" x14ac:dyDescent="0.25">
      <c r="A2" t="s">
        <v>1379</v>
      </c>
      <c r="B2">
        <f>IF(SUM(TABLATRANSFERENCIA[Error Pedid Min Grupo])&gt;0,1,0)</f>
        <v>0</v>
      </c>
      <c r="K2" t="b">
        <v>0</v>
      </c>
    </row>
    <row r="3" spans="1:11" x14ac:dyDescent="0.25">
      <c r="A3" t="s">
        <v>1381</v>
      </c>
      <c r="B3">
        <f>IF(COUNTBLANK(TABLATRANSFERENCIA[CODIGO])&gt;0,1,0)</f>
        <v>0</v>
      </c>
      <c r="K3" t="b">
        <v>0</v>
      </c>
    </row>
    <row r="4" spans="1:11" x14ac:dyDescent="0.25">
      <c r="A4" t="s">
        <v>1380</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1366</v>
      </c>
      <c r="AY1" s="50" t="s">
        <v>1367</v>
      </c>
      <c r="AZ1" s="50" t="s">
        <v>1368</v>
      </c>
      <c r="BA1" s="50" t="s">
        <v>1369</v>
      </c>
      <c r="BB1" s="50" t="s">
        <v>1370</v>
      </c>
      <c r="BC1" s="50" t="s">
        <v>1371</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1386</v>
      </c>
    </row>
    <row r="2" spans="1:76" x14ac:dyDescent="0.25">
      <c r="A2" s="52" t="s">
        <v>1365</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13" priority="15">
      <formula>ISBLANK(BN2)</formula>
    </cfRule>
  </conditionalFormatting>
  <conditionalFormatting sqref="AK2 AB2">
    <cfRule type="expression" dxfId="112" priority="9">
      <formula>AD2="G"</formula>
    </cfRule>
    <cfRule type="expression" dxfId="111" priority="10">
      <formula>AD2="L"</formula>
    </cfRule>
    <cfRule type="expression" dxfId="110" priority="11">
      <formula>AD2="V"</formula>
    </cfRule>
    <cfRule type="expression" dxfId="109" priority="12">
      <formula>AD2="A"</formula>
    </cfRule>
    <cfRule type="expression" dxfId="108" priority="13">
      <formula>AD2="N"</formula>
    </cfRule>
    <cfRule type="expression" dxfId="107" priority="14">
      <formula>AD2="R"</formula>
    </cfRule>
  </conditionalFormatting>
  <conditionalFormatting sqref="BR2">
    <cfRule type="expression" dxfId="106" priority="16">
      <formula>AND(ISNUMBER($BO2),$BN2&lt;&gt;$BO2)</formula>
    </cfRule>
  </conditionalFormatting>
  <conditionalFormatting sqref="AO2">
    <cfRule type="expression" dxfId="105" priority="8">
      <formula>$BT2=1</formula>
    </cfRule>
  </conditionalFormatting>
  <conditionalFormatting sqref="BD2">
    <cfRule type="expression" dxfId="104" priority="2">
      <formula>$BU2="N"</formula>
    </cfRule>
    <cfRule type="expression" dxfId="103" priority="3">
      <formula>$BU2="R"</formula>
    </cfRule>
    <cfRule type="expression" dxfId="102" priority="4">
      <formula>$BU2="A"</formula>
    </cfRule>
    <cfRule type="expression" dxfId="101" priority="5">
      <formula>$BU2="L"</formula>
    </cfRule>
    <cfRule type="expression" dxfId="100" priority="6">
      <formula>$BU2="V"</formula>
    </cfRule>
    <cfRule type="expression" dxfId="99" priority="7">
      <formula>$BU2="G"</formula>
    </cfRule>
  </conditionalFormatting>
  <conditionalFormatting sqref="BQ2">
    <cfRule type="expression" dxfId="98" priority="17">
      <formula>AND(ISNUMBER($BN2),$BD2&lt;&gt;$BN2)</formula>
    </cfRule>
  </conditionalFormatting>
  <conditionalFormatting sqref="AV2">
    <cfRule type="expression" dxfId="97"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1374</v>
      </c>
    </row>
    <row r="3" spans="1:1" x14ac:dyDescent="0.25">
      <c r="A3">
        <v>-1</v>
      </c>
    </row>
    <row r="5" spans="1:1" x14ac:dyDescent="0.25">
      <c r="A5" t="s">
        <v>1388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14-5-2018</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1144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1395</v>
      </c>
      <c r="C1" s="66"/>
      <c r="D1" s="66"/>
      <c r="E1" s="66"/>
      <c r="F1" s="66"/>
      <c r="G1" s="1"/>
      <c r="H1" s="1"/>
      <c r="I1" s="1"/>
      <c r="J1" s="1"/>
      <c r="K1" s="1"/>
      <c r="L1" s="1"/>
      <c r="M1" s="1"/>
      <c r="N1" s="1"/>
      <c r="O1" s="1"/>
      <c r="BF1" t="s">
        <v>1396</v>
      </c>
    </row>
    <row r="2" spans="1:58" x14ac:dyDescent="0.25">
      <c r="A2" t="str">
        <f>"EMPRESA:  "&amp;BF1</f>
        <v>EMPRESA:  HOSPICARE</v>
      </c>
    </row>
    <row r="3" spans="1:58" x14ac:dyDescent="0.25">
      <c r="A3" t="str">
        <f ca="1">"FECHA:        "&amp;TEXT(TODAY(),"dd/mmm/yyyy")</f>
        <v>FECHA:        22/may/2018</v>
      </c>
      <c r="B3" s="12"/>
    </row>
    <row r="5" spans="1:58" x14ac:dyDescent="0.25">
      <c r="A5" s="2" t="s">
        <v>839</v>
      </c>
      <c r="B5" s="13" t="s">
        <v>1393</v>
      </c>
      <c r="C5" s="13" t="s">
        <v>840</v>
      </c>
      <c r="D5" s="13" t="s">
        <v>888</v>
      </c>
      <c r="E5" s="13" t="s">
        <v>889</v>
      </c>
      <c r="F5" s="13" t="s">
        <v>900</v>
      </c>
      <c r="G5" s="13" t="s">
        <v>881</v>
      </c>
      <c r="H5" s="13" t="s">
        <v>882</v>
      </c>
      <c r="I5" s="13" t="s">
        <v>883</v>
      </c>
      <c r="J5" s="13" t="s">
        <v>884</v>
      </c>
      <c r="K5" s="13" t="s">
        <v>885</v>
      </c>
      <c r="L5" s="13" t="s">
        <v>886</v>
      </c>
      <c r="M5" s="13" t="s">
        <v>8</v>
      </c>
      <c r="N5" s="13" t="s">
        <v>1392</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autoPict="0" r:id="rId5">
            <anchor>
              <from>
                <xdr:col>10</xdr:col>
                <xdr:colOff>581025</xdr:colOff>
                <xdr:row>0</xdr:row>
                <xdr:rowOff>19050</xdr:rowOff>
              </from>
              <to>
                <xdr:col>12</xdr:col>
                <xdr:colOff>323850</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autoLine="0" autoPict="0" r:id="rId7">
            <anchor>
              <from>
                <xdr:col>10</xdr:col>
                <xdr:colOff>581025</xdr:colOff>
                <xdr:row>1</xdr:row>
                <xdr:rowOff>76200</xdr:rowOff>
              </from>
              <to>
                <xdr:col>12</xdr:col>
                <xdr:colOff>323850</xdr:colOff>
                <xdr:row>2</xdr:row>
                <xdr:rowOff>152400</xdr:rowOff>
              </to>
            </anchor>
          </controlPr>
        </control>
      </mc:Choice>
      <mc:Fallback>
        <control shapeId="3075" r:id="rId6" name="cmdImprimi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35"/>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1397</v>
      </c>
      <c r="DH1" t="s">
        <v>1398</v>
      </c>
      <c r="DI1" t="s">
        <v>1399</v>
      </c>
    </row>
    <row r="2" spans="1:113" x14ac:dyDescent="0.25">
      <c r="A2" t="s">
        <v>1021</v>
      </c>
      <c r="B2">
        <v>5</v>
      </c>
      <c r="C2" s="54">
        <v>43208</v>
      </c>
      <c r="D2" t="s">
        <v>1143</v>
      </c>
      <c r="E2" t="s">
        <v>3662</v>
      </c>
      <c r="G2" t="s">
        <v>3663</v>
      </c>
      <c r="H2" t="s">
        <v>1382</v>
      </c>
      <c r="I2" t="s">
        <v>1382</v>
      </c>
      <c r="J2" t="s">
        <v>1382</v>
      </c>
      <c r="K2" t="s">
        <v>1382</v>
      </c>
      <c r="L2">
        <v>191.98</v>
      </c>
      <c r="M2">
        <v>401.2</v>
      </c>
      <c r="N2">
        <v>0</v>
      </c>
      <c r="O2" s="54"/>
      <c r="P2" s="54"/>
      <c r="Q2">
        <v>5</v>
      </c>
      <c r="R2">
        <v>14</v>
      </c>
      <c r="S2">
        <v>37</v>
      </c>
      <c r="T2">
        <v>20</v>
      </c>
      <c r="U2">
        <v>17</v>
      </c>
      <c r="V2">
        <v>1</v>
      </c>
      <c r="X2" t="s">
        <v>3664</v>
      </c>
      <c r="AA2">
        <v>0</v>
      </c>
      <c r="AB2">
        <v>0</v>
      </c>
      <c r="AC2">
        <v>0</v>
      </c>
      <c r="AD2">
        <v>0</v>
      </c>
      <c r="AE2">
        <v>0</v>
      </c>
      <c r="AF2">
        <v>0</v>
      </c>
      <c r="AG2">
        <v>0</v>
      </c>
      <c r="AJ2" s="54"/>
      <c r="AK2" s="54"/>
      <c r="AL2" s="54">
        <v>42849</v>
      </c>
      <c r="AO2">
        <v>1</v>
      </c>
      <c r="AP2" t="s">
        <v>1383</v>
      </c>
      <c r="AR2">
        <v>1</v>
      </c>
      <c r="AS2" t="s">
        <v>1384</v>
      </c>
      <c r="AT2">
        <v>1</v>
      </c>
      <c r="AV2">
        <v>0</v>
      </c>
      <c r="AW2">
        <v>0</v>
      </c>
      <c r="AX2">
        <v>0</v>
      </c>
      <c r="AY2" t="s">
        <v>1385</v>
      </c>
      <c r="AZ2" t="s">
        <v>1385</v>
      </c>
      <c r="BA2">
        <v>70</v>
      </c>
      <c r="BD2">
        <v>1000000000</v>
      </c>
      <c r="BE2">
        <v>0</v>
      </c>
      <c r="BF2">
        <v>0</v>
      </c>
      <c r="BG2">
        <v>0</v>
      </c>
      <c r="BH2">
        <v>0</v>
      </c>
      <c r="BI2">
        <v>0</v>
      </c>
      <c r="BJ2">
        <v>0</v>
      </c>
      <c r="BK2">
        <v>0</v>
      </c>
      <c r="BL2">
        <v>0</v>
      </c>
      <c r="BM2">
        <v>0</v>
      </c>
      <c r="BN2">
        <v>0</v>
      </c>
      <c r="BR2">
        <v>0</v>
      </c>
      <c r="BS2">
        <v>0</v>
      </c>
      <c r="BX2">
        <v>0</v>
      </c>
      <c r="BY2">
        <v>0</v>
      </c>
      <c r="BZ2">
        <v>0</v>
      </c>
      <c r="CA2">
        <v>0</v>
      </c>
      <c r="CC2">
        <v>0</v>
      </c>
      <c r="CD2" s="54">
        <v>42524</v>
      </c>
      <c r="CE2" s="54"/>
      <c r="CF2" s="54">
        <v>42949</v>
      </c>
      <c r="CG2" s="54">
        <v>43208</v>
      </c>
      <c r="CH2" s="54">
        <v>0</v>
      </c>
      <c r="CI2" s="54">
        <v>0</v>
      </c>
      <c r="CJ2">
        <v>2</v>
      </c>
      <c r="CK2">
        <v>0</v>
      </c>
      <c r="CL2">
        <v>0.72</v>
      </c>
      <c r="CM2">
        <v>0</v>
      </c>
      <c r="CN2">
        <v>0</v>
      </c>
      <c r="CO2">
        <v>0</v>
      </c>
      <c r="CP2">
        <v>0.25</v>
      </c>
      <c r="CQ2" t="s">
        <v>1144</v>
      </c>
      <c r="CR2" t="s">
        <v>1143</v>
      </c>
      <c r="CS2" t="s">
        <v>3665</v>
      </c>
      <c r="CT2" t="s">
        <v>1403</v>
      </c>
      <c r="CU2" t="s">
        <v>3666</v>
      </c>
      <c r="CV2" t="s">
        <v>3667</v>
      </c>
      <c r="CW2" t="s">
        <v>3668</v>
      </c>
      <c r="CX2" t="s">
        <v>3669</v>
      </c>
      <c r="DC2" t="s">
        <v>3668</v>
      </c>
      <c r="DE2" t="s">
        <v>3670</v>
      </c>
      <c r="DH2" s="54"/>
      <c r="DI2" s="54"/>
    </row>
    <row r="3" spans="1:113" x14ac:dyDescent="0.25">
      <c r="A3" t="s">
        <v>1021</v>
      </c>
      <c r="B3">
        <v>34</v>
      </c>
      <c r="C3" s="54">
        <v>43208</v>
      </c>
      <c r="D3" t="s">
        <v>1143</v>
      </c>
      <c r="E3" t="s">
        <v>2640</v>
      </c>
      <c r="G3" t="s">
        <v>3671</v>
      </c>
      <c r="H3" t="s">
        <v>1382</v>
      </c>
      <c r="I3" t="s">
        <v>1382</v>
      </c>
      <c r="J3" t="s">
        <v>1382</v>
      </c>
      <c r="K3" t="s">
        <v>1382</v>
      </c>
      <c r="L3">
        <v>0.56999999999999995</v>
      </c>
      <c r="M3">
        <v>1.25</v>
      </c>
      <c r="N3">
        <v>0</v>
      </c>
      <c r="O3" s="54"/>
      <c r="P3" s="54"/>
      <c r="Q3">
        <v>5</v>
      </c>
      <c r="R3">
        <v>14</v>
      </c>
      <c r="S3">
        <v>37</v>
      </c>
      <c r="T3">
        <v>20</v>
      </c>
      <c r="U3">
        <v>17</v>
      </c>
      <c r="V3">
        <v>1</v>
      </c>
      <c r="W3" t="s">
        <v>3672</v>
      </c>
      <c r="X3" t="s">
        <v>3673</v>
      </c>
      <c r="Y3">
        <v>15</v>
      </c>
      <c r="AA3">
        <v>0.46</v>
      </c>
      <c r="AB3">
        <v>26</v>
      </c>
      <c r="AC3">
        <v>5.98</v>
      </c>
      <c r="AD3">
        <v>5.98</v>
      </c>
      <c r="AE3">
        <v>0.54</v>
      </c>
      <c r="AF3">
        <v>0</v>
      </c>
      <c r="AG3">
        <v>0</v>
      </c>
      <c r="AJ3" s="54"/>
      <c r="AK3" s="54"/>
      <c r="AL3" s="54"/>
      <c r="AO3">
        <v>1</v>
      </c>
      <c r="AP3" t="s">
        <v>1383</v>
      </c>
      <c r="AR3">
        <v>1</v>
      </c>
      <c r="AS3" t="s">
        <v>1384</v>
      </c>
      <c r="AT3">
        <v>1</v>
      </c>
      <c r="AV3">
        <v>11</v>
      </c>
      <c r="AW3">
        <v>7</v>
      </c>
      <c r="AX3">
        <v>4</v>
      </c>
      <c r="AY3" t="s">
        <v>1390</v>
      </c>
      <c r="AZ3" t="s">
        <v>1390</v>
      </c>
      <c r="BA3">
        <v>0</v>
      </c>
      <c r="BD3">
        <v>1000000000</v>
      </c>
      <c r="BE3">
        <v>11</v>
      </c>
      <c r="BF3">
        <v>0</v>
      </c>
      <c r="BG3">
        <v>0</v>
      </c>
      <c r="BH3">
        <v>0</v>
      </c>
      <c r="BI3">
        <v>0</v>
      </c>
      <c r="BJ3">
        <v>0</v>
      </c>
      <c r="BK3">
        <v>0</v>
      </c>
      <c r="BL3">
        <v>0</v>
      </c>
      <c r="BM3">
        <v>11</v>
      </c>
      <c r="BN3">
        <v>0</v>
      </c>
      <c r="BR3">
        <v>0</v>
      </c>
      <c r="BS3">
        <v>5</v>
      </c>
      <c r="BX3">
        <v>0</v>
      </c>
      <c r="BY3">
        <v>0</v>
      </c>
      <c r="BZ3">
        <v>0</v>
      </c>
      <c r="CA3">
        <v>1.55</v>
      </c>
      <c r="CC3">
        <v>1</v>
      </c>
      <c r="CD3" s="54">
        <v>42836</v>
      </c>
      <c r="CE3" s="54"/>
      <c r="CF3" s="54">
        <v>42949</v>
      </c>
      <c r="CG3" s="54">
        <v>43208</v>
      </c>
      <c r="CH3" s="54">
        <v>43028</v>
      </c>
      <c r="CI3" s="54">
        <v>43122</v>
      </c>
      <c r="CJ3">
        <v>1.33</v>
      </c>
      <c r="CK3">
        <v>600</v>
      </c>
      <c r="CL3">
        <v>0.6</v>
      </c>
      <c r="CM3">
        <v>0</v>
      </c>
      <c r="CN3">
        <v>0</v>
      </c>
      <c r="CO3">
        <v>0.34</v>
      </c>
      <c r="CP3">
        <v>0</v>
      </c>
      <c r="CQ3" t="s">
        <v>1144</v>
      </c>
      <c r="CR3" t="s">
        <v>1143</v>
      </c>
      <c r="CS3" t="s">
        <v>3674</v>
      </c>
      <c r="CT3" t="s">
        <v>1403</v>
      </c>
      <c r="CU3" t="s">
        <v>3666</v>
      </c>
      <c r="CV3" t="s">
        <v>3675</v>
      </c>
      <c r="CW3" t="s">
        <v>3676</v>
      </c>
      <c r="CX3" t="s">
        <v>3669</v>
      </c>
      <c r="DC3" t="s">
        <v>3677</v>
      </c>
      <c r="DE3" t="s">
        <v>3670</v>
      </c>
      <c r="DG3" t="s">
        <v>3678</v>
      </c>
      <c r="DH3" s="54">
        <v>43147</v>
      </c>
      <c r="DI3" s="54">
        <v>43168</v>
      </c>
    </row>
    <row r="4" spans="1:113" x14ac:dyDescent="0.25">
      <c r="A4" t="s">
        <v>1021</v>
      </c>
      <c r="B4">
        <v>34</v>
      </c>
      <c r="C4" s="54">
        <v>43208</v>
      </c>
      <c r="D4" t="s">
        <v>1143</v>
      </c>
      <c r="E4" t="s">
        <v>3679</v>
      </c>
      <c r="G4" t="s">
        <v>3680</v>
      </c>
      <c r="H4" t="s">
        <v>1382</v>
      </c>
      <c r="I4" t="s">
        <v>1382</v>
      </c>
      <c r="J4" t="s">
        <v>1382</v>
      </c>
      <c r="K4" t="s">
        <v>1382</v>
      </c>
      <c r="L4">
        <v>2.31</v>
      </c>
      <c r="M4">
        <v>4.2</v>
      </c>
      <c r="N4">
        <v>0</v>
      </c>
      <c r="O4" s="54"/>
      <c r="P4" s="54"/>
      <c r="Q4">
        <v>5</v>
      </c>
      <c r="R4">
        <v>14</v>
      </c>
      <c r="S4">
        <v>37</v>
      </c>
      <c r="T4">
        <v>20</v>
      </c>
      <c r="U4">
        <v>17</v>
      </c>
      <c r="V4">
        <v>1</v>
      </c>
      <c r="X4" t="s">
        <v>3681</v>
      </c>
      <c r="AA4">
        <v>0</v>
      </c>
      <c r="AB4">
        <v>0</v>
      </c>
      <c r="AC4">
        <v>0</v>
      </c>
      <c r="AD4">
        <v>0</v>
      </c>
      <c r="AE4">
        <v>0</v>
      </c>
      <c r="AF4">
        <v>0</v>
      </c>
      <c r="AG4">
        <v>0</v>
      </c>
      <c r="AJ4" s="54"/>
      <c r="AK4" s="54"/>
      <c r="AL4" s="54"/>
      <c r="AO4">
        <v>1</v>
      </c>
      <c r="AP4" t="s">
        <v>1383</v>
      </c>
      <c r="AR4">
        <v>1</v>
      </c>
      <c r="AS4" t="s">
        <v>1384</v>
      </c>
      <c r="AT4">
        <v>1</v>
      </c>
      <c r="AV4">
        <v>2</v>
      </c>
      <c r="AW4">
        <v>2</v>
      </c>
      <c r="AX4">
        <v>1</v>
      </c>
      <c r="AY4" t="s">
        <v>1389</v>
      </c>
      <c r="AZ4" t="s">
        <v>1389</v>
      </c>
      <c r="BA4">
        <v>4</v>
      </c>
      <c r="BD4">
        <v>1000000000</v>
      </c>
      <c r="BE4">
        <v>8</v>
      </c>
      <c r="BF4">
        <v>-3</v>
      </c>
      <c r="BG4">
        <v>0</v>
      </c>
      <c r="BH4">
        <v>0</v>
      </c>
      <c r="BI4">
        <v>0</v>
      </c>
      <c r="BJ4">
        <v>0</v>
      </c>
      <c r="BK4">
        <v>0</v>
      </c>
      <c r="BL4">
        <v>0</v>
      </c>
      <c r="BM4">
        <v>8</v>
      </c>
      <c r="BN4">
        <v>-3</v>
      </c>
      <c r="BR4">
        <v>0</v>
      </c>
      <c r="BS4">
        <v>1</v>
      </c>
      <c r="BX4">
        <v>0</v>
      </c>
      <c r="BY4">
        <v>13.86</v>
      </c>
      <c r="BZ4">
        <v>0</v>
      </c>
      <c r="CA4">
        <v>1.06</v>
      </c>
      <c r="CC4">
        <v>0</v>
      </c>
      <c r="CD4" s="54">
        <v>43038</v>
      </c>
      <c r="CE4" s="54"/>
      <c r="CF4" s="54">
        <v>43038</v>
      </c>
      <c r="CG4" s="54">
        <v>43297</v>
      </c>
      <c r="CH4" s="54">
        <v>0</v>
      </c>
      <c r="CI4" s="54">
        <v>0</v>
      </c>
      <c r="CJ4">
        <v>0</v>
      </c>
      <c r="CK4">
        <v>0</v>
      </c>
      <c r="CL4">
        <v>0</v>
      </c>
      <c r="CM4">
        <v>0</v>
      </c>
      <c r="CN4">
        <v>0</v>
      </c>
      <c r="CO4">
        <v>0</v>
      </c>
      <c r="CP4">
        <v>0.68</v>
      </c>
      <c r="CQ4" t="s">
        <v>1144</v>
      </c>
      <c r="CR4" t="s">
        <v>1143</v>
      </c>
      <c r="CS4" t="s">
        <v>3674</v>
      </c>
      <c r="CT4" t="s">
        <v>1403</v>
      </c>
      <c r="CU4" t="s">
        <v>3666</v>
      </c>
      <c r="CV4" t="s">
        <v>3682</v>
      </c>
      <c r="CW4" t="s">
        <v>3676</v>
      </c>
      <c r="CX4" t="s">
        <v>3669</v>
      </c>
      <c r="DC4" t="s">
        <v>3677</v>
      </c>
      <c r="DE4" t="s">
        <v>3670</v>
      </c>
      <c r="DG4" t="s">
        <v>1400</v>
      </c>
      <c r="DH4" s="54"/>
      <c r="DI4" s="54"/>
    </row>
    <row r="5" spans="1:113" x14ac:dyDescent="0.25">
      <c r="A5" t="s">
        <v>1021</v>
      </c>
      <c r="B5">
        <v>34</v>
      </c>
      <c r="C5" s="54">
        <v>43208</v>
      </c>
      <c r="D5" t="s">
        <v>1143</v>
      </c>
      <c r="E5" t="s">
        <v>3683</v>
      </c>
      <c r="G5" t="s">
        <v>3684</v>
      </c>
      <c r="H5" t="s">
        <v>1382</v>
      </c>
      <c r="I5" t="s">
        <v>1382</v>
      </c>
      <c r="J5" t="s">
        <v>1382</v>
      </c>
      <c r="K5" t="s">
        <v>1382</v>
      </c>
      <c r="L5">
        <v>1.1000000000000001</v>
      </c>
      <c r="M5">
        <v>2.25</v>
      </c>
      <c r="N5">
        <v>0</v>
      </c>
      <c r="O5" s="54"/>
      <c r="P5" s="54"/>
      <c r="Q5">
        <v>5</v>
      </c>
      <c r="R5">
        <v>14</v>
      </c>
      <c r="S5">
        <v>37</v>
      </c>
      <c r="T5">
        <v>20</v>
      </c>
      <c r="U5">
        <v>17</v>
      </c>
      <c r="V5">
        <v>1</v>
      </c>
      <c r="X5" t="s">
        <v>3673</v>
      </c>
      <c r="AA5">
        <v>0</v>
      </c>
      <c r="AB5">
        <v>0</v>
      </c>
      <c r="AC5">
        <v>0</v>
      </c>
      <c r="AD5">
        <v>0</v>
      </c>
      <c r="AE5">
        <v>0</v>
      </c>
      <c r="AF5">
        <v>0</v>
      </c>
      <c r="AG5">
        <v>0</v>
      </c>
      <c r="AJ5" s="54"/>
      <c r="AK5" s="54"/>
      <c r="AL5" s="54"/>
      <c r="AO5">
        <v>1</v>
      </c>
      <c r="AP5" t="s">
        <v>1383</v>
      </c>
      <c r="AR5">
        <v>1</v>
      </c>
      <c r="AS5" t="s">
        <v>1384</v>
      </c>
      <c r="AT5">
        <v>1</v>
      </c>
      <c r="AV5">
        <v>1</v>
      </c>
      <c r="AW5">
        <v>1</v>
      </c>
      <c r="AX5">
        <v>0.5</v>
      </c>
      <c r="AY5" t="s">
        <v>1389</v>
      </c>
      <c r="AZ5" t="s">
        <v>1389</v>
      </c>
      <c r="BA5">
        <v>0</v>
      </c>
      <c r="BD5">
        <v>1000000000</v>
      </c>
      <c r="BE5">
        <v>2</v>
      </c>
      <c r="BF5">
        <v>-1</v>
      </c>
      <c r="BG5">
        <v>0</v>
      </c>
      <c r="BH5">
        <v>0</v>
      </c>
      <c r="BI5">
        <v>0</v>
      </c>
      <c r="BJ5">
        <v>0</v>
      </c>
      <c r="BK5">
        <v>0</v>
      </c>
      <c r="BL5">
        <v>0</v>
      </c>
      <c r="BM5">
        <v>2</v>
      </c>
      <c r="BN5">
        <v>-1</v>
      </c>
      <c r="BR5">
        <v>0</v>
      </c>
      <c r="BS5">
        <v>0</v>
      </c>
      <c r="BX5">
        <v>0</v>
      </c>
      <c r="BY5">
        <v>1.1000000000000001</v>
      </c>
      <c r="BZ5">
        <v>0</v>
      </c>
      <c r="CA5">
        <v>1.36</v>
      </c>
      <c r="CC5">
        <v>0</v>
      </c>
      <c r="CD5" s="54">
        <v>42836</v>
      </c>
      <c r="CE5" s="54"/>
      <c r="CF5" s="54">
        <v>42949</v>
      </c>
      <c r="CG5" s="54">
        <v>43208</v>
      </c>
      <c r="CH5" s="54">
        <v>0</v>
      </c>
      <c r="CI5" s="54">
        <v>0</v>
      </c>
      <c r="CJ5">
        <v>0</v>
      </c>
      <c r="CK5">
        <v>0</v>
      </c>
      <c r="CL5">
        <v>0</v>
      </c>
      <c r="CM5">
        <v>0</v>
      </c>
      <c r="CN5">
        <v>0</v>
      </c>
      <c r="CO5">
        <v>0</v>
      </c>
      <c r="CP5">
        <v>0.94</v>
      </c>
      <c r="CQ5" t="s">
        <v>1144</v>
      </c>
      <c r="CR5" t="s">
        <v>1143</v>
      </c>
      <c r="CS5" t="s">
        <v>3674</v>
      </c>
      <c r="CT5" t="s">
        <v>1403</v>
      </c>
      <c r="CU5" t="s">
        <v>3666</v>
      </c>
      <c r="CV5" t="s">
        <v>3685</v>
      </c>
      <c r="CW5" t="s">
        <v>3676</v>
      </c>
      <c r="CX5" t="s">
        <v>3669</v>
      </c>
      <c r="DC5" t="s">
        <v>3677</v>
      </c>
      <c r="DE5" t="s">
        <v>3670</v>
      </c>
      <c r="DG5" t="s">
        <v>1400</v>
      </c>
      <c r="DH5" s="54"/>
      <c r="DI5" s="54"/>
    </row>
    <row r="6" spans="1:113" x14ac:dyDescent="0.25">
      <c r="A6" t="s">
        <v>1021</v>
      </c>
      <c r="B6">
        <v>34</v>
      </c>
      <c r="C6" s="54">
        <v>43208</v>
      </c>
      <c r="D6" t="s">
        <v>1143</v>
      </c>
      <c r="E6" t="s">
        <v>3686</v>
      </c>
      <c r="G6" t="s">
        <v>3687</v>
      </c>
      <c r="H6" t="s">
        <v>1382</v>
      </c>
      <c r="I6" t="s">
        <v>1382</v>
      </c>
      <c r="J6" t="s">
        <v>1382</v>
      </c>
      <c r="K6" t="s">
        <v>1382</v>
      </c>
      <c r="L6">
        <v>2.52</v>
      </c>
      <c r="M6">
        <v>5.75</v>
      </c>
      <c r="N6">
        <v>0</v>
      </c>
      <c r="O6" s="54"/>
      <c r="P6" s="54"/>
      <c r="Q6">
        <v>5</v>
      </c>
      <c r="R6">
        <v>14</v>
      </c>
      <c r="S6">
        <v>37</v>
      </c>
      <c r="T6">
        <v>20</v>
      </c>
      <c r="U6">
        <v>17</v>
      </c>
      <c r="V6">
        <v>1</v>
      </c>
      <c r="X6" t="s">
        <v>3681</v>
      </c>
      <c r="AA6">
        <v>0</v>
      </c>
      <c r="AB6">
        <v>0</v>
      </c>
      <c r="AC6">
        <v>0</v>
      </c>
      <c r="AD6">
        <v>0</v>
      </c>
      <c r="AE6">
        <v>0</v>
      </c>
      <c r="AF6">
        <v>0</v>
      </c>
      <c r="AG6">
        <v>0</v>
      </c>
      <c r="AJ6" s="54"/>
      <c r="AK6" s="54"/>
      <c r="AL6" s="54"/>
      <c r="AO6">
        <v>1</v>
      </c>
      <c r="AP6" t="s">
        <v>1383</v>
      </c>
      <c r="AR6">
        <v>1</v>
      </c>
      <c r="AS6" t="s">
        <v>1384</v>
      </c>
      <c r="AT6">
        <v>1</v>
      </c>
      <c r="AV6">
        <v>10</v>
      </c>
      <c r="AW6">
        <v>7</v>
      </c>
      <c r="AX6">
        <v>3</v>
      </c>
      <c r="AY6" t="s">
        <v>1389</v>
      </c>
      <c r="AZ6" t="s">
        <v>1389</v>
      </c>
      <c r="BA6">
        <v>14</v>
      </c>
      <c r="BD6">
        <v>1000000000</v>
      </c>
      <c r="BE6">
        <v>20</v>
      </c>
      <c r="BF6">
        <v>-1</v>
      </c>
      <c r="BG6">
        <v>0</v>
      </c>
      <c r="BH6">
        <v>0</v>
      </c>
      <c r="BI6">
        <v>0</v>
      </c>
      <c r="BJ6">
        <v>0</v>
      </c>
      <c r="BK6">
        <v>0</v>
      </c>
      <c r="BL6">
        <v>0</v>
      </c>
      <c r="BM6">
        <v>20</v>
      </c>
      <c r="BN6">
        <v>-1</v>
      </c>
      <c r="BR6">
        <v>0</v>
      </c>
      <c r="BS6">
        <v>5</v>
      </c>
      <c r="BX6">
        <v>0</v>
      </c>
      <c r="BY6">
        <v>25.2</v>
      </c>
      <c r="BZ6">
        <v>0</v>
      </c>
      <c r="CA6">
        <v>1.66</v>
      </c>
      <c r="CC6">
        <v>0</v>
      </c>
      <c r="CD6" s="54">
        <v>43038</v>
      </c>
      <c r="CE6" s="54"/>
      <c r="CF6" s="54">
        <v>43038</v>
      </c>
      <c r="CG6" s="54">
        <v>43297</v>
      </c>
      <c r="CH6" s="54">
        <v>0</v>
      </c>
      <c r="CI6" s="54">
        <v>0</v>
      </c>
      <c r="CJ6">
        <v>0</v>
      </c>
      <c r="CK6">
        <v>0</v>
      </c>
      <c r="CL6">
        <v>0</v>
      </c>
      <c r="CM6">
        <v>0</v>
      </c>
      <c r="CN6">
        <v>0</v>
      </c>
      <c r="CO6">
        <v>0</v>
      </c>
      <c r="CP6">
        <v>0.68</v>
      </c>
      <c r="CQ6" t="s">
        <v>1144</v>
      </c>
      <c r="CR6" t="s">
        <v>1143</v>
      </c>
      <c r="CS6" t="s">
        <v>3674</v>
      </c>
      <c r="CT6" t="s">
        <v>1403</v>
      </c>
      <c r="CU6" t="s">
        <v>3666</v>
      </c>
      <c r="CV6" t="s">
        <v>3688</v>
      </c>
      <c r="CW6" t="s">
        <v>3676</v>
      </c>
      <c r="CX6" t="s">
        <v>3669</v>
      </c>
      <c r="DC6" t="s">
        <v>3677</v>
      </c>
      <c r="DE6" t="s">
        <v>3670</v>
      </c>
      <c r="DG6" t="s">
        <v>1400</v>
      </c>
      <c r="DH6" s="54"/>
      <c r="DI6" s="54"/>
    </row>
    <row r="7" spans="1:113" x14ac:dyDescent="0.25">
      <c r="A7" t="s">
        <v>1021</v>
      </c>
      <c r="B7">
        <v>34</v>
      </c>
      <c r="C7" s="54">
        <v>43208</v>
      </c>
      <c r="D7" t="s">
        <v>1143</v>
      </c>
      <c r="E7" t="s">
        <v>3689</v>
      </c>
      <c r="G7" t="s">
        <v>3690</v>
      </c>
      <c r="H7" t="s">
        <v>1382</v>
      </c>
      <c r="I7" t="s">
        <v>1382</v>
      </c>
      <c r="J7" t="s">
        <v>1382</v>
      </c>
      <c r="K7" t="s">
        <v>1382</v>
      </c>
      <c r="L7">
        <v>73.459999999999994</v>
      </c>
      <c r="M7">
        <v>166.5</v>
      </c>
      <c r="N7">
        <v>0</v>
      </c>
      <c r="O7" s="54"/>
      <c r="P7" s="54"/>
      <c r="Q7">
        <v>5</v>
      </c>
      <c r="R7">
        <v>14</v>
      </c>
      <c r="S7">
        <v>37</v>
      </c>
      <c r="T7">
        <v>20</v>
      </c>
      <c r="U7">
        <v>17</v>
      </c>
      <c r="V7">
        <v>1</v>
      </c>
      <c r="X7" t="s">
        <v>3681</v>
      </c>
      <c r="AA7">
        <v>0</v>
      </c>
      <c r="AB7">
        <v>0</v>
      </c>
      <c r="AC7">
        <v>0</v>
      </c>
      <c r="AD7">
        <v>0</v>
      </c>
      <c r="AE7">
        <v>0</v>
      </c>
      <c r="AF7">
        <v>0</v>
      </c>
      <c r="AG7">
        <v>0</v>
      </c>
      <c r="AJ7" s="54"/>
      <c r="AK7" s="54"/>
      <c r="AL7" s="54"/>
      <c r="AO7">
        <v>1</v>
      </c>
      <c r="AP7" t="s">
        <v>1383</v>
      </c>
      <c r="AR7">
        <v>1</v>
      </c>
      <c r="AS7" t="s">
        <v>1384</v>
      </c>
      <c r="AT7">
        <v>1</v>
      </c>
      <c r="AV7">
        <v>1</v>
      </c>
      <c r="AW7">
        <v>1</v>
      </c>
      <c r="AX7">
        <v>0.5</v>
      </c>
      <c r="AY7" t="s">
        <v>1389</v>
      </c>
      <c r="AZ7" t="s">
        <v>1389</v>
      </c>
      <c r="BA7">
        <v>2</v>
      </c>
      <c r="BD7">
        <v>1000000000</v>
      </c>
      <c r="BE7">
        <v>4</v>
      </c>
      <c r="BF7">
        <v>-3</v>
      </c>
      <c r="BG7">
        <v>0</v>
      </c>
      <c r="BH7">
        <v>0</v>
      </c>
      <c r="BI7">
        <v>0</v>
      </c>
      <c r="BJ7">
        <v>0</v>
      </c>
      <c r="BK7">
        <v>0</v>
      </c>
      <c r="BL7">
        <v>0</v>
      </c>
      <c r="BM7">
        <v>4</v>
      </c>
      <c r="BN7">
        <v>-3</v>
      </c>
      <c r="BR7">
        <v>0</v>
      </c>
      <c r="BS7">
        <v>0</v>
      </c>
      <c r="BX7">
        <v>0</v>
      </c>
      <c r="BY7">
        <v>220.38</v>
      </c>
      <c r="BZ7">
        <v>0</v>
      </c>
      <c r="CA7">
        <v>1.64</v>
      </c>
      <c r="CC7">
        <v>0</v>
      </c>
      <c r="CD7" s="54">
        <v>43038</v>
      </c>
      <c r="CE7" s="54"/>
      <c r="CF7" s="54">
        <v>43038</v>
      </c>
      <c r="CG7" s="54">
        <v>43297</v>
      </c>
      <c r="CH7" s="54">
        <v>0</v>
      </c>
      <c r="CI7" s="54">
        <v>0</v>
      </c>
      <c r="CJ7">
        <v>0</v>
      </c>
      <c r="CK7">
        <v>0</v>
      </c>
      <c r="CL7">
        <v>0</v>
      </c>
      <c r="CM7">
        <v>0</v>
      </c>
      <c r="CN7">
        <v>0</v>
      </c>
      <c r="CO7">
        <v>0</v>
      </c>
      <c r="CP7">
        <v>0.68</v>
      </c>
      <c r="CQ7" t="s">
        <v>1144</v>
      </c>
      <c r="CR7" t="s">
        <v>1143</v>
      </c>
      <c r="CS7" t="s">
        <v>3674</v>
      </c>
      <c r="CT7" t="s">
        <v>1403</v>
      </c>
      <c r="CU7" t="s">
        <v>3666</v>
      </c>
      <c r="CV7" t="s">
        <v>3691</v>
      </c>
      <c r="CW7" t="s">
        <v>3676</v>
      </c>
      <c r="CX7" t="s">
        <v>3669</v>
      </c>
      <c r="DC7" t="s">
        <v>3677</v>
      </c>
      <c r="DE7" t="s">
        <v>3670</v>
      </c>
      <c r="DG7" t="s">
        <v>1400</v>
      </c>
      <c r="DH7" s="54"/>
      <c r="DI7" s="54"/>
    </row>
    <row r="8" spans="1:113" x14ac:dyDescent="0.25">
      <c r="A8" t="s">
        <v>1021</v>
      </c>
      <c r="B8">
        <v>34</v>
      </c>
      <c r="C8" s="54">
        <v>43208</v>
      </c>
      <c r="D8" t="s">
        <v>1143</v>
      </c>
      <c r="E8" t="s">
        <v>2646</v>
      </c>
      <c r="G8" t="s">
        <v>3692</v>
      </c>
      <c r="H8" t="s">
        <v>1382</v>
      </c>
      <c r="I8" t="s">
        <v>1382</v>
      </c>
      <c r="J8" t="s">
        <v>1382</v>
      </c>
      <c r="K8" t="s">
        <v>1382</v>
      </c>
      <c r="L8">
        <v>19.190000000000001</v>
      </c>
      <c r="M8">
        <v>50</v>
      </c>
      <c r="N8">
        <v>0</v>
      </c>
      <c r="O8" s="54"/>
      <c r="P8" s="54"/>
      <c r="Q8">
        <v>5</v>
      </c>
      <c r="R8">
        <v>14</v>
      </c>
      <c r="S8">
        <v>37</v>
      </c>
      <c r="T8">
        <v>20</v>
      </c>
      <c r="U8">
        <v>17</v>
      </c>
      <c r="V8">
        <v>1</v>
      </c>
      <c r="X8" t="s">
        <v>3681</v>
      </c>
      <c r="Z8" t="s">
        <v>3693</v>
      </c>
      <c r="AA8">
        <v>0.21</v>
      </c>
      <c r="AB8">
        <v>12</v>
      </c>
      <c r="AC8">
        <v>3.57</v>
      </c>
      <c r="AD8">
        <v>4.76</v>
      </c>
      <c r="AE8">
        <v>1.19</v>
      </c>
      <c r="AF8">
        <v>0</v>
      </c>
      <c r="AG8">
        <v>0</v>
      </c>
      <c r="AJ8" s="54"/>
      <c r="AK8" s="54"/>
      <c r="AL8" s="54"/>
      <c r="AO8">
        <v>1</v>
      </c>
      <c r="AP8" t="s">
        <v>1383</v>
      </c>
      <c r="AR8">
        <v>1</v>
      </c>
      <c r="AS8" t="s">
        <v>1384</v>
      </c>
      <c r="AT8">
        <v>1</v>
      </c>
      <c r="AV8">
        <v>3</v>
      </c>
      <c r="AW8">
        <v>2</v>
      </c>
      <c r="AX8">
        <v>1</v>
      </c>
      <c r="AY8" t="s">
        <v>1389</v>
      </c>
      <c r="AZ8" t="s">
        <v>1389</v>
      </c>
      <c r="BA8">
        <v>4</v>
      </c>
      <c r="BD8">
        <v>1000000000</v>
      </c>
      <c r="BE8">
        <v>4</v>
      </c>
      <c r="BF8">
        <v>-0.33</v>
      </c>
      <c r="BG8">
        <v>0</v>
      </c>
      <c r="BH8">
        <v>0</v>
      </c>
      <c r="BI8">
        <v>0</v>
      </c>
      <c r="BJ8">
        <v>0</v>
      </c>
      <c r="BK8">
        <v>0</v>
      </c>
      <c r="BL8">
        <v>0</v>
      </c>
      <c r="BM8">
        <v>4</v>
      </c>
      <c r="BN8">
        <v>-0.33</v>
      </c>
      <c r="BR8">
        <v>0</v>
      </c>
      <c r="BS8">
        <v>1</v>
      </c>
      <c r="BX8">
        <v>0</v>
      </c>
      <c r="BY8">
        <v>19.190000000000001</v>
      </c>
      <c r="BZ8">
        <v>0</v>
      </c>
      <c r="CA8">
        <v>2.08</v>
      </c>
      <c r="CC8">
        <v>1</v>
      </c>
      <c r="CD8" s="54">
        <v>43038</v>
      </c>
      <c r="CE8" s="54"/>
      <c r="CF8" s="54">
        <v>43038</v>
      </c>
      <c r="CG8" s="54">
        <v>43297</v>
      </c>
      <c r="CH8" s="54">
        <v>43028</v>
      </c>
      <c r="CI8" s="54">
        <v>43122</v>
      </c>
      <c r="CJ8">
        <v>0.19</v>
      </c>
      <c r="CK8">
        <v>0</v>
      </c>
      <c r="CL8">
        <v>0</v>
      </c>
      <c r="CM8">
        <v>0</v>
      </c>
      <c r="CN8">
        <v>0.04</v>
      </c>
      <c r="CO8">
        <v>0.04</v>
      </c>
      <c r="CP8">
        <v>0.6</v>
      </c>
      <c r="CQ8" t="s">
        <v>1144</v>
      </c>
      <c r="CR8" t="s">
        <v>1143</v>
      </c>
      <c r="CS8" t="s">
        <v>3674</v>
      </c>
      <c r="CT8" t="s">
        <v>1403</v>
      </c>
      <c r="CU8" t="s">
        <v>3666</v>
      </c>
      <c r="CV8" t="s">
        <v>3694</v>
      </c>
      <c r="CW8" t="s">
        <v>3676</v>
      </c>
      <c r="CX8" t="s">
        <v>3669</v>
      </c>
      <c r="DC8" t="s">
        <v>3677</v>
      </c>
      <c r="DE8" t="s">
        <v>3670</v>
      </c>
      <c r="DG8" t="s">
        <v>3678</v>
      </c>
      <c r="DH8" s="54">
        <v>43147</v>
      </c>
      <c r="DI8" s="54">
        <v>43168</v>
      </c>
    </row>
    <row r="9" spans="1:113" x14ac:dyDescent="0.25">
      <c r="A9" t="s">
        <v>1021</v>
      </c>
      <c r="B9">
        <v>34</v>
      </c>
      <c r="C9" s="54">
        <v>43208</v>
      </c>
      <c r="D9" t="s">
        <v>1143</v>
      </c>
      <c r="E9" t="s">
        <v>2648</v>
      </c>
      <c r="G9" t="s">
        <v>3695</v>
      </c>
      <c r="H9" t="s">
        <v>1382</v>
      </c>
      <c r="I9" t="s">
        <v>1382</v>
      </c>
      <c r="J9" t="s">
        <v>1382</v>
      </c>
      <c r="K9" t="s">
        <v>1382</v>
      </c>
      <c r="L9">
        <v>12.34</v>
      </c>
      <c r="M9">
        <v>26.5</v>
      </c>
      <c r="N9">
        <v>0</v>
      </c>
      <c r="O9" s="54"/>
      <c r="P9" s="54"/>
      <c r="Q9">
        <v>5</v>
      </c>
      <c r="R9">
        <v>14</v>
      </c>
      <c r="S9">
        <v>37</v>
      </c>
      <c r="T9">
        <v>20</v>
      </c>
      <c r="U9">
        <v>17</v>
      </c>
      <c r="V9">
        <v>1</v>
      </c>
      <c r="X9" t="s">
        <v>3681</v>
      </c>
      <c r="AA9">
        <v>0.13</v>
      </c>
      <c r="AB9">
        <v>8</v>
      </c>
      <c r="AC9">
        <v>9.6199999999999992</v>
      </c>
      <c r="AD9">
        <v>26.92</v>
      </c>
      <c r="AE9">
        <v>1.92</v>
      </c>
      <c r="AF9">
        <v>0</v>
      </c>
      <c r="AG9">
        <v>0</v>
      </c>
      <c r="AJ9" s="54"/>
      <c r="AK9" s="54"/>
      <c r="AL9" s="54"/>
      <c r="AO9">
        <v>1</v>
      </c>
      <c r="AP9" t="s">
        <v>1383</v>
      </c>
      <c r="AR9">
        <v>1</v>
      </c>
      <c r="AS9" t="s">
        <v>1384</v>
      </c>
      <c r="AT9">
        <v>1</v>
      </c>
      <c r="AV9">
        <v>5</v>
      </c>
      <c r="AW9">
        <v>3</v>
      </c>
      <c r="AX9">
        <v>2</v>
      </c>
      <c r="AY9" t="s">
        <v>1389</v>
      </c>
      <c r="AZ9" t="s">
        <v>1389</v>
      </c>
      <c r="BA9">
        <v>10</v>
      </c>
      <c r="BD9">
        <v>1000000000</v>
      </c>
      <c r="BE9">
        <v>14</v>
      </c>
      <c r="BF9">
        <v>-1.8</v>
      </c>
      <c r="BG9">
        <v>0</v>
      </c>
      <c r="BH9">
        <v>0</v>
      </c>
      <c r="BI9">
        <v>0</v>
      </c>
      <c r="BJ9">
        <v>0</v>
      </c>
      <c r="BK9">
        <v>0</v>
      </c>
      <c r="BL9">
        <v>0</v>
      </c>
      <c r="BM9">
        <v>14</v>
      </c>
      <c r="BN9">
        <v>-1.8</v>
      </c>
      <c r="BR9">
        <v>0</v>
      </c>
      <c r="BS9">
        <v>2</v>
      </c>
      <c r="BX9">
        <v>0</v>
      </c>
      <c r="BY9">
        <v>111.06</v>
      </c>
      <c r="BZ9">
        <v>0</v>
      </c>
      <c r="CA9">
        <v>1.49</v>
      </c>
      <c r="CC9">
        <v>1</v>
      </c>
      <c r="CD9" s="54">
        <v>43038</v>
      </c>
      <c r="CE9" s="54"/>
      <c r="CF9" s="54">
        <v>43038</v>
      </c>
      <c r="CG9" s="54">
        <v>43297</v>
      </c>
      <c r="CH9" s="54">
        <v>42768</v>
      </c>
      <c r="CI9" s="54">
        <v>42852</v>
      </c>
      <c r="CJ9">
        <v>0.08</v>
      </c>
      <c r="CK9">
        <v>0</v>
      </c>
      <c r="CL9">
        <v>0</v>
      </c>
      <c r="CM9">
        <v>0</v>
      </c>
      <c r="CN9">
        <v>0</v>
      </c>
      <c r="CO9">
        <v>0</v>
      </c>
      <c r="CP9">
        <v>0.68</v>
      </c>
      <c r="CQ9" t="s">
        <v>1144</v>
      </c>
      <c r="CR9" t="s">
        <v>1143</v>
      </c>
      <c r="CS9" t="s">
        <v>3674</v>
      </c>
      <c r="CT9" t="s">
        <v>1403</v>
      </c>
      <c r="CU9" t="s">
        <v>3666</v>
      </c>
      <c r="CV9" t="s">
        <v>3696</v>
      </c>
      <c r="CW9" t="s">
        <v>3676</v>
      </c>
      <c r="CX9" t="s">
        <v>3669</v>
      </c>
      <c r="DC9" t="s">
        <v>3677</v>
      </c>
      <c r="DE9" t="s">
        <v>3670</v>
      </c>
      <c r="DG9" t="s">
        <v>3678</v>
      </c>
      <c r="DH9" s="54">
        <v>42887</v>
      </c>
      <c r="DI9" s="54">
        <v>42908</v>
      </c>
    </row>
    <row r="10" spans="1:113" x14ac:dyDescent="0.25">
      <c r="A10" t="s">
        <v>1021</v>
      </c>
      <c r="B10">
        <v>34</v>
      </c>
      <c r="C10" s="54">
        <v>43208</v>
      </c>
      <c r="D10" t="s">
        <v>1143</v>
      </c>
      <c r="E10" t="s">
        <v>3697</v>
      </c>
      <c r="G10" t="s">
        <v>3698</v>
      </c>
      <c r="H10" t="s">
        <v>1382</v>
      </c>
      <c r="I10" t="s">
        <v>1382</v>
      </c>
      <c r="J10" t="s">
        <v>1382</v>
      </c>
      <c r="K10" t="s">
        <v>1382</v>
      </c>
      <c r="L10">
        <v>0.2</v>
      </c>
      <c r="M10">
        <v>0.45</v>
      </c>
      <c r="N10">
        <v>0</v>
      </c>
      <c r="O10" s="54"/>
      <c r="P10" s="54"/>
      <c r="Q10">
        <v>5</v>
      </c>
      <c r="R10">
        <v>14</v>
      </c>
      <c r="S10">
        <v>37</v>
      </c>
      <c r="T10">
        <v>20</v>
      </c>
      <c r="U10">
        <v>17</v>
      </c>
      <c r="V10">
        <v>1</v>
      </c>
      <c r="X10" t="s">
        <v>3681</v>
      </c>
      <c r="AA10">
        <v>0</v>
      </c>
      <c r="AB10">
        <v>0</v>
      </c>
      <c r="AC10">
        <v>0</v>
      </c>
      <c r="AD10">
        <v>0</v>
      </c>
      <c r="AE10">
        <v>0</v>
      </c>
      <c r="AF10">
        <v>0</v>
      </c>
      <c r="AG10">
        <v>0</v>
      </c>
      <c r="AJ10" s="54"/>
      <c r="AK10" s="54"/>
      <c r="AL10" s="54"/>
      <c r="AO10">
        <v>1</v>
      </c>
      <c r="AP10" t="s">
        <v>1383</v>
      </c>
      <c r="AR10">
        <v>1</v>
      </c>
      <c r="AS10" t="s">
        <v>1384</v>
      </c>
      <c r="AT10">
        <v>1</v>
      </c>
      <c r="AV10">
        <v>8</v>
      </c>
      <c r="AW10">
        <v>5</v>
      </c>
      <c r="AX10">
        <v>3</v>
      </c>
      <c r="AY10" t="s">
        <v>1389</v>
      </c>
      <c r="AZ10" t="s">
        <v>1389</v>
      </c>
      <c r="BA10">
        <v>10</v>
      </c>
      <c r="BD10">
        <v>1000000000</v>
      </c>
      <c r="BE10">
        <v>10</v>
      </c>
      <c r="BF10">
        <v>-0.25</v>
      </c>
      <c r="BG10">
        <v>0</v>
      </c>
      <c r="BH10">
        <v>0</v>
      </c>
      <c r="BI10">
        <v>0</v>
      </c>
      <c r="BJ10">
        <v>0</v>
      </c>
      <c r="BK10">
        <v>0</v>
      </c>
      <c r="BL10">
        <v>0</v>
      </c>
      <c r="BM10">
        <v>10</v>
      </c>
      <c r="BN10">
        <v>-0.25</v>
      </c>
      <c r="BR10">
        <v>0</v>
      </c>
      <c r="BS10">
        <v>4</v>
      </c>
      <c r="BX10">
        <v>0</v>
      </c>
      <c r="BY10">
        <v>0.4</v>
      </c>
      <c r="BZ10">
        <v>0</v>
      </c>
      <c r="CA10">
        <v>1.62</v>
      </c>
      <c r="CC10">
        <v>0</v>
      </c>
      <c r="CD10" s="54">
        <v>43038</v>
      </c>
      <c r="CE10" s="54"/>
      <c r="CF10" s="54">
        <v>43038</v>
      </c>
      <c r="CG10" s="54">
        <v>43297</v>
      </c>
      <c r="CH10" s="54">
        <v>0</v>
      </c>
      <c r="CI10" s="54">
        <v>0</v>
      </c>
      <c r="CJ10">
        <v>0</v>
      </c>
      <c r="CK10">
        <v>0</v>
      </c>
      <c r="CL10">
        <v>0</v>
      </c>
      <c r="CM10">
        <v>0</v>
      </c>
      <c r="CN10">
        <v>0</v>
      </c>
      <c r="CO10">
        <v>0</v>
      </c>
      <c r="CP10">
        <v>0.68</v>
      </c>
      <c r="CQ10" t="s">
        <v>1144</v>
      </c>
      <c r="CR10" t="s">
        <v>1143</v>
      </c>
      <c r="CS10" t="s">
        <v>3674</v>
      </c>
      <c r="CT10" t="s">
        <v>1403</v>
      </c>
      <c r="CU10" t="s">
        <v>3666</v>
      </c>
      <c r="CV10" t="s">
        <v>3699</v>
      </c>
      <c r="CW10" t="s">
        <v>3676</v>
      </c>
      <c r="CX10" t="s">
        <v>3669</v>
      </c>
      <c r="DC10" t="s">
        <v>3677</v>
      </c>
      <c r="DE10" t="s">
        <v>3670</v>
      </c>
      <c r="DG10" t="s">
        <v>1400</v>
      </c>
      <c r="DH10" s="54"/>
      <c r="DI10" s="54"/>
    </row>
    <row r="11" spans="1:113" x14ac:dyDescent="0.25">
      <c r="A11" t="s">
        <v>1021</v>
      </c>
      <c r="B11">
        <v>34</v>
      </c>
      <c r="C11" s="54">
        <v>43208</v>
      </c>
      <c r="D11" t="s">
        <v>1143</v>
      </c>
      <c r="E11" t="s">
        <v>2650</v>
      </c>
      <c r="G11" t="s">
        <v>3700</v>
      </c>
      <c r="H11" t="s">
        <v>1382</v>
      </c>
      <c r="I11" t="s">
        <v>1382</v>
      </c>
      <c r="J11" t="s">
        <v>1382</v>
      </c>
      <c r="K11" t="s">
        <v>1382</v>
      </c>
      <c r="L11">
        <v>60.78</v>
      </c>
      <c r="M11">
        <v>130</v>
      </c>
      <c r="N11">
        <v>0</v>
      </c>
      <c r="O11" s="54"/>
      <c r="P11" s="54"/>
      <c r="Q11">
        <v>5</v>
      </c>
      <c r="R11">
        <v>14</v>
      </c>
      <c r="S11">
        <v>37</v>
      </c>
      <c r="T11">
        <v>20</v>
      </c>
      <c r="U11">
        <v>17</v>
      </c>
      <c r="V11">
        <v>1</v>
      </c>
      <c r="W11" t="s">
        <v>1391</v>
      </c>
      <c r="X11" t="s">
        <v>3673</v>
      </c>
      <c r="Z11" t="s">
        <v>3693</v>
      </c>
      <c r="AA11">
        <v>0.04</v>
      </c>
      <c r="AB11">
        <v>3</v>
      </c>
      <c r="AC11">
        <v>6.25</v>
      </c>
      <c r="AD11">
        <v>6.25</v>
      </c>
      <c r="AE11">
        <v>6.25</v>
      </c>
      <c r="AF11">
        <v>0</v>
      </c>
      <c r="AG11">
        <v>0</v>
      </c>
      <c r="AJ11" s="54"/>
      <c r="AK11" s="54"/>
      <c r="AL11" s="54"/>
      <c r="AO11">
        <v>1</v>
      </c>
      <c r="AP11" t="s">
        <v>1383</v>
      </c>
      <c r="AR11">
        <v>1</v>
      </c>
      <c r="AS11" t="s">
        <v>1384</v>
      </c>
      <c r="AT11">
        <v>1</v>
      </c>
      <c r="AV11">
        <v>1</v>
      </c>
      <c r="AW11">
        <v>1</v>
      </c>
      <c r="AX11">
        <v>0.5</v>
      </c>
      <c r="AY11" t="s">
        <v>1401</v>
      </c>
      <c r="AZ11" t="s">
        <v>1401</v>
      </c>
      <c r="BA11">
        <v>0</v>
      </c>
      <c r="BD11">
        <v>1000000000</v>
      </c>
      <c r="BE11">
        <v>1</v>
      </c>
      <c r="BF11">
        <v>0</v>
      </c>
      <c r="BG11">
        <v>0</v>
      </c>
      <c r="BH11">
        <v>0</v>
      </c>
      <c r="BI11">
        <v>0</v>
      </c>
      <c r="BJ11">
        <v>0</v>
      </c>
      <c r="BK11">
        <v>0</v>
      </c>
      <c r="BL11">
        <v>0</v>
      </c>
      <c r="BM11">
        <v>1</v>
      </c>
      <c r="BN11">
        <v>0</v>
      </c>
      <c r="BR11">
        <v>0</v>
      </c>
      <c r="BS11">
        <v>0</v>
      </c>
      <c r="BX11">
        <v>0</v>
      </c>
      <c r="BY11">
        <v>0</v>
      </c>
      <c r="BZ11">
        <v>0</v>
      </c>
      <c r="CA11">
        <v>1.48</v>
      </c>
      <c r="CC11">
        <v>0</v>
      </c>
      <c r="CD11" s="54">
        <v>42836</v>
      </c>
      <c r="CE11" s="54"/>
      <c r="CF11" s="54">
        <v>42949</v>
      </c>
      <c r="CG11" s="54">
        <v>43208</v>
      </c>
      <c r="CH11" s="54">
        <v>0</v>
      </c>
      <c r="CI11" s="54">
        <v>0</v>
      </c>
      <c r="CJ11">
        <v>0.28000000000000003</v>
      </c>
      <c r="CK11">
        <v>0</v>
      </c>
      <c r="CL11">
        <v>0</v>
      </c>
      <c r="CM11">
        <v>0</v>
      </c>
      <c r="CN11">
        <v>0.31</v>
      </c>
      <c r="CO11">
        <v>0</v>
      </c>
      <c r="CP11">
        <v>0.63</v>
      </c>
      <c r="CQ11" t="s">
        <v>1144</v>
      </c>
      <c r="CR11" t="s">
        <v>1143</v>
      </c>
      <c r="CS11" t="s">
        <v>3674</v>
      </c>
      <c r="CT11" t="s">
        <v>1403</v>
      </c>
      <c r="CU11" t="s">
        <v>3666</v>
      </c>
      <c r="CV11" t="s">
        <v>3701</v>
      </c>
      <c r="CW11" t="s">
        <v>3676</v>
      </c>
      <c r="CX11" t="s">
        <v>3669</v>
      </c>
      <c r="DC11" t="s">
        <v>3677</v>
      </c>
      <c r="DE11" t="s">
        <v>3670</v>
      </c>
      <c r="DG11" t="s">
        <v>1400</v>
      </c>
      <c r="DH11" s="54"/>
      <c r="DI11" s="54"/>
    </row>
    <row r="12" spans="1:113" x14ac:dyDescent="0.25">
      <c r="A12" t="s">
        <v>1021</v>
      </c>
      <c r="B12">
        <v>34</v>
      </c>
      <c r="C12" s="54">
        <v>43208</v>
      </c>
      <c r="D12" t="s">
        <v>1143</v>
      </c>
      <c r="E12" t="s">
        <v>2651</v>
      </c>
      <c r="G12" t="s">
        <v>3702</v>
      </c>
      <c r="H12" t="s">
        <v>1382</v>
      </c>
      <c r="I12" t="s">
        <v>1382</v>
      </c>
      <c r="J12" t="s">
        <v>1382</v>
      </c>
      <c r="K12" t="s">
        <v>1382</v>
      </c>
      <c r="L12">
        <v>18.329999999999998</v>
      </c>
      <c r="M12">
        <v>40</v>
      </c>
      <c r="N12">
        <v>0</v>
      </c>
      <c r="O12" s="54"/>
      <c r="P12" s="54"/>
      <c r="Q12">
        <v>5</v>
      </c>
      <c r="R12">
        <v>14</v>
      </c>
      <c r="S12">
        <v>37</v>
      </c>
      <c r="T12">
        <v>20</v>
      </c>
      <c r="U12">
        <v>17</v>
      </c>
      <c r="V12">
        <v>1</v>
      </c>
      <c r="W12" t="s">
        <v>1391</v>
      </c>
      <c r="X12" t="s">
        <v>3681</v>
      </c>
      <c r="Z12" t="s">
        <v>3693</v>
      </c>
      <c r="AA12">
        <v>0.21</v>
      </c>
      <c r="AB12">
        <v>12</v>
      </c>
      <c r="AC12">
        <v>4.76</v>
      </c>
      <c r="AD12">
        <v>4.76</v>
      </c>
      <c r="AE12">
        <v>1.19</v>
      </c>
      <c r="AF12">
        <v>0</v>
      </c>
      <c r="AG12">
        <v>0</v>
      </c>
      <c r="AJ12" s="54"/>
      <c r="AK12" s="54"/>
      <c r="AL12" s="54"/>
      <c r="AO12">
        <v>1</v>
      </c>
      <c r="AP12" t="s">
        <v>1383</v>
      </c>
      <c r="AR12">
        <v>1</v>
      </c>
      <c r="AS12" t="s">
        <v>1384</v>
      </c>
      <c r="AT12">
        <v>1</v>
      </c>
      <c r="AV12">
        <v>4</v>
      </c>
      <c r="AW12">
        <v>3</v>
      </c>
      <c r="AX12">
        <v>1</v>
      </c>
      <c r="AY12" t="s">
        <v>1401</v>
      </c>
      <c r="AZ12" t="s">
        <v>1390</v>
      </c>
      <c r="BA12">
        <v>5</v>
      </c>
      <c r="BD12">
        <v>1000000000</v>
      </c>
      <c r="BE12">
        <v>3</v>
      </c>
      <c r="BF12">
        <v>0.25</v>
      </c>
      <c r="BG12">
        <v>1</v>
      </c>
      <c r="BH12">
        <v>0</v>
      </c>
      <c r="BI12">
        <v>0</v>
      </c>
      <c r="BJ12">
        <v>0</v>
      </c>
      <c r="BK12">
        <v>0</v>
      </c>
      <c r="BL12">
        <v>0</v>
      </c>
      <c r="BM12">
        <v>4</v>
      </c>
      <c r="BN12">
        <v>0</v>
      </c>
      <c r="BR12">
        <v>0</v>
      </c>
      <c r="BS12">
        <v>2</v>
      </c>
      <c r="BX12">
        <v>0</v>
      </c>
      <c r="BY12">
        <v>0</v>
      </c>
      <c r="BZ12">
        <v>0</v>
      </c>
      <c r="CA12">
        <v>1.53</v>
      </c>
      <c r="CC12">
        <v>0</v>
      </c>
      <c r="CD12" s="54">
        <v>43038</v>
      </c>
      <c r="CE12" s="54"/>
      <c r="CF12" s="54">
        <v>43038</v>
      </c>
      <c r="CG12" s="54">
        <v>43297</v>
      </c>
      <c r="CH12" s="54">
        <v>43195</v>
      </c>
      <c r="CI12" s="54">
        <v>43195</v>
      </c>
      <c r="CJ12">
        <v>0.23</v>
      </c>
      <c r="CK12">
        <v>0</v>
      </c>
      <c r="CL12">
        <v>0</v>
      </c>
      <c r="CM12">
        <v>0</v>
      </c>
      <c r="CN12">
        <v>0.64</v>
      </c>
      <c r="CO12">
        <v>0.03</v>
      </c>
      <c r="CP12">
        <v>0</v>
      </c>
      <c r="CQ12" t="s">
        <v>1144</v>
      </c>
      <c r="CR12" t="s">
        <v>1143</v>
      </c>
      <c r="CS12" t="s">
        <v>3674</v>
      </c>
      <c r="CT12" t="s">
        <v>1403</v>
      </c>
      <c r="CU12" t="s">
        <v>3666</v>
      </c>
      <c r="CV12" t="s">
        <v>3703</v>
      </c>
      <c r="CW12" t="s">
        <v>3676</v>
      </c>
      <c r="CX12" t="s">
        <v>3669</v>
      </c>
      <c r="DC12" t="s">
        <v>3677</v>
      </c>
      <c r="DE12" t="s">
        <v>3670</v>
      </c>
      <c r="DG12" t="s">
        <v>1400</v>
      </c>
      <c r="DH12" s="54">
        <v>43314</v>
      </c>
      <c r="DI12" s="54">
        <v>43335</v>
      </c>
    </row>
    <row r="13" spans="1:113" x14ac:dyDescent="0.25">
      <c r="A13" t="s">
        <v>1021</v>
      </c>
      <c r="B13">
        <v>34</v>
      </c>
      <c r="C13" s="54">
        <v>43208</v>
      </c>
      <c r="D13" t="s">
        <v>1143</v>
      </c>
      <c r="E13" t="s">
        <v>1404</v>
      </c>
      <c r="G13" t="s">
        <v>3704</v>
      </c>
      <c r="H13" t="s">
        <v>1382</v>
      </c>
      <c r="I13" t="s">
        <v>1382</v>
      </c>
      <c r="J13" t="s">
        <v>1382</v>
      </c>
      <c r="K13" t="s">
        <v>1382</v>
      </c>
      <c r="L13">
        <v>4.04</v>
      </c>
      <c r="M13">
        <v>9</v>
      </c>
      <c r="N13">
        <v>0</v>
      </c>
      <c r="O13" s="54"/>
      <c r="P13" s="54"/>
      <c r="Q13">
        <v>5</v>
      </c>
      <c r="R13">
        <v>14</v>
      </c>
      <c r="S13">
        <v>37</v>
      </c>
      <c r="T13">
        <v>20</v>
      </c>
      <c r="U13">
        <v>17</v>
      </c>
      <c r="V13">
        <v>1</v>
      </c>
      <c r="W13" t="s">
        <v>1391</v>
      </c>
      <c r="X13" t="s">
        <v>3681</v>
      </c>
      <c r="Z13" t="s">
        <v>3693</v>
      </c>
      <c r="AA13">
        <v>0.63</v>
      </c>
      <c r="AB13">
        <v>35</v>
      </c>
      <c r="AC13">
        <v>3.97</v>
      </c>
      <c r="AD13">
        <v>3.57</v>
      </c>
      <c r="AE13">
        <v>0.4</v>
      </c>
      <c r="AF13">
        <v>0</v>
      </c>
      <c r="AG13">
        <v>0</v>
      </c>
      <c r="AJ13" s="54"/>
      <c r="AK13" s="54"/>
      <c r="AL13" s="54"/>
      <c r="AO13">
        <v>1</v>
      </c>
      <c r="AP13" t="s">
        <v>1383</v>
      </c>
      <c r="AR13">
        <v>1</v>
      </c>
      <c r="AS13" t="s">
        <v>1384</v>
      </c>
      <c r="AT13">
        <v>1</v>
      </c>
      <c r="AV13">
        <v>10</v>
      </c>
      <c r="AW13">
        <v>7</v>
      </c>
      <c r="AX13">
        <v>3</v>
      </c>
      <c r="AY13" t="s">
        <v>1390</v>
      </c>
      <c r="AZ13" t="s">
        <v>1390</v>
      </c>
      <c r="BA13">
        <v>15</v>
      </c>
      <c r="BD13">
        <v>1000000000</v>
      </c>
      <c r="BE13">
        <v>9</v>
      </c>
      <c r="BF13">
        <v>0.1</v>
      </c>
      <c r="BG13">
        <v>0</v>
      </c>
      <c r="BH13">
        <v>0</v>
      </c>
      <c r="BI13">
        <v>0</v>
      </c>
      <c r="BJ13">
        <v>0</v>
      </c>
      <c r="BK13">
        <v>0</v>
      </c>
      <c r="BL13">
        <v>0</v>
      </c>
      <c r="BM13">
        <v>9</v>
      </c>
      <c r="BN13">
        <v>0.1</v>
      </c>
      <c r="BR13">
        <v>1</v>
      </c>
      <c r="BS13">
        <v>5</v>
      </c>
      <c r="BX13">
        <v>0</v>
      </c>
      <c r="BY13">
        <v>0</v>
      </c>
      <c r="BZ13">
        <v>0</v>
      </c>
      <c r="CA13">
        <v>1.59</v>
      </c>
      <c r="CC13">
        <v>0</v>
      </c>
      <c r="CD13" s="54">
        <v>43038</v>
      </c>
      <c r="CE13" s="54"/>
      <c r="CF13" s="54">
        <v>43038</v>
      </c>
      <c r="CG13" s="54">
        <v>43297</v>
      </c>
      <c r="CH13" s="54">
        <v>43007</v>
      </c>
      <c r="CI13" s="54">
        <v>43122</v>
      </c>
      <c r="CJ13">
        <v>0.64</v>
      </c>
      <c r="CK13">
        <v>0</v>
      </c>
      <c r="CL13">
        <v>0</v>
      </c>
      <c r="CM13">
        <v>0.3</v>
      </c>
      <c r="CN13">
        <v>0</v>
      </c>
      <c r="CO13">
        <v>0.31</v>
      </c>
      <c r="CP13">
        <v>7.0000000000000007E-2</v>
      </c>
      <c r="CQ13" t="s">
        <v>1144</v>
      </c>
      <c r="CR13" t="s">
        <v>1143</v>
      </c>
      <c r="CS13" t="s">
        <v>3674</v>
      </c>
      <c r="CT13" t="s">
        <v>1403</v>
      </c>
      <c r="CU13" t="s">
        <v>3666</v>
      </c>
      <c r="CV13" t="s">
        <v>3705</v>
      </c>
      <c r="CW13" t="s">
        <v>3676</v>
      </c>
      <c r="CX13" t="s">
        <v>3669</v>
      </c>
      <c r="DC13" t="s">
        <v>3677</v>
      </c>
      <c r="DE13" t="s">
        <v>3670</v>
      </c>
      <c r="DG13" t="s">
        <v>3706</v>
      </c>
      <c r="DH13" s="54">
        <v>43126</v>
      </c>
      <c r="DI13" s="54">
        <v>43147</v>
      </c>
    </row>
    <row r="14" spans="1:113" x14ac:dyDescent="0.25">
      <c r="A14" t="s">
        <v>1021</v>
      </c>
      <c r="B14">
        <v>34</v>
      </c>
      <c r="C14" s="54">
        <v>43208</v>
      </c>
      <c r="D14" t="s">
        <v>1143</v>
      </c>
      <c r="E14" t="s">
        <v>1405</v>
      </c>
      <c r="G14" t="s">
        <v>3707</v>
      </c>
      <c r="H14" t="s">
        <v>1382</v>
      </c>
      <c r="I14" t="s">
        <v>1382</v>
      </c>
      <c r="J14" t="s">
        <v>1382</v>
      </c>
      <c r="K14" t="s">
        <v>1382</v>
      </c>
      <c r="L14">
        <v>6.58</v>
      </c>
      <c r="M14">
        <v>15</v>
      </c>
      <c r="N14">
        <v>0</v>
      </c>
      <c r="O14" s="54"/>
      <c r="P14" s="54"/>
      <c r="Q14">
        <v>5</v>
      </c>
      <c r="R14">
        <v>14</v>
      </c>
      <c r="S14">
        <v>37</v>
      </c>
      <c r="T14">
        <v>20</v>
      </c>
      <c r="U14">
        <v>17</v>
      </c>
      <c r="V14">
        <v>1</v>
      </c>
      <c r="W14" t="s">
        <v>1391</v>
      </c>
      <c r="X14" t="s">
        <v>3681</v>
      </c>
      <c r="Z14" t="s">
        <v>3693</v>
      </c>
      <c r="AA14">
        <v>0.42</v>
      </c>
      <c r="AB14">
        <v>24</v>
      </c>
      <c r="AC14">
        <v>7.14</v>
      </c>
      <c r="AD14">
        <v>5.36</v>
      </c>
      <c r="AE14">
        <v>0.6</v>
      </c>
      <c r="AF14">
        <v>0</v>
      </c>
      <c r="AG14">
        <v>0</v>
      </c>
      <c r="AJ14" s="54"/>
      <c r="AK14" s="54"/>
      <c r="AL14" s="54"/>
      <c r="AO14">
        <v>1</v>
      </c>
      <c r="AP14" t="s">
        <v>1383</v>
      </c>
      <c r="AR14">
        <v>1</v>
      </c>
      <c r="AS14" t="s">
        <v>1384</v>
      </c>
      <c r="AT14">
        <v>1</v>
      </c>
      <c r="AV14">
        <v>12</v>
      </c>
      <c r="AW14">
        <v>8</v>
      </c>
      <c r="AX14">
        <v>4</v>
      </c>
      <c r="AY14" t="s">
        <v>1390</v>
      </c>
      <c r="AZ14" t="s">
        <v>1390</v>
      </c>
      <c r="BA14">
        <v>15</v>
      </c>
      <c r="BD14">
        <v>1000000000</v>
      </c>
      <c r="BE14">
        <v>9</v>
      </c>
      <c r="BF14">
        <v>0.25</v>
      </c>
      <c r="BG14">
        <v>0</v>
      </c>
      <c r="BH14">
        <v>0</v>
      </c>
      <c r="BI14">
        <v>0</v>
      </c>
      <c r="BJ14">
        <v>0</v>
      </c>
      <c r="BK14">
        <v>0</v>
      </c>
      <c r="BL14">
        <v>0</v>
      </c>
      <c r="BM14">
        <v>9</v>
      </c>
      <c r="BN14">
        <v>0.25</v>
      </c>
      <c r="BR14">
        <v>3</v>
      </c>
      <c r="BS14">
        <v>6</v>
      </c>
      <c r="BX14">
        <v>0</v>
      </c>
      <c r="BY14">
        <v>0</v>
      </c>
      <c r="BZ14">
        <v>0</v>
      </c>
      <c r="CA14">
        <v>1.66</v>
      </c>
      <c r="CC14">
        <v>1</v>
      </c>
      <c r="CD14" s="54">
        <v>43038</v>
      </c>
      <c r="CE14" s="54"/>
      <c r="CF14" s="54">
        <v>43038</v>
      </c>
      <c r="CG14" s="54">
        <v>43297</v>
      </c>
      <c r="CH14" s="54">
        <v>43132</v>
      </c>
      <c r="CI14" s="54">
        <v>43195</v>
      </c>
      <c r="CJ14">
        <v>0.21</v>
      </c>
      <c r="CK14">
        <v>0</v>
      </c>
      <c r="CL14">
        <v>0</v>
      </c>
      <c r="CM14">
        <v>0</v>
      </c>
      <c r="CN14">
        <v>0.3</v>
      </c>
      <c r="CO14">
        <v>0.38</v>
      </c>
      <c r="CP14">
        <v>0</v>
      </c>
      <c r="CQ14" t="s">
        <v>1144</v>
      </c>
      <c r="CR14" t="s">
        <v>1143</v>
      </c>
      <c r="CS14" t="s">
        <v>3674</v>
      </c>
      <c r="CT14" t="s">
        <v>1403</v>
      </c>
      <c r="CU14" t="s">
        <v>3666</v>
      </c>
      <c r="CV14" t="s">
        <v>3708</v>
      </c>
      <c r="CW14" t="s">
        <v>3676</v>
      </c>
      <c r="CX14" t="s">
        <v>3669</v>
      </c>
      <c r="DC14" t="s">
        <v>3677</v>
      </c>
      <c r="DE14" t="s">
        <v>3670</v>
      </c>
      <c r="DG14" t="s">
        <v>3678</v>
      </c>
      <c r="DH14" s="54">
        <v>43251</v>
      </c>
      <c r="DI14" s="54">
        <v>43272</v>
      </c>
    </row>
    <row r="15" spans="1:113" x14ac:dyDescent="0.25">
      <c r="A15" t="s">
        <v>1021</v>
      </c>
      <c r="B15">
        <v>34</v>
      </c>
      <c r="C15" s="54">
        <v>43208</v>
      </c>
      <c r="D15" t="s">
        <v>1143</v>
      </c>
      <c r="E15" t="s">
        <v>2653</v>
      </c>
      <c r="G15" t="s">
        <v>3709</v>
      </c>
      <c r="H15" t="s">
        <v>1382</v>
      </c>
      <c r="I15" t="s">
        <v>1382</v>
      </c>
      <c r="J15" t="s">
        <v>1382</v>
      </c>
      <c r="K15" t="s">
        <v>1382</v>
      </c>
      <c r="L15">
        <v>9.06</v>
      </c>
      <c r="M15">
        <v>20.5</v>
      </c>
      <c r="N15">
        <v>0</v>
      </c>
      <c r="O15" s="54"/>
      <c r="P15" s="54"/>
      <c r="Q15">
        <v>5</v>
      </c>
      <c r="R15">
        <v>14</v>
      </c>
      <c r="S15">
        <v>37</v>
      </c>
      <c r="T15">
        <v>20</v>
      </c>
      <c r="U15">
        <v>17</v>
      </c>
      <c r="V15">
        <v>1</v>
      </c>
      <c r="X15" t="s">
        <v>3681</v>
      </c>
      <c r="AA15">
        <v>0.04</v>
      </c>
      <c r="AB15">
        <v>3</v>
      </c>
      <c r="AC15">
        <v>25</v>
      </c>
      <c r="AD15">
        <v>56.25</v>
      </c>
      <c r="AE15">
        <v>6.25</v>
      </c>
      <c r="AF15">
        <v>0</v>
      </c>
      <c r="AG15">
        <v>0</v>
      </c>
      <c r="AJ15" s="54"/>
      <c r="AK15" s="54"/>
      <c r="AL15" s="54"/>
      <c r="AO15">
        <v>1</v>
      </c>
      <c r="AP15" t="s">
        <v>1383</v>
      </c>
      <c r="AR15">
        <v>1</v>
      </c>
      <c r="AS15" t="s">
        <v>1384</v>
      </c>
      <c r="AT15">
        <v>1</v>
      </c>
      <c r="AV15">
        <v>4</v>
      </c>
      <c r="AW15">
        <v>3</v>
      </c>
      <c r="AX15">
        <v>1</v>
      </c>
      <c r="AY15" t="s">
        <v>1389</v>
      </c>
      <c r="AZ15" t="s">
        <v>1389</v>
      </c>
      <c r="BA15">
        <v>7</v>
      </c>
      <c r="BD15">
        <v>1000000000</v>
      </c>
      <c r="BE15">
        <v>9</v>
      </c>
      <c r="BF15">
        <v>-1.25</v>
      </c>
      <c r="BG15">
        <v>0</v>
      </c>
      <c r="BH15">
        <v>0</v>
      </c>
      <c r="BI15">
        <v>0</v>
      </c>
      <c r="BJ15">
        <v>0</v>
      </c>
      <c r="BK15">
        <v>0</v>
      </c>
      <c r="BL15">
        <v>0</v>
      </c>
      <c r="BM15">
        <v>9</v>
      </c>
      <c r="BN15">
        <v>-1.25</v>
      </c>
      <c r="BR15">
        <v>0</v>
      </c>
      <c r="BS15">
        <v>2</v>
      </c>
      <c r="BX15">
        <v>0</v>
      </c>
      <c r="BY15">
        <v>45.3</v>
      </c>
      <c r="BZ15">
        <v>0</v>
      </c>
      <c r="CA15">
        <v>1.64</v>
      </c>
      <c r="CC15">
        <v>1</v>
      </c>
      <c r="CD15" s="54">
        <v>43038</v>
      </c>
      <c r="CE15" s="54"/>
      <c r="CF15" s="54">
        <v>43038</v>
      </c>
      <c r="CG15" s="54">
        <v>43297</v>
      </c>
      <c r="CH15" s="54">
        <v>42768</v>
      </c>
      <c r="CI15" s="54">
        <v>42852</v>
      </c>
      <c r="CJ15">
        <v>0.02</v>
      </c>
      <c r="CK15">
        <v>0</v>
      </c>
      <c r="CL15">
        <v>0</v>
      </c>
      <c r="CM15">
        <v>0</v>
      </c>
      <c r="CN15">
        <v>0</v>
      </c>
      <c r="CO15">
        <v>0</v>
      </c>
      <c r="CP15">
        <v>0.68</v>
      </c>
      <c r="CQ15" t="s">
        <v>1144</v>
      </c>
      <c r="CR15" t="s">
        <v>1143</v>
      </c>
      <c r="CS15" t="s">
        <v>3674</v>
      </c>
      <c r="CT15" t="s">
        <v>1403</v>
      </c>
      <c r="CU15" t="s">
        <v>3666</v>
      </c>
      <c r="CV15" t="s">
        <v>3710</v>
      </c>
      <c r="CW15" t="s">
        <v>3676</v>
      </c>
      <c r="CX15" t="s">
        <v>3669</v>
      </c>
      <c r="DC15" t="s">
        <v>3677</v>
      </c>
      <c r="DE15" t="s">
        <v>3670</v>
      </c>
      <c r="DG15" t="s">
        <v>3678</v>
      </c>
      <c r="DH15" s="54">
        <v>42887</v>
      </c>
      <c r="DI15" s="54">
        <v>42908</v>
      </c>
    </row>
    <row r="16" spans="1:113" x14ac:dyDescent="0.25">
      <c r="A16" t="s">
        <v>1021</v>
      </c>
      <c r="B16">
        <v>34</v>
      </c>
      <c r="C16" s="54">
        <v>43208</v>
      </c>
      <c r="D16" t="s">
        <v>1143</v>
      </c>
      <c r="E16" t="s">
        <v>3711</v>
      </c>
      <c r="G16" t="s">
        <v>3712</v>
      </c>
      <c r="H16" t="s">
        <v>1382</v>
      </c>
      <c r="I16" t="s">
        <v>1382</v>
      </c>
      <c r="J16" t="s">
        <v>1382</v>
      </c>
      <c r="K16" t="s">
        <v>1382</v>
      </c>
      <c r="L16">
        <v>25.96</v>
      </c>
      <c r="M16">
        <v>52</v>
      </c>
      <c r="N16">
        <v>0</v>
      </c>
      <c r="O16" s="54"/>
      <c r="P16" s="54"/>
      <c r="Q16">
        <v>5</v>
      </c>
      <c r="R16">
        <v>14</v>
      </c>
      <c r="S16">
        <v>37</v>
      </c>
      <c r="T16">
        <v>20</v>
      </c>
      <c r="U16">
        <v>17</v>
      </c>
      <c r="V16">
        <v>1</v>
      </c>
      <c r="W16" t="s">
        <v>1391</v>
      </c>
      <c r="X16" t="s">
        <v>3673</v>
      </c>
      <c r="Y16">
        <v>1</v>
      </c>
      <c r="AA16">
        <v>0</v>
      </c>
      <c r="AB16">
        <v>0</v>
      </c>
      <c r="AC16">
        <v>0</v>
      </c>
      <c r="AD16">
        <v>0</v>
      </c>
      <c r="AE16">
        <v>0</v>
      </c>
      <c r="AF16">
        <v>0</v>
      </c>
      <c r="AG16">
        <v>0</v>
      </c>
      <c r="AJ16" s="54"/>
      <c r="AK16" s="54"/>
      <c r="AL16" s="54"/>
      <c r="AO16">
        <v>1</v>
      </c>
      <c r="AP16" t="s">
        <v>1383</v>
      </c>
      <c r="AR16">
        <v>1</v>
      </c>
      <c r="AS16" t="s">
        <v>1384</v>
      </c>
      <c r="AT16">
        <v>1</v>
      </c>
      <c r="AV16">
        <v>2</v>
      </c>
      <c r="AW16">
        <v>2</v>
      </c>
      <c r="AX16">
        <v>1</v>
      </c>
      <c r="AY16" t="s">
        <v>1401</v>
      </c>
      <c r="AZ16" t="s">
        <v>1401</v>
      </c>
      <c r="BA16">
        <v>0</v>
      </c>
      <c r="BD16">
        <v>1000000000</v>
      </c>
      <c r="BE16">
        <v>2</v>
      </c>
      <c r="BF16">
        <v>0</v>
      </c>
      <c r="BG16">
        <v>0</v>
      </c>
      <c r="BH16">
        <v>0</v>
      </c>
      <c r="BI16">
        <v>0</v>
      </c>
      <c r="BJ16">
        <v>0</v>
      </c>
      <c r="BK16">
        <v>0</v>
      </c>
      <c r="BL16">
        <v>0</v>
      </c>
      <c r="BM16">
        <v>2</v>
      </c>
      <c r="BN16">
        <v>0</v>
      </c>
      <c r="BR16">
        <v>0</v>
      </c>
      <c r="BS16">
        <v>1</v>
      </c>
      <c r="BX16">
        <v>0</v>
      </c>
      <c r="BY16">
        <v>0</v>
      </c>
      <c r="BZ16">
        <v>0</v>
      </c>
      <c r="CA16">
        <v>1.3</v>
      </c>
      <c r="CC16">
        <v>0</v>
      </c>
      <c r="CD16" s="54">
        <v>42836</v>
      </c>
      <c r="CE16" s="54"/>
      <c r="CF16" s="54">
        <v>42949</v>
      </c>
      <c r="CG16" s="54">
        <v>43208</v>
      </c>
      <c r="CH16" s="54">
        <v>0</v>
      </c>
      <c r="CI16" s="54">
        <v>0</v>
      </c>
      <c r="CJ16">
        <v>0</v>
      </c>
      <c r="CK16">
        <v>0</v>
      </c>
      <c r="CL16">
        <v>0</v>
      </c>
      <c r="CM16">
        <v>0</v>
      </c>
      <c r="CN16">
        <v>0.94</v>
      </c>
      <c r="CO16">
        <v>0</v>
      </c>
      <c r="CP16">
        <v>0</v>
      </c>
      <c r="CQ16" t="s">
        <v>1144</v>
      </c>
      <c r="CR16" t="s">
        <v>1143</v>
      </c>
      <c r="CS16" t="s">
        <v>3674</v>
      </c>
      <c r="CT16" t="s">
        <v>1403</v>
      </c>
      <c r="CU16" t="s">
        <v>3666</v>
      </c>
      <c r="CV16" t="s">
        <v>3713</v>
      </c>
      <c r="CW16" t="s">
        <v>3676</v>
      </c>
      <c r="CX16" t="s">
        <v>3669</v>
      </c>
      <c r="DC16" t="s">
        <v>3677</v>
      </c>
      <c r="DE16" t="s">
        <v>3670</v>
      </c>
      <c r="DG16" t="s">
        <v>1400</v>
      </c>
      <c r="DH16" s="54"/>
      <c r="DI16" s="54"/>
    </row>
    <row r="17" spans="1:113" x14ac:dyDescent="0.25">
      <c r="A17" t="s">
        <v>1021</v>
      </c>
      <c r="B17">
        <v>34</v>
      </c>
      <c r="C17" s="54">
        <v>43208</v>
      </c>
      <c r="D17" t="s">
        <v>1143</v>
      </c>
      <c r="E17" t="s">
        <v>1406</v>
      </c>
      <c r="G17" t="s">
        <v>3714</v>
      </c>
      <c r="H17" t="s">
        <v>1382</v>
      </c>
      <c r="I17" t="s">
        <v>1382</v>
      </c>
      <c r="J17" t="s">
        <v>1382</v>
      </c>
      <c r="K17" t="s">
        <v>1382</v>
      </c>
      <c r="L17">
        <v>3.81</v>
      </c>
      <c r="M17">
        <v>9.25</v>
      </c>
      <c r="N17">
        <v>0</v>
      </c>
      <c r="O17" s="54"/>
      <c r="P17" s="54"/>
      <c r="Q17">
        <v>5</v>
      </c>
      <c r="R17">
        <v>14</v>
      </c>
      <c r="S17">
        <v>37</v>
      </c>
      <c r="T17">
        <v>20</v>
      </c>
      <c r="U17">
        <v>17</v>
      </c>
      <c r="V17">
        <v>1</v>
      </c>
      <c r="W17" t="s">
        <v>1391</v>
      </c>
      <c r="X17" t="s">
        <v>3681</v>
      </c>
      <c r="Z17" t="s">
        <v>3693</v>
      </c>
      <c r="AA17">
        <v>0.46</v>
      </c>
      <c r="AB17">
        <v>26</v>
      </c>
      <c r="AC17">
        <v>4.3499999999999996</v>
      </c>
      <c r="AD17">
        <v>3.8</v>
      </c>
      <c r="AE17">
        <v>0.54</v>
      </c>
      <c r="AF17">
        <v>0</v>
      </c>
      <c r="AG17">
        <v>0</v>
      </c>
      <c r="AJ17" s="54"/>
      <c r="AK17" s="54"/>
      <c r="AL17" s="54"/>
      <c r="AO17">
        <v>1</v>
      </c>
      <c r="AP17" t="s">
        <v>1383</v>
      </c>
      <c r="AR17">
        <v>1</v>
      </c>
      <c r="AS17" t="s">
        <v>1384</v>
      </c>
      <c r="AT17">
        <v>1</v>
      </c>
      <c r="AV17">
        <v>8</v>
      </c>
      <c r="AW17">
        <v>5</v>
      </c>
      <c r="AX17">
        <v>3</v>
      </c>
      <c r="AY17" t="s">
        <v>1390</v>
      </c>
      <c r="AZ17" t="s">
        <v>1390</v>
      </c>
      <c r="BA17">
        <v>12</v>
      </c>
      <c r="BD17">
        <v>1000000000</v>
      </c>
      <c r="BE17">
        <v>7</v>
      </c>
      <c r="BF17">
        <v>0.13</v>
      </c>
      <c r="BG17">
        <v>0</v>
      </c>
      <c r="BH17">
        <v>0</v>
      </c>
      <c r="BI17">
        <v>0</v>
      </c>
      <c r="BJ17">
        <v>0</v>
      </c>
      <c r="BK17">
        <v>0</v>
      </c>
      <c r="BL17">
        <v>0</v>
      </c>
      <c r="BM17">
        <v>7</v>
      </c>
      <c r="BN17">
        <v>0.13</v>
      </c>
      <c r="BR17">
        <v>1</v>
      </c>
      <c r="BS17">
        <v>4</v>
      </c>
      <c r="BX17">
        <v>0</v>
      </c>
      <c r="BY17">
        <v>0</v>
      </c>
      <c r="BZ17">
        <v>0</v>
      </c>
      <c r="CA17">
        <v>1.85</v>
      </c>
      <c r="CC17">
        <v>1</v>
      </c>
      <c r="CD17" s="54">
        <v>43038</v>
      </c>
      <c r="CE17" s="54"/>
      <c r="CF17" s="54">
        <v>43038</v>
      </c>
      <c r="CG17" s="54">
        <v>43297</v>
      </c>
      <c r="CH17" s="54">
        <v>43028</v>
      </c>
      <c r="CI17" s="54">
        <v>43122</v>
      </c>
      <c r="CJ17">
        <v>0.27</v>
      </c>
      <c r="CK17">
        <v>0</v>
      </c>
      <c r="CL17">
        <v>0</v>
      </c>
      <c r="CM17">
        <v>0</v>
      </c>
      <c r="CN17">
        <v>0.14000000000000001</v>
      </c>
      <c r="CO17">
        <v>0.37</v>
      </c>
      <c r="CP17">
        <v>0.16</v>
      </c>
      <c r="CQ17" t="s">
        <v>1144</v>
      </c>
      <c r="CR17" t="s">
        <v>1143</v>
      </c>
      <c r="CS17" t="s">
        <v>3674</v>
      </c>
      <c r="CT17" t="s">
        <v>1403</v>
      </c>
      <c r="CU17" t="s">
        <v>3666</v>
      </c>
      <c r="CV17" t="s">
        <v>3715</v>
      </c>
      <c r="CW17" t="s">
        <v>3676</v>
      </c>
      <c r="CX17" t="s">
        <v>3669</v>
      </c>
      <c r="DC17" t="s">
        <v>3677</v>
      </c>
      <c r="DE17" t="s">
        <v>3670</v>
      </c>
      <c r="DG17" t="s">
        <v>3716</v>
      </c>
      <c r="DH17" s="54">
        <v>43147</v>
      </c>
      <c r="DI17" s="54">
        <v>43168</v>
      </c>
    </row>
    <row r="18" spans="1:113" x14ac:dyDescent="0.25">
      <c r="A18" t="s">
        <v>1021</v>
      </c>
      <c r="B18">
        <v>34</v>
      </c>
      <c r="C18" s="54">
        <v>43208</v>
      </c>
      <c r="D18" t="s">
        <v>1143</v>
      </c>
      <c r="E18" t="s">
        <v>1407</v>
      </c>
      <c r="G18" t="s">
        <v>3717</v>
      </c>
      <c r="H18" t="s">
        <v>1382</v>
      </c>
      <c r="I18" t="s">
        <v>1382</v>
      </c>
      <c r="J18" t="s">
        <v>1382</v>
      </c>
      <c r="K18" t="s">
        <v>1382</v>
      </c>
      <c r="L18">
        <v>12.23</v>
      </c>
      <c r="M18">
        <v>26.5</v>
      </c>
      <c r="N18">
        <v>0</v>
      </c>
      <c r="O18" s="54"/>
      <c r="P18" s="54"/>
      <c r="Q18">
        <v>5</v>
      </c>
      <c r="R18">
        <v>14</v>
      </c>
      <c r="S18">
        <v>37</v>
      </c>
      <c r="T18">
        <v>20</v>
      </c>
      <c r="U18">
        <v>17</v>
      </c>
      <c r="V18">
        <v>1</v>
      </c>
      <c r="W18" t="s">
        <v>1391</v>
      </c>
      <c r="X18" t="s">
        <v>3673</v>
      </c>
      <c r="AA18">
        <v>1.21</v>
      </c>
      <c r="AB18">
        <v>68</v>
      </c>
      <c r="AC18">
        <v>5.17</v>
      </c>
      <c r="AD18">
        <v>4.13</v>
      </c>
      <c r="AE18">
        <v>0.21</v>
      </c>
      <c r="AF18">
        <v>14</v>
      </c>
      <c r="AG18">
        <v>0</v>
      </c>
      <c r="AJ18" s="54"/>
      <c r="AK18" s="54"/>
      <c r="AL18" s="54"/>
      <c r="AO18">
        <v>1</v>
      </c>
      <c r="AP18" t="s">
        <v>1383</v>
      </c>
      <c r="AR18">
        <v>1</v>
      </c>
      <c r="AS18" t="s">
        <v>1384</v>
      </c>
      <c r="AT18">
        <v>1</v>
      </c>
      <c r="AV18">
        <v>25</v>
      </c>
      <c r="AW18">
        <v>17</v>
      </c>
      <c r="AX18">
        <v>8</v>
      </c>
      <c r="AY18" t="s">
        <v>1394</v>
      </c>
      <c r="AZ18" t="s">
        <v>1390</v>
      </c>
      <c r="BA18">
        <v>0</v>
      </c>
      <c r="BD18">
        <v>1000000000</v>
      </c>
      <c r="BE18">
        <v>1</v>
      </c>
      <c r="BF18">
        <v>0.96</v>
      </c>
      <c r="BG18">
        <v>19</v>
      </c>
      <c r="BH18">
        <v>0</v>
      </c>
      <c r="BI18">
        <v>0</v>
      </c>
      <c r="BJ18">
        <v>0</v>
      </c>
      <c r="BK18">
        <v>0</v>
      </c>
      <c r="BL18">
        <v>0</v>
      </c>
      <c r="BM18">
        <v>20</v>
      </c>
      <c r="BN18">
        <v>0.2</v>
      </c>
      <c r="BR18">
        <v>5</v>
      </c>
      <c r="BS18">
        <v>11</v>
      </c>
      <c r="BX18">
        <v>99.89</v>
      </c>
      <c r="BY18">
        <v>0</v>
      </c>
      <c r="BZ18">
        <v>0</v>
      </c>
      <c r="CA18">
        <v>1.51</v>
      </c>
      <c r="CC18">
        <v>0</v>
      </c>
      <c r="CD18" s="54">
        <v>42836</v>
      </c>
      <c r="CE18" s="54"/>
      <c r="CF18" s="54">
        <v>42949</v>
      </c>
      <c r="CG18" s="54">
        <v>43208</v>
      </c>
      <c r="CH18" s="54">
        <v>43195</v>
      </c>
      <c r="CI18" s="54">
        <v>43195</v>
      </c>
      <c r="CJ18">
        <v>0.9</v>
      </c>
      <c r="CK18">
        <v>0</v>
      </c>
      <c r="CL18">
        <v>0.17</v>
      </c>
      <c r="CM18">
        <v>0.35</v>
      </c>
      <c r="CN18">
        <v>0.11</v>
      </c>
      <c r="CO18">
        <v>0.09</v>
      </c>
      <c r="CP18">
        <v>0.22</v>
      </c>
      <c r="CQ18" t="s">
        <v>1144</v>
      </c>
      <c r="CR18" t="s">
        <v>1143</v>
      </c>
      <c r="CS18" t="s">
        <v>3674</v>
      </c>
      <c r="CT18" t="s">
        <v>1403</v>
      </c>
      <c r="CU18" t="s">
        <v>3666</v>
      </c>
      <c r="CV18" t="s">
        <v>3718</v>
      </c>
      <c r="CW18" t="s">
        <v>3676</v>
      </c>
      <c r="CX18" t="s">
        <v>3669</v>
      </c>
      <c r="DC18" t="s">
        <v>3677</v>
      </c>
      <c r="DE18" t="s">
        <v>3670</v>
      </c>
      <c r="DG18" t="s">
        <v>1400</v>
      </c>
      <c r="DH18" s="54">
        <v>43314</v>
      </c>
      <c r="DI18" s="54">
        <v>43335</v>
      </c>
    </row>
    <row r="19" spans="1:113" x14ac:dyDescent="0.25">
      <c r="A19" t="s">
        <v>1021</v>
      </c>
      <c r="B19">
        <v>34</v>
      </c>
      <c r="C19" s="54">
        <v>43208</v>
      </c>
      <c r="D19" t="s">
        <v>1143</v>
      </c>
      <c r="E19" t="s">
        <v>2658</v>
      </c>
      <c r="G19" t="s">
        <v>3719</v>
      </c>
      <c r="H19" t="s">
        <v>1382</v>
      </c>
      <c r="I19" t="s">
        <v>1382</v>
      </c>
      <c r="J19" t="s">
        <v>1382</v>
      </c>
      <c r="K19" t="s">
        <v>1382</v>
      </c>
      <c r="L19">
        <v>5.68</v>
      </c>
      <c r="M19">
        <v>14</v>
      </c>
      <c r="N19">
        <v>0</v>
      </c>
      <c r="O19" s="54"/>
      <c r="P19" s="54"/>
      <c r="Q19">
        <v>5</v>
      </c>
      <c r="R19">
        <v>14</v>
      </c>
      <c r="S19">
        <v>37</v>
      </c>
      <c r="T19">
        <v>20</v>
      </c>
      <c r="U19">
        <v>17</v>
      </c>
      <c r="V19">
        <v>1</v>
      </c>
      <c r="X19" t="s">
        <v>3681</v>
      </c>
      <c r="AA19">
        <v>0.21</v>
      </c>
      <c r="AB19">
        <v>12</v>
      </c>
      <c r="AC19">
        <v>14.29</v>
      </c>
      <c r="AD19">
        <v>39.29</v>
      </c>
      <c r="AE19">
        <v>1.19</v>
      </c>
      <c r="AF19">
        <v>0</v>
      </c>
      <c r="AG19">
        <v>0</v>
      </c>
      <c r="AJ19" s="54"/>
      <c r="AK19" s="54"/>
      <c r="AL19" s="54"/>
      <c r="AO19">
        <v>1</v>
      </c>
      <c r="AP19" t="s">
        <v>1383</v>
      </c>
      <c r="AR19">
        <v>1</v>
      </c>
      <c r="AS19" t="s">
        <v>1384</v>
      </c>
      <c r="AT19">
        <v>1</v>
      </c>
      <c r="AV19">
        <v>12</v>
      </c>
      <c r="AW19">
        <v>8</v>
      </c>
      <c r="AX19">
        <v>4</v>
      </c>
      <c r="AY19" t="s">
        <v>1389</v>
      </c>
      <c r="AZ19" t="s">
        <v>1389</v>
      </c>
      <c r="BA19">
        <v>15</v>
      </c>
      <c r="BD19">
        <v>1000000000</v>
      </c>
      <c r="BE19">
        <v>33</v>
      </c>
      <c r="BF19">
        <v>-1.75</v>
      </c>
      <c r="BG19">
        <v>0</v>
      </c>
      <c r="BH19">
        <v>0</v>
      </c>
      <c r="BI19">
        <v>0</v>
      </c>
      <c r="BJ19">
        <v>0</v>
      </c>
      <c r="BK19">
        <v>0</v>
      </c>
      <c r="BL19">
        <v>0</v>
      </c>
      <c r="BM19">
        <v>33</v>
      </c>
      <c r="BN19">
        <v>-1.75</v>
      </c>
      <c r="BR19">
        <v>0</v>
      </c>
      <c r="BS19">
        <v>6</v>
      </c>
      <c r="BX19">
        <v>0</v>
      </c>
      <c r="BY19">
        <v>119.28</v>
      </c>
      <c r="BZ19">
        <v>0</v>
      </c>
      <c r="CA19">
        <v>1.9</v>
      </c>
      <c r="CC19">
        <v>0</v>
      </c>
      <c r="CD19" s="54">
        <v>43038</v>
      </c>
      <c r="CE19" s="54"/>
      <c r="CF19" s="54">
        <v>43038</v>
      </c>
      <c r="CG19" s="54">
        <v>43297</v>
      </c>
      <c r="CH19" s="54">
        <v>0</v>
      </c>
      <c r="CI19" s="54">
        <v>0</v>
      </c>
      <c r="CJ19">
        <v>0.05</v>
      </c>
      <c r="CK19">
        <v>0</v>
      </c>
      <c r="CL19">
        <v>0</v>
      </c>
      <c r="CM19">
        <v>0</v>
      </c>
      <c r="CN19">
        <v>0</v>
      </c>
      <c r="CO19">
        <v>0</v>
      </c>
      <c r="CP19">
        <v>0.68</v>
      </c>
      <c r="CQ19" t="s">
        <v>1144</v>
      </c>
      <c r="CR19" t="s">
        <v>1143</v>
      </c>
      <c r="CS19" t="s">
        <v>3674</v>
      </c>
      <c r="CT19" t="s">
        <v>1403</v>
      </c>
      <c r="CU19" t="s">
        <v>3666</v>
      </c>
      <c r="CV19" t="s">
        <v>3720</v>
      </c>
      <c r="CW19" t="s">
        <v>3676</v>
      </c>
      <c r="CX19" t="s">
        <v>3669</v>
      </c>
      <c r="DC19" t="s">
        <v>3677</v>
      </c>
      <c r="DE19" t="s">
        <v>3670</v>
      </c>
      <c r="DG19" t="s">
        <v>1400</v>
      </c>
      <c r="DH19" s="54"/>
      <c r="DI19" s="54"/>
    </row>
    <row r="20" spans="1:113" x14ac:dyDescent="0.25">
      <c r="A20" t="s">
        <v>1021</v>
      </c>
      <c r="B20">
        <v>34</v>
      </c>
      <c r="C20" s="54">
        <v>43208</v>
      </c>
      <c r="D20" t="s">
        <v>1143</v>
      </c>
      <c r="E20" t="s">
        <v>3721</v>
      </c>
      <c r="G20" t="s">
        <v>3722</v>
      </c>
      <c r="H20" t="s">
        <v>1382</v>
      </c>
      <c r="I20" t="s">
        <v>1382</v>
      </c>
      <c r="J20" t="s">
        <v>1382</v>
      </c>
      <c r="K20" t="s">
        <v>1382</v>
      </c>
      <c r="L20">
        <v>35.47</v>
      </c>
      <c r="M20">
        <v>77</v>
      </c>
      <c r="N20">
        <v>0</v>
      </c>
      <c r="O20" s="54"/>
      <c r="P20" s="54"/>
      <c r="Q20">
        <v>5</v>
      </c>
      <c r="R20">
        <v>14</v>
      </c>
      <c r="S20">
        <v>37</v>
      </c>
      <c r="T20">
        <v>20</v>
      </c>
      <c r="U20">
        <v>17</v>
      </c>
      <c r="V20">
        <v>1</v>
      </c>
      <c r="W20" t="s">
        <v>1391</v>
      </c>
      <c r="X20" t="s">
        <v>3673</v>
      </c>
      <c r="Y20">
        <v>0</v>
      </c>
      <c r="AA20">
        <v>0</v>
      </c>
      <c r="AB20">
        <v>0</v>
      </c>
      <c r="AC20">
        <v>0</v>
      </c>
      <c r="AD20">
        <v>0</v>
      </c>
      <c r="AE20">
        <v>0</v>
      </c>
      <c r="AF20">
        <v>0</v>
      </c>
      <c r="AG20">
        <v>0</v>
      </c>
      <c r="AJ20" s="54"/>
      <c r="AK20" s="54"/>
      <c r="AL20" s="54"/>
      <c r="AO20">
        <v>1</v>
      </c>
      <c r="AP20" t="s">
        <v>1383</v>
      </c>
      <c r="AR20">
        <v>1</v>
      </c>
      <c r="AS20" t="s">
        <v>1384</v>
      </c>
      <c r="AT20">
        <v>1</v>
      </c>
      <c r="AV20">
        <v>1</v>
      </c>
      <c r="AW20">
        <v>1</v>
      </c>
      <c r="AX20">
        <v>0.5</v>
      </c>
      <c r="AY20" t="s">
        <v>1401</v>
      </c>
      <c r="AZ20" t="s">
        <v>1401</v>
      </c>
      <c r="BA20">
        <v>0</v>
      </c>
      <c r="BD20">
        <v>1000000000</v>
      </c>
      <c r="BE20">
        <v>1</v>
      </c>
      <c r="BF20">
        <v>0</v>
      </c>
      <c r="BG20">
        <v>0</v>
      </c>
      <c r="BH20">
        <v>0</v>
      </c>
      <c r="BI20">
        <v>0</v>
      </c>
      <c r="BJ20">
        <v>0</v>
      </c>
      <c r="BK20">
        <v>0</v>
      </c>
      <c r="BL20">
        <v>0</v>
      </c>
      <c r="BM20">
        <v>1</v>
      </c>
      <c r="BN20">
        <v>0</v>
      </c>
      <c r="BR20">
        <v>0</v>
      </c>
      <c r="BS20">
        <v>0</v>
      </c>
      <c r="BX20">
        <v>0</v>
      </c>
      <c r="BY20">
        <v>0</v>
      </c>
      <c r="BZ20">
        <v>0</v>
      </c>
      <c r="CA20">
        <v>1.52</v>
      </c>
      <c r="CC20">
        <v>0</v>
      </c>
      <c r="CD20" s="54">
        <v>42836</v>
      </c>
      <c r="CE20" s="54"/>
      <c r="CF20" s="54">
        <v>42949</v>
      </c>
      <c r="CG20" s="54">
        <v>43208</v>
      </c>
      <c r="CH20" s="54">
        <v>0</v>
      </c>
      <c r="CI20" s="54">
        <v>0</v>
      </c>
      <c r="CJ20">
        <v>0</v>
      </c>
      <c r="CK20">
        <v>0</v>
      </c>
      <c r="CL20">
        <v>0</v>
      </c>
      <c r="CM20">
        <v>0</v>
      </c>
      <c r="CN20">
        <v>0.94</v>
      </c>
      <c r="CO20">
        <v>0</v>
      </c>
      <c r="CP20">
        <v>0</v>
      </c>
      <c r="CQ20" t="s">
        <v>1144</v>
      </c>
      <c r="CR20" t="s">
        <v>1143</v>
      </c>
      <c r="CS20" t="s">
        <v>3674</v>
      </c>
      <c r="CT20" t="s">
        <v>1403</v>
      </c>
      <c r="CU20" t="s">
        <v>3666</v>
      </c>
      <c r="CV20" t="s">
        <v>3723</v>
      </c>
      <c r="CW20" t="s">
        <v>3676</v>
      </c>
      <c r="CX20" t="s">
        <v>3669</v>
      </c>
      <c r="DC20" t="s">
        <v>3677</v>
      </c>
      <c r="DE20" t="s">
        <v>3670</v>
      </c>
      <c r="DG20" t="s">
        <v>1400</v>
      </c>
      <c r="DH20" s="54"/>
      <c r="DI20" s="54"/>
    </row>
    <row r="21" spans="1:113" x14ac:dyDescent="0.25">
      <c r="A21" t="s">
        <v>1021</v>
      </c>
      <c r="B21">
        <v>34</v>
      </c>
      <c r="C21" s="54">
        <v>43208</v>
      </c>
      <c r="D21" t="s">
        <v>1143</v>
      </c>
      <c r="E21" t="s">
        <v>3724</v>
      </c>
      <c r="G21" t="s">
        <v>3725</v>
      </c>
      <c r="H21" t="s">
        <v>1382</v>
      </c>
      <c r="I21" t="s">
        <v>1382</v>
      </c>
      <c r="J21" t="s">
        <v>1382</v>
      </c>
      <c r="K21" t="s">
        <v>1382</v>
      </c>
      <c r="L21">
        <v>22.19</v>
      </c>
      <c r="M21">
        <v>49.5</v>
      </c>
      <c r="N21">
        <v>0</v>
      </c>
      <c r="O21" s="54"/>
      <c r="P21" s="54"/>
      <c r="Q21">
        <v>5</v>
      </c>
      <c r="R21">
        <v>14</v>
      </c>
      <c r="S21">
        <v>37</v>
      </c>
      <c r="T21">
        <v>20</v>
      </c>
      <c r="U21">
        <v>17</v>
      </c>
      <c r="V21">
        <v>1</v>
      </c>
      <c r="X21" t="s">
        <v>3681</v>
      </c>
      <c r="AA21">
        <v>0</v>
      </c>
      <c r="AB21">
        <v>0</v>
      </c>
      <c r="AC21">
        <v>0</v>
      </c>
      <c r="AD21">
        <v>0</v>
      </c>
      <c r="AE21">
        <v>0</v>
      </c>
      <c r="AF21">
        <v>0</v>
      </c>
      <c r="AG21">
        <v>0</v>
      </c>
      <c r="AJ21" s="54"/>
      <c r="AK21" s="54"/>
      <c r="AL21" s="54"/>
      <c r="AO21">
        <v>1</v>
      </c>
      <c r="AP21" t="s">
        <v>1383</v>
      </c>
      <c r="AR21">
        <v>1</v>
      </c>
      <c r="AS21" t="s">
        <v>1384</v>
      </c>
      <c r="AT21">
        <v>1</v>
      </c>
      <c r="AV21">
        <v>4</v>
      </c>
      <c r="AW21">
        <v>3</v>
      </c>
      <c r="AX21">
        <v>1</v>
      </c>
      <c r="AY21" t="s">
        <v>1389</v>
      </c>
      <c r="AZ21" t="s">
        <v>1389</v>
      </c>
      <c r="BA21">
        <v>5</v>
      </c>
      <c r="BD21">
        <v>1000000000</v>
      </c>
      <c r="BE21">
        <v>12</v>
      </c>
      <c r="BF21">
        <v>-2</v>
      </c>
      <c r="BG21">
        <v>0</v>
      </c>
      <c r="BH21">
        <v>0</v>
      </c>
      <c r="BI21">
        <v>0</v>
      </c>
      <c r="BJ21">
        <v>0</v>
      </c>
      <c r="BK21">
        <v>0</v>
      </c>
      <c r="BL21">
        <v>0</v>
      </c>
      <c r="BM21">
        <v>12</v>
      </c>
      <c r="BN21">
        <v>-2</v>
      </c>
      <c r="BR21">
        <v>0</v>
      </c>
      <c r="BS21">
        <v>2</v>
      </c>
      <c r="BX21">
        <v>0</v>
      </c>
      <c r="BY21">
        <v>177.52</v>
      </c>
      <c r="BZ21">
        <v>0</v>
      </c>
      <c r="CA21">
        <v>1.6</v>
      </c>
      <c r="CC21">
        <v>1</v>
      </c>
      <c r="CD21" s="54">
        <v>43038</v>
      </c>
      <c r="CE21" s="54"/>
      <c r="CF21" s="54">
        <v>43038</v>
      </c>
      <c r="CG21" s="54">
        <v>43297</v>
      </c>
      <c r="CH21" s="54">
        <v>42768</v>
      </c>
      <c r="CI21" s="54">
        <v>42852</v>
      </c>
      <c r="CJ21">
        <v>0</v>
      </c>
      <c r="CK21">
        <v>0</v>
      </c>
      <c r="CL21">
        <v>0</v>
      </c>
      <c r="CM21">
        <v>0</v>
      </c>
      <c r="CN21">
        <v>0</v>
      </c>
      <c r="CO21">
        <v>0</v>
      </c>
      <c r="CP21">
        <v>0.68</v>
      </c>
      <c r="CQ21" t="s">
        <v>1144</v>
      </c>
      <c r="CR21" t="s">
        <v>1143</v>
      </c>
      <c r="CS21" t="s">
        <v>3674</v>
      </c>
      <c r="CT21" t="s">
        <v>1403</v>
      </c>
      <c r="CU21" t="s">
        <v>3666</v>
      </c>
      <c r="CV21" t="s">
        <v>3726</v>
      </c>
      <c r="CW21" t="s">
        <v>3676</v>
      </c>
      <c r="CX21" t="s">
        <v>3669</v>
      </c>
      <c r="DC21" t="s">
        <v>3677</v>
      </c>
      <c r="DE21" t="s">
        <v>3670</v>
      </c>
      <c r="DG21" t="s">
        <v>3678</v>
      </c>
      <c r="DH21" s="54">
        <v>42887</v>
      </c>
      <c r="DI21" s="54">
        <v>42908</v>
      </c>
    </row>
    <row r="22" spans="1:113" x14ac:dyDescent="0.25">
      <c r="A22" t="s">
        <v>1021</v>
      </c>
      <c r="B22">
        <v>34</v>
      </c>
      <c r="C22" s="54">
        <v>43208</v>
      </c>
      <c r="D22" t="s">
        <v>1143</v>
      </c>
      <c r="E22" t="s">
        <v>2663</v>
      </c>
      <c r="G22" t="s">
        <v>3727</v>
      </c>
      <c r="H22" t="s">
        <v>1382</v>
      </c>
      <c r="I22" t="s">
        <v>1382</v>
      </c>
      <c r="J22" t="s">
        <v>1382</v>
      </c>
      <c r="K22" t="s">
        <v>1382</v>
      </c>
      <c r="L22">
        <v>24.74</v>
      </c>
      <c r="M22">
        <v>55.85</v>
      </c>
      <c r="N22">
        <v>0</v>
      </c>
      <c r="O22" s="54"/>
      <c r="P22" s="54"/>
      <c r="Q22">
        <v>5</v>
      </c>
      <c r="R22">
        <v>14</v>
      </c>
      <c r="S22">
        <v>37</v>
      </c>
      <c r="T22">
        <v>20</v>
      </c>
      <c r="U22">
        <v>17</v>
      </c>
      <c r="V22">
        <v>1</v>
      </c>
      <c r="X22" t="s">
        <v>3681</v>
      </c>
      <c r="Z22" t="s">
        <v>3693</v>
      </c>
      <c r="AA22">
        <v>0.21</v>
      </c>
      <c r="AB22">
        <v>12</v>
      </c>
      <c r="AC22">
        <v>5.95</v>
      </c>
      <c r="AD22">
        <v>10.71</v>
      </c>
      <c r="AE22">
        <v>1.19</v>
      </c>
      <c r="AF22">
        <v>0</v>
      </c>
      <c r="AG22">
        <v>0</v>
      </c>
      <c r="AJ22" s="54"/>
      <c r="AK22" s="54"/>
      <c r="AL22" s="54"/>
      <c r="AO22">
        <v>1</v>
      </c>
      <c r="AP22" t="s">
        <v>1383</v>
      </c>
      <c r="AR22">
        <v>1</v>
      </c>
      <c r="AS22" t="s">
        <v>1384</v>
      </c>
      <c r="AT22">
        <v>1</v>
      </c>
      <c r="AV22">
        <v>5</v>
      </c>
      <c r="AW22">
        <v>3</v>
      </c>
      <c r="AX22">
        <v>2</v>
      </c>
      <c r="AY22" t="s">
        <v>1389</v>
      </c>
      <c r="AZ22" t="s">
        <v>1389</v>
      </c>
      <c r="BA22">
        <v>10</v>
      </c>
      <c r="BD22">
        <v>1000000000</v>
      </c>
      <c r="BE22">
        <v>9</v>
      </c>
      <c r="BF22">
        <v>-0.8</v>
      </c>
      <c r="BG22">
        <v>0</v>
      </c>
      <c r="BH22">
        <v>0</v>
      </c>
      <c r="BI22">
        <v>0</v>
      </c>
      <c r="BJ22">
        <v>0</v>
      </c>
      <c r="BK22">
        <v>0</v>
      </c>
      <c r="BL22">
        <v>0</v>
      </c>
      <c r="BM22">
        <v>9</v>
      </c>
      <c r="BN22">
        <v>-0.8</v>
      </c>
      <c r="BR22">
        <v>0</v>
      </c>
      <c r="BS22">
        <v>2</v>
      </c>
      <c r="BX22">
        <v>0</v>
      </c>
      <c r="BY22">
        <v>98.96</v>
      </c>
      <c r="BZ22">
        <v>0</v>
      </c>
      <c r="CA22">
        <v>1.63</v>
      </c>
      <c r="CC22">
        <v>0</v>
      </c>
      <c r="CD22" s="54">
        <v>43038</v>
      </c>
      <c r="CE22" s="54"/>
      <c r="CF22" s="54">
        <v>43038</v>
      </c>
      <c r="CG22" s="54">
        <v>43297</v>
      </c>
      <c r="CH22" s="54">
        <v>43007</v>
      </c>
      <c r="CI22" s="54">
        <v>43122</v>
      </c>
      <c r="CJ22">
        <v>0.23</v>
      </c>
      <c r="CK22">
        <v>0</v>
      </c>
      <c r="CL22">
        <v>0</v>
      </c>
      <c r="CM22">
        <v>0</v>
      </c>
      <c r="CN22">
        <v>0</v>
      </c>
      <c r="CO22">
        <v>0</v>
      </c>
      <c r="CP22">
        <v>0.68</v>
      </c>
      <c r="CQ22" t="s">
        <v>1144</v>
      </c>
      <c r="CR22" t="s">
        <v>1143</v>
      </c>
      <c r="CS22" t="s">
        <v>3674</v>
      </c>
      <c r="CT22" t="s">
        <v>1403</v>
      </c>
      <c r="CU22" t="s">
        <v>3666</v>
      </c>
      <c r="CV22" t="s">
        <v>3728</v>
      </c>
      <c r="CW22" t="s">
        <v>3676</v>
      </c>
      <c r="CX22" t="s">
        <v>3669</v>
      </c>
      <c r="DC22" t="s">
        <v>3677</v>
      </c>
      <c r="DE22" t="s">
        <v>3670</v>
      </c>
      <c r="DG22" t="s">
        <v>1400</v>
      </c>
      <c r="DH22" s="54">
        <v>43126</v>
      </c>
      <c r="DI22" s="54">
        <v>43147</v>
      </c>
    </row>
    <row r="23" spans="1:113" x14ac:dyDescent="0.25">
      <c r="A23" t="s">
        <v>1021</v>
      </c>
      <c r="B23">
        <v>34</v>
      </c>
      <c r="C23" s="54">
        <v>43208</v>
      </c>
      <c r="D23" t="s">
        <v>1143</v>
      </c>
      <c r="E23" t="s">
        <v>1408</v>
      </c>
      <c r="G23" t="s">
        <v>3729</v>
      </c>
      <c r="H23" t="s">
        <v>1382</v>
      </c>
      <c r="I23" t="s">
        <v>1382</v>
      </c>
      <c r="J23" t="s">
        <v>1382</v>
      </c>
      <c r="K23" t="s">
        <v>1382</v>
      </c>
      <c r="L23">
        <v>11.05</v>
      </c>
      <c r="M23">
        <v>25</v>
      </c>
      <c r="N23">
        <v>0</v>
      </c>
      <c r="O23" s="54"/>
      <c r="P23" s="54"/>
      <c r="Q23">
        <v>5</v>
      </c>
      <c r="R23">
        <v>14</v>
      </c>
      <c r="S23">
        <v>37</v>
      </c>
      <c r="T23">
        <v>20</v>
      </c>
      <c r="U23">
        <v>17</v>
      </c>
      <c r="V23">
        <v>1</v>
      </c>
      <c r="W23" t="s">
        <v>1391</v>
      </c>
      <c r="X23" t="s">
        <v>3681</v>
      </c>
      <c r="AA23">
        <v>4.13</v>
      </c>
      <c r="AB23">
        <v>230</v>
      </c>
      <c r="AC23">
        <v>3.33</v>
      </c>
      <c r="AD23">
        <v>1.39</v>
      </c>
      <c r="AE23">
        <v>0.06</v>
      </c>
      <c r="AF23">
        <v>3</v>
      </c>
      <c r="AG23">
        <v>0</v>
      </c>
      <c r="AJ23" s="54"/>
      <c r="AK23" s="54"/>
      <c r="AL23" s="54"/>
      <c r="AO23">
        <v>1</v>
      </c>
      <c r="AP23" t="s">
        <v>1383</v>
      </c>
      <c r="AR23">
        <v>1</v>
      </c>
      <c r="AS23" t="s">
        <v>1384</v>
      </c>
      <c r="AT23">
        <v>1</v>
      </c>
      <c r="AV23">
        <v>55</v>
      </c>
      <c r="AW23">
        <v>37</v>
      </c>
      <c r="AX23">
        <v>18</v>
      </c>
      <c r="AY23" t="s">
        <v>838</v>
      </c>
      <c r="AZ23" t="s">
        <v>1401</v>
      </c>
      <c r="BA23">
        <v>60</v>
      </c>
      <c r="BD23">
        <v>1000000000</v>
      </c>
      <c r="BE23">
        <v>0</v>
      </c>
      <c r="BF23">
        <v>1</v>
      </c>
      <c r="BG23">
        <v>23</v>
      </c>
      <c r="BH23">
        <v>0</v>
      </c>
      <c r="BI23">
        <v>0</v>
      </c>
      <c r="BJ23">
        <v>0</v>
      </c>
      <c r="BK23">
        <v>0</v>
      </c>
      <c r="BL23">
        <v>0</v>
      </c>
      <c r="BM23">
        <v>23</v>
      </c>
      <c r="BN23">
        <v>0.57999999999999996</v>
      </c>
      <c r="BR23">
        <v>32</v>
      </c>
      <c r="BS23">
        <v>25</v>
      </c>
      <c r="BX23">
        <v>251.1</v>
      </c>
      <c r="BY23">
        <v>0</v>
      </c>
      <c r="BZ23">
        <v>0</v>
      </c>
      <c r="CA23">
        <v>1.64</v>
      </c>
      <c r="CC23">
        <v>1.1000000000000001</v>
      </c>
      <c r="CD23" s="54">
        <v>43038</v>
      </c>
      <c r="CE23" s="54"/>
      <c r="CF23" s="54">
        <v>43038</v>
      </c>
      <c r="CG23" s="54">
        <v>43297</v>
      </c>
      <c r="CH23" s="54">
        <v>43195</v>
      </c>
      <c r="CI23" s="54">
        <v>43195</v>
      </c>
      <c r="CJ23">
        <v>1.1399999999999999</v>
      </c>
      <c r="CK23">
        <v>0</v>
      </c>
      <c r="CL23">
        <v>0.11</v>
      </c>
      <c r="CM23">
        <v>0.33</v>
      </c>
      <c r="CN23">
        <v>0.23</v>
      </c>
      <c r="CO23">
        <v>0</v>
      </c>
      <c r="CP23">
        <v>0</v>
      </c>
      <c r="CQ23" t="s">
        <v>1144</v>
      </c>
      <c r="CR23" t="s">
        <v>1143</v>
      </c>
      <c r="CS23" t="s">
        <v>3674</v>
      </c>
      <c r="CT23" t="s">
        <v>1403</v>
      </c>
      <c r="CU23" t="s">
        <v>3666</v>
      </c>
      <c r="CV23" t="s">
        <v>3730</v>
      </c>
      <c r="CW23" t="s">
        <v>3676</v>
      </c>
      <c r="CX23" t="s">
        <v>3669</v>
      </c>
      <c r="DC23" t="s">
        <v>3677</v>
      </c>
      <c r="DE23" t="s">
        <v>3670</v>
      </c>
      <c r="DG23" t="s">
        <v>3678</v>
      </c>
      <c r="DH23" s="54">
        <v>43314</v>
      </c>
      <c r="DI23" s="54">
        <v>43335</v>
      </c>
    </row>
    <row r="24" spans="1:113" x14ac:dyDescent="0.25">
      <c r="A24" t="s">
        <v>1021</v>
      </c>
      <c r="B24">
        <v>34</v>
      </c>
      <c r="C24" s="54">
        <v>43208</v>
      </c>
      <c r="D24" t="s">
        <v>1143</v>
      </c>
      <c r="E24" t="s">
        <v>2666</v>
      </c>
      <c r="G24" t="s">
        <v>3731</v>
      </c>
      <c r="H24" t="s">
        <v>1382</v>
      </c>
      <c r="I24" t="s">
        <v>1382</v>
      </c>
      <c r="J24" t="s">
        <v>1382</v>
      </c>
      <c r="K24" t="s">
        <v>1382</v>
      </c>
      <c r="L24">
        <v>1.1499999999999999</v>
      </c>
      <c r="M24">
        <v>2.48</v>
      </c>
      <c r="N24">
        <v>0</v>
      </c>
      <c r="O24" s="54"/>
      <c r="P24" s="54"/>
      <c r="Q24">
        <v>5</v>
      </c>
      <c r="R24">
        <v>14</v>
      </c>
      <c r="S24">
        <v>37</v>
      </c>
      <c r="T24">
        <v>20</v>
      </c>
      <c r="U24">
        <v>17</v>
      </c>
      <c r="V24">
        <v>1</v>
      </c>
      <c r="W24" t="s">
        <v>1391</v>
      </c>
      <c r="X24" t="s">
        <v>3673</v>
      </c>
      <c r="AA24">
        <v>0.04</v>
      </c>
      <c r="AB24">
        <v>3</v>
      </c>
      <c r="AC24">
        <v>6.25</v>
      </c>
      <c r="AD24">
        <v>6.25</v>
      </c>
      <c r="AE24">
        <v>6.25</v>
      </c>
      <c r="AF24">
        <v>0</v>
      </c>
      <c r="AG24">
        <v>0</v>
      </c>
      <c r="AJ24" s="54"/>
      <c r="AK24" s="54"/>
      <c r="AL24" s="54"/>
      <c r="AO24">
        <v>1</v>
      </c>
      <c r="AP24" t="s">
        <v>1383</v>
      </c>
      <c r="AR24">
        <v>1</v>
      </c>
      <c r="AS24" t="s">
        <v>1384</v>
      </c>
      <c r="AT24">
        <v>1</v>
      </c>
      <c r="AV24">
        <v>1</v>
      </c>
      <c r="AW24">
        <v>1</v>
      </c>
      <c r="AX24">
        <v>0.5</v>
      </c>
      <c r="AY24" t="s">
        <v>1401</v>
      </c>
      <c r="AZ24" t="s">
        <v>1401</v>
      </c>
      <c r="BA24">
        <v>0</v>
      </c>
      <c r="BD24">
        <v>1000000000</v>
      </c>
      <c r="BE24">
        <v>1</v>
      </c>
      <c r="BF24">
        <v>0</v>
      </c>
      <c r="BG24">
        <v>0</v>
      </c>
      <c r="BH24">
        <v>0</v>
      </c>
      <c r="BI24">
        <v>0</v>
      </c>
      <c r="BJ24">
        <v>0</v>
      </c>
      <c r="BK24">
        <v>0</v>
      </c>
      <c r="BL24">
        <v>0</v>
      </c>
      <c r="BM24">
        <v>1</v>
      </c>
      <c r="BN24">
        <v>0</v>
      </c>
      <c r="BR24">
        <v>0</v>
      </c>
      <c r="BS24">
        <v>0</v>
      </c>
      <c r="BX24">
        <v>0</v>
      </c>
      <c r="BY24">
        <v>0</v>
      </c>
      <c r="BZ24">
        <v>0</v>
      </c>
      <c r="CA24">
        <v>1.5</v>
      </c>
      <c r="CC24">
        <v>0</v>
      </c>
      <c r="CD24" s="54">
        <v>42836</v>
      </c>
      <c r="CE24" s="54"/>
      <c r="CF24" s="54">
        <v>42949</v>
      </c>
      <c r="CG24" s="54">
        <v>43208</v>
      </c>
      <c r="CH24" s="54">
        <v>43007</v>
      </c>
      <c r="CI24" s="54">
        <v>43122</v>
      </c>
      <c r="CJ24">
        <v>3.13</v>
      </c>
      <c r="CK24">
        <v>0</v>
      </c>
      <c r="CL24">
        <v>0.55000000000000004</v>
      </c>
      <c r="CM24">
        <v>0</v>
      </c>
      <c r="CN24">
        <v>0.34</v>
      </c>
      <c r="CO24">
        <v>0</v>
      </c>
      <c r="CP24">
        <v>0.05</v>
      </c>
      <c r="CQ24" t="s">
        <v>1144</v>
      </c>
      <c r="CR24" t="s">
        <v>1143</v>
      </c>
      <c r="CS24" t="s">
        <v>3674</v>
      </c>
      <c r="CT24" t="s">
        <v>1403</v>
      </c>
      <c r="CU24" t="s">
        <v>3666</v>
      </c>
      <c r="CV24" t="s">
        <v>3732</v>
      </c>
      <c r="CW24" t="s">
        <v>3676</v>
      </c>
      <c r="CX24" t="s">
        <v>3669</v>
      </c>
      <c r="DC24" t="s">
        <v>3677</v>
      </c>
      <c r="DE24" t="s">
        <v>3670</v>
      </c>
      <c r="DG24" t="s">
        <v>1400</v>
      </c>
      <c r="DH24" s="54">
        <v>43126</v>
      </c>
      <c r="DI24" s="54">
        <v>43147</v>
      </c>
    </row>
    <row r="25" spans="1:113" x14ac:dyDescent="0.25">
      <c r="A25" t="s">
        <v>1021</v>
      </c>
      <c r="B25">
        <v>34</v>
      </c>
      <c r="C25" s="54">
        <v>43208</v>
      </c>
      <c r="D25" t="s">
        <v>1143</v>
      </c>
      <c r="E25" t="s">
        <v>2667</v>
      </c>
      <c r="G25" t="s">
        <v>3733</v>
      </c>
      <c r="H25" t="s">
        <v>1382</v>
      </c>
      <c r="I25" t="s">
        <v>1382</v>
      </c>
      <c r="J25" t="s">
        <v>1382</v>
      </c>
      <c r="K25" t="s">
        <v>1382</v>
      </c>
      <c r="L25">
        <v>23.96</v>
      </c>
      <c r="M25">
        <v>52.9</v>
      </c>
      <c r="N25">
        <v>0</v>
      </c>
      <c r="O25" s="54"/>
      <c r="P25" s="54"/>
      <c r="Q25">
        <v>5</v>
      </c>
      <c r="R25">
        <v>14</v>
      </c>
      <c r="S25">
        <v>37</v>
      </c>
      <c r="T25">
        <v>20</v>
      </c>
      <c r="U25">
        <v>17</v>
      </c>
      <c r="V25">
        <v>1</v>
      </c>
      <c r="W25" t="s">
        <v>1391</v>
      </c>
      <c r="X25" t="s">
        <v>3681</v>
      </c>
      <c r="Z25" t="s">
        <v>3693</v>
      </c>
      <c r="AA25">
        <v>0.13</v>
      </c>
      <c r="AB25">
        <v>8</v>
      </c>
      <c r="AC25">
        <v>3.85</v>
      </c>
      <c r="AD25">
        <v>3.85</v>
      </c>
      <c r="AE25">
        <v>1.92</v>
      </c>
      <c r="AF25">
        <v>0</v>
      </c>
      <c r="AG25">
        <v>0</v>
      </c>
      <c r="AJ25" s="54"/>
      <c r="AK25" s="54"/>
      <c r="AL25" s="54"/>
      <c r="AO25">
        <v>1</v>
      </c>
      <c r="AP25" t="s">
        <v>1383</v>
      </c>
      <c r="AR25">
        <v>1</v>
      </c>
      <c r="AS25" t="s">
        <v>1384</v>
      </c>
      <c r="AT25">
        <v>1</v>
      </c>
      <c r="AV25">
        <v>2</v>
      </c>
      <c r="AW25">
        <v>2</v>
      </c>
      <c r="AX25">
        <v>1</v>
      </c>
      <c r="AY25" t="s">
        <v>1401</v>
      </c>
      <c r="AZ25" t="s">
        <v>1401</v>
      </c>
      <c r="BA25">
        <v>3</v>
      </c>
      <c r="BD25">
        <v>1000000000</v>
      </c>
      <c r="BE25">
        <v>2</v>
      </c>
      <c r="BF25">
        <v>0</v>
      </c>
      <c r="BG25">
        <v>0</v>
      </c>
      <c r="BH25">
        <v>0</v>
      </c>
      <c r="BI25">
        <v>0</v>
      </c>
      <c r="BJ25">
        <v>0</v>
      </c>
      <c r="BK25">
        <v>0</v>
      </c>
      <c r="BL25">
        <v>0</v>
      </c>
      <c r="BM25">
        <v>2</v>
      </c>
      <c r="BN25">
        <v>0</v>
      </c>
      <c r="BR25">
        <v>0</v>
      </c>
      <c r="BS25">
        <v>1</v>
      </c>
      <c r="BX25">
        <v>0</v>
      </c>
      <c r="BY25">
        <v>0</v>
      </c>
      <c r="BZ25">
        <v>0</v>
      </c>
      <c r="CA25">
        <v>1.57</v>
      </c>
      <c r="CC25">
        <v>1</v>
      </c>
      <c r="CD25" s="54">
        <v>43038</v>
      </c>
      <c r="CE25" s="54"/>
      <c r="CF25" s="54">
        <v>43038</v>
      </c>
      <c r="CG25" s="54">
        <v>43297</v>
      </c>
      <c r="CH25" s="54">
        <v>43028</v>
      </c>
      <c r="CI25" s="54">
        <v>43122</v>
      </c>
      <c r="CJ25">
        <v>0.47</v>
      </c>
      <c r="CK25">
        <v>0</v>
      </c>
      <c r="CL25">
        <v>0</v>
      </c>
      <c r="CM25">
        <v>0.3</v>
      </c>
      <c r="CN25">
        <v>0.09</v>
      </c>
      <c r="CO25">
        <v>0</v>
      </c>
      <c r="CP25">
        <v>0.28000000000000003</v>
      </c>
      <c r="CQ25" t="s">
        <v>1144</v>
      </c>
      <c r="CR25" t="s">
        <v>1143</v>
      </c>
      <c r="CS25" t="s">
        <v>3674</v>
      </c>
      <c r="CT25" t="s">
        <v>1403</v>
      </c>
      <c r="CU25" t="s">
        <v>3666</v>
      </c>
      <c r="CV25" t="s">
        <v>3734</v>
      </c>
      <c r="CW25" t="s">
        <v>3676</v>
      </c>
      <c r="CX25" t="s">
        <v>3669</v>
      </c>
      <c r="DC25" t="s">
        <v>3677</v>
      </c>
      <c r="DE25" t="s">
        <v>3670</v>
      </c>
      <c r="DG25" t="s">
        <v>3678</v>
      </c>
      <c r="DH25" s="54">
        <v>43147</v>
      </c>
      <c r="DI25" s="54">
        <v>43168</v>
      </c>
    </row>
    <row r="26" spans="1:113" x14ac:dyDescent="0.25">
      <c r="A26" t="s">
        <v>1021</v>
      </c>
      <c r="B26">
        <v>34</v>
      </c>
      <c r="C26" s="54">
        <v>43208</v>
      </c>
      <c r="D26" t="s">
        <v>1143</v>
      </c>
      <c r="E26" t="s">
        <v>2668</v>
      </c>
      <c r="G26" t="s">
        <v>3735</v>
      </c>
      <c r="H26" t="s">
        <v>1382</v>
      </c>
      <c r="I26" t="s">
        <v>1382</v>
      </c>
      <c r="J26" t="s">
        <v>1382</v>
      </c>
      <c r="K26" t="s">
        <v>1382</v>
      </c>
      <c r="L26">
        <v>19.05</v>
      </c>
      <c r="M26">
        <v>26.45</v>
      </c>
      <c r="N26">
        <v>0</v>
      </c>
      <c r="O26" s="54"/>
      <c r="P26" s="54"/>
      <c r="Q26">
        <v>5</v>
      </c>
      <c r="R26">
        <v>14</v>
      </c>
      <c r="S26">
        <v>37</v>
      </c>
      <c r="T26">
        <v>20</v>
      </c>
      <c r="U26">
        <v>17</v>
      </c>
      <c r="V26">
        <v>1</v>
      </c>
      <c r="W26" t="s">
        <v>1391</v>
      </c>
      <c r="X26" t="s">
        <v>3681</v>
      </c>
      <c r="Z26" t="s">
        <v>3693</v>
      </c>
      <c r="AA26">
        <v>0.13</v>
      </c>
      <c r="AB26">
        <v>8</v>
      </c>
      <c r="AC26">
        <v>3.85</v>
      </c>
      <c r="AD26">
        <v>3.85</v>
      </c>
      <c r="AE26">
        <v>1.92</v>
      </c>
      <c r="AF26">
        <v>0</v>
      </c>
      <c r="AG26">
        <v>0</v>
      </c>
      <c r="AJ26" s="54"/>
      <c r="AK26" s="54"/>
      <c r="AL26" s="54"/>
      <c r="AO26">
        <v>1</v>
      </c>
      <c r="AP26" t="s">
        <v>1383</v>
      </c>
      <c r="AR26">
        <v>1</v>
      </c>
      <c r="AS26" t="s">
        <v>1384</v>
      </c>
      <c r="AT26">
        <v>1</v>
      </c>
      <c r="AV26">
        <v>2</v>
      </c>
      <c r="AW26">
        <v>2</v>
      </c>
      <c r="AX26">
        <v>1</v>
      </c>
      <c r="AY26" t="s">
        <v>1401</v>
      </c>
      <c r="AZ26" t="s">
        <v>1401</v>
      </c>
      <c r="BA26">
        <v>4</v>
      </c>
      <c r="BD26">
        <v>1000000000</v>
      </c>
      <c r="BE26">
        <v>2</v>
      </c>
      <c r="BF26">
        <v>0</v>
      </c>
      <c r="BG26">
        <v>0</v>
      </c>
      <c r="BH26">
        <v>0</v>
      </c>
      <c r="BI26">
        <v>0</v>
      </c>
      <c r="BJ26">
        <v>0</v>
      </c>
      <c r="BK26">
        <v>0</v>
      </c>
      <c r="BL26">
        <v>0</v>
      </c>
      <c r="BM26">
        <v>2</v>
      </c>
      <c r="BN26">
        <v>0</v>
      </c>
      <c r="BR26">
        <v>0</v>
      </c>
      <c r="BS26">
        <v>1</v>
      </c>
      <c r="BX26">
        <v>0</v>
      </c>
      <c r="BY26">
        <v>0</v>
      </c>
      <c r="BZ26">
        <v>0</v>
      </c>
      <c r="CA26">
        <v>0.5</v>
      </c>
      <c r="CC26">
        <v>0</v>
      </c>
      <c r="CD26" s="54">
        <v>43038</v>
      </c>
      <c r="CE26" s="54"/>
      <c r="CF26" s="54">
        <v>43038</v>
      </c>
      <c r="CG26" s="54">
        <v>43297</v>
      </c>
      <c r="CH26" s="54">
        <v>0</v>
      </c>
      <c r="CI26" s="54">
        <v>0</v>
      </c>
      <c r="CJ26">
        <v>0.32</v>
      </c>
      <c r="CK26">
        <v>0</v>
      </c>
      <c r="CL26">
        <v>0</v>
      </c>
      <c r="CM26">
        <v>0</v>
      </c>
      <c r="CN26">
        <v>0.56000000000000005</v>
      </c>
      <c r="CO26">
        <v>0</v>
      </c>
      <c r="CP26">
        <v>0.11</v>
      </c>
      <c r="CQ26" t="s">
        <v>1144</v>
      </c>
      <c r="CR26" t="s">
        <v>1143</v>
      </c>
      <c r="CS26" t="s">
        <v>3674</v>
      </c>
      <c r="CT26" t="s">
        <v>1403</v>
      </c>
      <c r="CU26" t="s">
        <v>3666</v>
      </c>
      <c r="CV26" t="s">
        <v>3736</v>
      </c>
      <c r="CW26" t="s">
        <v>3676</v>
      </c>
      <c r="CX26" t="s">
        <v>3669</v>
      </c>
      <c r="DC26" t="s">
        <v>3677</v>
      </c>
      <c r="DE26" t="s">
        <v>3670</v>
      </c>
      <c r="DG26" t="s">
        <v>1400</v>
      </c>
      <c r="DH26" s="54"/>
      <c r="DI26" s="54"/>
    </row>
    <row r="27" spans="1:113" x14ac:dyDescent="0.25">
      <c r="A27" t="s">
        <v>1021</v>
      </c>
      <c r="B27">
        <v>34</v>
      </c>
      <c r="C27" s="54">
        <v>43208</v>
      </c>
      <c r="D27" t="s">
        <v>1143</v>
      </c>
      <c r="E27" t="s">
        <v>2670</v>
      </c>
      <c r="G27" t="s">
        <v>3737</v>
      </c>
      <c r="H27" t="s">
        <v>1382</v>
      </c>
      <c r="I27" t="s">
        <v>1382</v>
      </c>
      <c r="J27" t="s">
        <v>1382</v>
      </c>
      <c r="K27" t="s">
        <v>1382</v>
      </c>
      <c r="L27">
        <v>3.89</v>
      </c>
      <c r="M27">
        <v>9</v>
      </c>
      <c r="N27">
        <v>0</v>
      </c>
      <c r="O27" s="54"/>
      <c r="P27" s="54"/>
      <c r="Q27">
        <v>5</v>
      </c>
      <c r="R27">
        <v>14</v>
      </c>
      <c r="S27">
        <v>37</v>
      </c>
      <c r="T27">
        <v>20</v>
      </c>
      <c r="U27">
        <v>17</v>
      </c>
      <c r="V27">
        <v>1</v>
      </c>
      <c r="W27" t="s">
        <v>1391</v>
      </c>
      <c r="X27" t="s">
        <v>3673</v>
      </c>
      <c r="AA27">
        <v>0.04</v>
      </c>
      <c r="AB27">
        <v>3</v>
      </c>
      <c r="AC27">
        <v>31.25</v>
      </c>
      <c r="AD27">
        <v>31.25</v>
      </c>
      <c r="AE27">
        <v>6.25</v>
      </c>
      <c r="AF27">
        <v>0</v>
      </c>
      <c r="AG27">
        <v>0</v>
      </c>
      <c r="AJ27" s="54"/>
      <c r="AK27" s="54"/>
      <c r="AL27" s="54"/>
      <c r="AO27">
        <v>1</v>
      </c>
      <c r="AP27" t="s">
        <v>1383</v>
      </c>
      <c r="AR27">
        <v>1</v>
      </c>
      <c r="AS27" t="s">
        <v>1384</v>
      </c>
      <c r="AT27">
        <v>1</v>
      </c>
      <c r="AV27">
        <v>5</v>
      </c>
      <c r="AW27">
        <v>3</v>
      </c>
      <c r="AX27">
        <v>2</v>
      </c>
      <c r="AY27" t="s">
        <v>1390</v>
      </c>
      <c r="AZ27" t="s">
        <v>1390</v>
      </c>
      <c r="BA27">
        <v>0</v>
      </c>
      <c r="BD27">
        <v>1000000000</v>
      </c>
      <c r="BE27">
        <v>5</v>
      </c>
      <c r="BF27">
        <v>0</v>
      </c>
      <c r="BG27">
        <v>0</v>
      </c>
      <c r="BH27">
        <v>0</v>
      </c>
      <c r="BI27">
        <v>0</v>
      </c>
      <c r="BJ27">
        <v>0</v>
      </c>
      <c r="BK27">
        <v>0</v>
      </c>
      <c r="BL27">
        <v>0</v>
      </c>
      <c r="BM27">
        <v>5</v>
      </c>
      <c r="BN27">
        <v>0</v>
      </c>
      <c r="BR27">
        <v>0</v>
      </c>
      <c r="BS27">
        <v>2</v>
      </c>
      <c r="BX27">
        <v>0</v>
      </c>
      <c r="BY27">
        <v>0</v>
      </c>
      <c r="BZ27">
        <v>0</v>
      </c>
      <c r="CA27">
        <v>1.7</v>
      </c>
      <c r="CC27">
        <v>0</v>
      </c>
      <c r="CD27" s="54">
        <v>42836</v>
      </c>
      <c r="CE27" s="54"/>
      <c r="CF27" s="54">
        <v>42949</v>
      </c>
      <c r="CG27" s="54">
        <v>43208</v>
      </c>
      <c r="CH27" s="54">
        <v>0</v>
      </c>
      <c r="CI27" s="54">
        <v>0</v>
      </c>
      <c r="CJ27">
        <v>0.15</v>
      </c>
      <c r="CK27">
        <v>0</v>
      </c>
      <c r="CL27">
        <v>0</v>
      </c>
      <c r="CM27">
        <v>0</v>
      </c>
      <c r="CN27">
        <v>0</v>
      </c>
      <c r="CO27">
        <v>0.08</v>
      </c>
      <c r="CP27">
        <v>0.85</v>
      </c>
      <c r="CQ27" t="s">
        <v>1144</v>
      </c>
      <c r="CR27" t="s">
        <v>1143</v>
      </c>
      <c r="CS27" t="s">
        <v>3674</v>
      </c>
      <c r="CT27" t="s">
        <v>1403</v>
      </c>
      <c r="CU27" t="s">
        <v>3666</v>
      </c>
      <c r="CV27" t="s">
        <v>3738</v>
      </c>
      <c r="CW27" t="s">
        <v>3676</v>
      </c>
      <c r="CX27" t="s">
        <v>3669</v>
      </c>
      <c r="DC27" t="s">
        <v>3677</v>
      </c>
      <c r="DE27" t="s">
        <v>3670</v>
      </c>
      <c r="DG27" t="s">
        <v>1400</v>
      </c>
      <c r="DH27" s="54"/>
      <c r="DI27" s="54"/>
    </row>
    <row r="28" spans="1:113" x14ac:dyDescent="0.25">
      <c r="A28" t="s">
        <v>1021</v>
      </c>
      <c r="B28">
        <v>34</v>
      </c>
      <c r="C28" s="54">
        <v>43208</v>
      </c>
      <c r="D28" t="s">
        <v>1143</v>
      </c>
      <c r="E28" t="s">
        <v>2671</v>
      </c>
      <c r="G28" t="s">
        <v>3739</v>
      </c>
      <c r="H28" t="s">
        <v>1382</v>
      </c>
      <c r="I28" t="s">
        <v>1382</v>
      </c>
      <c r="J28" t="s">
        <v>1382</v>
      </c>
      <c r="K28" t="s">
        <v>1382</v>
      </c>
      <c r="L28">
        <v>7.26</v>
      </c>
      <c r="M28">
        <v>15.5</v>
      </c>
      <c r="N28">
        <v>0</v>
      </c>
      <c r="O28" s="54"/>
      <c r="P28" s="54"/>
      <c r="Q28">
        <v>5</v>
      </c>
      <c r="R28">
        <v>14</v>
      </c>
      <c r="S28">
        <v>37</v>
      </c>
      <c r="T28">
        <v>20</v>
      </c>
      <c r="U28">
        <v>17</v>
      </c>
      <c r="V28">
        <v>1</v>
      </c>
      <c r="X28" t="s">
        <v>3681</v>
      </c>
      <c r="AA28">
        <v>0.08</v>
      </c>
      <c r="AB28">
        <v>5</v>
      </c>
      <c r="AC28">
        <v>12.5</v>
      </c>
      <c r="AD28">
        <v>15.63</v>
      </c>
      <c r="AE28">
        <v>3.13</v>
      </c>
      <c r="AF28">
        <v>0</v>
      </c>
      <c r="AG28">
        <v>0</v>
      </c>
      <c r="AJ28" s="54"/>
      <c r="AK28" s="54"/>
      <c r="AL28" s="54"/>
      <c r="AO28">
        <v>1</v>
      </c>
      <c r="AP28" t="s">
        <v>1383</v>
      </c>
      <c r="AR28">
        <v>1</v>
      </c>
      <c r="AS28" t="s">
        <v>1384</v>
      </c>
      <c r="AT28">
        <v>1</v>
      </c>
      <c r="AV28">
        <v>4</v>
      </c>
      <c r="AW28">
        <v>3</v>
      </c>
      <c r="AX28">
        <v>1</v>
      </c>
      <c r="AY28" t="s">
        <v>1389</v>
      </c>
      <c r="AZ28" t="s">
        <v>1389</v>
      </c>
      <c r="BA28">
        <v>5</v>
      </c>
      <c r="BD28">
        <v>1000000000</v>
      </c>
      <c r="BE28">
        <v>5</v>
      </c>
      <c r="BF28">
        <v>-0.25</v>
      </c>
      <c r="BG28">
        <v>0</v>
      </c>
      <c r="BH28">
        <v>0</v>
      </c>
      <c r="BI28">
        <v>0</v>
      </c>
      <c r="BJ28">
        <v>0</v>
      </c>
      <c r="BK28">
        <v>0</v>
      </c>
      <c r="BL28">
        <v>0</v>
      </c>
      <c r="BM28">
        <v>5</v>
      </c>
      <c r="BN28">
        <v>-0.25</v>
      </c>
      <c r="BR28">
        <v>0</v>
      </c>
      <c r="BS28">
        <v>2</v>
      </c>
      <c r="BX28">
        <v>0</v>
      </c>
      <c r="BY28">
        <v>7.26</v>
      </c>
      <c r="BZ28">
        <v>0</v>
      </c>
      <c r="CA28">
        <v>1.47</v>
      </c>
      <c r="CC28">
        <v>0</v>
      </c>
      <c r="CD28" s="54">
        <v>43038</v>
      </c>
      <c r="CE28" s="54"/>
      <c r="CF28" s="54">
        <v>43038</v>
      </c>
      <c r="CG28" s="54">
        <v>43297</v>
      </c>
      <c r="CH28" s="54">
        <v>0</v>
      </c>
      <c r="CI28" s="54">
        <v>0</v>
      </c>
      <c r="CJ28">
        <v>7.0000000000000007E-2</v>
      </c>
      <c r="CK28">
        <v>0</v>
      </c>
      <c r="CL28">
        <v>0</v>
      </c>
      <c r="CM28">
        <v>0</v>
      </c>
      <c r="CN28">
        <v>0</v>
      </c>
      <c r="CO28">
        <v>0</v>
      </c>
      <c r="CP28">
        <v>0.68</v>
      </c>
      <c r="CQ28" t="s">
        <v>1144</v>
      </c>
      <c r="CR28" t="s">
        <v>1143</v>
      </c>
      <c r="CS28" t="s">
        <v>3674</v>
      </c>
      <c r="CT28" t="s">
        <v>1403</v>
      </c>
      <c r="CU28" t="s">
        <v>3666</v>
      </c>
      <c r="CV28" t="s">
        <v>3740</v>
      </c>
      <c r="CW28" t="s">
        <v>3676</v>
      </c>
      <c r="CX28" t="s">
        <v>3669</v>
      </c>
      <c r="DC28" t="s">
        <v>3677</v>
      </c>
      <c r="DE28" t="s">
        <v>3670</v>
      </c>
      <c r="DG28" t="s">
        <v>1400</v>
      </c>
      <c r="DH28" s="54"/>
      <c r="DI28" s="54"/>
    </row>
    <row r="29" spans="1:113" x14ac:dyDescent="0.25">
      <c r="A29" t="s">
        <v>1021</v>
      </c>
      <c r="B29">
        <v>34</v>
      </c>
      <c r="C29" s="54">
        <v>43208</v>
      </c>
      <c r="D29" t="s">
        <v>1143</v>
      </c>
      <c r="E29" t="s">
        <v>2674</v>
      </c>
      <c r="G29" t="s">
        <v>3741</v>
      </c>
      <c r="H29" t="s">
        <v>1382</v>
      </c>
      <c r="I29" t="s">
        <v>1382</v>
      </c>
      <c r="J29" t="s">
        <v>1382</v>
      </c>
      <c r="K29" t="s">
        <v>1382</v>
      </c>
      <c r="L29">
        <v>5.55</v>
      </c>
      <c r="M29">
        <v>12.05</v>
      </c>
      <c r="N29">
        <v>0</v>
      </c>
      <c r="O29" s="54"/>
      <c r="P29" s="54"/>
      <c r="Q29">
        <v>5</v>
      </c>
      <c r="R29">
        <v>14</v>
      </c>
      <c r="S29">
        <v>37</v>
      </c>
      <c r="T29">
        <v>20</v>
      </c>
      <c r="U29">
        <v>17</v>
      </c>
      <c r="V29">
        <v>1</v>
      </c>
      <c r="X29" t="s">
        <v>3681</v>
      </c>
      <c r="Z29" t="s">
        <v>3693</v>
      </c>
      <c r="AA29">
        <v>0.38</v>
      </c>
      <c r="AB29">
        <v>22</v>
      </c>
      <c r="AC29">
        <v>5.26</v>
      </c>
      <c r="AD29">
        <v>7.24</v>
      </c>
      <c r="AE29">
        <v>0.66</v>
      </c>
      <c r="AF29">
        <v>0</v>
      </c>
      <c r="AG29">
        <v>0</v>
      </c>
      <c r="AJ29" s="54"/>
      <c r="AK29" s="54"/>
      <c r="AL29" s="54"/>
      <c r="AO29">
        <v>1</v>
      </c>
      <c r="AP29" t="s">
        <v>1383</v>
      </c>
      <c r="AR29">
        <v>1</v>
      </c>
      <c r="AS29" t="s">
        <v>1384</v>
      </c>
      <c r="AT29">
        <v>1</v>
      </c>
      <c r="AV29">
        <v>8</v>
      </c>
      <c r="AW29">
        <v>5</v>
      </c>
      <c r="AX29">
        <v>3</v>
      </c>
      <c r="AY29" t="s">
        <v>1389</v>
      </c>
      <c r="AZ29" t="s">
        <v>1389</v>
      </c>
      <c r="BA29">
        <v>10</v>
      </c>
      <c r="BD29">
        <v>1000000000</v>
      </c>
      <c r="BE29">
        <v>11</v>
      </c>
      <c r="BF29">
        <v>-0.38</v>
      </c>
      <c r="BG29">
        <v>0</v>
      </c>
      <c r="BH29">
        <v>0</v>
      </c>
      <c r="BI29">
        <v>0</v>
      </c>
      <c r="BJ29">
        <v>0</v>
      </c>
      <c r="BK29">
        <v>0</v>
      </c>
      <c r="BL29">
        <v>0</v>
      </c>
      <c r="BM29">
        <v>11</v>
      </c>
      <c r="BN29">
        <v>-0.38</v>
      </c>
      <c r="BR29">
        <v>0</v>
      </c>
      <c r="BS29">
        <v>4</v>
      </c>
      <c r="BX29">
        <v>0</v>
      </c>
      <c r="BY29">
        <v>16.649999999999999</v>
      </c>
      <c r="BZ29">
        <v>0</v>
      </c>
      <c r="CA29">
        <v>1.52</v>
      </c>
      <c r="CC29">
        <v>1</v>
      </c>
      <c r="CD29" s="54">
        <v>43038</v>
      </c>
      <c r="CE29" s="54"/>
      <c r="CF29" s="54">
        <v>43038</v>
      </c>
      <c r="CG29" s="54">
        <v>43297</v>
      </c>
      <c r="CH29" s="54">
        <v>42816</v>
      </c>
      <c r="CI29" s="54">
        <v>42900</v>
      </c>
      <c r="CJ29">
        <v>0.15</v>
      </c>
      <c r="CK29">
        <v>0</v>
      </c>
      <c r="CL29">
        <v>0</v>
      </c>
      <c r="CM29">
        <v>0</v>
      </c>
      <c r="CN29">
        <v>0</v>
      </c>
      <c r="CO29">
        <v>0</v>
      </c>
      <c r="CP29">
        <v>0.68</v>
      </c>
      <c r="CQ29" t="s">
        <v>1144</v>
      </c>
      <c r="CR29" t="s">
        <v>1143</v>
      </c>
      <c r="CS29" t="s">
        <v>3674</v>
      </c>
      <c r="CT29" t="s">
        <v>1403</v>
      </c>
      <c r="CU29" t="s">
        <v>3666</v>
      </c>
      <c r="CV29" t="s">
        <v>3742</v>
      </c>
      <c r="CW29" t="s">
        <v>3676</v>
      </c>
      <c r="CX29" t="s">
        <v>3669</v>
      </c>
      <c r="DC29" t="s">
        <v>3677</v>
      </c>
      <c r="DE29" t="s">
        <v>3670</v>
      </c>
      <c r="DG29" t="s">
        <v>3678</v>
      </c>
      <c r="DH29" s="54">
        <v>42935</v>
      </c>
      <c r="DI29" s="54">
        <v>42956</v>
      </c>
    </row>
    <row r="30" spans="1:113" x14ac:dyDescent="0.25">
      <c r="A30" t="s">
        <v>1021</v>
      </c>
      <c r="B30">
        <v>34</v>
      </c>
      <c r="C30" s="54">
        <v>43208</v>
      </c>
      <c r="D30" t="s">
        <v>1143</v>
      </c>
      <c r="E30" t="s">
        <v>3743</v>
      </c>
      <c r="G30" t="s">
        <v>3744</v>
      </c>
      <c r="H30" t="s">
        <v>1382</v>
      </c>
      <c r="I30" t="s">
        <v>1382</v>
      </c>
      <c r="J30" t="s">
        <v>1382</v>
      </c>
      <c r="K30" t="s">
        <v>1382</v>
      </c>
      <c r="L30">
        <v>1.01</v>
      </c>
      <c r="M30">
        <v>2.1</v>
      </c>
      <c r="N30">
        <v>0</v>
      </c>
      <c r="O30" s="54"/>
      <c r="P30" s="54"/>
      <c r="Q30">
        <v>5</v>
      </c>
      <c r="R30">
        <v>14</v>
      </c>
      <c r="S30">
        <v>37</v>
      </c>
      <c r="T30">
        <v>20</v>
      </c>
      <c r="U30">
        <v>17</v>
      </c>
      <c r="V30">
        <v>1</v>
      </c>
      <c r="X30" t="s">
        <v>3681</v>
      </c>
      <c r="AA30">
        <v>0</v>
      </c>
      <c r="AB30">
        <v>0</v>
      </c>
      <c r="AC30">
        <v>0</v>
      </c>
      <c r="AD30">
        <v>0</v>
      </c>
      <c r="AE30">
        <v>0</v>
      </c>
      <c r="AF30">
        <v>0</v>
      </c>
      <c r="AG30">
        <v>0</v>
      </c>
      <c r="AJ30" s="54"/>
      <c r="AK30" s="54"/>
      <c r="AL30" s="54"/>
      <c r="AO30">
        <v>1</v>
      </c>
      <c r="AP30" t="s">
        <v>1383</v>
      </c>
      <c r="AR30">
        <v>1</v>
      </c>
      <c r="AS30" t="s">
        <v>1384</v>
      </c>
      <c r="AT30">
        <v>1</v>
      </c>
      <c r="AV30">
        <v>1</v>
      </c>
      <c r="AW30">
        <v>1</v>
      </c>
      <c r="AX30">
        <v>0.5</v>
      </c>
      <c r="AY30" t="s">
        <v>1389</v>
      </c>
      <c r="AZ30" t="s">
        <v>1389</v>
      </c>
      <c r="BA30">
        <v>2</v>
      </c>
      <c r="BD30">
        <v>1000000000</v>
      </c>
      <c r="BE30">
        <v>3</v>
      </c>
      <c r="BF30">
        <v>-2</v>
      </c>
      <c r="BG30">
        <v>0</v>
      </c>
      <c r="BH30">
        <v>0</v>
      </c>
      <c r="BI30">
        <v>0</v>
      </c>
      <c r="BJ30">
        <v>0</v>
      </c>
      <c r="BK30">
        <v>0</v>
      </c>
      <c r="BL30">
        <v>0</v>
      </c>
      <c r="BM30">
        <v>3</v>
      </c>
      <c r="BN30">
        <v>-2</v>
      </c>
      <c r="BR30">
        <v>0</v>
      </c>
      <c r="BS30">
        <v>0</v>
      </c>
      <c r="BX30">
        <v>0</v>
      </c>
      <c r="BY30">
        <v>2.02</v>
      </c>
      <c r="BZ30">
        <v>0</v>
      </c>
      <c r="CA30">
        <v>1.4</v>
      </c>
      <c r="CC30">
        <v>0</v>
      </c>
      <c r="CD30" s="54">
        <v>43038</v>
      </c>
      <c r="CE30" s="54"/>
      <c r="CF30" s="54">
        <v>43038</v>
      </c>
      <c r="CG30" s="54">
        <v>43297</v>
      </c>
      <c r="CH30" s="54">
        <v>0</v>
      </c>
      <c r="CI30" s="54">
        <v>0</v>
      </c>
      <c r="CJ30">
        <v>0</v>
      </c>
      <c r="CK30">
        <v>0</v>
      </c>
      <c r="CL30">
        <v>0</v>
      </c>
      <c r="CM30">
        <v>0</v>
      </c>
      <c r="CN30">
        <v>0</v>
      </c>
      <c r="CO30">
        <v>0</v>
      </c>
      <c r="CP30">
        <v>0.68</v>
      </c>
      <c r="CQ30" t="s">
        <v>1144</v>
      </c>
      <c r="CR30" t="s">
        <v>1143</v>
      </c>
      <c r="CS30" t="s">
        <v>3674</v>
      </c>
      <c r="CT30" t="s">
        <v>1403</v>
      </c>
      <c r="CU30" t="s">
        <v>3666</v>
      </c>
      <c r="CV30" t="s">
        <v>3745</v>
      </c>
      <c r="CW30" t="s">
        <v>3676</v>
      </c>
      <c r="CX30" t="s">
        <v>3669</v>
      </c>
      <c r="DC30" t="s">
        <v>3677</v>
      </c>
      <c r="DE30" t="s">
        <v>3670</v>
      </c>
      <c r="DG30" t="s">
        <v>1400</v>
      </c>
      <c r="DH30" s="54"/>
      <c r="DI30" s="54"/>
    </row>
    <row r="31" spans="1:113" x14ac:dyDescent="0.25">
      <c r="A31" t="s">
        <v>1021</v>
      </c>
      <c r="B31">
        <v>34</v>
      </c>
      <c r="C31" s="54">
        <v>43208</v>
      </c>
      <c r="D31" t="s">
        <v>1143</v>
      </c>
      <c r="E31" t="s">
        <v>2675</v>
      </c>
      <c r="G31" t="s">
        <v>3746</v>
      </c>
      <c r="H31" t="s">
        <v>1382</v>
      </c>
      <c r="I31" t="s">
        <v>1382</v>
      </c>
      <c r="J31" t="s">
        <v>1382</v>
      </c>
      <c r="K31" t="s">
        <v>1382</v>
      </c>
      <c r="L31">
        <v>33.200000000000003</v>
      </c>
      <c r="M31">
        <v>71.5</v>
      </c>
      <c r="N31">
        <v>0</v>
      </c>
      <c r="O31" s="54"/>
      <c r="P31" s="54"/>
      <c r="Q31">
        <v>5</v>
      </c>
      <c r="R31">
        <v>14</v>
      </c>
      <c r="S31">
        <v>37</v>
      </c>
      <c r="T31">
        <v>20</v>
      </c>
      <c r="U31">
        <v>17</v>
      </c>
      <c r="V31">
        <v>1</v>
      </c>
      <c r="X31" t="s">
        <v>3673</v>
      </c>
      <c r="Z31" t="s">
        <v>3693</v>
      </c>
      <c r="AA31">
        <v>0.08</v>
      </c>
      <c r="AB31">
        <v>5</v>
      </c>
      <c r="AC31">
        <v>3.13</v>
      </c>
      <c r="AD31">
        <v>9.3800000000000008</v>
      </c>
      <c r="AE31">
        <v>3.13</v>
      </c>
      <c r="AF31">
        <v>0</v>
      </c>
      <c r="AG31">
        <v>0</v>
      </c>
      <c r="AJ31" s="54"/>
      <c r="AK31" s="54"/>
      <c r="AL31" s="54"/>
      <c r="AO31">
        <v>1</v>
      </c>
      <c r="AP31" t="s">
        <v>1383</v>
      </c>
      <c r="AR31">
        <v>1</v>
      </c>
      <c r="AS31" t="s">
        <v>1384</v>
      </c>
      <c r="AT31">
        <v>1</v>
      </c>
      <c r="AV31">
        <v>1</v>
      </c>
      <c r="AW31">
        <v>1</v>
      </c>
      <c r="AX31">
        <v>0.5</v>
      </c>
      <c r="AY31" t="s">
        <v>1389</v>
      </c>
      <c r="AZ31" t="s">
        <v>1389</v>
      </c>
      <c r="BA31">
        <v>0</v>
      </c>
      <c r="BD31">
        <v>1000000000</v>
      </c>
      <c r="BE31">
        <v>3</v>
      </c>
      <c r="BF31">
        <v>-2</v>
      </c>
      <c r="BG31">
        <v>0</v>
      </c>
      <c r="BH31">
        <v>0</v>
      </c>
      <c r="BI31">
        <v>0</v>
      </c>
      <c r="BJ31">
        <v>0</v>
      </c>
      <c r="BK31">
        <v>0</v>
      </c>
      <c r="BL31">
        <v>0</v>
      </c>
      <c r="BM31">
        <v>3</v>
      </c>
      <c r="BN31">
        <v>-2</v>
      </c>
      <c r="BR31">
        <v>0</v>
      </c>
      <c r="BS31">
        <v>0</v>
      </c>
      <c r="BX31">
        <v>0</v>
      </c>
      <c r="BY31">
        <v>66.400000000000006</v>
      </c>
      <c r="BZ31">
        <v>0</v>
      </c>
      <c r="CA31">
        <v>1.5</v>
      </c>
      <c r="CC31">
        <v>0</v>
      </c>
      <c r="CD31" s="54">
        <v>42836</v>
      </c>
      <c r="CE31" s="54"/>
      <c r="CF31" s="54">
        <v>42949</v>
      </c>
      <c r="CG31" s="54">
        <v>43208</v>
      </c>
      <c r="CH31" s="54">
        <v>0</v>
      </c>
      <c r="CI31" s="54">
        <v>0</v>
      </c>
      <c r="CJ31">
        <v>0.38</v>
      </c>
      <c r="CK31">
        <v>0</v>
      </c>
      <c r="CL31">
        <v>0</v>
      </c>
      <c r="CM31">
        <v>0</v>
      </c>
      <c r="CN31">
        <v>0.1</v>
      </c>
      <c r="CO31">
        <v>0</v>
      </c>
      <c r="CP31">
        <v>0.84</v>
      </c>
      <c r="CQ31" t="s">
        <v>1144</v>
      </c>
      <c r="CR31" t="s">
        <v>1143</v>
      </c>
      <c r="CS31" t="s">
        <v>3674</v>
      </c>
      <c r="CT31" t="s">
        <v>1403</v>
      </c>
      <c r="CU31" t="s">
        <v>3666</v>
      </c>
      <c r="CV31" t="s">
        <v>3747</v>
      </c>
      <c r="CW31" t="s">
        <v>3676</v>
      </c>
      <c r="CX31" t="s">
        <v>3669</v>
      </c>
      <c r="DC31" t="s">
        <v>3677</v>
      </c>
      <c r="DE31" t="s">
        <v>3670</v>
      </c>
      <c r="DG31" t="s">
        <v>1400</v>
      </c>
      <c r="DH31" s="54"/>
      <c r="DI31" s="54"/>
    </row>
    <row r="32" spans="1:113" x14ac:dyDescent="0.25">
      <c r="A32" t="s">
        <v>1021</v>
      </c>
      <c r="B32">
        <v>34</v>
      </c>
      <c r="C32" s="54">
        <v>43208</v>
      </c>
      <c r="D32" t="s">
        <v>1143</v>
      </c>
      <c r="E32" t="s">
        <v>2676</v>
      </c>
      <c r="G32" t="s">
        <v>3748</v>
      </c>
      <c r="H32" t="s">
        <v>1382</v>
      </c>
      <c r="I32" t="s">
        <v>1382</v>
      </c>
      <c r="J32" t="s">
        <v>1382</v>
      </c>
      <c r="K32" t="s">
        <v>1382</v>
      </c>
      <c r="L32">
        <v>6.35</v>
      </c>
      <c r="M32">
        <v>23.25</v>
      </c>
      <c r="N32">
        <v>0</v>
      </c>
      <c r="O32" s="54"/>
      <c r="P32" s="54"/>
      <c r="Q32">
        <v>5</v>
      </c>
      <c r="R32">
        <v>14</v>
      </c>
      <c r="S32">
        <v>37</v>
      </c>
      <c r="T32">
        <v>20</v>
      </c>
      <c r="U32">
        <v>17</v>
      </c>
      <c r="V32">
        <v>1</v>
      </c>
      <c r="X32" t="s">
        <v>3681</v>
      </c>
      <c r="AA32">
        <v>0.04</v>
      </c>
      <c r="AB32">
        <v>3</v>
      </c>
      <c r="AC32">
        <v>12.5</v>
      </c>
      <c r="AD32">
        <v>112.5</v>
      </c>
      <c r="AE32">
        <v>6.25</v>
      </c>
      <c r="AF32">
        <v>0</v>
      </c>
      <c r="AG32">
        <v>0</v>
      </c>
      <c r="AJ32" s="54"/>
      <c r="AK32" s="54"/>
      <c r="AL32" s="54"/>
      <c r="AO32">
        <v>1</v>
      </c>
      <c r="AP32" t="s">
        <v>1383</v>
      </c>
      <c r="AR32">
        <v>1</v>
      </c>
      <c r="AS32" t="s">
        <v>1384</v>
      </c>
      <c r="AT32">
        <v>1</v>
      </c>
      <c r="AV32">
        <v>2</v>
      </c>
      <c r="AW32">
        <v>2</v>
      </c>
      <c r="AX32">
        <v>1</v>
      </c>
      <c r="AY32" t="s">
        <v>1389</v>
      </c>
      <c r="AZ32" t="s">
        <v>1389</v>
      </c>
      <c r="BA32">
        <v>3</v>
      </c>
      <c r="BD32">
        <v>1000000000</v>
      </c>
      <c r="BE32">
        <v>18</v>
      </c>
      <c r="BF32">
        <v>-8</v>
      </c>
      <c r="BG32">
        <v>0</v>
      </c>
      <c r="BH32">
        <v>0</v>
      </c>
      <c r="BI32">
        <v>0</v>
      </c>
      <c r="BJ32">
        <v>0</v>
      </c>
      <c r="BK32">
        <v>0</v>
      </c>
      <c r="BL32">
        <v>0</v>
      </c>
      <c r="BM32">
        <v>18</v>
      </c>
      <c r="BN32">
        <v>-8</v>
      </c>
      <c r="BR32">
        <v>0</v>
      </c>
      <c r="BS32">
        <v>1</v>
      </c>
      <c r="BX32">
        <v>0</v>
      </c>
      <c r="BY32">
        <v>101.6</v>
      </c>
      <c r="BZ32">
        <v>0</v>
      </c>
      <c r="CA32">
        <v>3.45</v>
      </c>
      <c r="CC32">
        <v>0</v>
      </c>
      <c r="CD32" s="54">
        <v>43038</v>
      </c>
      <c r="CE32" s="54"/>
      <c r="CF32" s="54">
        <v>43038</v>
      </c>
      <c r="CG32" s="54">
        <v>43297</v>
      </c>
      <c r="CH32" s="54">
        <v>0</v>
      </c>
      <c r="CI32" s="54">
        <v>0</v>
      </c>
      <c r="CJ32">
        <v>0.02</v>
      </c>
      <c r="CK32">
        <v>0</v>
      </c>
      <c r="CL32">
        <v>0</v>
      </c>
      <c r="CM32">
        <v>0</v>
      </c>
      <c r="CN32">
        <v>0</v>
      </c>
      <c r="CO32">
        <v>0</v>
      </c>
      <c r="CP32">
        <v>0.68</v>
      </c>
      <c r="CQ32" t="s">
        <v>1144</v>
      </c>
      <c r="CR32" t="s">
        <v>1143</v>
      </c>
      <c r="CS32" t="s">
        <v>3674</v>
      </c>
      <c r="CT32" t="s">
        <v>1403</v>
      </c>
      <c r="CU32" t="s">
        <v>3666</v>
      </c>
      <c r="CV32" t="s">
        <v>3749</v>
      </c>
      <c r="CW32" t="s">
        <v>3676</v>
      </c>
      <c r="CX32" t="s">
        <v>3669</v>
      </c>
      <c r="DC32" t="s">
        <v>3677</v>
      </c>
      <c r="DE32" t="s">
        <v>3670</v>
      </c>
      <c r="DG32" t="s">
        <v>1400</v>
      </c>
      <c r="DH32" s="54"/>
      <c r="DI32" s="54"/>
    </row>
    <row r="33" spans="1:113" x14ac:dyDescent="0.25">
      <c r="A33" t="s">
        <v>1021</v>
      </c>
      <c r="B33">
        <v>34</v>
      </c>
      <c r="C33" s="54">
        <v>43208</v>
      </c>
      <c r="D33" t="s">
        <v>1143</v>
      </c>
      <c r="E33" t="s">
        <v>2677</v>
      </c>
      <c r="G33" t="s">
        <v>3750</v>
      </c>
      <c r="H33" t="s">
        <v>1382</v>
      </c>
      <c r="I33" t="s">
        <v>1382</v>
      </c>
      <c r="J33" t="s">
        <v>1382</v>
      </c>
      <c r="K33" t="s">
        <v>1382</v>
      </c>
      <c r="L33">
        <v>31.94</v>
      </c>
      <c r="M33">
        <v>69.55</v>
      </c>
      <c r="N33">
        <v>0</v>
      </c>
      <c r="O33" s="54"/>
      <c r="P33" s="54"/>
      <c r="Q33">
        <v>5</v>
      </c>
      <c r="R33">
        <v>14</v>
      </c>
      <c r="S33">
        <v>37</v>
      </c>
      <c r="T33">
        <v>20</v>
      </c>
      <c r="U33">
        <v>17</v>
      </c>
      <c r="V33">
        <v>1</v>
      </c>
      <c r="W33" t="s">
        <v>1391</v>
      </c>
      <c r="X33" t="s">
        <v>3673</v>
      </c>
      <c r="AA33">
        <v>0.04</v>
      </c>
      <c r="AB33">
        <v>3</v>
      </c>
      <c r="AC33">
        <v>6.25</v>
      </c>
      <c r="AD33">
        <v>6.25</v>
      </c>
      <c r="AE33">
        <v>6.25</v>
      </c>
      <c r="AF33">
        <v>21</v>
      </c>
      <c r="AG33">
        <v>0</v>
      </c>
      <c r="AJ33" s="54"/>
      <c r="AK33" s="54"/>
      <c r="AL33" s="54"/>
      <c r="AO33">
        <v>1</v>
      </c>
      <c r="AP33" t="s">
        <v>1383</v>
      </c>
      <c r="AR33">
        <v>1</v>
      </c>
      <c r="AS33" t="s">
        <v>1384</v>
      </c>
      <c r="AT33">
        <v>1</v>
      </c>
      <c r="AV33">
        <v>1</v>
      </c>
      <c r="AW33">
        <v>1</v>
      </c>
      <c r="AX33">
        <v>0.5</v>
      </c>
      <c r="AY33" t="s">
        <v>838</v>
      </c>
      <c r="AZ33" t="s">
        <v>1401</v>
      </c>
      <c r="BA33">
        <v>0</v>
      </c>
      <c r="BD33">
        <v>1000000000</v>
      </c>
      <c r="BE33">
        <v>0</v>
      </c>
      <c r="BF33">
        <v>1</v>
      </c>
      <c r="BG33">
        <v>1</v>
      </c>
      <c r="BH33">
        <v>0</v>
      </c>
      <c r="BI33">
        <v>0</v>
      </c>
      <c r="BJ33">
        <v>0</v>
      </c>
      <c r="BK33">
        <v>0</v>
      </c>
      <c r="BL33">
        <v>0</v>
      </c>
      <c r="BM33">
        <v>1</v>
      </c>
      <c r="BN33">
        <v>0</v>
      </c>
      <c r="BR33">
        <v>0</v>
      </c>
      <c r="BS33">
        <v>0</v>
      </c>
      <c r="BX33">
        <v>18.809999999999999</v>
      </c>
      <c r="BY33">
        <v>0</v>
      </c>
      <c r="BZ33">
        <v>0</v>
      </c>
      <c r="CA33">
        <v>1.53</v>
      </c>
      <c r="CC33">
        <v>0</v>
      </c>
      <c r="CD33" s="54">
        <v>42836</v>
      </c>
      <c r="CE33" s="54"/>
      <c r="CF33" s="54">
        <v>42949</v>
      </c>
      <c r="CG33" s="54">
        <v>43208</v>
      </c>
      <c r="CH33" s="54">
        <v>43195</v>
      </c>
      <c r="CI33" s="54">
        <v>43195</v>
      </c>
      <c r="CJ33">
        <v>0.86</v>
      </c>
      <c r="CK33">
        <v>0</v>
      </c>
      <c r="CL33">
        <v>0.39</v>
      </c>
      <c r="CM33">
        <v>0</v>
      </c>
      <c r="CN33">
        <v>0.54</v>
      </c>
      <c r="CO33">
        <v>0</v>
      </c>
      <c r="CP33">
        <v>0</v>
      </c>
      <c r="CQ33" t="s">
        <v>1144</v>
      </c>
      <c r="CR33" t="s">
        <v>1143</v>
      </c>
      <c r="CS33" t="s">
        <v>3674</v>
      </c>
      <c r="CT33" t="s">
        <v>1403</v>
      </c>
      <c r="CU33" t="s">
        <v>3666</v>
      </c>
      <c r="CV33" t="s">
        <v>3751</v>
      </c>
      <c r="CW33" t="s">
        <v>3676</v>
      </c>
      <c r="CX33" t="s">
        <v>3669</v>
      </c>
      <c r="DC33" t="s">
        <v>3677</v>
      </c>
      <c r="DE33" t="s">
        <v>3670</v>
      </c>
      <c r="DG33" t="s">
        <v>1400</v>
      </c>
      <c r="DH33" s="54">
        <v>43314</v>
      </c>
      <c r="DI33" s="54">
        <v>43335</v>
      </c>
    </row>
    <row r="34" spans="1:113" x14ac:dyDescent="0.25">
      <c r="A34" t="s">
        <v>1021</v>
      </c>
      <c r="B34">
        <v>34</v>
      </c>
      <c r="C34" s="54">
        <v>43208</v>
      </c>
      <c r="D34" t="s">
        <v>1143</v>
      </c>
      <c r="E34" t="s">
        <v>2678</v>
      </c>
      <c r="G34" t="s">
        <v>3752</v>
      </c>
      <c r="H34" t="s">
        <v>1382</v>
      </c>
      <c r="I34" t="s">
        <v>1382</v>
      </c>
      <c r="J34" t="s">
        <v>1382</v>
      </c>
      <c r="K34" t="s">
        <v>1382</v>
      </c>
      <c r="L34">
        <v>13.22</v>
      </c>
      <c r="M34">
        <v>30</v>
      </c>
      <c r="N34">
        <v>0</v>
      </c>
      <c r="O34" s="54"/>
      <c r="P34" s="54"/>
      <c r="Q34">
        <v>5</v>
      </c>
      <c r="R34">
        <v>14</v>
      </c>
      <c r="S34">
        <v>37</v>
      </c>
      <c r="T34">
        <v>20</v>
      </c>
      <c r="U34">
        <v>17</v>
      </c>
      <c r="V34">
        <v>1</v>
      </c>
      <c r="W34" t="s">
        <v>1391</v>
      </c>
      <c r="X34" t="s">
        <v>3673</v>
      </c>
      <c r="AA34">
        <v>0.08</v>
      </c>
      <c r="AB34">
        <v>5</v>
      </c>
      <c r="AC34">
        <v>9.3800000000000008</v>
      </c>
      <c r="AD34">
        <v>9.3800000000000008</v>
      </c>
      <c r="AE34">
        <v>3.13</v>
      </c>
      <c r="AF34">
        <v>21</v>
      </c>
      <c r="AG34">
        <v>0</v>
      </c>
      <c r="AJ34" s="54"/>
      <c r="AK34" s="54"/>
      <c r="AL34" s="54"/>
      <c r="AO34">
        <v>1</v>
      </c>
      <c r="AP34" t="s">
        <v>1383</v>
      </c>
      <c r="AR34">
        <v>1</v>
      </c>
      <c r="AS34" t="s">
        <v>1384</v>
      </c>
      <c r="AT34">
        <v>1</v>
      </c>
      <c r="AV34">
        <v>3</v>
      </c>
      <c r="AW34">
        <v>2</v>
      </c>
      <c r="AX34">
        <v>1</v>
      </c>
      <c r="AY34" t="s">
        <v>838</v>
      </c>
      <c r="AZ34" t="s">
        <v>1390</v>
      </c>
      <c r="BA34">
        <v>0</v>
      </c>
      <c r="BD34">
        <v>1000000000</v>
      </c>
      <c r="BE34">
        <v>0</v>
      </c>
      <c r="BF34">
        <v>1</v>
      </c>
      <c r="BG34">
        <v>3</v>
      </c>
      <c r="BH34">
        <v>0</v>
      </c>
      <c r="BI34">
        <v>0</v>
      </c>
      <c r="BJ34">
        <v>0</v>
      </c>
      <c r="BK34">
        <v>0</v>
      </c>
      <c r="BL34">
        <v>0</v>
      </c>
      <c r="BM34">
        <v>3</v>
      </c>
      <c r="BN34">
        <v>0</v>
      </c>
      <c r="BR34">
        <v>0</v>
      </c>
      <c r="BS34">
        <v>1</v>
      </c>
      <c r="BX34">
        <v>16.78</v>
      </c>
      <c r="BY34">
        <v>0</v>
      </c>
      <c r="BZ34">
        <v>0</v>
      </c>
      <c r="CA34">
        <v>1.65</v>
      </c>
      <c r="CC34">
        <v>0</v>
      </c>
      <c r="CD34" s="54">
        <v>42836</v>
      </c>
      <c r="CE34" s="54"/>
      <c r="CF34" s="54">
        <v>42949</v>
      </c>
      <c r="CG34" s="54">
        <v>43208</v>
      </c>
      <c r="CH34" s="54">
        <v>43195</v>
      </c>
      <c r="CI34" s="54">
        <v>43195</v>
      </c>
      <c r="CJ34">
        <v>2.0699999999999998</v>
      </c>
      <c r="CK34">
        <v>0</v>
      </c>
      <c r="CL34">
        <v>0.75</v>
      </c>
      <c r="CM34">
        <v>0</v>
      </c>
      <c r="CN34">
        <v>0.16</v>
      </c>
      <c r="CO34">
        <v>0.03</v>
      </c>
      <c r="CP34">
        <v>0</v>
      </c>
      <c r="CQ34" t="s">
        <v>1144</v>
      </c>
      <c r="CR34" t="s">
        <v>1143</v>
      </c>
      <c r="CS34" t="s">
        <v>3674</v>
      </c>
      <c r="CT34" t="s">
        <v>1403</v>
      </c>
      <c r="CU34" t="s">
        <v>3666</v>
      </c>
      <c r="CV34" t="s">
        <v>3753</v>
      </c>
      <c r="CW34" t="s">
        <v>3676</v>
      </c>
      <c r="CX34" t="s">
        <v>3669</v>
      </c>
      <c r="DC34" t="s">
        <v>3677</v>
      </c>
      <c r="DE34" t="s">
        <v>3670</v>
      </c>
      <c r="DG34" t="s">
        <v>1400</v>
      </c>
      <c r="DH34" s="54">
        <v>43314</v>
      </c>
      <c r="DI34" s="54">
        <v>43335</v>
      </c>
    </row>
    <row r="35" spans="1:113" x14ac:dyDescent="0.25">
      <c r="A35" t="s">
        <v>1021</v>
      </c>
      <c r="B35">
        <v>34</v>
      </c>
      <c r="C35" s="54">
        <v>43208</v>
      </c>
      <c r="D35" t="s">
        <v>1143</v>
      </c>
      <c r="E35" t="s">
        <v>1409</v>
      </c>
      <c r="G35" t="s">
        <v>3754</v>
      </c>
      <c r="H35" t="s">
        <v>1382</v>
      </c>
      <c r="I35" t="s">
        <v>1382</v>
      </c>
      <c r="J35" t="s">
        <v>1382</v>
      </c>
      <c r="K35" t="s">
        <v>1382</v>
      </c>
      <c r="L35">
        <v>31.01</v>
      </c>
      <c r="M35">
        <v>70</v>
      </c>
      <c r="N35">
        <v>0</v>
      </c>
      <c r="O35" s="54"/>
      <c r="P35" s="54"/>
      <c r="Q35">
        <v>5</v>
      </c>
      <c r="R35">
        <v>14</v>
      </c>
      <c r="S35">
        <v>37</v>
      </c>
      <c r="T35">
        <v>20</v>
      </c>
      <c r="U35">
        <v>17</v>
      </c>
      <c r="V35">
        <v>1</v>
      </c>
      <c r="W35" t="s">
        <v>1391</v>
      </c>
      <c r="X35" t="s">
        <v>3681</v>
      </c>
      <c r="Z35" t="s">
        <v>3693</v>
      </c>
      <c r="AA35">
        <v>0.21</v>
      </c>
      <c r="AB35">
        <v>12</v>
      </c>
      <c r="AC35">
        <v>5.95</v>
      </c>
      <c r="AD35">
        <v>4.76</v>
      </c>
      <c r="AE35">
        <v>1.19</v>
      </c>
      <c r="AF35">
        <v>0</v>
      </c>
      <c r="AG35">
        <v>0</v>
      </c>
      <c r="AJ35" s="54"/>
      <c r="AK35" s="54"/>
      <c r="AL35" s="54"/>
      <c r="AO35">
        <v>1</v>
      </c>
      <c r="AP35" t="s">
        <v>1383</v>
      </c>
      <c r="AR35">
        <v>1</v>
      </c>
      <c r="AS35" t="s">
        <v>1384</v>
      </c>
      <c r="AT35">
        <v>1</v>
      </c>
      <c r="AV35">
        <v>5</v>
      </c>
      <c r="AW35">
        <v>3</v>
      </c>
      <c r="AX35">
        <v>2</v>
      </c>
      <c r="AY35" t="s">
        <v>1390</v>
      </c>
      <c r="AZ35" t="s">
        <v>1390</v>
      </c>
      <c r="BA35">
        <v>7</v>
      </c>
      <c r="BD35">
        <v>1000000000</v>
      </c>
      <c r="BE35">
        <v>4</v>
      </c>
      <c r="BF35">
        <v>0.2</v>
      </c>
      <c r="BG35">
        <v>0</v>
      </c>
      <c r="BH35">
        <v>0</v>
      </c>
      <c r="BI35">
        <v>0</v>
      </c>
      <c r="BJ35">
        <v>0</v>
      </c>
      <c r="BK35">
        <v>0</v>
      </c>
      <c r="BL35">
        <v>0</v>
      </c>
      <c r="BM35">
        <v>4</v>
      </c>
      <c r="BN35">
        <v>0.2</v>
      </c>
      <c r="BR35">
        <v>1</v>
      </c>
      <c r="BS35">
        <v>2</v>
      </c>
      <c r="BX35">
        <v>0</v>
      </c>
      <c r="BY35">
        <v>0</v>
      </c>
      <c r="BZ35">
        <v>0</v>
      </c>
      <c r="CA35">
        <v>1.63</v>
      </c>
      <c r="CC35">
        <v>1</v>
      </c>
      <c r="CD35" s="54">
        <v>43038</v>
      </c>
      <c r="CE35" s="54"/>
      <c r="CF35" s="54">
        <v>43038</v>
      </c>
      <c r="CG35" s="54">
        <v>43297</v>
      </c>
      <c r="CH35" s="54">
        <v>43028</v>
      </c>
      <c r="CI35" s="54">
        <v>43122</v>
      </c>
      <c r="CJ35">
        <v>0.28999999999999998</v>
      </c>
      <c r="CK35">
        <v>0</v>
      </c>
      <c r="CL35">
        <v>0</v>
      </c>
      <c r="CM35">
        <v>0</v>
      </c>
      <c r="CN35">
        <v>0.3</v>
      </c>
      <c r="CO35">
        <v>0.2</v>
      </c>
      <c r="CP35">
        <v>0.17</v>
      </c>
      <c r="CQ35" t="s">
        <v>1144</v>
      </c>
      <c r="CR35" t="s">
        <v>1143</v>
      </c>
      <c r="CS35" t="s">
        <v>3674</v>
      </c>
      <c r="CT35" t="s">
        <v>1403</v>
      </c>
      <c r="CU35" t="s">
        <v>3666</v>
      </c>
      <c r="CV35" t="s">
        <v>3755</v>
      </c>
      <c r="CW35" t="s">
        <v>3676</v>
      </c>
      <c r="CX35" t="s">
        <v>3669</v>
      </c>
      <c r="DC35" t="s">
        <v>3677</v>
      </c>
      <c r="DE35" t="s">
        <v>3670</v>
      </c>
      <c r="DG35" t="s">
        <v>3716</v>
      </c>
      <c r="DH35" s="54">
        <v>43147</v>
      </c>
      <c r="DI35" s="54">
        <v>43168</v>
      </c>
    </row>
    <row r="36" spans="1:113" x14ac:dyDescent="0.25">
      <c r="A36" t="s">
        <v>1021</v>
      </c>
      <c r="B36">
        <v>34</v>
      </c>
      <c r="C36" s="54">
        <v>43208</v>
      </c>
      <c r="D36" t="s">
        <v>1143</v>
      </c>
      <c r="E36" t="s">
        <v>2681</v>
      </c>
      <c r="G36" t="s">
        <v>3756</v>
      </c>
      <c r="H36" t="s">
        <v>1382</v>
      </c>
      <c r="I36" t="s">
        <v>1382</v>
      </c>
      <c r="J36" t="s">
        <v>1382</v>
      </c>
      <c r="K36" t="s">
        <v>1382</v>
      </c>
      <c r="L36">
        <v>2.0699999999999998</v>
      </c>
      <c r="M36">
        <v>4.1500000000000004</v>
      </c>
      <c r="N36">
        <v>0</v>
      </c>
      <c r="O36" s="54"/>
      <c r="P36" s="54"/>
      <c r="Q36">
        <v>5</v>
      </c>
      <c r="R36">
        <v>14</v>
      </c>
      <c r="S36">
        <v>37</v>
      </c>
      <c r="T36">
        <v>20</v>
      </c>
      <c r="U36">
        <v>17</v>
      </c>
      <c r="V36">
        <v>1</v>
      </c>
      <c r="X36" t="s">
        <v>3681</v>
      </c>
      <c r="AA36">
        <v>0.04</v>
      </c>
      <c r="AB36">
        <v>3</v>
      </c>
      <c r="AC36">
        <v>0</v>
      </c>
      <c r="AD36">
        <v>0</v>
      </c>
      <c r="AE36">
        <v>6.25</v>
      </c>
      <c r="AF36">
        <v>0</v>
      </c>
      <c r="AG36">
        <v>0</v>
      </c>
      <c r="AJ36" s="54"/>
      <c r="AK36" s="54"/>
      <c r="AL36" s="54"/>
      <c r="AO36">
        <v>1</v>
      </c>
      <c r="AP36" t="s">
        <v>1383</v>
      </c>
      <c r="AR36">
        <v>1</v>
      </c>
      <c r="AS36" t="s">
        <v>1384</v>
      </c>
      <c r="AT36">
        <v>1</v>
      </c>
      <c r="AV36">
        <v>0</v>
      </c>
      <c r="AW36">
        <v>0</v>
      </c>
      <c r="AX36">
        <v>0</v>
      </c>
      <c r="AY36" t="s">
        <v>1385</v>
      </c>
      <c r="AZ36" t="s">
        <v>1385</v>
      </c>
      <c r="BA36">
        <v>1</v>
      </c>
      <c r="BD36">
        <v>1000000000</v>
      </c>
      <c r="BE36">
        <v>0</v>
      </c>
      <c r="BF36">
        <v>0</v>
      </c>
      <c r="BG36">
        <v>0</v>
      </c>
      <c r="BH36">
        <v>0</v>
      </c>
      <c r="BI36">
        <v>0</v>
      </c>
      <c r="BJ36">
        <v>0</v>
      </c>
      <c r="BK36">
        <v>0</v>
      </c>
      <c r="BL36">
        <v>0</v>
      </c>
      <c r="BM36">
        <v>0</v>
      </c>
      <c r="BN36">
        <v>0</v>
      </c>
      <c r="BR36">
        <v>0</v>
      </c>
      <c r="BS36">
        <v>0</v>
      </c>
      <c r="BX36">
        <v>0</v>
      </c>
      <c r="BY36">
        <v>0</v>
      </c>
      <c r="BZ36">
        <v>0</v>
      </c>
      <c r="CA36">
        <v>0</v>
      </c>
      <c r="CC36">
        <v>0</v>
      </c>
      <c r="CD36" s="54">
        <v>43038</v>
      </c>
      <c r="CE36" s="54"/>
      <c r="CF36" s="54">
        <v>43038</v>
      </c>
      <c r="CG36" s="54">
        <v>43297</v>
      </c>
      <c r="CH36" s="54">
        <v>0</v>
      </c>
      <c r="CI36" s="54">
        <v>0</v>
      </c>
      <c r="CJ36">
        <v>0.19</v>
      </c>
      <c r="CK36">
        <v>0</v>
      </c>
      <c r="CL36">
        <v>0.02</v>
      </c>
      <c r="CM36">
        <v>0</v>
      </c>
      <c r="CN36">
        <v>0</v>
      </c>
      <c r="CO36">
        <v>0</v>
      </c>
      <c r="CP36">
        <v>0.65</v>
      </c>
      <c r="CQ36" t="s">
        <v>1144</v>
      </c>
      <c r="CR36" t="s">
        <v>1143</v>
      </c>
      <c r="CS36" t="s">
        <v>3674</v>
      </c>
      <c r="CT36" t="s">
        <v>1403</v>
      </c>
      <c r="CU36" t="s">
        <v>3666</v>
      </c>
      <c r="CV36" t="s">
        <v>3757</v>
      </c>
      <c r="CW36" t="s">
        <v>3676</v>
      </c>
      <c r="CX36" t="s">
        <v>3669</v>
      </c>
      <c r="DC36" t="s">
        <v>3677</v>
      </c>
      <c r="DE36" t="s">
        <v>3670</v>
      </c>
      <c r="DH36" s="54"/>
      <c r="DI36" s="54"/>
    </row>
    <row r="37" spans="1:113" x14ac:dyDescent="0.25">
      <c r="A37" t="s">
        <v>1021</v>
      </c>
      <c r="B37">
        <v>34</v>
      </c>
      <c r="C37" s="54">
        <v>43208</v>
      </c>
      <c r="D37" t="s">
        <v>1143</v>
      </c>
      <c r="E37" t="s">
        <v>1410</v>
      </c>
      <c r="G37" t="s">
        <v>3758</v>
      </c>
      <c r="H37" t="s">
        <v>1382</v>
      </c>
      <c r="I37" t="s">
        <v>1382</v>
      </c>
      <c r="J37" t="s">
        <v>1382</v>
      </c>
      <c r="K37" t="s">
        <v>1382</v>
      </c>
      <c r="L37">
        <v>25.8</v>
      </c>
      <c r="M37">
        <v>55.85</v>
      </c>
      <c r="N37">
        <v>0</v>
      </c>
      <c r="O37" s="54"/>
      <c r="P37" s="54"/>
      <c r="Q37">
        <v>5</v>
      </c>
      <c r="R37">
        <v>14</v>
      </c>
      <c r="S37">
        <v>37</v>
      </c>
      <c r="T37">
        <v>20</v>
      </c>
      <c r="U37">
        <v>17</v>
      </c>
      <c r="V37">
        <v>1</v>
      </c>
      <c r="W37" t="s">
        <v>1391</v>
      </c>
      <c r="X37" t="s">
        <v>3681</v>
      </c>
      <c r="Z37" t="s">
        <v>3693</v>
      </c>
      <c r="AA37">
        <v>0.21</v>
      </c>
      <c r="AB37">
        <v>12</v>
      </c>
      <c r="AC37">
        <v>5.95</v>
      </c>
      <c r="AD37">
        <v>4.76</v>
      </c>
      <c r="AE37">
        <v>1.19</v>
      </c>
      <c r="AF37">
        <v>0</v>
      </c>
      <c r="AG37">
        <v>0</v>
      </c>
      <c r="AJ37" s="54"/>
      <c r="AK37" s="54"/>
      <c r="AL37" s="54"/>
      <c r="AO37">
        <v>1</v>
      </c>
      <c r="AP37" t="s">
        <v>1383</v>
      </c>
      <c r="AR37">
        <v>1</v>
      </c>
      <c r="AS37" t="s">
        <v>1384</v>
      </c>
      <c r="AT37">
        <v>1</v>
      </c>
      <c r="AV37">
        <v>5</v>
      </c>
      <c r="AW37">
        <v>3</v>
      </c>
      <c r="AX37">
        <v>2</v>
      </c>
      <c r="AY37" t="s">
        <v>1390</v>
      </c>
      <c r="AZ37" t="s">
        <v>1390</v>
      </c>
      <c r="BA37">
        <v>8</v>
      </c>
      <c r="BD37">
        <v>1000000000</v>
      </c>
      <c r="BE37">
        <v>4</v>
      </c>
      <c r="BF37">
        <v>0.2</v>
      </c>
      <c r="BG37">
        <v>0</v>
      </c>
      <c r="BH37">
        <v>0</v>
      </c>
      <c r="BI37">
        <v>0</v>
      </c>
      <c r="BJ37">
        <v>0</v>
      </c>
      <c r="BK37">
        <v>0</v>
      </c>
      <c r="BL37">
        <v>0</v>
      </c>
      <c r="BM37">
        <v>4</v>
      </c>
      <c r="BN37">
        <v>0.2</v>
      </c>
      <c r="BR37">
        <v>1</v>
      </c>
      <c r="BS37">
        <v>2</v>
      </c>
      <c r="BX37">
        <v>0</v>
      </c>
      <c r="BY37">
        <v>0</v>
      </c>
      <c r="BZ37">
        <v>0</v>
      </c>
      <c r="CA37">
        <v>1.51</v>
      </c>
      <c r="CC37">
        <v>0</v>
      </c>
      <c r="CD37" s="54">
        <v>43038</v>
      </c>
      <c r="CE37" s="54"/>
      <c r="CF37" s="54">
        <v>43038</v>
      </c>
      <c r="CG37" s="54">
        <v>43297</v>
      </c>
      <c r="CH37" s="54">
        <v>43007</v>
      </c>
      <c r="CI37" s="54">
        <v>43122</v>
      </c>
      <c r="CJ37">
        <v>0.25</v>
      </c>
      <c r="CK37">
        <v>0</v>
      </c>
      <c r="CL37">
        <v>0</v>
      </c>
      <c r="CM37">
        <v>0</v>
      </c>
      <c r="CN37">
        <v>0.28999999999999998</v>
      </c>
      <c r="CO37">
        <v>0.35</v>
      </c>
      <c r="CP37">
        <v>0.04</v>
      </c>
      <c r="CQ37" t="s">
        <v>1144</v>
      </c>
      <c r="CR37" t="s">
        <v>1143</v>
      </c>
      <c r="CS37" t="s">
        <v>3674</v>
      </c>
      <c r="CT37" t="s">
        <v>1403</v>
      </c>
      <c r="CU37" t="s">
        <v>3666</v>
      </c>
      <c r="CV37" t="s">
        <v>3759</v>
      </c>
      <c r="CW37" t="s">
        <v>3676</v>
      </c>
      <c r="CX37" t="s">
        <v>3669</v>
      </c>
      <c r="DC37" t="s">
        <v>3677</v>
      </c>
      <c r="DE37" t="s">
        <v>3670</v>
      </c>
      <c r="DG37" t="s">
        <v>3706</v>
      </c>
      <c r="DH37" s="54">
        <v>43126</v>
      </c>
      <c r="DI37" s="54">
        <v>43147</v>
      </c>
    </row>
    <row r="38" spans="1:113" x14ac:dyDescent="0.25">
      <c r="A38" t="s">
        <v>1021</v>
      </c>
      <c r="B38">
        <v>34</v>
      </c>
      <c r="C38" s="54">
        <v>43208</v>
      </c>
      <c r="D38" t="s">
        <v>1143</v>
      </c>
      <c r="E38" t="s">
        <v>3760</v>
      </c>
      <c r="G38" t="s">
        <v>3761</v>
      </c>
      <c r="H38" t="s">
        <v>1382</v>
      </c>
      <c r="I38" t="s">
        <v>1382</v>
      </c>
      <c r="J38" t="s">
        <v>1382</v>
      </c>
      <c r="K38" t="s">
        <v>1382</v>
      </c>
      <c r="L38">
        <v>5.86</v>
      </c>
      <c r="M38">
        <v>11.5</v>
      </c>
      <c r="N38">
        <v>0</v>
      </c>
      <c r="O38" s="54"/>
      <c r="P38" s="54"/>
      <c r="Q38">
        <v>5</v>
      </c>
      <c r="R38">
        <v>14</v>
      </c>
      <c r="S38">
        <v>37</v>
      </c>
      <c r="T38">
        <v>20</v>
      </c>
      <c r="U38">
        <v>17</v>
      </c>
      <c r="V38">
        <v>1</v>
      </c>
      <c r="W38" t="s">
        <v>1391</v>
      </c>
      <c r="X38" t="s">
        <v>3673</v>
      </c>
      <c r="Y38">
        <v>0</v>
      </c>
      <c r="AA38">
        <v>0</v>
      </c>
      <c r="AB38">
        <v>0</v>
      </c>
      <c r="AC38">
        <v>0</v>
      </c>
      <c r="AD38">
        <v>0</v>
      </c>
      <c r="AE38">
        <v>0</v>
      </c>
      <c r="AF38">
        <v>0</v>
      </c>
      <c r="AG38">
        <v>0</v>
      </c>
      <c r="AJ38" s="54"/>
      <c r="AK38" s="54"/>
      <c r="AL38" s="54"/>
      <c r="AO38">
        <v>1</v>
      </c>
      <c r="AP38" t="s">
        <v>1383</v>
      </c>
      <c r="AR38">
        <v>1</v>
      </c>
      <c r="AS38" t="s">
        <v>1384</v>
      </c>
      <c r="AT38">
        <v>1</v>
      </c>
      <c r="AV38">
        <v>1</v>
      </c>
      <c r="AW38">
        <v>1</v>
      </c>
      <c r="AX38">
        <v>0.5</v>
      </c>
      <c r="AY38" t="s">
        <v>1401</v>
      </c>
      <c r="AZ38" t="s">
        <v>1401</v>
      </c>
      <c r="BA38">
        <v>0</v>
      </c>
      <c r="BD38">
        <v>1000000000</v>
      </c>
      <c r="BE38">
        <v>1</v>
      </c>
      <c r="BF38">
        <v>0</v>
      </c>
      <c r="BG38">
        <v>0</v>
      </c>
      <c r="BH38">
        <v>0</v>
      </c>
      <c r="BI38">
        <v>0</v>
      </c>
      <c r="BJ38">
        <v>0</v>
      </c>
      <c r="BK38">
        <v>0</v>
      </c>
      <c r="BL38">
        <v>0</v>
      </c>
      <c r="BM38">
        <v>1</v>
      </c>
      <c r="BN38">
        <v>0</v>
      </c>
      <c r="BR38">
        <v>0</v>
      </c>
      <c r="BS38">
        <v>0</v>
      </c>
      <c r="BX38">
        <v>0</v>
      </c>
      <c r="BY38">
        <v>0</v>
      </c>
      <c r="BZ38">
        <v>0</v>
      </c>
      <c r="CA38">
        <v>1.25</v>
      </c>
      <c r="CC38">
        <v>0</v>
      </c>
      <c r="CD38" s="54">
        <v>42836</v>
      </c>
      <c r="CE38" s="54"/>
      <c r="CF38" s="54">
        <v>42949</v>
      </c>
      <c r="CG38" s="54">
        <v>43208</v>
      </c>
      <c r="CH38" s="54">
        <v>0</v>
      </c>
      <c r="CI38" s="54">
        <v>0</v>
      </c>
      <c r="CJ38">
        <v>0</v>
      </c>
      <c r="CK38">
        <v>0</v>
      </c>
      <c r="CL38">
        <v>0</v>
      </c>
      <c r="CM38">
        <v>0</v>
      </c>
      <c r="CN38">
        <v>0.94</v>
      </c>
      <c r="CO38">
        <v>0</v>
      </c>
      <c r="CP38">
        <v>0</v>
      </c>
      <c r="CQ38" t="s">
        <v>1144</v>
      </c>
      <c r="CR38" t="s">
        <v>1143</v>
      </c>
      <c r="CS38" t="s">
        <v>3674</v>
      </c>
      <c r="CT38" t="s">
        <v>1403</v>
      </c>
      <c r="CU38" t="s">
        <v>3666</v>
      </c>
      <c r="CV38" t="s">
        <v>3762</v>
      </c>
      <c r="CW38" t="s">
        <v>3676</v>
      </c>
      <c r="CX38" t="s">
        <v>3669</v>
      </c>
      <c r="DC38" t="s">
        <v>3677</v>
      </c>
      <c r="DE38" t="s">
        <v>3670</v>
      </c>
      <c r="DG38" t="s">
        <v>1400</v>
      </c>
      <c r="DH38" s="54"/>
      <c r="DI38" s="54"/>
    </row>
    <row r="39" spans="1:113" x14ac:dyDescent="0.25">
      <c r="A39" t="s">
        <v>1021</v>
      </c>
      <c r="B39">
        <v>5</v>
      </c>
      <c r="C39" s="54">
        <v>43208</v>
      </c>
      <c r="D39" t="s">
        <v>1143</v>
      </c>
      <c r="E39" t="s">
        <v>3763</v>
      </c>
      <c r="G39" t="s">
        <v>3764</v>
      </c>
      <c r="H39" t="s">
        <v>1382</v>
      </c>
      <c r="I39" t="s">
        <v>1382</v>
      </c>
      <c r="J39" t="s">
        <v>1382</v>
      </c>
      <c r="K39" t="s">
        <v>1382</v>
      </c>
      <c r="L39">
        <v>339.89</v>
      </c>
      <c r="M39">
        <v>525.33000000000004</v>
      </c>
      <c r="N39">
        <v>0</v>
      </c>
      <c r="O39" s="54"/>
      <c r="P39" s="54"/>
      <c r="Q39">
        <v>5</v>
      </c>
      <c r="R39">
        <v>14</v>
      </c>
      <c r="S39">
        <v>37</v>
      </c>
      <c r="T39">
        <v>20</v>
      </c>
      <c r="U39">
        <v>17</v>
      </c>
      <c r="V39">
        <v>1</v>
      </c>
      <c r="X39" t="s">
        <v>3765</v>
      </c>
      <c r="AA39">
        <v>0</v>
      </c>
      <c r="AB39">
        <v>0</v>
      </c>
      <c r="AC39">
        <v>0</v>
      </c>
      <c r="AD39">
        <v>0</v>
      </c>
      <c r="AE39">
        <v>0</v>
      </c>
      <c r="AF39">
        <v>0</v>
      </c>
      <c r="AG39">
        <v>0</v>
      </c>
      <c r="AJ39" s="54"/>
      <c r="AK39" s="54"/>
      <c r="AL39" s="54">
        <v>42849</v>
      </c>
      <c r="AO39">
        <v>1</v>
      </c>
      <c r="AP39" t="s">
        <v>1383</v>
      </c>
      <c r="AR39">
        <v>1</v>
      </c>
      <c r="AS39" t="s">
        <v>1384</v>
      </c>
      <c r="AT39">
        <v>1</v>
      </c>
      <c r="AV39">
        <v>0</v>
      </c>
      <c r="AW39">
        <v>0</v>
      </c>
      <c r="AX39">
        <v>0</v>
      </c>
      <c r="AY39" t="s">
        <v>1385</v>
      </c>
      <c r="AZ39" t="s">
        <v>1385</v>
      </c>
      <c r="BA39">
        <v>30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42215</v>
      </c>
      <c r="CE39" s="54"/>
      <c r="CF39" s="54">
        <v>42949</v>
      </c>
      <c r="CG39" s="54">
        <v>43208</v>
      </c>
      <c r="CH39" s="54">
        <v>0</v>
      </c>
      <c r="CI39" s="54">
        <v>0</v>
      </c>
      <c r="CJ39">
        <v>1.95</v>
      </c>
      <c r="CK39">
        <v>0</v>
      </c>
      <c r="CL39">
        <v>0.77</v>
      </c>
      <c r="CM39">
        <v>0</v>
      </c>
      <c r="CN39">
        <v>0</v>
      </c>
      <c r="CO39">
        <v>0</v>
      </c>
      <c r="CP39">
        <v>0.2</v>
      </c>
      <c r="CQ39" t="s">
        <v>1144</v>
      </c>
      <c r="CR39" t="s">
        <v>1143</v>
      </c>
      <c r="CS39" t="s">
        <v>3665</v>
      </c>
      <c r="CT39" t="s">
        <v>1403</v>
      </c>
      <c r="CU39" t="s">
        <v>3666</v>
      </c>
      <c r="CV39" t="s">
        <v>3766</v>
      </c>
      <c r="CW39" t="s">
        <v>3668</v>
      </c>
      <c r="CX39" t="s">
        <v>3669</v>
      </c>
      <c r="DC39" t="s">
        <v>3668</v>
      </c>
      <c r="DE39" t="s">
        <v>3670</v>
      </c>
      <c r="DH39" s="54"/>
      <c r="DI39" s="54"/>
    </row>
    <row r="40" spans="1:113" x14ac:dyDescent="0.25">
      <c r="A40" t="s">
        <v>1021</v>
      </c>
      <c r="B40">
        <v>5</v>
      </c>
      <c r="C40" s="54">
        <v>43208</v>
      </c>
      <c r="D40" t="s">
        <v>1143</v>
      </c>
      <c r="E40" t="s">
        <v>2684</v>
      </c>
      <c r="G40" t="s">
        <v>3767</v>
      </c>
      <c r="H40" t="s">
        <v>1382</v>
      </c>
      <c r="I40" t="s">
        <v>1382</v>
      </c>
      <c r="J40" t="s">
        <v>1382</v>
      </c>
      <c r="K40" t="s">
        <v>1382</v>
      </c>
      <c r="L40">
        <v>4.71</v>
      </c>
      <c r="M40">
        <v>9.64</v>
      </c>
      <c r="N40">
        <v>0</v>
      </c>
      <c r="O40" s="54"/>
      <c r="P40" s="54"/>
      <c r="Q40">
        <v>5</v>
      </c>
      <c r="R40">
        <v>14</v>
      </c>
      <c r="S40">
        <v>37</v>
      </c>
      <c r="T40">
        <v>20</v>
      </c>
      <c r="U40">
        <v>17</v>
      </c>
      <c r="V40">
        <v>1</v>
      </c>
      <c r="X40" t="s">
        <v>3768</v>
      </c>
      <c r="Z40" t="s">
        <v>3693</v>
      </c>
      <c r="AA40">
        <v>164</v>
      </c>
      <c r="AB40">
        <v>9102</v>
      </c>
      <c r="AC40">
        <v>0.15</v>
      </c>
      <c r="AD40">
        <v>2.62</v>
      </c>
      <c r="AE40">
        <v>0</v>
      </c>
      <c r="AF40">
        <v>0</v>
      </c>
      <c r="AG40">
        <v>0</v>
      </c>
      <c r="AJ40" s="54"/>
      <c r="AK40" s="54"/>
      <c r="AL40" s="54"/>
      <c r="AO40">
        <v>1</v>
      </c>
      <c r="AP40" t="s">
        <v>1383</v>
      </c>
      <c r="AR40">
        <v>1</v>
      </c>
      <c r="AS40" t="s">
        <v>1384</v>
      </c>
      <c r="AT40">
        <v>1</v>
      </c>
      <c r="AV40">
        <v>100</v>
      </c>
      <c r="AW40">
        <v>67</v>
      </c>
      <c r="AX40">
        <v>33</v>
      </c>
      <c r="AY40" t="s">
        <v>1389</v>
      </c>
      <c r="AZ40" t="s">
        <v>1389</v>
      </c>
      <c r="BA40">
        <v>7000</v>
      </c>
      <c r="BD40">
        <v>1000000000</v>
      </c>
      <c r="BE40">
        <v>1719</v>
      </c>
      <c r="BF40">
        <v>-16.190000000000001</v>
      </c>
      <c r="BG40">
        <v>0</v>
      </c>
      <c r="BH40">
        <v>0</v>
      </c>
      <c r="BI40">
        <v>0</v>
      </c>
      <c r="BJ40">
        <v>0</v>
      </c>
      <c r="BK40">
        <v>0</v>
      </c>
      <c r="BL40">
        <v>0</v>
      </c>
      <c r="BM40">
        <v>1719</v>
      </c>
      <c r="BN40">
        <v>-16.190000000000001</v>
      </c>
      <c r="BR40">
        <v>0</v>
      </c>
      <c r="BS40">
        <v>46</v>
      </c>
      <c r="BX40">
        <v>0</v>
      </c>
      <c r="BY40">
        <v>7625.49</v>
      </c>
      <c r="BZ40">
        <v>0</v>
      </c>
      <c r="CA40">
        <v>1.36</v>
      </c>
      <c r="CC40">
        <v>1</v>
      </c>
      <c r="CD40" s="54">
        <v>42853</v>
      </c>
      <c r="CE40" s="54"/>
      <c r="CF40" s="54">
        <v>42949</v>
      </c>
      <c r="CG40" s="54">
        <v>43208</v>
      </c>
      <c r="CH40" s="54">
        <v>42816</v>
      </c>
      <c r="CI40" s="54">
        <v>42928</v>
      </c>
      <c r="CJ40">
        <v>0.42</v>
      </c>
      <c r="CK40">
        <v>0</v>
      </c>
      <c r="CL40">
        <v>0</v>
      </c>
      <c r="CM40">
        <v>0</v>
      </c>
      <c r="CN40">
        <v>0</v>
      </c>
      <c r="CO40">
        <v>0</v>
      </c>
      <c r="CP40">
        <v>0.97</v>
      </c>
      <c r="CQ40" t="s">
        <v>1144</v>
      </c>
      <c r="CR40" t="s">
        <v>1143</v>
      </c>
      <c r="CS40" t="s">
        <v>3665</v>
      </c>
      <c r="CT40" t="s">
        <v>1403</v>
      </c>
      <c r="CU40" t="s">
        <v>3666</v>
      </c>
      <c r="CV40" t="s">
        <v>3769</v>
      </c>
      <c r="CW40" t="s">
        <v>3770</v>
      </c>
      <c r="CX40" t="s">
        <v>849</v>
      </c>
      <c r="DC40" t="s">
        <v>3771</v>
      </c>
      <c r="DE40" t="s">
        <v>3772</v>
      </c>
      <c r="DG40" t="s">
        <v>3678</v>
      </c>
      <c r="DH40" s="54">
        <v>42935</v>
      </c>
      <c r="DI40" s="54">
        <v>42956</v>
      </c>
    </row>
    <row r="41" spans="1:113" x14ac:dyDescent="0.25">
      <c r="A41" t="s">
        <v>1021</v>
      </c>
      <c r="B41">
        <v>5</v>
      </c>
      <c r="C41" s="54">
        <v>43208</v>
      </c>
      <c r="D41" t="s">
        <v>1143</v>
      </c>
      <c r="E41" t="s">
        <v>1411</v>
      </c>
      <c r="G41" t="s">
        <v>3773</v>
      </c>
      <c r="H41" t="s">
        <v>1382</v>
      </c>
      <c r="I41" t="s">
        <v>1382</v>
      </c>
      <c r="J41" t="s">
        <v>1382</v>
      </c>
      <c r="K41" t="s">
        <v>1382</v>
      </c>
      <c r="L41">
        <v>9.7899999999999991</v>
      </c>
      <c r="M41">
        <v>18.21</v>
      </c>
      <c r="N41">
        <v>0</v>
      </c>
      <c r="O41" s="54"/>
      <c r="P41" s="54"/>
      <c r="Q41">
        <v>5</v>
      </c>
      <c r="R41">
        <v>14</v>
      </c>
      <c r="S41">
        <v>37</v>
      </c>
      <c r="T41">
        <v>20</v>
      </c>
      <c r="U41">
        <v>17</v>
      </c>
      <c r="V41">
        <v>1</v>
      </c>
      <c r="W41" t="s">
        <v>3672</v>
      </c>
      <c r="X41" t="s">
        <v>3774</v>
      </c>
      <c r="Y41">
        <v>532</v>
      </c>
      <c r="AA41">
        <v>3.13</v>
      </c>
      <c r="AB41">
        <v>174</v>
      </c>
      <c r="AC41">
        <v>31.95</v>
      </c>
      <c r="AD41">
        <v>1.2</v>
      </c>
      <c r="AE41">
        <v>0.08</v>
      </c>
      <c r="AF41">
        <v>0</v>
      </c>
      <c r="AG41">
        <v>0</v>
      </c>
      <c r="AJ41" s="54"/>
      <c r="AK41" s="54"/>
      <c r="AL41" s="54"/>
      <c r="AO41">
        <v>1</v>
      </c>
      <c r="AP41" t="s">
        <v>1383</v>
      </c>
      <c r="AR41">
        <v>1</v>
      </c>
      <c r="AS41" t="s">
        <v>1384</v>
      </c>
      <c r="AT41">
        <v>1</v>
      </c>
      <c r="AV41">
        <v>400</v>
      </c>
      <c r="AW41">
        <v>266</v>
      </c>
      <c r="AX41">
        <v>132</v>
      </c>
      <c r="AY41" t="s">
        <v>1394</v>
      </c>
      <c r="AZ41" t="s">
        <v>1394</v>
      </c>
      <c r="BA41">
        <v>150</v>
      </c>
      <c r="BD41">
        <v>1000000000</v>
      </c>
      <c r="BE41">
        <v>15</v>
      </c>
      <c r="BF41">
        <v>0.96</v>
      </c>
      <c r="BG41">
        <v>0</v>
      </c>
      <c r="BH41">
        <v>0</v>
      </c>
      <c r="BI41">
        <v>0</v>
      </c>
      <c r="BJ41">
        <v>0</v>
      </c>
      <c r="BK41">
        <v>0</v>
      </c>
      <c r="BL41">
        <v>0</v>
      </c>
      <c r="BM41">
        <v>15</v>
      </c>
      <c r="BN41">
        <v>0.96</v>
      </c>
      <c r="BR41">
        <v>385</v>
      </c>
      <c r="BS41">
        <v>184</v>
      </c>
      <c r="BX41">
        <v>985.14</v>
      </c>
      <c r="BY41">
        <v>0</v>
      </c>
      <c r="BZ41">
        <v>0</v>
      </c>
      <c r="CA41">
        <v>1.1200000000000001</v>
      </c>
      <c r="CC41">
        <v>1</v>
      </c>
      <c r="CD41" s="54">
        <v>42894</v>
      </c>
      <c r="CE41" s="54"/>
      <c r="CF41" s="54">
        <v>42949</v>
      </c>
      <c r="CG41" s="54">
        <v>43208</v>
      </c>
      <c r="CH41" s="54">
        <v>43132</v>
      </c>
      <c r="CI41" s="54">
        <v>43195</v>
      </c>
      <c r="CJ41">
        <v>0.54</v>
      </c>
      <c r="CK41">
        <v>18518</v>
      </c>
      <c r="CL41">
        <v>0.11</v>
      </c>
      <c r="CM41">
        <v>0.86</v>
      </c>
      <c r="CN41">
        <v>0</v>
      </c>
      <c r="CO41">
        <v>0</v>
      </c>
      <c r="CP41">
        <v>0</v>
      </c>
      <c r="CQ41" t="s">
        <v>1144</v>
      </c>
      <c r="CR41" t="s">
        <v>1143</v>
      </c>
      <c r="CS41" t="s">
        <v>3665</v>
      </c>
      <c r="CT41" t="s">
        <v>1403</v>
      </c>
      <c r="CU41" t="s">
        <v>3666</v>
      </c>
      <c r="CV41" t="s">
        <v>3775</v>
      </c>
      <c r="CW41" t="s">
        <v>3770</v>
      </c>
      <c r="CX41" t="s">
        <v>849</v>
      </c>
      <c r="DC41" t="s">
        <v>3771</v>
      </c>
      <c r="DE41" t="s">
        <v>3772</v>
      </c>
      <c r="DG41" t="s">
        <v>3678</v>
      </c>
      <c r="DH41" s="54">
        <v>43251</v>
      </c>
      <c r="DI41" s="54">
        <v>43272</v>
      </c>
    </row>
    <row r="42" spans="1:113" x14ac:dyDescent="0.25">
      <c r="A42" t="s">
        <v>1021</v>
      </c>
      <c r="B42">
        <v>5</v>
      </c>
      <c r="C42" s="54">
        <v>43208</v>
      </c>
      <c r="D42" t="s">
        <v>1143</v>
      </c>
      <c r="E42" t="s">
        <v>2685</v>
      </c>
      <c r="G42" t="s">
        <v>3776</v>
      </c>
      <c r="H42" t="s">
        <v>1382</v>
      </c>
      <c r="I42" t="s">
        <v>1382</v>
      </c>
      <c r="J42" t="s">
        <v>1382</v>
      </c>
      <c r="K42" t="s">
        <v>1382</v>
      </c>
      <c r="L42">
        <v>14.99</v>
      </c>
      <c r="M42">
        <v>24.64</v>
      </c>
      <c r="N42">
        <v>0</v>
      </c>
      <c r="O42" s="54"/>
      <c r="P42" s="54"/>
      <c r="Q42">
        <v>5</v>
      </c>
      <c r="R42">
        <v>14</v>
      </c>
      <c r="S42">
        <v>37</v>
      </c>
      <c r="T42">
        <v>20</v>
      </c>
      <c r="U42">
        <v>17</v>
      </c>
      <c r="V42">
        <v>1</v>
      </c>
      <c r="X42" t="s">
        <v>3777</v>
      </c>
      <c r="AA42">
        <v>0.75</v>
      </c>
      <c r="AB42">
        <v>42</v>
      </c>
      <c r="AC42">
        <v>0</v>
      </c>
      <c r="AD42">
        <v>1</v>
      </c>
      <c r="AE42">
        <v>0.33</v>
      </c>
      <c r="AF42">
        <v>0</v>
      </c>
      <c r="AG42">
        <v>0</v>
      </c>
      <c r="AJ42" s="54"/>
      <c r="AK42" s="54"/>
      <c r="AL42" s="54"/>
      <c r="AO42">
        <v>1</v>
      </c>
      <c r="AP42" t="s">
        <v>1383</v>
      </c>
      <c r="AR42">
        <v>1</v>
      </c>
      <c r="AS42" t="s">
        <v>1384</v>
      </c>
      <c r="AT42">
        <v>1</v>
      </c>
      <c r="AV42">
        <v>0</v>
      </c>
      <c r="AW42">
        <v>0</v>
      </c>
      <c r="AX42">
        <v>0</v>
      </c>
      <c r="AY42" t="s">
        <v>1385</v>
      </c>
      <c r="AZ42" t="s">
        <v>1385</v>
      </c>
      <c r="BA42">
        <v>150</v>
      </c>
      <c r="BD42">
        <v>1000000000</v>
      </c>
      <c r="BE42">
        <v>3</v>
      </c>
      <c r="BF42">
        <v>0</v>
      </c>
      <c r="BG42">
        <v>0</v>
      </c>
      <c r="BH42">
        <v>0</v>
      </c>
      <c r="BI42">
        <v>0</v>
      </c>
      <c r="BJ42">
        <v>0</v>
      </c>
      <c r="BK42">
        <v>0</v>
      </c>
      <c r="BL42">
        <v>0</v>
      </c>
      <c r="BM42">
        <v>3</v>
      </c>
      <c r="BN42">
        <v>0</v>
      </c>
      <c r="BR42">
        <v>0</v>
      </c>
      <c r="BS42">
        <v>0</v>
      </c>
      <c r="BX42">
        <v>0</v>
      </c>
      <c r="BY42">
        <v>0</v>
      </c>
      <c r="BZ42">
        <v>0</v>
      </c>
      <c r="CA42">
        <v>0</v>
      </c>
      <c r="CC42">
        <v>1</v>
      </c>
      <c r="CD42" s="54">
        <v>42998</v>
      </c>
      <c r="CE42" s="54"/>
      <c r="CF42" s="54">
        <v>42998</v>
      </c>
      <c r="CG42" s="54">
        <v>43257</v>
      </c>
      <c r="CH42" s="54">
        <v>42768</v>
      </c>
      <c r="CI42" s="54">
        <v>42880</v>
      </c>
      <c r="CJ42">
        <v>0.74</v>
      </c>
      <c r="CK42">
        <v>0</v>
      </c>
      <c r="CL42">
        <v>0</v>
      </c>
      <c r="CM42">
        <v>0</v>
      </c>
      <c r="CN42">
        <v>0</v>
      </c>
      <c r="CO42">
        <v>0</v>
      </c>
      <c r="CP42">
        <v>0.83</v>
      </c>
      <c r="CQ42" t="s">
        <v>1144</v>
      </c>
      <c r="CR42" t="s">
        <v>1143</v>
      </c>
      <c r="CS42" t="s">
        <v>3665</v>
      </c>
      <c r="CT42" t="s">
        <v>1403</v>
      </c>
      <c r="CU42" t="s">
        <v>3666</v>
      </c>
      <c r="CV42" t="s">
        <v>3778</v>
      </c>
      <c r="CW42" t="s">
        <v>3770</v>
      </c>
      <c r="CX42" t="s">
        <v>849</v>
      </c>
      <c r="DC42" t="s">
        <v>3771</v>
      </c>
      <c r="DE42" t="s">
        <v>3772</v>
      </c>
      <c r="DH42" s="54">
        <v>42887</v>
      </c>
      <c r="DI42" s="54">
        <v>42908</v>
      </c>
    </row>
    <row r="43" spans="1:113" x14ac:dyDescent="0.25">
      <c r="A43" t="s">
        <v>1021</v>
      </c>
      <c r="B43">
        <v>5</v>
      </c>
      <c r="C43" s="54">
        <v>43208</v>
      </c>
      <c r="D43" t="s">
        <v>1143</v>
      </c>
      <c r="E43" t="s">
        <v>1412</v>
      </c>
      <c r="G43" t="s">
        <v>3779</v>
      </c>
      <c r="H43" t="s">
        <v>1382</v>
      </c>
      <c r="I43" t="s">
        <v>1382</v>
      </c>
      <c r="J43" t="s">
        <v>1382</v>
      </c>
      <c r="K43" t="s">
        <v>1382</v>
      </c>
      <c r="L43">
        <v>10.46</v>
      </c>
      <c r="M43">
        <v>20.36</v>
      </c>
      <c r="N43">
        <v>0</v>
      </c>
      <c r="O43" s="54"/>
      <c r="P43" s="54"/>
      <c r="Q43">
        <v>5</v>
      </c>
      <c r="R43">
        <v>14</v>
      </c>
      <c r="S43">
        <v>37</v>
      </c>
      <c r="T43">
        <v>20</v>
      </c>
      <c r="U43">
        <v>17</v>
      </c>
      <c r="V43">
        <v>1</v>
      </c>
      <c r="W43" t="s">
        <v>1391</v>
      </c>
      <c r="X43" t="s">
        <v>3780</v>
      </c>
      <c r="AA43">
        <v>36</v>
      </c>
      <c r="AB43">
        <v>1998</v>
      </c>
      <c r="AC43">
        <v>20.83</v>
      </c>
      <c r="AD43">
        <v>13.89</v>
      </c>
      <c r="AE43">
        <v>0.01</v>
      </c>
      <c r="AF43">
        <v>14</v>
      </c>
      <c r="AG43">
        <v>0</v>
      </c>
      <c r="AJ43" s="54"/>
      <c r="AK43" s="54"/>
      <c r="AL43" s="54"/>
      <c r="AO43">
        <v>1</v>
      </c>
      <c r="AP43" t="s">
        <v>1383</v>
      </c>
      <c r="AR43">
        <v>1</v>
      </c>
      <c r="AS43" t="s">
        <v>1384</v>
      </c>
      <c r="AT43">
        <v>1</v>
      </c>
      <c r="AV43">
        <v>3000</v>
      </c>
      <c r="AW43">
        <v>1995</v>
      </c>
      <c r="AX43">
        <v>990</v>
      </c>
      <c r="AY43" t="s">
        <v>838</v>
      </c>
      <c r="AZ43" t="s">
        <v>1390</v>
      </c>
      <c r="BA43">
        <v>1500</v>
      </c>
      <c r="BD43">
        <v>1000000000</v>
      </c>
      <c r="BE43">
        <v>0</v>
      </c>
      <c r="BF43">
        <v>1</v>
      </c>
      <c r="BG43">
        <v>2000</v>
      </c>
      <c r="BH43">
        <v>0</v>
      </c>
      <c r="BI43">
        <v>0</v>
      </c>
      <c r="BJ43">
        <v>0</v>
      </c>
      <c r="BK43">
        <v>0</v>
      </c>
      <c r="BL43">
        <v>0</v>
      </c>
      <c r="BM43">
        <v>2000</v>
      </c>
      <c r="BN43">
        <v>0.33</v>
      </c>
      <c r="BR43">
        <v>1000</v>
      </c>
      <c r="BS43">
        <v>1378</v>
      </c>
      <c r="BX43">
        <v>9801</v>
      </c>
      <c r="BY43">
        <v>0</v>
      </c>
      <c r="BZ43">
        <v>0</v>
      </c>
      <c r="CA43">
        <v>1.23</v>
      </c>
      <c r="CC43">
        <v>0</v>
      </c>
      <c r="CD43" s="54">
        <v>43195</v>
      </c>
      <c r="CE43" s="54"/>
      <c r="CF43" s="54">
        <v>43195</v>
      </c>
      <c r="CG43" s="54">
        <v>43454</v>
      </c>
      <c r="CH43" s="54">
        <v>43195</v>
      </c>
      <c r="CI43" s="54">
        <v>43122</v>
      </c>
      <c r="CJ43">
        <v>1</v>
      </c>
      <c r="CK43">
        <v>0</v>
      </c>
      <c r="CL43">
        <v>0.05</v>
      </c>
      <c r="CM43">
        <v>0</v>
      </c>
      <c r="CN43">
        <v>0</v>
      </c>
      <c r="CO43">
        <v>0</v>
      </c>
      <c r="CP43">
        <v>0</v>
      </c>
      <c r="CQ43" t="s">
        <v>1144</v>
      </c>
      <c r="CR43" t="s">
        <v>1143</v>
      </c>
      <c r="CS43" t="s">
        <v>3665</v>
      </c>
      <c r="CT43" t="s">
        <v>1403</v>
      </c>
      <c r="CU43" t="s">
        <v>3666</v>
      </c>
      <c r="CV43" t="s">
        <v>3781</v>
      </c>
      <c r="CW43" t="s">
        <v>3770</v>
      </c>
      <c r="CX43" t="s">
        <v>849</v>
      </c>
      <c r="DC43" t="s">
        <v>3771</v>
      </c>
      <c r="DE43" t="s">
        <v>3772</v>
      </c>
      <c r="DG43" t="s">
        <v>1400</v>
      </c>
      <c r="DH43" s="54">
        <v>43314</v>
      </c>
      <c r="DI43" s="54">
        <v>43335</v>
      </c>
    </row>
    <row r="44" spans="1:113" x14ac:dyDescent="0.25">
      <c r="A44" t="s">
        <v>1021</v>
      </c>
      <c r="B44">
        <v>5</v>
      </c>
      <c r="C44" s="54">
        <v>43208</v>
      </c>
      <c r="D44" t="s">
        <v>1143</v>
      </c>
      <c r="E44" t="s">
        <v>2686</v>
      </c>
      <c r="G44" t="s">
        <v>3782</v>
      </c>
      <c r="H44" t="s">
        <v>1382</v>
      </c>
      <c r="I44" t="s">
        <v>1382</v>
      </c>
      <c r="J44" t="s">
        <v>1382</v>
      </c>
      <c r="K44" t="s">
        <v>1382</v>
      </c>
      <c r="L44">
        <v>31.43</v>
      </c>
      <c r="M44">
        <v>69.64</v>
      </c>
      <c r="N44">
        <v>0</v>
      </c>
      <c r="O44" s="54"/>
      <c r="P44" s="54"/>
      <c r="Q44">
        <v>5</v>
      </c>
      <c r="R44">
        <v>14</v>
      </c>
      <c r="S44">
        <v>37</v>
      </c>
      <c r="T44">
        <v>20</v>
      </c>
      <c r="U44">
        <v>17</v>
      </c>
      <c r="V44">
        <v>1</v>
      </c>
      <c r="X44" t="s">
        <v>3673</v>
      </c>
      <c r="Z44" t="s">
        <v>3693</v>
      </c>
      <c r="AA44">
        <v>0.28999999999999998</v>
      </c>
      <c r="AB44">
        <v>17</v>
      </c>
      <c r="AC44">
        <v>6.9</v>
      </c>
      <c r="AD44">
        <v>8.6199999999999992</v>
      </c>
      <c r="AE44">
        <v>0.86</v>
      </c>
      <c r="AF44">
        <v>0</v>
      </c>
      <c r="AG44">
        <v>0</v>
      </c>
      <c r="AJ44" s="54"/>
      <c r="AK44" s="54"/>
      <c r="AL44" s="54"/>
      <c r="AO44">
        <v>1</v>
      </c>
      <c r="AP44" t="s">
        <v>1383</v>
      </c>
      <c r="AR44">
        <v>1</v>
      </c>
      <c r="AS44" t="s">
        <v>1384</v>
      </c>
      <c r="AT44">
        <v>1</v>
      </c>
      <c r="AV44">
        <v>8</v>
      </c>
      <c r="AW44">
        <v>5</v>
      </c>
      <c r="AX44">
        <v>3</v>
      </c>
      <c r="AY44" t="s">
        <v>1389</v>
      </c>
      <c r="AZ44" t="s">
        <v>1389</v>
      </c>
      <c r="BA44">
        <v>0</v>
      </c>
      <c r="BD44">
        <v>1000000000</v>
      </c>
      <c r="BE44">
        <v>10</v>
      </c>
      <c r="BF44">
        <v>-0.25</v>
      </c>
      <c r="BG44">
        <v>0</v>
      </c>
      <c r="BH44">
        <v>0</v>
      </c>
      <c r="BI44">
        <v>0</v>
      </c>
      <c r="BJ44">
        <v>0</v>
      </c>
      <c r="BK44">
        <v>0</v>
      </c>
      <c r="BL44">
        <v>0</v>
      </c>
      <c r="BM44">
        <v>10</v>
      </c>
      <c r="BN44">
        <v>-0.25</v>
      </c>
      <c r="BR44">
        <v>0</v>
      </c>
      <c r="BS44">
        <v>4</v>
      </c>
      <c r="BX44">
        <v>0</v>
      </c>
      <c r="BY44">
        <v>62.86</v>
      </c>
      <c r="BZ44">
        <v>0</v>
      </c>
      <c r="CA44">
        <v>1.58</v>
      </c>
      <c r="CC44">
        <v>1.67</v>
      </c>
      <c r="CD44" s="54">
        <v>42836</v>
      </c>
      <c r="CE44" s="54"/>
      <c r="CF44" s="54">
        <v>42949</v>
      </c>
      <c r="CG44" s="54">
        <v>43208</v>
      </c>
      <c r="CH44" s="54">
        <v>43007</v>
      </c>
      <c r="CI44" s="54">
        <v>43122</v>
      </c>
      <c r="CJ44">
        <v>0.76</v>
      </c>
      <c r="CK44">
        <v>0</v>
      </c>
      <c r="CL44">
        <v>0</v>
      </c>
      <c r="CM44">
        <v>0.56000000000000005</v>
      </c>
      <c r="CN44">
        <v>0</v>
      </c>
      <c r="CO44">
        <v>0.05</v>
      </c>
      <c r="CP44">
        <v>0.35</v>
      </c>
      <c r="CQ44" t="s">
        <v>1144</v>
      </c>
      <c r="CR44" t="s">
        <v>1143</v>
      </c>
      <c r="CS44" t="s">
        <v>3665</v>
      </c>
      <c r="CT44" t="s">
        <v>1403</v>
      </c>
      <c r="CU44" t="s">
        <v>3666</v>
      </c>
      <c r="CV44" t="s">
        <v>3783</v>
      </c>
      <c r="CW44" t="s">
        <v>3784</v>
      </c>
      <c r="CX44" t="s">
        <v>849</v>
      </c>
      <c r="DC44" t="s">
        <v>3771</v>
      </c>
      <c r="DE44" t="s">
        <v>3785</v>
      </c>
      <c r="DG44" t="s">
        <v>3786</v>
      </c>
      <c r="DH44" s="54">
        <v>43126</v>
      </c>
      <c r="DI44" s="54">
        <v>43147</v>
      </c>
    </row>
    <row r="45" spans="1:113" x14ac:dyDescent="0.25">
      <c r="A45" t="s">
        <v>1021</v>
      </c>
      <c r="B45">
        <v>5</v>
      </c>
      <c r="C45" s="54">
        <v>43208</v>
      </c>
      <c r="D45" t="s">
        <v>1143</v>
      </c>
      <c r="E45" t="s">
        <v>1413</v>
      </c>
      <c r="G45" t="s">
        <v>3787</v>
      </c>
      <c r="H45" t="s">
        <v>1382</v>
      </c>
      <c r="I45" t="s">
        <v>1382</v>
      </c>
      <c r="J45" t="s">
        <v>1382</v>
      </c>
      <c r="K45" t="s">
        <v>1382</v>
      </c>
      <c r="L45">
        <v>27.86</v>
      </c>
      <c r="M45">
        <v>62.14</v>
      </c>
      <c r="N45">
        <v>0</v>
      </c>
      <c r="O45" s="54"/>
      <c r="P45" s="54"/>
      <c r="Q45">
        <v>5</v>
      </c>
      <c r="R45">
        <v>14</v>
      </c>
      <c r="S45">
        <v>37</v>
      </c>
      <c r="T45">
        <v>20</v>
      </c>
      <c r="U45">
        <v>17</v>
      </c>
      <c r="V45">
        <v>1</v>
      </c>
      <c r="W45" t="s">
        <v>1391</v>
      </c>
      <c r="X45" t="s">
        <v>3673</v>
      </c>
      <c r="AA45">
        <v>2.13</v>
      </c>
      <c r="AB45">
        <v>119</v>
      </c>
      <c r="AC45">
        <v>7.04</v>
      </c>
      <c r="AD45">
        <v>1.76</v>
      </c>
      <c r="AE45">
        <v>0.12</v>
      </c>
      <c r="AF45">
        <v>0</v>
      </c>
      <c r="AG45">
        <v>0</v>
      </c>
      <c r="AJ45" s="54"/>
      <c r="AK45" s="54"/>
      <c r="AL45" s="54"/>
      <c r="AO45">
        <v>1</v>
      </c>
      <c r="AP45" t="s">
        <v>1383</v>
      </c>
      <c r="AR45">
        <v>1</v>
      </c>
      <c r="AS45" t="s">
        <v>1384</v>
      </c>
      <c r="AT45">
        <v>1</v>
      </c>
      <c r="AV45">
        <v>60</v>
      </c>
      <c r="AW45">
        <v>40</v>
      </c>
      <c r="AX45">
        <v>20</v>
      </c>
      <c r="AY45" t="s">
        <v>1394</v>
      </c>
      <c r="AZ45" t="s">
        <v>1394</v>
      </c>
      <c r="BA45">
        <v>0</v>
      </c>
      <c r="BD45">
        <v>1000000000</v>
      </c>
      <c r="BE45">
        <v>9</v>
      </c>
      <c r="BF45">
        <v>0.85</v>
      </c>
      <c r="BG45">
        <v>6</v>
      </c>
      <c r="BH45">
        <v>0</v>
      </c>
      <c r="BI45">
        <v>0</v>
      </c>
      <c r="BJ45">
        <v>0</v>
      </c>
      <c r="BK45">
        <v>0</v>
      </c>
      <c r="BL45">
        <v>0</v>
      </c>
      <c r="BM45">
        <v>15</v>
      </c>
      <c r="BN45">
        <v>0.75</v>
      </c>
      <c r="BR45">
        <v>45</v>
      </c>
      <c r="BS45">
        <v>28</v>
      </c>
      <c r="BX45">
        <v>377.08</v>
      </c>
      <c r="BY45">
        <v>0</v>
      </c>
      <c r="BZ45">
        <v>0</v>
      </c>
      <c r="CA45">
        <v>1.6</v>
      </c>
      <c r="CC45">
        <v>0.18</v>
      </c>
      <c r="CD45" s="54">
        <v>42836</v>
      </c>
      <c r="CE45" s="54"/>
      <c r="CF45" s="54">
        <v>42949</v>
      </c>
      <c r="CG45" s="54">
        <v>43208</v>
      </c>
      <c r="CH45" s="54">
        <v>43195</v>
      </c>
      <c r="CI45" s="54">
        <v>43195</v>
      </c>
      <c r="CJ45">
        <v>0.71</v>
      </c>
      <c r="CK45">
        <v>0</v>
      </c>
      <c r="CL45">
        <v>0.11</v>
      </c>
      <c r="CM45">
        <v>0.49</v>
      </c>
      <c r="CN45">
        <v>0.11</v>
      </c>
      <c r="CO45">
        <v>0.26</v>
      </c>
      <c r="CP45">
        <v>0</v>
      </c>
      <c r="CQ45" t="s">
        <v>1144</v>
      </c>
      <c r="CR45" t="s">
        <v>1143</v>
      </c>
      <c r="CS45" t="s">
        <v>3665</v>
      </c>
      <c r="CT45" t="s">
        <v>1403</v>
      </c>
      <c r="CU45" t="s">
        <v>3666</v>
      </c>
      <c r="CV45" t="s">
        <v>3788</v>
      </c>
      <c r="CW45" t="s">
        <v>3784</v>
      </c>
      <c r="CX45" t="s">
        <v>849</v>
      </c>
      <c r="DC45" t="s">
        <v>3771</v>
      </c>
      <c r="DE45" t="s">
        <v>3785</v>
      </c>
      <c r="DG45" t="s">
        <v>1400</v>
      </c>
      <c r="DH45" s="54">
        <v>43314</v>
      </c>
      <c r="DI45" s="54">
        <v>43335</v>
      </c>
    </row>
    <row r="46" spans="1:113" x14ac:dyDescent="0.25">
      <c r="A46" t="s">
        <v>1021</v>
      </c>
      <c r="B46">
        <v>5</v>
      </c>
      <c r="C46" s="54">
        <v>43208</v>
      </c>
      <c r="D46" t="s">
        <v>1143</v>
      </c>
      <c r="E46" t="s">
        <v>2687</v>
      </c>
      <c r="G46" t="s">
        <v>3789</v>
      </c>
      <c r="H46" t="s">
        <v>1382</v>
      </c>
      <c r="I46" t="s">
        <v>1382</v>
      </c>
      <c r="J46" t="s">
        <v>1382</v>
      </c>
      <c r="K46" t="s">
        <v>1382</v>
      </c>
      <c r="L46">
        <v>24.71</v>
      </c>
      <c r="M46">
        <v>49.29</v>
      </c>
      <c r="N46">
        <v>0</v>
      </c>
      <c r="O46" s="54"/>
      <c r="P46" s="54"/>
      <c r="Q46">
        <v>5</v>
      </c>
      <c r="R46">
        <v>14</v>
      </c>
      <c r="S46">
        <v>37</v>
      </c>
      <c r="T46">
        <v>20</v>
      </c>
      <c r="U46">
        <v>17</v>
      </c>
      <c r="V46">
        <v>1</v>
      </c>
      <c r="X46" t="s">
        <v>3790</v>
      </c>
      <c r="AA46">
        <v>0.92</v>
      </c>
      <c r="AB46">
        <v>52</v>
      </c>
      <c r="AC46">
        <v>0</v>
      </c>
      <c r="AD46">
        <v>27.45</v>
      </c>
      <c r="AE46">
        <v>0.27</v>
      </c>
      <c r="AF46">
        <v>0</v>
      </c>
      <c r="AG46">
        <v>0</v>
      </c>
      <c r="AJ46" s="54"/>
      <c r="AK46" s="54"/>
      <c r="AL46" s="54"/>
      <c r="AO46">
        <v>1</v>
      </c>
      <c r="AP46" t="s">
        <v>1383</v>
      </c>
      <c r="AR46">
        <v>1</v>
      </c>
      <c r="AS46" t="s">
        <v>1384</v>
      </c>
      <c r="AT46">
        <v>1</v>
      </c>
      <c r="AV46">
        <v>0</v>
      </c>
      <c r="AW46">
        <v>0</v>
      </c>
      <c r="AX46">
        <v>0</v>
      </c>
      <c r="AY46" t="s">
        <v>1385</v>
      </c>
      <c r="AZ46" t="s">
        <v>1385</v>
      </c>
      <c r="BA46">
        <v>60</v>
      </c>
      <c r="BD46">
        <v>1000000000</v>
      </c>
      <c r="BE46">
        <v>101</v>
      </c>
      <c r="BF46">
        <v>0</v>
      </c>
      <c r="BG46">
        <v>0</v>
      </c>
      <c r="BH46">
        <v>0</v>
      </c>
      <c r="BI46">
        <v>0</v>
      </c>
      <c r="BJ46">
        <v>0</v>
      </c>
      <c r="BK46">
        <v>0</v>
      </c>
      <c r="BL46">
        <v>0</v>
      </c>
      <c r="BM46">
        <v>101</v>
      </c>
      <c r="BN46">
        <v>0</v>
      </c>
      <c r="BR46">
        <v>0</v>
      </c>
      <c r="BS46">
        <v>0</v>
      </c>
      <c r="BX46">
        <v>0</v>
      </c>
      <c r="BY46">
        <v>0</v>
      </c>
      <c r="BZ46">
        <v>0</v>
      </c>
      <c r="CA46">
        <v>0</v>
      </c>
      <c r="CC46">
        <v>0</v>
      </c>
      <c r="CD46" s="54">
        <v>42893</v>
      </c>
      <c r="CE46" s="54"/>
      <c r="CF46" s="54">
        <v>42949</v>
      </c>
      <c r="CG46" s="54">
        <v>43208</v>
      </c>
      <c r="CH46" s="54">
        <v>0</v>
      </c>
      <c r="CI46" s="54">
        <v>0</v>
      </c>
      <c r="CJ46">
        <v>0.28999999999999998</v>
      </c>
      <c r="CK46">
        <v>0</v>
      </c>
      <c r="CL46">
        <v>0</v>
      </c>
      <c r="CM46">
        <v>0</v>
      </c>
      <c r="CN46">
        <v>0</v>
      </c>
      <c r="CO46">
        <v>0</v>
      </c>
      <c r="CP46">
        <v>0.97</v>
      </c>
      <c r="CQ46" t="s">
        <v>1144</v>
      </c>
      <c r="CR46" t="s">
        <v>1143</v>
      </c>
      <c r="CS46" t="s">
        <v>3665</v>
      </c>
      <c r="CT46" t="s">
        <v>1403</v>
      </c>
      <c r="CU46" t="s">
        <v>3666</v>
      </c>
      <c r="CV46" t="s">
        <v>3791</v>
      </c>
      <c r="CW46" t="s">
        <v>3784</v>
      </c>
      <c r="CX46" t="s">
        <v>849</v>
      </c>
      <c r="DC46" t="s">
        <v>3771</v>
      </c>
      <c r="DE46" t="s">
        <v>3785</v>
      </c>
      <c r="DH46" s="54"/>
      <c r="DI46" s="54"/>
    </row>
    <row r="47" spans="1:113" x14ac:dyDescent="0.25">
      <c r="A47" t="s">
        <v>1021</v>
      </c>
      <c r="B47">
        <v>5</v>
      </c>
      <c r="C47" s="54">
        <v>43208</v>
      </c>
      <c r="D47" t="s">
        <v>1143</v>
      </c>
      <c r="E47" t="s">
        <v>1414</v>
      </c>
      <c r="G47" t="s">
        <v>3792</v>
      </c>
      <c r="H47" t="s">
        <v>1382</v>
      </c>
      <c r="I47" t="s">
        <v>1382</v>
      </c>
      <c r="J47" t="s">
        <v>1382</v>
      </c>
      <c r="K47" t="s">
        <v>1382</v>
      </c>
      <c r="L47">
        <v>23.08</v>
      </c>
      <c r="M47">
        <v>48.21</v>
      </c>
      <c r="N47">
        <v>0</v>
      </c>
      <c r="O47" s="54"/>
      <c r="P47" s="54"/>
      <c r="Q47">
        <v>5</v>
      </c>
      <c r="R47">
        <v>14</v>
      </c>
      <c r="S47">
        <v>37</v>
      </c>
      <c r="T47">
        <v>20</v>
      </c>
      <c r="U47">
        <v>17</v>
      </c>
      <c r="V47">
        <v>1</v>
      </c>
      <c r="W47" t="s">
        <v>3672</v>
      </c>
      <c r="X47" t="s">
        <v>3673</v>
      </c>
      <c r="Y47">
        <v>40</v>
      </c>
      <c r="AA47">
        <v>0.67</v>
      </c>
      <c r="AB47">
        <v>38</v>
      </c>
      <c r="AC47">
        <v>18.66</v>
      </c>
      <c r="AD47">
        <v>14.18</v>
      </c>
      <c r="AE47">
        <v>0.37</v>
      </c>
      <c r="AF47">
        <v>0</v>
      </c>
      <c r="AG47">
        <v>0</v>
      </c>
      <c r="AJ47" s="54"/>
      <c r="AK47" s="54"/>
      <c r="AL47" s="54"/>
      <c r="AO47">
        <v>1</v>
      </c>
      <c r="AP47" t="s">
        <v>1383</v>
      </c>
      <c r="AR47">
        <v>1</v>
      </c>
      <c r="AS47" t="s">
        <v>1384</v>
      </c>
      <c r="AT47">
        <v>1</v>
      </c>
      <c r="AV47">
        <v>50</v>
      </c>
      <c r="AW47">
        <v>33</v>
      </c>
      <c r="AX47">
        <v>17</v>
      </c>
      <c r="AY47" t="s">
        <v>1390</v>
      </c>
      <c r="AZ47" t="s">
        <v>1390</v>
      </c>
      <c r="BA47">
        <v>0</v>
      </c>
      <c r="BD47">
        <v>1000000000</v>
      </c>
      <c r="BE47">
        <v>38</v>
      </c>
      <c r="BF47">
        <v>0.24</v>
      </c>
      <c r="BG47">
        <v>0</v>
      </c>
      <c r="BH47">
        <v>0</v>
      </c>
      <c r="BI47">
        <v>0</v>
      </c>
      <c r="BJ47">
        <v>0</v>
      </c>
      <c r="BK47">
        <v>0</v>
      </c>
      <c r="BL47">
        <v>0</v>
      </c>
      <c r="BM47">
        <v>38</v>
      </c>
      <c r="BN47">
        <v>0.24</v>
      </c>
      <c r="BR47">
        <v>12</v>
      </c>
      <c r="BS47">
        <v>23</v>
      </c>
      <c r="BX47">
        <v>0</v>
      </c>
      <c r="BY47">
        <v>0</v>
      </c>
      <c r="BZ47">
        <v>0</v>
      </c>
      <c r="CA47">
        <v>1.41</v>
      </c>
      <c r="CC47">
        <v>1</v>
      </c>
      <c r="CD47" s="54">
        <v>42836</v>
      </c>
      <c r="CE47" s="54"/>
      <c r="CF47" s="54">
        <v>42949</v>
      </c>
      <c r="CG47" s="54">
        <v>43208</v>
      </c>
      <c r="CH47" s="54">
        <v>43132</v>
      </c>
      <c r="CI47" s="54">
        <v>43195</v>
      </c>
      <c r="CJ47">
        <v>0.21</v>
      </c>
      <c r="CK47">
        <v>0</v>
      </c>
      <c r="CL47">
        <v>0</v>
      </c>
      <c r="CM47">
        <v>0</v>
      </c>
      <c r="CN47">
        <v>0.35</v>
      </c>
      <c r="CO47">
        <v>0.63</v>
      </c>
      <c r="CP47">
        <v>0</v>
      </c>
      <c r="CQ47" t="s">
        <v>1144</v>
      </c>
      <c r="CR47" t="s">
        <v>1143</v>
      </c>
      <c r="CS47" t="s">
        <v>3665</v>
      </c>
      <c r="CT47" t="s">
        <v>1403</v>
      </c>
      <c r="CU47" t="s">
        <v>3666</v>
      </c>
      <c r="CV47" t="s">
        <v>3793</v>
      </c>
      <c r="CW47" t="s">
        <v>3784</v>
      </c>
      <c r="CX47" t="s">
        <v>849</v>
      </c>
      <c r="DC47" t="s">
        <v>3771</v>
      </c>
      <c r="DE47" t="s">
        <v>3785</v>
      </c>
      <c r="DG47" t="s">
        <v>3678</v>
      </c>
      <c r="DH47" s="54">
        <v>43251</v>
      </c>
      <c r="DI47" s="54">
        <v>43272</v>
      </c>
    </row>
    <row r="48" spans="1:113" x14ac:dyDescent="0.25">
      <c r="A48" t="s">
        <v>1021</v>
      </c>
      <c r="B48">
        <v>5</v>
      </c>
      <c r="C48" s="54">
        <v>43208</v>
      </c>
      <c r="D48" t="s">
        <v>1143</v>
      </c>
      <c r="E48" t="s">
        <v>3794</v>
      </c>
      <c r="G48" t="s">
        <v>3795</v>
      </c>
      <c r="H48" t="s">
        <v>1382</v>
      </c>
      <c r="I48" t="s">
        <v>1382</v>
      </c>
      <c r="J48" t="s">
        <v>1382</v>
      </c>
      <c r="K48" t="s">
        <v>1382</v>
      </c>
      <c r="L48">
        <v>281.27</v>
      </c>
      <c r="M48">
        <v>631.07000000000005</v>
      </c>
      <c r="N48">
        <v>0</v>
      </c>
      <c r="O48" s="54"/>
      <c r="P48" s="54"/>
      <c r="Q48">
        <v>5</v>
      </c>
      <c r="R48">
        <v>14</v>
      </c>
      <c r="S48">
        <v>37</v>
      </c>
      <c r="T48">
        <v>20</v>
      </c>
      <c r="U48">
        <v>17</v>
      </c>
      <c r="V48">
        <v>1</v>
      </c>
      <c r="X48" t="s">
        <v>3796</v>
      </c>
      <c r="AA48">
        <v>0</v>
      </c>
      <c r="AB48">
        <v>0</v>
      </c>
      <c r="AC48">
        <v>0</v>
      </c>
      <c r="AD48">
        <v>0</v>
      </c>
      <c r="AE48">
        <v>0</v>
      </c>
      <c r="AF48">
        <v>0</v>
      </c>
      <c r="AG48">
        <v>0</v>
      </c>
      <c r="AJ48" s="54"/>
      <c r="AK48" s="54"/>
      <c r="AL48" s="54"/>
      <c r="AO48">
        <v>1</v>
      </c>
      <c r="AP48" t="s">
        <v>1383</v>
      </c>
      <c r="AR48">
        <v>1</v>
      </c>
      <c r="AS48" t="s">
        <v>1384</v>
      </c>
      <c r="AT48">
        <v>1</v>
      </c>
      <c r="AV48">
        <v>0</v>
      </c>
      <c r="AW48">
        <v>0</v>
      </c>
      <c r="AX48">
        <v>0</v>
      </c>
      <c r="AY48" t="s">
        <v>1385</v>
      </c>
      <c r="AZ48" t="s">
        <v>1385</v>
      </c>
      <c r="BA48">
        <v>2</v>
      </c>
      <c r="BD48">
        <v>1000000000</v>
      </c>
      <c r="BE48">
        <v>4</v>
      </c>
      <c r="BF48">
        <v>0</v>
      </c>
      <c r="BG48">
        <v>0</v>
      </c>
      <c r="BH48">
        <v>0</v>
      </c>
      <c r="BI48">
        <v>0</v>
      </c>
      <c r="BJ48">
        <v>0</v>
      </c>
      <c r="BK48">
        <v>0</v>
      </c>
      <c r="BL48">
        <v>0</v>
      </c>
      <c r="BM48">
        <v>4</v>
      </c>
      <c r="BN48">
        <v>0</v>
      </c>
      <c r="BR48">
        <v>0</v>
      </c>
      <c r="BS48">
        <v>0</v>
      </c>
      <c r="BX48">
        <v>0</v>
      </c>
      <c r="BY48">
        <v>0</v>
      </c>
      <c r="BZ48">
        <v>0</v>
      </c>
      <c r="CA48">
        <v>0</v>
      </c>
      <c r="CC48">
        <v>0</v>
      </c>
      <c r="CD48" s="54">
        <v>43010</v>
      </c>
      <c r="CE48" s="54"/>
      <c r="CF48" s="54">
        <v>43010</v>
      </c>
      <c r="CG48" s="54">
        <v>43269</v>
      </c>
      <c r="CH48" s="54">
        <v>0</v>
      </c>
      <c r="CI48" s="54">
        <v>0</v>
      </c>
      <c r="CJ48">
        <v>0</v>
      </c>
      <c r="CK48">
        <v>0</v>
      </c>
      <c r="CL48">
        <v>0</v>
      </c>
      <c r="CM48">
        <v>0</v>
      </c>
      <c r="CN48">
        <v>0</v>
      </c>
      <c r="CO48">
        <v>0</v>
      </c>
      <c r="CP48">
        <v>0.79</v>
      </c>
      <c r="CQ48" t="s">
        <v>1144</v>
      </c>
      <c r="CR48" t="s">
        <v>1143</v>
      </c>
      <c r="CS48" t="s">
        <v>3665</v>
      </c>
      <c r="CT48" t="s">
        <v>1403</v>
      </c>
      <c r="CU48" t="s">
        <v>3666</v>
      </c>
      <c r="CV48" t="s">
        <v>3797</v>
      </c>
      <c r="CW48" t="s">
        <v>3784</v>
      </c>
      <c r="CX48" t="s">
        <v>849</v>
      </c>
      <c r="DC48" t="s">
        <v>3771</v>
      </c>
      <c r="DE48" t="s">
        <v>3785</v>
      </c>
      <c r="DH48" s="54"/>
      <c r="DI48" s="54"/>
    </row>
    <row r="49" spans="1:113" x14ac:dyDescent="0.25">
      <c r="A49" t="s">
        <v>1021</v>
      </c>
      <c r="B49">
        <v>5</v>
      </c>
      <c r="C49" s="54">
        <v>43208</v>
      </c>
      <c r="D49" t="s">
        <v>1143</v>
      </c>
      <c r="E49" t="s">
        <v>1415</v>
      </c>
      <c r="G49" t="s">
        <v>3798</v>
      </c>
      <c r="H49" t="s">
        <v>1382</v>
      </c>
      <c r="I49" t="s">
        <v>1382</v>
      </c>
      <c r="J49" t="s">
        <v>1382</v>
      </c>
      <c r="K49" t="s">
        <v>1382</v>
      </c>
      <c r="L49">
        <v>26.27</v>
      </c>
      <c r="M49">
        <v>60</v>
      </c>
      <c r="N49">
        <v>0</v>
      </c>
      <c r="O49" s="54"/>
      <c r="P49" s="54"/>
      <c r="Q49">
        <v>5</v>
      </c>
      <c r="R49">
        <v>14</v>
      </c>
      <c r="S49">
        <v>37</v>
      </c>
      <c r="T49">
        <v>20</v>
      </c>
      <c r="U49">
        <v>17</v>
      </c>
      <c r="V49">
        <v>1</v>
      </c>
      <c r="W49" t="s">
        <v>1391</v>
      </c>
      <c r="X49" t="s">
        <v>3673</v>
      </c>
      <c r="Z49" t="s">
        <v>3693</v>
      </c>
      <c r="AA49">
        <v>0.33</v>
      </c>
      <c r="AB49">
        <v>19</v>
      </c>
      <c r="AC49">
        <v>6.06</v>
      </c>
      <c r="AD49">
        <v>3.03</v>
      </c>
      <c r="AE49">
        <v>0.76</v>
      </c>
      <c r="AF49">
        <v>0</v>
      </c>
      <c r="AG49">
        <v>0</v>
      </c>
      <c r="AJ49" s="54"/>
      <c r="AK49" s="54"/>
      <c r="AL49" s="54"/>
      <c r="AO49">
        <v>1</v>
      </c>
      <c r="AP49" t="s">
        <v>1383</v>
      </c>
      <c r="AR49">
        <v>1</v>
      </c>
      <c r="AS49" t="s">
        <v>1384</v>
      </c>
      <c r="AT49">
        <v>1</v>
      </c>
      <c r="AV49">
        <v>8</v>
      </c>
      <c r="AW49">
        <v>5</v>
      </c>
      <c r="AX49">
        <v>3</v>
      </c>
      <c r="AY49" t="s">
        <v>1401</v>
      </c>
      <c r="AZ49" t="s">
        <v>1401</v>
      </c>
      <c r="BA49">
        <v>0</v>
      </c>
      <c r="BD49">
        <v>1000000000</v>
      </c>
      <c r="BE49">
        <v>4</v>
      </c>
      <c r="BF49">
        <v>0.5</v>
      </c>
      <c r="BG49">
        <v>0</v>
      </c>
      <c r="BH49">
        <v>0</v>
      </c>
      <c r="BI49">
        <v>0</v>
      </c>
      <c r="BJ49">
        <v>0</v>
      </c>
      <c r="BK49">
        <v>0</v>
      </c>
      <c r="BL49">
        <v>0</v>
      </c>
      <c r="BM49">
        <v>4</v>
      </c>
      <c r="BN49">
        <v>0.5</v>
      </c>
      <c r="BR49">
        <v>4</v>
      </c>
      <c r="BS49">
        <v>4</v>
      </c>
      <c r="BX49">
        <v>0</v>
      </c>
      <c r="BY49">
        <v>0</v>
      </c>
      <c r="BZ49">
        <v>0</v>
      </c>
      <c r="CA49">
        <v>1.67</v>
      </c>
      <c r="CC49">
        <v>1</v>
      </c>
      <c r="CD49" s="54">
        <v>42836</v>
      </c>
      <c r="CE49" s="54"/>
      <c r="CF49" s="54">
        <v>42949</v>
      </c>
      <c r="CG49" s="54">
        <v>43208</v>
      </c>
      <c r="CH49" s="54">
        <v>43007</v>
      </c>
      <c r="CI49" s="54">
        <v>43122</v>
      </c>
      <c r="CJ49">
        <v>0.43</v>
      </c>
      <c r="CK49">
        <v>0</v>
      </c>
      <c r="CL49">
        <v>0</v>
      </c>
      <c r="CM49">
        <v>0.47</v>
      </c>
      <c r="CN49">
        <v>0.4</v>
      </c>
      <c r="CO49">
        <v>0</v>
      </c>
      <c r="CP49">
        <v>0.1</v>
      </c>
      <c r="CQ49" t="s">
        <v>1144</v>
      </c>
      <c r="CR49" t="s">
        <v>1143</v>
      </c>
      <c r="CS49" t="s">
        <v>3665</v>
      </c>
      <c r="CT49" t="s">
        <v>1403</v>
      </c>
      <c r="CU49" t="s">
        <v>3666</v>
      </c>
      <c r="CV49" t="s">
        <v>3799</v>
      </c>
      <c r="CW49" t="s">
        <v>3784</v>
      </c>
      <c r="CX49" t="s">
        <v>849</v>
      </c>
      <c r="DC49" t="s">
        <v>3771</v>
      </c>
      <c r="DE49" t="s">
        <v>3785</v>
      </c>
      <c r="DG49" t="s">
        <v>3800</v>
      </c>
      <c r="DH49" s="54">
        <v>43126</v>
      </c>
      <c r="DI49" s="54">
        <v>43147</v>
      </c>
    </row>
    <row r="50" spans="1:113" x14ac:dyDescent="0.25">
      <c r="A50" t="s">
        <v>1021</v>
      </c>
      <c r="B50">
        <v>5</v>
      </c>
      <c r="C50" s="54">
        <v>43208</v>
      </c>
      <c r="D50" t="s">
        <v>1143</v>
      </c>
      <c r="E50" t="s">
        <v>1416</v>
      </c>
      <c r="G50" t="s">
        <v>3801</v>
      </c>
      <c r="H50" t="s">
        <v>1382</v>
      </c>
      <c r="I50" t="s">
        <v>1382</v>
      </c>
      <c r="J50" t="s">
        <v>1382</v>
      </c>
      <c r="K50" t="s">
        <v>1382</v>
      </c>
      <c r="L50">
        <v>4.93</v>
      </c>
      <c r="M50">
        <v>10.82</v>
      </c>
      <c r="N50">
        <v>0</v>
      </c>
      <c r="O50" s="54"/>
      <c r="P50" s="54"/>
      <c r="Q50">
        <v>5</v>
      </c>
      <c r="R50">
        <v>14</v>
      </c>
      <c r="S50">
        <v>37</v>
      </c>
      <c r="T50">
        <v>20</v>
      </c>
      <c r="U50">
        <v>17</v>
      </c>
      <c r="V50">
        <v>1</v>
      </c>
      <c r="W50" t="s">
        <v>1391</v>
      </c>
      <c r="X50" t="s">
        <v>3774</v>
      </c>
      <c r="AA50">
        <v>0.5</v>
      </c>
      <c r="AB50">
        <v>28</v>
      </c>
      <c r="AC50">
        <v>17.5</v>
      </c>
      <c r="AD50">
        <v>16</v>
      </c>
      <c r="AE50">
        <v>0.5</v>
      </c>
      <c r="AF50">
        <v>0</v>
      </c>
      <c r="AG50">
        <v>0</v>
      </c>
      <c r="AJ50" s="54"/>
      <c r="AK50" s="54"/>
      <c r="AL50" s="54"/>
      <c r="AO50">
        <v>1</v>
      </c>
      <c r="AP50" t="s">
        <v>1383</v>
      </c>
      <c r="AR50">
        <v>1</v>
      </c>
      <c r="AS50" t="s">
        <v>1384</v>
      </c>
      <c r="AT50">
        <v>1</v>
      </c>
      <c r="AV50">
        <v>35</v>
      </c>
      <c r="AW50">
        <v>23</v>
      </c>
      <c r="AX50">
        <v>12</v>
      </c>
      <c r="AY50" t="s">
        <v>1390</v>
      </c>
      <c r="AZ50" t="s">
        <v>1390</v>
      </c>
      <c r="BA50">
        <v>50</v>
      </c>
      <c r="BD50">
        <v>1000000000</v>
      </c>
      <c r="BE50">
        <v>32</v>
      </c>
      <c r="BF50">
        <v>0.09</v>
      </c>
      <c r="BG50">
        <v>0</v>
      </c>
      <c r="BH50">
        <v>0</v>
      </c>
      <c r="BI50">
        <v>0</v>
      </c>
      <c r="BJ50">
        <v>0</v>
      </c>
      <c r="BK50">
        <v>0</v>
      </c>
      <c r="BL50">
        <v>0</v>
      </c>
      <c r="BM50">
        <v>32</v>
      </c>
      <c r="BN50">
        <v>0.09</v>
      </c>
      <c r="BR50">
        <v>3</v>
      </c>
      <c r="BS50">
        <v>16</v>
      </c>
      <c r="BX50">
        <v>0</v>
      </c>
      <c r="BY50">
        <v>0</v>
      </c>
      <c r="BZ50">
        <v>0</v>
      </c>
      <c r="CA50">
        <v>1.55</v>
      </c>
      <c r="CC50">
        <v>0</v>
      </c>
      <c r="CD50" s="54">
        <v>42894</v>
      </c>
      <c r="CE50" s="54"/>
      <c r="CF50" s="54">
        <v>42949</v>
      </c>
      <c r="CG50" s="54">
        <v>43208</v>
      </c>
      <c r="CH50" s="54">
        <v>0</v>
      </c>
      <c r="CI50" s="54">
        <v>0</v>
      </c>
      <c r="CJ50">
        <v>0.09</v>
      </c>
      <c r="CK50">
        <v>0</v>
      </c>
      <c r="CL50">
        <v>0</v>
      </c>
      <c r="CM50">
        <v>0</v>
      </c>
      <c r="CN50">
        <v>0</v>
      </c>
      <c r="CO50">
        <v>0.28999999999999998</v>
      </c>
      <c r="CP50">
        <v>0.68</v>
      </c>
      <c r="CQ50" t="s">
        <v>1144</v>
      </c>
      <c r="CR50" t="s">
        <v>1143</v>
      </c>
      <c r="CS50" t="s">
        <v>3665</v>
      </c>
      <c r="CT50" t="s">
        <v>1403</v>
      </c>
      <c r="CU50" t="s">
        <v>3666</v>
      </c>
      <c r="CV50" t="s">
        <v>3802</v>
      </c>
      <c r="CW50" t="s">
        <v>3784</v>
      </c>
      <c r="CX50" t="s">
        <v>849</v>
      </c>
      <c r="DC50" t="s">
        <v>3771</v>
      </c>
      <c r="DE50" t="s">
        <v>3785</v>
      </c>
      <c r="DG50" t="s">
        <v>1400</v>
      </c>
      <c r="DH50" s="54"/>
      <c r="DI50" s="54"/>
    </row>
    <row r="51" spans="1:113" x14ac:dyDescent="0.25">
      <c r="A51" t="s">
        <v>1021</v>
      </c>
      <c r="B51">
        <v>5</v>
      </c>
      <c r="C51" s="54">
        <v>43208</v>
      </c>
      <c r="D51" t="s">
        <v>1143</v>
      </c>
      <c r="E51" t="s">
        <v>1417</v>
      </c>
      <c r="G51" t="s">
        <v>3803</v>
      </c>
      <c r="H51" t="s">
        <v>1382</v>
      </c>
      <c r="I51" t="s">
        <v>1382</v>
      </c>
      <c r="J51" t="s">
        <v>1382</v>
      </c>
      <c r="K51" t="s">
        <v>1382</v>
      </c>
      <c r="L51">
        <v>4.17</v>
      </c>
      <c r="M51">
        <v>8.25</v>
      </c>
      <c r="N51">
        <v>0</v>
      </c>
      <c r="O51" s="54"/>
      <c r="P51" s="54"/>
      <c r="Q51">
        <v>5</v>
      </c>
      <c r="R51">
        <v>14</v>
      </c>
      <c r="S51">
        <v>37</v>
      </c>
      <c r="T51">
        <v>20</v>
      </c>
      <c r="U51">
        <v>17</v>
      </c>
      <c r="V51">
        <v>1</v>
      </c>
      <c r="W51" t="s">
        <v>3672</v>
      </c>
      <c r="X51" t="s">
        <v>3774</v>
      </c>
      <c r="Y51">
        <v>47</v>
      </c>
      <c r="AA51">
        <v>0.79</v>
      </c>
      <c r="AB51">
        <v>44</v>
      </c>
      <c r="AC51">
        <v>11.08</v>
      </c>
      <c r="AD51">
        <v>3.48</v>
      </c>
      <c r="AE51">
        <v>0.32</v>
      </c>
      <c r="AF51">
        <v>0</v>
      </c>
      <c r="AG51">
        <v>0</v>
      </c>
      <c r="AJ51" s="54"/>
      <c r="AK51" s="54"/>
      <c r="AL51" s="54"/>
      <c r="AO51">
        <v>1</v>
      </c>
      <c r="AP51" t="s">
        <v>1383</v>
      </c>
      <c r="AR51">
        <v>1</v>
      </c>
      <c r="AS51" t="s">
        <v>1384</v>
      </c>
      <c r="AT51">
        <v>1</v>
      </c>
      <c r="AV51">
        <v>35</v>
      </c>
      <c r="AW51">
        <v>23</v>
      </c>
      <c r="AX51">
        <v>12</v>
      </c>
      <c r="AY51" t="s">
        <v>1394</v>
      </c>
      <c r="AZ51" t="s">
        <v>1394</v>
      </c>
      <c r="BA51">
        <v>50</v>
      </c>
      <c r="BD51">
        <v>1000000000</v>
      </c>
      <c r="BE51">
        <v>11</v>
      </c>
      <c r="BF51">
        <v>0.69</v>
      </c>
      <c r="BG51">
        <v>0</v>
      </c>
      <c r="BH51">
        <v>0</v>
      </c>
      <c r="BI51">
        <v>0</v>
      </c>
      <c r="BJ51">
        <v>0</v>
      </c>
      <c r="BK51">
        <v>0</v>
      </c>
      <c r="BL51">
        <v>0</v>
      </c>
      <c r="BM51">
        <v>11</v>
      </c>
      <c r="BN51">
        <v>0.69</v>
      </c>
      <c r="BR51">
        <v>24</v>
      </c>
      <c r="BS51">
        <v>16</v>
      </c>
      <c r="BX51">
        <v>4.08</v>
      </c>
      <c r="BY51">
        <v>0</v>
      </c>
      <c r="BZ51">
        <v>0</v>
      </c>
      <c r="CA51">
        <v>1.27</v>
      </c>
      <c r="CC51">
        <v>1</v>
      </c>
      <c r="CD51" s="54">
        <v>42894</v>
      </c>
      <c r="CE51" s="54"/>
      <c r="CF51" s="54">
        <v>42949</v>
      </c>
      <c r="CG51" s="54">
        <v>43208</v>
      </c>
      <c r="CH51" s="54">
        <v>43132</v>
      </c>
      <c r="CI51" s="54">
        <v>43195</v>
      </c>
      <c r="CJ51">
        <v>0.28000000000000003</v>
      </c>
      <c r="CK51">
        <v>27</v>
      </c>
      <c r="CL51">
        <v>0</v>
      </c>
      <c r="CM51">
        <v>0.11</v>
      </c>
      <c r="CN51">
        <v>0.38</v>
      </c>
      <c r="CO51">
        <v>0.49</v>
      </c>
      <c r="CP51">
        <v>0</v>
      </c>
      <c r="CQ51" t="s">
        <v>1144</v>
      </c>
      <c r="CR51" t="s">
        <v>1143</v>
      </c>
      <c r="CS51" t="s">
        <v>3665</v>
      </c>
      <c r="CT51" t="s">
        <v>1403</v>
      </c>
      <c r="CU51" t="s">
        <v>3666</v>
      </c>
      <c r="CV51" t="s">
        <v>3804</v>
      </c>
      <c r="CW51" t="s">
        <v>3784</v>
      </c>
      <c r="CX51" t="s">
        <v>849</v>
      </c>
      <c r="DC51" t="s">
        <v>3771</v>
      </c>
      <c r="DE51" t="s">
        <v>3785</v>
      </c>
      <c r="DG51" t="s">
        <v>3678</v>
      </c>
      <c r="DH51" s="54">
        <v>43251</v>
      </c>
      <c r="DI51" s="54">
        <v>43272</v>
      </c>
    </row>
    <row r="52" spans="1:113" x14ac:dyDescent="0.25">
      <c r="A52" t="s">
        <v>1021</v>
      </c>
      <c r="B52">
        <v>5</v>
      </c>
      <c r="C52" s="54">
        <v>43208</v>
      </c>
      <c r="D52" t="s">
        <v>1143</v>
      </c>
      <c r="E52" t="s">
        <v>1418</v>
      </c>
      <c r="G52" t="s">
        <v>3805</v>
      </c>
      <c r="H52" t="s">
        <v>1382</v>
      </c>
      <c r="I52" t="s">
        <v>1382</v>
      </c>
      <c r="J52" t="s">
        <v>1382</v>
      </c>
      <c r="K52" t="s">
        <v>1382</v>
      </c>
      <c r="L52">
        <v>6.2</v>
      </c>
      <c r="M52">
        <v>12.86</v>
      </c>
      <c r="N52">
        <v>0</v>
      </c>
      <c r="O52" s="54"/>
      <c r="P52" s="54"/>
      <c r="Q52">
        <v>5</v>
      </c>
      <c r="R52">
        <v>14</v>
      </c>
      <c r="S52">
        <v>37</v>
      </c>
      <c r="T52">
        <v>20</v>
      </c>
      <c r="U52">
        <v>17</v>
      </c>
      <c r="V52">
        <v>1</v>
      </c>
      <c r="W52" t="s">
        <v>3672</v>
      </c>
      <c r="X52" t="s">
        <v>3774</v>
      </c>
      <c r="Y52">
        <v>399</v>
      </c>
      <c r="AA52">
        <v>6.67</v>
      </c>
      <c r="AB52">
        <v>371</v>
      </c>
      <c r="AC52">
        <v>11.24</v>
      </c>
      <c r="AD52">
        <v>6.86</v>
      </c>
      <c r="AE52">
        <v>0.04</v>
      </c>
      <c r="AF52">
        <v>0</v>
      </c>
      <c r="AG52">
        <v>0</v>
      </c>
      <c r="AJ52" s="54"/>
      <c r="AK52" s="54"/>
      <c r="AL52" s="54"/>
      <c r="AO52">
        <v>1</v>
      </c>
      <c r="AP52" t="s">
        <v>1383</v>
      </c>
      <c r="AR52">
        <v>1</v>
      </c>
      <c r="AS52" t="s">
        <v>1384</v>
      </c>
      <c r="AT52">
        <v>1</v>
      </c>
      <c r="AV52">
        <v>300</v>
      </c>
      <c r="AW52">
        <v>200</v>
      </c>
      <c r="AX52">
        <v>99</v>
      </c>
      <c r="AY52" t="s">
        <v>1401</v>
      </c>
      <c r="AZ52" t="s">
        <v>1401</v>
      </c>
      <c r="BA52">
        <v>40</v>
      </c>
      <c r="BD52">
        <v>1000000000</v>
      </c>
      <c r="BE52">
        <v>183</v>
      </c>
      <c r="BF52">
        <v>0.39</v>
      </c>
      <c r="BG52">
        <v>0</v>
      </c>
      <c r="BH52">
        <v>0</v>
      </c>
      <c r="BI52">
        <v>0</v>
      </c>
      <c r="BJ52">
        <v>0</v>
      </c>
      <c r="BK52">
        <v>0</v>
      </c>
      <c r="BL52">
        <v>0</v>
      </c>
      <c r="BM52">
        <v>183</v>
      </c>
      <c r="BN52">
        <v>0.39</v>
      </c>
      <c r="BR52">
        <v>117</v>
      </c>
      <c r="BS52">
        <v>138</v>
      </c>
      <c r="BX52">
        <v>0</v>
      </c>
      <c r="BY52">
        <v>0</v>
      </c>
      <c r="BZ52">
        <v>0</v>
      </c>
      <c r="CA52">
        <v>1.39</v>
      </c>
      <c r="CC52">
        <v>1</v>
      </c>
      <c r="CD52" s="54">
        <v>42894</v>
      </c>
      <c r="CE52" s="54"/>
      <c r="CF52" s="54">
        <v>42949</v>
      </c>
      <c r="CG52" s="54">
        <v>43208</v>
      </c>
      <c r="CH52" s="54">
        <v>43132</v>
      </c>
      <c r="CI52" s="54">
        <v>43195</v>
      </c>
      <c r="CJ52">
        <v>0.39</v>
      </c>
      <c r="CK52">
        <v>2871</v>
      </c>
      <c r="CL52">
        <v>0.11</v>
      </c>
      <c r="CM52">
        <v>0</v>
      </c>
      <c r="CN52">
        <v>0.21</v>
      </c>
      <c r="CO52">
        <v>0.65</v>
      </c>
      <c r="CP52">
        <v>0</v>
      </c>
      <c r="CQ52" t="s">
        <v>1144</v>
      </c>
      <c r="CR52" t="s">
        <v>1143</v>
      </c>
      <c r="CS52" t="s">
        <v>3665</v>
      </c>
      <c r="CT52" t="s">
        <v>1403</v>
      </c>
      <c r="CU52" t="s">
        <v>3666</v>
      </c>
      <c r="CV52" t="s">
        <v>3806</v>
      </c>
      <c r="CW52" t="s">
        <v>3784</v>
      </c>
      <c r="CX52" t="s">
        <v>849</v>
      </c>
      <c r="DC52" t="s">
        <v>3771</v>
      </c>
      <c r="DE52" t="s">
        <v>3785</v>
      </c>
      <c r="DG52" t="s">
        <v>3678</v>
      </c>
      <c r="DH52" s="54">
        <v>43251</v>
      </c>
      <c r="DI52" s="54">
        <v>43272</v>
      </c>
    </row>
    <row r="53" spans="1:113" x14ac:dyDescent="0.25">
      <c r="A53" t="s">
        <v>1021</v>
      </c>
      <c r="B53">
        <v>5</v>
      </c>
      <c r="C53" s="54">
        <v>43208</v>
      </c>
      <c r="D53" t="s">
        <v>1143</v>
      </c>
      <c r="E53" t="s">
        <v>2689</v>
      </c>
      <c r="G53" t="s">
        <v>3807</v>
      </c>
      <c r="H53" t="s">
        <v>1382</v>
      </c>
      <c r="I53" t="s">
        <v>1382</v>
      </c>
      <c r="J53" t="s">
        <v>1382</v>
      </c>
      <c r="K53" t="s">
        <v>1382</v>
      </c>
      <c r="L53">
        <v>78.55</v>
      </c>
      <c r="M53">
        <v>203.57</v>
      </c>
      <c r="N53">
        <v>0</v>
      </c>
      <c r="O53" s="54"/>
      <c r="P53" s="54"/>
      <c r="Q53">
        <v>5</v>
      </c>
      <c r="R53">
        <v>14</v>
      </c>
      <c r="S53">
        <v>37</v>
      </c>
      <c r="T53">
        <v>20</v>
      </c>
      <c r="U53">
        <v>17</v>
      </c>
      <c r="V53">
        <v>1</v>
      </c>
      <c r="W53" t="s">
        <v>1391</v>
      </c>
      <c r="X53" t="s">
        <v>3673</v>
      </c>
      <c r="AA53">
        <v>10.25</v>
      </c>
      <c r="AB53">
        <v>569</v>
      </c>
      <c r="AC53">
        <v>7.32</v>
      </c>
      <c r="AD53">
        <v>10.51</v>
      </c>
      <c r="AE53">
        <v>0.02</v>
      </c>
      <c r="AF53">
        <v>0</v>
      </c>
      <c r="AG53">
        <v>0</v>
      </c>
      <c r="AH53" t="s">
        <v>3808</v>
      </c>
      <c r="AI53">
        <v>600</v>
      </c>
      <c r="AJ53" s="54"/>
      <c r="AK53" s="54"/>
      <c r="AL53" s="54"/>
      <c r="AO53">
        <v>1</v>
      </c>
      <c r="AP53" t="s">
        <v>1383</v>
      </c>
      <c r="AR53">
        <v>1</v>
      </c>
      <c r="AS53" t="s">
        <v>1384</v>
      </c>
      <c r="AT53">
        <v>1</v>
      </c>
      <c r="AV53">
        <v>300</v>
      </c>
      <c r="AW53">
        <v>200</v>
      </c>
      <c r="AX53">
        <v>99</v>
      </c>
      <c r="AY53" t="s">
        <v>1401</v>
      </c>
      <c r="AZ53" t="s">
        <v>1389</v>
      </c>
      <c r="BA53">
        <v>0</v>
      </c>
      <c r="BD53">
        <v>1000000000</v>
      </c>
      <c r="BE53">
        <v>131</v>
      </c>
      <c r="BF53">
        <v>0.56000000000000005</v>
      </c>
      <c r="BG53">
        <v>300</v>
      </c>
      <c r="BH53">
        <v>0</v>
      </c>
      <c r="BI53">
        <v>0</v>
      </c>
      <c r="BJ53">
        <v>0</v>
      </c>
      <c r="BK53">
        <v>0</v>
      </c>
      <c r="BL53">
        <v>0</v>
      </c>
      <c r="BM53">
        <v>431</v>
      </c>
      <c r="BN53">
        <v>-0.44</v>
      </c>
      <c r="BR53">
        <v>0</v>
      </c>
      <c r="BS53">
        <v>138</v>
      </c>
      <c r="BX53">
        <v>0</v>
      </c>
      <c r="BY53">
        <v>0</v>
      </c>
      <c r="BZ53">
        <v>0</v>
      </c>
      <c r="CA53">
        <v>2.06</v>
      </c>
      <c r="CC53">
        <v>0</v>
      </c>
      <c r="CD53" s="54">
        <v>42836</v>
      </c>
      <c r="CE53" s="54"/>
      <c r="CF53" s="54">
        <v>42949</v>
      </c>
      <c r="CG53" s="54">
        <v>43208</v>
      </c>
      <c r="CH53" s="54">
        <v>43195</v>
      </c>
      <c r="CI53" s="54">
        <v>43122</v>
      </c>
      <c r="CJ53">
        <v>0.91</v>
      </c>
      <c r="CK53">
        <v>0</v>
      </c>
      <c r="CL53">
        <v>0.11</v>
      </c>
      <c r="CM53">
        <v>0.48</v>
      </c>
      <c r="CN53">
        <v>0.17</v>
      </c>
      <c r="CO53">
        <v>0.21</v>
      </c>
      <c r="CP53">
        <v>0</v>
      </c>
      <c r="CQ53" t="s">
        <v>1144</v>
      </c>
      <c r="CR53" t="s">
        <v>1143</v>
      </c>
      <c r="CS53" t="s">
        <v>3665</v>
      </c>
      <c r="CT53" t="s">
        <v>1403</v>
      </c>
      <c r="CU53" t="s">
        <v>3666</v>
      </c>
      <c r="CV53" t="s">
        <v>3809</v>
      </c>
      <c r="CW53" t="s">
        <v>3784</v>
      </c>
      <c r="CX53" t="s">
        <v>849</v>
      </c>
      <c r="DC53" t="s">
        <v>3771</v>
      </c>
      <c r="DE53" t="s">
        <v>3785</v>
      </c>
      <c r="DG53" t="s">
        <v>1400</v>
      </c>
      <c r="DH53" s="54">
        <v>43314</v>
      </c>
      <c r="DI53" s="54">
        <v>43335</v>
      </c>
    </row>
    <row r="54" spans="1:113" x14ac:dyDescent="0.25">
      <c r="A54" t="s">
        <v>1021</v>
      </c>
      <c r="B54">
        <v>5</v>
      </c>
      <c r="C54" s="54">
        <v>43208</v>
      </c>
      <c r="D54" t="s">
        <v>1143</v>
      </c>
      <c r="E54" t="s">
        <v>1419</v>
      </c>
      <c r="G54" t="s">
        <v>3810</v>
      </c>
      <c r="H54" t="s">
        <v>1382</v>
      </c>
      <c r="I54" t="s">
        <v>1382</v>
      </c>
      <c r="J54" t="s">
        <v>1382</v>
      </c>
      <c r="K54" t="s">
        <v>1382</v>
      </c>
      <c r="L54">
        <v>3</v>
      </c>
      <c r="M54">
        <v>6.64</v>
      </c>
      <c r="N54">
        <v>0</v>
      </c>
      <c r="O54" s="54"/>
      <c r="P54" s="54"/>
      <c r="Q54">
        <v>5</v>
      </c>
      <c r="R54">
        <v>14</v>
      </c>
      <c r="S54">
        <v>37</v>
      </c>
      <c r="T54">
        <v>20</v>
      </c>
      <c r="U54">
        <v>17</v>
      </c>
      <c r="V54">
        <v>1</v>
      </c>
      <c r="W54" t="s">
        <v>3672</v>
      </c>
      <c r="X54" t="s">
        <v>3673</v>
      </c>
      <c r="Y54">
        <v>40</v>
      </c>
      <c r="AA54">
        <v>0.67</v>
      </c>
      <c r="AB54">
        <v>38</v>
      </c>
      <c r="AC54">
        <v>11.19</v>
      </c>
      <c r="AD54">
        <v>6.34</v>
      </c>
      <c r="AE54">
        <v>0.37</v>
      </c>
      <c r="AF54">
        <v>0</v>
      </c>
      <c r="AG54">
        <v>0</v>
      </c>
      <c r="AJ54" s="54"/>
      <c r="AK54" s="54"/>
      <c r="AL54" s="54"/>
      <c r="AO54">
        <v>1</v>
      </c>
      <c r="AP54" t="s">
        <v>1383</v>
      </c>
      <c r="AR54">
        <v>1</v>
      </c>
      <c r="AS54" t="s">
        <v>1384</v>
      </c>
      <c r="AT54">
        <v>1</v>
      </c>
      <c r="AV54">
        <v>30</v>
      </c>
      <c r="AW54">
        <v>20</v>
      </c>
      <c r="AX54">
        <v>10</v>
      </c>
      <c r="AY54" t="s">
        <v>1401</v>
      </c>
      <c r="AZ54" t="s">
        <v>1401</v>
      </c>
      <c r="BA54">
        <v>0</v>
      </c>
      <c r="BD54">
        <v>1000000000</v>
      </c>
      <c r="BE54">
        <v>11</v>
      </c>
      <c r="BF54">
        <v>0.63</v>
      </c>
      <c r="BG54">
        <v>6</v>
      </c>
      <c r="BH54">
        <v>0</v>
      </c>
      <c r="BI54">
        <v>0</v>
      </c>
      <c r="BJ54">
        <v>0</v>
      </c>
      <c r="BK54">
        <v>0</v>
      </c>
      <c r="BL54">
        <v>0</v>
      </c>
      <c r="BM54">
        <v>17</v>
      </c>
      <c r="BN54">
        <v>0.43</v>
      </c>
      <c r="BR54">
        <v>13</v>
      </c>
      <c r="BS54">
        <v>14</v>
      </c>
      <c r="BX54">
        <v>0</v>
      </c>
      <c r="BY54">
        <v>0</v>
      </c>
      <c r="BZ54">
        <v>0</v>
      </c>
      <c r="CA54">
        <v>1.57</v>
      </c>
      <c r="CC54">
        <v>0.86</v>
      </c>
      <c r="CD54" s="54">
        <v>42836</v>
      </c>
      <c r="CE54" s="54"/>
      <c r="CF54" s="54">
        <v>42949</v>
      </c>
      <c r="CG54" s="54">
        <v>43208</v>
      </c>
      <c r="CH54" s="54">
        <v>43195</v>
      </c>
      <c r="CI54" s="54">
        <v>43122</v>
      </c>
      <c r="CJ54">
        <v>1.04</v>
      </c>
      <c r="CK54">
        <v>1229</v>
      </c>
      <c r="CL54">
        <v>0.05</v>
      </c>
      <c r="CM54">
        <v>0.51</v>
      </c>
      <c r="CN54">
        <v>0.22</v>
      </c>
      <c r="CO54">
        <v>0.19</v>
      </c>
      <c r="CP54">
        <v>0</v>
      </c>
      <c r="CQ54" t="s">
        <v>1144</v>
      </c>
      <c r="CR54" t="s">
        <v>1143</v>
      </c>
      <c r="CS54" t="s">
        <v>3665</v>
      </c>
      <c r="CT54" t="s">
        <v>1403</v>
      </c>
      <c r="CU54" t="s">
        <v>3666</v>
      </c>
      <c r="CV54" t="s">
        <v>3811</v>
      </c>
      <c r="CW54" t="s">
        <v>3784</v>
      </c>
      <c r="CX54" t="s">
        <v>849</v>
      </c>
      <c r="DC54" t="s">
        <v>3771</v>
      </c>
      <c r="DE54" t="s">
        <v>3785</v>
      </c>
      <c r="DG54" t="s">
        <v>3678</v>
      </c>
      <c r="DH54" s="54">
        <v>43314</v>
      </c>
      <c r="DI54" s="54">
        <v>43335</v>
      </c>
    </row>
    <row r="55" spans="1:113" x14ac:dyDescent="0.25">
      <c r="A55" t="s">
        <v>1021</v>
      </c>
      <c r="B55">
        <v>5</v>
      </c>
      <c r="C55" s="54">
        <v>43208</v>
      </c>
      <c r="D55" t="s">
        <v>1143</v>
      </c>
      <c r="E55" t="s">
        <v>1420</v>
      </c>
      <c r="G55" t="s">
        <v>3812</v>
      </c>
      <c r="H55" t="s">
        <v>1382</v>
      </c>
      <c r="I55" t="s">
        <v>1382</v>
      </c>
      <c r="J55" t="s">
        <v>1382</v>
      </c>
      <c r="K55" t="s">
        <v>1382</v>
      </c>
      <c r="L55">
        <v>24.16</v>
      </c>
      <c r="M55">
        <v>49.29</v>
      </c>
      <c r="N55">
        <v>0</v>
      </c>
      <c r="O55" s="54"/>
      <c r="P55" s="54"/>
      <c r="Q55">
        <v>5</v>
      </c>
      <c r="R55">
        <v>14</v>
      </c>
      <c r="S55">
        <v>37</v>
      </c>
      <c r="T55">
        <v>20</v>
      </c>
      <c r="U55">
        <v>17</v>
      </c>
      <c r="V55">
        <v>1</v>
      </c>
      <c r="W55" t="s">
        <v>3672</v>
      </c>
      <c r="X55" t="s">
        <v>3673</v>
      </c>
      <c r="Y55">
        <v>48</v>
      </c>
      <c r="Z55" t="s">
        <v>3693</v>
      </c>
      <c r="AA55">
        <v>0.28999999999999998</v>
      </c>
      <c r="AB55">
        <v>17</v>
      </c>
      <c r="AC55">
        <v>51.72</v>
      </c>
      <c r="AD55">
        <v>47.41</v>
      </c>
      <c r="AE55">
        <v>0.86</v>
      </c>
      <c r="AF55">
        <v>0</v>
      </c>
      <c r="AG55">
        <v>0</v>
      </c>
      <c r="AJ55" s="54"/>
      <c r="AK55" s="54"/>
      <c r="AL55" s="54"/>
      <c r="AO55">
        <v>1</v>
      </c>
      <c r="AP55" t="s">
        <v>1383</v>
      </c>
      <c r="AR55">
        <v>1</v>
      </c>
      <c r="AS55" t="s">
        <v>1384</v>
      </c>
      <c r="AT55">
        <v>1</v>
      </c>
      <c r="AV55">
        <v>60</v>
      </c>
      <c r="AW55">
        <v>40</v>
      </c>
      <c r="AX55">
        <v>20</v>
      </c>
      <c r="AY55" t="s">
        <v>1390</v>
      </c>
      <c r="AZ55" t="s">
        <v>1390</v>
      </c>
      <c r="BA55">
        <v>0</v>
      </c>
      <c r="BD55">
        <v>1000000000</v>
      </c>
      <c r="BE55">
        <v>55</v>
      </c>
      <c r="BF55">
        <v>0.08</v>
      </c>
      <c r="BG55">
        <v>0</v>
      </c>
      <c r="BH55">
        <v>0</v>
      </c>
      <c r="BI55">
        <v>0</v>
      </c>
      <c r="BJ55">
        <v>0</v>
      </c>
      <c r="BK55">
        <v>0</v>
      </c>
      <c r="BL55">
        <v>0</v>
      </c>
      <c r="BM55">
        <v>55</v>
      </c>
      <c r="BN55">
        <v>0.08</v>
      </c>
      <c r="BR55">
        <v>5</v>
      </c>
      <c r="BS55">
        <v>28</v>
      </c>
      <c r="BX55">
        <v>0</v>
      </c>
      <c r="BY55">
        <v>0</v>
      </c>
      <c r="BZ55">
        <v>0</v>
      </c>
      <c r="CA55">
        <v>1.35</v>
      </c>
      <c r="CC55">
        <v>1</v>
      </c>
      <c r="CD55" s="54">
        <v>42836</v>
      </c>
      <c r="CE55" s="54"/>
      <c r="CF55" s="54">
        <v>42949</v>
      </c>
      <c r="CG55" s="54">
        <v>43208</v>
      </c>
      <c r="CH55" s="54">
        <v>43132</v>
      </c>
      <c r="CI55" s="54">
        <v>43195</v>
      </c>
      <c r="CJ55">
        <v>0.16</v>
      </c>
      <c r="CK55">
        <v>0</v>
      </c>
      <c r="CL55">
        <v>0</v>
      </c>
      <c r="CM55">
        <v>0</v>
      </c>
      <c r="CN55">
        <v>0.38</v>
      </c>
      <c r="CO55">
        <v>0.6</v>
      </c>
      <c r="CP55">
        <v>0</v>
      </c>
      <c r="CQ55" t="s">
        <v>1144</v>
      </c>
      <c r="CR55" t="s">
        <v>1143</v>
      </c>
      <c r="CS55" t="s">
        <v>3665</v>
      </c>
      <c r="CT55" t="s">
        <v>1403</v>
      </c>
      <c r="CU55" t="s">
        <v>3666</v>
      </c>
      <c r="CV55" t="s">
        <v>3813</v>
      </c>
      <c r="CW55" t="s">
        <v>3784</v>
      </c>
      <c r="CX55" t="s">
        <v>849</v>
      </c>
      <c r="DC55" t="s">
        <v>3771</v>
      </c>
      <c r="DE55" t="s">
        <v>3785</v>
      </c>
      <c r="DG55" t="s">
        <v>3678</v>
      </c>
      <c r="DH55" s="54">
        <v>43251</v>
      </c>
      <c r="DI55" s="54">
        <v>43272</v>
      </c>
    </row>
    <row r="56" spans="1:113" x14ac:dyDescent="0.25">
      <c r="A56" t="s">
        <v>1021</v>
      </c>
      <c r="B56">
        <v>5</v>
      </c>
      <c r="C56" s="54">
        <v>43208</v>
      </c>
      <c r="D56" t="s">
        <v>1143</v>
      </c>
      <c r="E56" t="s">
        <v>3814</v>
      </c>
      <c r="G56" t="s">
        <v>3815</v>
      </c>
      <c r="H56" t="s">
        <v>1382</v>
      </c>
      <c r="I56" t="s">
        <v>1382</v>
      </c>
      <c r="J56" t="s">
        <v>1382</v>
      </c>
      <c r="K56" t="s">
        <v>1382</v>
      </c>
      <c r="L56">
        <v>310.92</v>
      </c>
      <c r="M56">
        <v>335</v>
      </c>
      <c r="N56">
        <v>0</v>
      </c>
      <c r="O56" s="54"/>
      <c r="P56" s="54"/>
      <c r="Q56">
        <v>5</v>
      </c>
      <c r="R56">
        <v>14</v>
      </c>
      <c r="S56">
        <v>37</v>
      </c>
      <c r="T56">
        <v>20</v>
      </c>
      <c r="U56">
        <v>17</v>
      </c>
      <c r="V56">
        <v>1</v>
      </c>
      <c r="X56" t="s">
        <v>3816</v>
      </c>
      <c r="AA56">
        <v>0</v>
      </c>
      <c r="AB56">
        <v>0</v>
      </c>
      <c r="AC56">
        <v>0</v>
      </c>
      <c r="AD56">
        <v>0</v>
      </c>
      <c r="AE56">
        <v>0</v>
      </c>
      <c r="AF56">
        <v>0</v>
      </c>
      <c r="AG56">
        <v>0</v>
      </c>
      <c r="AJ56" s="54"/>
      <c r="AK56" s="54"/>
      <c r="AL56" s="54">
        <v>42849</v>
      </c>
      <c r="AO56">
        <v>1</v>
      </c>
      <c r="AP56" t="s">
        <v>1383</v>
      </c>
      <c r="AR56">
        <v>1</v>
      </c>
      <c r="AS56" t="s">
        <v>1384</v>
      </c>
      <c r="AT56">
        <v>1</v>
      </c>
      <c r="AV56">
        <v>0</v>
      </c>
      <c r="AW56">
        <v>0</v>
      </c>
      <c r="AX56">
        <v>0</v>
      </c>
      <c r="AY56" t="s">
        <v>1385</v>
      </c>
      <c r="AZ56" t="s">
        <v>1385</v>
      </c>
      <c r="BA56">
        <v>40</v>
      </c>
      <c r="BD56">
        <v>1000000000</v>
      </c>
      <c r="BE56">
        <v>3</v>
      </c>
      <c r="BF56">
        <v>0</v>
      </c>
      <c r="BG56">
        <v>0</v>
      </c>
      <c r="BH56">
        <v>0</v>
      </c>
      <c r="BI56">
        <v>0</v>
      </c>
      <c r="BJ56">
        <v>0</v>
      </c>
      <c r="BK56">
        <v>0</v>
      </c>
      <c r="BL56">
        <v>0</v>
      </c>
      <c r="BM56">
        <v>3</v>
      </c>
      <c r="BN56">
        <v>0</v>
      </c>
      <c r="BR56">
        <v>0</v>
      </c>
      <c r="BS56">
        <v>0</v>
      </c>
      <c r="BX56">
        <v>0</v>
      </c>
      <c r="BY56">
        <v>0</v>
      </c>
      <c r="BZ56">
        <v>0</v>
      </c>
      <c r="CA56">
        <v>0</v>
      </c>
      <c r="CC56">
        <v>0</v>
      </c>
      <c r="CD56" s="54">
        <v>42339</v>
      </c>
      <c r="CE56" s="54"/>
      <c r="CF56" s="54">
        <v>42949</v>
      </c>
      <c r="CG56" s="54">
        <v>43208</v>
      </c>
      <c r="CH56" s="54">
        <v>0</v>
      </c>
      <c r="CI56" s="54">
        <v>0</v>
      </c>
      <c r="CJ56">
        <v>0.5</v>
      </c>
      <c r="CK56">
        <v>0</v>
      </c>
      <c r="CL56">
        <v>0.19</v>
      </c>
      <c r="CM56">
        <v>0</v>
      </c>
      <c r="CN56">
        <v>0</v>
      </c>
      <c r="CO56">
        <v>0</v>
      </c>
      <c r="CP56">
        <v>0.78</v>
      </c>
      <c r="CQ56" t="s">
        <v>1144</v>
      </c>
      <c r="CR56" t="s">
        <v>1143</v>
      </c>
      <c r="CS56" t="s">
        <v>3665</v>
      </c>
      <c r="CT56" t="s">
        <v>1403</v>
      </c>
      <c r="CU56" t="s">
        <v>3666</v>
      </c>
      <c r="CV56" t="s">
        <v>3817</v>
      </c>
      <c r="CW56" t="s">
        <v>3818</v>
      </c>
      <c r="CX56" t="s">
        <v>3669</v>
      </c>
      <c r="DC56" t="s">
        <v>3819</v>
      </c>
      <c r="DE56" t="s">
        <v>3670</v>
      </c>
      <c r="DH56" s="54"/>
      <c r="DI56" s="54"/>
    </row>
    <row r="57" spans="1:113" x14ac:dyDescent="0.25">
      <c r="A57" t="s">
        <v>1021</v>
      </c>
      <c r="B57">
        <v>5</v>
      </c>
      <c r="C57" s="54">
        <v>43208</v>
      </c>
      <c r="D57" t="s">
        <v>1143</v>
      </c>
      <c r="E57" t="s">
        <v>2786</v>
      </c>
      <c r="G57" t="s">
        <v>3820</v>
      </c>
      <c r="H57" t="s">
        <v>1382</v>
      </c>
      <c r="I57" t="s">
        <v>1382</v>
      </c>
      <c r="J57" t="s">
        <v>1382</v>
      </c>
      <c r="K57" t="s">
        <v>1382</v>
      </c>
      <c r="L57">
        <v>3.35</v>
      </c>
      <c r="M57">
        <v>7.79</v>
      </c>
      <c r="N57">
        <v>0</v>
      </c>
      <c r="O57" s="54"/>
      <c r="P57" s="54"/>
      <c r="Q57">
        <v>5</v>
      </c>
      <c r="R57">
        <v>14</v>
      </c>
      <c r="S57">
        <v>37</v>
      </c>
      <c r="T57">
        <v>20</v>
      </c>
      <c r="U57">
        <v>17</v>
      </c>
      <c r="V57">
        <v>1</v>
      </c>
      <c r="X57" t="s">
        <v>3774</v>
      </c>
      <c r="AA57">
        <v>10.71</v>
      </c>
      <c r="AB57">
        <v>595</v>
      </c>
      <c r="AC57">
        <v>23.34</v>
      </c>
      <c r="AD57">
        <v>50.44</v>
      </c>
      <c r="AE57">
        <v>0.02</v>
      </c>
      <c r="AF57">
        <v>0</v>
      </c>
      <c r="AG57">
        <v>0</v>
      </c>
      <c r="AJ57" s="54"/>
      <c r="AK57" s="54"/>
      <c r="AL57" s="54"/>
      <c r="AO57">
        <v>1</v>
      </c>
      <c r="AP57" t="s">
        <v>1383</v>
      </c>
      <c r="AR57">
        <v>1</v>
      </c>
      <c r="AS57" t="s">
        <v>1384</v>
      </c>
      <c r="AT57">
        <v>1</v>
      </c>
      <c r="AV57">
        <v>1000</v>
      </c>
      <c r="AW57">
        <v>665</v>
      </c>
      <c r="AX57">
        <v>330</v>
      </c>
      <c r="AY57" t="s">
        <v>1389</v>
      </c>
      <c r="AZ57" t="s">
        <v>1389</v>
      </c>
      <c r="BA57">
        <v>400</v>
      </c>
      <c r="BD57">
        <v>1000000000</v>
      </c>
      <c r="BE57">
        <v>1161</v>
      </c>
      <c r="BF57">
        <v>-0.16</v>
      </c>
      <c r="BG57">
        <v>1000</v>
      </c>
      <c r="BH57">
        <v>0</v>
      </c>
      <c r="BI57">
        <v>0</v>
      </c>
      <c r="BJ57">
        <v>0</v>
      </c>
      <c r="BK57">
        <v>0</v>
      </c>
      <c r="BL57">
        <v>0</v>
      </c>
      <c r="BM57">
        <v>2161</v>
      </c>
      <c r="BN57">
        <v>-1.1599999999999999</v>
      </c>
      <c r="BR57">
        <v>0</v>
      </c>
      <c r="BS57">
        <v>459</v>
      </c>
      <c r="BX57">
        <v>0</v>
      </c>
      <c r="BY57">
        <v>539.35</v>
      </c>
      <c r="BZ57">
        <v>0</v>
      </c>
      <c r="CA57">
        <v>1.72</v>
      </c>
      <c r="CC57">
        <v>0</v>
      </c>
      <c r="CD57" s="54">
        <v>42894</v>
      </c>
      <c r="CE57" s="54"/>
      <c r="CF57" s="54">
        <v>42949</v>
      </c>
      <c r="CG57" s="54">
        <v>43208</v>
      </c>
      <c r="CH57" s="54">
        <v>43195</v>
      </c>
      <c r="CI57" s="54">
        <v>43122</v>
      </c>
      <c r="CJ57">
        <v>0.71</v>
      </c>
      <c r="CK57">
        <v>0</v>
      </c>
      <c r="CL57">
        <v>0.11</v>
      </c>
      <c r="CM57">
        <v>0</v>
      </c>
      <c r="CN57">
        <v>0.51</v>
      </c>
      <c r="CO57">
        <v>0</v>
      </c>
      <c r="CP57">
        <v>0.35</v>
      </c>
      <c r="CQ57" t="s">
        <v>1144</v>
      </c>
      <c r="CR57" t="s">
        <v>1143</v>
      </c>
      <c r="CS57" t="s">
        <v>3665</v>
      </c>
      <c r="CT57" t="s">
        <v>1403</v>
      </c>
      <c r="CU57" t="s">
        <v>3666</v>
      </c>
      <c r="CV57" t="s">
        <v>3821</v>
      </c>
      <c r="CW57" t="s">
        <v>3770</v>
      </c>
      <c r="CX57" t="s">
        <v>849</v>
      </c>
      <c r="DC57" t="s">
        <v>3771</v>
      </c>
      <c r="DE57" t="s">
        <v>3772</v>
      </c>
      <c r="DG57" t="s">
        <v>1400</v>
      </c>
      <c r="DH57" s="54">
        <v>43314</v>
      </c>
      <c r="DI57" s="54">
        <v>43335</v>
      </c>
    </row>
    <row r="58" spans="1:113" x14ac:dyDescent="0.25">
      <c r="A58" t="s">
        <v>1021</v>
      </c>
      <c r="B58">
        <v>34</v>
      </c>
      <c r="C58" s="54">
        <v>43208</v>
      </c>
      <c r="D58" t="s">
        <v>1143</v>
      </c>
      <c r="E58" t="s">
        <v>2788</v>
      </c>
      <c r="G58" t="s">
        <v>3822</v>
      </c>
      <c r="H58" t="s">
        <v>1382</v>
      </c>
      <c r="I58" t="s">
        <v>1382</v>
      </c>
      <c r="J58" t="s">
        <v>1382</v>
      </c>
      <c r="K58" t="s">
        <v>1382</v>
      </c>
      <c r="L58">
        <v>11.31</v>
      </c>
      <c r="M58">
        <v>31.5</v>
      </c>
      <c r="N58">
        <v>0</v>
      </c>
      <c r="O58" s="54"/>
      <c r="P58" s="54"/>
      <c r="Q58">
        <v>5</v>
      </c>
      <c r="R58">
        <v>14</v>
      </c>
      <c r="S58">
        <v>37</v>
      </c>
      <c r="T58">
        <v>20</v>
      </c>
      <c r="U58">
        <v>17</v>
      </c>
      <c r="V58">
        <v>1</v>
      </c>
      <c r="X58" t="s">
        <v>3681</v>
      </c>
      <c r="AA58">
        <v>0.13</v>
      </c>
      <c r="AB58">
        <v>8</v>
      </c>
      <c r="AC58">
        <v>19.23</v>
      </c>
      <c r="AD58">
        <v>44.23</v>
      </c>
      <c r="AE58">
        <v>1.92</v>
      </c>
      <c r="AF58">
        <v>0</v>
      </c>
      <c r="AG58">
        <v>0</v>
      </c>
      <c r="AJ58" s="54"/>
      <c r="AK58" s="54"/>
      <c r="AL58" s="54"/>
      <c r="AO58">
        <v>1</v>
      </c>
      <c r="AP58" t="s">
        <v>1383</v>
      </c>
      <c r="AR58">
        <v>1</v>
      </c>
      <c r="AS58" t="s">
        <v>1384</v>
      </c>
      <c r="AT58">
        <v>1</v>
      </c>
      <c r="AV58">
        <v>10</v>
      </c>
      <c r="AW58">
        <v>7</v>
      </c>
      <c r="AX58">
        <v>3</v>
      </c>
      <c r="AY58" t="s">
        <v>1389</v>
      </c>
      <c r="AZ58" t="s">
        <v>1389</v>
      </c>
      <c r="BA58">
        <v>15</v>
      </c>
      <c r="BD58">
        <v>1000000000</v>
      </c>
      <c r="BE58">
        <v>23</v>
      </c>
      <c r="BF58">
        <v>-1.3</v>
      </c>
      <c r="BG58">
        <v>0</v>
      </c>
      <c r="BH58">
        <v>0</v>
      </c>
      <c r="BI58">
        <v>0</v>
      </c>
      <c r="BJ58">
        <v>0</v>
      </c>
      <c r="BK58">
        <v>0</v>
      </c>
      <c r="BL58">
        <v>0</v>
      </c>
      <c r="BM58">
        <v>23</v>
      </c>
      <c r="BN58">
        <v>-1.3</v>
      </c>
      <c r="BR58">
        <v>0</v>
      </c>
      <c r="BS58">
        <v>5</v>
      </c>
      <c r="BX58">
        <v>0</v>
      </c>
      <c r="BY58">
        <v>147.03</v>
      </c>
      <c r="BZ58">
        <v>0</v>
      </c>
      <c r="CA58">
        <v>2.3199999999999998</v>
      </c>
      <c r="CC58">
        <v>0</v>
      </c>
      <c r="CD58" s="54">
        <v>43038</v>
      </c>
      <c r="CE58" s="54"/>
      <c r="CF58" s="54">
        <v>43038</v>
      </c>
      <c r="CG58" s="54">
        <v>43297</v>
      </c>
      <c r="CH58" s="54">
        <v>0</v>
      </c>
      <c r="CI58" s="54">
        <v>0</v>
      </c>
      <c r="CJ58">
        <v>0.03</v>
      </c>
      <c r="CK58">
        <v>0</v>
      </c>
      <c r="CL58">
        <v>0</v>
      </c>
      <c r="CM58">
        <v>0</v>
      </c>
      <c r="CN58">
        <v>0</v>
      </c>
      <c r="CO58">
        <v>0</v>
      </c>
      <c r="CP58">
        <v>0.68</v>
      </c>
      <c r="CQ58" t="s">
        <v>1144</v>
      </c>
      <c r="CR58" t="s">
        <v>1143</v>
      </c>
      <c r="CS58" t="s">
        <v>3674</v>
      </c>
      <c r="CT58" t="s">
        <v>1403</v>
      </c>
      <c r="CU58" t="s">
        <v>3666</v>
      </c>
      <c r="CV58" t="s">
        <v>3823</v>
      </c>
      <c r="CW58" t="s">
        <v>3676</v>
      </c>
      <c r="CX58" t="s">
        <v>3669</v>
      </c>
      <c r="DC58" t="s">
        <v>3677</v>
      </c>
      <c r="DE58" t="s">
        <v>3670</v>
      </c>
      <c r="DG58" t="s">
        <v>1400</v>
      </c>
      <c r="DH58" s="54"/>
      <c r="DI58" s="54"/>
    </row>
    <row r="59" spans="1:113" x14ac:dyDescent="0.25">
      <c r="A59" t="s">
        <v>1021</v>
      </c>
      <c r="B59">
        <v>34</v>
      </c>
      <c r="C59" s="54">
        <v>43208</v>
      </c>
      <c r="D59" t="s">
        <v>1143</v>
      </c>
      <c r="E59" t="s">
        <v>2789</v>
      </c>
      <c r="G59" t="s">
        <v>3824</v>
      </c>
      <c r="H59" t="s">
        <v>1382</v>
      </c>
      <c r="I59" t="s">
        <v>1382</v>
      </c>
      <c r="J59" t="s">
        <v>1382</v>
      </c>
      <c r="K59" t="s">
        <v>1382</v>
      </c>
      <c r="L59">
        <v>2.89</v>
      </c>
      <c r="M59">
        <v>8.25</v>
      </c>
      <c r="N59">
        <v>0</v>
      </c>
      <c r="O59" s="54"/>
      <c r="P59" s="54"/>
      <c r="Q59">
        <v>5</v>
      </c>
      <c r="R59">
        <v>14</v>
      </c>
      <c r="S59">
        <v>37</v>
      </c>
      <c r="T59">
        <v>20</v>
      </c>
      <c r="U59">
        <v>17</v>
      </c>
      <c r="V59">
        <v>1</v>
      </c>
      <c r="X59" t="s">
        <v>3681</v>
      </c>
      <c r="Z59" t="s">
        <v>3693</v>
      </c>
      <c r="AA59">
        <v>0.79</v>
      </c>
      <c r="AB59">
        <v>44</v>
      </c>
      <c r="AC59">
        <v>4.75</v>
      </c>
      <c r="AD59">
        <v>5.38</v>
      </c>
      <c r="AE59">
        <v>0.32</v>
      </c>
      <c r="AF59">
        <v>0</v>
      </c>
      <c r="AG59">
        <v>0</v>
      </c>
      <c r="AJ59" s="54"/>
      <c r="AK59" s="54"/>
      <c r="AL59" s="54"/>
      <c r="AO59">
        <v>1</v>
      </c>
      <c r="AP59" t="s">
        <v>1383</v>
      </c>
      <c r="AR59">
        <v>1</v>
      </c>
      <c r="AS59" t="s">
        <v>1384</v>
      </c>
      <c r="AT59">
        <v>1</v>
      </c>
      <c r="AV59">
        <v>15</v>
      </c>
      <c r="AW59">
        <v>10</v>
      </c>
      <c r="AX59">
        <v>5</v>
      </c>
      <c r="AY59" t="s">
        <v>1389</v>
      </c>
      <c r="AZ59" t="s">
        <v>1389</v>
      </c>
      <c r="BA59">
        <v>20</v>
      </c>
      <c r="BD59">
        <v>1000000000</v>
      </c>
      <c r="BE59">
        <v>17</v>
      </c>
      <c r="BF59">
        <v>-0.13</v>
      </c>
      <c r="BG59">
        <v>0</v>
      </c>
      <c r="BH59">
        <v>0</v>
      </c>
      <c r="BI59">
        <v>0</v>
      </c>
      <c r="BJ59">
        <v>0</v>
      </c>
      <c r="BK59">
        <v>0</v>
      </c>
      <c r="BL59">
        <v>0</v>
      </c>
      <c r="BM59">
        <v>17</v>
      </c>
      <c r="BN59">
        <v>-0.13</v>
      </c>
      <c r="BR59">
        <v>0</v>
      </c>
      <c r="BS59">
        <v>7</v>
      </c>
      <c r="BX59">
        <v>0</v>
      </c>
      <c r="BY59">
        <v>5.78</v>
      </c>
      <c r="BZ59">
        <v>0</v>
      </c>
      <c r="CA59">
        <v>2.41</v>
      </c>
      <c r="CC59">
        <v>1</v>
      </c>
      <c r="CD59" s="54">
        <v>43038</v>
      </c>
      <c r="CE59" s="54"/>
      <c r="CF59" s="54">
        <v>43038</v>
      </c>
      <c r="CG59" s="54">
        <v>43297</v>
      </c>
      <c r="CH59" s="54">
        <v>43028</v>
      </c>
      <c r="CI59" s="54">
        <v>43122</v>
      </c>
      <c r="CJ59">
        <v>0.57999999999999996</v>
      </c>
      <c r="CK59">
        <v>0</v>
      </c>
      <c r="CL59">
        <v>0</v>
      </c>
      <c r="CM59">
        <v>0.3</v>
      </c>
      <c r="CN59">
        <v>0</v>
      </c>
      <c r="CO59">
        <v>0</v>
      </c>
      <c r="CP59">
        <v>0.38</v>
      </c>
      <c r="CQ59" t="s">
        <v>1144</v>
      </c>
      <c r="CR59" t="s">
        <v>1143</v>
      </c>
      <c r="CS59" t="s">
        <v>3674</v>
      </c>
      <c r="CT59" t="s">
        <v>1403</v>
      </c>
      <c r="CU59" t="s">
        <v>3666</v>
      </c>
      <c r="CV59" t="s">
        <v>3825</v>
      </c>
      <c r="CW59" t="s">
        <v>3676</v>
      </c>
      <c r="CX59" t="s">
        <v>3669</v>
      </c>
      <c r="DC59" t="s">
        <v>3677</v>
      </c>
      <c r="DE59" t="s">
        <v>3670</v>
      </c>
      <c r="DG59" t="s">
        <v>3678</v>
      </c>
      <c r="DH59" s="54">
        <v>43147</v>
      </c>
      <c r="DI59" s="54">
        <v>43168</v>
      </c>
    </row>
    <row r="60" spans="1:113" x14ac:dyDescent="0.25">
      <c r="A60" t="s">
        <v>1021</v>
      </c>
      <c r="B60">
        <v>34</v>
      </c>
      <c r="C60" s="54">
        <v>43208</v>
      </c>
      <c r="D60" t="s">
        <v>1143</v>
      </c>
      <c r="E60" t="s">
        <v>1421</v>
      </c>
      <c r="G60" t="s">
        <v>3826</v>
      </c>
      <c r="H60" t="s">
        <v>1382</v>
      </c>
      <c r="I60" t="s">
        <v>1382</v>
      </c>
      <c r="J60" t="s">
        <v>1382</v>
      </c>
      <c r="K60" t="s">
        <v>1382</v>
      </c>
      <c r="L60">
        <v>9.31</v>
      </c>
      <c r="M60">
        <v>23.7</v>
      </c>
      <c r="N60">
        <v>0</v>
      </c>
      <c r="O60" s="54"/>
      <c r="P60" s="54"/>
      <c r="Q60">
        <v>5</v>
      </c>
      <c r="R60">
        <v>14</v>
      </c>
      <c r="S60">
        <v>37</v>
      </c>
      <c r="T60">
        <v>20</v>
      </c>
      <c r="U60">
        <v>17</v>
      </c>
      <c r="V60">
        <v>1</v>
      </c>
      <c r="W60" t="s">
        <v>1391</v>
      </c>
      <c r="X60" t="s">
        <v>3673</v>
      </c>
      <c r="AA60">
        <v>0.33</v>
      </c>
      <c r="AB60">
        <v>19</v>
      </c>
      <c r="AC60">
        <v>3.79</v>
      </c>
      <c r="AD60">
        <v>3.03</v>
      </c>
      <c r="AE60">
        <v>0.76</v>
      </c>
      <c r="AF60">
        <v>21</v>
      </c>
      <c r="AG60">
        <v>0</v>
      </c>
      <c r="AJ60" s="54"/>
      <c r="AK60" s="54"/>
      <c r="AL60" s="54"/>
      <c r="AO60">
        <v>1</v>
      </c>
      <c r="AP60" t="s">
        <v>1383</v>
      </c>
      <c r="AR60">
        <v>1</v>
      </c>
      <c r="AS60" t="s">
        <v>1384</v>
      </c>
      <c r="AT60">
        <v>1</v>
      </c>
      <c r="AV60">
        <v>5</v>
      </c>
      <c r="AW60">
        <v>3</v>
      </c>
      <c r="AX60">
        <v>2</v>
      </c>
      <c r="AY60" t="s">
        <v>838</v>
      </c>
      <c r="AZ60" t="s">
        <v>1390</v>
      </c>
      <c r="BA60">
        <v>0</v>
      </c>
      <c r="BD60">
        <v>1000000000</v>
      </c>
      <c r="BE60">
        <v>0</v>
      </c>
      <c r="BF60">
        <v>1</v>
      </c>
      <c r="BG60">
        <v>4</v>
      </c>
      <c r="BH60">
        <v>0</v>
      </c>
      <c r="BI60">
        <v>0</v>
      </c>
      <c r="BJ60">
        <v>0</v>
      </c>
      <c r="BK60">
        <v>0</v>
      </c>
      <c r="BL60">
        <v>0</v>
      </c>
      <c r="BM60">
        <v>4</v>
      </c>
      <c r="BN60">
        <v>0.2</v>
      </c>
      <c r="BR60">
        <v>1</v>
      </c>
      <c r="BS60">
        <v>2</v>
      </c>
      <c r="BX60">
        <v>28.78</v>
      </c>
      <c r="BY60">
        <v>0</v>
      </c>
      <c r="BZ60">
        <v>0</v>
      </c>
      <c r="CA60">
        <v>2.0099999999999998</v>
      </c>
      <c r="CC60">
        <v>0</v>
      </c>
      <c r="CD60" s="54">
        <v>42836</v>
      </c>
      <c r="CE60" s="54"/>
      <c r="CF60" s="54">
        <v>42949</v>
      </c>
      <c r="CG60" s="54">
        <v>43208</v>
      </c>
      <c r="CH60" s="54">
        <v>43195</v>
      </c>
      <c r="CI60" s="54">
        <v>43195</v>
      </c>
      <c r="CJ60">
        <v>1.05</v>
      </c>
      <c r="CK60">
        <v>0</v>
      </c>
      <c r="CL60">
        <v>0.46</v>
      </c>
      <c r="CM60">
        <v>0.46</v>
      </c>
      <c r="CN60">
        <v>0.02</v>
      </c>
      <c r="CO60">
        <v>0</v>
      </c>
      <c r="CP60">
        <v>0</v>
      </c>
      <c r="CQ60" t="s">
        <v>1144</v>
      </c>
      <c r="CR60" t="s">
        <v>1143</v>
      </c>
      <c r="CS60" t="s">
        <v>3674</v>
      </c>
      <c r="CT60" t="s">
        <v>1403</v>
      </c>
      <c r="CU60" t="s">
        <v>3666</v>
      </c>
      <c r="CV60" t="s">
        <v>3827</v>
      </c>
      <c r="CW60" t="s">
        <v>3676</v>
      </c>
      <c r="CX60" t="s">
        <v>3669</v>
      </c>
      <c r="DC60" t="s">
        <v>3677</v>
      </c>
      <c r="DE60" t="s">
        <v>3670</v>
      </c>
      <c r="DG60" t="s">
        <v>1400</v>
      </c>
      <c r="DH60" s="54">
        <v>43314</v>
      </c>
      <c r="DI60" s="54">
        <v>43335</v>
      </c>
    </row>
    <row r="61" spans="1:113" x14ac:dyDescent="0.25">
      <c r="A61" t="s">
        <v>1021</v>
      </c>
      <c r="B61">
        <v>34</v>
      </c>
      <c r="C61" s="54">
        <v>43208</v>
      </c>
      <c r="D61" t="s">
        <v>1143</v>
      </c>
      <c r="E61" t="s">
        <v>2791</v>
      </c>
      <c r="G61" t="s">
        <v>3828</v>
      </c>
      <c r="H61" t="s">
        <v>1382</v>
      </c>
      <c r="I61" t="s">
        <v>1382</v>
      </c>
      <c r="J61" t="s">
        <v>1382</v>
      </c>
      <c r="K61" t="s">
        <v>1382</v>
      </c>
      <c r="L61">
        <v>10.64</v>
      </c>
      <c r="M61">
        <v>25.1</v>
      </c>
      <c r="N61">
        <v>0</v>
      </c>
      <c r="O61" s="54"/>
      <c r="P61" s="54"/>
      <c r="Q61">
        <v>5</v>
      </c>
      <c r="R61">
        <v>14</v>
      </c>
      <c r="S61">
        <v>37</v>
      </c>
      <c r="T61">
        <v>20</v>
      </c>
      <c r="U61">
        <v>17</v>
      </c>
      <c r="V61">
        <v>1</v>
      </c>
      <c r="X61" t="s">
        <v>3681</v>
      </c>
      <c r="AA61">
        <v>0.13</v>
      </c>
      <c r="AB61">
        <v>8</v>
      </c>
      <c r="AC61">
        <v>9.6199999999999992</v>
      </c>
      <c r="AD61">
        <v>15.38</v>
      </c>
      <c r="AE61">
        <v>1.92</v>
      </c>
      <c r="AF61">
        <v>0</v>
      </c>
      <c r="AG61">
        <v>0</v>
      </c>
      <c r="AJ61" s="54"/>
      <c r="AK61" s="54"/>
      <c r="AL61" s="54"/>
      <c r="AO61">
        <v>1</v>
      </c>
      <c r="AP61" t="s">
        <v>1383</v>
      </c>
      <c r="AR61">
        <v>1</v>
      </c>
      <c r="AS61" t="s">
        <v>1384</v>
      </c>
      <c r="AT61">
        <v>1</v>
      </c>
      <c r="AV61">
        <v>5</v>
      </c>
      <c r="AW61">
        <v>3</v>
      </c>
      <c r="AX61">
        <v>2</v>
      </c>
      <c r="AY61" t="s">
        <v>1389</v>
      </c>
      <c r="AZ61" t="s">
        <v>1389</v>
      </c>
      <c r="BA61">
        <v>10</v>
      </c>
      <c r="BD61">
        <v>1000000000</v>
      </c>
      <c r="BE61">
        <v>8</v>
      </c>
      <c r="BF61">
        <v>-0.6</v>
      </c>
      <c r="BG61">
        <v>0</v>
      </c>
      <c r="BH61">
        <v>0</v>
      </c>
      <c r="BI61">
        <v>0</v>
      </c>
      <c r="BJ61">
        <v>0</v>
      </c>
      <c r="BK61">
        <v>0</v>
      </c>
      <c r="BL61">
        <v>0</v>
      </c>
      <c r="BM61">
        <v>8</v>
      </c>
      <c r="BN61">
        <v>-0.6</v>
      </c>
      <c r="BR61">
        <v>0</v>
      </c>
      <c r="BS61">
        <v>2</v>
      </c>
      <c r="BX61">
        <v>0</v>
      </c>
      <c r="BY61">
        <v>31.92</v>
      </c>
      <c r="BZ61">
        <v>0</v>
      </c>
      <c r="CA61">
        <v>1.76</v>
      </c>
      <c r="CC61">
        <v>0</v>
      </c>
      <c r="CD61" s="54">
        <v>43038</v>
      </c>
      <c r="CE61" s="54"/>
      <c r="CF61" s="54">
        <v>43038</v>
      </c>
      <c r="CG61" s="54">
        <v>43297</v>
      </c>
      <c r="CH61" s="54">
        <v>43007</v>
      </c>
      <c r="CI61" s="54">
        <v>43122</v>
      </c>
      <c r="CJ61">
        <v>0.08</v>
      </c>
      <c r="CK61">
        <v>0</v>
      </c>
      <c r="CL61">
        <v>0</v>
      </c>
      <c r="CM61">
        <v>0</v>
      </c>
      <c r="CN61">
        <v>0</v>
      </c>
      <c r="CO61">
        <v>0</v>
      </c>
      <c r="CP61">
        <v>0.68</v>
      </c>
      <c r="CQ61" t="s">
        <v>1144</v>
      </c>
      <c r="CR61" t="s">
        <v>1143</v>
      </c>
      <c r="CS61" t="s">
        <v>3674</v>
      </c>
      <c r="CT61" t="s">
        <v>1403</v>
      </c>
      <c r="CU61" t="s">
        <v>3666</v>
      </c>
      <c r="CV61" t="s">
        <v>3829</v>
      </c>
      <c r="CW61" t="s">
        <v>3676</v>
      </c>
      <c r="CX61" t="s">
        <v>3669</v>
      </c>
      <c r="DC61" t="s">
        <v>3677</v>
      </c>
      <c r="DE61" t="s">
        <v>3670</v>
      </c>
      <c r="DG61" t="s">
        <v>1400</v>
      </c>
      <c r="DH61" s="54">
        <v>43126</v>
      </c>
      <c r="DI61" s="54">
        <v>43147</v>
      </c>
    </row>
    <row r="62" spans="1:113" x14ac:dyDescent="0.25">
      <c r="A62" t="s">
        <v>1021</v>
      </c>
      <c r="B62">
        <v>34</v>
      </c>
      <c r="C62" s="54">
        <v>43208</v>
      </c>
      <c r="D62" t="s">
        <v>1143</v>
      </c>
      <c r="E62" t="s">
        <v>3830</v>
      </c>
      <c r="G62" t="s">
        <v>3831</v>
      </c>
      <c r="H62" t="s">
        <v>1382</v>
      </c>
      <c r="I62" t="s">
        <v>1382</v>
      </c>
      <c r="J62" t="s">
        <v>1382</v>
      </c>
      <c r="K62" t="s">
        <v>1382</v>
      </c>
      <c r="L62">
        <v>10.98</v>
      </c>
      <c r="M62">
        <v>25.1</v>
      </c>
      <c r="N62">
        <v>0</v>
      </c>
      <c r="O62" s="54"/>
      <c r="P62" s="54"/>
      <c r="Q62">
        <v>5</v>
      </c>
      <c r="R62">
        <v>14</v>
      </c>
      <c r="S62">
        <v>37</v>
      </c>
      <c r="T62">
        <v>20</v>
      </c>
      <c r="U62">
        <v>17</v>
      </c>
      <c r="V62">
        <v>1</v>
      </c>
      <c r="X62" t="s">
        <v>3681</v>
      </c>
      <c r="AA62">
        <v>0</v>
      </c>
      <c r="AB62">
        <v>0</v>
      </c>
      <c r="AC62">
        <v>0</v>
      </c>
      <c r="AD62">
        <v>0</v>
      </c>
      <c r="AE62">
        <v>0</v>
      </c>
      <c r="AF62">
        <v>0</v>
      </c>
      <c r="AG62">
        <v>0</v>
      </c>
      <c r="AJ62" s="54"/>
      <c r="AK62" s="54"/>
      <c r="AL62" s="54"/>
      <c r="AO62">
        <v>1</v>
      </c>
      <c r="AP62" t="s">
        <v>1383</v>
      </c>
      <c r="AR62">
        <v>1</v>
      </c>
      <c r="AS62" t="s">
        <v>1384</v>
      </c>
      <c r="AT62">
        <v>1</v>
      </c>
      <c r="AV62">
        <v>5</v>
      </c>
      <c r="AW62">
        <v>3</v>
      </c>
      <c r="AX62">
        <v>2</v>
      </c>
      <c r="AY62" t="s">
        <v>1389</v>
      </c>
      <c r="AZ62" t="s">
        <v>1389</v>
      </c>
      <c r="BA62">
        <v>10</v>
      </c>
      <c r="BD62">
        <v>1000000000</v>
      </c>
      <c r="BE62">
        <v>10</v>
      </c>
      <c r="BF62">
        <v>-1</v>
      </c>
      <c r="BG62">
        <v>0</v>
      </c>
      <c r="BH62">
        <v>0</v>
      </c>
      <c r="BI62">
        <v>0</v>
      </c>
      <c r="BJ62">
        <v>0</v>
      </c>
      <c r="BK62">
        <v>0</v>
      </c>
      <c r="BL62">
        <v>0</v>
      </c>
      <c r="BM62">
        <v>10</v>
      </c>
      <c r="BN62">
        <v>-1</v>
      </c>
      <c r="BR62">
        <v>0</v>
      </c>
      <c r="BS62">
        <v>2</v>
      </c>
      <c r="BX62">
        <v>0</v>
      </c>
      <c r="BY62">
        <v>54.9</v>
      </c>
      <c r="BZ62">
        <v>0</v>
      </c>
      <c r="CA62">
        <v>1.67</v>
      </c>
      <c r="CC62">
        <v>0</v>
      </c>
      <c r="CD62" s="54">
        <v>43038</v>
      </c>
      <c r="CE62" s="54"/>
      <c r="CF62" s="54">
        <v>43038</v>
      </c>
      <c r="CG62" s="54">
        <v>43297</v>
      </c>
      <c r="CH62" s="54">
        <v>0</v>
      </c>
      <c r="CI62" s="54">
        <v>0</v>
      </c>
      <c r="CJ62">
        <v>0</v>
      </c>
      <c r="CK62">
        <v>0</v>
      </c>
      <c r="CL62">
        <v>0</v>
      </c>
      <c r="CM62">
        <v>0</v>
      </c>
      <c r="CN62">
        <v>0</v>
      </c>
      <c r="CO62">
        <v>0</v>
      </c>
      <c r="CP62">
        <v>0.68</v>
      </c>
      <c r="CQ62" t="s">
        <v>1144</v>
      </c>
      <c r="CR62" t="s">
        <v>1143</v>
      </c>
      <c r="CS62" t="s">
        <v>3674</v>
      </c>
      <c r="CT62" t="s">
        <v>1403</v>
      </c>
      <c r="CU62" t="s">
        <v>3666</v>
      </c>
      <c r="CV62" t="s">
        <v>3832</v>
      </c>
      <c r="CW62" t="s">
        <v>3676</v>
      </c>
      <c r="CX62" t="s">
        <v>3669</v>
      </c>
      <c r="DC62" t="s">
        <v>3677</v>
      </c>
      <c r="DE62" t="s">
        <v>3670</v>
      </c>
      <c r="DG62" t="s">
        <v>1400</v>
      </c>
      <c r="DH62" s="54"/>
      <c r="DI62" s="54"/>
    </row>
    <row r="63" spans="1:113" x14ac:dyDescent="0.25">
      <c r="A63" t="s">
        <v>1021</v>
      </c>
      <c r="B63">
        <v>34</v>
      </c>
      <c r="C63" s="54">
        <v>43208</v>
      </c>
      <c r="D63" t="s">
        <v>1143</v>
      </c>
      <c r="E63" t="s">
        <v>1422</v>
      </c>
      <c r="G63" t="s">
        <v>3833</v>
      </c>
      <c r="H63" t="s">
        <v>1382</v>
      </c>
      <c r="I63" t="s">
        <v>1382</v>
      </c>
      <c r="J63" t="s">
        <v>1382</v>
      </c>
      <c r="K63" t="s">
        <v>1382</v>
      </c>
      <c r="L63">
        <v>1.29</v>
      </c>
      <c r="M63">
        <v>3</v>
      </c>
      <c r="N63">
        <v>0</v>
      </c>
      <c r="O63" s="54"/>
      <c r="P63" s="54"/>
      <c r="Q63">
        <v>5</v>
      </c>
      <c r="R63">
        <v>14</v>
      </c>
      <c r="S63">
        <v>37</v>
      </c>
      <c r="T63">
        <v>20</v>
      </c>
      <c r="U63">
        <v>17</v>
      </c>
      <c r="V63">
        <v>1</v>
      </c>
      <c r="W63" t="s">
        <v>1391</v>
      </c>
      <c r="X63" t="s">
        <v>3681</v>
      </c>
      <c r="Z63" t="s">
        <v>3693</v>
      </c>
      <c r="AA63">
        <v>0.71</v>
      </c>
      <c r="AB63">
        <v>40</v>
      </c>
      <c r="AC63">
        <v>5.28</v>
      </c>
      <c r="AD63">
        <v>4.2300000000000004</v>
      </c>
      <c r="AE63">
        <v>0.35</v>
      </c>
      <c r="AF63">
        <v>0</v>
      </c>
      <c r="AG63">
        <v>0</v>
      </c>
      <c r="AJ63" s="54"/>
      <c r="AK63" s="54"/>
      <c r="AL63" s="54"/>
      <c r="AO63">
        <v>1</v>
      </c>
      <c r="AP63" t="s">
        <v>1383</v>
      </c>
      <c r="AR63">
        <v>1</v>
      </c>
      <c r="AS63" t="s">
        <v>1384</v>
      </c>
      <c r="AT63">
        <v>1</v>
      </c>
      <c r="AV63">
        <v>15</v>
      </c>
      <c r="AW63">
        <v>10</v>
      </c>
      <c r="AX63">
        <v>5</v>
      </c>
      <c r="AY63" t="s">
        <v>1390</v>
      </c>
      <c r="AZ63" t="s">
        <v>1390</v>
      </c>
      <c r="BA63">
        <v>20</v>
      </c>
      <c r="BD63">
        <v>1000000000</v>
      </c>
      <c r="BE63">
        <v>12</v>
      </c>
      <c r="BF63">
        <v>0.2</v>
      </c>
      <c r="BG63">
        <v>0</v>
      </c>
      <c r="BH63">
        <v>0</v>
      </c>
      <c r="BI63">
        <v>0</v>
      </c>
      <c r="BJ63">
        <v>0</v>
      </c>
      <c r="BK63">
        <v>0</v>
      </c>
      <c r="BL63">
        <v>0</v>
      </c>
      <c r="BM63">
        <v>12</v>
      </c>
      <c r="BN63">
        <v>0.2</v>
      </c>
      <c r="BR63">
        <v>3</v>
      </c>
      <c r="BS63">
        <v>7</v>
      </c>
      <c r="BX63">
        <v>0</v>
      </c>
      <c r="BY63">
        <v>0</v>
      </c>
      <c r="BZ63">
        <v>0</v>
      </c>
      <c r="CA63">
        <v>1.72</v>
      </c>
      <c r="CC63">
        <v>1</v>
      </c>
      <c r="CD63" s="54">
        <v>43038</v>
      </c>
      <c r="CE63" s="54"/>
      <c r="CF63" s="54">
        <v>43038</v>
      </c>
      <c r="CG63" s="54">
        <v>43297</v>
      </c>
      <c r="CH63" s="54">
        <v>42816</v>
      </c>
      <c r="CI63" s="54">
        <v>42900</v>
      </c>
      <c r="CJ63">
        <v>0.32</v>
      </c>
      <c r="CK63">
        <v>0</v>
      </c>
      <c r="CL63">
        <v>0</v>
      </c>
      <c r="CM63">
        <v>0</v>
      </c>
      <c r="CN63">
        <v>0</v>
      </c>
      <c r="CO63">
        <v>0.3</v>
      </c>
      <c r="CP63">
        <v>0.38</v>
      </c>
      <c r="CQ63" t="s">
        <v>1144</v>
      </c>
      <c r="CR63" t="s">
        <v>1143</v>
      </c>
      <c r="CS63" t="s">
        <v>3674</v>
      </c>
      <c r="CT63" t="s">
        <v>1403</v>
      </c>
      <c r="CU63" t="s">
        <v>3666</v>
      </c>
      <c r="CV63" t="s">
        <v>3834</v>
      </c>
      <c r="CW63" t="s">
        <v>3676</v>
      </c>
      <c r="CX63" t="s">
        <v>3669</v>
      </c>
      <c r="DC63" t="s">
        <v>3677</v>
      </c>
      <c r="DE63" t="s">
        <v>3670</v>
      </c>
      <c r="DG63" t="s">
        <v>3835</v>
      </c>
      <c r="DH63" s="54">
        <v>42935</v>
      </c>
      <c r="DI63" s="54">
        <v>42956</v>
      </c>
    </row>
    <row r="64" spans="1:113" x14ac:dyDescent="0.25">
      <c r="A64" t="s">
        <v>1021</v>
      </c>
      <c r="B64">
        <v>34</v>
      </c>
      <c r="C64" s="54">
        <v>43208</v>
      </c>
      <c r="D64" t="s">
        <v>1143</v>
      </c>
      <c r="E64" t="s">
        <v>2794</v>
      </c>
      <c r="G64" t="s">
        <v>3836</v>
      </c>
      <c r="H64" t="s">
        <v>1382</v>
      </c>
      <c r="I64" t="s">
        <v>1382</v>
      </c>
      <c r="J64" t="s">
        <v>1382</v>
      </c>
      <c r="K64" t="s">
        <v>1382</v>
      </c>
      <c r="L64">
        <v>3.97</v>
      </c>
      <c r="M64">
        <v>10.85</v>
      </c>
      <c r="N64">
        <v>0</v>
      </c>
      <c r="O64" s="54"/>
      <c r="P64" s="54"/>
      <c r="Q64">
        <v>5</v>
      </c>
      <c r="R64">
        <v>14</v>
      </c>
      <c r="S64">
        <v>37</v>
      </c>
      <c r="T64">
        <v>20</v>
      </c>
      <c r="U64">
        <v>17</v>
      </c>
      <c r="V64">
        <v>1</v>
      </c>
      <c r="X64" t="s">
        <v>3681</v>
      </c>
      <c r="AA64">
        <v>0.21</v>
      </c>
      <c r="AB64">
        <v>12</v>
      </c>
      <c r="AC64">
        <v>17.86</v>
      </c>
      <c r="AD64">
        <v>25</v>
      </c>
      <c r="AE64">
        <v>1.19</v>
      </c>
      <c r="AF64">
        <v>0</v>
      </c>
      <c r="AG64">
        <v>0</v>
      </c>
      <c r="AJ64" s="54"/>
      <c r="AK64" s="54"/>
      <c r="AL64" s="54"/>
      <c r="AO64">
        <v>1</v>
      </c>
      <c r="AP64" t="s">
        <v>1383</v>
      </c>
      <c r="AR64">
        <v>1</v>
      </c>
      <c r="AS64" t="s">
        <v>1384</v>
      </c>
      <c r="AT64">
        <v>1</v>
      </c>
      <c r="AV64">
        <v>15</v>
      </c>
      <c r="AW64">
        <v>10</v>
      </c>
      <c r="AX64">
        <v>5</v>
      </c>
      <c r="AY64" t="s">
        <v>1389</v>
      </c>
      <c r="AZ64" t="s">
        <v>1389</v>
      </c>
      <c r="BA64">
        <v>20</v>
      </c>
      <c r="BD64">
        <v>1000000000</v>
      </c>
      <c r="BE64">
        <v>21</v>
      </c>
      <c r="BF64">
        <v>-0.4</v>
      </c>
      <c r="BG64">
        <v>0</v>
      </c>
      <c r="BH64">
        <v>0</v>
      </c>
      <c r="BI64">
        <v>0</v>
      </c>
      <c r="BJ64">
        <v>0</v>
      </c>
      <c r="BK64">
        <v>0</v>
      </c>
      <c r="BL64">
        <v>0</v>
      </c>
      <c r="BM64">
        <v>21</v>
      </c>
      <c r="BN64">
        <v>-0.4</v>
      </c>
      <c r="BR64">
        <v>0</v>
      </c>
      <c r="BS64">
        <v>7</v>
      </c>
      <c r="BX64">
        <v>0</v>
      </c>
      <c r="BY64">
        <v>23.82</v>
      </c>
      <c r="BZ64">
        <v>0</v>
      </c>
      <c r="CA64">
        <v>2.25</v>
      </c>
      <c r="CC64">
        <v>1</v>
      </c>
      <c r="CD64" s="54">
        <v>43038</v>
      </c>
      <c r="CE64" s="54"/>
      <c r="CF64" s="54">
        <v>43038</v>
      </c>
      <c r="CG64" s="54">
        <v>43297</v>
      </c>
      <c r="CH64" s="54">
        <v>42816</v>
      </c>
      <c r="CI64" s="54">
        <v>42900</v>
      </c>
      <c r="CJ64">
        <v>0.09</v>
      </c>
      <c r="CK64">
        <v>0</v>
      </c>
      <c r="CL64">
        <v>0</v>
      </c>
      <c r="CM64">
        <v>0</v>
      </c>
      <c r="CN64">
        <v>0</v>
      </c>
      <c r="CO64">
        <v>0</v>
      </c>
      <c r="CP64">
        <v>0.68</v>
      </c>
      <c r="CQ64" t="s">
        <v>1144</v>
      </c>
      <c r="CR64" t="s">
        <v>1143</v>
      </c>
      <c r="CS64" t="s">
        <v>3674</v>
      </c>
      <c r="CT64" t="s">
        <v>1403</v>
      </c>
      <c r="CU64" t="s">
        <v>3666</v>
      </c>
      <c r="CV64" t="s">
        <v>3837</v>
      </c>
      <c r="CW64" t="s">
        <v>3676</v>
      </c>
      <c r="CX64" t="s">
        <v>3669</v>
      </c>
      <c r="DC64" t="s">
        <v>3677</v>
      </c>
      <c r="DE64" t="s">
        <v>3670</v>
      </c>
      <c r="DG64" t="s">
        <v>3678</v>
      </c>
      <c r="DH64" s="54">
        <v>42935</v>
      </c>
      <c r="DI64" s="54">
        <v>42956</v>
      </c>
    </row>
    <row r="65" spans="1:113" x14ac:dyDescent="0.25">
      <c r="A65" t="s">
        <v>1021</v>
      </c>
      <c r="B65">
        <v>34</v>
      </c>
      <c r="C65" s="54">
        <v>43208</v>
      </c>
      <c r="D65" t="s">
        <v>1143</v>
      </c>
      <c r="E65" t="s">
        <v>2796</v>
      </c>
      <c r="G65" t="s">
        <v>3838</v>
      </c>
      <c r="H65" t="s">
        <v>1382</v>
      </c>
      <c r="I65" t="s">
        <v>1382</v>
      </c>
      <c r="J65" t="s">
        <v>1382</v>
      </c>
      <c r="K65" t="s">
        <v>1382</v>
      </c>
      <c r="L65">
        <v>1.65</v>
      </c>
      <c r="M65">
        <v>4.25</v>
      </c>
      <c r="N65">
        <v>0</v>
      </c>
      <c r="O65" s="54"/>
      <c r="P65" s="54"/>
      <c r="Q65">
        <v>5</v>
      </c>
      <c r="R65">
        <v>14</v>
      </c>
      <c r="S65">
        <v>37</v>
      </c>
      <c r="T65">
        <v>20</v>
      </c>
      <c r="U65">
        <v>17</v>
      </c>
      <c r="V65">
        <v>1</v>
      </c>
      <c r="X65" t="s">
        <v>3681</v>
      </c>
      <c r="Z65" t="s">
        <v>3693</v>
      </c>
      <c r="AA65">
        <v>0.25</v>
      </c>
      <c r="AB65">
        <v>14</v>
      </c>
      <c r="AC65">
        <v>6</v>
      </c>
      <c r="AD65">
        <v>9</v>
      </c>
      <c r="AE65">
        <v>1</v>
      </c>
      <c r="AF65">
        <v>0</v>
      </c>
      <c r="AG65">
        <v>0</v>
      </c>
      <c r="AJ65" s="54"/>
      <c r="AK65" s="54"/>
      <c r="AL65" s="54"/>
      <c r="AO65">
        <v>1</v>
      </c>
      <c r="AP65" t="s">
        <v>1383</v>
      </c>
      <c r="AR65">
        <v>1</v>
      </c>
      <c r="AS65" t="s">
        <v>1384</v>
      </c>
      <c r="AT65">
        <v>1</v>
      </c>
      <c r="AV65">
        <v>6</v>
      </c>
      <c r="AW65">
        <v>4</v>
      </c>
      <c r="AX65">
        <v>2</v>
      </c>
      <c r="AY65" t="s">
        <v>1389</v>
      </c>
      <c r="AZ65" t="s">
        <v>1389</v>
      </c>
      <c r="BA65">
        <v>10</v>
      </c>
      <c r="BD65">
        <v>1000000000</v>
      </c>
      <c r="BE65">
        <v>9</v>
      </c>
      <c r="BF65">
        <v>-0.5</v>
      </c>
      <c r="BG65">
        <v>0</v>
      </c>
      <c r="BH65">
        <v>0</v>
      </c>
      <c r="BI65">
        <v>0</v>
      </c>
      <c r="BJ65">
        <v>0</v>
      </c>
      <c r="BK65">
        <v>0</v>
      </c>
      <c r="BL65">
        <v>0</v>
      </c>
      <c r="BM65">
        <v>9</v>
      </c>
      <c r="BN65">
        <v>-0.5</v>
      </c>
      <c r="BR65">
        <v>0</v>
      </c>
      <c r="BS65">
        <v>3</v>
      </c>
      <c r="BX65">
        <v>0</v>
      </c>
      <c r="BY65">
        <v>4.95</v>
      </c>
      <c r="BZ65">
        <v>0</v>
      </c>
      <c r="CA65">
        <v>2.04</v>
      </c>
      <c r="CC65">
        <v>1</v>
      </c>
      <c r="CD65" s="54">
        <v>43038</v>
      </c>
      <c r="CE65" s="54"/>
      <c r="CF65" s="54">
        <v>43038</v>
      </c>
      <c r="CG65" s="54">
        <v>43297</v>
      </c>
      <c r="CH65" s="54">
        <v>43028</v>
      </c>
      <c r="CI65" s="54">
        <v>43122</v>
      </c>
      <c r="CJ65">
        <v>0.3</v>
      </c>
      <c r="CK65">
        <v>0</v>
      </c>
      <c r="CL65">
        <v>0</v>
      </c>
      <c r="CM65">
        <v>0</v>
      </c>
      <c r="CN65">
        <v>0</v>
      </c>
      <c r="CO65">
        <v>0.3</v>
      </c>
      <c r="CP65">
        <v>0.38</v>
      </c>
      <c r="CQ65" t="s">
        <v>1144</v>
      </c>
      <c r="CR65" t="s">
        <v>1143</v>
      </c>
      <c r="CS65" t="s">
        <v>3674</v>
      </c>
      <c r="CT65" t="s">
        <v>1403</v>
      </c>
      <c r="CU65" t="s">
        <v>3666</v>
      </c>
      <c r="CV65" t="s">
        <v>3839</v>
      </c>
      <c r="CW65" t="s">
        <v>3676</v>
      </c>
      <c r="CX65" t="s">
        <v>3669</v>
      </c>
      <c r="DC65" t="s">
        <v>3677</v>
      </c>
      <c r="DE65" t="s">
        <v>3670</v>
      </c>
      <c r="DG65" t="s">
        <v>3678</v>
      </c>
      <c r="DH65" s="54">
        <v>43147</v>
      </c>
      <c r="DI65" s="54">
        <v>43168</v>
      </c>
    </row>
    <row r="66" spans="1:113" x14ac:dyDescent="0.25">
      <c r="A66" t="s">
        <v>1021</v>
      </c>
      <c r="B66">
        <v>34</v>
      </c>
      <c r="C66" s="54">
        <v>43208</v>
      </c>
      <c r="D66" t="s">
        <v>1143</v>
      </c>
      <c r="E66" t="s">
        <v>1423</v>
      </c>
      <c r="G66" t="s">
        <v>3840</v>
      </c>
      <c r="H66" t="s">
        <v>1382</v>
      </c>
      <c r="I66" t="s">
        <v>1382</v>
      </c>
      <c r="J66" t="s">
        <v>1382</v>
      </c>
      <c r="K66" t="s">
        <v>1382</v>
      </c>
      <c r="L66">
        <v>8.2799999999999994</v>
      </c>
      <c r="M66">
        <v>24</v>
      </c>
      <c r="N66">
        <v>0</v>
      </c>
      <c r="O66" s="54"/>
      <c r="P66" s="54"/>
      <c r="Q66">
        <v>5</v>
      </c>
      <c r="R66">
        <v>14</v>
      </c>
      <c r="S66">
        <v>37</v>
      </c>
      <c r="T66">
        <v>20</v>
      </c>
      <c r="U66">
        <v>17</v>
      </c>
      <c r="V66">
        <v>1</v>
      </c>
      <c r="W66" t="s">
        <v>1391</v>
      </c>
      <c r="X66" t="s">
        <v>3681</v>
      </c>
      <c r="AA66">
        <v>1.5</v>
      </c>
      <c r="AB66">
        <v>84</v>
      </c>
      <c r="AC66">
        <v>3.33</v>
      </c>
      <c r="AD66">
        <v>2.33</v>
      </c>
      <c r="AE66">
        <v>0.17</v>
      </c>
      <c r="AF66">
        <v>0</v>
      </c>
      <c r="AG66">
        <v>0</v>
      </c>
      <c r="AJ66" s="54"/>
      <c r="AK66" s="54"/>
      <c r="AL66" s="54"/>
      <c r="AO66">
        <v>1</v>
      </c>
      <c r="AP66" t="s">
        <v>1383</v>
      </c>
      <c r="AR66">
        <v>1</v>
      </c>
      <c r="AS66" t="s">
        <v>1384</v>
      </c>
      <c r="AT66">
        <v>1</v>
      </c>
      <c r="AV66">
        <v>20</v>
      </c>
      <c r="AW66">
        <v>13</v>
      </c>
      <c r="AX66">
        <v>7</v>
      </c>
      <c r="AY66" t="s">
        <v>1394</v>
      </c>
      <c r="AZ66" t="s">
        <v>1390</v>
      </c>
      <c r="BA66">
        <v>30</v>
      </c>
      <c r="BD66">
        <v>1000000000</v>
      </c>
      <c r="BE66">
        <v>1</v>
      </c>
      <c r="BF66">
        <v>0.95</v>
      </c>
      <c r="BG66">
        <v>13</v>
      </c>
      <c r="BH66">
        <v>0</v>
      </c>
      <c r="BI66">
        <v>0</v>
      </c>
      <c r="BJ66">
        <v>0</v>
      </c>
      <c r="BK66">
        <v>0</v>
      </c>
      <c r="BL66">
        <v>0</v>
      </c>
      <c r="BM66">
        <v>14</v>
      </c>
      <c r="BN66">
        <v>0.3</v>
      </c>
      <c r="BR66">
        <v>6</v>
      </c>
      <c r="BS66">
        <v>9</v>
      </c>
      <c r="BX66">
        <v>94.32</v>
      </c>
      <c r="BY66">
        <v>0</v>
      </c>
      <c r="BZ66">
        <v>0</v>
      </c>
      <c r="CA66">
        <v>2.46</v>
      </c>
      <c r="CC66">
        <v>0</v>
      </c>
      <c r="CD66" s="54">
        <v>43038</v>
      </c>
      <c r="CE66" s="54"/>
      <c r="CF66" s="54">
        <v>43038</v>
      </c>
      <c r="CG66" s="54">
        <v>43297</v>
      </c>
      <c r="CH66" s="54">
        <v>43195</v>
      </c>
      <c r="CI66" s="54">
        <v>43195</v>
      </c>
      <c r="CJ66">
        <v>1.49</v>
      </c>
      <c r="CK66">
        <v>0</v>
      </c>
      <c r="CL66">
        <v>0.16</v>
      </c>
      <c r="CM66">
        <v>0.38</v>
      </c>
      <c r="CN66">
        <v>0</v>
      </c>
      <c r="CO66">
        <v>0</v>
      </c>
      <c r="CP66">
        <v>0.14000000000000001</v>
      </c>
      <c r="CQ66" t="s">
        <v>1144</v>
      </c>
      <c r="CR66" t="s">
        <v>1143</v>
      </c>
      <c r="CS66" t="s">
        <v>3674</v>
      </c>
      <c r="CT66" t="s">
        <v>1403</v>
      </c>
      <c r="CU66" t="s">
        <v>3666</v>
      </c>
      <c r="CV66" t="s">
        <v>3841</v>
      </c>
      <c r="CW66" t="s">
        <v>3676</v>
      </c>
      <c r="CX66" t="s">
        <v>3669</v>
      </c>
      <c r="DC66" t="s">
        <v>3677</v>
      </c>
      <c r="DE66" t="s">
        <v>3670</v>
      </c>
      <c r="DG66" t="s">
        <v>1400</v>
      </c>
      <c r="DH66" s="54">
        <v>43314</v>
      </c>
      <c r="DI66" s="54">
        <v>43335</v>
      </c>
    </row>
    <row r="67" spans="1:113" x14ac:dyDescent="0.25">
      <c r="A67" t="s">
        <v>1021</v>
      </c>
      <c r="B67">
        <v>34</v>
      </c>
      <c r="C67" s="54">
        <v>43208</v>
      </c>
      <c r="D67" t="s">
        <v>1143</v>
      </c>
      <c r="E67" t="s">
        <v>2797</v>
      </c>
      <c r="G67" t="s">
        <v>3842</v>
      </c>
      <c r="H67" t="s">
        <v>1382</v>
      </c>
      <c r="I67" t="s">
        <v>1382</v>
      </c>
      <c r="J67" t="s">
        <v>1382</v>
      </c>
      <c r="K67" t="s">
        <v>1382</v>
      </c>
      <c r="L67">
        <v>10.48</v>
      </c>
      <c r="M67">
        <v>28.5</v>
      </c>
      <c r="N67">
        <v>0</v>
      </c>
      <c r="O67" s="54"/>
      <c r="P67" s="54"/>
      <c r="Q67">
        <v>5</v>
      </c>
      <c r="R67">
        <v>14</v>
      </c>
      <c r="S67">
        <v>37</v>
      </c>
      <c r="T67">
        <v>20</v>
      </c>
      <c r="U67">
        <v>17</v>
      </c>
      <c r="V67">
        <v>1</v>
      </c>
      <c r="X67" t="s">
        <v>3681</v>
      </c>
      <c r="Z67" t="s">
        <v>3693</v>
      </c>
      <c r="AA67">
        <v>1.42</v>
      </c>
      <c r="AB67">
        <v>79</v>
      </c>
      <c r="AC67">
        <v>0.88</v>
      </c>
      <c r="AD67">
        <v>8.8000000000000007</v>
      </c>
      <c r="AE67">
        <v>0.18</v>
      </c>
      <c r="AF67">
        <v>0</v>
      </c>
      <c r="AG67">
        <v>0</v>
      </c>
      <c r="AJ67" s="54"/>
      <c r="AK67" s="54"/>
      <c r="AL67" s="54"/>
      <c r="AO67">
        <v>1</v>
      </c>
      <c r="AP67" t="s">
        <v>1383</v>
      </c>
      <c r="AR67">
        <v>1</v>
      </c>
      <c r="AS67" t="s">
        <v>1384</v>
      </c>
      <c r="AT67">
        <v>1</v>
      </c>
      <c r="AV67">
        <v>5</v>
      </c>
      <c r="AW67">
        <v>3</v>
      </c>
      <c r="AX67">
        <v>2</v>
      </c>
      <c r="AY67" t="s">
        <v>1389</v>
      </c>
      <c r="AZ67" t="s">
        <v>1389</v>
      </c>
      <c r="BA67">
        <v>20</v>
      </c>
      <c r="BD67">
        <v>1000000000</v>
      </c>
      <c r="BE67">
        <v>50</v>
      </c>
      <c r="BF67">
        <v>-9</v>
      </c>
      <c r="BG67">
        <v>0</v>
      </c>
      <c r="BH67">
        <v>0</v>
      </c>
      <c r="BI67">
        <v>0</v>
      </c>
      <c r="BJ67">
        <v>0</v>
      </c>
      <c r="BK67">
        <v>0</v>
      </c>
      <c r="BL67">
        <v>0</v>
      </c>
      <c r="BM67">
        <v>50</v>
      </c>
      <c r="BN67">
        <v>-9</v>
      </c>
      <c r="BR67">
        <v>0</v>
      </c>
      <c r="BS67">
        <v>2</v>
      </c>
      <c r="BX67">
        <v>0</v>
      </c>
      <c r="BY67">
        <v>471.6</v>
      </c>
      <c r="BZ67">
        <v>0</v>
      </c>
      <c r="CA67">
        <v>2.23</v>
      </c>
      <c r="CC67">
        <v>0</v>
      </c>
      <c r="CD67" s="54">
        <v>43038</v>
      </c>
      <c r="CE67" s="54"/>
      <c r="CF67" s="54">
        <v>43038</v>
      </c>
      <c r="CG67" s="54">
        <v>43297</v>
      </c>
      <c r="CH67" s="54">
        <v>43028</v>
      </c>
      <c r="CI67" s="54">
        <v>43122</v>
      </c>
      <c r="CJ67">
        <v>0.18</v>
      </c>
      <c r="CK67">
        <v>0</v>
      </c>
      <c r="CL67">
        <v>0</v>
      </c>
      <c r="CM67">
        <v>0</v>
      </c>
      <c r="CN67">
        <v>0</v>
      </c>
      <c r="CO67">
        <v>0</v>
      </c>
      <c r="CP67">
        <v>0.68</v>
      </c>
      <c r="CQ67" t="s">
        <v>1144</v>
      </c>
      <c r="CR67" t="s">
        <v>1143</v>
      </c>
      <c r="CS67" t="s">
        <v>3674</v>
      </c>
      <c r="CT67" t="s">
        <v>1403</v>
      </c>
      <c r="CU67" t="s">
        <v>3666</v>
      </c>
      <c r="CV67" t="s">
        <v>3843</v>
      </c>
      <c r="CW67" t="s">
        <v>3676</v>
      </c>
      <c r="CX67" t="s">
        <v>3669</v>
      </c>
      <c r="DC67" t="s">
        <v>3677</v>
      </c>
      <c r="DE67" t="s">
        <v>3670</v>
      </c>
      <c r="DG67" t="s">
        <v>1400</v>
      </c>
      <c r="DH67" s="54">
        <v>43147</v>
      </c>
      <c r="DI67" s="54">
        <v>43168</v>
      </c>
    </row>
    <row r="68" spans="1:113" x14ac:dyDescent="0.25">
      <c r="A68" t="s">
        <v>1021</v>
      </c>
      <c r="B68">
        <v>34</v>
      </c>
      <c r="C68" s="54">
        <v>43208</v>
      </c>
      <c r="D68" t="s">
        <v>1143</v>
      </c>
      <c r="E68" t="s">
        <v>1424</v>
      </c>
      <c r="G68" t="s">
        <v>3844</v>
      </c>
      <c r="H68" t="s">
        <v>1382</v>
      </c>
      <c r="I68" t="s">
        <v>1382</v>
      </c>
      <c r="J68" t="s">
        <v>1382</v>
      </c>
      <c r="K68" t="s">
        <v>1382</v>
      </c>
      <c r="L68">
        <v>10.5</v>
      </c>
      <c r="M68">
        <v>28.5</v>
      </c>
      <c r="N68">
        <v>0</v>
      </c>
      <c r="O68" s="54"/>
      <c r="P68" s="54"/>
      <c r="Q68">
        <v>5</v>
      </c>
      <c r="R68">
        <v>14</v>
      </c>
      <c r="S68">
        <v>37</v>
      </c>
      <c r="T68">
        <v>20</v>
      </c>
      <c r="U68">
        <v>17</v>
      </c>
      <c r="V68">
        <v>1</v>
      </c>
      <c r="W68" t="s">
        <v>1391</v>
      </c>
      <c r="X68" t="s">
        <v>3681</v>
      </c>
      <c r="Z68" t="s">
        <v>3693</v>
      </c>
      <c r="AA68">
        <v>0.38</v>
      </c>
      <c r="AB68">
        <v>22</v>
      </c>
      <c r="AC68">
        <v>3.29</v>
      </c>
      <c r="AD68">
        <v>2.63</v>
      </c>
      <c r="AE68">
        <v>0.66</v>
      </c>
      <c r="AF68">
        <v>0</v>
      </c>
      <c r="AG68">
        <v>0</v>
      </c>
      <c r="AJ68" s="54"/>
      <c r="AK68" s="54"/>
      <c r="AL68" s="54"/>
      <c r="AO68">
        <v>1</v>
      </c>
      <c r="AP68" t="s">
        <v>1383</v>
      </c>
      <c r="AR68">
        <v>1</v>
      </c>
      <c r="AS68" t="s">
        <v>1384</v>
      </c>
      <c r="AT68">
        <v>1</v>
      </c>
      <c r="AV68">
        <v>5</v>
      </c>
      <c r="AW68">
        <v>3</v>
      </c>
      <c r="AX68">
        <v>2</v>
      </c>
      <c r="AY68" t="s">
        <v>1390</v>
      </c>
      <c r="AZ68" t="s">
        <v>1390</v>
      </c>
      <c r="BA68">
        <v>10</v>
      </c>
      <c r="BD68">
        <v>1000000000</v>
      </c>
      <c r="BE68">
        <v>4</v>
      </c>
      <c r="BF68">
        <v>0.2</v>
      </c>
      <c r="BG68">
        <v>0</v>
      </c>
      <c r="BH68">
        <v>0</v>
      </c>
      <c r="BI68">
        <v>0</v>
      </c>
      <c r="BJ68">
        <v>0</v>
      </c>
      <c r="BK68">
        <v>0</v>
      </c>
      <c r="BL68">
        <v>0</v>
      </c>
      <c r="BM68">
        <v>4</v>
      </c>
      <c r="BN68">
        <v>0.2</v>
      </c>
      <c r="BR68">
        <v>1</v>
      </c>
      <c r="BS68">
        <v>2</v>
      </c>
      <c r="BX68">
        <v>0</v>
      </c>
      <c r="BY68">
        <v>0</v>
      </c>
      <c r="BZ68">
        <v>0</v>
      </c>
      <c r="CA68">
        <v>2.2200000000000002</v>
      </c>
      <c r="CC68">
        <v>1</v>
      </c>
      <c r="CD68" s="54">
        <v>43038</v>
      </c>
      <c r="CE68" s="54"/>
      <c r="CF68" s="54">
        <v>43038</v>
      </c>
      <c r="CG68" s="54">
        <v>43297</v>
      </c>
      <c r="CH68" s="54">
        <v>43028</v>
      </c>
      <c r="CI68" s="54">
        <v>43122</v>
      </c>
      <c r="CJ68">
        <v>0.26</v>
      </c>
      <c r="CK68">
        <v>0</v>
      </c>
      <c r="CL68">
        <v>0</v>
      </c>
      <c r="CM68">
        <v>0</v>
      </c>
      <c r="CN68">
        <v>0</v>
      </c>
      <c r="CO68">
        <v>0.14000000000000001</v>
      </c>
      <c r="CP68">
        <v>0.54</v>
      </c>
      <c r="CQ68" t="s">
        <v>1144</v>
      </c>
      <c r="CR68" t="s">
        <v>1143</v>
      </c>
      <c r="CS68" t="s">
        <v>3674</v>
      </c>
      <c r="CT68" t="s">
        <v>1403</v>
      </c>
      <c r="CU68" t="s">
        <v>3666</v>
      </c>
      <c r="CV68" t="s">
        <v>3845</v>
      </c>
      <c r="CW68" t="s">
        <v>3676</v>
      </c>
      <c r="CX68" t="s">
        <v>3669</v>
      </c>
      <c r="DC68" t="s">
        <v>3677</v>
      </c>
      <c r="DE68" t="s">
        <v>3670</v>
      </c>
      <c r="DG68" t="s">
        <v>3716</v>
      </c>
      <c r="DH68" s="54">
        <v>43147</v>
      </c>
      <c r="DI68" s="54">
        <v>43168</v>
      </c>
    </row>
    <row r="69" spans="1:113" x14ac:dyDescent="0.25">
      <c r="A69" t="s">
        <v>1021</v>
      </c>
      <c r="B69">
        <v>34</v>
      </c>
      <c r="C69" s="54">
        <v>43208</v>
      </c>
      <c r="D69" t="s">
        <v>1143</v>
      </c>
      <c r="E69" t="s">
        <v>2798</v>
      </c>
      <c r="G69" t="s">
        <v>3846</v>
      </c>
      <c r="H69" t="s">
        <v>1382</v>
      </c>
      <c r="I69" t="s">
        <v>1382</v>
      </c>
      <c r="J69" t="s">
        <v>1382</v>
      </c>
      <c r="K69" t="s">
        <v>1382</v>
      </c>
      <c r="L69">
        <v>17.98</v>
      </c>
      <c r="M69">
        <v>47.9</v>
      </c>
      <c r="N69">
        <v>0</v>
      </c>
      <c r="O69" s="54"/>
      <c r="P69" s="54"/>
      <c r="Q69">
        <v>5</v>
      </c>
      <c r="R69">
        <v>14</v>
      </c>
      <c r="S69">
        <v>37</v>
      </c>
      <c r="T69">
        <v>20</v>
      </c>
      <c r="U69">
        <v>17</v>
      </c>
      <c r="V69">
        <v>1</v>
      </c>
      <c r="W69" t="s">
        <v>1391</v>
      </c>
      <c r="X69" t="s">
        <v>3681</v>
      </c>
      <c r="AA69">
        <v>0.28999999999999998</v>
      </c>
      <c r="AB69">
        <v>17</v>
      </c>
      <c r="AC69">
        <v>8.6199999999999992</v>
      </c>
      <c r="AD69">
        <v>8.6199999999999992</v>
      </c>
      <c r="AE69">
        <v>0.86</v>
      </c>
      <c r="AF69">
        <v>0</v>
      </c>
      <c r="AG69">
        <v>0</v>
      </c>
      <c r="AJ69" s="54"/>
      <c r="AK69" s="54"/>
      <c r="AL69" s="54"/>
      <c r="AO69">
        <v>1</v>
      </c>
      <c r="AP69" t="s">
        <v>1383</v>
      </c>
      <c r="AR69">
        <v>1</v>
      </c>
      <c r="AS69" t="s">
        <v>1384</v>
      </c>
      <c r="AT69">
        <v>1</v>
      </c>
      <c r="AV69">
        <v>10</v>
      </c>
      <c r="AW69">
        <v>7</v>
      </c>
      <c r="AX69">
        <v>3</v>
      </c>
      <c r="AY69" t="s">
        <v>1390</v>
      </c>
      <c r="AZ69" t="s">
        <v>1390</v>
      </c>
      <c r="BA69">
        <v>12</v>
      </c>
      <c r="BD69">
        <v>1000000000</v>
      </c>
      <c r="BE69">
        <v>10</v>
      </c>
      <c r="BF69">
        <v>0</v>
      </c>
      <c r="BG69">
        <v>0</v>
      </c>
      <c r="BH69">
        <v>0</v>
      </c>
      <c r="BI69">
        <v>0</v>
      </c>
      <c r="BJ69">
        <v>0</v>
      </c>
      <c r="BK69">
        <v>0</v>
      </c>
      <c r="BL69">
        <v>0</v>
      </c>
      <c r="BM69">
        <v>10</v>
      </c>
      <c r="BN69">
        <v>0</v>
      </c>
      <c r="BR69">
        <v>0</v>
      </c>
      <c r="BS69">
        <v>5</v>
      </c>
      <c r="BX69">
        <v>0</v>
      </c>
      <c r="BY69">
        <v>0</v>
      </c>
      <c r="BZ69">
        <v>0</v>
      </c>
      <c r="CA69">
        <v>2.16</v>
      </c>
      <c r="CC69">
        <v>1</v>
      </c>
      <c r="CD69" s="54">
        <v>43038</v>
      </c>
      <c r="CE69" s="54"/>
      <c r="CF69" s="54">
        <v>43038</v>
      </c>
      <c r="CG69" s="54">
        <v>43297</v>
      </c>
      <c r="CH69" s="54">
        <v>43028</v>
      </c>
      <c r="CI69" s="54">
        <v>43122</v>
      </c>
      <c r="CJ69">
        <v>0.2</v>
      </c>
      <c r="CK69">
        <v>0</v>
      </c>
      <c r="CL69">
        <v>0</v>
      </c>
      <c r="CM69">
        <v>0</v>
      </c>
      <c r="CN69">
        <v>0.3</v>
      </c>
      <c r="CO69">
        <v>0.3</v>
      </c>
      <c r="CP69">
        <v>0.08</v>
      </c>
      <c r="CQ69" t="s">
        <v>1144</v>
      </c>
      <c r="CR69" t="s">
        <v>1143</v>
      </c>
      <c r="CS69" t="s">
        <v>3674</v>
      </c>
      <c r="CT69" t="s">
        <v>1403</v>
      </c>
      <c r="CU69" t="s">
        <v>3666</v>
      </c>
      <c r="CV69" t="s">
        <v>3847</v>
      </c>
      <c r="CW69" t="s">
        <v>3676</v>
      </c>
      <c r="CX69" t="s">
        <v>3669</v>
      </c>
      <c r="DC69" t="s">
        <v>3677</v>
      </c>
      <c r="DE69" t="s">
        <v>3670</v>
      </c>
      <c r="DG69" t="s">
        <v>3678</v>
      </c>
      <c r="DH69" s="54">
        <v>43147</v>
      </c>
      <c r="DI69" s="54">
        <v>43168</v>
      </c>
    </row>
    <row r="70" spans="1:113" x14ac:dyDescent="0.25">
      <c r="A70" t="s">
        <v>1021</v>
      </c>
      <c r="B70">
        <v>34</v>
      </c>
      <c r="C70" s="54">
        <v>43208</v>
      </c>
      <c r="D70" t="s">
        <v>1143</v>
      </c>
      <c r="E70" t="s">
        <v>2799</v>
      </c>
      <c r="G70" t="s">
        <v>3848</v>
      </c>
      <c r="H70" t="s">
        <v>1382</v>
      </c>
      <c r="I70" t="s">
        <v>1382</v>
      </c>
      <c r="J70" t="s">
        <v>1382</v>
      </c>
      <c r="K70" t="s">
        <v>1382</v>
      </c>
      <c r="L70">
        <v>1.92</v>
      </c>
      <c r="M70">
        <v>4.75</v>
      </c>
      <c r="N70">
        <v>0</v>
      </c>
      <c r="O70" s="54"/>
      <c r="P70" s="54"/>
      <c r="Q70">
        <v>5</v>
      </c>
      <c r="R70">
        <v>14</v>
      </c>
      <c r="S70">
        <v>37</v>
      </c>
      <c r="T70">
        <v>20</v>
      </c>
      <c r="U70">
        <v>17</v>
      </c>
      <c r="V70">
        <v>1</v>
      </c>
      <c r="X70" t="s">
        <v>3681</v>
      </c>
      <c r="Z70" t="s">
        <v>3693</v>
      </c>
      <c r="AA70">
        <v>0.17</v>
      </c>
      <c r="AB70">
        <v>10</v>
      </c>
      <c r="AC70">
        <v>7.35</v>
      </c>
      <c r="AD70">
        <v>20.59</v>
      </c>
      <c r="AE70">
        <v>1.47</v>
      </c>
      <c r="AF70">
        <v>0</v>
      </c>
      <c r="AG70">
        <v>0</v>
      </c>
      <c r="AJ70" s="54"/>
      <c r="AK70" s="54"/>
      <c r="AL70" s="54"/>
      <c r="AO70">
        <v>1</v>
      </c>
      <c r="AP70" t="s">
        <v>1383</v>
      </c>
      <c r="AR70">
        <v>1</v>
      </c>
      <c r="AS70" t="s">
        <v>1384</v>
      </c>
      <c r="AT70">
        <v>1</v>
      </c>
      <c r="AV70">
        <v>5</v>
      </c>
      <c r="AW70">
        <v>3</v>
      </c>
      <c r="AX70">
        <v>2</v>
      </c>
      <c r="AY70" t="s">
        <v>1389</v>
      </c>
      <c r="AZ70" t="s">
        <v>1389</v>
      </c>
      <c r="BA70">
        <v>10</v>
      </c>
      <c r="BD70">
        <v>1000000000</v>
      </c>
      <c r="BE70">
        <v>14</v>
      </c>
      <c r="BF70">
        <v>-1.8</v>
      </c>
      <c r="BG70">
        <v>0</v>
      </c>
      <c r="BH70">
        <v>0</v>
      </c>
      <c r="BI70">
        <v>0</v>
      </c>
      <c r="BJ70">
        <v>0</v>
      </c>
      <c r="BK70">
        <v>0</v>
      </c>
      <c r="BL70">
        <v>0</v>
      </c>
      <c r="BM70">
        <v>14</v>
      </c>
      <c r="BN70">
        <v>-1.8</v>
      </c>
      <c r="BR70">
        <v>0</v>
      </c>
      <c r="BS70">
        <v>2</v>
      </c>
      <c r="BX70">
        <v>0</v>
      </c>
      <c r="BY70">
        <v>17.28</v>
      </c>
      <c r="BZ70">
        <v>0</v>
      </c>
      <c r="CA70">
        <v>1.91</v>
      </c>
      <c r="CC70">
        <v>0</v>
      </c>
      <c r="CD70" s="54">
        <v>43038</v>
      </c>
      <c r="CE70" s="54"/>
      <c r="CF70" s="54">
        <v>43038</v>
      </c>
      <c r="CG70" s="54">
        <v>43297</v>
      </c>
      <c r="CH70" s="54">
        <v>43028</v>
      </c>
      <c r="CI70" s="54">
        <v>43122</v>
      </c>
      <c r="CJ70">
        <v>0.16</v>
      </c>
      <c r="CK70">
        <v>0</v>
      </c>
      <c r="CL70">
        <v>0</v>
      </c>
      <c r="CM70">
        <v>0</v>
      </c>
      <c r="CN70">
        <v>0</v>
      </c>
      <c r="CO70">
        <v>0</v>
      </c>
      <c r="CP70">
        <v>0.68</v>
      </c>
      <c r="CQ70" t="s">
        <v>1144</v>
      </c>
      <c r="CR70" t="s">
        <v>1143</v>
      </c>
      <c r="CS70" t="s">
        <v>3674</v>
      </c>
      <c r="CT70" t="s">
        <v>1403</v>
      </c>
      <c r="CU70" t="s">
        <v>3666</v>
      </c>
      <c r="CV70" t="s">
        <v>3849</v>
      </c>
      <c r="CW70" t="s">
        <v>3676</v>
      </c>
      <c r="CX70" t="s">
        <v>3669</v>
      </c>
      <c r="DC70" t="s">
        <v>3677</v>
      </c>
      <c r="DE70" t="s">
        <v>3670</v>
      </c>
      <c r="DG70" t="s">
        <v>1400</v>
      </c>
      <c r="DH70" s="54">
        <v>43147</v>
      </c>
      <c r="DI70" s="54">
        <v>43168</v>
      </c>
    </row>
    <row r="71" spans="1:113" x14ac:dyDescent="0.25">
      <c r="A71" t="s">
        <v>1021</v>
      </c>
      <c r="B71">
        <v>34</v>
      </c>
      <c r="C71" s="54">
        <v>43208</v>
      </c>
      <c r="D71" t="s">
        <v>1143</v>
      </c>
      <c r="E71" t="s">
        <v>2800</v>
      </c>
      <c r="G71" t="s">
        <v>3850</v>
      </c>
      <c r="H71" t="s">
        <v>1382</v>
      </c>
      <c r="I71" t="s">
        <v>1382</v>
      </c>
      <c r="J71" t="s">
        <v>1382</v>
      </c>
      <c r="K71" t="s">
        <v>1382</v>
      </c>
      <c r="L71">
        <v>6.24</v>
      </c>
      <c r="M71">
        <v>15.5</v>
      </c>
      <c r="N71">
        <v>0</v>
      </c>
      <c r="O71" s="54"/>
      <c r="P71" s="54"/>
      <c r="Q71">
        <v>5</v>
      </c>
      <c r="R71">
        <v>14</v>
      </c>
      <c r="S71">
        <v>37</v>
      </c>
      <c r="T71">
        <v>20</v>
      </c>
      <c r="U71">
        <v>17</v>
      </c>
      <c r="V71">
        <v>1</v>
      </c>
      <c r="X71" t="s">
        <v>3681</v>
      </c>
      <c r="AA71">
        <v>0.25</v>
      </c>
      <c r="AB71">
        <v>14</v>
      </c>
      <c r="AC71">
        <v>22</v>
      </c>
      <c r="AD71">
        <v>24</v>
      </c>
      <c r="AE71">
        <v>1</v>
      </c>
      <c r="AF71">
        <v>0</v>
      </c>
      <c r="AG71">
        <v>0</v>
      </c>
      <c r="AJ71" s="54"/>
      <c r="AK71" s="54"/>
      <c r="AL71" s="54"/>
      <c r="AO71">
        <v>1</v>
      </c>
      <c r="AP71" t="s">
        <v>1383</v>
      </c>
      <c r="AR71">
        <v>1</v>
      </c>
      <c r="AS71" t="s">
        <v>1384</v>
      </c>
      <c r="AT71">
        <v>1</v>
      </c>
      <c r="AV71">
        <v>22</v>
      </c>
      <c r="AW71">
        <v>15</v>
      </c>
      <c r="AX71">
        <v>7</v>
      </c>
      <c r="AY71" t="s">
        <v>1389</v>
      </c>
      <c r="AZ71" t="s">
        <v>1389</v>
      </c>
      <c r="BA71">
        <v>25</v>
      </c>
      <c r="BD71">
        <v>1000000000</v>
      </c>
      <c r="BE71">
        <v>24</v>
      </c>
      <c r="BF71">
        <v>-0.09</v>
      </c>
      <c r="BG71">
        <v>0</v>
      </c>
      <c r="BH71">
        <v>0</v>
      </c>
      <c r="BI71">
        <v>0</v>
      </c>
      <c r="BJ71">
        <v>0</v>
      </c>
      <c r="BK71">
        <v>0</v>
      </c>
      <c r="BL71">
        <v>0</v>
      </c>
      <c r="BM71">
        <v>24</v>
      </c>
      <c r="BN71">
        <v>-0.09</v>
      </c>
      <c r="BR71">
        <v>0</v>
      </c>
      <c r="BS71">
        <v>10</v>
      </c>
      <c r="BX71">
        <v>0</v>
      </c>
      <c r="BY71">
        <v>12.48</v>
      </c>
      <c r="BZ71">
        <v>0</v>
      </c>
      <c r="CA71">
        <v>1.93</v>
      </c>
      <c r="CC71">
        <v>1</v>
      </c>
      <c r="CD71" s="54">
        <v>43038</v>
      </c>
      <c r="CE71" s="54"/>
      <c r="CF71" s="54">
        <v>43038</v>
      </c>
      <c r="CG71" s="54">
        <v>43297</v>
      </c>
      <c r="CH71" s="54">
        <v>42768</v>
      </c>
      <c r="CI71" s="54">
        <v>42852</v>
      </c>
      <c r="CJ71">
        <v>0.09</v>
      </c>
      <c r="CK71">
        <v>0</v>
      </c>
      <c r="CL71">
        <v>0</v>
      </c>
      <c r="CM71">
        <v>0</v>
      </c>
      <c r="CN71">
        <v>0</v>
      </c>
      <c r="CO71">
        <v>0</v>
      </c>
      <c r="CP71">
        <v>0.68</v>
      </c>
      <c r="CQ71" t="s">
        <v>1144</v>
      </c>
      <c r="CR71" t="s">
        <v>1143</v>
      </c>
      <c r="CS71" t="s">
        <v>3674</v>
      </c>
      <c r="CT71" t="s">
        <v>1403</v>
      </c>
      <c r="CU71" t="s">
        <v>3666</v>
      </c>
      <c r="CV71" t="s">
        <v>3851</v>
      </c>
      <c r="CW71" t="s">
        <v>3676</v>
      </c>
      <c r="CX71" t="s">
        <v>3669</v>
      </c>
      <c r="DC71" t="s">
        <v>3677</v>
      </c>
      <c r="DE71" t="s">
        <v>3670</v>
      </c>
      <c r="DG71" t="s">
        <v>3678</v>
      </c>
      <c r="DH71" s="54">
        <v>42887</v>
      </c>
      <c r="DI71" s="54">
        <v>42908</v>
      </c>
    </row>
    <row r="72" spans="1:113" x14ac:dyDescent="0.25">
      <c r="A72" t="s">
        <v>1021</v>
      </c>
      <c r="B72">
        <v>34</v>
      </c>
      <c r="C72" s="54">
        <v>43208</v>
      </c>
      <c r="D72" t="s">
        <v>1143</v>
      </c>
      <c r="E72" t="s">
        <v>2801</v>
      </c>
      <c r="G72" t="s">
        <v>3852</v>
      </c>
      <c r="H72" t="s">
        <v>1382</v>
      </c>
      <c r="I72" t="s">
        <v>1382</v>
      </c>
      <c r="J72" t="s">
        <v>1382</v>
      </c>
      <c r="K72" t="s">
        <v>1382</v>
      </c>
      <c r="L72">
        <v>25.07</v>
      </c>
      <c r="M72">
        <v>64.5</v>
      </c>
      <c r="N72">
        <v>0</v>
      </c>
      <c r="O72" s="54"/>
      <c r="P72" s="54"/>
      <c r="Q72">
        <v>5</v>
      </c>
      <c r="R72">
        <v>14</v>
      </c>
      <c r="S72">
        <v>37</v>
      </c>
      <c r="T72">
        <v>20</v>
      </c>
      <c r="U72">
        <v>17</v>
      </c>
      <c r="V72">
        <v>1</v>
      </c>
      <c r="X72" t="s">
        <v>3673</v>
      </c>
      <c r="AA72">
        <v>0.17</v>
      </c>
      <c r="AB72">
        <v>10</v>
      </c>
      <c r="AC72">
        <v>2.94</v>
      </c>
      <c r="AD72">
        <v>4.41</v>
      </c>
      <c r="AE72">
        <v>1.47</v>
      </c>
      <c r="AF72">
        <v>0</v>
      </c>
      <c r="AG72">
        <v>0</v>
      </c>
      <c r="AJ72" s="54"/>
      <c r="AK72" s="54"/>
      <c r="AL72" s="54"/>
      <c r="AO72">
        <v>1</v>
      </c>
      <c r="AP72" t="s">
        <v>1383</v>
      </c>
      <c r="AR72">
        <v>1</v>
      </c>
      <c r="AS72" t="s">
        <v>1384</v>
      </c>
      <c r="AT72">
        <v>1</v>
      </c>
      <c r="AV72">
        <v>2</v>
      </c>
      <c r="AW72">
        <v>2</v>
      </c>
      <c r="AX72">
        <v>1</v>
      </c>
      <c r="AY72" t="s">
        <v>1389</v>
      </c>
      <c r="AZ72" t="s">
        <v>1389</v>
      </c>
      <c r="BA72">
        <v>0</v>
      </c>
      <c r="BD72">
        <v>1000000000</v>
      </c>
      <c r="BE72">
        <v>3</v>
      </c>
      <c r="BF72">
        <v>-0.5</v>
      </c>
      <c r="BG72">
        <v>0</v>
      </c>
      <c r="BH72">
        <v>0</v>
      </c>
      <c r="BI72">
        <v>0</v>
      </c>
      <c r="BJ72">
        <v>0</v>
      </c>
      <c r="BK72">
        <v>0</v>
      </c>
      <c r="BL72">
        <v>0</v>
      </c>
      <c r="BM72">
        <v>3</v>
      </c>
      <c r="BN72">
        <v>-0.5</v>
      </c>
      <c r="BR72">
        <v>0</v>
      </c>
      <c r="BS72">
        <v>1</v>
      </c>
      <c r="BX72">
        <v>0</v>
      </c>
      <c r="BY72">
        <v>25.07</v>
      </c>
      <c r="BZ72">
        <v>0</v>
      </c>
      <c r="CA72">
        <v>2.04</v>
      </c>
      <c r="CC72">
        <v>1</v>
      </c>
      <c r="CD72" s="54">
        <v>42836</v>
      </c>
      <c r="CE72" s="54"/>
      <c r="CF72" s="54">
        <v>42949</v>
      </c>
      <c r="CG72" s="54">
        <v>43208</v>
      </c>
      <c r="CH72" s="54">
        <v>43028</v>
      </c>
      <c r="CI72" s="54">
        <v>43122</v>
      </c>
      <c r="CJ72">
        <v>0.7</v>
      </c>
      <c r="CK72">
        <v>0</v>
      </c>
      <c r="CL72">
        <v>0.17</v>
      </c>
      <c r="CM72">
        <v>0.33</v>
      </c>
      <c r="CN72">
        <v>0</v>
      </c>
      <c r="CO72">
        <v>0</v>
      </c>
      <c r="CP72">
        <v>0.44</v>
      </c>
      <c r="CQ72" t="s">
        <v>1144</v>
      </c>
      <c r="CR72" t="s">
        <v>1143</v>
      </c>
      <c r="CS72" t="s">
        <v>3674</v>
      </c>
      <c r="CT72" t="s">
        <v>1403</v>
      </c>
      <c r="CU72" t="s">
        <v>3666</v>
      </c>
      <c r="CV72" t="s">
        <v>3853</v>
      </c>
      <c r="CW72" t="s">
        <v>3676</v>
      </c>
      <c r="CX72" t="s">
        <v>3669</v>
      </c>
      <c r="DC72" t="s">
        <v>3677</v>
      </c>
      <c r="DE72" t="s">
        <v>3670</v>
      </c>
      <c r="DG72" t="s">
        <v>3678</v>
      </c>
      <c r="DH72" s="54">
        <v>43147</v>
      </c>
      <c r="DI72" s="54">
        <v>43168</v>
      </c>
    </row>
    <row r="73" spans="1:113" x14ac:dyDescent="0.25">
      <c r="A73" t="s">
        <v>1021</v>
      </c>
      <c r="B73">
        <v>34</v>
      </c>
      <c r="C73" s="54">
        <v>43208</v>
      </c>
      <c r="D73" t="s">
        <v>1143</v>
      </c>
      <c r="E73" t="s">
        <v>2802</v>
      </c>
      <c r="G73" t="s">
        <v>3854</v>
      </c>
      <c r="H73" t="s">
        <v>1382</v>
      </c>
      <c r="I73" t="s">
        <v>1382</v>
      </c>
      <c r="J73" t="s">
        <v>1382</v>
      </c>
      <c r="K73" t="s">
        <v>1382</v>
      </c>
      <c r="L73">
        <v>0.15</v>
      </c>
      <c r="M73">
        <v>0.75</v>
      </c>
      <c r="N73">
        <v>0</v>
      </c>
      <c r="O73" s="54"/>
      <c r="P73" s="54"/>
      <c r="Q73">
        <v>5</v>
      </c>
      <c r="R73">
        <v>14</v>
      </c>
      <c r="S73">
        <v>37</v>
      </c>
      <c r="T73">
        <v>20</v>
      </c>
      <c r="U73">
        <v>17</v>
      </c>
      <c r="V73">
        <v>1</v>
      </c>
      <c r="X73" t="s">
        <v>3681</v>
      </c>
      <c r="Z73" t="s">
        <v>3693</v>
      </c>
      <c r="AA73">
        <v>0.33</v>
      </c>
      <c r="AB73">
        <v>19</v>
      </c>
      <c r="AC73">
        <v>7.58</v>
      </c>
      <c r="AD73">
        <v>21.21</v>
      </c>
      <c r="AE73">
        <v>0.76</v>
      </c>
      <c r="AF73">
        <v>0</v>
      </c>
      <c r="AG73">
        <v>0</v>
      </c>
      <c r="AJ73" s="54"/>
      <c r="AK73" s="54"/>
      <c r="AL73" s="54"/>
      <c r="AO73">
        <v>1</v>
      </c>
      <c r="AP73" t="s">
        <v>1383</v>
      </c>
      <c r="AR73">
        <v>1</v>
      </c>
      <c r="AS73" t="s">
        <v>1384</v>
      </c>
      <c r="AT73">
        <v>1</v>
      </c>
      <c r="AV73">
        <v>10</v>
      </c>
      <c r="AW73">
        <v>7</v>
      </c>
      <c r="AX73">
        <v>3</v>
      </c>
      <c r="AY73" t="s">
        <v>1389</v>
      </c>
      <c r="AZ73" t="s">
        <v>1389</v>
      </c>
      <c r="BA73">
        <v>20</v>
      </c>
      <c r="BD73">
        <v>1000000000</v>
      </c>
      <c r="BE73">
        <v>28</v>
      </c>
      <c r="BF73">
        <v>-1.8</v>
      </c>
      <c r="BG73">
        <v>0</v>
      </c>
      <c r="BH73">
        <v>0</v>
      </c>
      <c r="BI73">
        <v>0</v>
      </c>
      <c r="BJ73">
        <v>0</v>
      </c>
      <c r="BK73">
        <v>0</v>
      </c>
      <c r="BL73">
        <v>0</v>
      </c>
      <c r="BM73">
        <v>28</v>
      </c>
      <c r="BN73">
        <v>-1.8</v>
      </c>
      <c r="BR73">
        <v>0</v>
      </c>
      <c r="BS73">
        <v>5</v>
      </c>
      <c r="BX73">
        <v>0</v>
      </c>
      <c r="BY73">
        <v>2.7</v>
      </c>
      <c r="BZ73">
        <v>0</v>
      </c>
      <c r="CA73">
        <v>5.19</v>
      </c>
      <c r="CC73">
        <v>0</v>
      </c>
      <c r="CD73" s="54">
        <v>43038</v>
      </c>
      <c r="CE73" s="54"/>
      <c r="CF73" s="54">
        <v>43038</v>
      </c>
      <c r="CG73" s="54">
        <v>43297</v>
      </c>
      <c r="CH73" s="54">
        <v>43028</v>
      </c>
      <c r="CI73" s="54">
        <v>43122</v>
      </c>
      <c r="CJ73">
        <v>0.16</v>
      </c>
      <c r="CK73">
        <v>0</v>
      </c>
      <c r="CL73">
        <v>0</v>
      </c>
      <c r="CM73">
        <v>0</v>
      </c>
      <c r="CN73">
        <v>0</v>
      </c>
      <c r="CO73">
        <v>0</v>
      </c>
      <c r="CP73">
        <v>0.68</v>
      </c>
      <c r="CQ73" t="s">
        <v>1144</v>
      </c>
      <c r="CR73" t="s">
        <v>1143</v>
      </c>
      <c r="CS73" t="s">
        <v>3674</v>
      </c>
      <c r="CT73" t="s">
        <v>1403</v>
      </c>
      <c r="CU73" t="s">
        <v>3666</v>
      </c>
      <c r="CV73" t="s">
        <v>3855</v>
      </c>
      <c r="CW73" t="s">
        <v>3676</v>
      </c>
      <c r="CX73" t="s">
        <v>3669</v>
      </c>
      <c r="DC73" t="s">
        <v>3677</v>
      </c>
      <c r="DE73" t="s">
        <v>3670</v>
      </c>
      <c r="DG73" t="s">
        <v>1400</v>
      </c>
      <c r="DH73" s="54">
        <v>43147</v>
      </c>
      <c r="DI73" s="54">
        <v>43168</v>
      </c>
    </row>
    <row r="74" spans="1:113" x14ac:dyDescent="0.25">
      <c r="A74" t="s">
        <v>1021</v>
      </c>
      <c r="B74">
        <v>5</v>
      </c>
      <c r="C74" s="54">
        <v>43208</v>
      </c>
      <c r="D74" t="s">
        <v>1143</v>
      </c>
      <c r="E74" t="s">
        <v>1425</v>
      </c>
      <c r="G74" t="s">
        <v>3856</v>
      </c>
      <c r="H74" t="s">
        <v>1382</v>
      </c>
      <c r="I74" t="s">
        <v>1382</v>
      </c>
      <c r="J74" t="s">
        <v>1382</v>
      </c>
      <c r="K74" t="s">
        <v>1382</v>
      </c>
      <c r="L74">
        <v>396.99</v>
      </c>
      <c r="M74">
        <v>829</v>
      </c>
      <c r="N74">
        <v>0</v>
      </c>
      <c r="O74" s="54"/>
      <c r="P74" s="54"/>
      <c r="Q74">
        <v>5</v>
      </c>
      <c r="R74">
        <v>14</v>
      </c>
      <c r="S74">
        <v>37</v>
      </c>
      <c r="T74">
        <v>20</v>
      </c>
      <c r="U74">
        <v>17</v>
      </c>
      <c r="V74">
        <v>1</v>
      </c>
      <c r="W74" t="s">
        <v>3672</v>
      </c>
      <c r="X74" t="s">
        <v>3790</v>
      </c>
      <c r="Y74">
        <v>2</v>
      </c>
      <c r="AA74">
        <v>0.5</v>
      </c>
      <c r="AB74">
        <v>28</v>
      </c>
      <c r="AC74">
        <v>0.5</v>
      </c>
      <c r="AD74">
        <v>0</v>
      </c>
      <c r="AE74">
        <v>0.5</v>
      </c>
      <c r="AF74">
        <v>23</v>
      </c>
      <c r="AG74">
        <v>0</v>
      </c>
      <c r="AJ74" s="54"/>
      <c r="AK74" s="54"/>
      <c r="AL74" s="54">
        <v>42849</v>
      </c>
      <c r="AO74">
        <v>1</v>
      </c>
      <c r="AP74" t="s">
        <v>1383</v>
      </c>
      <c r="AR74">
        <v>1</v>
      </c>
      <c r="AS74" t="s">
        <v>1384</v>
      </c>
      <c r="AT74">
        <v>1</v>
      </c>
      <c r="AV74">
        <v>1</v>
      </c>
      <c r="AW74">
        <v>1</v>
      </c>
      <c r="AX74">
        <v>0.5</v>
      </c>
      <c r="AY74" t="s">
        <v>838</v>
      </c>
      <c r="AZ74" t="s">
        <v>838</v>
      </c>
      <c r="BA74">
        <v>15</v>
      </c>
      <c r="BD74">
        <v>1000000000</v>
      </c>
      <c r="BE74">
        <v>0</v>
      </c>
      <c r="BF74">
        <v>1</v>
      </c>
      <c r="BG74">
        <v>0</v>
      </c>
      <c r="BH74">
        <v>0</v>
      </c>
      <c r="BI74">
        <v>0</v>
      </c>
      <c r="BJ74">
        <v>0</v>
      </c>
      <c r="BK74">
        <v>0</v>
      </c>
      <c r="BL74">
        <v>0</v>
      </c>
      <c r="BM74">
        <v>0</v>
      </c>
      <c r="BN74">
        <v>1</v>
      </c>
      <c r="BR74">
        <v>1</v>
      </c>
      <c r="BS74">
        <v>0</v>
      </c>
      <c r="BX74">
        <v>216.01</v>
      </c>
      <c r="BY74">
        <v>0</v>
      </c>
      <c r="BZ74">
        <v>0</v>
      </c>
      <c r="CA74">
        <v>1.41</v>
      </c>
      <c r="CC74">
        <v>1</v>
      </c>
      <c r="CD74" s="54">
        <v>42893</v>
      </c>
      <c r="CE74" s="54"/>
      <c r="CF74" s="54">
        <v>42949</v>
      </c>
      <c r="CG74" s="54">
        <v>43208</v>
      </c>
      <c r="CH74" s="54">
        <v>43132</v>
      </c>
      <c r="CI74" s="54">
        <v>43195</v>
      </c>
      <c r="CJ74">
        <v>0.91</v>
      </c>
      <c r="CK74">
        <v>1</v>
      </c>
      <c r="CL74">
        <v>0.43</v>
      </c>
      <c r="CM74">
        <v>0</v>
      </c>
      <c r="CN74">
        <v>0</v>
      </c>
      <c r="CO74">
        <v>0</v>
      </c>
      <c r="CP74">
        <v>0.55000000000000004</v>
      </c>
      <c r="CQ74" t="s">
        <v>1144</v>
      </c>
      <c r="CR74" t="s">
        <v>1143</v>
      </c>
      <c r="CS74" t="s">
        <v>3665</v>
      </c>
      <c r="CT74" t="s">
        <v>1403</v>
      </c>
      <c r="CU74" t="s">
        <v>3666</v>
      </c>
      <c r="CV74" t="s">
        <v>3857</v>
      </c>
      <c r="CW74" t="s">
        <v>3668</v>
      </c>
      <c r="CX74" t="s">
        <v>3669</v>
      </c>
      <c r="DC74" t="s">
        <v>3668</v>
      </c>
      <c r="DE74" t="s">
        <v>3670</v>
      </c>
      <c r="DG74" t="s">
        <v>3678</v>
      </c>
      <c r="DH74" s="54">
        <v>43251</v>
      </c>
      <c r="DI74" s="54">
        <v>43272</v>
      </c>
    </row>
    <row r="75" spans="1:113" x14ac:dyDescent="0.25">
      <c r="A75" t="s">
        <v>1021</v>
      </c>
      <c r="B75">
        <v>5</v>
      </c>
      <c r="C75" s="54">
        <v>43208</v>
      </c>
      <c r="D75" t="s">
        <v>1143</v>
      </c>
      <c r="E75" t="s">
        <v>3858</v>
      </c>
      <c r="G75" t="s">
        <v>3859</v>
      </c>
      <c r="H75" t="s">
        <v>1382</v>
      </c>
      <c r="I75" t="s">
        <v>1382</v>
      </c>
      <c r="J75" t="s">
        <v>1382</v>
      </c>
      <c r="K75" t="s">
        <v>1382</v>
      </c>
      <c r="L75">
        <v>459.45</v>
      </c>
      <c r="M75">
        <v>852.91</v>
      </c>
      <c r="N75">
        <v>0</v>
      </c>
      <c r="O75" s="54"/>
      <c r="P75" s="54"/>
      <c r="Q75">
        <v>5</v>
      </c>
      <c r="R75">
        <v>14</v>
      </c>
      <c r="S75">
        <v>37</v>
      </c>
      <c r="T75">
        <v>20</v>
      </c>
      <c r="U75">
        <v>17</v>
      </c>
      <c r="V75">
        <v>1</v>
      </c>
      <c r="X75" t="s">
        <v>3860</v>
      </c>
      <c r="AA75">
        <v>0</v>
      </c>
      <c r="AB75">
        <v>0</v>
      </c>
      <c r="AC75">
        <v>0</v>
      </c>
      <c r="AD75">
        <v>0</v>
      </c>
      <c r="AE75">
        <v>0</v>
      </c>
      <c r="AF75">
        <v>0</v>
      </c>
      <c r="AG75">
        <v>0</v>
      </c>
      <c r="AJ75" s="54"/>
      <c r="AK75" s="54"/>
      <c r="AL75" s="54">
        <v>42849</v>
      </c>
      <c r="AO75">
        <v>1</v>
      </c>
      <c r="AP75" t="s">
        <v>1383</v>
      </c>
      <c r="AR75">
        <v>1</v>
      </c>
      <c r="AS75" t="s">
        <v>1384</v>
      </c>
      <c r="AT75">
        <v>1</v>
      </c>
      <c r="AV75">
        <v>0</v>
      </c>
      <c r="AW75">
        <v>0</v>
      </c>
      <c r="AX75">
        <v>0</v>
      </c>
      <c r="AY75" t="s">
        <v>1385</v>
      </c>
      <c r="AZ75" t="s">
        <v>1385</v>
      </c>
      <c r="BA75">
        <v>20</v>
      </c>
      <c r="BD75">
        <v>1000000000</v>
      </c>
      <c r="BE75">
        <v>1</v>
      </c>
      <c r="BF75">
        <v>0</v>
      </c>
      <c r="BG75">
        <v>0</v>
      </c>
      <c r="BH75">
        <v>0</v>
      </c>
      <c r="BI75">
        <v>0</v>
      </c>
      <c r="BJ75">
        <v>0</v>
      </c>
      <c r="BK75">
        <v>0</v>
      </c>
      <c r="BL75">
        <v>0</v>
      </c>
      <c r="BM75">
        <v>1</v>
      </c>
      <c r="BN75">
        <v>0</v>
      </c>
      <c r="BR75">
        <v>0</v>
      </c>
      <c r="BS75">
        <v>0</v>
      </c>
      <c r="BX75">
        <v>0</v>
      </c>
      <c r="BY75">
        <v>0</v>
      </c>
      <c r="BZ75">
        <v>0</v>
      </c>
      <c r="CA75">
        <v>0</v>
      </c>
      <c r="CC75">
        <v>0</v>
      </c>
      <c r="CD75" s="54">
        <v>42523</v>
      </c>
      <c r="CE75" s="54"/>
      <c r="CF75" s="54">
        <v>42949</v>
      </c>
      <c r="CG75" s="54">
        <v>43208</v>
      </c>
      <c r="CH75" s="54">
        <v>0</v>
      </c>
      <c r="CI75" s="54">
        <v>0</v>
      </c>
      <c r="CJ75">
        <v>1.72</v>
      </c>
      <c r="CK75">
        <v>0</v>
      </c>
      <c r="CL75">
        <v>0.73</v>
      </c>
      <c r="CM75">
        <v>0</v>
      </c>
      <c r="CN75">
        <v>0</v>
      </c>
      <c r="CO75">
        <v>0</v>
      </c>
      <c r="CP75">
        <v>0.25</v>
      </c>
      <c r="CQ75" t="s">
        <v>1144</v>
      </c>
      <c r="CR75" t="s">
        <v>1143</v>
      </c>
      <c r="CS75" t="s">
        <v>3665</v>
      </c>
      <c r="CT75" t="s">
        <v>1403</v>
      </c>
      <c r="CU75" t="s">
        <v>3666</v>
      </c>
      <c r="CV75" t="s">
        <v>3861</v>
      </c>
      <c r="CW75" t="s">
        <v>3668</v>
      </c>
      <c r="CX75" t="s">
        <v>3669</v>
      </c>
      <c r="DC75" t="s">
        <v>3668</v>
      </c>
      <c r="DE75" t="s">
        <v>3670</v>
      </c>
      <c r="DH75" s="54"/>
      <c r="DI75" s="54"/>
    </row>
    <row r="76" spans="1:113" x14ac:dyDescent="0.25">
      <c r="A76" t="s">
        <v>1021</v>
      </c>
      <c r="B76">
        <v>5</v>
      </c>
      <c r="C76" s="54">
        <v>43208</v>
      </c>
      <c r="D76" t="s">
        <v>1143</v>
      </c>
      <c r="E76" t="s">
        <v>3862</v>
      </c>
      <c r="G76" t="s">
        <v>3863</v>
      </c>
      <c r="H76" t="s">
        <v>1382</v>
      </c>
      <c r="I76" t="s">
        <v>1382</v>
      </c>
      <c r="J76" t="s">
        <v>1382</v>
      </c>
      <c r="K76" t="s">
        <v>1382</v>
      </c>
      <c r="L76">
        <v>297.79000000000002</v>
      </c>
      <c r="M76">
        <v>629</v>
      </c>
      <c r="N76">
        <v>0</v>
      </c>
      <c r="O76" s="54"/>
      <c r="P76" s="54"/>
      <c r="Q76">
        <v>5</v>
      </c>
      <c r="R76">
        <v>14</v>
      </c>
      <c r="S76">
        <v>37</v>
      </c>
      <c r="T76">
        <v>20</v>
      </c>
      <c r="U76">
        <v>17</v>
      </c>
      <c r="V76">
        <v>1</v>
      </c>
      <c r="X76" t="s">
        <v>3664</v>
      </c>
      <c r="AA76">
        <v>0</v>
      </c>
      <c r="AB76">
        <v>0</v>
      </c>
      <c r="AC76">
        <v>0</v>
      </c>
      <c r="AD76">
        <v>0</v>
      </c>
      <c r="AE76">
        <v>0</v>
      </c>
      <c r="AF76">
        <v>0</v>
      </c>
      <c r="AG76">
        <v>0</v>
      </c>
      <c r="AJ76" s="54"/>
      <c r="AK76" s="54"/>
      <c r="AL76" s="54">
        <v>42849</v>
      </c>
      <c r="AO76">
        <v>1</v>
      </c>
      <c r="AP76" t="s">
        <v>1383</v>
      </c>
      <c r="AR76">
        <v>1</v>
      </c>
      <c r="AS76" t="s">
        <v>1384</v>
      </c>
      <c r="AT76">
        <v>1</v>
      </c>
      <c r="AV76">
        <v>0</v>
      </c>
      <c r="AW76">
        <v>0</v>
      </c>
      <c r="AX76">
        <v>0</v>
      </c>
      <c r="AY76" t="s">
        <v>1385</v>
      </c>
      <c r="AZ76" t="s">
        <v>1385</v>
      </c>
      <c r="BA76">
        <v>35</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42524</v>
      </c>
      <c r="CE76" s="54"/>
      <c r="CF76" s="54">
        <v>42949</v>
      </c>
      <c r="CG76" s="54">
        <v>43208</v>
      </c>
      <c r="CH76" s="54">
        <v>0</v>
      </c>
      <c r="CI76" s="54">
        <v>0</v>
      </c>
      <c r="CJ76">
        <v>1.68</v>
      </c>
      <c r="CK76">
        <v>0</v>
      </c>
      <c r="CL76">
        <v>0.72</v>
      </c>
      <c r="CM76">
        <v>0</v>
      </c>
      <c r="CN76">
        <v>0</v>
      </c>
      <c r="CO76">
        <v>0</v>
      </c>
      <c r="CP76">
        <v>0.25</v>
      </c>
      <c r="CQ76" t="s">
        <v>1144</v>
      </c>
      <c r="CR76" t="s">
        <v>1143</v>
      </c>
      <c r="CS76" t="s">
        <v>3665</v>
      </c>
      <c r="CT76" t="s">
        <v>1403</v>
      </c>
      <c r="CU76" t="s">
        <v>3666</v>
      </c>
      <c r="CV76" t="s">
        <v>3864</v>
      </c>
      <c r="CW76" t="s">
        <v>3668</v>
      </c>
      <c r="CX76" t="s">
        <v>3669</v>
      </c>
      <c r="DC76" t="s">
        <v>3668</v>
      </c>
      <c r="DE76" t="s">
        <v>3670</v>
      </c>
      <c r="DH76" s="54"/>
      <c r="DI76" s="54"/>
    </row>
    <row r="77" spans="1:113" x14ac:dyDescent="0.25">
      <c r="A77" t="s">
        <v>1021</v>
      </c>
      <c r="B77">
        <v>5</v>
      </c>
      <c r="C77" s="54">
        <v>43208</v>
      </c>
      <c r="D77" t="s">
        <v>1143</v>
      </c>
      <c r="E77" t="s">
        <v>1426</v>
      </c>
      <c r="G77" t="s">
        <v>3865</v>
      </c>
      <c r="H77" t="s">
        <v>1382</v>
      </c>
      <c r="I77" t="s">
        <v>1382</v>
      </c>
      <c r="J77" t="s">
        <v>1382</v>
      </c>
      <c r="K77" t="s">
        <v>1382</v>
      </c>
      <c r="L77">
        <v>18.07</v>
      </c>
      <c r="M77">
        <v>36.92</v>
      </c>
      <c r="N77">
        <v>0</v>
      </c>
      <c r="O77" s="54"/>
      <c r="P77" s="54"/>
      <c r="Q77">
        <v>5</v>
      </c>
      <c r="R77">
        <v>14</v>
      </c>
      <c r="S77">
        <v>37</v>
      </c>
      <c r="T77">
        <v>20</v>
      </c>
      <c r="U77">
        <v>17</v>
      </c>
      <c r="V77">
        <v>1</v>
      </c>
      <c r="W77" t="s">
        <v>1391</v>
      </c>
      <c r="X77" t="s">
        <v>3866</v>
      </c>
      <c r="AA77">
        <v>1.29</v>
      </c>
      <c r="AB77">
        <v>72</v>
      </c>
      <c r="AC77">
        <v>19.38</v>
      </c>
      <c r="AD77">
        <v>10.08</v>
      </c>
      <c r="AE77">
        <v>0.19</v>
      </c>
      <c r="AF77">
        <v>0</v>
      </c>
      <c r="AG77">
        <v>0</v>
      </c>
      <c r="AJ77" s="54"/>
      <c r="AK77" s="54"/>
      <c r="AL77" s="54">
        <v>42849</v>
      </c>
      <c r="AO77">
        <v>1</v>
      </c>
      <c r="AP77" t="s">
        <v>1383</v>
      </c>
      <c r="AR77">
        <v>1</v>
      </c>
      <c r="AS77" t="s">
        <v>1384</v>
      </c>
      <c r="AT77">
        <v>1</v>
      </c>
      <c r="AV77">
        <v>100</v>
      </c>
      <c r="AW77">
        <v>67</v>
      </c>
      <c r="AX77">
        <v>33</v>
      </c>
      <c r="AY77" t="s">
        <v>1394</v>
      </c>
      <c r="AZ77" t="s">
        <v>1401</v>
      </c>
      <c r="BA77">
        <v>60</v>
      </c>
      <c r="BD77">
        <v>1000000000</v>
      </c>
      <c r="BE77">
        <v>12</v>
      </c>
      <c r="BF77">
        <v>0.88</v>
      </c>
      <c r="BG77">
        <v>40</v>
      </c>
      <c r="BH77">
        <v>0</v>
      </c>
      <c r="BI77">
        <v>0</v>
      </c>
      <c r="BJ77">
        <v>0</v>
      </c>
      <c r="BK77">
        <v>0</v>
      </c>
      <c r="BL77">
        <v>0</v>
      </c>
      <c r="BM77">
        <v>52</v>
      </c>
      <c r="BN77">
        <v>0.48</v>
      </c>
      <c r="BR77">
        <v>48</v>
      </c>
      <c r="BS77">
        <v>46</v>
      </c>
      <c r="BX77">
        <v>395.85</v>
      </c>
      <c r="BY77">
        <v>0</v>
      </c>
      <c r="BZ77">
        <v>0</v>
      </c>
      <c r="CA77">
        <v>1.35</v>
      </c>
      <c r="CC77">
        <v>3.64</v>
      </c>
      <c r="CD77" s="54">
        <v>43160</v>
      </c>
      <c r="CE77" s="54"/>
      <c r="CF77" s="54">
        <v>43160</v>
      </c>
      <c r="CG77" s="54">
        <v>43419</v>
      </c>
      <c r="CH77" s="54">
        <v>43195</v>
      </c>
      <c r="CI77" s="54">
        <v>43195</v>
      </c>
      <c r="CJ77">
        <v>0.03</v>
      </c>
      <c r="CK77">
        <v>0</v>
      </c>
      <c r="CL77">
        <v>0</v>
      </c>
      <c r="CM77">
        <v>0.21</v>
      </c>
      <c r="CN77">
        <v>0</v>
      </c>
      <c r="CO77">
        <v>0</v>
      </c>
      <c r="CP77">
        <v>0</v>
      </c>
      <c r="CQ77" t="s">
        <v>1144</v>
      </c>
      <c r="CR77" t="s">
        <v>1143</v>
      </c>
      <c r="CS77" t="s">
        <v>3665</v>
      </c>
      <c r="CT77" t="s">
        <v>1403</v>
      </c>
      <c r="CU77" t="s">
        <v>3666</v>
      </c>
      <c r="CV77" t="s">
        <v>3867</v>
      </c>
      <c r="CW77" t="s">
        <v>3868</v>
      </c>
      <c r="CX77" t="s">
        <v>849</v>
      </c>
      <c r="DC77" t="s">
        <v>3869</v>
      </c>
      <c r="DE77" t="s">
        <v>3870</v>
      </c>
      <c r="DG77" t="s">
        <v>3786</v>
      </c>
      <c r="DH77" s="54">
        <v>43314</v>
      </c>
      <c r="DI77" s="54">
        <v>43335</v>
      </c>
    </row>
    <row r="78" spans="1:113" x14ac:dyDescent="0.25">
      <c r="A78" t="s">
        <v>1021</v>
      </c>
      <c r="B78">
        <v>34</v>
      </c>
      <c r="C78" s="54">
        <v>43208</v>
      </c>
      <c r="D78" t="s">
        <v>1143</v>
      </c>
      <c r="E78" t="s">
        <v>3871</v>
      </c>
      <c r="G78" t="s">
        <v>3872</v>
      </c>
      <c r="H78" t="s">
        <v>1382</v>
      </c>
      <c r="I78" t="s">
        <v>1382</v>
      </c>
      <c r="J78" t="s">
        <v>1382</v>
      </c>
      <c r="K78" t="s">
        <v>1382</v>
      </c>
      <c r="L78">
        <v>9.64</v>
      </c>
      <c r="M78">
        <v>21.05</v>
      </c>
      <c r="N78">
        <v>0</v>
      </c>
      <c r="O78" s="54"/>
      <c r="P78" s="54"/>
      <c r="Q78">
        <v>5</v>
      </c>
      <c r="R78">
        <v>14</v>
      </c>
      <c r="S78">
        <v>37</v>
      </c>
      <c r="T78">
        <v>20</v>
      </c>
      <c r="U78">
        <v>17</v>
      </c>
      <c r="V78">
        <v>1</v>
      </c>
      <c r="X78" t="s">
        <v>3673</v>
      </c>
      <c r="AA78">
        <v>0</v>
      </c>
      <c r="AB78">
        <v>0</v>
      </c>
      <c r="AC78">
        <v>0</v>
      </c>
      <c r="AD78">
        <v>0</v>
      </c>
      <c r="AE78">
        <v>0</v>
      </c>
      <c r="AF78">
        <v>0</v>
      </c>
      <c r="AG78">
        <v>0</v>
      </c>
      <c r="AJ78" s="54"/>
      <c r="AK78" s="54"/>
      <c r="AL78" s="54"/>
      <c r="AO78">
        <v>1</v>
      </c>
      <c r="AP78" t="s">
        <v>1383</v>
      </c>
      <c r="AR78">
        <v>1</v>
      </c>
      <c r="AS78" t="s">
        <v>1384</v>
      </c>
      <c r="AT78">
        <v>1</v>
      </c>
      <c r="AV78">
        <v>10</v>
      </c>
      <c r="AW78">
        <v>7</v>
      </c>
      <c r="AX78">
        <v>3</v>
      </c>
      <c r="AY78" t="s">
        <v>1389</v>
      </c>
      <c r="AZ78" t="s">
        <v>1389</v>
      </c>
      <c r="BA78">
        <v>0</v>
      </c>
      <c r="BD78">
        <v>1000000000</v>
      </c>
      <c r="BE78">
        <v>20</v>
      </c>
      <c r="BF78">
        <v>-1</v>
      </c>
      <c r="BG78">
        <v>0</v>
      </c>
      <c r="BH78">
        <v>0</v>
      </c>
      <c r="BI78">
        <v>0</v>
      </c>
      <c r="BJ78">
        <v>0</v>
      </c>
      <c r="BK78">
        <v>0</v>
      </c>
      <c r="BL78">
        <v>0</v>
      </c>
      <c r="BM78">
        <v>20</v>
      </c>
      <c r="BN78">
        <v>-1</v>
      </c>
      <c r="BR78">
        <v>0</v>
      </c>
      <c r="BS78">
        <v>5</v>
      </c>
      <c r="BX78">
        <v>0</v>
      </c>
      <c r="BY78">
        <v>96.4</v>
      </c>
      <c r="BZ78">
        <v>0</v>
      </c>
      <c r="CA78">
        <v>1.54</v>
      </c>
      <c r="CC78">
        <v>0</v>
      </c>
      <c r="CD78" s="54">
        <v>42836</v>
      </c>
      <c r="CE78" s="54"/>
      <c r="CF78" s="54">
        <v>42949</v>
      </c>
      <c r="CG78" s="54">
        <v>43208</v>
      </c>
      <c r="CH78" s="54">
        <v>0</v>
      </c>
      <c r="CI78" s="54">
        <v>0</v>
      </c>
      <c r="CJ78">
        <v>0</v>
      </c>
      <c r="CK78">
        <v>0</v>
      </c>
      <c r="CL78">
        <v>0</v>
      </c>
      <c r="CM78">
        <v>0</v>
      </c>
      <c r="CN78">
        <v>0</v>
      </c>
      <c r="CO78">
        <v>0</v>
      </c>
      <c r="CP78">
        <v>0.94</v>
      </c>
      <c r="CQ78" t="s">
        <v>1144</v>
      </c>
      <c r="CR78" t="s">
        <v>1143</v>
      </c>
      <c r="CS78" t="s">
        <v>3674</v>
      </c>
      <c r="CT78" t="s">
        <v>1403</v>
      </c>
      <c r="CU78" t="s">
        <v>3666</v>
      </c>
      <c r="CV78" t="s">
        <v>3873</v>
      </c>
      <c r="CW78" t="s">
        <v>3874</v>
      </c>
      <c r="CX78" t="s">
        <v>849</v>
      </c>
      <c r="DC78" t="s">
        <v>3677</v>
      </c>
      <c r="DE78" t="s">
        <v>3870</v>
      </c>
      <c r="DG78" t="s">
        <v>1400</v>
      </c>
      <c r="DH78" s="54"/>
      <c r="DI78" s="54"/>
    </row>
    <row r="79" spans="1:113" x14ac:dyDescent="0.25">
      <c r="A79" t="s">
        <v>1021</v>
      </c>
      <c r="B79">
        <v>5</v>
      </c>
      <c r="C79" s="54">
        <v>43208</v>
      </c>
      <c r="D79" t="s">
        <v>1143</v>
      </c>
      <c r="E79" t="s">
        <v>2875</v>
      </c>
      <c r="G79" t="s">
        <v>3875</v>
      </c>
      <c r="H79" t="s">
        <v>1382</v>
      </c>
      <c r="I79" t="s">
        <v>1382</v>
      </c>
      <c r="J79" t="s">
        <v>1382</v>
      </c>
      <c r="K79" t="s">
        <v>1382</v>
      </c>
      <c r="L79">
        <v>13.91</v>
      </c>
      <c r="M79">
        <v>29.38</v>
      </c>
      <c r="N79">
        <v>0</v>
      </c>
      <c r="O79" s="54"/>
      <c r="P79" s="54"/>
      <c r="Q79">
        <v>5</v>
      </c>
      <c r="R79">
        <v>14</v>
      </c>
      <c r="S79">
        <v>37</v>
      </c>
      <c r="T79">
        <v>20</v>
      </c>
      <c r="U79">
        <v>17</v>
      </c>
      <c r="V79">
        <v>1</v>
      </c>
      <c r="W79" t="s">
        <v>1391</v>
      </c>
      <c r="X79" t="s">
        <v>3876</v>
      </c>
      <c r="AA79">
        <v>1.21</v>
      </c>
      <c r="AB79">
        <v>68</v>
      </c>
      <c r="AC79">
        <v>20.66</v>
      </c>
      <c r="AD79">
        <v>20.87</v>
      </c>
      <c r="AE79">
        <v>0.21</v>
      </c>
      <c r="AF79">
        <v>0</v>
      </c>
      <c r="AG79">
        <v>0</v>
      </c>
      <c r="AJ79" s="54"/>
      <c r="AK79" s="54"/>
      <c r="AL79" s="54">
        <v>42849</v>
      </c>
      <c r="AO79">
        <v>1</v>
      </c>
      <c r="AP79" t="s">
        <v>1383</v>
      </c>
      <c r="AR79">
        <v>1</v>
      </c>
      <c r="AS79" t="s">
        <v>1384</v>
      </c>
      <c r="AT79">
        <v>1</v>
      </c>
      <c r="AV79">
        <v>100</v>
      </c>
      <c r="AW79">
        <v>67</v>
      </c>
      <c r="AX79">
        <v>33</v>
      </c>
      <c r="AY79" t="s">
        <v>1394</v>
      </c>
      <c r="AZ79" t="s">
        <v>1389</v>
      </c>
      <c r="BA79">
        <v>30</v>
      </c>
      <c r="BD79">
        <v>1000000000</v>
      </c>
      <c r="BE79">
        <v>1</v>
      </c>
      <c r="BF79">
        <v>0.99</v>
      </c>
      <c r="BG79">
        <v>100</v>
      </c>
      <c r="BH79">
        <v>0</v>
      </c>
      <c r="BI79">
        <v>0</v>
      </c>
      <c r="BJ79">
        <v>0</v>
      </c>
      <c r="BK79">
        <v>0</v>
      </c>
      <c r="BL79">
        <v>0</v>
      </c>
      <c r="BM79">
        <v>101</v>
      </c>
      <c r="BN79">
        <v>-0.01</v>
      </c>
      <c r="BR79">
        <v>0</v>
      </c>
      <c r="BS79">
        <v>46</v>
      </c>
      <c r="BX79">
        <v>495.04</v>
      </c>
      <c r="BY79">
        <v>0</v>
      </c>
      <c r="BZ79">
        <v>0</v>
      </c>
      <c r="CA79">
        <v>1.44</v>
      </c>
      <c r="CC79">
        <v>0</v>
      </c>
      <c r="CD79" s="54">
        <v>43132</v>
      </c>
      <c r="CE79" s="54"/>
      <c r="CF79" s="54">
        <v>43132</v>
      </c>
      <c r="CG79" s="54">
        <v>43391</v>
      </c>
      <c r="CH79" s="54">
        <v>43195</v>
      </c>
      <c r="CI79" s="54">
        <v>43195</v>
      </c>
      <c r="CJ79">
        <v>0.3</v>
      </c>
      <c r="CK79">
        <v>0</v>
      </c>
      <c r="CL79">
        <v>0</v>
      </c>
      <c r="CM79">
        <v>0.34</v>
      </c>
      <c r="CN79">
        <v>0</v>
      </c>
      <c r="CO79">
        <v>0</v>
      </c>
      <c r="CP79">
        <v>0</v>
      </c>
      <c r="CQ79" t="s">
        <v>1144</v>
      </c>
      <c r="CR79" t="s">
        <v>1143</v>
      </c>
      <c r="CS79" t="s">
        <v>3665</v>
      </c>
      <c r="CT79" t="s">
        <v>1403</v>
      </c>
      <c r="CU79" t="s">
        <v>3666</v>
      </c>
      <c r="CV79" t="s">
        <v>3877</v>
      </c>
      <c r="CW79" t="s">
        <v>3868</v>
      </c>
      <c r="CX79" t="s">
        <v>849</v>
      </c>
      <c r="DC79" t="s">
        <v>3869</v>
      </c>
      <c r="DE79" t="s">
        <v>3870</v>
      </c>
      <c r="DG79" t="s">
        <v>1400</v>
      </c>
      <c r="DH79" s="54">
        <v>43314</v>
      </c>
      <c r="DI79" s="54">
        <v>43335</v>
      </c>
    </row>
    <row r="80" spans="1:113" x14ac:dyDescent="0.25">
      <c r="A80" t="s">
        <v>1021</v>
      </c>
      <c r="B80">
        <v>5</v>
      </c>
      <c r="C80" s="54">
        <v>43208</v>
      </c>
      <c r="D80" t="s">
        <v>1143</v>
      </c>
      <c r="E80" t="s">
        <v>1427</v>
      </c>
      <c r="G80" t="s">
        <v>3878</v>
      </c>
      <c r="H80" t="s">
        <v>1382</v>
      </c>
      <c r="I80" t="s">
        <v>1382</v>
      </c>
      <c r="J80" t="s">
        <v>1382</v>
      </c>
      <c r="K80" t="s">
        <v>1382</v>
      </c>
      <c r="L80">
        <v>13.96</v>
      </c>
      <c r="M80">
        <v>24.7</v>
      </c>
      <c r="N80">
        <v>0</v>
      </c>
      <c r="O80" s="54"/>
      <c r="P80" s="54"/>
      <c r="Q80">
        <v>5</v>
      </c>
      <c r="R80">
        <v>14</v>
      </c>
      <c r="S80">
        <v>37</v>
      </c>
      <c r="T80">
        <v>20</v>
      </c>
      <c r="U80">
        <v>17</v>
      </c>
      <c r="V80">
        <v>1</v>
      </c>
      <c r="W80" t="s">
        <v>1391</v>
      </c>
      <c r="X80" t="s">
        <v>3876</v>
      </c>
      <c r="AA80">
        <v>0.75</v>
      </c>
      <c r="AB80">
        <v>42</v>
      </c>
      <c r="AC80">
        <v>26.67</v>
      </c>
      <c r="AD80">
        <v>25.33</v>
      </c>
      <c r="AE80">
        <v>0.33</v>
      </c>
      <c r="AF80">
        <v>0</v>
      </c>
      <c r="AG80">
        <v>0</v>
      </c>
      <c r="AJ80" s="54"/>
      <c r="AK80" s="54"/>
      <c r="AL80" s="54">
        <v>42849</v>
      </c>
      <c r="AO80">
        <v>1</v>
      </c>
      <c r="AP80" t="s">
        <v>1383</v>
      </c>
      <c r="AR80">
        <v>1</v>
      </c>
      <c r="AS80" t="s">
        <v>1384</v>
      </c>
      <c r="AT80">
        <v>1</v>
      </c>
      <c r="AV80">
        <v>80</v>
      </c>
      <c r="AW80">
        <v>53</v>
      </c>
      <c r="AX80">
        <v>26</v>
      </c>
      <c r="AY80" t="s">
        <v>1394</v>
      </c>
      <c r="AZ80" t="s">
        <v>1390</v>
      </c>
      <c r="BA80">
        <v>20</v>
      </c>
      <c r="BD80">
        <v>1000000000</v>
      </c>
      <c r="BE80">
        <v>1</v>
      </c>
      <c r="BF80">
        <v>0.99</v>
      </c>
      <c r="BG80">
        <v>75</v>
      </c>
      <c r="BH80">
        <v>0</v>
      </c>
      <c r="BI80">
        <v>0</v>
      </c>
      <c r="BJ80">
        <v>0</v>
      </c>
      <c r="BK80">
        <v>0</v>
      </c>
      <c r="BL80">
        <v>0</v>
      </c>
      <c r="BM80">
        <v>76</v>
      </c>
      <c r="BN80">
        <v>0.05</v>
      </c>
      <c r="BR80">
        <v>4</v>
      </c>
      <c r="BS80">
        <v>37</v>
      </c>
      <c r="BX80">
        <v>268.5</v>
      </c>
      <c r="BY80">
        <v>0</v>
      </c>
      <c r="BZ80">
        <v>0</v>
      </c>
      <c r="CA80">
        <v>1</v>
      </c>
      <c r="CC80">
        <v>0</v>
      </c>
      <c r="CD80" s="54">
        <v>43132</v>
      </c>
      <c r="CE80" s="54"/>
      <c r="CF80" s="54">
        <v>43132</v>
      </c>
      <c r="CG80" s="54">
        <v>43391</v>
      </c>
      <c r="CH80" s="54">
        <v>43195</v>
      </c>
      <c r="CI80" s="54">
        <v>43195</v>
      </c>
      <c r="CJ80">
        <v>0.59</v>
      </c>
      <c r="CK80">
        <v>0</v>
      </c>
      <c r="CL80">
        <v>0</v>
      </c>
      <c r="CM80">
        <v>0.34</v>
      </c>
      <c r="CN80">
        <v>0</v>
      </c>
      <c r="CO80">
        <v>0</v>
      </c>
      <c r="CP80">
        <v>0</v>
      </c>
      <c r="CQ80" t="s">
        <v>1144</v>
      </c>
      <c r="CR80" t="s">
        <v>1143</v>
      </c>
      <c r="CS80" t="s">
        <v>3665</v>
      </c>
      <c r="CT80" t="s">
        <v>1403</v>
      </c>
      <c r="CU80" t="s">
        <v>3666</v>
      </c>
      <c r="CV80" t="s">
        <v>3879</v>
      </c>
      <c r="CW80" t="s">
        <v>3868</v>
      </c>
      <c r="CX80" t="s">
        <v>849</v>
      </c>
      <c r="DC80" t="s">
        <v>3869</v>
      </c>
      <c r="DE80" t="s">
        <v>3870</v>
      </c>
      <c r="DG80" t="s">
        <v>1400</v>
      </c>
      <c r="DH80" s="54">
        <v>43314</v>
      </c>
      <c r="DI80" s="54">
        <v>43335</v>
      </c>
    </row>
    <row r="81" spans="1:113" x14ac:dyDescent="0.25">
      <c r="A81" t="s">
        <v>1021</v>
      </c>
      <c r="B81">
        <v>5</v>
      </c>
      <c r="C81" s="54">
        <v>43208</v>
      </c>
      <c r="D81" t="s">
        <v>1143</v>
      </c>
      <c r="E81" t="s">
        <v>2876</v>
      </c>
      <c r="G81" t="s">
        <v>3880</v>
      </c>
      <c r="H81" t="s">
        <v>1382</v>
      </c>
      <c r="I81" t="s">
        <v>1382</v>
      </c>
      <c r="J81" t="s">
        <v>1382</v>
      </c>
      <c r="K81" t="s">
        <v>1382</v>
      </c>
      <c r="L81">
        <v>24.84</v>
      </c>
      <c r="M81">
        <v>53.36</v>
      </c>
      <c r="N81">
        <v>0</v>
      </c>
      <c r="O81" s="54"/>
      <c r="P81" s="54"/>
      <c r="Q81">
        <v>5</v>
      </c>
      <c r="R81">
        <v>14</v>
      </c>
      <c r="S81">
        <v>37</v>
      </c>
      <c r="T81">
        <v>20</v>
      </c>
      <c r="U81">
        <v>17</v>
      </c>
      <c r="V81">
        <v>1</v>
      </c>
      <c r="X81" t="s">
        <v>3881</v>
      </c>
      <c r="AA81">
        <v>1.17</v>
      </c>
      <c r="AB81">
        <v>65</v>
      </c>
      <c r="AC81">
        <v>8.5500000000000007</v>
      </c>
      <c r="AD81">
        <v>11.32</v>
      </c>
      <c r="AE81">
        <v>0.21</v>
      </c>
      <c r="AF81">
        <v>0</v>
      </c>
      <c r="AG81">
        <v>0</v>
      </c>
      <c r="AJ81" s="54"/>
      <c r="AK81" s="54"/>
      <c r="AL81" s="54">
        <v>42849</v>
      </c>
      <c r="AO81">
        <v>1</v>
      </c>
      <c r="AP81" t="s">
        <v>1383</v>
      </c>
      <c r="AR81">
        <v>1</v>
      </c>
      <c r="AS81" t="s">
        <v>1384</v>
      </c>
      <c r="AT81">
        <v>1</v>
      </c>
      <c r="AV81">
        <v>40</v>
      </c>
      <c r="AW81">
        <v>27</v>
      </c>
      <c r="AX81">
        <v>13</v>
      </c>
      <c r="AY81" t="s">
        <v>1389</v>
      </c>
      <c r="AZ81" t="s">
        <v>1389</v>
      </c>
      <c r="BA81">
        <v>30</v>
      </c>
      <c r="BD81">
        <v>1000000000</v>
      </c>
      <c r="BE81">
        <v>53</v>
      </c>
      <c r="BF81">
        <v>-0.33</v>
      </c>
      <c r="BG81">
        <v>0</v>
      </c>
      <c r="BH81">
        <v>0</v>
      </c>
      <c r="BI81">
        <v>0</v>
      </c>
      <c r="BJ81">
        <v>0</v>
      </c>
      <c r="BK81">
        <v>0</v>
      </c>
      <c r="BL81">
        <v>0</v>
      </c>
      <c r="BM81">
        <v>53</v>
      </c>
      <c r="BN81">
        <v>-0.33</v>
      </c>
      <c r="BR81">
        <v>0</v>
      </c>
      <c r="BS81">
        <v>18</v>
      </c>
      <c r="BX81">
        <v>0</v>
      </c>
      <c r="BY81">
        <v>322.92</v>
      </c>
      <c r="BZ81">
        <v>0</v>
      </c>
      <c r="CA81">
        <v>1.49</v>
      </c>
      <c r="CC81">
        <v>0</v>
      </c>
      <c r="CD81" s="54">
        <v>42751</v>
      </c>
      <c r="CE81" s="54"/>
      <c r="CF81" s="54">
        <v>42949</v>
      </c>
      <c r="CG81" s="54">
        <v>43208</v>
      </c>
      <c r="CH81" s="54">
        <v>43007</v>
      </c>
      <c r="CI81" s="54">
        <v>43122</v>
      </c>
      <c r="CJ81">
        <v>1.33</v>
      </c>
      <c r="CK81">
        <v>0</v>
      </c>
      <c r="CL81">
        <v>0.62</v>
      </c>
      <c r="CM81">
        <v>0</v>
      </c>
      <c r="CN81">
        <v>0</v>
      </c>
      <c r="CO81">
        <v>0</v>
      </c>
      <c r="CP81">
        <v>0.35</v>
      </c>
      <c r="CQ81" t="s">
        <v>1144</v>
      </c>
      <c r="CR81" t="s">
        <v>1143</v>
      </c>
      <c r="CS81" t="s">
        <v>3665</v>
      </c>
      <c r="CT81" t="s">
        <v>1403</v>
      </c>
      <c r="CU81" t="s">
        <v>3666</v>
      </c>
      <c r="CV81" t="s">
        <v>3882</v>
      </c>
      <c r="CW81" t="s">
        <v>3868</v>
      </c>
      <c r="CX81" t="s">
        <v>849</v>
      </c>
      <c r="DC81" t="s">
        <v>3869</v>
      </c>
      <c r="DE81" t="s">
        <v>3870</v>
      </c>
      <c r="DG81" t="s">
        <v>1400</v>
      </c>
      <c r="DH81" s="54">
        <v>43126</v>
      </c>
      <c r="DI81" s="54">
        <v>43147</v>
      </c>
    </row>
    <row r="82" spans="1:113" x14ac:dyDescent="0.25">
      <c r="A82" t="s">
        <v>1021</v>
      </c>
      <c r="B82">
        <v>5</v>
      </c>
      <c r="C82" s="54">
        <v>43208</v>
      </c>
      <c r="D82" t="s">
        <v>1143</v>
      </c>
      <c r="E82" t="s">
        <v>2877</v>
      </c>
      <c r="G82" t="s">
        <v>3883</v>
      </c>
      <c r="H82" t="s">
        <v>1382</v>
      </c>
      <c r="I82" t="s">
        <v>1382</v>
      </c>
      <c r="J82" t="s">
        <v>1382</v>
      </c>
      <c r="K82" t="s">
        <v>1382</v>
      </c>
      <c r="L82">
        <v>22.55</v>
      </c>
      <c r="M82">
        <v>47.05</v>
      </c>
      <c r="N82">
        <v>0</v>
      </c>
      <c r="O82" s="54"/>
      <c r="P82" s="54"/>
      <c r="Q82">
        <v>5</v>
      </c>
      <c r="R82">
        <v>14</v>
      </c>
      <c r="S82">
        <v>37</v>
      </c>
      <c r="T82">
        <v>20</v>
      </c>
      <c r="U82">
        <v>17</v>
      </c>
      <c r="V82">
        <v>1</v>
      </c>
      <c r="W82" t="s">
        <v>1391</v>
      </c>
      <c r="X82" t="s">
        <v>3876</v>
      </c>
      <c r="AA82">
        <v>10.67</v>
      </c>
      <c r="AB82">
        <v>593</v>
      </c>
      <c r="AC82">
        <v>16.399999999999999</v>
      </c>
      <c r="AD82">
        <v>24.51</v>
      </c>
      <c r="AE82">
        <v>0.02</v>
      </c>
      <c r="AF82">
        <v>0</v>
      </c>
      <c r="AG82">
        <v>0</v>
      </c>
      <c r="AJ82" s="54"/>
      <c r="AK82" s="54"/>
      <c r="AL82" s="54">
        <v>42849</v>
      </c>
      <c r="AO82">
        <v>1</v>
      </c>
      <c r="AP82" t="s">
        <v>1383</v>
      </c>
      <c r="AR82">
        <v>1</v>
      </c>
      <c r="AS82" t="s">
        <v>1384</v>
      </c>
      <c r="AT82">
        <v>1</v>
      </c>
      <c r="AV82">
        <v>700</v>
      </c>
      <c r="AW82">
        <v>466</v>
      </c>
      <c r="AX82">
        <v>231</v>
      </c>
      <c r="AY82" t="s">
        <v>1394</v>
      </c>
      <c r="AZ82" t="s">
        <v>1389</v>
      </c>
      <c r="BA82">
        <v>500</v>
      </c>
      <c r="BD82">
        <v>1000000000</v>
      </c>
      <c r="BE82">
        <v>151</v>
      </c>
      <c r="BF82">
        <v>0.78</v>
      </c>
      <c r="BG82">
        <v>895</v>
      </c>
      <c r="BH82">
        <v>0</v>
      </c>
      <c r="BI82">
        <v>0</v>
      </c>
      <c r="BJ82">
        <v>0</v>
      </c>
      <c r="BK82">
        <v>0</v>
      </c>
      <c r="BL82">
        <v>0</v>
      </c>
      <c r="BM82">
        <v>1046</v>
      </c>
      <c r="BN82">
        <v>-0.49</v>
      </c>
      <c r="BR82">
        <v>0</v>
      </c>
      <c r="BS82">
        <v>322</v>
      </c>
      <c r="BX82">
        <v>1960</v>
      </c>
      <c r="BY82">
        <v>0</v>
      </c>
      <c r="BZ82">
        <v>0</v>
      </c>
      <c r="CA82">
        <v>1.41</v>
      </c>
      <c r="CC82">
        <v>0</v>
      </c>
      <c r="CD82" s="54">
        <v>43132</v>
      </c>
      <c r="CE82" s="54"/>
      <c r="CF82" s="54">
        <v>43132</v>
      </c>
      <c r="CG82" s="54">
        <v>43391</v>
      </c>
      <c r="CH82" s="54">
        <v>43195</v>
      </c>
      <c r="CI82" s="54">
        <v>43195</v>
      </c>
      <c r="CJ82">
        <v>0.01</v>
      </c>
      <c r="CK82">
        <v>0</v>
      </c>
      <c r="CL82">
        <v>0</v>
      </c>
      <c r="CM82">
        <v>0.34</v>
      </c>
      <c r="CN82">
        <v>0</v>
      </c>
      <c r="CO82">
        <v>0</v>
      </c>
      <c r="CP82">
        <v>0</v>
      </c>
      <c r="CQ82" t="s">
        <v>1144</v>
      </c>
      <c r="CR82" t="s">
        <v>1143</v>
      </c>
      <c r="CS82" t="s">
        <v>3665</v>
      </c>
      <c r="CT82" t="s">
        <v>1403</v>
      </c>
      <c r="CU82" t="s">
        <v>3666</v>
      </c>
      <c r="CV82" t="s">
        <v>3884</v>
      </c>
      <c r="CW82" t="s">
        <v>3868</v>
      </c>
      <c r="CX82" t="s">
        <v>849</v>
      </c>
      <c r="DC82" t="s">
        <v>3869</v>
      </c>
      <c r="DE82" t="s">
        <v>3870</v>
      </c>
      <c r="DG82" t="s">
        <v>1400</v>
      </c>
      <c r="DH82" s="54">
        <v>43314</v>
      </c>
      <c r="DI82" s="54">
        <v>43335</v>
      </c>
    </row>
    <row r="83" spans="1:113" x14ac:dyDescent="0.25">
      <c r="A83" t="s">
        <v>1021</v>
      </c>
      <c r="B83">
        <v>34</v>
      </c>
      <c r="C83" s="54">
        <v>43208</v>
      </c>
      <c r="D83" t="s">
        <v>1143</v>
      </c>
      <c r="E83" t="s">
        <v>2878</v>
      </c>
      <c r="G83" t="s">
        <v>3885</v>
      </c>
      <c r="H83" t="s">
        <v>1382</v>
      </c>
      <c r="I83" t="s">
        <v>1382</v>
      </c>
      <c r="J83" t="s">
        <v>1382</v>
      </c>
      <c r="K83" t="s">
        <v>1382</v>
      </c>
      <c r="L83">
        <v>11</v>
      </c>
      <c r="M83">
        <v>24.18</v>
      </c>
      <c r="N83">
        <v>0</v>
      </c>
      <c r="O83" s="54"/>
      <c r="P83" s="54"/>
      <c r="Q83">
        <v>5</v>
      </c>
      <c r="R83">
        <v>14</v>
      </c>
      <c r="S83">
        <v>37</v>
      </c>
      <c r="T83">
        <v>20</v>
      </c>
      <c r="U83">
        <v>17</v>
      </c>
      <c r="V83">
        <v>1</v>
      </c>
      <c r="X83" t="s">
        <v>3673</v>
      </c>
      <c r="Z83" t="s">
        <v>3693</v>
      </c>
      <c r="AA83">
        <v>0.08</v>
      </c>
      <c r="AB83">
        <v>5</v>
      </c>
      <c r="AC83">
        <v>156.25</v>
      </c>
      <c r="AD83">
        <v>290.63</v>
      </c>
      <c r="AE83">
        <v>3.13</v>
      </c>
      <c r="AF83">
        <v>0</v>
      </c>
      <c r="AG83">
        <v>0</v>
      </c>
      <c r="AJ83" s="54"/>
      <c r="AK83" s="54"/>
      <c r="AL83" s="54"/>
      <c r="AO83">
        <v>1</v>
      </c>
      <c r="AP83" t="s">
        <v>1383</v>
      </c>
      <c r="AR83">
        <v>1</v>
      </c>
      <c r="AS83" t="s">
        <v>1384</v>
      </c>
      <c r="AT83">
        <v>1</v>
      </c>
      <c r="AV83">
        <v>50</v>
      </c>
      <c r="AW83">
        <v>33</v>
      </c>
      <c r="AX83">
        <v>17</v>
      </c>
      <c r="AY83" t="s">
        <v>1389</v>
      </c>
      <c r="AZ83" t="s">
        <v>1389</v>
      </c>
      <c r="BA83">
        <v>0</v>
      </c>
      <c r="BD83">
        <v>1000000000</v>
      </c>
      <c r="BE83">
        <v>93</v>
      </c>
      <c r="BF83">
        <v>-0.86</v>
      </c>
      <c r="BG83">
        <v>0</v>
      </c>
      <c r="BH83">
        <v>0</v>
      </c>
      <c r="BI83">
        <v>0</v>
      </c>
      <c r="BJ83">
        <v>0</v>
      </c>
      <c r="BK83">
        <v>0</v>
      </c>
      <c r="BL83">
        <v>0</v>
      </c>
      <c r="BM83">
        <v>93</v>
      </c>
      <c r="BN83">
        <v>-0.86</v>
      </c>
      <c r="BR83">
        <v>0</v>
      </c>
      <c r="BS83">
        <v>23</v>
      </c>
      <c r="BX83">
        <v>0</v>
      </c>
      <c r="BY83">
        <v>473</v>
      </c>
      <c r="BZ83">
        <v>0</v>
      </c>
      <c r="CA83">
        <v>1.55</v>
      </c>
      <c r="CC83">
        <v>0</v>
      </c>
      <c r="CD83" s="54">
        <v>42836</v>
      </c>
      <c r="CE83" s="54"/>
      <c r="CF83" s="54">
        <v>42949</v>
      </c>
      <c r="CG83" s="54">
        <v>43208</v>
      </c>
      <c r="CH83" s="54">
        <v>0</v>
      </c>
      <c r="CI83" s="54">
        <v>0</v>
      </c>
      <c r="CJ83">
        <v>0.02</v>
      </c>
      <c r="CK83">
        <v>0</v>
      </c>
      <c r="CL83">
        <v>0</v>
      </c>
      <c r="CM83">
        <v>0</v>
      </c>
      <c r="CN83">
        <v>0</v>
      </c>
      <c r="CO83">
        <v>0</v>
      </c>
      <c r="CP83">
        <v>0.94</v>
      </c>
      <c r="CQ83" t="s">
        <v>1144</v>
      </c>
      <c r="CR83" t="s">
        <v>1143</v>
      </c>
      <c r="CS83" t="s">
        <v>3674</v>
      </c>
      <c r="CT83" t="s">
        <v>1403</v>
      </c>
      <c r="CU83" t="s">
        <v>3666</v>
      </c>
      <c r="CV83" t="s">
        <v>3886</v>
      </c>
      <c r="CW83" t="s">
        <v>3874</v>
      </c>
      <c r="CX83" t="s">
        <v>849</v>
      </c>
      <c r="DC83" t="s">
        <v>3677</v>
      </c>
      <c r="DE83" t="s">
        <v>3870</v>
      </c>
      <c r="DG83" t="s">
        <v>1400</v>
      </c>
      <c r="DH83" s="54"/>
      <c r="DI83" s="54"/>
    </row>
    <row r="84" spans="1:113" x14ac:dyDescent="0.25">
      <c r="A84" t="s">
        <v>1021</v>
      </c>
      <c r="B84">
        <v>34</v>
      </c>
      <c r="C84" s="54">
        <v>43208</v>
      </c>
      <c r="D84" t="s">
        <v>1143</v>
      </c>
      <c r="E84" t="s">
        <v>3887</v>
      </c>
      <c r="G84" t="s">
        <v>3888</v>
      </c>
      <c r="H84" t="s">
        <v>1382</v>
      </c>
      <c r="I84" t="s">
        <v>1382</v>
      </c>
      <c r="J84" t="s">
        <v>1382</v>
      </c>
      <c r="K84" t="s">
        <v>1382</v>
      </c>
      <c r="L84">
        <v>9.0399999999999991</v>
      </c>
      <c r="M84">
        <v>20.02</v>
      </c>
      <c r="N84">
        <v>0</v>
      </c>
      <c r="O84" s="54"/>
      <c r="P84" s="54"/>
      <c r="Q84">
        <v>5</v>
      </c>
      <c r="R84">
        <v>14</v>
      </c>
      <c r="S84">
        <v>37</v>
      </c>
      <c r="T84">
        <v>20</v>
      </c>
      <c r="U84">
        <v>17</v>
      </c>
      <c r="V84">
        <v>1</v>
      </c>
      <c r="X84" t="s">
        <v>3673</v>
      </c>
      <c r="AA84">
        <v>0</v>
      </c>
      <c r="AB84">
        <v>0</v>
      </c>
      <c r="AC84">
        <v>0</v>
      </c>
      <c r="AD84">
        <v>0</v>
      </c>
      <c r="AE84">
        <v>0</v>
      </c>
      <c r="AF84">
        <v>0</v>
      </c>
      <c r="AG84">
        <v>0</v>
      </c>
      <c r="AJ84" s="54"/>
      <c r="AK84" s="54"/>
      <c r="AL84" s="54"/>
      <c r="AO84">
        <v>1</v>
      </c>
      <c r="AP84" t="s">
        <v>1383</v>
      </c>
      <c r="AR84">
        <v>1</v>
      </c>
      <c r="AS84" t="s">
        <v>1384</v>
      </c>
      <c r="AT84">
        <v>1</v>
      </c>
      <c r="AV84">
        <v>6</v>
      </c>
      <c r="AW84">
        <v>4</v>
      </c>
      <c r="AX84">
        <v>2</v>
      </c>
      <c r="AY84" t="s">
        <v>1389</v>
      </c>
      <c r="AZ84" t="s">
        <v>1389</v>
      </c>
      <c r="BA84">
        <v>0</v>
      </c>
      <c r="BD84">
        <v>1000000000</v>
      </c>
      <c r="BE84">
        <v>11</v>
      </c>
      <c r="BF84">
        <v>-0.83</v>
      </c>
      <c r="BG84">
        <v>0</v>
      </c>
      <c r="BH84">
        <v>0</v>
      </c>
      <c r="BI84">
        <v>0</v>
      </c>
      <c r="BJ84">
        <v>0</v>
      </c>
      <c r="BK84">
        <v>0</v>
      </c>
      <c r="BL84">
        <v>0</v>
      </c>
      <c r="BM84">
        <v>11</v>
      </c>
      <c r="BN84">
        <v>-0.83</v>
      </c>
      <c r="BR84">
        <v>0</v>
      </c>
      <c r="BS84">
        <v>3</v>
      </c>
      <c r="BX84">
        <v>0</v>
      </c>
      <c r="BY84">
        <v>45.2</v>
      </c>
      <c r="BZ84">
        <v>0</v>
      </c>
      <c r="CA84">
        <v>1.58</v>
      </c>
      <c r="CC84">
        <v>0</v>
      </c>
      <c r="CD84" s="54">
        <v>42836</v>
      </c>
      <c r="CE84" s="54"/>
      <c r="CF84" s="54">
        <v>42949</v>
      </c>
      <c r="CG84" s="54">
        <v>43208</v>
      </c>
      <c r="CH84" s="54">
        <v>0</v>
      </c>
      <c r="CI84" s="54">
        <v>0</v>
      </c>
      <c r="CJ84">
        <v>0</v>
      </c>
      <c r="CK84">
        <v>0</v>
      </c>
      <c r="CL84">
        <v>0</v>
      </c>
      <c r="CM84">
        <v>0</v>
      </c>
      <c r="CN84">
        <v>0</v>
      </c>
      <c r="CO84">
        <v>0</v>
      </c>
      <c r="CP84">
        <v>0.94</v>
      </c>
      <c r="CQ84" t="s">
        <v>1144</v>
      </c>
      <c r="CR84" t="s">
        <v>1143</v>
      </c>
      <c r="CS84" t="s">
        <v>3674</v>
      </c>
      <c r="CT84" t="s">
        <v>1403</v>
      </c>
      <c r="CU84" t="s">
        <v>3666</v>
      </c>
      <c r="CV84" t="s">
        <v>3889</v>
      </c>
      <c r="CW84" t="s">
        <v>3874</v>
      </c>
      <c r="CX84" t="s">
        <v>849</v>
      </c>
      <c r="DC84" t="s">
        <v>3677</v>
      </c>
      <c r="DE84" t="s">
        <v>3870</v>
      </c>
      <c r="DG84" t="s">
        <v>1400</v>
      </c>
      <c r="DH84" s="54"/>
      <c r="DI84" s="54"/>
    </row>
    <row r="85" spans="1:113" x14ac:dyDescent="0.25">
      <c r="A85" t="s">
        <v>1021</v>
      </c>
      <c r="B85">
        <v>5</v>
      </c>
      <c r="C85" s="54">
        <v>43208</v>
      </c>
      <c r="D85" t="s">
        <v>1143</v>
      </c>
      <c r="E85" t="s">
        <v>1428</v>
      </c>
      <c r="G85" t="s">
        <v>3890</v>
      </c>
      <c r="H85" t="s">
        <v>1382</v>
      </c>
      <c r="I85" t="s">
        <v>1382</v>
      </c>
      <c r="J85" t="s">
        <v>1382</v>
      </c>
      <c r="K85" t="s">
        <v>1382</v>
      </c>
      <c r="L85">
        <v>19.45</v>
      </c>
      <c r="M85">
        <v>41.87</v>
      </c>
      <c r="N85">
        <v>0</v>
      </c>
      <c r="O85" s="54"/>
      <c r="P85" s="54"/>
      <c r="Q85">
        <v>5</v>
      </c>
      <c r="R85">
        <v>14</v>
      </c>
      <c r="S85">
        <v>37</v>
      </c>
      <c r="T85">
        <v>20</v>
      </c>
      <c r="U85">
        <v>17</v>
      </c>
      <c r="V85">
        <v>1</v>
      </c>
      <c r="W85" t="s">
        <v>1391</v>
      </c>
      <c r="X85" t="s">
        <v>3876</v>
      </c>
      <c r="AA85">
        <v>0.92</v>
      </c>
      <c r="AB85">
        <v>52</v>
      </c>
      <c r="AC85">
        <v>19.02</v>
      </c>
      <c r="AD85">
        <v>18.75</v>
      </c>
      <c r="AE85">
        <v>0.27</v>
      </c>
      <c r="AF85">
        <v>0</v>
      </c>
      <c r="AG85">
        <v>0</v>
      </c>
      <c r="AJ85" s="54"/>
      <c r="AK85" s="54"/>
      <c r="AL85" s="54">
        <v>42849</v>
      </c>
      <c r="AO85">
        <v>1</v>
      </c>
      <c r="AP85" t="s">
        <v>1383</v>
      </c>
      <c r="AR85">
        <v>1</v>
      </c>
      <c r="AS85" t="s">
        <v>1384</v>
      </c>
      <c r="AT85">
        <v>1</v>
      </c>
      <c r="AV85">
        <v>70</v>
      </c>
      <c r="AW85">
        <v>47</v>
      </c>
      <c r="AX85">
        <v>23</v>
      </c>
      <c r="AY85" t="s">
        <v>1394</v>
      </c>
      <c r="AZ85" t="s">
        <v>1390</v>
      </c>
      <c r="BA85">
        <v>40</v>
      </c>
      <c r="BD85">
        <v>1000000000</v>
      </c>
      <c r="BE85">
        <v>9</v>
      </c>
      <c r="BF85">
        <v>0.87</v>
      </c>
      <c r="BG85">
        <v>60</v>
      </c>
      <c r="BH85">
        <v>0</v>
      </c>
      <c r="BI85">
        <v>0</v>
      </c>
      <c r="BJ85">
        <v>0</v>
      </c>
      <c r="BK85">
        <v>0</v>
      </c>
      <c r="BL85">
        <v>0</v>
      </c>
      <c r="BM85">
        <v>69</v>
      </c>
      <c r="BN85">
        <v>0.01</v>
      </c>
      <c r="BR85">
        <v>1</v>
      </c>
      <c r="BS85">
        <v>32</v>
      </c>
      <c r="BX85">
        <v>313.88</v>
      </c>
      <c r="BY85">
        <v>0</v>
      </c>
      <c r="BZ85">
        <v>0</v>
      </c>
      <c r="CA85">
        <v>1.5</v>
      </c>
      <c r="CC85">
        <v>0</v>
      </c>
      <c r="CD85" s="54">
        <v>43132</v>
      </c>
      <c r="CE85" s="54"/>
      <c r="CF85" s="54">
        <v>43132</v>
      </c>
      <c r="CG85" s="54">
        <v>43391</v>
      </c>
      <c r="CH85" s="54">
        <v>43195</v>
      </c>
      <c r="CI85" s="54">
        <v>43195</v>
      </c>
      <c r="CJ85">
        <v>0.09</v>
      </c>
      <c r="CK85">
        <v>0</v>
      </c>
      <c r="CL85">
        <v>0</v>
      </c>
      <c r="CM85">
        <v>0.34</v>
      </c>
      <c r="CN85">
        <v>0</v>
      </c>
      <c r="CO85">
        <v>0</v>
      </c>
      <c r="CP85">
        <v>0</v>
      </c>
      <c r="CQ85" t="s">
        <v>1144</v>
      </c>
      <c r="CR85" t="s">
        <v>1143</v>
      </c>
      <c r="CS85" t="s">
        <v>3665</v>
      </c>
      <c r="CT85" t="s">
        <v>1403</v>
      </c>
      <c r="CU85" t="s">
        <v>3666</v>
      </c>
      <c r="CV85" t="s">
        <v>3891</v>
      </c>
      <c r="CW85" t="s">
        <v>3868</v>
      </c>
      <c r="CX85" t="s">
        <v>849</v>
      </c>
      <c r="DC85" t="s">
        <v>3869</v>
      </c>
      <c r="DE85" t="s">
        <v>3870</v>
      </c>
      <c r="DG85" t="s">
        <v>1400</v>
      </c>
      <c r="DH85" s="54">
        <v>43314</v>
      </c>
      <c r="DI85" s="54">
        <v>43335</v>
      </c>
    </row>
    <row r="86" spans="1:113" x14ac:dyDescent="0.25">
      <c r="A86" t="s">
        <v>1021</v>
      </c>
      <c r="B86">
        <v>34</v>
      </c>
      <c r="C86" s="54">
        <v>43208</v>
      </c>
      <c r="D86" t="s">
        <v>1143</v>
      </c>
      <c r="E86" t="s">
        <v>3892</v>
      </c>
      <c r="G86" t="s">
        <v>3893</v>
      </c>
      <c r="H86" t="s">
        <v>1382</v>
      </c>
      <c r="I86" t="s">
        <v>1382</v>
      </c>
      <c r="J86" t="s">
        <v>1382</v>
      </c>
      <c r="K86" t="s">
        <v>1382</v>
      </c>
      <c r="L86">
        <v>5.45</v>
      </c>
      <c r="M86">
        <v>11.96</v>
      </c>
      <c r="N86">
        <v>0</v>
      </c>
      <c r="O86" s="54"/>
      <c r="P86" s="54"/>
      <c r="Q86">
        <v>5</v>
      </c>
      <c r="R86">
        <v>14</v>
      </c>
      <c r="S86">
        <v>37</v>
      </c>
      <c r="T86">
        <v>20</v>
      </c>
      <c r="U86">
        <v>17</v>
      </c>
      <c r="V86">
        <v>1</v>
      </c>
      <c r="X86" t="s">
        <v>3673</v>
      </c>
      <c r="AA86">
        <v>0</v>
      </c>
      <c r="AB86">
        <v>0</v>
      </c>
      <c r="AC86">
        <v>0</v>
      </c>
      <c r="AD86">
        <v>0</v>
      </c>
      <c r="AE86">
        <v>0</v>
      </c>
      <c r="AF86">
        <v>0</v>
      </c>
      <c r="AG86">
        <v>0</v>
      </c>
      <c r="AJ86" s="54"/>
      <c r="AK86" s="54"/>
      <c r="AL86" s="54"/>
      <c r="AO86">
        <v>1</v>
      </c>
      <c r="AP86" t="s">
        <v>1383</v>
      </c>
      <c r="AR86">
        <v>1</v>
      </c>
      <c r="AS86" t="s">
        <v>1384</v>
      </c>
      <c r="AT86">
        <v>1</v>
      </c>
      <c r="AV86">
        <v>30</v>
      </c>
      <c r="AW86">
        <v>20</v>
      </c>
      <c r="AX86">
        <v>10</v>
      </c>
      <c r="AY86" t="s">
        <v>1389</v>
      </c>
      <c r="AZ86" t="s">
        <v>1389</v>
      </c>
      <c r="BA86">
        <v>0</v>
      </c>
      <c r="BD86">
        <v>1000000000</v>
      </c>
      <c r="BE86">
        <v>59</v>
      </c>
      <c r="BF86">
        <v>-0.97</v>
      </c>
      <c r="BG86">
        <v>0</v>
      </c>
      <c r="BH86">
        <v>0</v>
      </c>
      <c r="BI86">
        <v>0</v>
      </c>
      <c r="BJ86">
        <v>0</v>
      </c>
      <c r="BK86">
        <v>0</v>
      </c>
      <c r="BL86">
        <v>0</v>
      </c>
      <c r="BM86">
        <v>59</v>
      </c>
      <c r="BN86">
        <v>-0.97</v>
      </c>
      <c r="BR86">
        <v>0</v>
      </c>
      <c r="BS86">
        <v>14</v>
      </c>
      <c r="BX86">
        <v>0</v>
      </c>
      <c r="BY86">
        <v>158.05000000000001</v>
      </c>
      <c r="BZ86">
        <v>0</v>
      </c>
      <c r="CA86">
        <v>1.55</v>
      </c>
      <c r="CC86">
        <v>0</v>
      </c>
      <c r="CD86" s="54">
        <v>42836</v>
      </c>
      <c r="CE86" s="54"/>
      <c r="CF86" s="54">
        <v>42949</v>
      </c>
      <c r="CG86" s="54">
        <v>43208</v>
      </c>
      <c r="CH86" s="54">
        <v>0</v>
      </c>
      <c r="CI86" s="54">
        <v>0</v>
      </c>
      <c r="CJ86">
        <v>0</v>
      </c>
      <c r="CK86">
        <v>0</v>
      </c>
      <c r="CL86">
        <v>0</v>
      </c>
      <c r="CM86">
        <v>0</v>
      </c>
      <c r="CN86">
        <v>0</v>
      </c>
      <c r="CO86">
        <v>0</v>
      </c>
      <c r="CP86">
        <v>0.94</v>
      </c>
      <c r="CQ86" t="s">
        <v>1144</v>
      </c>
      <c r="CR86" t="s">
        <v>1143</v>
      </c>
      <c r="CS86" t="s">
        <v>3674</v>
      </c>
      <c r="CT86" t="s">
        <v>1403</v>
      </c>
      <c r="CU86" t="s">
        <v>3666</v>
      </c>
      <c r="CV86" t="s">
        <v>3894</v>
      </c>
      <c r="CW86" t="s">
        <v>3874</v>
      </c>
      <c r="CX86" t="s">
        <v>849</v>
      </c>
      <c r="DC86" t="s">
        <v>3677</v>
      </c>
      <c r="DE86" t="s">
        <v>3870</v>
      </c>
      <c r="DG86" t="s">
        <v>1400</v>
      </c>
      <c r="DH86" s="54"/>
      <c r="DI86" s="54"/>
    </row>
    <row r="87" spans="1:113" x14ac:dyDescent="0.25">
      <c r="A87" t="s">
        <v>1021</v>
      </c>
      <c r="B87">
        <v>34</v>
      </c>
      <c r="C87" s="54">
        <v>43208</v>
      </c>
      <c r="D87" t="s">
        <v>1143</v>
      </c>
      <c r="E87" t="s">
        <v>2879</v>
      </c>
      <c r="G87" t="s">
        <v>3895</v>
      </c>
      <c r="H87" t="s">
        <v>1382</v>
      </c>
      <c r="I87" t="s">
        <v>1382</v>
      </c>
      <c r="J87" t="s">
        <v>1382</v>
      </c>
      <c r="K87" t="s">
        <v>1382</v>
      </c>
      <c r="L87">
        <v>5.45</v>
      </c>
      <c r="M87">
        <v>11.96</v>
      </c>
      <c r="N87">
        <v>0</v>
      </c>
      <c r="O87" s="54"/>
      <c r="P87" s="54"/>
      <c r="Q87">
        <v>5</v>
      </c>
      <c r="R87">
        <v>14</v>
      </c>
      <c r="S87">
        <v>37</v>
      </c>
      <c r="T87">
        <v>20</v>
      </c>
      <c r="U87">
        <v>17</v>
      </c>
      <c r="V87">
        <v>1</v>
      </c>
      <c r="X87" t="s">
        <v>3673</v>
      </c>
      <c r="Z87" t="s">
        <v>3693</v>
      </c>
      <c r="AA87">
        <v>0.04</v>
      </c>
      <c r="AB87">
        <v>3</v>
      </c>
      <c r="AC87">
        <v>187.5</v>
      </c>
      <c r="AD87">
        <v>362.5</v>
      </c>
      <c r="AE87">
        <v>6.25</v>
      </c>
      <c r="AF87">
        <v>0</v>
      </c>
      <c r="AG87">
        <v>0</v>
      </c>
      <c r="AJ87" s="54"/>
      <c r="AK87" s="54"/>
      <c r="AL87" s="54"/>
      <c r="AO87">
        <v>1</v>
      </c>
      <c r="AP87" t="s">
        <v>1383</v>
      </c>
      <c r="AR87">
        <v>1</v>
      </c>
      <c r="AS87" t="s">
        <v>1384</v>
      </c>
      <c r="AT87">
        <v>1</v>
      </c>
      <c r="AV87">
        <v>30</v>
      </c>
      <c r="AW87">
        <v>20</v>
      </c>
      <c r="AX87">
        <v>10</v>
      </c>
      <c r="AY87" t="s">
        <v>1389</v>
      </c>
      <c r="AZ87" t="s">
        <v>1389</v>
      </c>
      <c r="BA87">
        <v>0</v>
      </c>
      <c r="BD87">
        <v>1000000000</v>
      </c>
      <c r="BE87">
        <v>58</v>
      </c>
      <c r="BF87">
        <v>-0.93</v>
      </c>
      <c r="BG87">
        <v>0</v>
      </c>
      <c r="BH87">
        <v>0</v>
      </c>
      <c r="BI87">
        <v>0</v>
      </c>
      <c r="BJ87">
        <v>0</v>
      </c>
      <c r="BK87">
        <v>0</v>
      </c>
      <c r="BL87">
        <v>0</v>
      </c>
      <c r="BM87">
        <v>58</v>
      </c>
      <c r="BN87">
        <v>-0.93</v>
      </c>
      <c r="BR87">
        <v>0</v>
      </c>
      <c r="BS87">
        <v>14</v>
      </c>
      <c r="BX87">
        <v>0</v>
      </c>
      <c r="BY87">
        <v>152.6</v>
      </c>
      <c r="BZ87">
        <v>0</v>
      </c>
      <c r="CA87">
        <v>1.55</v>
      </c>
      <c r="CC87">
        <v>0</v>
      </c>
      <c r="CD87" s="54">
        <v>42836</v>
      </c>
      <c r="CE87" s="54"/>
      <c r="CF87" s="54">
        <v>42949</v>
      </c>
      <c r="CG87" s="54">
        <v>43208</v>
      </c>
      <c r="CH87" s="54">
        <v>0</v>
      </c>
      <c r="CI87" s="54">
        <v>0</v>
      </c>
      <c r="CJ87">
        <v>0.01</v>
      </c>
      <c r="CK87">
        <v>0</v>
      </c>
      <c r="CL87">
        <v>0</v>
      </c>
      <c r="CM87">
        <v>0</v>
      </c>
      <c r="CN87">
        <v>0</v>
      </c>
      <c r="CO87">
        <v>0</v>
      </c>
      <c r="CP87">
        <v>0.94</v>
      </c>
      <c r="CQ87" t="s">
        <v>1144</v>
      </c>
      <c r="CR87" t="s">
        <v>1143</v>
      </c>
      <c r="CS87" t="s">
        <v>3674</v>
      </c>
      <c r="CT87" t="s">
        <v>1403</v>
      </c>
      <c r="CU87" t="s">
        <v>3666</v>
      </c>
      <c r="CV87" t="s">
        <v>3896</v>
      </c>
      <c r="CW87" t="s">
        <v>3874</v>
      </c>
      <c r="CX87" t="s">
        <v>849</v>
      </c>
      <c r="DC87" t="s">
        <v>3677</v>
      </c>
      <c r="DE87" t="s">
        <v>3870</v>
      </c>
      <c r="DG87" t="s">
        <v>1400</v>
      </c>
      <c r="DH87" s="54"/>
      <c r="DI87" s="54"/>
    </row>
    <row r="88" spans="1:113" x14ac:dyDescent="0.25">
      <c r="A88" t="s">
        <v>1021</v>
      </c>
      <c r="B88">
        <v>5</v>
      </c>
      <c r="C88" s="54">
        <v>43208</v>
      </c>
      <c r="D88" t="s">
        <v>1143</v>
      </c>
      <c r="E88" t="s">
        <v>2880</v>
      </c>
      <c r="G88" t="s">
        <v>3897</v>
      </c>
      <c r="H88" t="s">
        <v>1382</v>
      </c>
      <c r="I88" t="s">
        <v>1382</v>
      </c>
      <c r="J88" t="s">
        <v>1382</v>
      </c>
      <c r="K88" t="s">
        <v>1382</v>
      </c>
      <c r="L88">
        <v>423.08</v>
      </c>
      <c r="M88">
        <v>699</v>
      </c>
      <c r="N88">
        <v>0</v>
      </c>
      <c r="O88" s="54"/>
      <c r="P88" s="54"/>
      <c r="Q88">
        <v>5</v>
      </c>
      <c r="R88">
        <v>15</v>
      </c>
      <c r="S88">
        <v>25</v>
      </c>
      <c r="T88">
        <v>12</v>
      </c>
      <c r="U88">
        <v>13</v>
      </c>
      <c r="V88">
        <v>1</v>
      </c>
      <c r="X88" t="s">
        <v>3898</v>
      </c>
      <c r="Z88" t="s">
        <v>3693</v>
      </c>
      <c r="AA88">
        <v>0.92</v>
      </c>
      <c r="AB88">
        <v>35</v>
      </c>
      <c r="AC88">
        <v>0.27</v>
      </c>
      <c r="AD88">
        <v>1.36</v>
      </c>
      <c r="AE88">
        <v>0.27</v>
      </c>
      <c r="AF88">
        <v>0</v>
      </c>
      <c r="AG88">
        <v>0</v>
      </c>
      <c r="AJ88" s="54"/>
      <c r="AK88" s="54"/>
      <c r="AL88" s="54">
        <v>42849</v>
      </c>
      <c r="AO88">
        <v>1</v>
      </c>
      <c r="AP88" t="s">
        <v>1383</v>
      </c>
      <c r="AR88">
        <v>1</v>
      </c>
      <c r="AS88" t="s">
        <v>1384</v>
      </c>
      <c r="AT88">
        <v>1</v>
      </c>
      <c r="AV88">
        <v>1</v>
      </c>
      <c r="AW88">
        <v>1</v>
      </c>
      <c r="AX88">
        <v>0.5</v>
      </c>
      <c r="AY88" t="s">
        <v>1389</v>
      </c>
      <c r="AZ88" t="s">
        <v>1389</v>
      </c>
      <c r="BA88">
        <v>10</v>
      </c>
      <c r="BD88">
        <v>1000000000</v>
      </c>
      <c r="BE88">
        <v>5</v>
      </c>
      <c r="BF88">
        <v>-4</v>
      </c>
      <c r="BG88">
        <v>0</v>
      </c>
      <c r="BH88">
        <v>0</v>
      </c>
      <c r="BI88">
        <v>0</v>
      </c>
      <c r="BJ88">
        <v>0</v>
      </c>
      <c r="BK88">
        <v>0</v>
      </c>
      <c r="BL88">
        <v>0</v>
      </c>
      <c r="BM88">
        <v>5</v>
      </c>
      <c r="BN88">
        <v>-4</v>
      </c>
      <c r="BR88">
        <v>0</v>
      </c>
      <c r="BS88">
        <v>1</v>
      </c>
      <c r="BX88">
        <v>0</v>
      </c>
      <c r="BY88">
        <v>1692.32</v>
      </c>
      <c r="BZ88">
        <v>0</v>
      </c>
      <c r="CA88">
        <v>1.25</v>
      </c>
      <c r="CC88">
        <v>0</v>
      </c>
      <c r="CD88" s="54">
        <v>42797</v>
      </c>
      <c r="CE88" s="54"/>
      <c r="CF88" s="54">
        <v>43033</v>
      </c>
      <c r="CG88" s="54">
        <v>43208</v>
      </c>
      <c r="CH88" s="54">
        <v>0</v>
      </c>
      <c r="CI88" s="54">
        <v>0</v>
      </c>
      <c r="CJ88">
        <v>0.3</v>
      </c>
      <c r="CK88">
        <v>0</v>
      </c>
      <c r="CL88">
        <v>0</v>
      </c>
      <c r="CM88">
        <v>0</v>
      </c>
      <c r="CN88">
        <v>0</v>
      </c>
      <c r="CO88">
        <v>0</v>
      </c>
      <c r="CP88">
        <v>0.97</v>
      </c>
      <c r="CQ88" t="s">
        <v>1144</v>
      </c>
      <c r="CR88" t="s">
        <v>1143</v>
      </c>
      <c r="CS88" t="s">
        <v>3665</v>
      </c>
      <c r="CT88" t="s">
        <v>1403</v>
      </c>
      <c r="CU88" t="s">
        <v>3899</v>
      </c>
      <c r="CV88" t="s">
        <v>3900</v>
      </c>
      <c r="CW88" t="s">
        <v>3901</v>
      </c>
      <c r="CX88" t="s">
        <v>849</v>
      </c>
      <c r="DC88" t="s">
        <v>3902</v>
      </c>
      <c r="DE88" t="s">
        <v>3785</v>
      </c>
      <c r="DG88" t="s">
        <v>1400</v>
      </c>
      <c r="DH88" s="54"/>
      <c r="DI88" s="54"/>
    </row>
    <row r="89" spans="1:113" x14ac:dyDescent="0.25">
      <c r="A89" t="s">
        <v>1021</v>
      </c>
      <c r="B89">
        <v>5</v>
      </c>
      <c r="C89" s="54">
        <v>43208</v>
      </c>
      <c r="D89" t="s">
        <v>1143</v>
      </c>
      <c r="E89" t="s">
        <v>1429</v>
      </c>
      <c r="G89" t="s">
        <v>3903</v>
      </c>
      <c r="H89" t="s">
        <v>1382</v>
      </c>
      <c r="I89" t="s">
        <v>1382</v>
      </c>
      <c r="J89" t="s">
        <v>1382</v>
      </c>
      <c r="K89" t="s">
        <v>1382</v>
      </c>
      <c r="L89">
        <v>4.5999999999999996</v>
      </c>
      <c r="M89">
        <v>10.130000000000001</v>
      </c>
      <c r="N89">
        <v>0</v>
      </c>
      <c r="O89" s="54"/>
      <c r="P89" s="54"/>
      <c r="Q89">
        <v>5</v>
      </c>
      <c r="R89">
        <v>14</v>
      </c>
      <c r="S89">
        <v>37</v>
      </c>
      <c r="T89">
        <v>20</v>
      </c>
      <c r="U89">
        <v>17</v>
      </c>
      <c r="V89">
        <v>1</v>
      </c>
      <c r="W89" t="s">
        <v>1391</v>
      </c>
      <c r="X89" t="s">
        <v>3876</v>
      </c>
      <c r="AA89">
        <v>14.29</v>
      </c>
      <c r="AB89">
        <v>794</v>
      </c>
      <c r="AC89">
        <v>8.75</v>
      </c>
      <c r="AD89">
        <v>6.53</v>
      </c>
      <c r="AE89">
        <v>0.02</v>
      </c>
      <c r="AF89">
        <v>0</v>
      </c>
      <c r="AG89">
        <v>0</v>
      </c>
      <c r="AJ89" s="54"/>
      <c r="AK89" s="54"/>
      <c r="AL89" s="54">
        <v>42849</v>
      </c>
      <c r="AO89">
        <v>1</v>
      </c>
      <c r="AP89" t="s">
        <v>1383</v>
      </c>
      <c r="AR89">
        <v>1</v>
      </c>
      <c r="AS89" t="s">
        <v>1384</v>
      </c>
      <c r="AT89">
        <v>1</v>
      </c>
      <c r="AV89">
        <v>500</v>
      </c>
      <c r="AW89">
        <v>333</v>
      </c>
      <c r="AX89">
        <v>165</v>
      </c>
      <c r="AY89" t="s">
        <v>1394</v>
      </c>
      <c r="AZ89" t="s">
        <v>1390</v>
      </c>
      <c r="BA89">
        <v>400</v>
      </c>
      <c r="BD89">
        <v>1000000000</v>
      </c>
      <c r="BE89">
        <v>33</v>
      </c>
      <c r="BF89">
        <v>0.93</v>
      </c>
      <c r="BG89">
        <v>340</v>
      </c>
      <c r="BH89">
        <v>0</v>
      </c>
      <c r="BI89">
        <v>0</v>
      </c>
      <c r="BJ89">
        <v>0</v>
      </c>
      <c r="BK89">
        <v>0</v>
      </c>
      <c r="BL89">
        <v>0</v>
      </c>
      <c r="BM89">
        <v>373</v>
      </c>
      <c r="BN89">
        <v>0.25</v>
      </c>
      <c r="BR89">
        <v>127</v>
      </c>
      <c r="BS89">
        <v>230</v>
      </c>
      <c r="BX89">
        <v>729.96</v>
      </c>
      <c r="BY89">
        <v>0</v>
      </c>
      <c r="BZ89">
        <v>0</v>
      </c>
      <c r="CA89">
        <v>1.56</v>
      </c>
      <c r="CC89">
        <v>0</v>
      </c>
      <c r="CD89" s="54">
        <v>43132</v>
      </c>
      <c r="CE89" s="54"/>
      <c r="CF89" s="54">
        <v>43132</v>
      </c>
      <c r="CG89" s="54">
        <v>43391</v>
      </c>
      <c r="CH89" s="54">
        <v>43195</v>
      </c>
      <c r="CI89" s="54">
        <v>43195</v>
      </c>
      <c r="CJ89">
        <v>0.37</v>
      </c>
      <c r="CK89">
        <v>0</v>
      </c>
      <c r="CL89">
        <v>0</v>
      </c>
      <c r="CM89">
        <v>0.34</v>
      </c>
      <c r="CN89">
        <v>0</v>
      </c>
      <c r="CO89">
        <v>0</v>
      </c>
      <c r="CP89">
        <v>0</v>
      </c>
      <c r="CQ89" t="s">
        <v>1144</v>
      </c>
      <c r="CR89" t="s">
        <v>1143</v>
      </c>
      <c r="CS89" t="s">
        <v>3665</v>
      </c>
      <c r="CT89" t="s">
        <v>1403</v>
      </c>
      <c r="CU89" t="s">
        <v>3666</v>
      </c>
      <c r="CV89" t="s">
        <v>3904</v>
      </c>
      <c r="CW89" t="s">
        <v>3868</v>
      </c>
      <c r="CX89" t="s">
        <v>849</v>
      </c>
      <c r="DC89" t="s">
        <v>3869</v>
      </c>
      <c r="DE89" t="s">
        <v>3870</v>
      </c>
      <c r="DG89" t="s">
        <v>1400</v>
      </c>
      <c r="DH89" s="54">
        <v>43314</v>
      </c>
      <c r="DI89" s="54">
        <v>43335</v>
      </c>
    </row>
    <row r="90" spans="1:113" x14ac:dyDescent="0.25">
      <c r="A90" t="s">
        <v>1021</v>
      </c>
      <c r="B90">
        <v>5</v>
      </c>
      <c r="C90" s="54">
        <v>43208</v>
      </c>
      <c r="D90" t="s">
        <v>1143</v>
      </c>
      <c r="E90" t="s">
        <v>2881</v>
      </c>
      <c r="G90" t="s">
        <v>3905</v>
      </c>
      <c r="H90" t="s">
        <v>1382</v>
      </c>
      <c r="I90" t="s">
        <v>1382</v>
      </c>
      <c r="J90" t="s">
        <v>1382</v>
      </c>
      <c r="K90" t="s">
        <v>1382</v>
      </c>
      <c r="L90">
        <v>51.52</v>
      </c>
      <c r="M90">
        <v>96.97</v>
      </c>
      <c r="N90">
        <v>0</v>
      </c>
      <c r="O90" s="54"/>
      <c r="P90" s="54"/>
      <c r="Q90">
        <v>5</v>
      </c>
      <c r="R90">
        <v>14</v>
      </c>
      <c r="S90">
        <v>37</v>
      </c>
      <c r="T90">
        <v>20</v>
      </c>
      <c r="U90">
        <v>17</v>
      </c>
      <c r="V90">
        <v>1</v>
      </c>
      <c r="X90" t="s">
        <v>3906</v>
      </c>
      <c r="Z90" t="s">
        <v>3693</v>
      </c>
      <c r="AA90">
        <v>0.33</v>
      </c>
      <c r="AB90">
        <v>19</v>
      </c>
      <c r="AC90">
        <v>0.76</v>
      </c>
      <c r="AD90">
        <v>11.36</v>
      </c>
      <c r="AE90">
        <v>0.76</v>
      </c>
      <c r="AF90">
        <v>0</v>
      </c>
      <c r="AG90">
        <v>0</v>
      </c>
      <c r="AJ90" s="54"/>
      <c r="AK90" s="54"/>
      <c r="AL90" s="54">
        <v>42849</v>
      </c>
      <c r="AO90">
        <v>1</v>
      </c>
      <c r="AP90" t="s">
        <v>1383</v>
      </c>
      <c r="AR90">
        <v>1</v>
      </c>
      <c r="AS90" t="s">
        <v>1384</v>
      </c>
      <c r="AT90">
        <v>1</v>
      </c>
      <c r="AV90">
        <v>1</v>
      </c>
      <c r="AW90">
        <v>1</v>
      </c>
      <c r="AX90">
        <v>0.5</v>
      </c>
      <c r="AY90" t="s">
        <v>1389</v>
      </c>
      <c r="AZ90" t="s">
        <v>1389</v>
      </c>
      <c r="BA90">
        <v>20</v>
      </c>
      <c r="BD90">
        <v>1000000000</v>
      </c>
      <c r="BE90">
        <v>15</v>
      </c>
      <c r="BF90">
        <v>-14</v>
      </c>
      <c r="BG90">
        <v>0</v>
      </c>
      <c r="BH90">
        <v>0</v>
      </c>
      <c r="BI90">
        <v>0</v>
      </c>
      <c r="BJ90">
        <v>0</v>
      </c>
      <c r="BK90">
        <v>0</v>
      </c>
      <c r="BL90">
        <v>0</v>
      </c>
      <c r="BM90">
        <v>15</v>
      </c>
      <c r="BN90">
        <v>-14</v>
      </c>
      <c r="BR90">
        <v>0</v>
      </c>
      <c r="BS90">
        <v>0</v>
      </c>
      <c r="BX90">
        <v>0</v>
      </c>
      <c r="BY90">
        <v>721.28</v>
      </c>
      <c r="BZ90">
        <v>0</v>
      </c>
      <c r="CA90">
        <v>1.1399999999999999</v>
      </c>
      <c r="CC90">
        <v>0</v>
      </c>
      <c r="CD90" s="54">
        <v>42991</v>
      </c>
      <c r="CE90" s="54"/>
      <c r="CF90" s="54">
        <v>42991</v>
      </c>
      <c r="CG90" s="54">
        <v>43250</v>
      </c>
      <c r="CH90" s="54">
        <v>0</v>
      </c>
      <c r="CI90" s="54">
        <v>0</v>
      </c>
      <c r="CJ90">
        <v>0.15</v>
      </c>
      <c r="CK90">
        <v>0</v>
      </c>
      <c r="CL90">
        <v>0</v>
      </c>
      <c r="CM90">
        <v>0</v>
      </c>
      <c r="CN90">
        <v>0</v>
      </c>
      <c r="CO90">
        <v>0</v>
      </c>
      <c r="CP90">
        <v>0.85</v>
      </c>
      <c r="CQ90" t="s">
        <v>1144</v>
      </c>
      <c r="CR90" t="s">
        <v>1143</v>
      </c>
      <c r="CS90" t="s">
        <v>3665</v>
      </c>
      <c r="CT90" t="s">
        <v>1403</v>
      </c>
      <c r="CU90" t="s">
        <v>3666</v>
      </c>
      <c r="CV90" t="s">
        <v>3907</v>
      </c>
      <c r="CW90" t="s">
        <v>3868</v>
      </c>
      <c r="CX90" t="s">
        <v>849</v>
      </c>
      <c r="DC90" t="s">
        <v>3869</v>
      </c>
      <c r="DE90" t="s">
        <v>3870</v>
      </c>
      <c r="DG90" t="s">
        <v>1400</v>
      </c>
      <c r="DH90" s="54"/>
      <c r="DI90" s="54"/>
    </row>
    <row r="91" spans="1:113" x14ac:dyDescent="0.25">
      <c r="A91" t="s">
        <v>1021</v>
      </c>
      <c r="B91">
        <v>5</v>
      </c>
      <c r="C91" s="54">
        <v>43208</v>
      </c>
      <c r="D91" t="s">
        <v>1143</v>
      </c>
      <c r="E91" t="s">
        <v>1430</v>
      </c>
      <c r="G91" t="s">
        <v>3908</v>
      </c>
      <c r="H91" t="s">
        <v>1382</v>
      </c>
      <c r="I91" t="s">
        <v>1382</v>
      </c>
      <c r="J91" t="s">
        <v>1382</v>
      </c>
      <c r="K91" t="s">
        <v>1382</v>
      </c>
      <c r="L91">
        <v>46.95</v>
      </c>
      <c r="M91">
        <v>101.65</v>
      </c>
      <c r="N91">
        <v>0</v>
      </c>
      <c r="O91" s="54"/>
      <c r="P91" s="54"/>
      <c r="Q91">
        <v>5</v>
      </c>
      <c r="R91">
        <v>14</v>
      </c>
      <c r="S91">
        <v>37</v>
      </c>
      <c r="T91">
        <v>20</v>
      </c>
      <c r="U91">
        <v>17</v>
      </c>
      <c r="V91">
        <v>1</v>
      </c>
      <c r="W91" t="s">
        <v>1391</v>
      </c>
      <c r="X91" t="s">
        <v>3876</v>
      </c>
      <c r="AA91">
        <v>0.92</v>
      </c>
      <c r="AB91">
        <v>52</v>
      </c>
      <c r="AC91">
        <v>38.04</v>
      </c>
      <c r="AD91">
        <v>36.14</v>
      </c>
      <c r="AE91">
        <v>0.27</v>
      </c>
      <c r="AF91">
        <v>0</v>
      </c>
      <c r="AG91">
        <v>0</v>
      </c>
      <c r="AJ91" s="54"/>
      <c r="AK91" s="54"/>
      <c r="AL91" s="54"/>
      <c r="AO91">
        <v>1</v>
      </c>
      <c r="AP91" t="s">
        <v>1383</v>
      </c>
      <c r="AR91">
        <v>1</v>
      </c>
      <c r="AS91" t="s">
        <v>1384</v>
      </c>
      <c r="AT91">
        <v>1</v>
      </c>
      <c r="AV91">
        <v>140</v>
      </c>
      <c r="AW91">
        <v>93</v>
      </c>
      <c r="AX91">
        <v>46</v>
      </c>
      <c r="AY91" t="s">
        <v>1390</v>
      </c>
      <c r="AZ91" t="s">
        <v>1390</v>
      </c>
      <c r="BA91">
        <v>150</v>
      </c>
      <c r="BD91">
        <v>1000000000</v>
      </c>
      <c r="BE91">
        <v>123</v>
      </c>
      <c r="BF91">
        <v>0.12</v>
      </c>
      <c r="BG91">
        <v>10</v>
      </c>
      <c r="BH91">
        <v>0</v>
      </c>
      <c r="BI91">
        <v>0</v>
      </c>
      <c r="BJ91">
        <v>0</v>
      </c>
      <c r="BK91">
        <v>0</v>
      </c>
      <c r="BL91">
        <v>0</v>
      </c>
      <c r="BM91">
        <v>133</v>
      </c>
      <c r="BN91">
        <v>0.05</v>
      </c>
      <c r="BR91">
        <v>7</v>
      </c>
      <c r="BS91">
        <v>64</v>
      </c>
      <c r="BX91">
        <v>0</v>
      </c>
      <c r="BY91">
        <v>0</v>
      </c>
      <c r="BZ91">
        <v>0</v>
      </c>
      <c r="CA91">
        <v>1.51</v>
      </c>
      <c r="CC91">
        <v>2</v>
      </c>
      <c r="CD91" s="54">
        <v>43132</v>
      </c>
      <c r="CE91" s="54"/>
      <c r="CF91" s="54">
        <v>43132</v>
      </c>
      <c r="CG91" s="54">
        <v>43391</v>
      </c>
      <c r="CH91" s="54">
        <v>43195</v>
      </c>
      <c r="CI91" s="54">
        <v>43122</v>
      </c>
      <c r="CJ91">
        <v>0.03</v>
      </c>
      <c r="CK91">
        <v>0</v>
      </c>
      <c r="CL91">
        <v>0</v>
      </c>
      <c r="CM91">
        <v>0</v>
      </c>
      <c r="CN91">
        <v>0</v>
      </c>
      <c r="CO91">
        <v>0.34</v>
      </c>
      <c r="CP91">
        <v>0</v>
      </c>
      <c r="CQ91" t="s">
        <v>1144</v>
      </c>
      <c r="CR91" t="s">
        <v>1143</v>
      </c>
      <c r="CS91" t="s">
        <v>3665</v>
      </c>
      <c r="CT91" t="s">
        <v>1403</v>
      </c>
      <c r="CU91" t="s">
        <v>3666</v>
      </c>
      <c r="CV91" t="s">
        <v>3909</v>
      </c>
      <c r="CW91" t="s">
        <v>3910</v>
      </c>
      <c r="CX91" t="s">
        <v>849</v>
      </c>
      <c r="DC91" t="s">
        <v>872</v>
      </c>
      <c r="DE91" t="s">
        <v>3870</v>
      </c>
      <c r="DG91" t="s">
        <v>3786</v>
      </c>
      <c r="DH91" s="54">
        <v>43314</v>
      </c>
      <c r="DI91" s="54">
        <v>43335</v>
      </c>
    </row>
    <row r="92" spans="1:113" x14ac:dyDescent="0.25">
      <c r="A92" t="s">
        <v>1021</v>
      </c>
      <c r="B92">
        <v>34</v>
      </c>
      <c r="C92" s="54">
        <v>43208</v>
      </c>
      <c r="D92" t="s">
        <v>1143</v>
      </c>
      <c r="E92" t="s">
        <v>2886</v>
      </c>
      <c r="G92" t="s">
        <v>3911</v>
      </c>
      <c r="H92" t="s">
        <v>1382</v>
      </c>
      <c r="I92" t="s">
        <v>1382</v>
      </c>
      <c r="J92" t="s">
        <v>1382</v>
      </c>
      <c r="K92" t="s">
        <v>1382</v>
      </c>
      <c r="L92">
        <v>15.28</v>
      </c>
      <c r="M92">
        <v>33.270000000000003</v>
      </c>
      <c r="N92">
        <v>0</v>
      </c>
      <c r="O92" s="54"/>
      <c r="P92" s="54"/>
      <c r="Q92">
        <v>5</v>
      </c>
      <c r="R92">
        <v>14</v>
      </c>
      <c r="S92">
        <v>37</v>
      </c>
      <c r="T92">
        <v>20</v>
      </c>
      <c r="U92">
        <v>17</v>
      </c>
      <c r="V92">
        <v>1</v>
      </c>
      <c r="W92" t="s">
        <v>1391</v>
      </c>
      <c r="X92" t="s">
        <v>3673</v>
      </c>
      <c r="AA92">
        <v>0.13</v>
      </c>
      <c r="AB92">
        <v>8</v>
      </c>
      <c r="AC92">
        <v>11.54</v>
      </c>
      <c r="AD92">
        <v>11.54</v>
      </c>
      <c r="AE92">
        <v>1.92</v>
      </c>
      <c r="AF92">
        <v>0</v>
      </c>
      <c r="AG92">
        <v>0</v>
      </c>
      <c r="AJ92" s="54"/>
      <c r="AK92" s="54"/>
      <c r="AL92" s="54"/>
      <c r="AO92">
        <v>1</v>
      </c>
      <c r="AP92" t="s">
        <v>1383</v>
      </c>
      <c r="AR92">
        <v>1</v>
      </c>
      <c r="AS92" t="s">
        <v>1384</v>
      </c>
      <c r="AT92">
        <v>1</v>
      </c>
      <c r="AV92">
        <v>6</v>
      </c>
      <c r="AW92">
        <v>4</v>
      </c>
      <c r="AX92">
        <v>2</v>
      </c>
      <c r="AY92" t="s">
        <v>1390</v>
      </c>
      <c r="AZ92" t="s">
        <v>1390</v>
      </c>
      <c r="BA92">
        <v>0</v>
      </c>
      <c r="BD92">
        <v>1000000000</v>
      </c>
      <c r="BE92">
        <v>6</v>
      </c>
      <c r="BF92">
        <v>0</v>
      </c>
      <c r="BG92">
        <v>0</v>
      </c>
      <c r="BH92">
        <v>0</v>
      </c>
      <c r="BI92">
        <v>0</v>
      </c>
      <c r="BJ92">
        <v>0</v>
      </c>
      <c r="BK92">
        <v>0</v>
      </c>
      <c r="BL92">
        <v>0</v>
      </c>
      <c r="BM92">
        <v>6</v>
      </c>
      <c r="BN92">
        <v>0</v>
      </c>
      <c r="BR92">
        <v>0</v>
      </c>
      <c r="BS92">
        <v>3</v>
      </c>
      <c r="BX92">
        <v>0</v>
      </c>
      <c r="BY92">
        <v>0</v>
      </c>
      <c r="BZ92">
        <v>0</v>
      </c>
      <c r="CA92">
        <v>1.53</v>
      </c>
      <c r="CC92">
        <v>0</v>
      </c>
      <c r="CD92" s="54">
        <v>42836</v>
      </c>
      <c r="CE92" s="54"/>
      <c r="CF92" s="54">
        <v>42949</v>
      </c>
      <c r="CG92" s="54">
        <v>43208</v>
      </c>
      <c r="CH92" s="54">
        <v>0</v>
      </c>
      <c r="CI92" s="54">
        <v>0</v>
      </c>
      <c r="CJ92">
        <v>0.05</v>
      </c>
      <c r="CK92">
        <v>0</v>
      </c>
      <c r="CL92">
        <v>0</v>
      </c>
      <c r="CM92">
        <v>0</v>
      </c>
      <c r="CN92">
        <v>0</v>
      </c>
      <c r="CO92">
        <v>0.11</v>
      </c>
      <c r="CP92">
        <v>0.82</v>
      </c>
      <c r="CQ92" t="s">
        <v>1144</v>
      </c>
      <c r="CR92" t="s">
        <v>1143</v>
      </c>
      <c r="CS92" t="s">
        <v>3674</v>
      </c>
      <c r="CT92" t="s">
        <v>1403</v>
      </c>
      <c r="CU92" t="s">
        <v>3666</v>
      </c>
      <c r="CV92" t="s">
        <v>3912</v>
      </c>
      <c r="CW92" t="s">
        <v>3874</v>
      </c>
      <c r="CX92" t="s">
        <v>849</v>
      </c>
      <c r="DC92" t="s">
        <v>3677</v>
      </c>
      <c r="DE92" t="s">
        <v>3870</v>
      </c>
      <c r="DG92" t="s">
        <v>1400</v>
      </c>
      <c r="DH92" s="54"/>
      <c r="DI92" s="54"/>
    </row>
    <row r="93" spans="1:113" x14ac:dyDescent="0.25">
      <c r="A93" t="s">
        <v>1021</v>
      </c>
      <c r="B93">
        <v>5</v>
      </c>
      <c r="C93" s="54">
        <v>43208</v>
      </c>
      <c r="D93" t="s">
        <v>1143</v>
      </c>
      <c r="E93" t="s">
        <v>2887</v>
      </c>
      <c r="G93" t="s">
        <v>3913</v>
      </c>
      <c r="H93" t="s">
        <v>1382</v>
      </c>
      <c r="I93" t="s">
        <v>1382</v>
      </c>
      <c r="J93" t="s">
        <v>1382</v>
      </c>
      <c r="K93" t="s">
        <v>1382</v>
      </c>
      <c r="L93">
        <v>30.09</v>
      </c>
      <c r="M93">
        <v>64.69</v>
      </c>
      <c r="N93">
        <v>0</v>
      </c>
      <c r="O93" s="54"/>
      <c r="P93" s="54"/>
      <c r="Q93">
        <v>5</v>
      </c>
      <c r="R93">
        <v>14</v>
      </c>
      <c r="S93">
        <v>37</v>
      </c>
      <c r="T93">
        <v>20</v>
      </c>
      <c r="U93">
        <v>17</v>
      </c>
      <c r="V93">
        <v>1</v>
      </c>
      <c r="X93" t="s">
        <v>3876</v>
      </c>
      <c r="AA93">
        <v>0.25</v>
      </c>
      <c r="AB93">
        <v>14</v>
      </c>
      <c r="AC93">
        <v>20</v>
      </c>
      <c r="AD93">
        <v>34</v>
      </c>
      <c r="AE93">
        <v>1</v>
      </c>
      <c r="AF93">
        <v>0</v>
      </c>
      <c r="AG93">
        <v>0</v>
      </c>
      <c r="AJ93" s="54"/>
      <c r="AK93" s="54"/>
      <c r="AL93" s="54">
        <v>42849</v>
      </c>
      <c r="AO93">
        <v>1</v>
      </c>
      <c r="AP93" t="s">
        <v>1383</v>
      </c>
      <c r="AR93">
        <v>1</v>
      </c>
      <c r="AS93" t="s">
        <v>1384</v>
      </c>
      <c r="AT93">
        <v>1</v>
      </c>
      <c r="AV93">
        <v>20</v>
      </c>
      <c r="AW93">
        <v>13</v>
      </c>
      <c r="AX93">
        <v>7</v>
      </c>
      <c r="AY93" t="s">
        <v>1389</v>
      </c>
      <c r="AZ93" t="s">
        <v>1389</v>
      </c>
      <c r="BA93">
        <v>30</v>
      </c>
      <c r="BD93">
        <v>1000000000</v>
      </c>
      <c r="BE93">
        <v>34</v>
      </c>
      <c r="BF93">
        <v>-0.7</v>
      </c>
      <c r="BG93">
        <v>0</v>
      </c>
      <c r="BH93">
        <v>0</v>
      </c>
      <c r="BI93">
        <v>0</v>
      </c>
      <c r="BJ93">
        <v>0</v>
      </c>
      <c r="BK93">
        <v>0</v>
      </c>
      <c r="BL93">
        <v>0</v>
      </c>
      <c r="BM93">
        <v>34</v>
      </c>
      <c r="BN93">
        <v>-0.7</v>
      </c>
      <c r="BR93">
        <v>0</v>
      </c>
      <c r="BS93">
        <v>9</v>
      </c>
      <c r="BX93">
        <v>0</v>
      </c>
      <c r="BY93">
        <v>421.26</v>
      </c>
      <c r="BZ93">
        <v>0</v>
      </c>
      <c r="CA93">
        <v>1.49</v>
      </c>
      <c r="CC93">
        <v>0</v>
      </c>
      <c r="CD93" s="54">
        <v>43132</v>
      </c>
      <c r="CE93" s="54"/>
      <c r="CF93" s="54">
        <v>43132</v>
      </c>
      <c r="CG93" s="54">
        <v>43391</v>
      </c>
      <c r="CH93" s="54">
        <v>43007</v>
      </c>
      <c r="CI93" s="54">
        <v>43122</v>
      </c>
      <c r="CJ93">
        <v>0.03</v>
      </c>
      <c r="CK93">
        <v>0</v>
      </c>
      <c r="CL93">
        <v>0</v>
      </c>
      <c r="CM93">
        <v>0</v>
      </c>
      <c r="CN93">
        <v>0</v>
      </c>
      <c r="CO93">
        <v>0</v>
      </c>
      <c r="CP93">
        <v>0.34</v>
      </c>
      <c r="CQ93" t="s">
        <v>1144</v>
      </c>
      <c r="CR93" t="s">
        <v>1143</v>
      </c>
      <c r="CS93" t="s">
        <v>3665</v>
      </c>
      <c r="CT93" t="s">
        <v>1403</v>
      </c>
      <c r="CU93" t="s">
        <v>3666</v>
      </c>
      <c r="CV93" t="s">
        <v>3914</v>
      </c>
      <c r="CW93" t="s">
        <v>3868</v>
      </c>
      <c r="CX93" t="s">
        <v>849</v>
      </c>
      <c r="DC93" t="s">
        <v>3869</v>
      </c>
      <c r="DE93" t="s">
        <v>3870</v>
      </c>
      <c r="DG93" t="s">
        <v>1400</v>
      </c>
      <c r="DH93" s="54">
        <v>43126</v>
      </c>
      <c r="DI93" s="54">
        <v>43147</v>
      </c>
    </row>
    <row r="94" spans="1:113" x14ac:dyDescent="0.25">
      <c r="A94" t="s">
        <v>1021</v>
      </c>
      <c r="B94">
        <v>5</v>
      </c>
      <c r="C94" s="54">
        <v>43208</v>
      </c>
      <c r="D94" t="s">
        <v>1143</v>
      </c>
      <c r="E94" t="s">
        <v>1431</v>
      </c>
      <c r="G94" t="s">
        <v>3915</v>
      </c>
      <c r="H94" t="s">
        <v>1382</v>
      </c>
      <c r="I94" t="s">
        <v>1382</v>
      </c>
      <c r="J94" t="s">
        <v>1382</v>
      </c>
      <c r="K94" t="s">
        <v>1382</v>
      </c>
      <c r="L94">
        <v>40.25</v>
      </c>
      <c r="M94">
        <v>88.13</v>
      </c>
      <c r="N94">
        <v>0</v>
      </c>
      <c r="O94" s="54"/>
      <c r="P94" s="54"/>
      <c r="Q94">
        <v>5</v>
      </c>
      <c r="R94">
        <v>15</v>
      </c>
      <c r="S94">
        <v>25</v>
      </c>
      <c r="T94">
        <v>12</v>
      </c>
      <c r="U94">
        <v>13</v>
      </c>
      <c r="V94">
        <v>1</v>
      </c>
      <c r="W94" t="s">
        <v>1391</v>
      </c>
      <c r="X94" t="s">
        <v>3916</v>
      </c>
      <c r="AA94">
        <v>0.63</v>
      </c>
      <c r="AB94">
        <v>24</v>
      </c>
      <c r="AC94">
        <v>7.94</v>
      </c>
      <c r="AD94">
        <v>5.95</v>
      </c>
      <c r="AE94">
        <v>0.4</v>
      </c>
      <c r="AF94">
        <v>0</v>
      </c>
      <c r="AG94">
        <v>0</v>
      </c>
      <c r="AJ94" s="54"/>
      <c r="AK94" s="54"/>
      <c r="AL94" s="54">
        <v>42849</v>
      </c>
      <c r="AO94">
        <v>1</v>
      </c>
      <c r="AP94" t="s">
        <v>1383</v>
      </c>
      <c r="AR94">
        <v>1</v>
      </c>
      <c r="AS94" t="s">
        <v>1384</v>
      </c>
      <c r="AT94">
        <v>1</v>
      </c>
      <c r="AV94">
        <v>20</v>
      </c>
      <c r="AW94">
        <v>13</v>
      </c>
      <c r="AX94">
        <v>7</v>
      </c>
      <c r="AY94" t="s">
        <v>1394</v>
      </c>
      <c r="AZ94" t="s">
        <v>1390</v>
      </c>
      <c r="BA94">
        <v>15</v>
      </c>
      <c r="BD94">
        <v>1000000000</v>
      </c>
      <c r="BE94">
        <v>5</v>
      </c>
      <c r="BF94">
        <v>0.75</v>
      </c>
      <c r="BG94">
        <v>10</v>
      </c>
      <c r="BH94">
        <v>0</v>
      </c>
      <c r="BI94">
        <v>0</v>
      </c>
      <c r="BJ94">
        <v>0</v>
      </c>
      <c r="BK94">
        <v>0</v>
      </c>
      <c r="BL94">
        <v>0</v>
      </c>
      <c r="BM94">
        <v>15</v>
      </c>
      <c r="BN94">
        <v>0.25</v>
      </c>
      <c r="BR94">
        <v>5</v>
      </c>
      <c r="BS94">
        <v>10</v>
      </c>
      <c r="BX94">
        <v>95.76</v>
      </c>
      <c r="BY94">
        <v>0</v>
      </c>
      <c r="BZ94">
        <v>0</v>
      </c>
      <c r="CA94">
        <v>2.2799999999999998</v>
      </c>
      <c r="CC94">
        <v>0</v>
      </c>
      <c r="CD94" s="54">
        <v>42751</v>
      </c>
      <c r="CE94" s="54"/>
      <c r="CF94" s="54">
        <v>43033</v>
      </c>
      <c r="CG94" s="54">
        <v>43208</v>
      </c>
      <c r="CH94" s="54">
        <v>43195</v>
      </c>
      <c r="CI94" s="54">
        <v>43195</v>
      </c>
      <c r="CJ94">
        <v>0.51</v>
      </c>
      <c r="CK94">
        <v>0</v>
      </c>
      <c r="CL94">
        <v>0</v>
      </c>
      <c r="CM94">
        <v>0.46</v>
      </c>
      <c r="CN94">
        <v>0.51</v>
      </c>
      <c r="CO94">
        <v>0</v>
      </c>
      <c r="CP94">
        <v>0</v>
      </c>
      <c r="CQ94" t="s">
        <v>1144</v>
      </c>
      <c r="CR94" t="s">
        <v>1143</v>
      </c>
      <c r="CS94" t="s">
        <v>3665</v>
      </c>
      <c r="CT94" t="s">
        <v>1403</v>
      </c>
      <c r="CU94" t="s">
        <v>3899</v>
      </c>
      <c r="CV94" t="s">
        <v>3917</v>
      </c>
      <c r="CW94" t="s">
        <v>3868</v>
      </c>
      <c r="CX94" t="s">
        <v>849</v>
      </c>
      <c r="DC94" t="s">
        <v>3869</v>
      </c>
      <c r="DE94" t="s">
        <v>3870</v>
      </c>
      <c r="DG94" t="s">
        <v>1400</v>
      </c>
      <c r="DH94" s="54">
        <v>43286</v>
      </c>
      <c r="DI94" s="54">
        <v>43279</v>
      </c>
    </row>
    <row r="95" spans="1:113" x14ac:dyDescent="0.25">
      <c r="A95" t="s">
        <v>1021</v>
      </c>
      <c r="B95">
        <v>5</v>
      </c>
      <c r="C95" s="54">
        <v>43208</v>
      </c>
      <c r="D95" t="s">
        <v>1143</v>
      </c>
      <c r="E95" t="s">
        <v>2888</v>
      </c>
      <c r="G95" t="s">
        <v>3918</v>
      </c>
      <c r="H95" t="s">
        <v>1382</v>
      </c>
      <c r="I95" t="s">
        <v>1382</v>
      </c>
      <c r="J95" t="s">
        <v>1382</v>
      </c>
      <c r="K95" t="s">
        <v>1382</v>
      </c>
      <c r="L95">
        <v>31.54</v>
      </c>
      <c r="M95">
        <v>69.67</v>
      </c>
      <c r="N95">
        <v>0</v>
      </c>
      <c r="O95" s="54"/>
      <c r="P95" s="54"/>
      <c r="Q95">
        <v>5</v>
      </c>
      <c r="R95">
        <v>14</v>
      </c>
      <c r="S95">
        <v>37</v>
      </c>
      <c r="T95">
        <v>20</v>
      </c>
      <c r="U95">
        <v>17</v>
      </c>
      <c r="V95">
        <v>1</v>
      </c>
      <c r="X95" t="s">
        <v>3876</v>
      </c>
      <c r="AA95">
        <v>0.67</v>
      </c>
      <c r="AB95">
        <v>38</v>
      </c>
      <c r="AC95">
        <v>18.66</v>
      </c>
      <c r="AD95">
        <v>35.450000000000003</v>
      </c>
      <c r="AE95">
        <v>0.37</v>
      </c>
      <c r="AF95">
        <v>0</v>
      </c>
      <c r="AG95">
        <v>0</v>
      </c>
      <c r="AJ95" s="54"/>
      <c r="AK95" s="54"/>
      <c r="AL95" s="54">
        <v>42849</v>
      </c>
      <c r="AO95">
        <v>1</v>
      </c>
      <c r="AP95" t="s">
        <v>1383</v>
      </c>
      <c r="AR95">
        <v>1</v>
      </c>
      <c r="AS95" t="s">
        <v>1384</v>
      </c>
      <c r="AT95">
        <v>1</v>
      </c>
      <c r="AV95">
        <v>50</v>
      </c>
      <c r="AW95">
        <v>33</v>
      </c>
      <c r="AX95">
        <v>17</v>
      </c>
      <c r="AY95" t="s">
        <v>1389</v>
      </c>
      <c r="AZ95" t="s">
        <v>1389</v>
      </c>
      <c r="BA95">
        <v>100</v>
      </c>
      <c r="BD95">
        <v>1000000000</v>
      </c>
      <c r="BE95">
        <v>85</v>
      </c>
      <c r="BF95">
        <v>-0.7</v>
      </c>
      <c r="BG95">
        <v>10</v>
      </c>
      <c r="BH95">
        <v>0</v>
      </c>
      <c r="BI95">
        <v>0</v>
      </c>
      <c r="BJ95">
        <v>0</v>
      </c>
      <c r="BK95">
        <v>0</v>
      </c>
      <c r="BL95">
        <v>0</v>
      </c>
      <c r="BM95">
        <v>95</v>
      </c>
      <c r="BN95">
        <v>-0.9</v>
      </c>
      <c r="BR95">
        <v>0</v>
      </c>
      <c r="BS95">
        <v>23</v>
      </c>
      <c r="BX95">
        <v>0</v>
      </c>
      <c r="BY95">
        <v>1103.9000000000001</v>
      </c>
      <c r="BZ95">
        <v>0</v>
      </c>
      <c r="CA95">
        <v>1.57</v>
      </c>
      <c r="CC95">
        <v>0</v>
      </c>
      <c r="CD95" s="54">
        <v>43132</v>
      </c>
      <c r="CE95" s="54"/>
      <c r="CF95" s="54">
        <v>43132</v>
      </c>
      <c r="CG95" s="54">
        <v>43391</v>
      </c>
      <c r="CH95" s="54">
        <v>43195</v>
      </c>
      <c r="CI95" s="54">
        <v>43122</v>
      </c>
      <c r="CJ95">
        <v>0.03</v>
      </c>
      <c r="CK95">
        <v>0</v>
      </c>
      <c r="CL95">
        <v>0</v>
      </c>
      <c r="CM95">
        <v>0</v>
      </c>
      <c r="CN95">
        <v>0</v>
      </c>
      <c r="CO95">
        <v>0</v>
      </c>
      <c r="CP95">
        <v>0.34</v>
      </c>
      <c r="CQ95" t="s">
        <v>1144</v>
      </c>
      <c r="CR95" t="s">
        <v>1143</v>
      </c>
      <c r="CS95" t="s">
        <v>3665</v>
      </c>
      <c r="CT95" t="s">
        <v>1403</v>
      </c>
      <c r="CU95" t="s">
        <v>3666</v>
      </c>
      <c r="CV95" t="s">
        <v>3919</v>
      </c>
      <c r="CW95" t="s">
        <v>3868</v>
      </c>
      <c r="CX95" t="s">
        <v>849</v>
      </c>
      <c r="DC95" t="s">
        <v>3869</v>
      </c>
      <c r="DE95" t="s">
        <v>3870</v>
      </c>
      <c r="DG95" t="s">
        <v>1400</v>
      </c>
      <c r="DH95" s="54">
        <v>43314</v>
      </c>
      <c r="DI95" s="54">
        <v>43335</v>
      </c>
    </row>
    <row r="96" spans="1:113" x14ac:dyDescent="0.25">
      <c r="A96" t="s">
        <v>1021</v>
      </c>
      <c r="B96">
        <v>5</v>
      </c>
      <c r="C96" s="54">
        <v>43208</v>
      </c>
      <c r="D96" t="s">
        <v>1143</v>
      </c>
      <c r="E96" t="s">
        <v>2889</v>
      </c>
      <c r="G96" t="s">
        <v>3920</v>
      </c>
      <c r="H96" t="s">
        <v>1382</v>
      </c>
      <c r="I96" t="s">
        <v>1382</v>
      </c>
      <c r="J96" t="s">
        <v>1382</v>
      </c>
      <c r="K96" t="s">
        <v>1382</v>
      </c>
      <c r="L96">
        <v>6.79</v>
      </c>
      <c r="M96">
        <v>13.29</v>
      </c>
      <c r="N96">
        <v>0</v>
      </c>
      <c r="O96" s="54"/>
      <c r="P96" s="54"/>
      <c r="Q96">
        <v>5</v>
      </c>
      <c r="R96">
        <v>14</v>
      </c>
      <c r="S96">
        <v>37</v>
      </c>
      <c r="T96">
        <v>20</v>
      </c>
      <c r="U96">
        <v>17</v>
      </c>
      <c r="V96">
        <v>1</v>
      </c>
      <c r="X96" t="s">
        <v>3906</v>
      </c>
      <c r="AA96">
        <v>0.17</v>
      </c>
      <c r="AB96">
        <v>10</v>
      </c>
      <c r="AC96">
        <v>0</v>
      </c>
      <c r="AD96">
        <v>30.88</v>
      </c>
      <c r="AE96">
        <v>1.47</v>
      </c>
      <c r="AF96">
        <v>0</v>
      </c>
      <c r="AG96">
        <v>0</v>
      </c>
      <c r="AJ96" s="54"/>
      <c r="AK96" s="54"/>
      <c r="AL96" s="54">
        <v>42849</v>
      </c>
      <c r="AO96">
        <v>1</v>
      </c>
      <c r="AP96" t="s">
        <v>1383</v>
      </c>
      <c r="AR96">
        <v>1</v>
      </c>
      <c r="AS96" t="s">
        <v>1384</v>
      </c>
      <c r="AT96">
        <v>1</v>
      </c>
      <c r="AV96">
        <v>0</v>
      </c>
      <c r="AW96">
        <v>0</v>
      </c>
      <c r="AX96">
        <v>0</v>
      </c>
      <c r="AY96" t="s">
        <v>1385</v>
      </c>
      <c r="AZ96" t="s">
        <v>1385</v>
      </c>
      <c r="BA96">
        <v>10</v>
      </c>
      <c r="BD96">
        <v>1000000000</v>
      </c>
      <c r="BE96">
        <v>21</v>
      </c>
      <c r="BF96">
        <v>0</v>
      </c>
      <c r="BG96">
        <v>0</v>
      </c>
      <c r="BH96">
        <v>0</v>
      </c>
      <c r="BI96">
        <v>0</v>
      </c>
      <c r="BJ96">
        <v>0</v>
      </c>
      <c r="BK96">
        <v>0</v>
      </c>
      <c r="BL96">
        <v>0</v>
      </c>
      <c r="BM96">
        <v>21</v>
      </c>
      <c r="BN96">
        <v>0</v>
      </c>
      <c r="BR96">
        <v>0</v>
      </c>
      <c r="BS96">
        <v>0</v>
      </c>
      <c r="BX96">
        <v>0</v>
      </c>
      <c r="BY96">
        <v>0</v>
      </c>
      <c r="BZ96">
        <v>0</v>
      </c>
      <c r="CA96">
        <v>0</v>
      </c>
      <c r="CC96">
        <v>0</v>
      </c>
      <c r="CD96" s="54">
        <v>42991</v>
      </c>
      <c r="CE96" s="54"/>
      <c r="CF96" s="54">
        <v>42991</v>
      </c>
      <c r="CG96" s="54">
        <v>43250</v>
      </c>
      <c r="CH96" s="54">
        <v>0</v>
      </c>
      <c r="CI96" s="54">
        <v>0</v>
      </c>
      <c r="CJ96">
        <v>0.06</v>
      </c>
      <c r="CK96">
        <v>0</v>
      </c>
      <c r="CL96">
        <v>0</v>
      </c>
      <c r="CM96">
        <v>0</v>
      </c>
      <c r="CN96">
        <v>0</v>
      </c>
      <c r="CO96">
        <v>0</v>
      </c>
      <c r="CP96">
        <v>0.85</v>
      </c>
      <c r="CQ96" t="s">
        <v>1144</v>
      </c>
      <c r="CR96" t="s">
        <v>1143</v>
      </c>
      <c r="CS96" t="s">
        <v>3665</v>
      </c>
      <c r="CT96" t="s">
        <v>1403</v>
      </c>
      <c r="CU96" t="s">
        <v>3666</v>
      </c>
      <c r="CV96" t="s">
        <v>3921</v>
      </c>
      <c r="CW96" t="s">
        <v>3784</v>
      </c>
      <c r="CX96" t="s">
        <v>849</v>
      </c>
      <c r="DC96" t="s">
        <v>3771</v>
      </c>
      <c r="DE96" t="s">
        <v>3870</v>
      </c>
      <c r="DH96" s="54"/>
      <c r="DI96" s="54"/>
    </row>
    <row r="97" spans="1:113" x14ac:dyDescent="0.25">
      <c r="A97" t="s">
        <v>1021</v>
      </c>
      <c r="B97">
        <v>5</v>
      </c>
      <c r="C97" s="54">
        <v>43208</v>
      </c>
      <c r="D97" t="s">
        <v>1143</v>
      </c>
      <c r="E97" t="s">
        <v>2890</v>
      </c>
      <c r="G97" t="s">
        <v>3922</v>
      </c>
      <c r="H97" t="s">
        <v>1382</v>
      </c>
      <c r="I97" t="s">
        <v>1382</v>
      </c>
      <c r="J97" t="s">
        <v>1382</v>
      </c>
      <c r="K97" t="s">
        <v>1382</v>
      </c>
      <c r="L97">
        <v>3.9</v>
      </c>
      <c r="M97">
        <v>7.73</v>
      </c>
      <c r="N97">
        <v>0</v>
      </c>
      <c r="O97" s="54"/>
      <c r="P97" s="54"/>
      <c r="Q97">
        <v>5</v>
      </c>
      <c r="R97">
        <v>14</v>
      </c>
      <c r="S97">
        <v>37</v>
      </c>
      <c r="T97">
        <v>20</v>
      </c>
      <c r="U97">
        <v>17</v>
      </c>
      <c r="V97">
        <v>1</v>
      </c>
      <c r="X97" t="s">
        <v>3906</v>
      </c>
      <c r="AA97">
        <v>1.33</v>
      </c>
      <c r="AB97">
        <v>74</v>
      </c>
      <c r="AC97">
        <v>0</v>
      </c>
      <c r="AD97">
        <v>0.19</v>
      </c>
      <c r="AE97">
        <v>0.19</v>
      </c>
      <c r="AF97">
        <v>0</v>
      </c>
      <c r="AG97">
        <v>0</v>
      </c>
      <c r="AJ97" s="54"/>
      <c r="AK97" s="54"/>
      <c r="AL97" s="54">
        <v>42849</v>
      </c>
      <c r="AO97">
        <v>1</v>
      </c>
      <c r="AP97" t="s">
        <v>1383</v>
      </c>
      <c r="AR97">
        <v>1</v>
      </c>
      <c r="AS97" t="s">
        <v>1384</v>
      </c>
      <c r="AT97">
        <v>1</v>
      </c>
      <c r="AV97">
        <v>0</v>
      </c>
      <c r="AW97">
        <v>0</v>
      </c>
      <c r="AX97">
        <v>0</v>
      </c>
      <c r="AY97" t="s">
        <v>1385</v>
      </c>
      <c r="AZ97" t="s">
        <v>1385</v>
      </c>
      <c r="BA97">
        <v>20</v>
      </c>
      <c r="BD97">
        <v>1000000000</v>
      </c>
      <c r="BE97">
        <v>1</v>
      </c>
      <c r="BF97">
        <v>0</v>
      </c>
      <c r="BG97">
        <v>0</v>
      </c>
      <c r="BH97">
        <v>0</v>
      </c>
      <c r="BI97">
        <v>0</v>
      </c>
      <c r="BJ97">
        <v>0</v>
      </c>
      <c r="BK97">
        <v>0</v>
      </c>
      <c r="BL97">
        <v>0</v>
      </c>
      <c r="BM97">
        <v>1</v>
      </c>
      <c r="BN97">
        <v>0</v>
      </c>
      <c r="BR97">
        <v>0</v>
      </c>
      <c r="BS97">
        <v>0</v>
      </c>
      <c r="BX97">
        <v>0</v>
      </c>
      <c r="BY97">
        <v>0</v>
      </c>
      <c r="BZ97">
        <v>0</v>
      </c>
      <c r="CA97">
        <v>0</v>
      </c>
      <c r="CC97">
        <v>0</v>
      </c>
      <c r="CD97" s="54">
        <v>42991</v>
      </c>
      <c r="CE97" s="54"/>
      <c r="CF97" s="54">
        <v>42991</v>
      </c>
      <c r="CG97" s="54">
        <v>43250</v>
      </c>
      <c r="CH97" s="54">
        <v>0</v>
      </c>
      <c r="CI97" s="54">
        <v>0</v>
      </c>
      <c r="CJ97">
        <v>0.52</v>
      </c>
      <c r="CK97">
        <v>0</v>
      </c>
      <c r="CL97">
        <v>0</v>
      </c>
      <c r="CM97">
        <v>0</v>
      </c>
      <c r="CN97">
        <v>0</v>
      </c>
      <c r="CO97">
        <v>0</v>
      </c>
      <c r="CP97">
        <v>0.85</v>
      </c>
      <c r="CQ97" t="s">
        <v>1144</v>
      </c>
      <c r="CR97" t="s">
        <v>1143</v>
      </c>
      <c r="CS97" t="s">
        <v>3665</v>
      </c>
      <c r="CT97" t="s">
        <v>1403</v>
      </c>
      <c r="CU97" t="s">
        <v>3666</v>
      </c>
      <c r="CV97" t="s">
        <v>3923</v>
      </c>
      <c r="CW97" t="s">
        <v>3868</v>
      </c>
      <c r="CX97" t="s">
        <v>849</v>
      </c>
      <c r="DC97" t="s">
        <v>3869</v>
      </c>
      <c r="DE97" t="s">
        <v>3870</v>
      </c>
      <c r="DH97" s="54"/>
      <c r="DI97" s="54"/>
    </row>
    <row r="98" spans="1:113" x14ac:dyDescent="0.25">
      <c r="A98" t="s">
        <v>1021</v>
      </c>
      <c r="B98">
        <v>5</v>
      </c>
      <c r="C98" s="54">
        <v>43208</v>
      </c>
      <c r="D98" t="s">
        <v>1143</v>
      </c>
      <c r="E98" t="s">
        <v>1432</v>
      </c>
      <c r="G98" t="s">
        <v>3924</v>
      </c>
      <c r="H98" t="s">
        <v>1382</v>
      </c>
      <c r="I98" t="s">
        <v>1382</v>
      </c>
      <c r="J98" t="s">
        <v>1382</v>
      </c>
      <c r="K98" t="s">
        <v>1382</v>
      </c>
      <c r="L98">
        <v>5.0999999999999996</v>
      </c>
      <c r="M98">
        <v>10.14</v>
      </c>
      <c r="N98">
        <v>0</v>
      </c>
      <c r="O98" s="54"/>
      <c r="P98" s="54"/>
      <c r="Q98">
        <v>5</v>
      </c>
      <c r="R98">
        <v>14</v>
      </c>
      <c r="S98">
        <v>37</v>
      </c>
      <c r="T98">
        <v>20</v>
      </c>
      <c r="U98">
        <v>17</v>
      </c>
      <c r="V98">
        <v>1</v>
      </c>
      <c r="W98" t="s">
        <v>1391</v>
      </c>
      <c r="X98" t="s">
        <v>3906</v>
      </c>
      <c r="Z98" t="s">
        <v>3693</v>
      </c>
      <c r="AA98">
        <v>0.17</v>
      </c>
      <c r="AB98">
        <v>10</v>
      </c>
      <c r="AC98">
        <v>7.35</v>
      </c>
      <c r="AD98">
        <v>2.94</v>
      </c>
      <c r="AE98">
        <v>1.47</v>
      </c>
      <c r="AF98">
        <v>0</v>
      </c>
      <c r="AG98">
        <v>0</v>
      </c>
      <c r="AJ98" s="54"/>
      <c r="AK98" s="54"/>
      <c r="AL98" s="54">
        <v>42849</v>
      </c>
      <c r="AO98">
        <v>1</v>
      </c>
      <c r="AP98" t="s">
        <v>1383</v>
      </c>
      <c r="AR98">
        <v>1</v>
      </c>
      <c r="AS98" t="s">
        <v>1384</v>
      </c>
      <c r="AT98">
        <v>1</v>
      </c>
      <c r="AV98">
        <v>5</v>
      </c>
      <c r="AW98">
        <v>3</v>
      </c>
      <c r="AX98">
        <v>2</v>
      </c>
      <c r="AY98" t="s">
        <v>1394</v>
      </c>
      <c r="AZ98" t="s">
        <v>1394</v>
      </c>
      <c r="BA98">
        <v>10</v>
      </c>
      <c r="BD98">
        <v>1000000000</v>
      </c>
      <c r="BE98">
        <v>2</v>
      </c>
      <c r="BF98">
        <v>0.6</v>
      </c>
      <c r="BG98">
        <v>0</v>
      </c>
      <c r="BH98">
        <v>0</v>
      </c>
      <c r="BI98">
        <v>0</v>
      </c>
      <c r="BJ98">
        <v>0</v>
      </c>
      <c r="BK98">
        <v>0</v>
      </c>
      <c r="BL98">
        <v>0</v>
      </c>
      <c r="BM98">
        <v>2</v>
      </c>
      <c r="BN98">
        <v>0.6</v>
      </c>
      <c r="BR98">
        <v>3</v>
      </c>
      <c r="BS98">
        <v>2</v>
      </c>
      <c r="BX98">
        <v>0</v>
      </c>
      <c r="BY98">
        <v>0</v>
      </c>
      <c r="BZ98">
        <v>0</v>
      </c>
      <c r="CA98">
        <v>1.28</v>
      </c>
      <c r="CC98">
        <v>1</v>
      </c>
      <c r="CD98" s="54">
        <v>42991</v>
      </c>
      <c r="CE98" s="54"/>
      <c r="CF98" s="54">
        <v>42991</v>
      </c>
      <c r="CG98" s="54">
        <v>43250</v>
      </c>
      <c r="CH98" s="54">
        <v>43132</v>
      </c>
      <c r="CI98" s="54">
        <v>43195</v>
      </c>
      <c r="CJ98">
        <v>0.33</v>
      </c>
      <c r="CK98">
        <v>0</v>
      </c>
      <c r="CL98">
        <v>0</v>
      </c>
      <c r="CM98">
        <v>0.21</v>
      </c>
      <c r="CN98">
        <v>0.15</v>
      </c>
      <c r="CO98">
        <v>0.49</v>
      </c>
      <c r="CP98">
        <v>0</v>
      </c>
      <c r="CQ98" t="s">
        <v>1144</v>
      </c>
      <c r="CR98" t="s">
        <v>1143</v>
      </c>
      <c r="CS98" t="s">
        <v>3665</v>
      </c>
      <c r="CT98" t="s">
        <v>1403</v>
      </c>
      <c r="CU98" t="s">
        <v>3666</v>
      </c>
      <c r="CV98" t="s">
        <v>3925</v>
      </c>
      <c r="CW98" t="s">
        <v>3926</v>
      </c>
      <c r="CX98" t="s">
        <v>849</v>
      </c>
      <c r="DC98" t="s">
        <v>3771</v>
      </c>
      <c r="DE98" t="s">
        <v>3870</v>
      </c>
      <c r="DG98" t="s">
        <v>3678</v>
      </c>
      <c r="DH98" s="54">
        <v>43251</v>
      </c>
      <c r="DI98" s="54">
        <v>43272</v>
      </c>
    </row>
    <row r="99" spans="1:113" x14ac:dyDescent="0.25">
      <c r="A99" t="s">
        <v>1021</v>
      </c>
      <c r="B99">
        <v>5</v>
      </c>
      <c r="C99" s="54">
        <v>43208</v>
      </c>
      <c r="D99" t="s">
        <v>1143</v>
      </c>
      <c r="E99" t="s">
        <v>2891</v>
      </c>
      <c r="G99" t="s">
        <v>3927</v>
      </c>
      <c r="H99" t="s">
        <v>1382</v>
      </c>
      <c r="I99" t="s">
        <v>1382</v>
      </c>
      <c r="J99" t="s">
        <v>1382</v>
      </c>
      <c r="K99" t="s">
        <v>1382</v>
      </c>
      <c r="L99">
        <v>54.43</v>
      </c>
      <c r="M99">
        <v>120.37</v>
      </c>
      <c r="N99">
        <v>0</v>
      </c>
      <c r="O99" s="54"/>
      <c r="P99" s="54"/>
      <c r="Q99">
        <v>5</v>
      </c>
      <c r="R99">
        <v>14</v>
      </c>
      <c r="S99">
        <v>37</v>
      </c>
      <c r="T99">
        <v>20</v>
      </c>
      <c r="U99">
        <v>17</v>
      </c>
      <c r="V99">
        <v>1</v>
      </c>
      <c r="X99" t="s">
        <v>3876</v>
      </c>
      <c r="AA99">
        <v>0.04</v>
      </c>
      <c r="AB99">
        <v>3</v>
      </c>
      <c r="AC99">
        <v>31.25</v>
      </c>
      <c r="AD99">
        <v>106.25</v>
      </c>
      <c r="AE99">
        <v>6.25</v>
      </c>
      <c r="AF99">
        <v>0</v>
      </c>
      <c r="AG99">
        <v>0</v>
      </c>
      <c r="AJ99" s="54"/>
      <c r="AK99" s="54"/>
      <c r="AL99" s="54">
        <v>42849</v>
      </c>
      <c r="AO99">
        <v>1</v>
      </c>
      <c r="AP99" t="s">
        <v>1383</v>
      </c>
      <c r="AR99">
        <v>1</v>
      </c>
      <c r="AS99" t="s">
        <v>1384</v>
      </c>
      <c r="AT99">
        <v>1</v>
      </c>
      <c r="AV99">
        <v>5</v>
      </c>
      <c r="AW99">
        <v>3</v>
      </c>
      <c r="AX99">
        <v>2</v>
      </c>
      <c r="AY99" t="s">
        <v>1389</v>
      </c>
      <c r="AZ99" t="s">
        <v>1389</v>
      </c>
      <c r="BA99">
        <v>15</v>
      </c>
      <c r="BD99">
        <v>1000000000</v>
      </c>
      <c r="BE99">
        <v>17</v>
      </c>
      <c r="BF99">
        <v>-2.4</v>
      </c>
      <c r="BG99">
        <v>0</v>
      </c>
      <c r="BH99">
        <v>0</v>
      </c>
      <c r="BI99">
        <v>0</v>
      </c>
      <c r="BJ99">
        <v>0</v>
      </c>
      <c r="BK99">
        <v>0</v>
      </c>
      <c r="BL99">
        <v>0</v>
      </c>
      <c r="BM99">
        <v>17</v>
      </c>
      <c r="BN99">
        <v>-2.4</v>
      </c>
      <c r="BR99">
        <v>0</v>
      </c>
      <c r="BS99">
        <v>2</v>
      </c>
      <c r="BX99">
        <v>0</v>
      </c>
      <c r="BY99">
        <v>653.16</v>
      </c>
      <c r="BZ99">
        <v>0</v>
      </c>
      <c r="CA99">
        <v>1.57</v>
      </c>
      <c r="CC99">
        <v>0</v>
      </c>
      <c r="CD99" s="54">
        <v>43132</v>
      </c>
      <c r="CE99" s="54"/>
      <c r="CF99" s="54">
        <v>43132</v>
      </c>
      <c r="CG99" s="54">
        <v>43391</v>
      </c>
      <c r="CH99" s="54">
        <v>43007</v>
      </c>
      <c r="CI99" s="54">
        <v>43122</v>
      </c>
      <c r="CJ99">
        <v>0.02</v>
      </c>
      <c r="CK99">
        <v>0</v>
      </c>
      <c r="CL99">
        <v>0</v>
      </c>
      <c r="CM99">
        <v>0</v>
      </c>
      <c r="CN99">
        <v>0</v>
      </c>
      <c r="CO99">
        <v>0</v>
      </c>
      <c r="CP99">
        <v>0.34</v>
      </c>
      <c r="CQ99" t="s">
        <v>1144</v>
      </c>
      <c r="CR99" t="s">
        <v>1143</v>
      </c>
      <c r="CS99" t="s">
        <v>3665</v>
      </c>
      <c r="CT99" t="s">
        <v>1403</v>
      </c>
      <c r="CU99" t="s">
        <v>3666</v>
      </c>
      <c r="CV99" t="s">
        <v>3928</v>
      </c>
      <c r="CW99" t="s">
        <v>3868</v>
      </c>
      <c r="CX99" t="s">
        <v>849</v>
      </c>
      <c r="DC99" t="s">
        <v>3869</v>
      </c>
      <c r="DE99" t="s">
        <v>3870</v>
      </c>
      <c r="DG99" t="s">
        <v>1400</v>
      </c>
      <c r="DH99" s="54">
        <v>43126</v>
      </c>
      <c r="DI99" s="54">
        <v>43147</v>
      </c>
    </row>
    <row r="100" spans="1:113" x14ac:dyDescent="0.25">
      <c r="A100" t="s">
        <v>1021</v>
      </c>
      <c r="B100">
        <v>5</v>
      </c>
      <c r="C100" s="54">
        <v>43208</v>
      </c>
      <c r="D100" t="s">
        <v>1143</v>
      </c>
      <c r="E100" t="s">
        <v>2892</v>
      </c>
      <c r="G100" t="s">
        <v>3929</v>
      </c>
      <c r="H100" t="s">
        <v>1382</v>
      </c>
      <c r="I100" t="s">
        <v>1382</v>
      </c>
      <c r="J100" t="s">
        <v>1382</v>
      </c>
      <c r="K100" t="s">
        <v>1382</v>
      </c>
      <c r="L100">
        <v>2</v>
      </c>
      <c r="M100">
        <v>18.59</v>
      </c>
      <c r="N100">
        <v>0</v>
      </c>
      <c r="O100" s="54"/>
      <c r="P100" s="54"/>
      <c r="Q100">
        <v>5</v>
      </c>
      <c r="R100">
        <v>14</v>
      </c>
      <c r="S100">
        <v>37</v>
      </c>
      <c r="T100">
        <v>20</v>
      </c>
      <c r="U100">
        <v>17</v>
      </c>
      <c r="V100">
        <v>1</v>
      </c>
      <c r="X100" t="s">
        <v>3930</v>
      </c>
      <c r="AA100">
        <v>0.92</v>
      </c>
      <c r="AB100">
        <v>52</v>
      </c>
      <c r="AC100">
        <v>0</v>
      </c>
      <c r="AD100">
        <v>5.98</v>
      </c>
      <c r="AE100">
        <v>0.27</v>
      </c>
      <c r="AF100">
        <v>0</v>
      </c>
      <c r="AG100">
        <v>0</v>
      </c>
      <c r="AJ100" s="54"/>
      <c r="AK100" s="54"/>
      <c r="AL100" s="54">
        <v>42849</v>
      </c>
      <c r="AO100">
        <v>1</v>
      </c>
      <c r="AP100" t="s">
        <v>1383</v>
      </c>
      <c r="AR100">
        <v>1</v>
      </c>
      <c r="AS100" t="s">
        <v>1384</v>
      </c>
      <c r="AT100">
        <v>1</v>
      </c>
      <c r="AV100">
        <v>0</v>
      </c>
      <c r="AW100">
        <v>0</v>
      </c>
      <c r="AX100">
        <v>0</v>
      </c>
      <c r="AY100" t="s">
        <v>1385</v>
      </c>
      <c r="AZ100" t="s">
        <v>1385</v>
      </c>
      <c r="BA100">
        <v>20</v>
      </c>
      <c r="BD100">
        <v>1000000000</v>
      </c>
      <c r="BE100">
        <v>22</v>
      </c>
      <c r="BF100">
        <v>0</v>
      </c>
      <c r="BG100">
        <v>0</v>
      </c>
      <c r="BH100">
        <v>0</v>
      </c>
      <c r="BI100">
        <v>0</v>
      </c>
      <c r="BJ100">
        <v>0</v>
      </c>
      <c r="BK100">
        <v>0</v>
      </c>
      <c r="BL100">
        <v>0</v>
      </c>
      <c r="BM100">
        <v>22</v>
      </c>
      <c r="BN100">
        <v>0</v>
      </c>
      <c r="BR100">
        <v>0</v>
      </c>
      <c r="BS100">
        <v>0</v>
      </c>
      <c r="BX100">
        <v>0</v>
      </c>
      <c r="BY100">
        <v>0</v>
      </c>
      <c r="BZ100">
        <v>0</v>
      </c>
      <c r="CA100">
        <v>0</v>
      </c>
      <c r="CC100">
        <v>1</v>
      </c>
      <c r="CD100" s="54">
        <v>42815</v>
      </c>
      <c r="CE100" s="54"/>
      <c r="CF100" s="54">
        <v>42949</v>
      </c>
      <c r="CG100" s="54">
        <v>43208</v>
      </c>
      <c r="CH100" s="54">
        <v>42768</v>
      </c>
      <c r="CI100" s="54">
        <v>42880</v>
      </c>
      <c r="CJ100">
        <v>0.52</v>
      </c>
      <c r="CK100">
        <v>0</v>
      </c>
      <c r="CL100">
        <v>0.05</v>
      </c>
      <c r="CM100">
        <v>0</v>
      </c>
      <c r="CN100">
        <v>0</v>
      </c>
      <c r="CO100">
        <v>0</v>
      </c>
      <c r="CP100">
        <v>0.92</v>
      </c>
      <c r="CQ100" t="s">
        <v>1144</v>
      </c>
      <c r="CR100" t="s">
        <v>1143</v>
      </c>
      <c r="CS100" t="s">
        <v>3665</v>
      </c>
      <c r="CT100" t="s">
        <v>1403</v>
      </c>
      <c r="CU100" t="s">
        <v>3666</v>
      </c>
      <c r="CV100" t="s">
        <v>3931</v>
      </c>
      <c r="CW100" t="s">
        <v>3868</v>
      </c>
      <c r="CX100" t="s">
        <v>849</v>
      </c>
      <c r="DC100" t="s">
        <v>3869</v>
      </c>
      <c r="DE100" t="s">
        <v>3870</v>
      </c>
      <c r="DH100" s="54">
        <v>42887</v>
      </c>
      <c r="DI100" s="54">
        <v>42908</v>
      </c>
    </row>
    <row r="101" spans="1:113" x14ac:dyDescent="0.25">
      <c r="A101" t="s">
        <v>1021</v>
      </c>
      <c r="B101">
        <v>34</v>
      </c>
      <c r="C101" s="54">
        <v>43208</v>
      </c>
      <c r="D101" t="s">
        <v>1143</v>
      </c>
      <c r="E101" t="s">
        <v>2893</v>
      </c>
      <c r="G101" t="s">
        <v>3932</v>
      </c>
      <c r="H101" t="s">
        <v>1382</v>
      </c>
      <c r="I101" t="s">
        <v>1382</v>
      </c>
      <c r="J101" t="s">
        <v>1382</v>
      </c>
      <c r="K101" t="s">
        <v>1382</v>
      </c>
      <c r="L101">
        <v>9.65</v>
      </c>
      <c r="M101">
        <v>21.05</v>
      </c>
      <c r="N101">
        <v>0</v>
      </c>
      <c r="O101" s="54"/>
      <c r="P101" s="54"/>
      <c r="Q101">
        <v>5</v>
      </c>
      <c r="R101">
        <v>14</v>
      </c>
      <c r="S101">
        <v>37</v>
      </c>
      <c r="T101">
        <v>20</v>
      </c>
      <c r="U101">
        <v>17</v>
      </c>
      <c r="V101">
        <v>1</v>
      </c>
      <c r="X101" t="s">
        <v>3673</v>
      </c>
      <c r="AA101">
        <v>0.04</v>
      </c>
      <c r="AB101">
        <v>3</v>
      </c>
      <c r="AC101">
        <v>31.25</v>
      </c>
      <c r="AD101">
        <v>50</v>
      </c>
      <c r="AE101">
        <v>6.25</v>
      </c>
      <c r="AF101">
        <v>0</v>
      </c>
      <c r="AG101">
        <v>0</v>
      </c>
      <c r="AJ101" s="54"/>
      <c r="AK101" s="54"/>
      <c r="AL101" s="54"/>
      <c r="AO101">
        <v>1</v>
      </c>
      <c r="AP101" t="s">
        <v>1383</v>
      </c>
      <c r="AR101">
        <v>1</v>
      </c>
      <c r="AS101" t="s">
        <v>1384</v>
      </c>
      <c r="AT101">
        <v>1</v>
      </c>
      <c r="AV101">
        <v>5</v>
      </c>
      <c r="AW101">
        <v>3</v>
      </c>
      <c r="AX101">
        <v>2</v>
      </c>
      <c r="AY101" t="s">
        <v>1389</v>
      </c>
      <c r="AZ101" t="s">
        <v>1389</v>
      </c>
      <c r="BA101">
        <v>0</v>
      </c>
      <c r="BD101">
        <v>1000000000</v>
      </c>
      <c r="BE101">
        <v>8</v>
      </c>
      <c r="BF101">
        <v>-0.6</v>
      </c>
      <c r="BG101">
        <v>0</v>
      </c>
      <c r="BH101">
        <v>0</v>
      </c>
      <c r="BI101">
        <v>0</v>
      </c>
      <c r="BJ101">
        <v>0</v>
      </c>
      <c r="BK101">
        <v>0</v>
      </c>
      <c r="BL101">
        <v>0</v>
      </c>
      <c r="BM101">
        <v>8</v>
      </c>
      <c r="BN101">
        <v>-0.6</v>
      </c>
      <c r="BR101">
        <v>0</v>
      </c>
      <c r="BS101">
        <v>2</v>
      </c>
      <c r="BX101">
        <v>0</v>
      </c>
      <c r="BY101">
        <v>28.95</v>
      </c>
      <c r="BZ101">
        <v>0</v>
      </c>
      <c r="CA101">
        <v>1.53</v>
      </c>
      <c r="CC101">
        <v>0</v>
      </c>
      <c r="CD101" s="54">
        <v>42836</v>
      </c>
      <c r="CE101" s="54"/>
      <c r="CF101" s="54">
        <v>42949</v>
      </c>
      <c r="CG101" s="54">
        <v>43208</v>
      </c>
      <c r="CH101" s="54">
        <v>0</v>
      </c>
      <c r="CI101" s="54">
        <v>0</v>
      </c>
      <c r="CJ101">
        <v>0.05</v>
      </c>
      <c r="CK101">
        <v>0</v>
      </c>
      <c r="CL101">
        <v>0</v>
      </c>
      <c r="CM101">
        <v>0</v>
      </c>
      <c r="CN101">
        <v>0</v>
      </c>
      <c r="CO101">
        <v>0</v>
      </c>
      <c r="CP101">
        <v>0.94</v>
      </c>
      <c r="CQ101" t="s">
        <v>1144</v>
      </c>
      <c r="CR101" t="s">
        <v>1143</v>
      </c>
      <c r="CS101" t="s">
        <v>3674</v>
      </c>
      <c r="CT101" t="s">
        <v>1403</v>
      </c>
      <c r="CU101" t="s">
        <v>3666</v>
      </c>
      <c r="CV101" t="s">
        <v>3933</v>
      </c>
      <c r="CW101" t="s">
        <v>3874</v>
      </c>
      <c r="CX101" t="s">
        <v>849</v>
      </c>
      <c r="DC101" t="s">
        <v>3677</v>
      </c>
      <c r="DE101" t="s">
        <v>3870</v>
      </c>
      <c r="DG101" t="s">
        <v>1400</v>
      </c>
      <c r="DH101" s="54"/>
      <c r="DI101" s="54"/>
    </row>
    <row r="102" spans="1:113" x14ac:dyDescent="0.25">
      <c r="A102" t="s">
        <v>1021</v>
      </c>
      <c r="B102">
        <v>5</v>
      </c>
      <c r="C102" s="54">
        <v>43208</v>
      </c>
      <c r="D102" t="s">
        <v>1143</v>
      </c>
      <c r="E102" t="s">
        <v>2894</v>
      </c>
      <c r="G102" t="s">
        <v>3934</v>
      </c>
      <c r="H102" t="s">
        <v>1382</v>
      </c>
      <c r="I102" t="s">
        <v>1382</v>
      </c>
      <c r="J102" t="s">
        <v>1382</v>
      </c>
      <c r="K102" t="s">
        <v>1382</v>
      </c>
      <c r="L102">
        <v>20.02</v>
      </c>
      <c r="M102">
        <v>44.46</v>
      </c>
      <c r="N102">
        <v>0</v>
      </c>
      <c r="O102" s="54"/>
      <c r="P102" s="54"/>
      <c r="Q102">
        <v>5</v>
      </c>
      <c r="R102">
        <v>14</v>
      </c>
      <c r="S102">
        <v>37</v>
      </c>
      <c r="T102">
        <v>20</v>
      </c>
      <c r="U102">
        <v>17</v>
      </c>
      <c r="V102">
        <v>1</v>
      </c>
      <c r="W102" t="s">
        <v>1391</v>
      </c>
      <c r="X102" t="s">
        <v>3876</v>
      </c>
      <c r="AA102">
        <v>0.88</v>
      </c>
      <c r="AB102">
        <v>49</v>
      </c>
      <c r="AC102">
        <v>22.73</v>
      </c>
      <c r="AD102">
        <v>23.3</v>
      </c>
      <c r="AE102">
        <v>0.28000000000000003</v>
      </c>
      <c r="AF102">
        <v>0</v>
      </c>
      <c r="AG102">
        <v>0</v>
      </c>
      <c r="AJ102" s="54"/>
      <c r="AK102" s="54"/>
      <c r="AL102" s="54">
        <v>42849</v>
      </c>
      <c r="AO102">
        <v>1</v>
      </c>
      <c r="AP102" t="s">
        <v>1383</v>
      </c>
      <c r="AR102">
        <v>1</v>
      </c>
      <c r="AS102" t="s">
        <v>1384</v>
      </c>
      <c r="AT102">
        <v>1</v>
      </c>
      <c r="AV102">
        <v>80</v>
      </c>
      <c r="AW102">
        <v>53</v>
      </c>
      <c r="AX102">
        <v>26</v>
      </c>
      <c r="AY102" t="s">
        <v>1394</v>
      </c>
      <c r="AZ102" t="s">
        <v>1389</v>
      </c>
      <c r="BA102">
        <v>20</v>
      </c>
      <c r="BD102">
        <v>1000000000</v>
      </c>
      <c r="BE102">
        <v>2</v>
      </c>
      <c r="BF102">
        <v>0.98</v>
      </c>
      <c r="BG102">
        <v>80</v>
      </c>
      <c r="BH102">
        <v>0</v>
      </c>
      <c r="BI102">
        <v>0</v>
      </c>
      <c r="BJ102">
        <v>0</v>
      </c>
      <c r="BK102">
        <v>0</v>
      </c>
      <c r="BL102">
        <v>0</v>
      </c>
      <c r="BM102">
        <v>82</v>
      </c>
      <c r="BN102">
        <v>-0.03</v>
      </c>
      <c r="BR102">
        <v>0</v>
      </c>
      <c r="BS102">
        <v>37</v>
      </c>
      <c r="BX102">
        <v>586.55999999999995</v>
      </c>
      <c r="BY102">
        <v>0</v>
      </c>
      <c r="BZ102">
        <v>0</v>
      </c>
      <c r="CA102">
        <v>1.58</v>
      </c>
      <c r="CC102">
        <v>0</v>
      </c>
      <c r="CD102" s="54">
        <v>43132</v>
      </c>
      <c r="CE102" s="54"/>
      <c r="CF102" s="54">
        <v>43132</v>
      </c>
      <c r="CG102" s="54">
        <v>43391</v>
      </c>
      <c r="CH102" s="54">
        <v>43195</v>
      </c>
      <c r="CI102" s="54">
        <v>43195</v>
      </c>
      <c r="CJ102">
        <v>0.16</v>
      </c>
      <c r="CK102">
        <v>0</v>
      </c>
      <c r="CL102">
        <v>0</v>
      </c>
      <c r="CM102">
        <v>0.34</v>
      </c>
      <c r="CN102">
        <v>0</v>
      </c>
      <c r="CO102">
        <v>0</v>
      </c>
      <c r="CP102">
        <v>0</v>
      </c>
      <c r="CQ102" t="s">
        <v>1144</v>
      </c>
      <c r="CR102" t="s">
        <v>1143</v>
      </c>
      <c r="CS102" t="s">
        <v>3665</v>
      </c>
      <c r="CT102" t="s">
        <v>1403</v>
      </c>
      <c r="CU102" t="s">
        <v>3666</v>
      </c>
      <c r="CV102" t="s">
        <v>3935</v>
      </c>
      <c r="CW102" t="s">
        <v>3868</v>
      </c>
      <c r="CX102" t="s">
        <v>849</v>
      </c>
      <c r="DC102" t="s">
        <v>3869</v>
      </c>
      <c r="DE102" t="s">
        <v>3870</v>
      </c>
      <c r="DG102" t="s">
        <v>1400</v>
      </c>
      <c r="DH102" s="54">
        <v>43314</v>
      </c>
      <c r="DI102" s="54">
        <v>43335</v>
      </c>
    </row>
    <row r="103" spans="1:113" x14ac:dyDescent="0.25">
      <c r="A103" t="s">
        <v>1021</v>
      </c>
      <c r="B103">
        <v>5</v>
      </c>
      <c r="C103" s="54">
        <v>43208</v>
      </c>
      <c r="D103" t="s">
        <v>1143</v>
      </c>
      <c r="E103" t="s">
        <v>1433</v>
      </c>
      <c r="G103" t="s">
        <v>3936</v>
      </c>
      <c r="H103" t="s">
        <v>1382</v>
      </c>
      <c r="I103" t="s">
        <v>1382</v>
      </c>
      <c r="J103" t="s">
        <v>1382</v>
      </c>
      <c r="K103" t="s">
        <v>1382</v>
      </c>
      <c r="L103">
        <v>16.25</v>
      </c>
      <c r="M103">
        <v>34.33</v>
      </c>
      <c r="N103">
        <v>0</v>
      </c>
      <c r="O103" s="54"/>
      <c r="P103" s="54"/>
      <c r="Q103">
        <v>5</v>
      </c>
      <c r="R103">
        <v>14</v>
      </c>
      <c r="S103">
        <v>37</v>
      </c>
      <c r="T103">
        <v>20</v>
      </c>
      <c r="U103">
        <v>17</v>
      </c>
      <c r="V103">
        <v>1</v>
      </c>
      <c r="W103" t="s">
        <v>1391</v>
      </c>
      <c r="X103" t="s">
        <v>3866</v>
      </c>
      <c r="AA103">
        <v>1.17</v>
      </c>
      <c r="AB103">
        <v>65</v>
      </c>
      <c r="AC103">
        <v>42.74</v>
      </c>
      <c r="AD103">
        <v>18.16</v>
      </c>
      <c r="AE103">
        <v>0.21</v>
      </c>
      <c r="AF103">
        <v>0</v>
      </c>
      <c r="AG103">
        <v>0</v>
      </c>
      <c r="AJ103" s="54"/>
      <c r="AK103" s="54"/>
      <c r="AL103" s="54">
        <v>42849</v>
      </c>
      <c r="AO103">
        <v>1</v>
      </c>
      <c r="AP103" t="s">
        <v>1383</v>
      </c>
      <c r="AR103">
        <v>1</v>
      </c>
      <c r="AS103" t="s">
        <v>1384</v>
      </c>
      <c r="AT103">
        <v>1</v>
      </c>
      <c r="AV103">
        <v>200</v>
      </c>
      <c r="AW103">
        <v>133</v>
      </c>
      <c r="AX103">
        <v>66</v>
      </c>
      <c r="AY103" t="s">
        <v>1394</v>
      </c>
      <c r="AZ103" t="s">
        <v>1401</v>
      </c>
      <c r="BA103">
        <v>100</v>
      </c>
      <c r="BD103">
        <v>1000000000</v>
      </c>
      <c r="BE103">
        <v>45</v>
      </c>
      <c r="BF103">
        <v>0.78</v>
      </c>
      <c r="BG103">
        <v>40</v>
      </c>
      <c r="BH103">
        <v>0</v>
      </c>
      <c r="BI103">
        <v>0</v>
      </c>
      <c r="BJ103">
        <v>0</v>
      </c>
      <c r="BK103">
        <v>0</v>
      </c>
      <c r="BL103">
        <v>0</v>
      </c>
      <c r="BM103">
        <v>85</v>
      </c>
      <c r="BN103">
        <v>0.57999999999999996</v>
      </c>
      <c r="BR103">
        <v>115</v>
      </c>
      <c r="BS103">
        <v>92</v>
      </c>
      <c r="BX103">
        <v>379.68</v>
      </c>
      <c r="BY103">
        <v>0</v>
      </c>
      <c r="BZ103">
        <v>0</v>
      </c>
      <c r="CA103">
        <v>1.44</v>
      </c>
      <c r="CC103">
        <v>0.48</v>
      </c>
      <c r="CD103" s="54">
        <v>43160</v>
      </c>
      <c r="CE103" s="54"/>
      <c r="CF103" s="54">
        <v>43160</v>
      </c>
      <c r="CG103" s="54">
        <v>43419</v>
      </c>
      <c r="CH103" s="54">
        <v>43195</v>
      </c>
      <c r="CI103" s="54">
        <v>43195</v>
      </c>
      <c r="CJ103">
        <v>0.01</v>
      </c>
      <c r="CK103">
        <v>0</v>
      </c>
      <c r="CL103">
        <v>0</v>
      </c>
      <c r="CM103">
        <v>0.21</v>
      </c>
      <c r="CN103">
        <v>0</v>
      </c>
      <c r="CO103">
        <v>0</v>
      </c>
      <c r="CP103">
        <v>0</v>
      </c>
      <c r="CQ103" t="s">
        <v>1144</v>
      </c>
      <c r="CR103" t="s">
        <v>1143</v>
      </c>
      <c r="CS103" t="s">
        <v>3665</v>
      </c>
      <c r="CT103" t="s">
        <v>1403</v>
      </c>
      <c r="CU103" t="s">
        <v>3666</v>
      </c>
      <c r="CV103" t="s">
        <v>3937</v>
      </c>
      <c r="CW103" t="s">
        <v>3868</v>
      </c>
      <c r="CX103" t="s">
        <v>849</v>
      </c>
      <c r="DC103" t="s">
        <v>3869</v>
      </c>
      <c r="DE103" t="s">
        <v>3870</v>
      </c>
      <c r="DG103" t="s">
        <v>1400</v>
      </c>
      <c r="DH103" s="54">
        <v>43314</v>
      </c>
      <c r="DI103" s="54">
        <v>43335</v>
      </c>
    </row>
    <row r="104" spans="1:113" x14ac:dyDescent="0.25">
      <c r="A104" t="s">
        <v>1021</v>
      </c>
      <c r="B104">
        <v>5</v>
      </c>
      <c r="C104" s="54">
        <v>43208</v>
      </c>
      <c r="D104" t="s">
        <v>1143</v>
      </c>
      <c r="E104" t="s">
        <v>3938</v>
      </c>
      <c r="G104" t="s">
        <v>3939</v>
      </c>
      <c r="H104" t="s">
        <v>1382</v>
      </c>
      <c r="I104" t="s">
        <v>1382</v>
      </c>
      <c r="J104" t="s">
        <v>1382</v>
      </c>
      <c r="K104" t="s">
        <v>1382</v>
      </c>
      <c r="L104">
        <v>9.0399999999999991</v>
      </c>
      <c r="M104">
        <v>19.760000000000002</v>
      </c>
      <c r="N104">
        <v>0</v>
      </c>
      <c r="O104" s="54"/>
      <c r="P104" s="54"/>
      <c r="Q104">
        <v>5</v>
      </c>
      <c r="R104">
        <v>14</v>
      </c>
      <c r="S104">
        <v>37</v>
      </c>
      <c r="T104">
        <v>20</v>
      </c>
      <c r="U104">
        <v>17</v>
      </c>
      <c r="V104">
        <v>1</v>
      </c>
      <c r="X104" t="s">
        <v>3940</v>
      </c>
      <c r="AA104">
        <v>0</v>
      </c>
      <c r="AB104">
        <v>0</v>
      </c>
      <c r="AC104">
        <v>0</v>
      </c>
      <c r="AD104">
        <v>0</v>
      </c>
      <c r="AE104">
        <v>0</v>
      </c>
      <c r="AF104">
        <v>0</v>
      </c>
      <c r="AG104">
        <v>0</v>
      </c>
      <c r="AJ104" s="54"/>
      <c r="AK104" s="54"/>
      <c r="AL104" s="54">
        <v>42849</v>
      </c>
      <c r="AO104">
        <v>1</v>
      </c>
      <c r="AP104" t="s">
        <v>1383</v>
      </c>
      <c r="AR104">
        <v>1</v>
      </c>
      <c r="AS104" t="s">
        <v>1384</v>
      </c>
      <c r="AT104">
        <v>1</v>
      </c>
      <c r="AV104">
        <v>5</v>
      </c>
      <c r="AW104">
        <v>3</v>
      </c>
      <c r="AX104">
        <v>2</v>
      </c>
      <c r="AY104" t="s">
        <v>1389</v>
      </c>
      <c r="AZ104" t="s">
        <v>1389</v>
      </c>
      <c r="BA104">
        <v>0</v>
      </c>
      <c r="BD104">
        <v>1000000000</v>
      </c>
      <c r="BE104">
        <v>10</v>
      </c>
      <c r="BF104">
        <v>-1</v>
      </c>
      <c r="BG104">
        <v>0</v>
      </c>
      <c r="BH104">
        <v>0</v>
      </c>
      <c r="BI104">
        <v>0</v>
      </c>
      <c r="BJ104">
        <v>0</v>
      </c>
      <c r="BK104">
        <v>0</v>
      </c>
      <c r="BL104">
        <v>0</v>
      </c>
      <c r="BM104">
        <v>10</v>
      </c>
      <c r="BN104">
        <v>-1</v>
      </c>
      <c r="BR104">
        <v>0</v>
      </c>
      <c r="BS104">
        <v>2</v>
      </c>
      <c r="BX104">
        <v>0</v>
      </c>
      <c r="BY104">
        <v>45.2</v>
      </c>
      <c r="BZ104">
        <v>0</v>
      </c>
      <c r="CA104">
        <v>1.54</v>
      </c>
      <c r="CC104">
        <v>0</v>
      </c>
      <c r="CD104" s="54">
        <v>42423</v>
      </c>
      <c r="CE104" s="54"/>
      <c r="CF104" s="54">
        <v>42949</v>
      </c>
      <c r="CG104" s="54">
        <v>43208</v>
      </c>
      <c r="CH104" s="54">
        <v>0</v>
      </c>
      <c r="CI104" s="54">
        <v>0</v>
      </c>
      <c r="CJ104">
        <v>0.04</v>
      </c>
      <c r="CK104">
        <v>0</v>
      </c>
      <c r="CL104">
        <v>0</v>
      </c>
      <c r="CM104">
        <v>0</v>
      </c>
      <c r="CN104">
        <v>0</v>
      </c>
      <c r="CO104">
        <v>0</v>
      </c>
      <c r="CP104">
        <v>0.97</v>
      </c>
      <c r="CQ104" t="s">
        <v>1144</v>
      </c>
      <c r="CR104" t="s">
        <v>1143</v>
      </c>
      <c r="CS104" t="s">
        <v>3665</v>
      </c>
      <c r="CT104" t="s">
        <v>1403</v>
      </c>
      <c r="CU104" t="s">
        <v>3666</v>
      </c>
      <c r="CV104" t="s">
        <v>3941</v>
      </c>
      <c r="CW104" t="s">
        <v>3868</v>
      </c>
      <c r="CX104" t="s">
        <v>849</v>
      </c>
      <c r="DC104" t="s">
        <v>3869</v>
      </c>
      <c r="DE104" t="s">
        <v>3870</v>
      </c>
      <c r="DG104" t="s">
        <v>1400</v>
      </c>
      <c r="DH104" s="54"/>
      <c r="DI104" s="54"/>
    </row>
    <row r="105" spans="1:113" x14ac:dyDescent="0.25">
      <c r="A105" t="s">
        <v>1021</v>
      </c>
      <c r="B105">
        <v>34</v>
      </c>
      <c r="C105" s="54">
        <v>43208</v>
      </c>
      <c r="D105" t="s">
        <v>1143</v>
      </c>
      <c r="E105" t="s">
        <v>3942</v>
      </c>
      <c r="G105" t="s">
        <v>3943</v>
      </c>
      <c r="H105" t="s">
        <v>1382</v>
      </c>
      <c r="I105" t="s">
        <v>1382</v>
      </c>
      <c r="J105" t="s">
        <v>1382</v>
      </c>
      <c r="K105" t="s">
        <v>1382</v>
      </c>
      <c r="L105">
        <v>27.46</v>
      </c>
      <c r="M105">
        <v>55</v>
      </c>
      <c r="N105">
        <v>0</v>
      </c>
      <c r="O105" s="54"/>
      <c r="P105" s="54"/>
      <c r="Q105">
        <v>5</v>
      </c>
      <c r="R105">
        <v>14</v>
      </c>
      <c r="S105">
        <v>37</v>
      </c>
      <c r="T105">
        <v>20</v>
      </c>
      <c r="U105">
        <v>17</v>
      </c>
      <c r="V105">
        <v>1</v>
      </c>
      <c r="W105" t="s">
        <v>1391</v>
      </c>
      <c r="X105" t="s">
        <v>3673</v>
      </c>
      <c r="AA105">
        <v>0</v>
      </c>
      <c r="AB105">
        <v>0</v>
      </c>
      <c r="AC105">
        <v>0</v>
      </c>
      <c r="AD105">
        <v>0</v>
      </c>
      <c r="AE105">
        <v>0</v>
      </c>
      <c r="AF105">
        <v>21</v>
      </c>
      <c r="AG105">
        <v>0</v>
      </c>
      <c r="AJ105" s="54"/>
      <c r="AK105" s="54"/>
      <c r="AL105" s="54"/>
      <c r="AO105">
        <v>1</v>
      </c>
      <c r="AP105" t="s">
        <v>1383</v>
      </c>
      <c r="AR105">
        <v>1</v>
      </c>
      <c r="AS105" t="s">
        <v>1384</v>
      </c>
      <c r="AT105">
        <v>1</v>
      </c>
      <c r="AV105">
        <v>5</v>
      </c>
      <c r="AW105">
        <v>3</v>
      </c>
      <c r="AX105">
        <v>2</v>
      </c>
      <c r="AY105" t="s">
        <v>838</v>
      </c>
      <c r="AZ105" t="s">
        <v>1389</v>
      </c>
      <c r="BA105">
        <v>0</v>
      </c>
      <c r="BD105">
        <v>1000000000</v>
      </c>
      <c r="BE105">
        <v>0</v>
      </c>
      <c r="BF105">
        <v>1</v>
      </c>
      <c r="BG105">
        <v>12</v>
      </c>
      <c r="BH105">
        <v>0</v>
      </c>
      <c r="BI105">
        <v>0</v>
      </c>
      <c r="BJ105">
        <v>0</v>
      </c>
      <c r="BK105">
        <v>0</v>
      </c>
      <c r="BL105">
        <v>0</v>
      </c>
      <c r="BM105">
        <v>12</v>
      </c>
      <c r="BN105">
        <v>-1.4</v>
      </c>
      <c r="BR105">
        <v>0</v>
      </c>
      <c r="BS105">
        <v>2</v>
      </c>
      <c r="BX105">
        <v>55.08</v>
      </c>
      <c r="BY105">
        <v>0</v>
      </c>
      <c r="BZ105">
        <v>0</v>
      </c>
      <c r="CA105">
        <v>1.3</v>
      </c>
      <c r="CC105">
        <v>0</v>
      </c>
      <c r="CD105" s="54">
        <v>42836</v>
      </c>
      <c r="CE105" s="54"/>
      <c r="CF105" s="54">
        <v>42949</v>
      </c>
      <c r="CG105" s="54">
        <v>43208</v>
      </c>
      <c r="CH105" s="54">
        <v>43195</v>
      </c>
      <c r="CI105" s="54">
        <v>43195</v>
      </c>
      <c r="CJ105">
        <v>3.59</v>
      </c>
      <c r="CK105">
        <v>0</v>
      </c>
      <c r="CL105">
        <v>0.87</v>
      </c>
      <c r="CM105">
        <v>0</v>
      </c>
      <c r="CN105">
        <v>0</v>
      </c>
      <c r="CO105">
        <v>0</v>
      </c>
      <c r="CP105">
        <v>7.0000000000000007E-2</v>
      </c>
      <c r="CQ105" t="s">
        <v>1144</v>
      </c>
      <c r="CR105" t="s">
        <v>1143</v>
      </c>
      <c r="CS105" t="s">
        <v>3674</v>
      </c>
      <c r="CT105" t="s">
        <v>1403</v>
      </c>
      <c r="CU105" t="s">
        <v>3666</v>
      </c>
      <c r="CV105" t="s">
        <v>3944</v>
      </c>
      <c r="CW105" t="s">
        <v>3676</v>
      </c>
      <c r="CX105" t="s">
        <v>3669</v>
      </c>
      <c r="DC105" t="s">
        <v>3677</v>
      </c>
      <c r="DE105" t="s">
        <v>3670</v>
      </c>
      <c r="DG105" t="s">
        <v>1400</v>
      </c>
      <c r="DH105" s="54">
        <v>43314</v>
      </c>
      <c r="DI105" s="54">
        <v>43335</v>
      </c>
    </row>
    <row r="106" spans="1:113" x14ac:dyDescent="0.25">
      <c r="A106" t="s">
        <v>1021</v>
      </c>
      <c r="B106">
        <v>34</v>
      </c>
      <c r="C106" s="54">
        <v>43208</v>
      </c>
      <c r="D106" t="s">
        <v>1143</v>
      </c>
      <c r="E106" t="s">
        <v>2921</v>
      </c>
      <c r="G106" t="s">
        <v>3945</v>
      </c>
      <c r="H106" t="s">
        <v>1382</v>
      </c>
      <c r="I106" t="s">
        <v>1382</v>
      </c>
      <c r="J106" t="s">
        <v>1382</v>
      </c>
      <c r="K106" t="s">
        <v>1382</v>
      </c>
      <c r="L106">
        <v>34.19</v>
      </c>
      <c r="M106">
        <v>60</v>
      </c>
      <c r="N106">
        <v>0</v>
      </c>
      <c r="O106" s="54"/>
      <c r="P106" s="54"/>
      <c r="Q106">
        <v>5</v>
      </c>
      <c r="R106">
        <v>14</v>
      </c>
      <c r="S106">
        <v>37</v>
      </c>
      <c r="T106">
        <v>20</v>
      </c>
      <c r="U106">
        <v>17</v>
      </c>
      <c r="V106">
        <v>1</v>
      </c>
      <c r="X106" t="s">
        <v>3681</v>
      </c>
      <c r="Z106" t="s">
        <v>3693</v>
      </c>
      <c r="AA106">
        <v>1.08</v>
      </c>
      <c r="AB106">
        <v>60</v>
      </c>
      <c r="AC106">
        <v>1.85</v>
      </c>
      <c r="AD106">
        <v>3.01</v>
      </c>
      <c r="AE106">
        <v>0.23</v>
      </c>
      <c r="AF106">
        <v>0</v>
      </c>
      <c r="AG106">
        <v>0</v>
      </c>
      <c r="AJ106" s="54"/>
      <c r="AK106" s="54"/>
      <c r="AL106" s="54"/>
      <c r="AO106">
        <v>1</v>
      </c>
      <c r="AP106" t="s">
        <v>1383</v>
      </c>
      <c r="AR106">
        <v>1</v>
      </c>
      <c r="AS106" t="s">
        <v>1384</v>
      </c>
      <c r="AT106">
        <v>1</v>
      </c>
      <c r="AV106">
        <v>8</v>
      </c>
      <c r="AW106">
        <v>5</v>
      </c>
      <c r="AX106">
        <v>3</v>
      </c>
      <c r="AY106" t="s">
        <v>1389</v>
      </c>
      <c r="AZ106" t="s">
        <v>1389</v>
      </c>
      <c r="BA106">
        <v>10</v>
      </c>
      <c r="BD106">
        <v>1000000000</v>
      </c>
      <c r="BE106">
        <v>13</v>
      </c>
      <c r="BF106">
        <v>-0.63</v>
      </c>
      <c r="BG106">
        <v>0</v>
      </c>
      <c r="BH106">
        <v>0</v>
      </c>
      <c r="BI106">
        <v>0</v>
      </c>
      <c r="BJ106">
        <v>0</v>
      </c>
      <c r="BK106">
        <v>0</v>
      </c>
      <c r="BL106">
        <v>0</v>
      </c>
      <c r="BM106">
        <v>13</v>
      </c>
      <c r="BN106">
        <v>-0.63</v>
      </c>
      <c r="BR106">
        <v>0</v>
      </c>
      <c r="BS106">
        <v>4</v>
      </c>
      <c r="BX106">
        <v>0</v>
      </c>
      <c r="BY106">
        <v>170.95</v>
      </c>
      <c r="BZ106">
        <v>0</v>
      </c>
      <c r="CA106">
        <v>0.98</v>
      </c>
      <c r="CC106">
        <v>1</v>
      </c>
      <c r="CD106" s="54">
        <v>43038</v>
      </c>
      <c r="CE106" s="54"/>
      <c r="CF106" s="54">
        <v>43038</v>
      </c>
      <c r="CG106" s="54">
        <v>43297</v>
      </c>
      <c r="CH106" s="54">
        <v>42816</v>
      </c>
      <c r="CI106" s="54">
        <v>42900</v>
      </c>
      <c r="CJ106">
        <v>0.32</v>
      </c>
      <c r="CK106">
        <v>0</v>
      </c>
      <c r="CL106">
        <v>0</v>
      </c>
      <c r="CM106">
        <v>0</v>
      </c>
      <c r="CN106">
        <v>0</v>
      </c>
      <c r="CO106">
        <v>0</v>
      </c>
      <c r="CP106">
        <v>0.68</v>
      </c>
      <c r="CQ106" t="s">
        <v>1144</v>
      </c>
      <c r="CR106" t="s">
        <v>1143</v>
      </c>
      <c r="CS106" t="s">
        <v>3674</v>
      </c>
      <c r="CT106" t="s">
        <v>1403</v>
      </c>
      <c r="CU106" t="s">
        <v>3666</v>
      </c>
      <c r="CV106" t="s">
        <v>3946</v>
      </c>
      <c r="CW106" t="s">
        <v>3676</v>
      </c>
      <c r="CX106" t="s">
        <v>3669</v>
      </c>
      <c r="DC106" t="s">
        <v>3677</v>
      </c>
      <c r="DE106" t="s">
        <v>3670</v>
      </c>
      <c r="DG106" t="s">
        <v>3678</v>
      </c>
      <c r="DH106" s="54">
        <v>42935</v>
      </c>
      <c r="DI106" s="54">
        <v>42956</v>
      </c>
    </row>
    <row r="107" spans="1:113" x14ac:dyDescent="0.25">
      <c r="A107" t="s">
        <v>1021</v>
      </c>
      <c r="B107">
        <v>34</v>
      </c>
      <c r="C107" s="54">
        <v>43208</v>
      </c>
      <c r="D107" t="s">
        <v>1143</v>
      </c>
      <c r="E107" t="s">
        <v>2946</v>
      </c>
      <c r="G107" t="s">
        <v>3947</v>
      </c>
      <c r="H107" t="s">
        <v>1382</v>
      </c>
      <c r="I107" t="s">
        <v>1382</v>
      </c>
      <c r="J107" t="s">
        <v>1382</v>
      </c>
      <c r="K107" t="s">
        <v>1382</v>
      </c>
      <c r="L107">
        <v>54.39</v>
      </c>
      <c r="M107">
        <v>105.14</v>
      </c>
      <c r="N107">
        <v>0</v>
      </c>
      <c r="O107" s="54"/>
      <c r="P107" s="54"/>
      <c r="Q107">
        <v>5</v>
      </c>
      <c r="R107">
        <v>14</v>
      </c>
      <c r="S107">
        <v>37</v>
      </c>
      <c r="T107">
        <v>20</v>
      </c>
      <c r="U107">
        <v>17</v>
      </c>
      <c r="V107">
        <v>1</v>
      </c>
      <c r="X107" t="s">
        <v>3681</v>
      </c>
      <c r="AA107">
        <v>0.04</v>
      </c>
      <c r="AB107">
        <v>3</v>
      </c>
      <c r="AC107">
        <v>31.25</v>
      </c>
      <c r="AD107">
        <v>43.75</v>
      </c>
      <c r="AE107">
        <v>6.25</v>
      </c>
      <c r="AF107">
        <v>0</v>
      </c>
      <c r="AG107">
        <v>0</v>
      </c>
      <c r="AJ107" s="54"/>
      <c r="AK107" s="54"/>
      <c r="AL107" s="54"/>
      <c r="AO107">
        <v>1</v>
      </c>
      <c r="AP107" t="s">
        <v>1383</v>
      </c>
      <c r="AR107">
        <v>1</v>
      </c>
      <c r="AS107" t="s">
        <v>1384</v>
      </c>
      <c r="AT107">
        <v>1</v>
      </c>
      <c r="AV107">
        <v>5</v>
      </c>
      <c r="AW107">
        <v>3</v>
      </c>
      <c r="AX107">
        <v>2</v>
      </c>
      <c r="AY107" t="s">
        <v>1389</v>
      </c>
      <c r="AZ107" t="s">
        <v>1389</v>
      </c>
      <c r="BA107">
        <v>7</v>
      </c>
      <c r="BD107">
        <v>1000000000</v>
      </c>
      <c r="BE107">
        <v>7</v>
      </c>
      <c r="BF107">
        <v>-0.4</v>
      </c>
      <c r="BG107">
        <v>0</v>
      </c>
      <c r="BH107">
        <v>0</v>
      </c>
      <c r="BI107">
        <v>0</v>
      </c>
      <c r="BJ107">
        <v>0</v>
      </c>
      <c r="BK107">
        <v>0</v>
      </c>
      <c r="BL107">
        <v>0</v>
      </c>
      <c r="BM107">
        <v>7</v>
      </c>
      <c r="BN107">
        <v>-0.4</v>
      </c>
      <c r="BR107">
        <v>0</v>
      </c>
      <c r="BS107">
        <v>2</v>
      </c>
      <c r="BX107">
        <v>0</v>
      </c>
      <c r="BY107">
        <v>108.78</v>
      </c>
      <c r="BZ107">
        <v>0</v>
      </c>
      <c r="CA107">
        <v>1.21</v>
      </c>
      <c r="CC107">
        <v>1</v>
      </c>
      <c r="CD107" s="54">
        <v>43038</v>
      </c>
      <c r="CE107" s="54"/>
      <c r="CF107" s="54">
        <v>43038</v>
      </c>
      <c r="CG107" s="54">
        <v>43297</v>
      </c>
      <c r="CH107" s="54">
        <v>43028</v>
      </c>
      <c r="CI107" s="54">
        <v>43122</v>
      </c>
      <c r="CJ107">
        <v>0.08</v>
      </c>
      <c r="CK107">
        <v>0</v>
      </c>
      <c r="CL107">
        <v>0</v>
      </c>
      <c r="CM107">
        <v>0</v>
      </c>
      <c r="CN107">
        <v>0</v>
      </c>
      <c r="CO107">
        <v>0</v>
      </c>
      <c r="CP107">
        <v>0.68</v>
      </c>
      <c r="CQ107" t="s">
        <v>1144</v>
      </c>
      <c r="CR107" t="s">
        <v>1143</v>
      </c>
      <c r="CS107" t="s">
        <v>3674</v>
      </c>
      <c r="CT107" t="s">
        <v>1403</v>
      </c>
      <c r="CU107" t="s">
        <v>3666</v>
      </c>
      <c r="CV107" t="s">
        <v>3948</v>
      </c>
      <c r="CW107" t="s">
        <v>3676</v>
      </c>
      <c r="CX107" t="s">
        <v>3669</v>
      </c>
      <c r="DC107" t="s">
        <v>3677</v>
      </c>
      <c r="DE107" t="s">
        <v>3670</v>
      </c>
      <c r="DG107" t="s">
        <v>3678</v>
      </c>
      <c r="DH107" s="54">
        <v>43147</v>
      </c>
      <c r="DI107" s="54">
        <v>43168</v>
      </c>
    </row>
    <row r="108" spans="1:113" x14ac:dyDescent="0.25">
      <c r="A108" t="s">
        <v>1021</v>
      </c>
      <c r="B108">
        <v>5</v>
      </c>
      <c r="C108" s="54">
        <v>43208</v>
      </c>
      <c r="D108" t="s">
        <v>1143</v>
      </c>
      <c r="E108" t="s">
        <v>2953</v>
      </c>
      <c r="G108" t="s">
        <v>3949</v>
      </c>
      <c r="H108" t="s">
        <v>1382</v>
      </c>
      <c r="I108" t="s">
        <v>1382</v>
      </c>
      <c r="J108" t="s">
        <v>1382</v>
      </c>
      <c r="K108" t="s">
        <v>1382</v>
      </c>
      <c r="L108">
        <v>6.09</v>
      </c>
      <c r="M108">
        <v>11.93</v>
      </c>
      <c r="N108">
        <v>0</v>
      </c>
      <c r="O108" s="54"/>
      <c r="P108" s="54"/>
      <c r="Q108">
        <v>5</v>
      </c>
      <c r="R108">
        <v>14</v>
      </c>
      <c r="S108">
        <v>37</v>
      </c>
      <c r="T108">
        <v>20</v>
      </c>
      <c r="U108">
        <v>17</v>
      </c>
      <c r="V108">
        <v>1</v>
      </c>
      <c r="W108" t="s">
        <v>1391</v>
      </c>
      <c r="X108" t="s">
        <v>3876</v>
      </c>
      <c r="AA108">
        <v>15.25</v>
      </c>
      <c r="AB108">
        <v>847</v>
      </c>
      <c r="AC108">
        <v>9.84</v>
      </c>
      <c r="AD108">
        <v>9.89</v>
      </c>
      <c r="AE108">
        <v>0.02</v>
      </c>
      <c r="AF108">
        <v>0</v>
      </c>
      <c r="AG108">
        <v>0</v>
      </c>
      <c r="AJ108" s="54"/>
      <c r="AK108" s="54"/>
      <c r="AL108" s="54">
        <v>42849</v>
      </c>
      <c r="AO108">
        <v>1</v>
      </c>
      <c r="AP108" t="s">
        <v>1383</v>
      </c>
      <c r="AR108">
        <v>1</v>
      </c>
      <c r="AS108" t="s">
        <v>1384</v>
      </c>
      <c r="AT108">
        <v>1</v>
      </c>
      <c r="AV108">
        <v>600</v>
      </c>
      <c r="AW108">
        <v>399</v>
      </c>
      <c r="AX108">
        <v>198</v>
      </c>
      <c r="AY108" t="s">
        <v>1394</v>
      </c>
      <c r="AZ108" t="s">
        <v>1389</v>
      </c>
      <c r="BA108">
        <v>450</v>
      </c>
      <c r="BD108">
        <v>1000000000</v>
      </c>
      <c r="BE108">
        <v>3</v>
      </c>
      <c r="BF108">
        <v>1</v>
      </c>
      <c r="BG108">
        <v>600</v>
      </c>
      <c r="BH108">
        <v>0</v>
      </c>
      <c r="BI108">
        <v>0</v>
      </c>
      <c r="BJ108">
        <v>0</v>
      </c>
      <c r="BK108">
        <v>0</v>
      </c>
      <c r="BL108">
        <v>0</v>
      </c>
      <c r="BM108">
        <v>603</v>
      </c>
      <c r="BN108">
        <v>-0.01</v>
      </c>
      <c r="BR108">
        <v>0</v>
      </c>
      <c r="BS108">
        <v>276</v>
      </c>
      <c r="BX108">
        <v>1138.8</v>
      </c>
      <c r="BY108">
        <v>0</v>
      </c>
      <c r="BZ108">
        <v>0</v>
      </c>
      <c r="CA108">
        <v>1.24</v>
      </c>
      <c r="CC108">
        <v>0</v>
      </c>
      <c r="CD108" s="54">
        <v>43132</v>
      </c>
      <c r="CE108" s="54"/>
      <c r="CF108" s="54">
        <v>43132</v>
      </c>
      <c r="CG108" s="54">
        <v>43391</v>
      </c>
      <c r="CH108" s="54">
        <v>43195</v>
      </c>
      <c r="CI108" s="54">
        <v>43195</v>
      </c>
      <c r="CJ108">
        <v>0</v>
      </c>
      <c r="CK108">
        <v>0</v>
      </c>
      <c r="CL108">
        <v>0</v>
      </c>
      <c r="CM108">
        <v>0.34</v>
      </c>
      <c r="CN108">
        <v>0</v>
      </c>
      <c r="CO108">
        <v>0</v>
      </c>
      <c r="CP108">
        <v>0</v>
      </c>
      <c r="CQ108" t="s">
        <v>1144</v>
      </c>
      <c r="CR108" t="s">
        <v>1143</v>
      </c>
      <c r="CS108" t="s">
        <v>3665</v>
      </c>
      <c r="CT108" t="s">
        <v>1403</v>
      </c>
      <c r="CU108" t="s">
        <v>3666</v>
      </c>
      <c r="CV108" t="s">
        <v>3950</v>
      </c>
      <c r="CW108" t="s">
        <v>3868</v>
      </c>
      <c r="CX108" t="s">
        <v>849</v>
      </c>
      <c r="DC108" t="s">
        <v>3869</v>
      </c>
      <c r="DE108" t="s">
        <v>3870</v>
      </c>
      <c r="DG108" t="s">
        <v>1400</v>
      </c>
      <c r="DH108" s="54">
        <v>43314</v>
      </c>
      <c r="DI108" s="54">
        <v>43335</v>
      </c>
    </row>
    <row r="109" spans="1:113" x14ac:dyDescent="0.25">
      <c r="A109" t="s">
        <v>1021</v>
      </c>
      <c r="B109">
        <v>5</v>
      </c>
      <c r="C109" s="54">
        <v>43208</v>
      </c>
      <c r="D109" t="s">
        <v>1143</v>
      </c>
      <c r="E109" t="s">
        <v>3951</v>
      </c>
      <c r="G109" t="s">
        <v>3952</v>
      </c>
      <c r="H109" t="s">
        <v>1382</v>
      </c>
      <c r="I109" t="s">
        <v>1382</v>
      </c>
      <c r="J109" t="s">
        <v>1382</v>
      </c>
      <c r="K109" t="s">
        <v>1382</v>
      </c>
      <c r="L109">
        <v>236.48</v>
      </c>
      <c r="M109">
        <v>489</v>
      </c>
      <c r="N109">
        <v>0</v>
      </c>
      <c r="O109" s="54"/>
      <c r="P109" s="54"/>
      <c r="Q109">
        <v>5</v>
      </c>
      <c r="R109">
        <v>14</v>
      </c>
      <c r="S109">
        <v>37</v>
      </c>
      <c r="T109">
        <v>20</v>
      </c>
      <c r="U109">
        <v>17</v>
      </c>
      <c r="V109">
        <v>1</v>
      </c>
      <c r="X109" t="s">
        <v>3664</v>
      </c>
      <c r="AA109">
        <v>0</v>
      </c>
      <c r="AB109">
        <v>0</v>
      </c>
      <c r="AC109">
        <v>0</v>
      </c>
      <c r="AD109">
        <v>0</v>
      </c>
      <c r="AE109">
        <v>0</v>
      </c>
      <c r="AF109">
        <v>0</v>
      </c>
      <c r="AG109">
        <v>0</v>
      </c>
      <c r="AJ109" s="54"/>
      <c r="AK109" s="54"/>
      <c r="AL109" s="54">
        <v>42849</v>
      </c>
      <c r="AO109">
        <v>1</v>
      </c>
      <c r="AP109" t="s">
        <v>1383</v>
      </c>
      <c r="AR109">
        <v>1</v>
      </c>
      <c r="AS109" t="s">
        <v>1384</v>
      </c>
      <c r="AT109">
        <v>1</v>
      </c>
      <c r="AV109">
        <v>0</v>
      </c>
      <c r="AW109">
        <v>0</v>
      </c>
      <c r="AX109">
        <v>0</v>
      </c>
      <c r="AY109" t="s">
        <v>1385</v>
      </c>
      <c r="AZ109" t="s">
        <v>1385</v>
      </c>
      <c r="BA109">
        <v>15</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42524</v>
      </c>
      <c r="CE109" s="54"/>
      <c r="CF109" s="54">
        <v>42949</v>
      </c>
      <c r="CG109" s="54">
        <v>43208</v>
      </c>
      <c r="CH109" s="54">
        <v>0</v>
      </c>
      <c r="CI109" s="54">
        <v>0</v>
      </c>
      <c r="CJ109">
        <v>1</v>
      </c>
      <c r="CK109">
        <v>0</v>
      </c>
      <c r="CL109">
        <v>0.97</v>
      </c>
      <c r="CM109">
        <v>0</v>
      </c>
      <c r="CN109">
        <v>0</v>
      </c>
      <c r="CO109">
        <v>0</v>
      </c>
      <c r="CP109">
        <v>0</v>
      </c>
      <c r="CQ109" t="s">
        <v>1144</v>
      </c>
      <c r="CR109" t="s">
        <v>1143</v>
      </c>
      <c r="CS109" t="s">
        <v>3665</v>
      </c>
      <c r="CT109" t="s">
        <v>1403</v>
      </c>
      <c r="CU109" t="s">
        <v>3666</v>
      </c>
      <c r="CV109" t="s">
        <v>3953</v>
      </c>
      <c r="CW109" t="s">
        <v>3668</v>
      </c>
      <c r="CX109" t="s">
        <v>3669</v>
      </c>
      <c r="DC109" t="s">
        <v>3668</v>
      </c>
      <c r="DE109" t="s">
        <v>3670</v>
      </c>
      <c r="DH109" s="54"/>
      <c r="DI109" s="54"/>
    </row>
    <row r="110" spans="1:113" x14ac:dyDescent="0.25">
      <c r="A110" t="s">
        <v>1021</v>
      </c>
      <c r="B110">
        <v>34</v>
      </c>
      <c r="C110" s="54">
        <v>43208</v>
      </c>
      <c r="D110" t="s">
        <v>1143</v>
      </c>
      <c r="E110" t="s">
        <v>2981</v>
      </c>
      <c r="G110" t="s">
        <v>3954</v>
      </c>
      <c r="H110" t="s">
        <v>1382</v>
      </c>
      <c r="I110" t="s">
        <v>1382</v>
      </c>
      <c r="J110" t="s">
        <v>1382</v>
      </c>
      <c r="K110" t="s">
        <v>1382</v>
      </c>
      <c r="L110">
        <v>40.25</v>
      </c>
      <c r="M110">
        <v>85</v>
      </c>
      <c r="N110">
        <v>0</v>
      </c>
      <c r="O110" s="54"/>
      <c r="P110" s="54"/>
      <c r="Q110">
        <v>5</v>
      </c>
      <c r="R110">
        <v>14</v>
      </c>
      <c r="S110">
        <v>37</v>
      </c>
      <c r="T110">
        <v>20</v>
      </c>
      <c r="U110">
        <v>17</v>
      </c>
      <c r="V110">
        <v>1</v>
      </c>
      <c r="X110" t="s">
        <v>3673</v>
      </c>
      <c r="AA110">
        <v>0.57999999999999996</v>
      </c>
      <c r="AB110">
        <v>33</v>
      </c>
      <c r="AC110">
        <v>1.72</v>
      </c>
      <c r="AD110">
        <v>6.03</v>
      </c>
      <c r="AE110">
        <v>0.43</v>
      </c>
      <c r="AF110">
        <v>0</v>
      </c>
      <c r="AG110">
        <v>0</v>
      </c>
      <c r="AJ110" s="54"/>
      <c r="AK110" s="54"/>
      <c r="AL110" s="54"/>
      <c r="AO110">
        <v>1</v>
      </c>
      <c r="AP110" t="s">
        <v>1383</v>
      </c>
      <c r="AR110">
        <v>1</v>
      </c>
      <c r="AS110" t="s">
        <v>1384</v>
      </c>
      <c r="AT110">
        <v>1</v>
      </c>
      <c r="AV110">
        <v>4</v>
      </c>
      <c r="AW110">
        <v>3</v>
      </c>
      <c r="AX110">
        <v>1</v>
      </c>
      <c r="AY110" t="s">
        <v>1389</v>
      </c>
      <c r="AZ110" t="s">
        <v>1389</v>
      </c>
      <c r="BA110">
        <v>0</v>
      </c>
      <c r="BD110">
        <v>1000000000</v>
      </c>
      <c r="BE110">
        <v>14</v>
      </c>
      <c r="BF110">
        <v>-2.5</v>
      </c>
      <c r="BG110">
        <v>0</v>
      </c>
      <c r="BH110">
        <v>0</v>
      </c>
      <c r="BI110">
        <v>0</v>
      </c>
      <c r="BJ110">
        <v>0</v>
      </c>
      <c r="BK110">
        <v>0</v>
      </c>
      <c r="BL110">
        <v>0</v>
      </c>
      <c r="BM110">
        <v>14</v>
      </c>
      <c r="BN110">
        <v>-2.5</v>
      </c>
      <c r="BR110">
        <v>0</v>
      </c>
      <c r="BS110">
        <v>2</v>
      </c>
      <c r="BX110">
        <v>0</v>
      </c>
      <c r="BY110">
        <v>402.5</v>
      </c>
      <c r="BZ110">
        <v>0</v>
      </c>
      <c r="CA110">
        <v>1.44</v>
      </c>
      <c r="CC110">
        <v>1</v>
      </c>
      <c r="CD110" s="54">
        <v>42836</v>
      </c>
      <c r="CE110" s="54"/>
      <c r="CF110" s="54">
        <v>42949</v>
      </c>
      <c r="CG110" s="54">
        <v>43208</v>
      </c>
      <c r="CH110" s="54">
        <v>43028</v>
      </c>
      <c r="CI110" s="54">
        <v>43122</v>
      </c>
      <c r="CJ110">
        <v>1.19</v>
      </c>
      <c r="CK110">
        <v>0</v>
      </c>
      <c r="CL110">
        <v>0.45</v>
      </c>
      <c r="CM110">
        <v>0</v>
      </c>
      <c r="CN110">
        <v>0.1</v>
      </c>
      <c r="CO110">
        <v>0.04</v>
      </c>
      <c r="CP110">
        <v>0.34</v>
      </c>
      <c r="CQ110" t="s">
        <v>1144</v>
      </c>
      <c r="CR110" t="s">
        <v>1143</v>
      </c>
      <c r="CS110" t="s">
        <v>3674</v>
      </c>
      <c r="CT110" t="s">
        <v>1403</v>
      </c>
      <c r="CU110" t="s">
        <v>3666</v>
      </c>
      <c r="CV110" t="s">
        <v>3955</v>
      </c>
      <c r="CW110" t="s">
        <v>3676</v>
      </c>
      <c r="CX110" t="s">
        <v>3669</v>
      </c>
      <c r="DC110" t="s">
        <v>3677</v>
      </c>
      <c r="DE110" t="s">
        <v>3670</v>
      </c>
      <c r="DG110" t="s">
        <v>3678</v>
      </c>
      <c r="DH110" s="54">
        <v>43147</v>
      </c>
      <c r="DI110" s="54">
        <v>43168</v>
      </c>
    </row>
    <row r="111" spans="1:113" x14ac:dyDescent="0.25">
      <c r="A111" t="s">
        <v>1021</v>
      </c>
      <c r="B111">
        <v>5</v>
      </c>
      <c r="C111" s="54">
        <v>43208</v>
      </c>
      <c r="D111" t="s">
        <v>1143</v>
      </c>
      <c r="E111" t="s">
        <v>3956</v>
      </c>
      <c r="G111" t="s">
        <v>3957</v>
      </c>
      <c r="H111" t="s">
        <v>1382</v>
      </c>
      <c r="I111" t="s">
        <v>1382</v>
      </c>
      <c r="J111" t="s">
        <v>1382</v>
      </c>
      <c r="K111" t="s">
        <v>1382</v>
      </c>
      <c r="L111">
        <v>341</v>
      </c>
      <c r="M111">
        <v>799</v>
      </c>
      <c r="N111">
        <v>0</v>
      </c>
      <c r="O111" s="54"/>
      <c r="P111" s="54"/>
      <c r="Q111">
        <v>5</v>
      </c>
      <c r="R111">
        <v>14</v>
      </c>
      <c r="S111">
        <v>37</v>
      </c>
      <c r="T111">
        <v>20</v>
      </c>
      <c r="U111">
        <v>17</v>
      </c>
      <c r="V111">
        <v>1</v>
      </c>
      <c r="X111" t="s">
        <v>3906</v>
      </c>
      <c r="AA111">
        <v>0</v>
      </c>
      <c r="AB111">
        <v>0</v>
      </c>
      <c r="AC111">
        <v>0</v>
      </c>
      <c r="AD111">
        <v>0</v>
      </c>
      <c r="AE111">
        <v>0</v>
      </c>
      <c r="AF111">
        <v>0</v>
      </c>
      <c r="AG111">
        <v>0</v>
      </c>
      <c r="AJ111" s="54"/>
      <c r="AK111" s="54"/>
      <c r="AL111" s="54">
        <v>42849</v>
      </c>
      <c r="AO111">
        <v>1</v>
      </c>
      <c r="AP111" t="s">
        <v>1383</v>
      </c>
      <c r="AR111">
        <v>1</v>
      </c>
      <c r="AS111" t="s">
        <v>1384</v>
      </c>
      <c r="AT111">
        <v>1</v>
      </c>
      <c r="AV111">
        <v>0</v>
      </c>
      <c r="AW111">
        <v>0</v>
      </c>
      <c r="AX111">
        <v>0</v>
      </c>
      <c r="AY111" t="s">
        <v>1385</v>
      </c>
      <c r="AZ111" t="s">
        <v>1385</v>
      </c>
      <c r="BA111">
        <v>1</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42991</v>
      </c>
      <c r="CE111" s="54"/>
      <c r="CF111" s="54">
        <v>42991</v>
      </c>
      <c r="CG111" s="54">
        <v>43250</v>
      </c>
      <c r="CH111" s="54">
        <v>0</v>
      </c>
      <c r="CI111" s="54">
        <v>0</v>
      </c>
      <c r="CJ111">
        <v>1</v>
      </c>
      <c r="CK111">
        <v>0</v>
      </c>
      <c r="CL111">
        <v>0.85</v>
      </c>
      <c r="CM111">
        <v>0</v>
      </c>
      <c r="CN111">
        <v>0</v>
      </c>
      <c r="CO111">
        <v>0</v>
      </c>
      <c r="CP111">
        <v>0</v>
      </c>
      <c r="CQ111" t="s">
        <v>1144</v>
      </c>
      <c r="CR111" t="s">
        <v>1143</v>
      </c>
      <c r="CS111" t="s">
        <v>3665</v>
      </c>
      <c r="CT111" t="s">
        <v>1403</v>
      </c>
      <c r="CU111" t="s">
        <v>3666</v>
      </c>
      <c r="CV111" t="s">
        <v>3958</v>
      </c>
      <c r="CW111" t="s">
        <v>3668</v>
      </c>
      <c r="CX111" t="s">
        <v>3669</v>
      </c>
      <c r="DC111" t="s">
        <v>3668</v>
      </c>
      <c r="DE111" t="s">
        <v>3670</v>
      </c>
      <c r="DH111" s="54"/>
      <c r="DI111" s="54"/>
    </row>
    <row r="112" spans="1:113" x14ac:dyDescent="0.25">
      <c r="A112" t="s">
        <v>1021</v>
      </c>
      <c r="B112">
        <v>34</v>
      </c>
      <c r="C112" s="54">
        <v>43208</v>
      </c>
      <c r="D112" t="s">
        <v>1143</v>
      </c>
      <c r="E112" t="s">
        <v>1434</v>
      </c>
      <c r="G112" t="s">
        <v>3959</v>
      </c>
      <c r="H112" t="s">
        <v>1382</v>
      </c>
      <c r="I112" t="s">
        <v>1382</v>
      </c>
      <c r="J112" t="s">
        <v>1382</v>
      </c>
      <c r="K112" t="s">
        <v>1382</v>
      </c>
      <c r="L112">
        <v>10.75</v>
      </c>
      <c r="M112">
        <v>19.940000000000001</v>
      </c>
      <c r="N112">
        <v>0</v>
      </c>
      <c r="O112" s="54"/>
      <c r="P112" s="54"/>
      <c r="Q112">
        <v>5</v>
      </c>
      <c r="R112">
        <v>14</v>
      </c>
      <c r="S112">
        <v>37</v>
      </c>
      <c r="T112">
        <v>20</v>
      </c>
      <c r="U112">
        <v>17</v>
      </c>
      <c r="V112">
        <v>1</v>
      </c>
      <c r="W112" t="s">
        <v>3672</v>
      </c>
      <c r="X112" t="s">
        <v>3673</v>
      </c>
      <c r="Y112">
        <v>107</v>
      </c>
      <c r="AA112">
        <v>8.33</v>
      </c>
      <c r="AB112">
        <v>463</v>
      </c>
      <c r="AC112">
        <v>2.4</v>
      </c>
      <c r="AD112">
        <v>0</v>
      </c>
      <c r="AE112">
        <v>0.03</v>
      </c>
      <c r="AF112">
        <v>21</v>
      </c>
      <c r="AG112">
        <v>0</v>
      </c>
      <c r="AJ112" s="54"/>
      <c r="AK112" s="54"/>
      <c r="AL112" s="54"/>
      <c r="AO112">
        <v>1</v>
      </c>
      <c r="AP112" t="s">
        <v>1383</v>
      </c>
      <c r="AR112">
        <v>1</v>
      </c>
      <c r="AS112" t="s">
        <v>1384</v>
      </c>
      <c r="AT112">
        <v>1</v>
      </c>
      <c r="AV112">
        <v>80</v>
      </c>
      <c r="AW112">
        <v>53</v>
      </c>
      <c r="AX112">
        <v>26</v>
      </c>
      <c r="AY112" t="s">
        <v>838</v>
      </c>
      <c r="AZ112" t="s">
        <v>838</v>
      </c>
      <c r="BA112">
        <v>0</v>
      </c>
      <c r="BD112">
        <v>1000000000</v>
      </c>
      <c r="BE112">
        <v>0</v>
      </c>
      <c r="BF112">
        <v>1</v>
      </c>
      <c r="BG112">
        <v>0</v>
      </c>
      <c r="BH112">
        <v>0</v>
      </c>
      <c r="BI112">
        <v>0</v>
      </c>
      <c r="BJ112">
        <v>0</v>
      </c>
      <c r="BK112">
        <v>0</v>
      </c>
      <c r="BL112">
        <v>0</v>
      </c>
      <c r="BM112">
        <v>0</v>
      </c>
      <c r="BN112">
        <v>1</v>
      </c>
      <c r="BR112">
        <v>80</v>
      </c>
      <c r="BS112">
        <v>37</v>
      </c>
      <c r="BX112">
        <v>238.94</v>
      </c>
      <c r="BY112">
        <v>0</v>
      </c>
      <c r="BZ112">
        <v>0</v>
      </c>
      <c r="CA112">
        <v>1.1100000000000001</v>
      </c>
      <c r="CC112">
        <v>1</v>
      </c>
      <c r="CD112" s="54">
        <v>42836</v>
      </c>
      <c r="CE112" s="54"/>
      <c r="CF112" s="54">
        <v>42949</v>
      </c>
      <c r="CG112" s="54">
        <v>43208</v>
      </c>
      <c r="CH112" s="54">
        <v>43132</v>
      </c>
      <c r="CI112" s="54">
        <v>43195</v>
      </c>
      <c r="CJ112">
        <v>1.31</v>
      </c>
      <c r="CK112">
        <v>3795</v>
      </c>
      <c r="CL112">
        <v>0.54</v>
      </c>
      <c r="CM112">
        <v>0.06</v>
      </c>
      <c r="CN112">
        <v>0.26</v>
      </c>
      <c r="CO112">
        <v>0.08</v>
      </c>
      <c r="CP112">
        <v>0</v>
      </c>
      <c r="CQ112" t="s">
        <v>1144</v>
      </c>
      <c r="CR112" t="s">
        <v>1143</v>
      </c>
      <c r="CS112" t="s">
        <v>3674</v>
      </c>
      <c r="CT112" t="s">
        <v>1403</v>
      </c>
      <c r="CU112" t="s">
        <v>3666</v>
      </c>
      <c r="CV112" t="s">
        <v>3960</v>
      </c>
      <c r="CW112" t="s">
        <v>3676</v>
      </c>
      <c r="CX112" t="s">
        <v>3669</v>
      </c>
      <c r="DC112" t="s">
        <v>3677</v>
      </c>
      <c r="DE112" t="s">
        <v>3670</v>
      </c>
      <c r="DG112" t="s">
        <v>3678</v>
      </c>
      <c r="DH112" s="54">
        <v>43251</v>
      </c>
      <c r="DI112" s="54">
        <v>43272</v>
      </c>
    </row>
    <row r="113" spans="1:113" x14ac:dyDescent="0.25">
      <c r="A113" t="s">
        <v>1021</v>
      </c>
      <c r="B113">
        <v>34</v>
      </c>
      <c r="C113" s="54">
        <v>43208</v>
      </c>
      <c r="D113" t="s">
        <v>1143</v>
      </c>
      <c r="E113" t="s">
        <v>2987</v>
      </c>
      <c r="G113" t="s">
        <v>3961</v>
      </c>
      <c r="H113" t="s">
        <v>1382</v>
      </c>
      <c r="I113" t="s">
        <v>1382</v>
      </c>
      <c r="J113" t="s">
        <v>1382</v>
      </c>
      <c r="K113" t="s">
        <v>1382</v>
      </c>
      <c r="L113">
        <v>15.32</v>
      </c>
      <c r="M113">
        <v>31</v>
      </c>
      <c r="N113">
        <v>0</v>
      </c>
      <c r="O113" s="54"/>
      <c r="P113" s="54"/>
      <c r="Q113">
        <v>5</v>
      </c>
      <c r="R113">
        <v>14</v>
      </c>
      <c r="S113">
        <v>37</v>
      </c>
      <c r="T113">
        <v>20</v>
      </c>
      <c r="U113">
        <v>17</v>
      </c>
      <c r="V113">
        <v>1</v>
      </c>
      <c r="X113" t="s">
        <v>3681</v>
      </c>
      <c r="AA113">
        <v>0.04</v>
      </c>
      <c r="AB113">
        <v>3</v>
      </c>
      <c r="AC113">
        <v>12.5</v>
      </c>
      <c r="AD113">
        <v>18.75</v>
      </c>
      <c r="AE113">
        <v>6.25</v>
      </c>
      <c r="AF113">
        <v>0</v>
      </c>
      <c r="AG113">
        <v>0</v>
      </c>
      <c r="AJ113" s="54"/>
      <c r="AK113" s="54"/>
      <c r="AL113" s="54"/>
      <c r="AO113">
        <v>1</v>
      </c>
      <c r="AP113" t="s">
        <v>1383</v>
      </c>
      <c r="AR113">
        <v>1</v>
      </c>
      <c r="AS113" t="s">
        <v>1384</v>
      </c>
      <c r="AT113">
        <v>1</v>
      </c>
      <c r="AV113">
        <v>2</v>
      </c>
      <c r="AW113">
        <v>2</v>
      </c>
      <c r="AX113">
        <v>1</v>
      </c>
      <c r="AY113" t="s">
        <v>1389</v>
      </c>
      <c r="AZ113" t="s">
        <v>1389</v>
      </c>
      <c r="BA113">
        <v>4</v>
      </c>
      <c r="BD113">
        <v>1000000000</v>
      </c>
      <c r="BE113">
        <v>3</v>
      </c>
      <c r="BF113">
        <v>-0.5</v>
      </c>
      <c r="BG113">
        <v>0</v>
      </c>
      <c r="BH113">
        <v>0</v>
      </c>
      <c r="BI113">
        <v>0</v>
      </c>
      <c r="BJ113">
        <v>0</v>
      </c>
      <c r="BK113">
        <v>0</v>
      </c>
      <c r="BL113">
        <v>0</v>
      </c>
      <c r="BM113">
        <v>3</v>
      </c>
      <c r="BN113">
        <v>-0.5</v>
      </c>
      <c r="BR113">
        <v>0</v>
      </c>
      <c r="BS113">
        <v>1</v>
      </c>
      <c r="BX113">
        <v>0</v>
      </c>
      <c r="BY113">
        <v>15.32</v>
      </c>
      <c r="BZ113">
        <v>0</v>
      </c>
      <c r="CA113">
        <v>1.33</v>
      </c>
      <c r="CC113">
        <v>1</v>
      </c>
      <c r="CD113" s="54">
        <v>43038</v>
      </c>
      <c r="CE113" s="54"/>
      <c r="CF113" s="54">
        <v>43038</v>
      </c>
      <c r="CG113" s="54">
        <v>43297</v>
      </c>
      <c r="CH113" s="54">
        <v>42768</v>
      </c>
      <c r="CI113" s="54">
        <v>42852</v>
      </c>
      <c r="CJ113">
        <v>0.05</v>
      </c>
      <c r="CK113">
        <v>0</v>
      </c>
      <c r="CL113">
        <v>0</v>
      </c>
      <c r="CM113">
        <v>0</v>
      </c>
      <c r="CN113">
        <v>0</v>
      </c>
      <c r="CO113">
        <v>0</v>
      </c>
      <c r="CP113">
        <v>0.68</v>
      </c>
      <c r="CQ113" t="s">
        <v>1144</v>
      </c>
      <c r="CR113" t="s">
        <v>1143</v>
      </c>
      <c r="CS113" t="s">
        <v>3674</v>
      </c>
      <c r="CT113" t="s">
        <v>1403</v>
      </c>
      <c r="CU113" t="s">
        <v>3666</v>
      </c>
      <c r="CV113" t="s">
        <v>3962</v>
      </c>
      <c r="CW113" t="s">
        <v>3676</v>
      </c>
      <c r="CX113" t="s">
        <v>3669</v>
      </c>
      <c r="DC113" t="s">
        <v>3677</v>
      </c>
      <c r="DE113" t="s">
        <v>3670</v>
      </c>
      <c r="DG113" t="s">
        <v>3678</v>
      </c>
      <c r="DH113" s="54">
        <v>42887</v>
      </c>
      <c r="DI113" s="54">
        <v>42908</v>
      </c>
    </row>
    <row r="114" spans="1:113" x14ac:dyDescent="0.25">
      <c r="A114" t="s">
        <v>1021</v>
      </c>
      <c r="B114">
        <v>34</v>
      </c>
      <c r="C114" s="54">
        <v>43208</v>
      </c>
      <c r="D114" t="s">
        <v>1143</v>
      </c>
      <c r="E114" t="s">
        <v>3963</v>
      </c>
      <c r="G114" t="s">
        <v>3964</v>
      </c>
      <c r="H114" t="s">
        <v>1382</v>
      </c>
      <c r="I114" t="s">
        <v>1382</v>
      </c>
      <c r="J114" t="s">
        <v>1382</v>
      </c>
      <c r="K114" t="s">
        <v>1382</v>
      </c>
      <c r="L114">
        <v>14.54</v>
      </c>
      <c r="M114">
        <v>23.61</v>
      </c>
      <c r="N114">
        <v>0</v>
      </c>
      <c r="O114" s="54"/>
      <c r="P114" s="54"/>
      <c r="Q114">
        <v>5</v>
      </c>
      <c r="R114">
        <v>14</v>
      </c>
      <c r="S114">
        <v>37</v>
      </c>
      <c r="T114">
        <v>20</v>
      </c>
      <c r="U114">
        <v>17</v>
      </c>
      <c r="V114">
        <v>1</v>
      </c>
      <c r="X114" t="s">
        <v>3681</v>
      </c>
      <c r="AA114">
        <v>0</v>
      </c>
      <c r="AB114">
        <v>0</v>
      </c>
      <c r="AC114">
        <v>0</v>
      </c>
      <c r="AD114">
        <v>0</v>
      </c>
      <c r="AE114">
        <v>0</v>
      </c>
      <c r="AF114">
        <v>0</v>
      </c>
      <c r="AG114">
        <v>0</v>
      </c>
      <c r="AJ114" s="54"/>
      <c r="AK114" s="54"/>
      <c r="AL114" s="54"/>
      <c r="AO114">
        <v>1</v>
      </c>
      <c r="AP114" t="s">
        <v>1383</v>
      </c>
      <c r="AR114">
        <v>1</v>
      </c>
      <c r="AS114" t="s">
        <v>1384</v>
      </c>
      <c r="AT114">
        <v>1</v>
      </c>
      <c r="AV114">
        <v>2</v>
      </c>
      <c r="AW114">
        <v>2</v>
      </c>
      <c r="AX114">
        <v>1</v>
      </c>
      <c r="AY114" t="s">
        <v>1389</v>
      </c>
      <c r="AZ114" t="s">
        <v>1389</v>
      </c>
      <c r="BA114">
        <v>3</v>
      </c>
      <c r="BD114">
        <v>1000000000</v>
      </c>
      <c r="BE114">
        <v>3</v>
      </c>
      <c r="BF114">
        <v>-0.5</v>
      </c>
      <c r="BG114">
        <v>0</v>
      </c>
      <c r="BH114">
        <v>0</v>
      </c>
      <c r="BI114">
        <v>0</v>
      </c>
      <c r="BJ114">
        <v>0</v>
      </c>
      <c r="BK114">
        <v>0</v>
      </c>
      <c r="BL114">
        <v>0</v>
      </c>
      <c r="BM114">
        <v>3</v>
      </c>
      <c r="BN114">
        <v>-0.5</v>
      </c>
      <c r="BR114">
        <v>0</v>
      </c>
      <c r="BS114">
        <v>1</v>
      </c>
      <c r="BX114">
        <v>0</v>
      </c>
      <c r="BY114">
        <v>14.54</v>
      </c>
      <c r="BZ114">
        <v>0</v>
      </c>
      <c r="CA114">
        <v>0.81</v>
      </c>
      <c r="CC114">
        <v>1</v>
      </c>
      <c r="CD114" s="54">
        <v>43038</v>
      </c>
      <c r="CE114" s="54"/>
      <c r="CF114" s="54">
        <v>43038</v>
      </c>
      <c r="CG114" s="54">
        <v>43297</v>
      </c>
      <c r="CH114" s="54">
        <v>42768</v>
      </c>
      <c r="CI114" s="54">
        <v>42852</v>
      </c>
      <c r="CJ114">
        <v>0</v>
      </c>
      <c r="CK114">
        <v>0</v>
      </c>
      <c r="CL114">
        <v>0</v>
      </c>
      <c r="CM114">
        <v>0</v>
      </c>
      <c r="CN114">
        <v>0</v>
      </c>
      <c r="CO114">
        <v>0</v>
      </c>
      <c r="CP114">
        <v>0.68</v>
      </c>
      <c r="CQ114" t="s">
        <v>1144</v>
      </c>
      <c r="CR114" t="s">
        <v>1143</v>
      </c>
      <c r="CS114" t="s">
        <v>3674</v>
      </c>
      <c r="CT114" t="s">
        <v>1403</v>
      </c>
      <c r="CU114" t="s">
        <v>3666</v>
      </c>
      <c r="CV114" t="s">
        <v>3965</v>
      </c>
      <c r="CW114" t="s">
        <v>3676</v>
      </c>
      <c r="CX114" t="s">
        <v>3669</v>
      </c>
      <c r="DC114" t="s">
        <v>3677</v>
      </c>
      <c r="DE114" t="s">
        <v>3670</v>
      </c>
      <c r="DG114" t="s">
        <v>3678</v>
      </c>
      <c r="DH114" s="54">
        <v>42887</v>
      </c>
      <c r="DI114" s="54">
        <v>42908</v>
      </c>
    </row>
    <row r="115" spans="1:113" x14ac:dyDescent="0.25">
      <c r="A115" t="s">
        <v>1021</v>
      </c>
      <c r="B115">
        <v>34</v>
      </c>
      <c r="C115" s="54">
        <v>43208</v>
      </c>
      <c r="D115" t="s">
        <v>1143</v>
      </c>
      <c r="E115" t="s">
        <v>3966</v>
      </c>
      <c r="G115" t="s">
        <v>3967</v>
      </c>
      <c r="H115" t="s">
        <v>1382</v>
      </c>
      <c r="I115" t="s">
        <v>1382</v>
      </c>
      <c r="J115" t="s">
        <v>1382</v>
      </c>
      <c r="K115" t="s">
        <v>1382</v>
      </c>
      <c r="L115">
        <v>3.22</v>
      </c>
      <c r="M115">
        <v>7.3</v>
      </c>
      <c r="N115">
        <v>0</v>
      </c>
      <c r="O115" s="54"/>
      <c r="P115" s="54"/>
      <c r="Q115">
        <v>5</v>
      </c>
      <c r="R115">
        <v>14</v>
      </c>
      <c r="S115">
        <v>37</v>
      </c>
      <c r="T115">
        <v>20</v>
      </c>
      <c r="U115">
        <v>17</v>
      </c>
      <c r="V115">
        <v>1</v>
      </c>
      <c r="W115" t="s">
        <v>1391</v>
      </c>
      <c r="X115" t="s">
        <v>3673</v>
      </c>
      <c r="AA115">
        <v>0</v>
      </c>
      <c r="AB115">
        <v>0</v>
      </c>
      <c r="AC115">
        <v>0</v>
      </c>
      <c r="AD115">
        <v>0</v>
      </c>
      <c r="AE115">
        <v>0</v>
      </c>
      <c r="AF115">
        <v>21</v>
      </c>
      <c r="AG115">
        <v>0</v>
      </c>
      <c r="AJ115" s="54"/>
      <c r="AK115" s="54"/>
      <c r="AL115" s="54"/>
      <c r="AO115">
        <v>1</v>
      </c>
      <c r="AP115" t="s">
        <v>1383</v>
      </c>
      <c r="AR115">
        <v>1</v>
      </c>
      <c r="AS115" t="s">
        <v>1384</v>
      </c>
      <c r="AT115">
        <v>1</v>
      </c>
      <c r="AV115">
        <v>5</v>
      </c>
      <c r="AW115">
        <v>3</v>
      </c>
      <c r="AX115">
        <v>2</v>
      </c>
      <c r="AY115" t="s">
        <v>838</v>
      </c>
      <c r="AZ115" t="s">
        <v>1390</v>
      </c>
      <c r="BA115">
        <v>0</v>
      </c>
      <c r="BD115">
        <v>1000000000</v>
      </c>
      <c r="BE115">
        <v>0</v>
      </c>
      <c r="BF115">
        <v>1</v>
      </c>
      <c r="BG115">
        <v>5</v>
      </c>
      <c r="BH115">
        <v>0</v>
      </c>
      <c r="BI115">
        <v>0</v>
      </c>
      <c r="BJ115">
        <v>0</v>
      </c>
      <c r="BK115">
        <v>0</v>
      </c>
      <c r="BL115">
        <v>0</v>
      </c>
      <c r="BM115">
        <v>5</v>
      </c>
      <c r="BN115">
        <v>0</v>
      </c>
      <c r="BR115">
        <v>0</v>
      </c>
      <c r="BS115">
        <v>2</v>
      </c>
      <c r="BX115">
        <v>8.16</v>
      </c>
      <c r="BY115">
        <v>0</v>
      </c>
      <c r="BZ115">
        <v>0</v>
      </c>
      <c r="CA115">
        <v>1.64</v>
      </c>
      <c r="CC115">
        <v>0</v>
      </c>
      <c r="CD115" s="54">
        <v>42836</v>
      </c>
      <c r="CE115" s="54"/>
      <c r="CF115" s="54">
        <v>42949</v>
      </c>
      <c r="CG115" s="54">
        <v>43208</v>
      </c>
      <c r="CH115" s="54">
        <v>43195</v>
      </c>
      <c r="CI115" s="54">
        <v>42900</v>
      </c>
      <c r="CJ115">
        <v>1</v>
      </c>
      <c r="CK115">
        <v>0</v>
      </c>
      <c r="CL115">
        <v>0.94</v>
      </c>
      <c r="CM115">
        <v>0</v>
      </c>
      <c r="CN115">
        <v>0</v>
      </c>
      <c r="CO115">
        <v>0</v>
      </c>
      <c r="CP115">
        <v>0</v>
      </c>
      <c r="CQ115" t="s">
        <v>1144</v>
      </c>
      <c r="CR115" t="s">
        <v>1143</v>
      </c>
      <c r="CS115" t="s">
        <v>3674</v>
      </c>
      <c r="CT115" t="s">
        <v>1403</v>
      </c>
      <c r="CU115" t="s">
        <v>3666</v>
      </c>
      <c r="CV115" t="s">
        <v>3968</v>
      </c>
      <c r="CW115" t="s">
        <v>3676</v>
      </c>
      <c r="CX115" t="s">
        <v>3669</v>
      </c>
      <c r="DC115" t="s">
        <v>3677</v>
      </c>
      <c r="DE115" t="s">
        <v>3670</v>
      </c>
      <c r="DG115" t="s">
        <v>1400</v>
      </c>
      <c r="DH115" s="54">
        <v>43314</v>
      </c>
      <c r="DI115" s="54">
        <v>43335</v>
      </c>
    </row>
    <row r="116" spans="1:113" x14ac:dyDescent="0.25">
      <c r="A116" t="s">
        <v>1021</v>
      </c>
      <c r="B116">
        <v>34</v>
      </c>
      <c r="C116" s="54">
        <v>43208</v>
      </c>
      <c r="D116" t="s">
        <v>1143</v>
      </c>
      <c r="E116" t="s">
        <v>1435</v>
      </c>
      <c r="G116" t="s">
        <v>3969</v>
      </c>
      <c r="H116" t="s">
        <v>1382</v>
      </c>
      <c r="I116" t="s">
        <v>1382</v>
      </c>
      <c r="J116" t="s">
        <v>1382</v>
      </c>
      <c r="K116" t="s">
        <v>1382</v>
      </c>
      <c r="L116">
        <v>53.24</v>
      </c>
      <c r="M116">
        <v>109.65</v>
      </c>
      <c r="N116">
        <v>0</v>
      </c>
      <c r="O116" s="54"/>
      <c r="P116" s="54"/>
      <c r="Q116">
        <v>5</v>
      </c>
      <c r="R116">
        <v>14</v>
      </c>
      <c r="S116">
        <v>37</v>
      </c>
      <c r="T116">
        <v>20</v>
      </c>
      <c r="U116">
        <v>17</v>
      </c>
      <c r="V116">
        <v>1</v>
      </c>
      <c r="W116" t="s">
        <v>1391</v>
      </c>
      <c r="X116" t="s">
        <v>3681</v>
      </c>
      <c r="AA116">
        <v>3.04</v>
      </c>
      <c r="AB116">
        <v>169</v>
      </c>
      <c r="AC116">
        <v>2.4700000000000002</v>
      </c>
      <c r="AD116">
        <v>1.4</v>
      </c>
      <c r="AE116">
        <v>0.08</v>
      </c>
      <c r="AF116">
        <v>0</v>
      </c>
      <c r="AG116">
        <v>0</v>
      </c>
      <c r="AJ116" s="54"/>
      <c r="AK116" s="54"/>
      <c r="AL116" s="54"/>
      <c r="AO116">
        <v>1</v>
      </c>
      <c r="AP116" t="s">
        <v>1383</v>
      </c>
      <c r="AR116">
        <v>1</v>
      </c>
      <c r="AS116" t="s">
        <v>1384</v>
      </c>
      <c r="AT116">
        <v>1</v>
      </c>
      <c r="AV116">
        <v>30</v>
      </c>
      <c r="AW116">
        <v>20</v>
      </c>
      <c r="AX116">
        <v>10</v>
      </c>
      <c r="AY116" t="s">
        <v>1394</v>
      </c>
      <c r="AZ116" t="s">
        <v>1401</v>
      </c>
      <c r="BA116">
        <v>35</v>
      </c>
      <c r="BD116">
        <v>1000000000</v>
      </c>
      <c r="BE116">
        <v>9</v>
      </c>
      <c r="BF116">
        <v>0.7</v>
      </c>
      <c r="BG116">
        <v>8</v>
      </c>
      <c r="BH116">
        <v>0</v>
      </c>
      <c r="BI116">
        <v>0</v>
      </c>
      <c r="BJ116">
        <v>0</v>
      </c>
      <c r="BK116">
        <v>0</v>
      </c>
      <c r="BL116">
        <v>0</v>
      </c>
      <c r="BM116">
        <v>17</v>
      </c>
      <c r="BN116">
        <v>0.43</v>
      </c>
      <c r="BR116">
        <v>13</v>
      </c>
      <c r="BS116">
        <v>14</v>
      </c>
      <c r="BX116">
        <v>56.41</v>
      </c>
      <c r="BY116">
        <v>0</v>
      </c>
      <c r="BZ116">
        <v>0</v>
      </c>
      <c r="CA116">
        <v>1.37</v>
      </c>
      <c r="CC116">
        <v>0</v>
      </c>
      <c r="CD116" s="54">
        <v>43038</v>
      </c>
      <c r="CE116" s="54"/>
      <c r="CF116" s="54">
        <v>43038</v>
      </c>
      <c r="CG116" s="54">
        <v>43297</v>
      </c>
      <c r="CH116" s="54">
        <v>43195</v>
      </c>
      <c r="CI116" s="54">
        <v>43195</v>
      </c>
      <c r="CJ116">
        <v>1.0900000000000001</v>
      </c>
      <c r="CK116">
        <v>0</v>
      </c>
      <c r="CL116">
        <v>0.3</v>
      </c>
      <c r="CM116">
        <v>0.11</v>
      </c>
      <c r="CN116">
        <v>0.24</v>
      </c>
      <c r="CO116">
        <v>0</v>
      </c>
      <c r="CP116">
        <v>0.03</v>
      </c>
      <c r="CQ116" t="s">
        <v>1144</v>
      </c>
      <c r="CR116" t="s">
        <v>1143</v>
      </c>
      <c r="CS116" t="s">
        <v>3674</v>
      </c>
      <c r="CT116" t="s">
        <v>1403</v>
      </c>
      <c r="CU116" t="s">
        <v>3666</v>
      </c>
      <c r="CV116" t="s">
        <v>3970</v>
      </c>
      <c r="CW116" t="s">
        <v>3676</v>
      </c>
      <c r="CX116" t="s">
        <v>3669</v>
      </c>
      <c r="DC116" t="s">
        <v>3677</v>
      </c>
      <c r="DE116" t="s">
        <v>3670</v>
      </c>
      <c r="DG116" t="s">
        <v>1400</v>
      </c>
      <c r="DH116" s="54">
        <v>43314</v>
      </c>
      <c r="DI116" s="54">
        <v>43335</v>
      </c>
    </row>
    <row r="117" spans="1:113" x14ac:dyDescent="0.25">
      <c r="A117" t="s">
        <v>1021</v>
      </c>
      <c r="B117">
        <v>34</v>
      </c>
      <c r="C117" s="54">
        <v>43208</v>
      </c>
      <c r="D117" t="s">
        <v>1143</v>
      </c>
      <c r="E117" t="s">
        <v>2993</v>
      </c>
      <c r="G117" t="s">
        <v>3971</v>
      </c>
      <c r="H117" t="s">
        <v>1382</v>
      </c>
      <c r="I117" t="s">
        <v>1382</v>
      </c>
      <c r="J117" t="s">
        <v>1382</v>
      </c>
      <c r="K117" t="s">
        <v>1382</v>
      </c>
      <c r="L117">
        <v>19.739999999999998</v>
      </c>
      <c r="M117">
        <v>39.79</v>
      </c>
      <c r="N117">
        <v>0</v>
      </c>
      <c r="O117" s="54"/>
      <c r="P117" s="54"/>
      <c r="Q117">
        <v>5</v>
      </c>
      <c r="R117">
        <v>14</v>
      </c>
      <c r="S117">
        <v>37</v>
      </c>
      <c r="T117">
        <v>20</v>
      </c>
      <c r="U117">
        <v>17</v>
      </c>
      <c r="V117">
        <v>1</v>
      </c>
      <c r="W117" t="s">
        <v>1391</v>
      </c>
      <c r="X117" t="s">
        <v>3681</v>
      </c>
      <c r="AA117">
        <v>0.17</v>
      </c>
      <c r="AB117">
        <v>10</v>
      </c>
      <c r="AC117">
        <v>14.71</v>
      </c>
      <c r="AD117">
        <v>16.18</v>
      </c>
      <c r="AE117">
        <v>1.47</v>
      </c>
      <c r="AF117">
        <v>0</v>
      </c>
      <c r="AG117">
        <v>0</v>
      </c>
      <c r="AJ117" s="54"/>
      <c r="AK117" s="54"/>
      <c r="AL117" s="54"/>
      <c r="AO117">
        <v>1</v>
      </c>
      <c r="AP117" t="s">
        <v>1383</v>
      </c>
      <c r="AR117">
        <v>1</v>
      </c>
      <c r="AS117" t="s">
        <v>1384</v>
      </c>
      <c r="AT117">
        <v>1</v>
      </c>
      <c r="AV117">
        <v>10</v>
      </c>
      <c r="AW117">
        <v>7</v>
      </c>
      <c r="AX117">
        <v>3</v>
      </c>
      <c r="AY117" t="s">
        <v>1390</v>
      </c>
      <c r="AZ117" t="s">
        <v>1389</v>
      </c>
      <c r="BA117">
        <v>15</v>
      </c>
      <c r="BD117">
        <v>1000000000</v>
      </c>
      <c r="BE117">
        <v>8</v>
      </c>
      <c r="BF117">
        <v>0.2</v>
      </c>
      <c r="BG117">
        <v>3</v>
      </c>
      <c r="BH117">
        <v>0</v>
      </c>
      <c r="BI117">
        <v>0</v>
      </c>
      <c r="BJ117">
        <v>0</v>
      </c>
      <c r="BK117">
        <v>0</v>
      </c>
      <c r="BL117">
        <v>0</v>
      </c>
      <c r="BM117">
        <v>11</v>
      </c>
      <c r="BN117">
        <v>-0.1</v>
      </c>
      <c r="BR117">
        <v>0</v>
      </c>
      <c r="BS117">
        <v>5</v>
      </c>
      <c r="BX117">
        <v>0</v>
      </c>
      <c r="BY117">
        <v>0</v>
      </c>
      <c r="BZ117">
        <v>0</v>
      </c>
      <c r="CA117">
        <v>1.32</v>
      </c>
      <c r="CC117">
        <v>0</v>
      </c>
      <c r="CD117" s="54">
        <v>43038</v>
      </c>
      <c r="CE117" s="54"/>
      <c r="CF117" s="54">
        <v>43038</v>
      </c>
      <c r="CG117" s="54">
        <v>43297</v>
      </c>
      <c r="CH117" s="54">
        <v>43195</v>
      </c>
      <c r="CI117" s="54">
        <v>43195</v>
      </c>
      <c r="CJ117">
        <v>0.2</v>
      </c>
      <c r="CK117">
        <v>0</v>
      </c>
      <c r="CL117">
        <v>0</v>
      </c>
      <c r="CM117">
        <v>0</v>
      </c>
      <c r="CN117">
        <v>0</v>
      </c>
      <c r="CO117">
        <v>0.36</v>
      </c>
      <c r="CP117">
        <v>0.32</v>
      </c>
      <c r="CQ117" t="s">
        <v>1144</v>
      </c>
      <c r="CR117" t="s">
        <v>1143</v>
      </c>
      <c r="CS117" t="s">
        <v>3674</v>
      </c>
      <c r="CT117" t="s">
        <v>1403</v>
      </c>
      <c r="CU117" t="s">
        <v>3666</v>
      </c>
      <c r="CV117" t="s">
        <v>3972</v>
      </c>
      <c r="CW117" t="s">
        <v>3676</v>
      </c>
      <c r="CX117" t="s">
        <v>3669</v>
      </c>
      <c r="DC117" t="s">
        <v>3677</v>
      </c>
      <c r="DE117" t="s">
        <v>3670</v>
      </c>
      <c r="DG117" t="s">
        <v>1400</v>
      </c>
      <c r="DH117" s="54">
        <v>43314</v>
      </c>
      <c r="DI117" s="54">
        <v>43335</v>
      </c>
    </row>
    <row r="118" spans="1:113" x14ac:dyDescent="0.25">
      <c r="A118" t="s">
        <v>1021</v>
      </c>
      <c r="B118">
        <v>5</v>
      </c>
      <c r="C118" s="54">
        <v>43208</v>
      </c>
      <c r="D118" t="s">
        <v>1143</v>
      </c>
      <c r="E118" t="s">
        <v>3973</v>
      </c>
      <c r="G118" t="s">
        <v>3974</v>
      </c>
      <c r="H118" t="s">
        <v>1382</v>
      </c>
      <c r="I118" t="s">
        <v>1382</v>
      </c>
      <c r="J118" t="s">
        <v>1382</v>
      </c>
      <c r="K118" t="s">
        <v>1382</v>
      </c>
      <c r="L118">
        <v>22.1</v>
      </c>
      <c r="M118">
        <v>42.86</v>
      </c>
      <c r="N118">
        <v>0</v>
      </c>
      <c r="O118" s="54"/>
      <c r="P118" s="54"/>
      <c r="Q118">
        <v>5</v>
      </c>
      <c r="R118">
        <v>14</v>
      </c>
      <c r="S118">
        <v>37</v>
      </c>
      <c r="T118">
        <v>20</v>
      </c>
      <c r="U118">
        <v>17</v>
      </c>
      <c r="V118">
        <v>1</v>
      </c>
      <c r="X118" t="s">
        <v>3975</v>
      </c>
      <c r="AA118">
        <v>0</v>
      </c>
      <c r="AB118">
        <v>0</v>
      </c>
      <c r="AC118">
        <v>0</v>
      </c>
      <c r="AD118">
        <v>0</v>
      </c>
      <c r="AE118">
        <v>0</v>
      </c>
      <c r="AF118">
        <v>0</v>
      </c>
      <c r="AG118">
        <v>0</v>
      </c>
      <c r="AJ118" s="54"/>
      <c r="AK118" s="54"/>
      <c r="AL118" s="54">
        <v>42849</v>
      </c>
      <c r="AO118">
        <v>1</v>
      </c>
      <c r="AP118" t="s">
        <v>1383</v>
      </c>
      <c r="AR118">
        <v>1</v>
      </c>
      <c r="AS118" t="s">
        <v>1384</v>
      </c>
      <c r="AT118">
        <v>1</v>
      </c>
      <c r="AV118">
        <v>0</v>
      </c>
      <c r="AW118">
        <v>0</v>
      </c>
      <c r="AX118">
        <v>0</v>
      </c>
      <c r="AY118" t="s">
        <v>1385</v>
      </c>
      <c r="AZ118" t="s">
        <v>1385</v>
      </c>
      <c r="BA118">
        <v>0</v>
      </c>
      <c r="BD118">
        <v>1000000000</v>
      </c>
      <c r="BE118">
        <v>32</v>
      </c>
      <c r="BF118">
        <v>0</v>
      </c>
      <c r="BG118">
        <v>0</v>
      </c>
      <c r="BH118">
        <v>0</v>
      </c>
      <c r="BI118">
        <v>0</v>
      </c>
      <c r="BJ118">
        <v>0</v>
      </c>
      <c r="BK118">
        <v>0</v>
      </c>
      <c r="BL118">
        <v>0</v>
      </c>
      <c r="BM118">
        <v>32</v>
      </c>
      <c r="BN118">
        <v>0</v>
      </c>
      <c r="BR118">
        <v>0</v>
      </c>
      <c r="BS118">
        <v>0</v>
      </c>
      <c r="BX118">
        <v>0</v>
      </c>
      <c r="BY118">
        <v>0</v>
      </c>
      <c r="BZ118">
        <v>0</v>
      </c>
      <c r="CA118">
        <v>0</v>
      </c>
      <c r="CC118">
        <v>0</v>
      </c>
      <c r="CD118" s="54">
        <v>42340</v>
      </c>
      <c r="CE118" s="54"/>
      <c r="CF118" s="54">
        <v>42949</v>
      </c>
      <c r="CG118" s="54">
        <v>43208</v>
      </c>
      <c r="CH118" s="54">
        <v>0</v>
      </c>
      <c r="CI118" s="54">
        <v>0</v>
      </c>
      <c r="CJ118">
        <v>0</v>
      </c>
      <c r="CK118">
        <v>0</v>
      </c>
      <c r="CL118">
        <v>0</v>
      </c>
      <c r="CM118">
        <v>0</v>
      </c>
      <c r="CN118">
        <v>0</v>
      </c>
      <c r="CO118">
        <v>0</v>
      </c>
      <c r="CP118">
        <v>0.97</v>
      </c>
      <c r="CQ118" t="s">
        <v>1144</v>
      </c>
      <c r="CR118" t="s">
        <v>1143</v>
      </c>
      <c r="CS118" t="s">
        <v>3665</v>
      </c>
      <c r="CT118" t="s">
        <v>1403</v>
      </c>
      <c r="CU118" t="s">
        <v>3666</v>
      </c>
      <c r="CV118" t="s">
        <v>3976</v>
      </c>
      <c r="CW118" t="s">
        <v>3668</v>
      </c>
      <c r="CX118" t="s">
        <v>3669</v>
      </c>
      <c r="DC118" t="s">
        <v>3668</v>
      </c>
      <c r="DE118" t="s">
        <v>3670</v>
      </c>
      <c r="DH118" s="54"/>
      <c r="DI118" s="54"/>
    </row>
    <row r="119" spans="1:113" x14ac:dyDescent="0.25">
      <c r="A119" t="s">
        <v>1021</v>
      </c>
      <c r="B119">
        <v>34</v>
      </c>
      <c r="C119" s="54">
        <v>43208</v>
      </c>
      <c r="D119" t="s">
        <v>1143</v>
      </c>
      <c r="E119" t="s">
        <v>1436</v>
      </c>
      <c r="G119" t="s">
        <v>3977</v>
      </c>
      <c r="H119" t="s">
        <v>1382</v>
      </c>
      <c r="I119" t="s">
        <v>1382</v>
      </c>
      <c r="J119" t="s">
        <v>1382</v>
      </c>
      <c r="K119" t="s">
        <v>1382</v>
      </c>
      <c r="L119">
        <v>31.16</v>
      </c>
      <c r="M119">
        <v>56.1</v>
      </c>
      <c r="N119">
        <v>0</v>
      </c>
      <c r="O119" s="54"/>
      <c r="P119" s="54"/>
      <c r="Q119">
        <v>5</v>
      </c>
      <c r="R119">
        <v>14</v>
      </c>
      <c r="S119">
        <v>37</v>
      </c>
      <c r="T119">
        <v>20</v>
      </c>
      <c r="U119">
        <v>17</v>
      </c>
      <c r="V119">
        <v>1</v>
      </c>
      <c r="W119" t="s">
        <v>1391</v>
      </c>
      <c r="X119" t="s">
        <v>3673</v>
      </c>
      <c r="AA119">
        <v>0.17</v>
      </c>
      <c r="AB119">
        <v>10</v>
      </c>
      <c r="AC119">
        <v>2.94</v>
      </c>
      <c r="AD119">
        <v>0</v>
      </c>
      <c r="AE119">
        <v>1.47</v>
      </c>
      <c r="AF119">
        <v>9</v>
      </c>
      <c r="AG119">
        <v>0</v>
      </c>
      <c r="AJ119" s="54"/>
      <c r="AK119" s="54"/>
      <c r="AL119" s="54"/>
      <c r="AO119">
        <v>1</v>
      </c>
      <c r="AP119" t="s">
        <v>1383</v>
      </c>
      <c r="AR119">
        <v>1</v>
      </c>
      <c r="AS119" t="s">
        <v>1384</v>
      </c>
      <c r="AT119">
        <v>1</v>
      </c>
      <c r="AV119">
        <v>2</v>
      </c>
      <c r="AW119">
        <v>2</v>
      </c>
      <c r="AX119">
        <v>1</v>
      </c>
      <c r="AY119" t="s">
        <v>838</v>
      </c>
      <c r="AZ119" t="s">
        <v>838</v>
      </c>
      <c r="BA119">
        <v>0</v>
      </c>
      <c r="BD119">
        <v>1000000000</v>
      </c>
      <c r="BE119">
        <v>0</v>
      </c>
      <c r="BF119">
        <v>1</v>
      </c>
      <c r="BG119">
        <v>0</v>
      </c>
      <c r="BH119">
        <v>0</v>
      </c>
      <c r="BI119">
        <v>0</v>
      </c>
      <c r="BJ119">
        <v>0</v>
      </c>
      <c r="BK119">
        <v>0</v>
      </c>
      <c r="BL119">
        <v>0</v>
      </c>
      <c r="BM119">
        <v>0</v>
      </c>
      <c r="BN119">
        <v>1</v>
      </c>
      <c r="BR119">
        <v>2</v>
      </c>
      <c r="BS119">
        <v>1</v>
      </c>
      <c r="BX119">
        <v>24.94</v>
      </c>
      <c r="BY119">
        <v>0</v>
      </c>
      <c r="BZ119">
        <v>0</v>
      </c>
      <c r="CA119">
        <v>1.04</v>
      </c>
      <c r="CC119">
        <v>1</v>
      </c>
      <c r="CD119" s="54">
        <v>42836</v>
      </c>
      <c r="CE119" s="54"/>
      <c r="CF119" s="54">
        <v>42949</v>
      </c>
      <c r="CG119" s="54">
        <v>43208</v>
      </c>
      <c r="CH119" s="54">
        <v>43028</v>
      </c>
      <c r="CI119" s="54">
        <v>43122</v>
      </c>
      <c r="CJ119">
        <v>1.29</v>
      </c>
      <c r="CK119">
        <v>0</v>
      </c>
      <c r="CL119">
        <v>0.57999999999999996</v>
      </c>
      <c r="CM119">
        <v>0.03</v>
      </c>
      <c r="CN119">
        <v>0.33</v>
      </c>
      <c r="CO119">
        <v>0</v>
      </c>
      <c r="CP119">
        <v>0</v>
      </c>
      <c r="CQ119" t="s">
        <v>1144</v>
      </c>
      <c r="CR119" t="s">
        <v>1143</v>
      </c>
      <c r="CS119" t="s">
        <v>3674</v>
      </c>
      <c r="CT119" t="s">
        <v>1403</v>
      </c>
      <c r="CU119" t="s">
        <v>3666</v>
      </c>
      <c r="CV119" t="s">
        <v>3978</v>
      </c>
      <c r="CW119" t="s">
        <v>3676</v>
      </c>
      <c r="CX119" t="s">
        <v>3669</v>
      </c>
      <c r="DC119" t="s">
        <v>3677</v>
      </c>
      <c r="DE119" t="s">
        <v>3670</v>
      </c>
      <c r="DG119" t="s">
        <v>3716</v>
      </c>
      <c r="DH119" s="54">
        <v>43147</v>
      </c>
      <c r="DI119" s="54">
        <v>43168</v>
      </c>
    </row>
    <row r="120" spans="1:113" x14ac:dyDescent="0.25">
      <c r="A120" t="s">
        <v>1021</v>
      </c>
      <c r="B120">
        <v>34</v>
      </c>
      <c r="C120" s="54">
        <v>43208</v>
      </c>
      <c r="D120" t="s">
        <v>1143</v>
      </c>
      <c r="E120" t="s">
        <v>2994</v>
      </c>
      <c r="G120" t="s">
        <v>3979</v>
      </c>
      <c r="H120" t="s">
        <v>1382</v>
      </c>
      <c r="I120" t="s">
        <v>1382</v>
      </c>
      <c r="J120" t="s">
        <v>1382</v>
      </c>
      <c r="K120" t="s">
        <v>1382</v>
      </c>
      <c r="L120">
        <v>55.22</v>
      </c>
      <c r="M120">
        <v>109.73</v>
      </c>
      <c r="N120">
        <v>0</v>
      </c>
      <c r="O120" s="54"/>
      <c r="P120" s="54"/>
      <c r="Q120">
        <v>5</v>
      </c>
      <c r="R120">
        <v>14</v>
      </c>
      <c r="S120">
        <v>37</v>
      </c>
      <c r="T120">
        <v>20</v>
      </c>
      <c r="U120">
        <v>17</v>
      </c>
      <c r="V120">
        <v>1</v>
      </c>
      <c r="X120" t="s">
        <v>3681</v>
      </c>
      <c r="Z120" t="s">
        <v>3693</v>
      </c>
      <c r="AA120">
        <v>0.28999999999999998</v>
      </c>
      <c r="AB120">
        <v>17</v>
      </c>
      <c r="AC120">
        <v>4.3099999999999996</v>
      </c>
      <c r="AD120">
        <v>6.9</v>
      </c>
      <c r="AE120">
        <v>0.86</v>
      </c>
      <c r="AF120">
        <v>0</v>
      </c>
      <c r="AG120">
        <v>0</v>
      </c>
      <c r="AJ120" s="54"/>
      <c r="AK120" s="54"/>
      <c r="AL120" s="54"/>
      <c r="AO120">
        <v>1</v>
      </c>
      <c r="AP120" t="s">
        <v>1383</v>
      </c>
      <c r="AR120">
        <v>1</v>
      </c>
      <c r="AS120" t="s">
        <v>1384</v>
      </c>
      <c r="AT120">
        <v>1</v>
      </c>
      <c r="AV120">
        <v>5</v>
      </c>
      <c r="AW120">
        <v>3</v>
      </c>
      <c r="AX120">
        <v>2</v>
      </c>
      <c r="AY120" t="s">
        <v>1389</v>
      </c>
      <c r="AZ120" t="s">
        <v>1389</v>
      </c>
      <c r="BA120">
        <v>6</v>
      </c>
      <c r="BD120">
        <v>1000000000</v>
      </c>
      <c r="BE120">
        <v>8</v>
      </c>
      <c r="BF120">
        <v>-0.6</v>
      </c>
      <c r="BG120">
        <v>0</v>
      </c>
      <c r="BH120">
        <v>0</v>
      </c>
      <c r="BI120">
        <v>0</v>
      </c>
      <c r="BJ120">
        <v>0</v>
      </c>
      <c r="BK120">
        <v>0</v>
      </c>
      <c r="BL120">
        <v>0</v>
      </c>
      <c r="BM120">
        <v>8</v>
      </c>
      <c r="BN120">
        <v>-0.6</v>
      </c>
      <c r="BR120">
        <v>0</v>
      </c>
      <c r="BS120">
        <v>2</v>
      </c>
      <c r="BX120">
        <v>0</v>
      </c>
      <c r="BY120">
        <v>165.66</v>
      </c>
      <c r="BZ120">
        <v>0</v>
      </c>
      <c r="CA120">
        <v>1.28</v>
      </c>
      <c r="CC120">
        <v>1</v>
      </c>
      <c r="CD120" s="54">
        <v>43038</v>
      </c>
      <c r="CE120" s="54"/>
      <c r="CF120" s="54">
        <v>43038</v>
      </c>
      <c r="CG120" s="54">
        <v>43297</v>
      </c>
      <c r="CH120" s="54">
        <v>43028</v>
      </c>
      <c r="CI120" s="54">
        <v>43122</v>
      </c>
      <c r="CJ120">
        <v>0.71</v>
      </c>
      <c r="CK120">
        <v>0</v>
      </c>
      <c r="CL120">
        <v>0</v>
      </c>
      <c r="CM120">
        <v>0.3</v>
      </c>
      <c r="CN120">
        <v>0</v>
      </c>
      <c r="CO120">
        <v>0</v>
      </c>
      <c r="CP120">
        <v>0.38</v>
      </c>
      <c r="CQ120" t="s">
        <v>1144</v>
      </c>
      <c r="CR120" t="s">
        <v>1143</v>
      </c>
      <c r="CS120" t="s">
        <v>3674</v>
      </c>
      <c r="CT120" t="s">
        <v>1403</v>
      </c>
      <c r="CU120" t="s">
        <v>3666</v>
      </c>
      <c r="CV120" t="s">
        <v>3980</v>
      </c>
      <c r="CW120" t="s">
        <v>3676</v>
      </c>
      <c r="CX120" t="s">
        <v>3669</v>
      </c>
      <c r="DC120" t="s">
        <v>3677</v>
      </c>
      <c r="DE120" t="s">
        <v>3670</v>
      </c>
      <c r="DG120" t="s">
        <v>3678</v>
      </c>
      <c r="DH120" s="54">
        <v>43147</v>
      </c>
      <c r="DI120" s="54">
        <v>43168</v>
      </c>
    </row>
    <row r="121" spans="1:113" x14ac:dyDescent="0.25">
      <c r="A121" t="s">
        <v>1021</v>
      </c>
      <c r="B121">
        <v>34</v>
      </c>
      <c r="C121" s="54">
        <v>43208</v>
      </c>
      <c r="D121" t="s">
        <v>1143</v>
      </c>
      <c r="E121" t="s">
        <v>1437</v>
      </c>
      <c r="G121" t="s">
        <v>3981</v>
      </c>
      <c r="H121" t="s">
        <v>1382</v>
      </c>
      <c r="I121" t="s">
        <v>1382</v>
      </c>
      <c r="J121" t="s">
        <v>1382</v>
      </c>
      <c r="K121" t="s">
        <v>1382</v>
      </c>
      <c r="L121">
        <v>4.8899999999999997</v>
      </c>
      <c r="M121">
        <v>8.57</v>
      </c>
      <c r="N121">
        <v>0</v>
      </c>
      <c r="O121" s="54"/>
      <c r="P121" s="54"/>
      <c r="Q121">
        <v>5</v>
      </c>
      <c r="R121">
        <v>14</v>
      </c>
      <c r="S121">
        <v>37</v>
      </c>
      <c r="T121">
        <v>20</v>
      </c>
      <c r="U121">
        <v>17</v>
      </c>
      <c r="V121">
        <v>1</v>
      </c>
      <c r="W121" t="s">
        <v>1391</v>
      </c>
      <c r="X121" t="s">
        <v>3681</v>
      </c>
      <c r="AA121">
        <v>2.5</v>
      </c>
      <c r="AB121">
        <v>139</v>
      </c>
      <c r="AC121">
        <v>2.5</v>
      </c>
      <c r="AD121">
        <v>0</v>
      </c>
      <c r="AE121">
        <v>0.1</v>
      </c>
      <c r="AF121">
        <v>21</v>
      </c>
      <c r="AG121">
        <v>0</v>
      </c>
      <c r="AJ121" s="54"/>
      <c r="AK121" s="54"/>
      <c r="AL121" s="54"/>
      <c r="AO121">
        <v>1</v>
      </c>
      <c r="AP121" t="s">
        <v>1383</v>
      </c>
      <c r="AR121">
        <v>1</v>
      </c>
      <c r="AS121" t="s">
        <v>1384</v>
      </c>
      <c r="AT121">
        <v>1</v>
      </c>
      <c r="AV121">
        <v>25</v>
      </c>
      <c r="AW121">
        <v>17</v>
      </c>
      <c r="AX121">
        <v>8</v>
      </c>
      <c r="AY121" t="s">
        <v>838</v>
      </c>
      <c r="AZ121" t="s">
        <v>838</v>
      </c>
      <c r="BA121">
        <v>30</v>
      </c>
      <c r="BD121">
        <v>1000000000</v>
      </c>
      <c r="BE121">
        <v>0</v>
      </c>
      <c r="BF121">
        <v>1</v>
      </c>
      <c r="BG121">
        <v>0</v>
      </c>
      <c r="BH121">
        <v>0</v>
      </c>
      <c r="BI121">
        <v>0</v>
      </c>
      <c r="BJ121">
        <v>0</v>
      </c>
      <c r="BK121">
        <v>0</v>
      </c>
      <c r="BL121">
        <v>0</v>
      </c>
      <c r="BM121">
        <v>0</v>
      </c>
      <c r="BN121">
        <v>1</v>
      </c>
      <c r="BR121">
        <v>25</v>
      </c>
      <c r="BS121">
        <v>11</v>
      </c>
      <c r="BX121">
        <v>29.44</v>
      </c>
      <c r="BY121">
        <v>0</v>
      </c>
      <c r="BZ121">
        <v>0</v>
      </c>
      <c r="CA121">
        <v>0.98</v>
      </c>
      <c r="CC121">
        <v>1</v>
      </c>
      <c r="CD121" s="54">
        <v>43038</v>
      </c>
      <c r="CE121" s="54"/>
      <c r="CF121" s="54">
        <v>43038</v>
      </c>
      <c r="CG121" s="54">
        <v>43297</v>
      </c>
      <c r="CH121" s="54">
        <v>43132</v>
      </c>
      <c r="CI121" s="54">
        <v>43195</v>
      </c>
      <c r="CJ121">
        <v>1.27</v>
      </c>
      <c r="CK121">
        <v>0</v>
      </c>
      <c r="CL121">
        <v>0.41</v>
      </c>
      <c r="CM121">
        <v>0</v>
      </c>
      <c r="CN121">
        <v>0</v>
      </c>
      <c r="CO121">
        <v>0.24</v>
      </c>
      <c r="CP121">
        <v>0.03</v>
      </c>
      <c r="CQ121" t="s">
        <v>1144</v>
      </c>
      <c r="CR121" t="s">
        <v>1143</v>
      </c>
      <c r="CS121" t="s">
        <v>3674</v>
      </c>
      <c r="CT121" t="s">
        <v>1403</v>
      </c>
      <c r="CU121" t="s">
        <v>3666</v>
      </c>
      <c r="CV121" t="s">
        <v>3982</v>
      </c>
      <c r="CW121" t="s">
        <v>3676</v>
      </c>
      <c r="CX121" t="s">
        <v>3669</v>
      </c>
      <c r="DC121" t="s">
        <v>3677</v>
      </c>
      <c r="DE121" t="s">
        <v>3670</v>
      </c>
      <c r="DG121" t="s">
        <v>3678</v>
      </c>
      <c r="DH121" s="54">
        <v>43251</v>
      </c>
      <c r="DI121" s="54">
        <v>43272</v>
      </c>
    </row>
    <row r="122" spans="1:113" x14ac:dyDescent="0.25">
      <c r="A122" t="s">
        <v>1021</v>
      </c>
      <c r="B122">
        <v>34</v>
      </c>
      <c r="C122" s="54">
        <v>43208</v>
      </c>
      <c r="D122" t="s">
        <v>1143</v>
      </c>
      <c r="E122" t="s">
        <v>1438</v>
      </c>
      <c r="G122" t="s">
        <v>3983</v>
      </c>
      <c r="H122" t="s">
        <v>1382</v>
      </c>
      <c r="I122" t="s">
        <v>1382</v>
      </c>
      <c r="J122" t="s">
        <v>1382</v>
      </c>
      <c r="K122" t="s">
        <v>1382</v>
      </c>
      <c r="L122">
        <v>22.05</v>
      </c>
      <c r="M122">
        <v>42.83</v>
      </c>
      <c r="N122">
        <v>0</v>
      </c>
      <c r="O122" s="54"/>
      <c r="P122" s="54"/>
      <c r="Q122">
        <v>5</v>
      </c>
      <c r="R122">
        <v>14</v>
      </c>
      <c r="S122">
        <v>37</v>
      </c>
      <c r="T122">
        <v>20</v>
      </c>
      <c r="U122">
        <v>17</v>
      </c>
      <c r="V122">
        <v>1</v>
      </c>
      <c r="W122" t="s">
        <v>1391</v>
      </c>
      <c r="X122" t="s">
        <v>3681</v>
      </c>
      <c r="AA122">
        <v>0.13</v>
      </c>
      <c r="AB122">
        <v>8</v>
      </c>
      <c r="AC122">
        <v>19.23</v>
      </c>
      <c r="AD122">
        <v>15.38</v>
      </c>
      <c r="AE122">
        <v>1.92</v>
      </c>
      <c r="AF122">
        <v>0</v>
      </c>
      <c r="AG122">
        <v>0</v>
      </c>
      <c r="AJ122" s="54"/>
      <c r="AK122" s="54"/>
      <c r="AL122" s="54"/>
      <c r="AO122">
        <v>1</v>
      </c>
      <c r="AP122" t="s">
        <v>1383</v>
      </c>
      <c r="AR122">
        <v>1</v>
      </c>
      <c r="AS122" t="s">
        <v>1384</v>
      </c>
      <c r="AT122">
        <v>1</v>
      </c>
      <c r="AV122">
        <v>10</v>
      </c>
      <c r="AW122">
        <v>7</v>
      </c>
      <c r="AX122">
        <v>3</v>
      </c>
      <c r="AY122" t="s">
        <v>1390</v>
      </c>
      <c r="AZ122" t="s">
        <v>1390</v>
      </c>
      <c r="BA122">
        <v>15</v>
      </c>
      <c r="BD122">
        <v>1000000000</v>
      </c>
      <c r="BE122">
        <v>8</v>
      </c>
      <c r="BF122">
        <v>0.2</v>
      </c>
      <c r="BG122">
        <v>0</v>
      </c>
      <c r="BH122">
        <v>0</v>
      </c>
      <c r="BI122">
        <v>0</v>
      </c>
      <c r="BJ122">
        <v>0</v>
      </c>
      <c r="BK122">
        <v>0</v>
      </c>
      <c r="BL122">
        <v>0</v>
      </c>
      <c r="BM122">
        <v>8</v>
      </c>
      <c r="BN122">
        <v>0.2</v>
      </c>
      <c r="BR122">
        <v>2</v>
      </c>
      <c r="BS122">
        <v>5</v>
      </c>
      <c r="BX122">
        <v>0</v>
      </c>
      <c r="BY122">
        <v>0</v>
      </c>
      <c r="BZ122">
        <v>0</v>
      </c>
      <c r="CA122">
        <v>1.22</v>
      </c>
      <c r="CC122">
        <v>1</v>
      </c>
      <c r="CD122" s="54">
        <v>43038</v>
      </c>
      <c r="CE122" s="54"/>
      <c r="CF122" s="54">
        <v>43038</v>
      </c>
      <c r="CG122" s="54">
        <v>43297</v>
      </c>
      <c r="CH122" s="54">
        <v>42816</v>
      </c>
      <c r="CI122" s="54">
        <v>42900</v>
      </c>
      <c r="CJ122">
        <v>0.11</v>
      </c>
      <c r="CK122">
        <v>0</v>
      </c>
      <c r="CL122">
        <v>0</v>
      </c>
      <c r="CM122">
        <v>0</v>
      </c>
      <c r="CN122">
        <v>0</v>
      </c>
      <c r="CO122">
        <v>0.3</v>
      </c>
      <c r="CP122">
        <v>0.38</v>
      </c>
      <c r="CQ122" t="s">
        <v>1144</v>
      </c>
      <c r="CR122" t="s">
        <v>1143</v>
      </c>
      <c r="CS122" t="s">
        <v>3674</v>
      </c>
      <c r="CT122" t="s">
        <v>1403</v>
      </c>
      <c r="CU122" t="s">
        <v>3666</v>
      </c>
      <c r="CV122" t="s">
        <v>3984</v>
      </c>
      <c r="CW122" t="s">
        <v>3676</v>
      </c>
      <c r="CX122" t="s">
        <v>3669</v>
      </c>
      <c r="DC122" t="s">
        <v>3677</v>
      </c>
      <c r="DE122" t="s">
        <v>3670</v>
      </c>
      <c r="DG122" t="s">
        <v>3835</v>
      </c>
      <c r="DH122" s="54">
        <v>42935</v>
      </c>
      <c r="DI122" s="54">
        <v>42956</v>
      </c>
    </row>
    <row r="123" spans="1:113" x14ac:dyDescent="0.25">
      <c r="A123" t="s">
        <v>1021</v>
      </c>
      <c r="B123">
        <v>34</v>
      </c>
      <c r="C123" s="54">
        <v>43208</v>
      </c>
      <c r="D123" t="s">
        <v>1143</v>
      </c>
      <c r="E123" t="s">
        <v>3090</v>
      </c>
      <c r="G123" t="s">
        <v>3985</v>
      </c>
      <c r="H123" t="s">
        <v>1382</v>
      </c>
      <c r="I123" t="s">
        <v>1382</v>
      </c>
      <c r="J123" t="s">
        <v>1382</v>
      </c>
      <c r="K123" t="s">
        <v>1382</v>
      </c>
      <c r="L123">
        <v>0.55000000000000004</v>
      </c>
      <c r="M123">
        <v>1.3</v>
      </c>
      <c r="N123">
        <v>0</v>
      </c>
      <c r="O123" s="54"/>
      <c r="P123" s="54"/>
      <c r="Q123">
        <v>5</v>
      </c>
      <c r="R123">
        <v>14</v>
      </c>
      <c r="S123">
        <v>37</v>
      </c>
      <c r="T123">
        <v>20</v>
      </c>
      <c r="U123">
        <v>17</v>
      </c>
      <c r="V123">
        <v>1</v>
      </c>
      <c r="X123" t="s">
        <v>3673</v>
      </c>
      <c r="Z123" t="s">
        <v>3693</v>
      </c>
      <c r="AA123">
        <v>0.04</v>
      </c>
      <c r="AB123">
        <v>3</v>
      </c>
      <c r="AC123">
        <v>187.5</v>
      </c>
      <c r="AD123">
        <v>306.25</v>
      </c>
      <c r="AE123">
        <v>6.25</v>
      </c>
      <c r="AF123">
        <v>0</v>
      </c>
      <c r="AG123">
        <v>0</v>
      </c>
      <c r="AJ123" s="54"/>
      <c r="AK123" s="54"/>
      <c r="AL123" s="54"/>
      <c r="AO123">
        <v>1</v>
      </c>
      <c r="AP123" t="s">
        <v>1383</v>
      </c>
      <c r="AR123">
        <v>1</v>
      </c>
      <c r="AS123" t="s">
        <v>1384</v>
      </c>
      <c r="AT123">
        <v>1</v>
      </c>
      <c r="AV123">
        <v>30</v>
      </c>
      <c r="AW123">
        <v>20</v>
      </c>
      <c r="AX123">
        <v>10</v>
      </c>
      <c r="AY123" t="s">
        <v>1389</v>
      </c>
      <c r="AZ123" t="s">
        <v>1389</v>
      </c>
      <c r="BA123">
        <v>0</v>
      </c>
      <c r="BD123">
        <v>1000000000</v>
      </c>
      <c r="BE123">
        <v>49</v>
      </c>
      <c r="BF123">
        <v>-0.63</v>
      </c>
      <c r="BG123">
        <v>0</v>
      </c>
      <c r="BH123">
        <v>0</v>
      </c>
      <c r="BI123">
        <v>0</v>
      </c>
      <c r="BJ123">
        <v>0</v>
      </c>
      <c r="BK123">
        <v>0</v>
      </c>
      <c r="BL123">
        <v>0</v>
      </c>
      <c r="BM123">
        <v>49</v>
      </c>
      <c r="BN123">
        <v>-0.63</v>
      </c>
      <c r="BR123">
        <v>0</v>
      </c>
      <c r="BS123">
        <v>14</v>
      </c>
      <c r="BX123">
        <v>0</v>
      </c>
      <c r="BY123">
        <v>10.45</v>
      </c>
      <c r="BZ123">
        <v>0</v>
      </c>
      <c r="CA123">
        <v>1.77</v>
      </c>
      <c r="CC123">
        <v>0</v>
      </c>
      <c r="CD123" s="54">
        <v>42836</v>
      </c>
      <c r="CE123" s="54"/>
      <c r="CF123" s="54">
        <v>42949</v>
      </c>
      <c r="CG123" s="54">
        <v>43208</v>
      </c>
      <c r="CH123" s="54">
        <v>0</v>
      </c>
      <c r="CI123" s="54">
        <v>0</v>
      </c>
      <c r="CJ123">
        <v>0.01</v>
      </c>
      <c r="CK123">
        <v>0</v>
      </c>
      <c r="CL123">
        <v>0</v>
      </c>
      <c r="CM123">
        <v>0</v>
      </c>
      <c r="CN123">
        <v>0</v>
      </c>
      <c r="CO123">
        <v>0</v>
      </c>
      <c r="CP123">
        <v>0.94</v>
      </c>
      <c r="CQ123" t="s">
        <v>1144</v>
      </c>
      <c r="CR123" t="s">
        <v>1143</v>
      </c>
      <c r="CS123" t="s">
        <v>3674</v>
      </c>
      <c r="CT123" t="s">
        <v>1403</v>
      </c>
      <c r="CU123" t="s">
        <v>3666</v>
      </c>
      <c r="CV123" t="s">
        <v>3986</v>
      </c>
      <c r="CW123" t="s">
        <v>3874</v>
      </c>
      <c r="CX123" t="s">
        <v>849</v>
      </c>
      <c r="DC123" t="s">
        <v>3677</v>
      </c>
      <c r="DE123" t="s">
        <v>3870</v>
      </c>
      <c r="DG123" t="s">
        <v>1400</v>
      </c>
      <c r="DH123" s="54"/>
      <c r="DI123" s="54"/>
    </row>
    <row r="124" spans="1:113" x14ac:dyDescent="0.25">
      <c r="A124" t="s">
        <v>1021</v>
      </c>
      <c r="B124">
        <v>34</v>
      </c>
      <c r="C124" s="54">
        <v>43208</v>
      </c>
      <c r="D124" t="s">
        <v>1143</v>
      </c>
      <c r="E124" t="s">
        <v>1439</v>
      </c>
      <c r="G124" t="s">
        <v>3987</v>
      </c>
      <c r="H124" t="s">
        <v>1382</v>
      </c>
      <c r="I124" t="s">
        <v>1382</v>
      </c>
      <c r="J124" t="s">
        <v>1382</v>
      </c>
      <c r="K124" t="s">
        <v>1382</v>
      </c>
      <c r="L124">
        <v>0.4</v>
      </c>
      <c r="M124">
        <v>0.9</v>
      </c>
      <c r="N124">
        <v>0</v>
      </c>
      <c r="O124" s="54"/>
      <c r="P124" s="54"/>
      <c r="Q124">
        <v>5</v>
      </c>
      <c r="R124">
        <v>14</v>
      </c>
      <c r="S124">
        <v>37</v>
      </c>
      <c r="T124">
        <v>20</v>
      </c>
      <c r="U124">
        <v>17</v>
      </c>
      <c r="V124">
        <v>1</v>
      </c>
      <c r="W124" t="s">
        <v>1391</v>
      </c>
      <c r="X124" t="s">
        <v>3774</v>
      </c>
      <c r="AA124">
        <v>1.33</v>
      </c>
      <c r="AB124">
        <v>74</v>
      </c>
      <c r="AC124">
        <v>37.590000000000003</v>
      </c>
      <c r="AD124">
        <v>31.58</v>
      </c>
      <c r="AE124">
        <v>0.19</v>
      </c>
      <c r="AF124">
        <v>0</v>
      </c>
      <c r="AG124">
        <v>0</v>
      </c>
      <c r="AJ124" s="54"/>
      <c r="AK124" s="54"/>
      <c r="AL124" s="54"/>
      <c r="AO124">
        <v>1</v>
      </c>
      <c r="AP124" t="s">
        <v>1383</v>
      </c>
      <c r="AR124">
        <v>1</v>
      </c>
      <c r="AS124" t="s">
        <v>1384</v>
      </c>
      <c r="AT124">
        <v>1</v>
      </c>
      <c r="AV124">
        <v>200</v>
      </c>
      <c r="AW124">
        <v>133</v>
      </c>
      <c r="AX124">
        <v>66</v>
      </c>
      <c r="AY124" t="s">
        <v>1390</v>
      </c>
      <c r="AZ124" t="s">
        <v>1390</v>
      </c>
      <c r="BA124">
        <v>100</v>
      </c>
      <c r="BD124">
        <v>1000000000</v>
      </c>
      <c r="BE124">
        <v>168</v>
      </c>
      <c r="BF124">
        <v>0.16</v>
      </c>
      <c r="BG124">
        <v>0</v>
      </c>
      <c r="BH124">
        <v>0</v>
      </c>
      <c r="BI124">
        <v>0</v>
      </c>
      <c r="BJ124">
        <v>0</v>
      </c>
      <c r="BK124">
        <v>0</v>
      </c>
      <c r="BL124">
        <v>0</v>
      </c>
      <c r="BM124">
        <v>168</v>
      </c>
      <c r="BN124">
        <v>0.16</v>
      </c>
      <c r="BR124">
        <v>32</v>
      </c>
      <c r="BS124">
        <v>92</v>
      </c>
      <c r="BX124">
        <v>0</v>
      </c>
      <c r="BY124">
        <v>0</v>
      </c>
      <c r="BZ124">
        <v>0</v>
      </c>
      <c r="CA124">
        <v>1.62</v>
      </c>
      <c r="CC124">
        <v>0</v>
      </c>
      <c r="CD124" s="54">
        <v>42894</v>
      </c>
      <c r="CE124" s="54"/>
      <c r="CF124" s="54">
        <v>42949</v>
      </c>
      <c r="CG124" s="54">
        <v>43208</v>
      </c>
      <c r="CH124" s="54">
        <v>43007</v>
      </c>
      <c r="CI124" s="54">
        <v>43122</v>
      </c>
      <c r="CJ124">
        <v>0.76</v>
      </c>
      <c r="CK124">
        <v>0</v>
      </c>
      <c r="CL124">
        <v>0</v>
      </c>
      <c r="CM124">
        <v>0.6</v>
      </c>
      <c r="CN124">
        <v>0</v>
      </c>
      <c r="CO124">
        <v>0.34</v>
      </c>
      <c r="CP124">
        <v>0</v>
      </c>
      <c r="CQ124" t="s">
        <v>1144</v>
      </c>
      <c r="CR124" t="s">
        <v>1143</v>
      </c>
      <c r="CS124" t="s">
        <v>3674</v>
      </c>
      <c r="CT124" t="s">
        <v>1403</v>
      </c>
      <c r="CU124" t="s">
        <v>3666</v>
      </c>
      <c r="CV124" t="s">
        <v>3988</v>
      </c>
      <c r="CW124" t="s">
        <v>3874</v>
      </c>
      <c r="CX124" t="s">
        <v>849</v>
      </c>
      <c r="DC124" t="s">
        <v>3677</v>
      </c>
      <c r="DE124" t="s">
        <v>3870</v>
      </c>
      <c r="DG124" t="s">
        <v>3706</v>
      </c>
      <c r="DH124" s="54">
        <v>43126</v>
      </c>
      <c r="DI124" s="54">
        <v>43147</v>
      </c>
    </row>
    <row r="125" spans="1:113" x14ac:dyDescent="0.25">
      <c r="A125" t="s">
        <v>1021</v>
      </c>
      <c r="B125">
        <v>34</v>
      </c>
      <c r="C125" s="54">
        <v>43208</v>
      </c>
      <c r="D125" t="s">
        <v>1143</v>
      </c>
      <c r="E125" t="s">
        <v>3989</v>
      </c>
      <c r="G125" t="s">
        <v>3990</v>
      </c>
      <c r="H125" t="s">
        <v>1382</v>
      </c>
      <c r="I125" t="s">
        <v>1382</v>
      </c>
      <c r="J125" t="s">
        <v>1382</v>
      </c>
      <c r="K125" t="s">
        <v>1382</v>
      </c>
      <c r="L125">
        <v>1.17</v>
      </c>
      <c r="M125">
        <v>2.5</v>
      </c>
      <c r="N125">
        <v>0</v>
      </c>
      <c r="O125" s="54"/>
      <c r="P125" s="54"/>
      <c r="Q125">
        <v>5</v>
      </c>
      <c r="R125">
        <v>14</v>
      </c>
      <c r="S125">
        <v>37</v>
      </c>
      <c r="T125">
        <v>20</v>
      </c>
      <c r="U125">
        <v>17</v>
      </c>
      <c r="V125">
        <v>1</v>
      </c>
      <c r="W125" t="s">
        <v>1391</v>
      </c>
      <c r="X125" t="s">
        <v>3673</v>
      </c>
      <c r="Y125">
        <v>17</v>
      </c>
      <c r="AA125">
        <v>0</v>
      </c>
      <c r="AB125">
        <v>0</v>
      </c>
      <c r="AC125">
        <v>0</v>
      </c>
      <c r="AD125">
        <v>0</v>
      </c>
      <c r="AE125">
        <v>0</v>
      </c>
      <c r="AF125">
        <v>0</v>
      </c>
      <c r="AG125">
        <v>0</v>
      </c>
      <c r="AJ125" s="54"/>
      <c r="AK125" s="54"/>
      <c r="AL125" s="54"/>
      <c r="AO125">
        <v>1</v>
      </c>
      <c r="AP125" t="s">
        <v>1383</v>
      </c>
      <c r="AR125">
        <v>1</v>
      </c>
      <c r="AS125" t="s">
        <v>1384</v>
      </c>
      <c r="AT125">
        <v>1</v>
      </c>
      <c r="AV125">
        <v>25</v>
      </c>
      <c r="AW125">
        <v>17</v>
      </c>
      <c r="AX125">
        <v>8</v>
      </c>
      <c r="AY125" t="s">
        <v>1390</v>
      </c>
      <c r="AZ125" t="s">
        <v>1390</v>
      </c>
      <c r="BA125">
        <v>0</v>
      </c>
      <c r="BD125">
        <v>1000000000</v>
      </c>
      <c r="BE125">
        <v>25</v>
      </c>
      <c r="BF125">
        <v>0</v>
      </c>
      <c r="BG125">
        <v>0</v>
      </c>
      <c r="BH125">
        <v>0</v>
      </c>
      <c r="BI125">
        <v>0</v>
      </c>
      <c r="BJ125">
        <v>0</v>
      </c>
      <c r="BK125">
        <v>0</v>
      </c>
      <c r="BL125">
        <v>0</v>
      </c>
      <c r="BM125">
        <v>25</v>
      </c>
      <c r="BN125">
        <v>0</v>
      </c>
      <c r="BR125">
        <v>0</v>
      </c>
      <c r="BS125">
        <v>11</v>
      </c>
      <c r="BX125">
        <v>0</v>
      </c>
      <c r="BY125">
        <v>0</v>
      </c>
      <c r="BZ125">
        <v>0</v>
      </c>
      <c r="CA125">
        <v>1.47</v>
      </c>
      <c r="CC125">
        <v>0</v>
      </c>
      <c r="CD125" s="54">
        <v>42836</v>
      </c>
      <c r="CE125" s="54"/>
      <c r="CF125" s="54">
        <v>42949</v>
      </c>
      <c r="CG125" s="54">
        <v>43208</v>
      </c>
      <c r="CH125" s="54">
        <v>0</v>
      </c>
      <c r="CI125" s="54">
        <v>0</v>
      </c>
      <c r="CJ125">
        <v>0</v>
      </c>
      <c r="CK125">
        <v>0</v>
      </c>
      <c r="CL125">
        <v>0</v>
      </c>
      <c r="CM125">
        <v>0</v>
      </c>
      <c r="CN125">
        <v>0</v>
      </c>
      <c r="CO125">
        <v>0.94</v>
      </c>
      <c r="CP125">
        <v>0</v>
      </c>
      <c r="CQ125" t="s">
        <v>1144</v>
      </c>
      <c r="CR125" t="s">
        <v>1143</v>
      </c>
      <c r="CS125" t="s">
        <v>3674</v>
      </c>
      <c r="CT125" t="s">
        <v>1403</v>
      </c>
      <c r="CU125" t="s">
        <v>3666</v>
      </c>
      <c r="CV125" t="s">
        <v>3991</v>
      </c>
      <c r="CW125" t="s">
        <v>3874</v>
      </c>
      <c r="CX125" t="s">
        <v>849</v>
      </c>
      <c r="DC125" t="s">
        <v>3677</v>
      </c>
      <c r="DE125" t="s">
        <v>3870</v>
      </c>
      <c r="DG125" t="s">
        <v>1400</v>
      </c>
      <c r="DH125" s="54"/>
      <c r="DI125" s="54"/>
    </row>
    <row r="126" spans="1:113" x14ac:dyDescent="0.25">
      <c r="A126" t="s">
        <v>1021</v>
      </c>
      <c r="B126">
        <v>34</v>
      </c>
      <c r="C126" s="54">
        <v>43208</v>
      </c>
      <c r="D126" t="s">
        <v>1143</v>
      </c>
      <c r="E126" t="s">
        <v>3992</v>
      </c>
      <c r="G126" t="s">
        <v>3993</v>
      </c>
      <c r="H126" t="s">
        <v>1382</v>
      </c>
      <c r="I126" t="s">
        <v>1382</v>
      </c>
      <c r="J126" t="s">
        <v>1382</v>
      </c>
      <c r="K126" t="s">
        <v>1382</v>
      </c>
      <c r="L126">
        <v>0.59</v>
      </c>
      <c r="M126">
        <v>1.5</v>
      </c>
      <c r="N126">
        <v>0</v>
      </c>
      <c r="O126" s="54"/>
      <c r="P126" s="54"/>
      <c r="Q126">
        <v>5</v>
      </c>
      <c r="R126">
        <v>14</v>
      </c>
      <c r="S126">
        <v>37</v>
      </c>
      <c r="T126">
        <v>20</v>
      </c>
      <c r="U126">
        <v>17</v>
      </c>
      <c r="V126">
        <v>1</v>
      </c>
      <c r="W126" t="s">
        <v>1391</v>
      </c>
      <c r="X126" t="s">
        <v>3673</v>
      </c>
      <c r="Y126">
        <v>17</v>
      </c>
      <c r="AA126">
        <v>0</v>
      </c>
      <c r="AB126">
        <v>0</v>
      </c>
      <c r="AC126">
        <v>0</v>
      </c>
      <c r="AD126">
        <v>0</v>
      </c>
      <c r="AE126">
        <v>0</v>
      </c>
      <c r="AF126">
        <v>0</v>
      </c>
      <c r="AG126">
        <v>0</v>
      </c>
      <c r="AJ126" s="54"/>
      <c r="AK126" s="54"/>
      <c r="AL126" s="54"/>
      <c r="AO126">
        <v>1</v>
      </c>
      <c r="AP126" t="s">
        <v>1383</v>
      </c>
      <c r="AR126">
        <v>1</v>
      </c>
      <c r="AS126" t="s">
        <v>1384</v>
      </c>
      <c r="AT126">
        <v>1</v>
      </c>
      <c r="AV126">
        <v>25</v>
      </c>
      <c r="AW126">
        <v>17</v>
      </c>
      <c r="AX126">
        <v>8</v>
      </c>
      <c r="AY126" t="s">
        <v>1390</v>
      </c>
      <c r="AZ126" t="s">
        <v>1390</v>
      </c>
      <c r="BA126">
        <v>0</v>
      </c>
      <c r="BD126">
        <v>1000000000</v>
      </c>
      <c r="BE126">
        <v>25</v>
      </c>
      <c r="BF126">
        <v>0</v>
      </c>
      <c r="BG126">
        <v>0</v>
      </c>
      <c r="BH126">
        <v>0</v>
      </c>
      <c r="BI126">
        <v>0</v>
      </c>
      <c r="BJ126">
        <v>0</v>
      </c>
      <c r="BK126">
        <v>0</v>
      </c>
      <c r="BL126">
        <v>0</v>
      </c>
      <c r="BM126">
        <v>25</v>
      </c>
      <c r="BN126">
        <v>0</v>
      </c>
      <c r="BR126">
        <v>0</v>
      </c>
      <c r="BS126">
        <v>11</v>
      </c>
      <c r="BX126">
        <v>0</v>
      </c>
      <c r="BY126">
        <v>0</v>
      </c>
      <c r="BZ126">
        <v>0</v>
      </c>
      <c r="CA126">
        <v>2</v>
      </c>
      <c r="CC126">
        <v>0</v>
      </c>
      <c r="CD126" s="54">
        <v>42836</v>
      </c>
      <c r="CE126" s="54"/>
      <c r="CF126" s="54">
        <v>42949</v>
      </c>
      <c r="CG126" s="54">
        <v>43208</v>
      </c>
      <c r="CH126" s="54">
        <v>0</v>
      </c>
      <c r="CI126" s="54">
        <v>0</v>
      </c>
      <c r="CJ126">
        <v>0</v>
      </c>
      <c r="CK126">
        <v>0</v>
      </c>
      <c r="CL126">
        <v>0</v>
      </c>
      <c r="CM126">
        <v>0</v>
      </c>
      <c r="CN126">
        <v>0</v>
      </c>
      <c r="CO126">
        <v>0.94</v>
      </c>
      <c r="CP126">
        <v>0</v>
      </c>
      <c r="CQ126" t="s">
        <v>1144</v>
      </c>
      <c r="CR126" t="s">
        <v>1143</v>
      </c>
      <c r="CS126" t="s">
        <v>3674</v>
      </c>
      <c r="CT126" t="s">
        <v>1403</v>
      </c>
      <c r="CU126" t="s">
        <v>3666</v>
      </c>
      <c r="CV126" t="s">
        <v>3994</v>
      </c>
      <c r="CW126" t="s">
        <v>3874</v>
      </c>
      <c r="CX126" t="s">
        <v>849</v>
      </c>
      <c r="DC126" t="s">
        <v>3677</v>
      </c>
      <c r="DE126" t="s">
        <v>3870</v>
      </c>
      <c r="DG126" t="s">
        <v>1400</v>
      </c>
      <c r="DH126" s="54"/>
      <c r="DI126" s="54"/>
    </row>
    <row r="127" spans="1:113" x14ac:dyDescent="0.25">
      <c r="A127" t="s">
        <v>1021</v>
      </c>
      <c r="B127">
        <v>34</v>
      </c>
      <c r="C127" s="54">
        <v>43208</v>
      </c>
      <c r="D127" t="s">
        <v>1143</v>
      </c>
      <c r="E127" t="s">
        <v>3995</v>
      </c>
      <c r="G127" t="s">
        <v>3996</v>
      </c>
      <c r="H127" t="s">
        <v>1382</v>
      </c>
      <c r="I127" t="s">
        <v>1382</v>
      </c>
      <c r="J127" t="s">
        <v>1382</v>
      </c>
      <c r="K127" t="s">
        <v>1382</v>
      </c>
      <c r="L127">
        <v>3.17</v>
      </c>
      <c r="M127">
        <v>8</v>
      </c>
      <c r="N127">
        <v>0</v>
      </c>
      <c r="O127" s="54"/>
      <c r="P127" s="54"/>
      <c r="Q127">
        <v>5</v>
      </c>
      <c r="R127">
        <v>14</v>
      </c>
      <c r="S127">
        <v>37</v>
      </c>
      <c r="T127">
        <v>20</v>
      </c>
      <c r="U127">
        <v>17</v>
      </c>
      <c r="V127">
        <v>1</v>
      </c>
      <c r="X127" t="s">
        <v>3997</v>
      </c>
      <c r="AA127">
        <v>0</v>
      </c>
      <c r="AB127">
        <v>0</v>
      </c>
      <c r="AC127">
        <v>0</v>
      </c>
      <c r="AD127">
        <v>0</v>
      </c>
      <c r="AE127">
        <v>0</v>
      </c>
      <c r="AF127">
        <v>0</v>
      </c>
      <c r="AG127">
        <v>0</v>
      </c>
      <c r="AJ127" s="54"/>
      <c r="AK127" s="54"/>
      <c r="AL127" s="54"/>
      <c r="AO127">
        <v>1</v>
      </c>
      <c r="AP127" t="s">
        <v>1383</v>
      </c>
      <c r="AR127">
        <v>1</v>
      </c>
      <c r="AS127" t="s">
        <v>1384</v>
      </c>
      <c r="AT127">
        <v>1</v>
      </c>
      <c r="AV127">
        <v>0</v>
      </c>
      <c r="AW127">
        <v>0</v>
      </c>
      <c r="AX127">
        <v>0</v>
      </c>
      <c r="AY127" t="s">
        <v>1385</v>
      </c>
      <c r="AZ127" t="s">
        <v>1385</v>
      </c>
      <c r="BA127">
        <v>5</v>
      </c>
      <c r="BD127">
        <v>1000000000</v>
      </c>
      <c r="BE127">
        <v>2</v>
      </c>
      <c r="BF127">
        <v>0</v>
      </c>
      <c r="BG127">
        <v>0</v>
      </c>
      <c r="BH127">
        <v>0</v>
      </c>
      <c r="BI127">
        <v>0</v>
      </c>
      <c r="BJ127">
        <v>0</v>
      </c>
      <c r="BK127">
        <v>0</v>
      </c>
      <c r="BL127">
        <v>0</v>
      </c>
      <c r="BM127">
        <v>2</v>
      </c>
      <c r="BN127">
        <v>0</v>
      </c>
      <c r="BR127">
        <v>0</v>
      </c>
      <c r="BS127">
        <v>0</v>
      </c>
      <c r="BX127">
        <v>0</v>
      </c>
      <c r="BY127">
        <v>0</v>
      </c>
      <c r="BZ127">
        <v>0</v>
      </c>
      <c r="CA127">
        <v>0</v>
      </c>
      <c r="CC127">
        <v>1</v>
      </c>
      <c r="CD127" s="54">
        <v>43011</v>
      </c>
      <c r="CE127" s="54"/>
      <c r="CF127" s="54">
        <v>43011</v>
      </c>
      <c r="CG127" s="54">
        <v>43270</v>
      </c>
      <c r="CH127" s="54">
        <v>42816</v>
      </c>
      <c r="CI127" s="54">
        <v>42900</v>
      </c>
      <c r="CJ127">
        <v>0</v>
      </c>
      <c r="CK127">
        <v>0</v>
      </c>
      <c r="CL127">
        <v>0</v>
      </c>
      <c r="CM127">
        <v>0</v>
      </c>
      <c r="CN127">
        <v>0</v>
      </c>
      <c r="CO127">
        <v>0</v>
      </c>
      <c r="CP127">
        <v>0.76</v>
      </c>
      <c r="CQ127" t="s">
        <v>1144</v>
      </c>
      <c r="CR127" t="s">
        <v>1143</v>
      </c>
      <c r="CS127" t="s">
        <v>3674</v>
      </c>
      <c r="CT127" t="s">
        <v>1403</v>
      </c>
      <c r="CU127" t="s">
        <v>3666</v>
      </c>
      <c r="CV127" t="s">
        <v>3998</v>
      </c>
      <c r="CW127" t="s">
        <v>3676</v>
      </c>
      <c r="CX127" t="s">
        <v>3669</v>
      </c>
      <c r="DC127" t="s">
        <v>3677</v>
      </c>
      <c r="DE127" t="s">
        <v>3670</v>
      </c>
      <c r="DH127" s="54">
        <v>42935</v>
      </c>
      <c r="DI127" s="54">
        <v>42956</v>
      </c>
    </row>
    <row r="128" spans="1:113" x14ac:dyDescent="0.25">
      <c r="A128" t="s">
        <v>1021</v>
      </c>
      <c r="B128">
        <v>5</v>
      </c>
      <c r="C128" s="54">
        <v>43208</v>
      </c>
      <c r="D128" t="s">
        <v>1143</v>
      </c>
      <c r="E128" t="s">
        <v>3254</v>
      </c>
      <c r="G128" t="s">
        <v>3999</v>
      </c>
      <c r="H128" t="s">
        <v>1382</v>
      </c>
      <c r="I128" t="s">
        <v>1382</v>
      </c>
      <c r="J128" t="s">
        <v>1382</v>
      </c>
      <c r="K128" t="s">
        <v>1382</v>
      </c>
      <c r="L128">
        <v>20.32</v>
      </c>
      <c r="M128">
        <v>45</v>
      </c>
      <c r="N128">
        <v>0</v>
      </c>
      <c r="O128" s="54"/>
      <c r="P128" s="54"/>
      <c r="Q128">
        <v>5</v>
      </c>
      <c r="R128">
        <v>15</v>
      </c>
      <c r="S128">
        <v>25</v>
      </c>
      <c r="T128">
        <v>12</v>
      </c>
      <c r="U128">
        <v>13</v>
      </c>
      <c r="V128">
        <v>1</v>
      </c>
      <c r="X128" t="s">
        <v>4000</v>
      </c>
      <c r="Z128" t="s">
        <v>3693</v>
      </c>
      <c r="AA128">
        <v>0.42</v>
      </c>
      <c r="AB128">
        <v>16</v>
      </c>
      <c r="AC128">
        <v>59.52</v>
      </c>
      <c r="AD128">
        <v>67.86</v>
      </c>
      <c r="AE128">
        <v>0.6</v>
      </c>
      <c r="AF128">
        <v>0</v>
      </c>
      <c r="AG128">
        <v>0</v>
      </c>
      <c r="AJ128" s="54"/>
      <c r="AK128" s="54"/>
      <c r="AL128" s="54">
        <v>42849</v>
      </c>
      <c r="AO128">
        <v>1</v>
      </c>
      <c r="AP128" t="s">
        <v>1383</v>
      </c>
      <c r="AR128">
        <v>1</v>
      </c>
      <c r="AS128" t="s">
        <v>1384</v>
      </c>
      <c r="AT128">
        <v>1</v>
      </c>
      <c r="AV128">
        <v>100</v>
      </c>
      <c r="AW128">
        <v>67</v>
      </c>
      <c r="AX128">
        <v>33</v>
      </c>
      <c r="AY128" t="s">
        <v>1389</v>
      </c>
      <c r="AZ128" t="s">
        <v>1389</v>
      </c>
      <c r="BA128">
        <v>30</v>
      </c>
      <c r="BD128">
        <v>1000000000</v>
      </c>
      <c r="BE128">
        <v>114</v>
      </c>
      <c r="BF128">
        <v>-0.14000000000000001</v>
      </c>
      <c r="BG128">
        <v>0</v>
      </c>
      <c r="BH128">
        <v>0</v>
      </c>
      <c r="BI128">
        <v>0</v>
      </c>
      <c r="BJ128">
        <v>0</v>
      </c>
      <c r="BK128">
        <v>0</v>
      </c>
      <c r="BL128">
        <v>0</v>
      </c>
      <c r="BM128">
        <v>114</v>
      </c>
      <c r="BN128">
        <v>-0.14000000000000001</v>
      </c>
      <c r="BR128">
        <v>0</v>
      </c>
      <c r="BS128">
        <v>52</v>
      </c>
      <c r="BX128">
        <v>0</v>
      </c>
      <c r="BY128">
        <v>284.48</v>
      </c>
      <c r="BZ128">
        <v>0</v>
      </c>
      <c r="CA128">
        <v>2.33</v>
      </c>
      <c r="CC128">
        <v>1</v>
      </c>
      <c r="CD128" s="54">
        <v>42772</v>
      </c>
      <c r="CE128" s="54"/>
      <c r="CF128" s="54">
        <v>43033</v>
      </c>
      <c r="CG128" s="54">
        <v>43208</v>
      </c>
      <c r="CH128" s="54">
        <v>42768</v>
      </c>
      <c r="CI128" s="54">
        <v>42852</v>
      </c>
      <c r="CJ128">
        <v>0.02</v>
      </c>
      <c r="CK128">
        <v>0</v>
      </c>
      <c r="CL128">
        <v>0</v>
      </c>
      <c r="CM128">
        <v>0</v>
      </c>
      <c r="CN128">
        <v>0</v>
      </c>
      <c r="CO128">
        <v>0</v>
      </c>
      <c r="CP128">
        <v>0.97</v>
      </c>
      <c r="CQ128" t="s">
        <v>1144</v>
      </c>
      <c r="CR128" t="s">
        <v>1143</v>
      </c>
      <c r="CS128" t="s">
        <v>3665</v>
      </c>
      <c r="CT128" t="s">
        <v>1403</v>
      </c>
      <c r="CU128" t="s">
        <v>3899</v>
      </c>
      <c r="CV128" t="s">
        <v>4001</v>
      </c>
      <c r="CW128" t="s">
        <v>3868</v>
      </c>
      <c r="CX128" t="s">
        <v>849</v>
      </c>
      <c r="DC128" t="s">
        <v>3869</v>
      </c>
      <c r="DE128" t="s">
        <v>3870</v>
      </c>
      <c r="DG128" t="s">
        <v>3678</v>
      </c>
      <c r="DH128" s="54">
        <v>42859</v>
      </c>
      <c r="DI128" s="54">
        <v>42852</v>
      </c>
    </row>
    <row r="129" spans="1:113" x14ac:dyDescent="0.25">
      <c r="A129" t="s">
        <v>1021</v>
      </c>
      <c r="B129">
        <v>34</v>
      </c>
      <c r="C129" s="54">
        <v>43208</v>
      </c>
      <c r="D129" t="s">
        <v>1143</v>
      </c>
      <c r="E129" t="s">
        <v>1440</v>
      </c>
      <c r="G129" t="s">
        <v>4002</v>
      </c>
      <c r="H129" t="s">
        <v>1382</v>
      </c>
      <c r="I129" t="s">
        <v>1382</v>
      </c>
      <c r="J129" t="s">
        <v>1382</v>
      </c>
      <c r="K129" t="s">
        <v>1382</v>
      </c>
      <c r="L129">
        <v>0.3</v>
      </c>
      <c r="M129">
        <v>0.78</v>
      </c>
      <c r="N129">
        <v>0</v>
      </c>
      <c r="O129" s="54"/>
      <c r="P129" s="54"/>
      <c r="Q129">
        <v>5</v>
      </c>
      <c r="R129">
        <v>14</v>
      </c>
      <c r="S129">
        <v>37</v>
      </c>
      <c r="T129">
        <v>20</v>
      </c>
      <c r="U129">
        <v>17</v>
      </c>
      <c r="V129">
        <v>1</v>
      </c>
      <c r="W129" t="s">
        <v>1391</v>
      </c>
      <c r="X129" t="s">
        <v>3774</v>
      </c>
      <c r="AA129">
        <v>6.04</v>
      </c>
      <c r="AB129">
        <v>336</v>
      </c>
      <c r="AC129">
        <v>8.2799999999999994</v>
      </c>
      <c r="AD129">
        <v>3.93</v>
      </c>
      <c r="AE129">
        <v>0.04</v>
      </c>
      <c r="AF129">
        <v>0</v>
      </c>
      <c r="AG129">
        <v>0</v>
      </c>
      <c r="AJ129" s="54"/>
      <c r="AK129" s="54"/>
      <c r="AL129" s="54"/>
      <c r="AO129">
        <v>1</v>
      </c>
      <c r="AP129" t="s">
        <v>1383</v>
      </c>
      <c r="AR129">
        <v>1</v>
      </c>
      <c r="AS129" t="s">
        <v>1384</v>
      </c>
      <c r="AT129">
        <v>1</v>
      </c>
      <c r="AV129">
        <v>200</v>
      </c>
      <c r="AW129">
        <v>133</v>
      </c>
      <c r="AX129">
        <v>66</v>
      </c>
      <c r="AY129" t="s">
        <v>1394</v>
      </c>
      <c r="AZ129" t="s">
        <v>1401</v>
      </c>
      <c r="BA129">
        <v>100</v>
      </c>
      <c r="BD129">
        <v>1000000000</v>
      </c>
      <c r="BE129">
        <v>55</v>
      </c>
      <c r="BF129">
        <v>0.73</v>
      </c>
      <c r="BG129">
        <v>40</v>
      </c>
      <c r="BH129">
        <v>0</v>
      </c>
      <c r="BI129">
        <v>0</v>
      </c>
      <c r="BJ129">
        <v>0</v>
      </c>
      <c r="BK129">
        <v>0</v>
      </c>
      <c r="BL129">
        <v>0</v>
      </c>
      <c r="BM129">
        <v>95</v>
      </c>
      <c r="BN129">
        <v>0.53</v>
      </c>
      <c r="BR129">
        <v>105</v>
      </c>
      <c r="BS129">
        <v>92</v>
      </c>
      <c r="BX129">
        <v>5.28</v>
      </c>
      <c r="BY129">
        <v>0</v>
      </c>
      <c r="BZ129">
        <v>0</v>
      </c>
      <c r="CA129">
        <v>2.08</v>
      </c>
      <c r="CC129">
        <v>0.62</v>
      </c>
      <c r="CD129" s="54">
        <v>42894</v>
      </c>
      <c r="CE129" s="54"/>
      <c r="CF129" s="54">
        <v>42949</v>
      </c>
      <c r="CG129" s="54">
        <v>43208</v>
      </c>
      <c r="CH129" s="54">
        <v>43195</v>
      </c>
      <c r="CI129" s="54">
        <v>43195</v>
      </c>
      <c r="CJ129">
        <v>0.49</v>
      </c>
      <c r="CK129">
        <v>0</v>
      </c>
      <c r="CL129">
        <v>0.1</v>
      </c>
      <c r="CM129">
        <v>0.08</v>
      </c>
      <c r="CN129">
        <v>0.5</v>
      </c>
      <c r="CO129">
        <v>0.25</v>
      </c>
      <c r="CP129">
        <v>0</v>
      </c>
      <c r="CQ129" t="s">
        <v>1144</v>
      </c>
      <c r="CR129" t="s">
        <v>1143</v>
      </c>
      <c r="CS129" t="s">
        <v>3674</v>
      </c>
      <c r="CT129" t="s">
        <v>1403</v>
      </c>
      <c r="CU129" t="s">
        <v>3666</v>
      </c>
      <c r="CV129" t="s">
        <v>4003</v>
      </c>
      <c r="CW129" t="s">
        <v>3874</v>
      </c>
      <c r="CX129" t="s">
        <v>849</v>
      </c>
      <c r="DC129" t="s">
        <v>3677</v>
      </c>
      <c r="DE129" t="s">
        <v>3870</v>
      </c>
      <c r="DG129" t="s">
        <v>1400</v>
      </c>
      <c r="DH129" s="54">
        <v>43314</v>
      </c>
      <c r="DI129" s="54">
        <v>43335</v>
      </c>
    </row>
    <row r="130" spans="1:113" x14ac:dyDescent="0.25">
      <c r="A130" t="s">
        <v>1021</v>
      </c>
      <c r="B130">
        <v>34</v>
      </c>
      <c r="C130" s="54">
        <v>43208</v>
      </c>
      <c r="D130" t="s">
        <v>1143</v>
      </c>
      <c r="E130" t="s">
        <v>1441</v>
      </c>
      <c r="G130" t="s">
        <v>4004</v>
      </c>
      <c r="H130" t="s">
        <v>1382</v>
      </c>
      <c r="I130" t="s">
        <v>1382</v>
      </c>
      <c r="J130" t="s">
        <v>1382</v>
      </c>
      <c r="K130" t="s">
        <v>1382</v>
      </c>
      <c r="L130">
        <v>0.28999999999999998</v>
      </c>
      <c r="M130">
        <v>0.65</v>
      </c>
      <c r="N130">
        <v>0</v>
      </c>
      <c r="O130" s="54"/>
      <c r="P130" s="54"/>
      <c r="Q130">
        <v>5</v>
      </c>
      <c r="R130">
        <v>14</v>
      </c>
      <c r="S130">
        <v>37</v>
      </c>
      <c r="T130">
        <v>20</v>
      </c>
      <c r="U130">
        <v>17</v>
      </c>
      <c r="V130">
        <v>1</v>
      </c>
      <c r="W130" t="s">
        <v>1391</v>
      </c>
      <c r="X130" t="s">
        <v>3774</v>
      </c>
      <c r="Z130" t="s">
        <v>3693</v>
      </c>
      <c r="AA130">
        <v>0.83</v>
      </c>
      <c r="AB130">
        <v>47</v>
      </c>
      <c r="AC130">
        <v>60.24</v>
      </c>
      <c r="AD130">
        <v>54.22</v>
      </c>
      <c r="AE130">
        <v>0.3</v>
      </c>
      <c r="AF130">
        <v>0</v>
      </c>
      <c r="AG130">
        <v>0</v>
      </c>
      <c r="AJ130" s="54"/>
      <c r="AK130" s="54"/>
      <c r="AL130" s="54"/>
      <c r="AO130">
        <v>1</v>
      </c>
      <c r="AP130" t="s">
        <v>1383</v>
      </c>
      <c r="AR130">
        <v>1</v>
      </c>
      <c r="AS130" t="s">
        <v>1384</v>
      </c>
      <c r="AT130">
        <v>1</v>
      </c>
      <c r="AV130">
        <v>200</v>
      </c>
      <c r="AW130">
        <v>133</v>
      </c>
      <c r="AX130">
        <v>66</v>
      </c>
      <c r="AY130" t="s">
        <v>1390</v>
      </c>
      <c r="AZ130" t="s">
        <v>1390</v>
      </c>
      <c r="BA130">
        <v>100</v>
      </c>
      <c r="BD130">
        <v>1000000000</v>
      </c>
      <c r="BE130">
        <v>180</v>
      </c>
      <c r="BF130">
        <v>0.1</v>
      </c>
      <c r="BG130">
        <v>0</v>
      </c>
      <c r="BH130">
        <v>0</v>
      </c>
      <c r="BI130">
        <v>0</v>
      </c>
      <c r="BJ130">
        <v>0</v>
      </c>
      <c r="BK130">
        <v>0</v>
      </c>
      <c r="BL130">
        <v>0</v>
      </c>
      <c r="BM130">
        <v>180</v>
      </c>
      <c r="BN130">
        <v>0.1</v>
      </c>
      <c r="BR130">
        <v>20</v>
      </c>
      <c r="BS130">
        <v>92</v>
      </c>
      <c r="BX130">
        <v>0</v>
      </c>
      <c r="BY130">
        <v>0</v>
      </c>
      <c r="BZ130">
        <v>0</v>
      </c>
      <c r="CA130">
        <v>1.61</v>
      </c>
      <c r="CC130">
        <v>0</v>
      </c>
      <c r="CD130" s="54">
        <v>42894</v>
      </c>
      <c r="CE130" s="54"/>
      <c r="CF130" s="54">
        <v>42949</v>
      </c>
      <c r="CG130" s="54">
        <v>43208</v>
      </c>
      <c r="CH130" s="54">
        <v>43007</v>
      </c>
      <c r="CI130" s="54">
        <v>43122</v>
      </c>
      <c r="CJ130">
        <v>0.56999999999999995</v>
      </c>
      <c r="CK130">
        <v>0</v>
      </c>
      <c r="CL130">
        <v>0.1</v>
      </c>
      <c r="CM130">
        <v>0</v>
      </c>
      <c r="CN130">
        <v>0.5</v>
      </c>
      <c r="CO130">
        <v>0.34</v>
      </c>
      <c r="CP130">
        <v>0</v>
      </c>
      <c r="CQ130" t="s">
        <v>1144</v>
      </c>
      <c r="CR130" t="s">
        <v>1143</v>
      </c>
      <c r="CS130" t="s">
        <v>3674</v>
      </c>
      <c r="CT130" t="s">
        <v>1403</v>
      </c>
      <c r="CU130" t="s">
        <v>3666</v>
      </c>
      <c r="CV130" t="s">
        <v>4005</v>
      </c>
      <c r="CW130" t="s">
        <v>3874</v>
      </c>
      <c r="CX130" t="s">
        <v>849</v>
      </c>
      <c r="DC130" t="s">
        <v>3677</v>
      </c>
      <c r="DE130" t="s">
        <v>3870</v>
      </c>
      <c r="DG130" t="s">
        <v>3706</v>
      </c>
      <c r="DH130" s="54">
        <v>43126</v>
      </c>
      <c r="DI130" s="54">
        <v>43147</v>
      </c>
    </row>
    <row r="131" spans="1:113" x14ac:dyDescent="0.25">
      <c r="A131" t="s">
        <v>1021</v>
      </c>
      <c r="B131">
        <v>34</v>
      </c>
      <c r="C131" s="54">
        <v>43208</v>
      </c>
      <c r="D131" t="s">
        <v>1143</v>
      </c>
      <c r="E131" t="s">
        <v>1442</v>
      </c>
      <c r="G131" t="s">
        <v>4006</v>
      </c>
      <c r="H131" t="s">
        <v>1382</v>
      </c>
      <c r="I131" t="s">
        <v>1382</v>
      </c>
      <c r="J131" t="s">
        <v>1382</v>
      </c>
      <c r="K131" t="s">
        <v>1382</v>
      </c>
      <c r="L131">
        <v>51.03</v>
      </c>
      <c r="M131">
        <v>99</v>
      </c>
      <c r="N131">
        <v>0</v>
      </c>
      <c r="O131" s="54"/>
      <c r="P131" s="54"/>
      <c r="Q131">
        <v>5</v>
      </c>
      <c r="R131">
        <v>14</v>
      </c>
      <c r="S131">
        <v>37</v>
      </c>
      <c r="T131">
        <v>20</v>
      </c>
      <c r="U131">
        <v>17</v>
      </c>
      <c r="V131">
        <v>1</v>
      </c>
      <c r="W131" t="s">
        <v>1391</v>
      </c>
      <c r="X131" t="s">
        <v>3673</v>
      </c>
      <c r="Z131" t="s">
        <v>3693</v>
      </c>
      <c r="AA131">
        <v>0.04</v>
      </c>
      <c r="AB131">
        <v>3</v>
      </c>
      <c r="AC131">
        <v>187.5</v>
      </c>
      <c r="AD131">
        <v>181.25</v>
      </c>
      <c r="AE131">
        <v>6.25</v>
      </c>
      <c r="AF131">
        <v>0</v>
      </c>
      <c r="AG131">
        <v>0</v>
      </c>
      <c r="AJ131" s="54"/>
      <c r="AK131" s="54"/>
      <c r="AL131" s="54"/>
      <c r="AO131">
        <v>1</v>
      </c>
      <c r="AP131" t="s">
        <v>1383</v>
      </c>
      <c r="AR131">
        <v>1</v>
      </c>
      <c r="AS131" t="s">
        <v>1384</v>
      </c>
      <c r="AT131">
        <v>1</v>
      </c>
      <c r="AV131">
        <v>30</v>
      </c>
      <c r="AW131">
        <v>20</v>
      </c>
      <c r="AX131">
        <v>10</v>
      </c>
      <c r="AY131" t="s">
        <v>1390</v>
      </c>
      <c r="AZ131" t="s">
        <v>1390</v>
      </c>
      <c r="BA131">
        <v>0</v>
      </c>
      <c r="BD131">
        <v>1000000000</v>
      </c>
      <c r="BE131">
        <v>29</v>
      </c>
      <c r="BF131">
        <v>0.03</v>
      </c>
      <c r="BG131">
        <v>0</v>
      </c>
      <c r="BH131">
        <v>0</v>
      </c>
      <c r="BI131">
        <v>0</v>
      </c>
      <c r="BJ131">
        <v>0</v>
      </c>
      <c r="BK131">
        <v>0</v>
      </c>
      <c r="BL131">
        <v>0</v>
      </c>
      <c r="BM131">
        <v>29</v>
      </c>
      <c r="BN131">
        <v>0.03</v>
      </c>
      <c r="BR131">
        <v>1</v>
      </c>
      <c r="BS131">
        <v>14</v>
      </c>
      <c r="BX131">
        <v>0</v>
      </c>
      <c r="BY131">
        <v>0</v>
      </c>
      <c r="BZ131">
        <v>0</v>
      </c>
      <c r="CA131">
        <v>1.22</v>
      </c>
      <c r="CC131">
        <v>1</v>
      </c>
      <c r="CD131" s="54">
        <v>42836</v>
      </c>
      <c r="CE131" s="54"/>
      <c r="CF131" s="54">
        <v>42949</v>
      </c>
      <c r="CG131" s="54">
        <v>43208</v>
      </c>
      <c r="CH131" s="54">
        <v>42768</v>
      </c>
      <c r="CI131" s="54">
        <v>42852</v>
      </c>
      <c r="CJ131">
        <v>0.35</v>
      </c>
      <c r="CK131">
        <v>0</v>
      </c>
      <c r="CL131">
        <v>0.1</v>
      </c>
      <c r="CM131">
        <v>0</v>
      </c>
      <c r="CN131">
        <v>0</v>
      </c>
      <c r="CO131">
        <v>0.84</v>
      </c>
      <c r="CP131">
        <v>0</v>
      </c>
      <c r="CQ131" t="s">
        <v>1144</v>
      </c>
      <c r="CR131" t="s">
        <v>1143</v>
      </c>
      <c r="CS131" t="s">
        <v>3674</v>
      </c>
      <c r="CT131" t="s">
        <v>1403</v>
      </c>
      <c r="CU131" t="s">
        <v>3666</v>
      </c>
      <c r="CV131" t="s">
        <v>4007</v>
      </c>
      <c r="CW131" t="s">
        <v>3910</v>
      </c>
      <c r="CX131" t="s">
        <v>849</v>
      </c>
      <c r="DC131" t="s">
        <v>872</v>
      </c>
      <c r="DE131" t="s">
        <v>3870</v>
      </c>
      <c r="DG131" t="s">
        <v>4008</v>
      </c>
      <c r="DH131" s="54">
        <v>42887</v>
      </c>
      <c r="DI131" s="54">
        <v>42908</v>
      </c>
    </row>
    <row r="132" spans="1:113" x14ac:dyDescent="0.25">
      <c r="A132" t="s">
        <v>1021</v>
      </c>
      <c r="B132">
        <v>5</v>
      </c>
      <c r="C132" s="54">
        <v>43208</v>
      </c>
      <c r="D132" t="s">
        <v>1143</v>
      </c>
      <c r="E132" t="s">
        <v>1443</v>
      </c>
      <c r="G132" t="s">
        <v>4009</v>
      </c>
      <c r="H132" t="s">
        <v>1382</v>
      </c>
      <c r="I132" t="s">
        <v>1382</v>
      </c>
      <c r="J132" t="s">
        <v>1382</v>
      </c>
      <c r="K132" t="s">
        <v>1382</v>
      </c>
      <c r="L132">
        <v>19.940000000000001</v>
      </c>
      <c r="M132">
        <v>38</v>
      </c>
      <c r="N132">
        <v>0</v>
      </c>
      <c r="O132" s="54"/>
      <c r="P132" s="54"/>
      <c r="Q132">
        <v>5</v>
      </c>
      <c r="R132">
        <v>14</v>
      </c>
      <c r="S132">
        <v>37</v>
      </c>
      <c r="T132">
        <v>20</v>
      </c>
      <c r="U132">
        <v>17</v>
      </c>
      <c r="V132">
        <v>1</v>
      </c>
      <c r="W132" t="s">
        <v>3672</v>
      </c>
      <c r="X132" t="s">
        <v>3673</v>
      </c>
      <c r="Y132">
        <v>80</v>
      </c>
      <c r="AA132">
        <v>0.63</v>
      </c>
      <c r="AB132">
        <v>35</v>
      </c>
      <c r="AC132">
        <v>23.81</v>
      </c>
      <c r="AD132">
        <v>19.05</v>
      </c>
      <c r="AE132">
        <v>0.4</v>
      </c>
      <c r="AF132">
        <v>0</v>
      </c>
      <c r="AG132">
        <v>0</v>
      </c>
      <c r="AJ132" s="54"/>
      <c r="AK132" s="54"/>
      <c r="AL132" s="54"/>
      <c r="AO132">
        <v>1</v>
      </c>
      <c r="AP132" t="s">
        <v>1383</v>
      </c>
      <c r="AR132">
        <v>1</v>
      </c>
      <c r="AS132" t="s">
        <v>1384</v>
      </c>
      <c r="AT132">
        <v>1</v>
      </c>
      <c r="AV132">
        <v>60</v>
      </c>
      <c r="AW132">
        <v>40</v>
      </c>
      <c r="AX132">
        <v>20</v>
      </c>
      <c r="AY132" t="s">
        <v>1390</v>
      </c>
      <c r="AZ132" t="s">
        <v>1390</v>
      </c>
      <c r="BA132">
        <v>0</v>
      </c>
      <c r="BD132">
        <v>1000000000</v>
      </c>
      <c r="BE132">
        <v>48</v>
      </c>
      <c r="BF132">
        <v>0.2</v>
      </c>
      <c r="BG132">
        <v>0</v>
      </c>
      <c r="BH132">
        <v>0</v>
      </c>
      <c r="BI132">
        <v>0</v>
      </c>
      <c r="BJ132">
        <v>0</v>
      </c>
      <c r="BK132">
        <v>0</v>
      </c>
      <c r="BL132">
        <v>0</v>
      </c>
      <c r="BM132">
        <v>48</v>
      </c>
      <c r="BN132">
        <v>0.2</v>
      </c>
      <c r="BR132">
        <v>12</v>
      </c>
      <c r="BS132">
        <v>28</v>
      </c>
      <c r="BX132">
        <v>0</v>
      </c>
      <c r="BY132">
        <v>0</v>
      </c>
      <c r="BZ132">
        <v>0</v>
      </c>
      <c r="CA132">
        <v>1.17</v>
      </c>
      <c r="CC132">
        <v>1</v>
      </c>
      <c r="CD132" s="54">
        <v>42836</v>
      </c>
      <c r="CE132" s="54"/>
      <c r="CF132" s="54">
        <v>42949</v>
      </c>
      <c r="CG132" s="54">
        <v>43208</v>
      </c>
      <c r="CH132" s="54">
        <v>43132</v>
      </c>
      <c r="CI132" s="54">
        <v>43195</v>
      </c>
      <c r="CJ132">
        <v>0.38</v>
      </c>
      <c r="CK132">
        <v>580</v>
      </c>
      <c r="CL132">
        <v>0.11</v>
      </c>
      <c r="CM132">
        <v>0</v>
      </c>
      <c r="CN132">
        <v>0</v>
      </c>
      <c r="CO132">
        <v>0.86</v>
      </c>
      <c r="CP132">
        <v>0</v>
      </c>
      <c r="CQ132" t="s">
        <v>1144</v>
      </c>
      <c r="CR132" t="s">
        <v>1143</v>
      </c>
      <c r="CS132" t="s">
        <v>3665</v>
      </c>
      <c r="CT132" t="s">
        <v>1403</v>
      </c>
      <c r="CU132" t="s">
        <v>3666</v>
      </c>
      <c r="CV132" t="s">
        <v>4010</v>
      </c>
      <c r="CW132" t="s">
        <v>3784</v>
      </c>
      <c r="CX132" t="s">
        <v>849</v>
      </c>
      <c r="DC132" t="s">
        <v>3771</v>
      </c>
      <c r="DE132" t="s">
        <v>3785</v>
      </c>
      <c r="DG132" t="s">
        <v>3678</v>
      </c>
      <c r="DH132" s="54">
        <v>43251</v>
      </c>
      <c r="DI132" s="54">
        <v>43272</v>
      </c>
    </row>
    <row r="133" spans="1:113" x14ac:dyDescent="0.25">
      <c r="A133" t="s">
        <v>1021</v>
      </c>
      <c r="B133">
        <v>5</v>
      </c>
      <c r="C133" s="54">
        <v>43208</v>
      </c>
      <c r="D133" t="s">
        <v>1143</v>
      </c>
      <c r="E133" t="s">
        <v>4011</v>
      </c>
      <c r="G133" t="s">
        <v>4012</v>
      </c>
      <c r="H133" t="s">
        <v>1382</v>
      </c>
      <c r="I133" t="s">
        <v>1382</v>
      </c>
      <c r="J133" t="s">
        <v>1382</v>
      </c>
      <c r="K133" t="s">
        <v>1382</v>
      </c>
      <c r="L133">
        <v>49.45</v>
      </c>
      <c r="M133">
        <v>0</v>
      </c>
      <c r="N133">
        <v>0</v>
      </c>
      <c r="O133" s="54"/>
      <c r="P133" s="54"/>
      <c r="Q133">
        <v>5</v>
      </c>
      <c r="R133">
        <v>14</v>
      </c>
      <c r="S133">
        <v>37</v>
      </c>
      <c r="T133">
        <v>20</v>
      </c>
      <c r="U133">
        <v>17</v>
      </c>
      <c r="V133">
        <v>1</v>
      </c>
      <c r="W133" t="s">
        <v>1391</v>
      </c>
      <c r="X133" t="s">
        <v>4013</v>
      </c>
      <c r="AA133">
        <v>0</v>
      </c>
      <c r="AB133">
        <v>0</v>
      </c>
      <c r="AC133">
        <v>0</v>
      </c>
      <c r="AD133">
        <v>0</v>
      </c>
      <c r="AE133">
        <v>0</v>
      </c>
      <c r="AF133">
        <v>0</v>
      </c>
      <c r="AG133">
        <v>0</v>
      </c>
      <c r="AJ133" s="54"/>
      <c r="AK133" s="54"/>
      <c r="AL133" s="54"/>
      <c r="AO133">
        <v>1</v>
      </c>
      <c r="AP133" t="s">
        <v>1383</v>
      </c>
      <c r="AR133">
        <v>1</v>
      </c>
      <c r="AS133" t="s">
        <v>1384</v>
      </c>
      <c r="AT133">
        <v>1</v>
      </c>
      <c r="AV133">
        <v>5</v>
      </c>
      <c r="AW133">
        <v>3</v>
      </c>
      <c r="AX133">
        <v>2</v>
      </c>
      <c r="AY133" t="s">
        <v>1390</v>
      </c>
      <c r="AZ133" t="s">
        <v>1390</v>
      </c>
      <c r="BA133">
        <v>0</v>
      </c>
      <c r="BD133">
        <v>1000000000</v>
      </c>
      <c r="BE133">
        <v>5</v>
      </c>
      <c r="BF133">
        <v>0</v>
      </c>
      <c r="BG133">
        <v>0</v>
      </c>
      <c r="BH133">
        <v>0</v>
      </c>
      <c r="BI133">
        <v>0</v>
      </c>
      <c r="BJ133">
        <v>0</v>
      </c>
      <c r="BK133">
        <v>0</v>
      </c>
      <c r="BL133">
        <v>0</v>
      </c>
      <c r="BM133">
        <v>5</v>
      </c>
      <c r="BN133">
        <v>0</v>
      </c>
      <c r="BR133">
        <v>0</v>
      </c>
      <c r="BS133">
        <v>2</v>
      </c>
      <c r="BX133">
        <v>0</v>
      </c>
      <c r="BY133">
        <v>0</v>
      </c>
      <c r="BZ133">
        <v>0</v>
      </c>
      <c r="CA133">
        <v>-1.3</v>
      </c>
      <c r="CC133">
        <v>0</v>
      </c>
      <c r="CD133" s="54">
        <v>43147</v>
      </c>
      <c r="CE133" s="54"/>
      <c r="CF133" s="54">
        <v>43147</v>
      </c>
      <c r="CG133" s="54">
        <v>43406</v>
      </c>
      <c r="CH133" s="54">
        <v>43007</v>
      </c>
      <c r="CI133" s="54">
        <v>43122</v>
      </c>
      <c r="CJ133">
        <v>0</v>
      </c>
      <c r="CK133">
        <v>0</v>
      </c>
      <c r="CL133">
        <v>0</v>
      </c>
      <c r="CM133">
        <v>0</v>
      </c>
      <c r="CN133">
        <v>0</v>
      </c>
      <c r="CO133">
        <v>0.28000000000000003</v>
      </c>
      <c r="CP133">
        <v>0</v>
      </c>
      <c r="CQ133" t="s">
        <v>1144</v>
      </c>
      <c r="CR133" t="s">
        <v>1143</v>
      </c>
      <c r="CS133" t="s">
        <v>3665</v>
      </c>
      <c r="CT133" t="s">
        <v>1403</v>
      </c>
      <c r="CU133" t="s">
        <v>3666</v>
      </c>
      <c r="CV133" t="s">
        <v>4014</v>
      </c>
      <c r="CW133" t="s">
        <v>4015</v>
      </c>
      <c r="CX133" t="s">
        <v>849</v>
      </c>
      <c r="DC133" t="s">
        <v>4016</v>
      </c>
      <c r="DE133" t="s">
        <v>3870</v>
      </c>
      <c r="DG133" t="s">
        <v>1400</v>
      </c>
      <c r="DH133" s="54">
        <v>43126</v>
      </c>
      <c r="DI133" s="54">
        <v>43147</v>
      </c>
    </row>
    <row r="134" spans="1:113" x14ac:dyDescent="0.25">
      <c r="A134" t="s">
        <v>1021</v>
      </c>
      <c r="B134">
        <v>34</v>
      </c>
      <c r="C134" s="54">
        <v>43208</v>
      </c>
      <c r="D134" t="s">
        <v>1143</v>
      </c>
      <c r="E134" t="s">
        <v>3389</v>
      </c>
      <c r="G134" t="s">
        <v>4017</v>
      </c>
      <c r="H134" t="s">
        <v>1382</v>
      </c>
      <c r="I134" t="s">
        <v>1382</v>
      </c>
      <c r="J134" t="s">
        <v>1382</v>
      </c>
      <c r="K134" t="s">
        <v>1382</v>
      </c>
      <c r="L134">
        <v>17.940000000000001</v>
      </c>
      <c r="M134">
        <v>60.6</v>
      </c>
      <c r="N134">
        <v>0</v>
      </c>
      <c r="O134" s="54"/>
      <c r="P134" s="54"/>
      <c r="Q134">
        <v>5</v>
      </c>
      <c r="R134">
        <v>14</v>
      </c>
      <c r="S134">
        <v>37</v>
      </c>
      <c r="T134">
        <v>20</v>
      </c>
      <c r="U134">
        <v>17</v>
      </c>
      <c r="V134">
        <v>1</v>
      </c>
      <c r="X134" t="s">
        <v>3997</v>
      </c>
      <c r="AA134">
        <v>1.38</v>
      </c>
      <c r="AB134">
        <v>77</v>
      </c>
      <c r="AC134">
        <v>0.91</v>
      </c>
      <c r="AD134">
        <v>6.34</v>
      </c>
      <c r="AE134">
        <v>0.18</v>
      </c>
      <c r="AF134">
        <v>0</v>
      </c>
      <c r="AG134">
        <v>0</v>
      </c>
      <c r="AJ134" s="54"/>
      <c r="AK134" s="54"/>
      <c r="AL134" s="54"/>
      <c r="AO134">
        <v>1</v>
      </c>
      <c r="AP134" t="s">
        <v>1383</v>
      </c>
      <c r="AR134">
        <v>1</v>
      </c>
      <c r="AS134" t="s">
        <v>1384</v>
      </c>
      <c r="AT134">
        <v>1</v>
      </c>
      <c r="AV134">
        <v>5</v>
      </c>
      <c r="AW134">
        <v>3</v>
      </c>
      <c r="AX134">
        <v>2</v>
      </c>
      <c r="AY134" t="s">
        <v>1389</v>
      </c>
      <c r="AZ134" t="s">
        <v>1389</v>
      </c>
      <c r="BA134">
        <v>0</v>
      </c>
      <c r="BD134">
        <v>1000000000</v>
      </c>
      <c r="BE134">
        <v>33</v>
      </c>
      <c r="BF134">
        <v>-5.6</v>
      </c>
      <c r="BG134">
        <v>2</v>
      </c>
      <c r="BH134">
        <v>0</v>
      </c>
      <c r="BI134">
        <v>0</v>
      </c>
      <c r="BJ134">
        <v>0</v>
      </c>
      <c r="BK134">
        <v>0</v>
      </c>
      <c r="BL134">
        <v>0</v>
      </c>
      <c r="BM134">
        <v>35</v>
      </c>
      <c r="BN134">
        <v>-6</v>
      </c>
      <c r="BR134">
        <v>0</v>
      </c>
      <c r="BS134">
        <v>2</v>
      </c>
      <c r="BX134">
        <v>0</v>
      </c>
      <c r="BY134">
        <v>502.32</v>
      </c>
      <c r="BZ134">
        <v>0</v>
      </c>
      <c r="CA134">
        <v>3.08</v>
      </c>
      <c r="CC134">
        <v>0</v>
      </c>
      <c r="CD134" s="54">
        <v>43011</v>
      </c>
      <c r="CE134" s="54"/>
      <c r="CF134" s="54">
        <v>43011</v>
      </c>
      <c r="CG134" s="54">
        <v>43270</v>
      </c>
      <c r="CH134" s="54">
        <v>43195</v>
      </c>
      <c r="CI134" s="54">
        <v>43122</v>
      </c>
      <c r="CJ134">
        <v>1.04</v>
      </c>
      <c r="CK134">
        <v>0</v>
      </c>
      <c r="CL134">
        <v>0.39</v>
      </c>
      <c r="CM134">
        <v>0</v>
      </c>
      <c r="CN134">
        <v>0</v>
      </c>
      <c r="CO134">
        <v>0</v>
      </c>
      <c r="CP134">
        <v>0.36</v>
      </c>
      <c r="CQ134" t="s">
        <v>1144</v>
      </c>
      <c r="CR134" t="s">
        <v>1143</v>
      </c>
      <c r="CS134" t="s">
        <v>3674</v>
      </c>
      <c r="CT134" t="s">
        <v>1403</v>
      </c>
      <c r="CU134" t="s">
        <v>3666</v>
      </c>
      <c r="CV134" t="s">
        <v>4018</v>
      </c>
      <c r="CW134" t="s">
        <v>3676</v>
      </c>
      <c r="CX134" t="s">
        <v>3669</v>
      </c>
      <c r="DC134" t="s">
        <v>3677</v>
      </c>
      <c r="DE134" t="s">
        <v>3670</v>
      </c>
      <c r="DG134" t="s">
        <v>1400</v>
      </c>
      <c r="DH134" s="54">
        <v>43314</v>
      </c>
      <c r="DI134" s="54">
        <v>43335</v>
      </c>
    </row>
    <row r="135" spans="1:113" x14ac:dyDescent="0.25">
      <c r="A135" t="s">
        <v>1021</v>
      </c>
      <c r="B135">
        <v>5</v>
      </c>
      <c r="C135" s="54">
        <v>43208</v>
      </c>
      <c r="D135" t="s">
        <v>1143</v>
      </c>
      <c r="E135" t="s">
        <v>1444</v>
      </c>
      <c r="G135" t="s">
        <v>4019</v>
      </c>
      <c r="H135" t="s">
        <v>1382</v>
      </c>
      <c r="I135" t="s">
        <v>1382</v>
      </c>
      <c r="J135" t="s">
        <v>1382</v>
      </c>
      <c r="K135" t="s">
        <v>1382</v>
      </c>
      <c r="L135">
        <v>11.61</v>
      </c>
      <c r="M135">
        <v>25</v>
      </c>
      <c r="N135">
        <v>0</v>
      </c>
      <c r="O135" s="54"/>
      <c r="P135" s="54"/>
      <c r="Q135">
        <v>5</v>
      </c>
      <c r="R135">
        <v>14</v>
      </c>
      <c r="S135">
        <v>37</v>
      </c>
      <c r="T135">
        <v>20</v>
      </c>
      <c r="U135">
        <v>17</v>
      </c>
      <c r="V135">
        <v>1</v>
      </c>
      <c r="W135" t="s">
        <v>1391</v>
      </c>
      <c r="X135" t="s">
        <v>3876</v>
      </c>
      <c r="AA135">
        <v>2.08</v>
      </c>
      <c r="AB135">
        <v>116</v>
      </c>
      <c r="AC135">
        <v>24.04</v>
      </c>
      <c r="AD135">
        <v>20.79</v>
      </c>
      <c r="AE135">
        <v>0.12</v>
      </c>
      <c r="AF135">
        <v>0</v>
      </c>
      <c r="AG135">
        <v>0</v>
      </c>
      <c r="AJ135" s="54"/>
      <c r="AK135" s="54"/>
      <c r="AL135" s="54"/>
      <c r="AO135">
        <v>1</v>
      </c>
      <c r="AP135" t="s">
        <v>1383</v>
      </c>
      <c r="AR135">
        <v>1</v>
      </c>
      <c r="AS135" t="s">
        <v>1384</v>
      </c>
      <c r="AT135">
        <v>1</v>
      </c>
      <c r="AV135">
        <v>200</v>
      </c>
      <c r="AW135">
        <v>133</v>
      </c>
      <c r="AX135">
        <v>66</v>
      </c>
      <c r="AY135" t="s">
        <v>1394</v>
      </c>
      <c r="AZ135" t="s">
        <v>1390</v>
      </c>
      <c r="BA135">
        <v>50</v>
      </c>
      <c r="BD135">
        <v>1000000000</v>
      </c>
      <c r="BE135">
        <v>3</v>
      </c>
      <c r="BF135">
        <v>0.99</v>
      </c>
      <c r="BG135">
        <v>170</v>
      </c>
      <c r="BH135">
        <v>0</v>
      </c>
      <c r="BI135">
        <v>0</v>
      </c>
      <c r="BJ135">
        <v>0</v>
      </c>
      <c r="BK135">
        <v>0</v>
      </c>
      <c r="BL135">
        <v>0</v>
      </c>
      <c r="BM135">
        <v>173</v>
      </c>
      <c r="BN135">
        <v>0.14000000000000001</v>
      </c>
      <c r="BR135">
        <v>27</v>
      </c>
      <c r="BS135">
        <v>92</v>
      </c>
      <c r="BX135">
        <v>843.57</v>
      </c>
      <c r="BY135">
        <v>0</v>
      </c>
      <c r="BZ135">
        <v>0</v>
      </c>
      <c r="CA135">
        <v>1.5</v>
      </c>
      <c r="CC135">
        <v>0</v>
      </c>
      <c r="CD135" s="54">
        <v>43132</v>
      </c>
      <c r="CE135" s="54"/>
      <c r="CF135" s="54">
        <v>43132</v>
      </c>
      <c r="CG135" s="54">
        <v>43391</v>
      </c>
      <c r="CH135" s="54">
        <v>43195</v>
      </c>
      <c r="CI135" s="54">
        <v>43195</v>
      </c>
      <c r="CJ135">
        <v>0.7</v>
      </c>
      <c r="CK135">
        <v>0</v>
      </c>
      <c r="CL135">
        <v>0</v>
      </c>
      <c r="CM135">
        <v>0.34</v>
      </c>
      <c r="CN135">
        <v>0</v>
      </c>
      <c r="CO135">
        <v>0</v>
      </c>
      <c r="CP135">
        <v>0</v>
      </c>
      <c r="CQ135" t="s">
        <v>1144</v>
      </c>
      <c r="CR135" t="s">
        <v>1143</v>
      </c>
      <c r="CS135" t="s">
        <v>3665</v>
      </c>
      <c r="CT135" t="s">
        <v>1403</v>
      </c>
      <c r="CU135" t="s">
        <v>3666</v>
      </c>
      <c r="CV135" t="s">
        <v>4020</v>
      </c>
      <c r="CW135" t="s">
        <v>3868</v>
      </c>
      <c r="CX135" t="s">
        <v>849</v>
      </c>
      <c r="DC135" t="s">
        <v>3869</v>
      </c>
      <c r="DE135" t="s">
        <v>3870</v>
      </c>
      <c r="DG135" t="s">
        <v>1400</v>
      </c>
      <c r="DH135" s="54">
        <v>43314</v>
      </c>
      <c r="DI135" s="54">
        <v>43335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6107"/>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4021</v>
      </c>
      <c r="B2">
        <v>70</v>
      </c>
      <c r="C2" s="45">
        <v>43191</v>
      </c>
      <c r="D2" s="3" t="str">
        <f>YEAR(Datos_Consumo[[#This Row],[FECHA]])&amp;"-"&amp;MONTH(Datos_Consumo[[#This Row],[FECHA]])</f>
        <v>2018-4</v>
      </c>
      <c r="F2" s="45">
        <v>43070</v>
      </c>
      <c r="G2" s="51" t="str">
        <f>YEAR(Fecha_Consumo[[#This Row],[FECHAS_CONSUMO]])&amp;"-"&amp;MONTH(Fecha_Consumo[[#This Row],[FECHAS_CONSUMO]])</f>
        <v>2017-12</v>
      </c>
    </row>
    <row r="3" spans="1:7" x14ac:dyDescent="0.25">
      <c r="A3" t="s">
        <v>1445</v>
      </c>
      <c r="B3">
        <v>5</v>
      </c>
      <c r="C3" s="54">
        <v>43070</v>
      </c>
      <c r="D3" s="3" t="str">
        <f>YEAR(Datos_Consumo[[#This Row],[FECHA]])&amp;"-"&amp;MONTH(Datos_Consumo[[#This Row],[FECHA]])</f>
        <v>2017-12</v>
      </c>
      <c r="F3" s="54">
        <v>43101</v>
      </c>
      <c r="G3" s="51" t="str">
        <f>YEAR(Fecha_Consumo[[#This Row],[FECHAS_CONSUMO]])&amp;"-"&amp;MONTH(Fecha_Consumo[[#This Row],[FECHAS_CONSUMO]])</f>
        <v>2018-1</v>
      </c>
    </row>
    <row r="4" spans="1:7" x14ac:dyDescent="0.25">
      <c r="A4" t="s">
        <v>1445</v>
      </c>
      <c r="B4">
        <v>1</v>
      </c>
      <c r="C4" s="54">
        <v>43101</v>
      </c>
      <c r="D4" s="3" t="str">
        <f>YEAR(Datos_Consumo[[#This Row],[FECHA]])&amp;"-"&amp;MONTH(Datos_Consumo[[#This Row],[FECHA]])</f>
        <v>2018-1</v>
      </c>
      <c r="F4" s="54">
        <v>43132</v>
      </c>
      <c r="G4" s="51" t="str">
        <f>YEAR(Fecha_Consumo[[#This Row],[FECHAS_CONSUMO]])&amp;"-"&amp;MONTH(Fecha_Consumo[[#This Row],[FECHAS_CONSUMO]])</f>
        <v>2018-2</v>
      </c>
    </row>
    <row r="5" spans="1:7" x14ac:dyDescent="0.25">
      <c r="A5" t="s">
        <v>1445</v>
      </c>
      <c r="B5">
        <v>2</v>
      </c>
      <c r="C5" s="54">
        <v>43132</v>
      </c>
      <c r="D5" s="3" t="str">
        <f>YEAR(Datos_Consumo[[#This Row],[FECHA]])&amp;"-"&amp;MONTH(Datos_Consumo[[#This Row],[FECHA]])</f>
        <v>2018-2</v>
      </c>
      <c r="F5" s="54">
        <v>43160</v>
      </c>
      <c r="G5" s="51" t="str">
        <f>YEAR(Fecha_Consumo[[#This Row],[FECHAS_CONSUMO]])&amp;"-"&amp;MONTH(Fecha_Consumo[[#This Row],[FECHAS_CONSUMO]])</f>
        <v>2018-3</v>
      </c>
    </row>
    <row r="6" spans="1:7" x14ac:dyDescent="0.25">
      <c r="A6" t="s">
        <v>1445</v>
      </c>
      <c r="B6">
        <v>2</v>
      </c>
      <c r="C6" s="54">
        <v>43221</v>
      </c>
      <c r="D6" s="3" t="str">
        <f>YEAR(Datos_Consumo[[#This Row],[FECHA]])&amp;"-"&amp;MONTH(Datos_Consumo[[#This Row],[FECHA]])</f>
        <v>2018-5</v>
      </c>
      <c r="F6" s="54">
        <v>43191</v>
      </c>
      <c r="G6" s="51" t="str">
        <f>YEAR(Fecha_Consumo[[#This Row],[FECHAS_CONSUMO]])&amp;"-"&amp;MONTH(Fecha_Consumo[[#This Row],[FECHAS_CONSUMO]])</f>
        <v>2018-4</v>
      </c>
    </row>
    <row r="7" spans="1:7" x14ac:dyDescent="0.25">
      <c r="A7" t="s">
        <v>1446</v>
      </c>
      <c r="B7">
        <v>1</v>
      </c>
      <c r="C7" s="54">
        <v>43070</v>
      </c>
      <c r="D7" s="3" t="str">
        <f>YEAR(Datos_Consumo[[#This Row],[FECHA]])&amp;"-"&amp;MONTH(Datos_Consumo[[#This Row],[FECHA]])</f>
        <v>2017-12</v>
      </c>
      <c r="F7" s="54">
        <v>43221</v>
      </c>
      <c r="G7" s="51" t="str">
        <f>YEAR(Fecha_Consumo[[#This Row],[FECHAS_CONSUMO]])&amp;"-"&amp;MONTH(Fecha_Consumo[[#This Row],[FECHAS_CONSUMO]])</f>
        <v>2018-5</v>
      </c>
    </row>
    <row r="8" spans="1:7" x14ac:dyDescent="0.25">
      <c r="A8" t="s">
        <v>1446</v>
      </c>
      <c r="B8">
        <v>1</v>
      </c>
      <c r="C8" s="54">
        <v>43191</v>
      </c>
      <c r="D8" s="3" t="str">
        <f>YEAR(Datos_Consumo[[#This Row],[FECHA]])&amp;"-"&amp;MONTH(Datos_Consumo[[#This Row],[FECHA]])</f>
        <v>2018-4</v>
      </c>
    </row>
    <row r="9" spans="1:7" x14ac:dyDescent="0.25">
      <c r="A9" t="s">
        <v>1447</v>
      </c>
      <c r="B9">
        <v>1</v>
      </c>
      <c r="C9" s="54">
        <v>43070</v>
      </c>
      <c r="D9" s="3" t="str">
        <f>YEAR(Datos_Consumo[[#This Row],[FECHA]])&amp;"-"&amp;MONTH(Datos_Consumo[[#This Row],[FECHA]])</f>
        <v>2017-12</v>
      </c>
    </row>
    <row r="10" spans="1:7" x14ac:dyDescent="0.25">
      <c r="A10" t="s">
        <v>1447</v>
      </c>
      <c r="B10">
        <v>1</v>
      </c>
      <c r="C10" s="54">
        <v>43101</v>
      </c>
      <c r="D10" s="3" t="str">
        <f>YEAR(Datos_Consumo[[#This Row],[FECHA]])&amp;"-"&amp;MONTH(Datos_Consumo[[#This Row],[FECHA]])</f>
        <v>2018-1</v>
      </c>
    </row>
    <row r="11" spans="1:7" x14ac:dyDescent="0.25">
      <c r="A11" t="s">
        <v>1447</v>
      </c>
      <c r="B11">
        <v>2</v>
      </c>
      <c r="C11" s="54">
        <v>43132</v>
      </c>
      <c r="D11" s="3" t="str">
        <f>YEAR(Datos_Consumo[[#This Row],[FECHA]])&amp;"-"&amp;MONTH(Datos_Consumo[[#This Row],[FECHA]])</f>
        <v>2018-2</v>
      </c>
    </row>
    <row r="12" spans="1:7" x14ac:dyDescent="0.25">
      <c r="A12" t="s">
        <v>1447</v>
      </c>
      <c r="B12">
        <v>1</v>
      </c>
      <c r="C12" s="54">
        <v>43160</v>
      </c>
      <c r="D12" s="3" t="str">
        <f>YEAR(Datos_Consumo[[#This Row],[FECHA]])&amp;"-"&amp;MONTH(Datos_Consumo[[#This Row],[FECHA]])</f>
        <v>2018-3</v>
      </c>
    </row>
    <row r="13" spans="1:7" x14ac:dyDescent="0.25">
      <c r="A13" t="s">
        <v>1447</v>
      </c>
      <c r="B13">
        <v>1</v>
      </c>
      <c r="C13" s="54">
        <v>43191</v>
      </c>
      <c r="D13" s="3" t="str">
        <f>YEAR(Datos_Consumo[[#This Row],[FECHA]])&amp;"-"&amp;MONTH(Datos_Consumo[[#This Row],[FECHA]])</f>
        <v>2018-4</v>
      </c>
    </row>
    <row r="14" spans="1:7" x14ac:dyDescent="0.25">
      <c r="A14" t="s">
        <v>1447</v>
      </c>
      <c r="B14">
        <v>5</v>
      </c>
      <c r="C14" s="54">
        <v>43221</v>
      </c>
      <c r="D14" s="3" t="str">
        <f>YEAR(Datos_Consumo[[#This Row],[FECHA]])&amp;"-"&amp;MONTH(Datos_Consumo[[#This Row],[FECHA]])</f>
        <v>2018-5</v>
      </c>
    </row>
    <row r="15" spans="1:7" x14ac:dyDescent="0.25">
      <c r="A15" t="s">
        <v>1448</v>
      </c>
      <c r="B15">
        <v>1</v>
      </c>
      <c r="C15" s="54">
        <v>43101</v>
      </c>
      <c r="D15" s="3" t="str">
        <f>YEAR(Datos_Consumo[[#This Row],[FECHA]])&amp;"-"&amp;MONTH(Datos_Consumo[[#This Row],[FECHA]])</f>
        <v>2018-1</v>
      </c>
    </row>
    <row r="16" spans="1:7" x14ac:dyDescent="0.25">
      <c r="A16" t="s">
        <v>1449</v>
      </c>
      <c r="B16">
        <v>1</v>
      </c>
      <c r="C16" s="54">
        <v>43070</v>
      </c>
      <c r="D16" s="3" t="str">
        <f>YEAR(Datos_Consumo[[#This Row],[FECHA]])&amp;"-"&amp;MONTH(Datos_Consumo[[#This Row],[FECHA]])</f>
        <v>2017-12</v>
      </c>
    </row>
    <row r="17" spans="1:4" x14ac:dyDescent="0.25">
      <c r="A17" t="s">
        <v>1449</v>
      </c>
      <c r="B17">
        <v>1</v>
      </c>
      <c r="C17" s="54">
        <v>43132</v>
      </c>
      <c r="D17" s="3" t="str">
        <f>YEAR(Datos_Consumo[[#This Row],[FECHA]])&amp;"-"&amp;MONTH(Datos_Consumo[[#This Row],[FECHA]])</f>
        <v>2018-2</v>
      </c>
    </row>
    <row r="18" spans="1:4" x14ac:dyDescent="0.25">
      <c r="A18" t="s">
        <v>1450</v>
      </c>
      <c r="B18">
        <v>1</v>
      </c>
      <c r="C18" s="54">
        <v>43070</v>
      </c>
      <c r="D18" s="3" t="str">
        <f>YEAR(Datos_Consumo[[#This Row],[FECHA]])&amp;"-"&amp;MONTH(Datos_Consumo[[#This Row],[FECHA]])</f>
        <v>2017-12</v>
      </c>
    </row>
    <row r="19" spans="1:4" x14ac:dyDescent="0.25">
      <c r="A19" t="s">
        <v>1450</v>
      </c>
      <c r="B19">
        <v>4</v>
      </c>
      <c r="C19" s="54">
        <v>43101</v>
      </c>
      <c r="D19" s="3" t="str">
        <f>YEAR(Datos_Consumo[[#This Row],[FECHA]])&amp;"-"&amp;MONTH(Datos_Consumo[[#This Row],[FECHA]])</f>
        <v>2018-1</v>
      </c>
    </row>
    <row r="20" spans="1:4" x14ac:dyDescent="0.25">
      <c r="A20" t="s">
        <v>1450</v>
      </c>
      <c r="B20">
        <v>2</v>
      </c>
      <c r="C20" s="54">
        <v>43132</v>
      </c>
      <c r="D20" s="3" t="str">
        <f>YEAR(Datos_Consumo[[#This Row],[FECHA]])&amp;"-"&amp;MONTH(Datos_Consumo[[#This Row],[FECHA]])</f>
        <v>2018-2</v>
      </c>
    </row>
    <row r="21" spans="1:4" x14ac:dyDescent="0.25">
      <c r="A21" t="s">
        <v>1450</v>
      </c>
      <c r="B21">
        <v>2</v>
      </c>
      <c r="C21" s="54">
        <v>43160</v>
      </c>
      <c r="D21" s="3" t="str">
        <f>YEAR(Datos_Consumo[[#This Row],[FECHA]])&amp;"-"&amp;MONTH(Datos_Consumo[[#This Row],[FECHA]])</f>
        <v>2018-3</v>
      </c>
    </row>
    <row r="22" spans="1:4" x14ac:dyDescent="0.25">
      <c r="A22" t="s">
        <v>1450</v>
      </c>
      <c r="B22">
        <v>2</v>
      </c>
      <c r="C22" s="54">
        <v>43191</v>
      </c>
      <c r="D22" s="3" t="str">
        <f>YEAR(Datos_Consumo[[#This Row],[FECHA]])&amp;"-"&amp;MONTH(Datos_Consumo[[#This Row],[FECHA]])</f>
        <v>2018-4</v>
      </c>
    </row>
    <row r="23" spans="1:4" x14ac:dyDescent="0.25">
      <c r="A23" t="s">
        <v>1450</v>
      </c>
      <c r="B23">
        <v>1</v>
      </c>
      <c r="C23" s="54">
        <v>43221</v>
      </c>
      <c r="D23" s="3" t="str">
        <f>YEAR(Datos_Consumo[[#This Row],[FECHA]])&amp;"-"&amp;MONTH(Datos_Consumo[[#This Row],[FECHA]])</f>
        <v>2018-5</v>
      </c>
    </row>
    <row r="24" spans="1:4" x14ac:dyDescent="0.25">
      <c r="A24" t="s">
        <v>4022</v>
      </c>
      <c r="B24">
        <v>6</v>
      </c>
      <c r="C24" s="54">
        <v>43191</v>
      </c>
      <c r="D24" s="3" t="str">
        <f>YEAR(Datos_Consumo[[#This Row],[FECHA]])&amp;"-"&amp;MONTH(Datos_Consumo[[#This Row],[FECHA]])</f>
        <v>2018-4</v>
      </c>
    </row>
    <row r="25" spans="1:4" x14ac:dyDescent="0.25">
      <c r="A25" t="s">
        <v>4023</v>
      </c>
      <c r="B25">
        <v>9</v>
      </c>
      <c r="C25" s="54">
        <v>43191</v>
      </c>
      <c r="D25" s="3" t="str">
        <f>YEAR(Datos_Consumo[[#This Row],[FECHA]])&amp;"-"&amp;MONTH(Datos_Consumo[[#This Row],[FECHA]])</f>
        <v>2018-4</v>
      </c>
    </row>
    <row r="26" spans="1:4" x14ac:dyDescent="0.25">
      <c r="A26" t="s">
        <v>4024</v>
      </c>
      <c r="B26">
        <v>1</v>
      </c>
      <c r="C26" s="54">
        <v>43191</v>
      </c>
      <c r="D26" s="3" t="str">
        <f>YEAR(Datos_Consumo[[#This Row],[FECHA]])&amp;"-"&amp;MONTH(Datos_Consumo[[#This Row],[FECHA]])</f>
        <v>2018-4</v>
      </c>
    </row>
    <row r="27" spans="1:4" x14ac:dyDescent="0.25">
      <c r="A27" t="s">
        <v>4025</v>
      </c>
      <c r="B27">
        <v>1</v>
      </c>
      <c r="C27" s="54">
        <v>43191</v>
      </c>
      <c r="D27" s="3" t="str">
        <f>YEAR(Datos_Consumo[[#This Row],[FECHA]])&amp;"-"&amp;MONTH(Datos_Consumo[[#This Row],[FECHA]])</f>
        <v>2018-4</v>
      </c>
    </row>
    <row r="28" spans="1:4" x14ac:dyDescent="0.25">
      <c r="A28" t="s">
        <v>1451</v>
      </c>
      <c r="B28">
        <v>2</v>
      </c>
      <c r="C28" s="54">
        <v>43191</v>
      </c>
      <c r="D28" s="3" t="str">
        <f>YEAR(Datos_Consumo[[#This Row],[FECHA]])&amp;"-"&amp;MONTH(Datos_Consumo[[#This Row],[FECHA]])</f>
        <v>2018-4</v>
      </c>
    </row>
    <row r="29" spans="1:4" x14ac:dyDescent="0.25">
      <c r="A29" t="s">
        <v>1452</v>
      </c>
      <c r="B29">
        <v>4</v>
      </c>
      <c r="C29" s="54">
        <v>43101</v>
      </c>
      <c r="D29" s="3" t="str">
        <f>YEAR(Datos_Consumo[[#This Row],[FECHA]])&amp;"-"&amp;MONTH(Datos_Consumo[[#This Row],[FECHA]])</f>
        <v>2018-1</v>
      </c>
    </row>
    <row r="30" spans="1:4" x14ac:dyDescent="0.25">
      <c r="A30" t="s">
        <v>4026</v>
      </c>
      <c r="B30">
        <v>1</v>
      </c>
      <c r="C30" s="54">
        <v>43191</v>
      </c>
      <c r="D30" s="3" t="str">
        <f>YEAR(Datos_Consumo[[#This Row],[FECHA]])&amp;"-"&amp;MONTH(Datos_Consumo[[#This Row],[FECHA]])</f>
        <v>2018-4</v>
      </c>
    </row>
    <row r="31" spans="1:4" x14ac:dyDescent="0.25">
      <c r="A31" t="s">
        <v>4027</v>
      </c>
      <c r="B31">
        <v>1</v>
      </c>
      <c r="C31" s="54">
        <v>43191</v>
      </c>
      <c r="D31" s="3" t="str">
        <f>YEAR(Datos_Consumo[[#This Row],[FECHA]])&amp;"-"&amp;MONTH(Datos_Consumo[[#This Row],[FECHA]])</f>
        <v>2018-4</v>
      </c>
    </row>
    <row r="32" spans="1:4" x14ac:dyDescent="0.25">
      <c r="A32" t="s">
        <v>1453</v>
      </c>
      <c r="B32">
        <v>1</v>
      </c>
      <c r="C32" s="54">
        <v>43101</v>
      </c>
      <c r="D32" s="3" t="str">
        <f>YEAR(Datos_Consumo[[#This Row],[FECHA]])&amp;"-"&amp;MONTH(Datos_Consumo[[#This Row],[FECHA]])</f>
        <v>2018-1</v>
      </c>
    </row>
    <row r="33" spans="1:4" x14ac:dyDescent="0.25">
      <c r="A33" t="s">
        <v>1454</v>
      </c>
      <c r="B33">
        <v>4</v>
      </c>
      <c r="C33" s="54">
        <v>43070</v>
      </c>
      <c r="D33" s="3" t="str">
        <f>YEAR(Datos_Consumo[[#This Row],[FECHA]])&amp;"-"&amp;MONTH(Datos_Consumo[[#This Row],[FECHA]])</f>
        <v>2017-12</v>
      </c>
    </row>
    <row r="34" spans="1:4" x14ac:dyDescent="0.25">
      <c r="A34" t="s">
        <v>1455</v>
      </c>
      <c r="B34">
        <v>1</v>
      </c>
      <c r="C34" s="54">
        <v>43101</v>
      </c>
      <c r="D34" s="3" t="str">
        <f>YEAR(Datos_Consumo[[#This Row],[FECHA]])&amp;"-"&amp;MONTH(Datos_Consumo[[#This Row],[FECHA]])</f>
        <v>2018-1</v>
      </c>
    </row>
    <row r="35" spans="1:4" x14ac:dyDescent="0.25">
      <c r="A35" t="s">
        <v>1456</v>
      </c>
      <c r="B35">
        <v>1</v>
      </c>
      <c r="C35" s="54">
        <v>43101</v>
      </c>
      <c r="D35" s="3" t="str">
        <f>YEAR(Datos_Consumo[[#This Row],[FECHA]])&amp;"-"&amp;MONTH(Datos_Consumo[[#This Row],[FECHA]])</f>
        <v>2018-1</v>
      </c>
    </row>
    <row r="36" spans="1:4" x14ac:dyDescent="0.25">
      <c r="A36" t="s">
        <v>4028</v>
      </c>
      <c r="B36">
        <v>2</v>
      </c>
      <c r="C36" s="54">
        <v>43191</v>
      </c>
      <c r="D36" s="3" t="str">
        <f>YEAR(Datos_Consumo[[#This Row],[FECHA]])&amp;"-"&amp;MONTH(Datos_Consumo[[#This Row],[FECHA]])</f>
        <v>2018-4</v>
      </c>
    </row>
    <row r="37" spans="1:4" x14ac:dyDescent="0.25">
      <c r="A37" t="s">
        <v>4029</v>
      </c>
      <c r="B37">
        <v>10</v>
      </c>
      <c r="C37" s="54">
        <v>43191</v>
      </c>
      <c r="D37" s="3" t="str">
        <f>YEAR(Datos_Consumo[[#This Row],[FECHA]])&amp;"-"&amp;MONTH(Datos_Consumo[[#This Row],[FECHA]])</f>
        <v>2018-4</v>
      </c>
    </row>
    <row r="38" spans="1:4" x14ac:dyDescent="0.25">
      <c r="A38" t="s">
        <v>4030</v>
      </c>
      <c r="B38">
        <v>11</v>
      </c>
      <c r="C38" s="54">
        <v>43191</v>
      </c>
      <c r="D38" s="3" t="str">
        <f>YEAR(Datos_Consumo[[#This Row],[FECHA]])&amp;"-"&amp;MONTH(Datos_Consumo[[#This Row],[FECHA]])</f>
        <v>2018-4</v>
      </c>
    </row>
    <row r="39" spans="1:4" x14ac:dyDescent="0.25">
      <c r="A39" t="s">
        <v>1457</v>
      </c>
      <c r="B39">
        <v>2</v>
      </c>
      <c r="C39" s="54">
        <v>43132</v>
      </c>
      <c r="D39" s="3" t="str">
        <f>YEAR(Datos_Consumo[[#This Row],[FECHA]])&amp;"-"&amp;MONTH(Datos_Consumo[[#This Row],[FECHA]])</f>
        <v>2018-2</v>
      </c>
    </row>
    <row r="40" spans="1:4" x14ac:dyDescent="0.25">
      <c r="A40" t="s">
        <v>1457</v>
      </c>
      <c r="B40">
        <v>2</v>
      </c>
      <c r="C40" s="54">
        <v>43160</v>
      </c>
      <c r="D40" s="3" t="str">
        <f>YEAR(Datos_Consumo[[#This Row],[FECHA]])&amp;"-"&amp;MONTH(Datos_Consumo[[#This Row],[FECHA]])</f>
        <v>2018-3</v>
      </c>
    </row>
    <row r="41" spans="1:4" x14ac:dyDescent="0.25">
      <c r="A41" t="s">
        <v>4031</v>
      </c>
      <c r="B41">
        <v>14</v>
      </c>
      <c r="C41" s="54">
        <v>43191</v>
      </c>
      <c r="D41" s="3" t="str">
        <f>YEAR(Datos_Consumo[[#This Row],[FECHA]])&amp;"-"&amp;MONTH(Datos_Consumo[[#This Row],[FECHA]])</f>
        <v>2018-4</v>
      </c>
    </row>
    <row r="42" spans="1:4" x14ac:dyDescent="0.25">
      <c r="A42" t="s">
        <v>4032</v>
      </c>
      <c r="B42">
        <v>6</v>
      </c>
      <c r="C42" s="54">
        <v>43191</v>
      </c>
      <c r="D42" s="3" t="str">
        <f>YEAR(Datos_Consumo[[#This Row],[FECHA]])&amp;"-"&amp;MONTH(Datos_Consumo[[#This Row],[FECHA]])</f>
        <v>2018-4</v>
      </c>
    </row>
    <row r="43" spans="1:4" x14ac:dyDescent="0.25">
      <c r="A43" t="s">
        <v>4033</v>
      </c>
      <c r="B43">
        <v>11</v>
      </c>
      <c r="C43" s="54">
        <v>43191</v>
      </c>
      <c r="D43" s="3" t="str">
        <f>YEAR(Datos_Consumo[[#This Row],[FECHA]])&amp;"-"&amp;MONTH(Datos_Consumo[[#This Row],[FECHA]])</f>
        <v>2018-4</v>
      </c>
    </row>
    <row r="44" spans="1:4" x14ac:dyDescent="0.25">
      <c r="A44" t="s">
        <v>4034</v>
      </c>
      <c r="B44">
        <v>2</v>
      </c>
      <c r="C44" s="54">
        <v>43191</v>
      </c>
      <c r="D44" s="3" t="str">
        <f>YEAR(Datos_Consumo[[#This Row],[FECHA]])&amp;"-"&amp;MONTH(Datos_Consumo[[#This Row],[FECHA]])</f>
        <v>2018-4</v>
      </c>
    </row>
    <row r="45" spans="1:4" x14ac:dyDescent="0.25">
      <c r="A45" t="s">
        <v>1458</v>
      </c>
      <c r="B45">
        <v>7</v>
      </c>
      <c r="C45" s="54">
        <v>43101</v>
      </c>
      <c r="D45" s="3" t="str">
        <f>YEAR(Datos_Consumo[[#This Row],[FECHA]])&amp;"-"&amp;MONTH(Datos_Consumo[[#This Row],[FECHA]])</f>
        <v>2018-1</v>
      </c>
    </row>
    <row r="46" spans="1:4" x14ac:dyDescent="0.25">
      <c r="A46" t="s">
        <v>1459</v>
      </c>
      <c r="B46">
        <v>2</v>
      </c>
      <c r="C46" s="54">
        <v>43101</v>
      </c>
      <c r="D46" s="3" t="str">
        <f>YEAR(Datos_Consumo[[#This Row],[FECHA]])&amp;"-"&amp;MONTH(Datos_Consumo[[#This Row],[FECHA]])</f>
        <v>2018-1</v>
      </c>
    </row>
    <row r="47" spans="1:4" x14ac:dyDescent="0.25">
      <c r="A47" t="s">
        <v>1460</v>
      </c>
      <c r="B47">
        <v>8</v>
      </c>
      <c r="C47" s="54">
        <v>43101</v>
      </c>
      <c r="D47" s="3" t="str">
        <f>YEAR(Datos_Consumo[[#This Row],[FECHA]])&amp;"-"&amp;MONTH(Datos_Consumo[[#This Row],[FECHA]])</f>
        <v>2018-1</v>
      </c>
    </row>
    <row r="48" spans="1:4" x14ac:dyDescent="0.25">
      <c r="A48" t="s">
        <v>1461</v>
      </c>
      <c r="B48">
        <v>16</v>
      </c>
      <c r="C48" s="54">
        <v>43070</v>
      </c>
      <c r="D48" s="3" t="str">
        <f>YEAR(Datos_Consumo[[#This Row],[FECHA]])&amp;"-"&amp;MONTH(Datos_Consumo[[#This Row],[FECHA]])</f>
        <v>2017-12</v>
      </c>
    </row>
    <row r="49" spans="1:4" x14ac:dyDescent="0.25">
      <c r="A49" t="s">
        <v>1461</v>
      </c>
      <c r="B49">
        <v>4</v>
      </c>
      <c r="C49" s="54">
        <v>43101</v>
      </c>
      <c r="D49" s="3" t="str">
        <f>YEAR(Datos_Consumo[[#This Row],[FECHA]])&amp;"-"&amp;MONTH(Datos_Consumo[[#This Row],[FECHA]])</f>
        <v>2018-1</v>
      </c>
    </row>
    <row r="50" spans="1:4" x14ac:dyDescent="0.25">
      <c r="A50" t="s">
        <v>1461</v>
      </c>
      <c r="B50">
        <v>4</v>
      </c>
      <c r="C50" s="54">
        <v>43132</v>
      </c>
      <c r="D50" s="3" t="str">
        <f>YEAR(Datos_Consumo[[#This Row],[FECHA]])&amp;"-"&amp;MONTH(Datos_Consumo[[#This Row],[FECHA]])</f>
        <v>2018-2</v>
      </c>
    </row>
    <row r="51" spans="1:4" x14ac:dyDescent="0.25">
      <c r="A51" t="s">
        <v>1461</v>
      </c>
      <c r="B51">
        <v>22</v>
      </c>
      <c r="C51" s="54">
        <v>43160</v>
      </c>
      <c r="D51" s="3" t="str">
        <f>YEAR(Datos_Consumo[[#This Row],[FECHA]])&amp;"-"&amp;MONTH(Datos_Consumo[[#This Row],[FECHA]])</f>
        <v>2018-3</v>
      </c>
    </row>
    <row r="52" spans="1:4" x14ac:dyDescent="0.25">
      <c r="A52" t="s">
        <v>1461</v>
      </c>
      <c r="B52">
        <v>4</v>
      </c>
      <c r="C52" s="54">
        <v>43221</v>
      </c>
      <c r="D52" s="3" t="str">
        <f>YEAR(Datos_Consumo[[#This Row],[FECHA]])&amp;"-"&amp;MONTH(Datos_Consumo[[#This Row],[FECHA]])</f>
        <v>2018-5</v>
      </c>
    </row>
    <row r="53" spans="1:4" x14ac:dyDescent="0.25">
      <c r="A53" t="s">
        <v>1462</v>
      </c>
      <c r="B53">
        <v>32</v>
      </c>
      <c r="C53" s="54">
        <v>43070</v>
      </c>
      <c r="D53" s="3" t="str">
        <f>YEAR(Datos_Consumo[[#This Row],[FECHA]])&amp;"-"&amp;MONTH(Datos_Consumo[[#This Row],[FECHA]])</f>
        <v>2017-12</v>
      </c>
    </row>
    <row r="54" spans="1:4" x14ac:dyDescent="0.25">
      <c r="A54" t="s">
        <v>1462</v>
      </c>
      <c r="B54">
        <v>23</v>
      </c>
      <c r="C54" s="54">
        <v>43101</v>
      </c>
      <c r="D54" s="3" t="str">
        <f>YEAR(Datos_Consumo[[#This Row],[FECHA]])&amp;"-"&amp;MONTH(Datos_Consumo[[#This Row],[FECHA]])</f>
        <v>2018-1</v>
      </c>
    </row>
    <row r="55" spans="1:4" x14ac:dyDescent="0.25">
      <c r="A55" t="s">
        <v>1462</v>
      </c>
      <c r="B55">
        <v>29</v>
      </c>
      <c r="C55" s="54">
        <v>43132</v>
      </c>
      <c r="D55" s="3" t="str">
        <f>YEAR(Datos_Consumo[[#This Row],[FECHA]])&amp;"-"&amp;MONTH(Datos_Consumo[[#This Row],[FECHA]])</f>
        <v>2018-2</v>
      </c>
    </row>
    <row r="56" spans="1:4" x14ac:dyDescent="0.25">
      <c r="A56" t="s">
        <v>1462</v>
      </c>
      <c r="B56">
        <v>18</v>
      </c>
      <c r="C56" s="54">
        <v>43160</v>
      </c>
      <c r="D56" s="3" t="str">
        <f>YEAR(Datos_Consumo[[#This Row],[FECHA]])&amp;"-"&amp;MONTH(Datos_Consumo[[#This Row],[FECHA]])</f>
        <v>2018-3</v>
      </c>
    </row>
    <row r="57" spans="1:4" x14ac:dyDescent="0.25">
      <c r="A57" t="s">
        <v>1462</v>
      </c>
      <c r="B57">
        <v>54</v>
      </c>
      <c r="C57" s="54">
        <v>43191</v>
      </c>
      <c r="D57" s="3" t="str">
        <f>YEAR(Datos_Consumo[[#This Row],[FECHA]])&amp;"-"&amp;MONTH(Datos_Consumo[[#This Row],[FECHA]])</f>
        <v>2018-4</v>
      </c>
    </row>
    <row r="58" spans="1:4" x14ac:dyDescent="0.25">
      <c r="A58" t="s">
        <v>1462</v>
      </c>
      <c r="B58">
        <v>11</v>
      </c>
      <c r="C58" s="54">
        <v>43221</v>
      </c>
      <c r="D58" s="3" t="str">
        <f>YEAR(Datos_Consumo[[#This Row],[FECHA]])&amp;"-"&amp;MONTH(Datos_Consumo[[#This Row],[FECHA]])</f>
        <v>2018-5</v>
      </c>
    </row>
    <row r="59" spans="1:4" x14ac:dyDescent="0.25">
      <c r="A59" t="s">
        <v>1463</v>
      </c>
      <c r="B59">
        <v>2</v>
      </c>
      <c r="C59" s="54">
        <v>43070</v>
      </c>
      <c r="D59" s="3" t="str">
        <f>YEAR(Datos_Consumo[[#This Row],[FECHA]])&amp;"-"&amp;MONTH(Datos_Consumo[[#This Row],[FECHA]])</f>
        <v>2017-12</v>
      </c>
    </row>
    <row r="60" spans="1:4" x14ac:dyDescent="0.25">
      <c r="A60" t="s">
        <v>1463</v>
      </c>
      <c r="B60">
        <v>7</v>
      </c>
      <c r="C60" s="54">
        <v>43101</v>
      </c>
      <c r="D60" s="3" t="str">
        <f>YEAR(Datos_Consumo[[#This Row],[FECHA]])&amp;"-"&amp;MONTH(Datos_Consumo[[#This Row],[FECHA]])</f>
        <v>2018-1</v>
      </c>
    </row>
    <row r="61" spans="1:4" x14ac:dyDescent="0.25">
      <c r="A61" t="s">
        <v>1463</v>
      </c>
      <c r="B61">
        <v>3</v>
      </c>
      <c r="C61" s="54">
        <v>43132</v>
      </c>
      <c r="D61" s="3" t="str">
        <f>YEAR(Datos_Consumo[[#This Row],[FECHA]])&amp;"-"&amp;MONTH(Datos_Consumo[[#This Row],[FECHA]])</f>
        <v>2018-2</v>
      </c>
    </row>
    <row r="62" spans="1:4" x14ac:dyDescent="0.25">
      <c r="A62" t="s">
        <v>1463</v>
      </c>
      <c r="B62">
        <v>6</v>
      </c>
      <c r="C62" s="54">
        <v>43160</v>
      </c>
      <c r="D62" s="3" t="str">
        <f>YEAR(Datos_Consumo[[#This Row],[FECHA]])&amp;"-"&amp;MONTH(Datos_Consumo[[#This Row],[FECHA]])</f>
        <v>2018-3</v>
      </c>
    </row>
    <row r="63" spans="1:4" x14ac:dyDescent="0.25">
      <c r="A63" t="s">
        <v>1463</v>
      </c>
      <c r="B63">
        <v>17</v>
      </c>
      <c r="C63" s="54">
        <v>43191</v>
      </c>
      <c r="D63" s="3" t="str">
        <f>YEAR(Datos_Consumo[[#This Row],[FECHA]])&amp;"-"&amp;MONTH(Datos_Consumo[[#This Row],[FECHA]])</f>
        <v>2018-4</v>
      </c>
    </row>
    <row r="64" spans="1:4" x14ac:dyDescent="0.25">
      <c r="A64" t="s">
        <v>1464</v>
      </c>
      <c r="B64">
        <v>4</v>
      </c>
      <c r="C64" s="54">
        <v>43191</v>
      </c>
      <c r="D64" s="3" t="str">
        <f>YEAR(Datos_Consumo[[#This Row],[FECHA]])&amp;"-"&amp;MONTH(Datos_Consumo[[#This Row],[FECHA]])</f>
        <v>2018-4</v>
      </c>
    </row>
    <row r="65" spans="1:4" x14ac:dyDescent="0.25">
      <c r="A65" t="s">
        <v>1465</v>
      </c>
      <c r="B65">
        <v>6</v>
      </c>
      <c r="C65" s="54">
        <v>43101</v>
      </c>
      <c r="D65" s="3" t="str">
        <f>YEAR(Datos_Consumo[[#This Row],[FECHA]])&amp;"-"&amp;MONTH(Datos_Consumo[[#This Row],[FECHA]])</f>
        <v>2018-1</v>
      </c>
    </row>
    <row r="66" spans="1:4" x14ac:dyDescent="0.25">
      <c r="A66" t="s">
        <v>1465</v>
      </c>
      <c r="B66">
        <v>6</v>
      </c>
      <c r="C66" s="54">
        <v>43160</v>
      </c>
      <c r="D66" s="3" t="str">
        <f>YEAR(Datos_Consumo[[#This Row],[FECHA]])&amp;"-"&amp;MONTH(Datos_Consumo[[#This Row],[FECHA]])</f>
        <v>2018-3</v>
      </c>
    </row>
    <row r="67" spans="1:4" x14ac:dyDescent="0.25">
      <c r="A67" t="s">
        <v>1465</v>
      </c>
      <c r="B67">
        <v>21</v>
      </c>
      <c r="C67" s="54">
        <v>43191</v>
      </c>
      <c r="D67" s="3" t="str">
        <f>YEAR(Datos_Consumo[[#This Row],[FECHA]])&amp;"-"&amp;MONTH(Datos_Consumo[[#This Row],[FECHA]])</f>
        <v>2018-4</v>
      </c>
    </row>
    <row r="68" spans="1:4" x14ac:dyDescent="0.25">
      <c r="A68" t="s">
        <v>1466</v>
      </c>
      <c r="B68">
        <v>14</v>
      </c>
      <c r="C68" s="54">
        <v>43070</v>
      </c>
      <c r="D68" s="3" t="str">
        <f>YEAR(Datos_Consumo[[#This Row],[FECHA]])&amp;"-"&amp;MONTH(Datos_Consumo[[#This Row],[FECHA]])</f>
        <v>2017-12</v>
      </c>
    </row>
    <row r="69" spans="1:4" x14ac:dyDescent="0.25">
      <c r="A69" t="s">
        <v>1466</v>
      </c>
      <c r="B69">
        <v>27</v>
      </c>
      <c r="C69" s="54">
        <v>43101</v>
      </c>
      <c r="D69" s="3" t="str">
        <f>YEAR(Datos_Consumo[[#This Row],[FECHA]])&amp;"-"&amp;MONTH(Datos_Consumo[[#This Row],[FECHA]])</f>
        <v>2018-1</v>
      </c>
    </row>
    <row r="70" spans="1:4" x14ac:dyDescent="0.25">
      <c r="A70" t="s">
        <v>1466</v>
      </c>
      <c r="B70">
        <v>12</v>
      </c>
      <c r="C70" s="54">
        <v>43132</v>
      </c>
      <c r="D70" s="3" t="str">
        <f>YEAR(Datos_Consumo[[#This Row],[FECHA]])&amp;"-"&amp;MONTH(Datos_Consumo[[#This Row],[FECHA]])</f>
        <v>2018-2</v>
      </c>
    </row>
    <row r="71" spans="1:4" x14ac:dyDescent="0.25">
      <c r="A71" t="s">
        <v>1466</v>
      </c>
      <c r="B71">
        <v>4</v>
      </c>
      <c r="C71" s="54">
        <v>43160</v>
      </c>
      <c r="D71" s="3" t="str">
        <f>YEAR(Datos_Consumo[[#This Row],[FECHA]])&amp;"-"&amp;MONTH(Datos_Consumo[[#This Row],[FECHA]])</f>
        <v>2018-3</v>
      </c>
    </row>
    <row r="72" spans="1:4" x14ac:dyDescent="0.25">
      <c r="A72" t="s">
        <v>1466</v>
      </c>
      <c r="B72">
        <v>6</v>
      </c>
      <c r="C72" s="54">
        <v>43191</v>
      </c>
      <c r="D72" s="3" t="str">
        <f>YEAR(Datos_Consumo[[#This Row],[FECHA]])&amp;"-"&amp;MONTH(Datos_Consumo[[#This Row],[FECHA]])</f>
        <v>2018-4</v>
      </c>
    </row>
    <row r="73" spans="1:4" x14ac:dyDescent="0.25">
      <c r="A73" t="s">
        <v>1467</v>
      </c>
      <c r="B73">
        <v>2</v>
      </c>
      <c r="C73" s="54">
        <v>43070</v>
      </c>
      <c r="D73" s="3" t="str">
        <f>YEAR(Datos_Consumo[[#This Row],[FECHA]])&amp;"-"&amp;MONTH(Datos_Consumo[[#This Row],[FECHA]])</f>
        <v>2017-12</v>
      </c>
    </row>
    <row r="74" spans="1:4" x14ac:dyDescent="0.25">
      <c r="A74" t="s">
        <v>1467</v>
      </c>
      <c r="B74">
        <v>1</v>
      </c>
      <c r="C74" s="54">
        <v>43101</v>
      </c>
      <c r="D74" s="3" t="str">
        <f>YEAR(Datos_Consumo[[#This Row],[FECHA]])&amp;"-"&amp;MONTH(Datos_Consumo[[#This Row],[FECHA]])</f>
        <v>2018-1</v>
      </c>
    </row>
    <row r="75" spans="1:4" x14ac:dyDescent="0.25">
      <c r="A75" t="s">
        <v>1467</v>
      </c>
      <c r="B75">
        <v>1</v>
      </c>
      <c r="C75" s="54">
        <v>43160</v>
      </c>
      <c r="D75" s="3" t="str">
        <f>YEAR(Datos_Consumo[[#This Row],[FECHA]])&amp;"-"&amp;MONTH(Datos_Consumo[[#This Row],[FECHA]])</f>
        <v>2018-3</v>
      </c>
    </row>
    <row r="76" spans="1:4" x14ac:dyDescent="0.25">
      <c r="A76" t="s">
        <v>1468</v>
      </c>
      <c r="B76">
        <v>2</v>
      </c>
      <c r="C76" s="54">
        <v>43101</v>
      </c>
      <c r="D76" s="3" t="str">
        <f>YEAR(Datos_Consumo[[#This Row],[FECHA]])&amp;"-"&amp;MONTH(Datos_Consumo[[#This Row],[FECHA]])</f>
        <v>2018-1</v>
      </c>
    </row>
    <row r="77" spans="1:4" x14ac:dyDescent="0.25">
      <c r="A77" t="s">
        <v>1469</v>
      </c>
      <c r="B77">
        <v>10</v>
      </c>
      <c r="C77" s="54">
        <v>43191</v>
      </c>
      <c r="D77" s="3" t="str">
        <f>YEAR(Datos_Consumo[[#This Row],[FECHA]])&amp;"-"&amp;MONTH(Datos_Consumo[[#This Row],[FECHA]])</f>
        <v>2018-4</v>
      </c>
    </row>
    <row r="78" spans="1:4" x14ac:dyDescent="0.25">
      <c r="A78" t="s">
        <v>1470</v>
      </c>
      <c r="B78">
        <v>10</v>
      </c>
      <c r="C78" s="54">
        <v>43101</v>
      </c>
      <c r="D78" s="3" t="str">
        <f>YEAR(Datos_Consumo[[#This Row],[FECHA]])&amp;"-"&amp;MONTH(Datos_Consumo[[#This Row],[FECHA]])</f>
        <v>2018-1</v>
      </c>
    </row>
    <row r="79" spans="1:4" x14ac:dyDescent="0.25">
      <c r="A79" t="s">
        <v>1470</v>
      </c>
      <c r="B79">
        <v>5</v>
      </c>
      <c r="C79" s="54">
        <v>43221</v>
      </c>
      <c r="D79" s="3" t="str">
        <f>YEAR(Datos_Consumo[[#This Row],[FECHA]])&amp;"-"&amp;MONTH(Datos_Consumo[[#This Row],[FECHA]])</f>
        <v>2018-5</v>
      </c>
    </row>
    <row r="80" spans="1:4" x14ac:dyDescent="0.25">
      <c r="A80" t="s">
        <v>1471</v>
      </c>
      <c r="B80">
        <v>10</v>
      </c>
      <c r="C80" s="54">
        <v>43101</v>
      </c>
      <c r="D80" s="3" t="str">
        <f>YEAR(Datos_Consumo[[#This Row],[FECHA]])&amp;"-"&amp;MONTH(Datos_Consumo[[#This Row],[FECHA]])</f>
        <v>2018-1</v>
      </c>
    </row>
    <row r="81" spans="1:4" x14ac:dyDescent="0.25">
      <c r="A81" t="s">
        <v>1471</v>
      </c>
      <c r="B81">
        <v>11</v>
      </c>
      <c r="C81" s="54">
        <v>43132</v>
      </c>
      <c r="D81" s="3" t="str">
        <f>YEAR(Datos_Consumo[[#This Row],[FECHA]])&amp;"-"&amp;MONTH(Datos_Consumo[[#This Row],[FECHA]])</f>
        <v>2018-2</v>
      </c>
    </row>
    <row r="82" spans="1:4" x14ac:dyDescent="0.25">
      <c r="A82" t="s">
        <v>1471</v>
      </c>
      <c r="B82">
        <v>1</v>
      </c>
      <c r="C82" s="54">
        <v>43160</v>
      </c>
      <c r="D82" s="3" t="str">
        <f>YEAR(Datos_Consumo[[#This Row],[FECHA]])&amp;"-"&amp;MONTH(Datos_Consumo[[#This Row],[FECHA]])</f>
        <v>2018-3</v>
      </c>
    </row>
    <row r="83" spans="1:4" x14ac:dyDescent="0.25">
      <c r="A83" t="s">
        <v>1472</v>
      </c>
      <c r="B83">
        <v>1</v>
      </c>
      <c r="C83" s="54">
        <v>43132</v>
      </c>
      <c r="D83" s="3" t="str">
        <f>YEAR(Datos_Consumo[[#This Row],[FECHA]])&amp;"-"&amp;MONTH(Datos_Consumo[[#This Row],[FECHA]])</f>
        <v>2018-2</v>
      </c>
    </row>
    <row r="84" spans="1:4" x14ac:dyDescent="0.25">
      <c r="A84" t="s">
        <v>1472</v>
      </c>
      <c r="B84">
        <v>4</v>
      </c>
      <c r="C84" s="54">
        <v>43160</v>
      </c>
      <c r="D84" s="3" t="str">
        <f>YEAR(Datos_Consumo[[#This Row],[FECHA]])&amp;"-"&amp;MONTH(Datos_Consumo[[#This Row],[FECHA]])</f>
        <v>2018-3</v>
      </c>
    </row>
    <row r="85" spans="1:4" x14ac:dyDescent="0.25">
      <c r="A85" t="s">
        <v>1472</v>
      </c>
      <c r="B85">
        <v>1</v>
      </c>
      <c r="C85" s="54">
        <v>43191</v>
      </c>
      <c r="D85" s="3" t="str">
        <f>YEAR(Datos_Consumo[[#This Row],[FECHA]])&amp;"-"&amp;MONTH(Datos_Consumo[[#This Row],[FECHA]])</f>
        <v>2018-4</v>
      </c>
    </row>
    <row r="86" spans="1:4" x14ac:dyDescent="0.25">
      <c r="A86" t="s">
        <v>1473</v>
      </c>
      <c r="B86">
        <v>5</v>
      </c>
      <c r="C86" s="54">
        <v>43070</v>
      </c>
      <c r="D86" s="3" t="str">
        <f>YEAR(Datos_Consumo[[#This Row],[FECHA]])&amp;"-"&amp;MONTH(Datos_Consumo[[#This Row],[FECHA]])</f>
        <v>2017-12</v>
      </c>
    </row>
    <row r="87" spans="1:4" x14ac:dyDescent="0.25">
      <c r="A87" t="s">
        <v>1473</v>
      </c>
      <c r="B87">
        <v>12</v>
      </c>
      <c r="C87" s="54">
        <v>43101</v>
      </c>
      <c r="D87" s="3" t="str">
        <f>YEAR(Datos_Consumo[[#This Row],[FECHA]])&amp;"-"&amp;MONTH(Datos_Consumo[[#This Row],[FECHA]])</f>
        <v>2018-1</v>
      </c>
    </row>
    <row r="88" spans="1:4" x14ac:dyDescent="0.25">
      <c r="A88" t="s">
        <v>1473</v>
      </c>
      <c r="B88">
        <v>3</v>
      </c>
      <c r="C88" s="54">
        <v>43132</v>
      </c>
      <c r="D88" s="3" t="str">
        <f>YEAR(Datos_Consumo[[#This Row],[FECHA]])&amp;"-"&amp;MONTH(Datos_Consumo[[#This Row],[FECHA]])</f>
        <v>2018-2</v>
      </c>
    </row>
    <row r="89" spans="1:4" x14ac:dyDescent="0.25">
      <c r="A89" t="s">
        <v>1473</v>
      </c>
      <c r="B89">
        <v>5</v>
      </c>
      <c r="C89" s="54">
        <v>43160</v>
      </c>
      <c r="D89" s="3" t="str">
        <f>YEAR(Datos_Consumo[[#This Row],[FECHA]])&amp;"-"&amp;MONTH(Datos_Consumo[[#This Row],[FECHA]])</f>
        <v>2018-3</v>
      </c>
    </row>
    <row r="90" spans="1:4" x14ac:dyDescent="0.25">
      <c r="A90" t="s">
        <v>1473</v>
      </c>
      <c r="B90">
        <v>4</v>
      </c>
      <c r="C90" s="54">
        <v>43191</v>
      </c>
      <c r="D90" s="3" t="str">
        <f>YEAR(Datos_Consumo[[#This Row],[FECHA]])&amp;"-"&amp;MONTH(Datos_Consumo[[#This Row],[FECHA]])</f>
        <v>2018-4</v>
      </c>
    </row>
    <row r="91" spans="1:4" x14ac:dyDescent="0.25">
      <c r="A91" t="s">
        <v>1474</v>
      </c>
      <c r="B91">
        <v>10</v>
      </c>
      <c r="C91" s="54">
        <v>43101</v>
      </c>
      <c r="D91" s="3" t="str">
        <f>YEAR(Datos_Consumo[[#This Row],[FECHA]])&amp;"-"&amp;MONTH(Datos_Consumo[[#This Row],[FECHA]])</f>
        <v>2018-1</v>
      </c>
    </row>
    <row r="92" spans="1:4" x14ac:dyDescent="0.25">
      <c r="A92" t="s">
        <v>1474</v>
      </c>
      <c r="B92">
        <v>3</v>
      </c>
      <c r="C92" s="54">
        <v>43160</v>
      </c>
      <c r="D92" s="3" t="str">
        <f>YEAR(Datos_Consumo[[#This Row],[FECHA]])&amp;"-"&amp;MONTH(Datos_Consumo[[#This Row],[FECHA]])</f>
        <v>2018-3</v>
      </c>
    </row>
    <row r="93" spans="1:4" x14ac:dyDescent="0.25">
      <c r="A93" t="s">
        <v>1474</v>
      </c>
      <c r="B93">
        <v>6</v>
      </c>
      <c r="C93" s="54">
        <v>43191</v>
      </c>
      <c r="D93" s="3" t="str">
        <f>YEAR(Datos_Consumo[[#This Row],[FECHA]])&amp;"-"&amp;MONTH(Datos_Consumo[[#This Row],[FECHA]])</f>
        <v>2018-4</v>
      </c>
    </row>
    <row r="94" spans="1:4" x14ac:dyDescent="0.25">
      <c r="A94" t="s">
        <v>1474</v>
      </c>
      <c r="B94">
        <v>6</v>
      </c>
      <c r="C94" s="54">
        <v>43221</v>
      </c>
      <c r="D94" s="3" t="str">
        <f>YEAR(Datos_Consumo[[#This Row],[FECHA]])&amp;"-"&amp;MONTH(Datos_Consumo[[#This Row],[FECHA]])</f>
        <v>2018-5</v>
      </c>
    </row>
    <row r="95" spans="1:4" x14ac:dyDescent="0.25">
      <c r="A95" t="s">
        <v>1475</v>
      </c>
      <c r="B95">
        <v>1</v>
      </c>
      <c r="C95" s="54">
        <v>43191</v>
      </c>
      <c r="D95" s="3" t="str">
        <f>YEAR(Datos_Consumo[[#This Row],[FECHA]])&amp;"-"&amp;MONTH(Datos_Consumo[[#This Row],[FECHA]])</f>
        <v>2018-4</v>
      </c>
    </row>
    <row r="96" spans="1:4" x14ac:dyDescent="0.25">
      <c r="A96" t="s">
        <v>1476</v>
      </c>
      <c r="B96">
        <v>1</v>
      </c>
      <c r="C96" s="54">
        <v>43101</v>
      </c>
      <c r="D96" s="3" t="str">
        <f>YEAR(Datos_Consumo[[#This Row],[FECHA]])&amp;"-"&amp;MONTH(Datos_Consumo[[#This Row],[FECHA]])</f>
        <v>2018-1</v>
      </c>
    </row>
    <row r="97" spans="1:4" x14ac:dyDescent="0.25">
      <c r="A97" t="s">
        <v>1477</v>
      </c>
      <c r="B97">
        <v>5</v>
      </c>
      <c r="C97" s="54">
        <v>43070</v>
      </c>
      <c r="D97" s="3" t="str">
        <f>YEAR(Datos_Consumo[[#This Row],[FECHA]])&amp;"-"&amp;MONTH(Datos_Consumo[[#This Row],[FECHA]])</f>
        <v>2017-12</v>
      </c>
    </row>
    <row r="98" spans="1:4" x14ac:dyDescent="0.25">
      <c r="A98" t="s">
        <v>1477</v>
      </c>
      <c r="B98">
        <v>2</v>
      </c>
      <c r="C98" s="54">
        <v>43101</v>
      </c>
      <c r="D98" s="3" t="str">
        <f>YEAR(Datos_Consumo[[#This Row],[FECHA]])&amp;"-"&amp;MONTH(Datos_Consumo[[#This Row],[FECHA]])</f>
        <v>2018-1</v>
      </c>
    </row>
    <row r="99" spans="1:4" x14ac:dyDescent="0.25">
      <c r="A99" t="s">
        <v>1477</v>
      </c>
      <c r="B99">
        <v>4</v>
      </c>
      <c r="C99" s="54">
        <v>43132</v>
      </c>
      <c r="D99" s="3" t="str">
        <f>YEAR(Datos_Consumo[[#This Row],[FECHA]])&amp;"-"&amp;MONTH(Datos_Consumo[[#This Row],[FECHA]])</f>
        <v>2018-2</v>
      </c>
    </row>
    <row r="100" spans="1:4" x14ac:dyDescent="0.25">
      <c r="A100" t="s">
        <v>1477</v>
      </c>
      <c r="B100">
        <v>2</v>
      </c>
      <c r="C100" s="54">
        <v>43160</v>
      </c>
      <c r="D100" s="3" t="str">
        <f>YEAR(Datos_Consumo[[#This Row],[FECHA]])&amp;"-"&amp;MONTH(Datos_Consumo[[#This Row],[FECHA]])</f>
        <v>2018-3</v>
      </c>
    </row>
    <row r="101" spans="1:4" x14ac:dyDescent="0.25">
      <c r="A101" t="s">
        <v>1477</v>
      </c>
      <c r="B101">
        <v>11</v>
      </c>
      <c r="C101" s="54">
        <v>43191</v>
      </c>
      <c r="D101" s="3" t="str">
        <f>YEAR(Datos_Consumo[[#This Row],[FECHA]])&amp;"-"&amp;MONTH(Datos_Consumo[[#This Row],[FECHA]])</f>
        <v>2018-4</v>
      </c>
    </row>
    <row r="102" spans="1:4" x14ac:dyDescent="0.25">
      <c r="A102" t="s">
        <v>1478</v>
      </c>
      <c r="B102">
        <v>3</v>
      </c>
      <c r="C102" s="54">
        <v>43101</v>
      </c>
      <c r="D102" s="3" t="str">
        <f>YEAR(Datos_Consumo[[#This Row],[FECHA]])&amp;"-"&amp;MONTH(Datos_Consumo[[#This Row],[FECHA]])</f>
        <v>2018-1</v>
      </c>
    </row>
    <row r="103" spans="1:4" x14ac:dyDescent="0.25">
      <c r="A103" t="s">
        <v>1478</v>
      </c>
      <c r="B103">
        <v>3</v>
      </c>
      <c r="C103" s="54">
        <v>43160</v>
      </c>
      <c r="D103" s="3" t="str">
        <f>YEAR(Datos_Consumo[[#This Row],[FECHA]])&amp;"-"&amp;MONTH(Datos_Consumo[[#This Row],[FECHA]])</f>
        <v>2018-3</v>
      </c>
    </row>
    <row r="104" spans="1:4" x14ac:dyDescent="0.25">
      <c r="A104" t="s">
        <v>1479</v>
      </c>
      <c r="B104">
        <v>1</v>
      </c>
      <c r="C104" s="54">
        <v>43132</v>
      </c>
      <c r="D104" s="3" t="str">
        <f>YEAR(Datos_Consumo[[#This Row],[FECHA]])&amp;"-"&amp;MONTH(Datos_Consumo[[#This Row],[FECHA]])</f>
        <v>2018-2</v>
      </c>
    </row>
    <row r="105" spans="1:4" x14ac:dyDescent="0.25">
      <c r="A105" t="s">
        <v>1479</v>
      </c>
      <c r="B105">
        <v>1</v>
      </c>
      <c r="C105" s="54">
        <v>43191</v>
      </c>
      <c r="D105" s="3" t="str">
        <f>YEAR(Datos_Consumo[[#This Row],[FECHA]])&amp;"-"&amp;MONTH(Datos_Consumo[[#This Row],[FECHA]])</f>
        <v>2018-4</v>
      </c>
    </row>
    <row r="106" spans="1:4" x14ac:dyDescent="0.25">
      <c r="A106" t="s">
        <v>1480</v>
      </c>
      <c r="B106">
        <v>3</v>
      </c>
      <c r="C106" s="54">
        <v>43132</v>
      </c>
      <c r="D106" s="3" t="str">
        <f>YEAR(Datos_Consumo[[#This Row],[FECHA]])&amp;"-"&amp;MONTH(Datos_Consumo[[#This Row],[FECHA]])</f>
        <v>2018-2</v>
      </c>
    </row>
    <row r="107" spans="1:4" x14ac:dyDescent="0.25">
      <c r="A107" t="s">
        <v>1480</v>
      </c>
      <c r="B107">
        <v>1</v>
      </c>
      <c r="C107" s="54">
        <v>43160</v>
      </c>
      <c r="D107" s="3" t="str">
        <f>YEAR(Datos_Consumo[[#This Row],[FECHA]])&amp;"-"&amp;MONTH(Datos_Consumo[[#This Row],[FECHA]])</f>
        <v>2018-3</v>
      </c>
    </row>
    <row r="108" spans="1:4" x14ac:dyDescent="0.25">
      <c r="A108" t="s">
        <v>1480</v>
      </c>
      <c r="B108">
        <v>1</v>
      </c>
      <c r="C108" s="54">
        <v>43191</v>
      </c>
      <c r="D108" s="3" t="str">
        <f>YEAR(Datos_Consumo[[#This Row],[FECHA]])&amp;"-"&amp;MONTH(Datos_Consumo[[#This Row],[FECHA]])</f>
        <v>2018-4</v>
      </c>
    </row>
    <row r="109" spans="1:4" x14ac:dyDescent="0.25">
      <c r="A109" t="s">
        <v>1481</v>
      </c>
      <c r="B109">
        <v>2</v>
      </c>
      <c r="C109" s="54">
        <v>43070</v>
      </c>
      <c r="D109" s="3" t="str">
        <f>YEAR(Datos_Consumo[[#This Row],[FECHA]])&amp;"-"&amp;MONTH(Datos_Consumo[[#This Row],[FECHA]])</f>
        <v>2017-12</v>
      </c>
    </row>
    <row r="110" spans="1:4" x14ac:dyDescent="0.25">
      <c r="A110" t="s">
        <v>1481</v>
      </c>
      <c r="B110">
        <v>4</v>
      </c>
      <c r="C110" s="54">
        <v>43132</v>
      </c>
      <c r="D110" s="3" t="str">
        <f>YEAR(Datos_Consumo[[#This Row],[FECHA]])&amp;"-"&amp;MONTH(Datos_Consumo[[#This Row],[FECHA]])</f>
        <v>2018-2</v>
      </c>
    </row>
    <row r="111" spans="1:4" x14ac:dyDescent="0.25">
      <c r="A111" t="s">
        <v>1481</v>
      </c>
      <c r="B111">
        <v>1</v>
      </c>
      <c r="C111" s="54">
        <v>43191</v>
      </c>
      <c r="D111" s="3" t="str">
        <f>YEAR(Datos_Consumo[[#This Row],[FECHA]])&amp;"-"&amp;MONTH(Datos_Consumo[[#This Row],[FECHA]])</f>
        <v>2018-4</v>
      </c>
    </row>
    <row r="112" spans="1:4" x14ac:dyDescent="0.25">
      <c r="A112" t="s">
        <v>1482</v>
      </c>
      <c r="B112">
        <v>6</v>
      </c>
      <c r="C112" s="54">
        <v>43132</v>
      </c>
      <c r="D112" s="3" t="str">
        <f>YEAR(Datos_Consumo[[#This Row],[FECHA]])&amp;"-"&amp;MONTH(Datos_Consumo[[#This Row],[FECHA]])</f>
        <v>2018-2</v>
      </c>
    </row>
    <row r="113" spans="1:4" x14ac:dyDescent="0.25">
      <c r="A113" t="s">
        <v>1482</v>
      </c>
      <c r="B113">
        <v>7</v>
      </c>
      <c r="C113" s="54">
        <v>43160</v>
      </c>
      <c r="D113" s="3" t="str">
        <f>YEAR(Datos_Consumo[[#This Row],[FECHA]])&amp;"-"&amp;MONTH(Datos_Consumo[[#This Row],[FECHA]])</f>
        <v>2018-3</v>
      </c>
    </row>
    <row r="114" spans="1:4" x14ac:dyDescent="0.25">
      <c r="A114" t="s">
        <v>1483</v>
      </c>
      <c r="B114">
        <v>2</v>
      </c>
      <c r="C114" s="54">
        <v>43101</v>
      </c>
      <c r="D114" s="3" t="str">
        <f>YEAR(Datos_Consumo[[#This Row],[FECHA]])&amp;"-"&amp;MONTH(Datos_Consumo[[#This Row],[FECHA]])</f>
        <v>2018-1</v>
      </c>
    </row>
    <row r="115" spans="1:4" x14ac:dyDescent="0.25">
      <c r="A115" t="s">
        <v>1483</v>
      </c>
      <c r="B115">
        <v>5</v>
      </c>
      <c r="C115" s="54">
        <v>43132</v>
      </c>
      <c r="D115" s="3" t="str">
        <f>YEAR(Datos_Consumo[[#This Row],[FECHA]])&amp;"-"&amp;MONTH(Datos_Consumo[[#This Row],[FECHA]])</f>
        <v>2018-2</v>
      </c>
    </row>
    <row r="116" spans="1:4" x14ac:dyDescent="0.25">
      <c r="A116" t="s">
        <v>1483</v>
      </c>
      <c r="B116">
        <v>10</v>
      </c>
      <c r="C116" s="54">
        <v>43191</v>
      </c>
      <c r="D116" s="3" t="str">
        <f>YEAR(Datos_Consumo[[#This Row],[FECHA]])&amp;"-"&amp;MONTH(Datos_Consumo[[#This Row],[FECHA]])</f>
        <v>2018-4</v>
      </c>
    </row>
    <row r="117" spans="1:4" x14ac:dyDescent="0.25">
      <c r="A117" t="s">
        <v>1484</v>
      </c>
      <c r="B117">
        <v>3</v>
      </c>
      <c r="C117" s="54">
        <v>43132</v>
      </c>
      <c r="D117" s="3" t="str">
        <f>YEAR(Datos_Consumo[[#This Row],[FECHA]])&amp;"-"&amp;MONTH(Datos_Consumo[[#This Row],[FECHA]])</f>
        <v>2018-2</v>
      </c>
    </row>
    <row r="118" spans="1:4" x14ac:dyDescent="0.25">
      <c r="A118" t="s">
        <v>1484</v>
      </c>
      <c r="B118">
        <v>2</v>
      </c>
      <c r="C118" s="54">
        <v>43221</v>
      </c>
      <c r="D118" s="3" t="str">
        <f>YEAR(Datos_Consumo[[#This Row],[FECHA]])&amp;"-"&amp;MONTH(Datos_Consumo[[#This Row],[FECHA]])</f>
        <v>2018-5</v>
      </c>
    </row>
    <row r="119" spans="1:4" x14ac:dyDescent="0.25">
      <c r="A119" t="s">
        <v>1485</v>
      </c>
      <c r="B119">
        <v>1</v>
      </c>
      <c r="C119" s="54">
        <v>43101</v>
      </c>
      <c r="D119" s="3" t="str">
        <f>YEAR(Datos_Consumo[[#This Row],[FECHA]])&amp;"-"&amp;MONTH(Datos_Consumo[[#This Row],[FECHA]])</f>
        <v>2018-1</v>
      </c>
    </row>
    <row r="120" spans="1:4" x14ac:dyDescent="0.25">
      <c r="A120" t="s">
        <v>1485</v>
      </c>
      <c r="B120">
        <v>10</v>
      </c>
      <c r="C120" s="54">
        <v>43132</v>
      </c>
      <c r="D120" s="3" t="str">
        <f>YEAR(Datos_Consumo[[#This Row],[FECHA]])&amp;"-"&amp;MONTH(Datos_Consumo[[#This Row],[FECHA]])</f>
        <v>2018-2</v>
      </c>
    </row>
    <row r="121" spans="1:4" x14ac:dyDescent="0.25">
      <c r="A121" t="s">
        <v>1485</v>
      </c>
      <c r="B121">
        <v>5</v>
      </c>
      <c r="C121" s="54">
        <v>43160</v>
      </c>
      <c r="D121" s="3" t="str">
        <f>YEAR(Datos_Consumo[[#This Row],[FECHA]])&amp;"-"&amp;MONTH(Datos_Consumo[[#This Row],[FECHA]])</f>
        <v>2018-3</v>
      </c>
    </row>
    <row r="122" spans="1:4" x14ac:dyDescent="0.25">
      <c r="A122" t="s">
        <v>1486</v>
      </c>
      <c r="B122">
        <v>3</v>
      </c>
      <c r="C122" s="54">
        <v>43070</v>
      </c>
      <c r="D122" s="3" t="str">
        <f>YEAR(Datos_Consumo[[#This Row],[FECHA]])&amp;"-"&amp;MONTH(Datos_Consumo[[#This Row],[FECHA]])</f>
        <v>2017-12</v>
      </c>
    </row>
    <row r="123" spans="1:4" x14ac:dyDescent="0.25">
      <c r="A123" t="s">
        <v>1486</v>
      </c>
      <c r="B123">
        <v>6</v>
      </c>
      <c r="C123" s="54">
        <v>43101</v>
      </c>
      <c r="D123" s="3" t="str">
        <f>YEAR(Datos_Consumo[[#This Row],[FECHA]])&amp;"-"&amp;MONTH(Datos_Consumo[[#This Row],[FECHA]])</f>
        <v>2018-1</v>
      </c>
    </row>
    <row r="124" spans="1:4" x14ac:dyDescent="0.25">
      <c r="A124" t="s">
        <v>1486</v>
      </c>
      <c r="B124">
        <v>2</v>
      </c>
      <c r="C124" s="54">
        <v>43132</v>
      </c>
      <c r="D124" s="3" t="str">
        <f>YEAR(Datos_Consumo[[#This Row],[FECHA]])&amp;"-"&amp;MONTH(Datos_Consumo[[#This Row],[FECHA]])</f>
        <v>2018-2</v>
      </c>
    </row>
    <row r="125" spans="1:4" x14ac:dyDescent="0.25">
      <c r="A125" t="s">
        <v>1486</v>
      </c>
      <c r="B125">
        <v>2</v>
      </c>
      <c r="C125" s="54">
        <v>43160</v>
      </c>
      <c r="D125" s="3" t="str">
        <f>YEAR(Datos_Consumo[[#This Row],[FECHA]])&amp;"-"&amp;MONTH(Datos_Consumo[[#This Row],[FECHA]])</f>
        <v>2018-3</v>
      </c>
    </row>
    <row r="126" spans="1:4" x14ac:dyDescent="0.25">
      <c r="A126" t="s">
        <v>1486</v>
      </c>
      <c r="B126">
        <v>3</v>
      </c>
      <c r="C126" s="54">
        <v>43191</v>
      </c>
      <c r="D126" s="3" t="str">
        <f>YEAR(Datos_Consumo[[#This Row],[FECHA]])&amp;"-"&amp;MONTH(Datos_Consumo[[#This Row],[FECHA]])</f>
        <v>2018-4</v>
      </c>
    </row>
    <row r="127" spans="1:4" x14ac:dyDescent="0.25">
      <c r="A127" t="s">
        <v>1486</v>
      </c>
      <c r="B127">
        <v>3</v>
      </c>
      <c r="C127" s="54">
        <v>43221</v>
      </c>
      <c r="D127" s="3" t="str">
        <f>YEAR(Datos_Consumo[[#This Row],[FECHA]])&amp;"-"&amp;MONTH(Datos_Consumo[[#This Row],[FECHA]])</f>
        <v>2018-5</v>
      </c>
    </row>
    <row r="128" spans="1:4" x14ac:dyDescent="0.25">
      <c r="A128" t="s">
        <v>1487</v>
      </c>
      <c r="B128">
        <v>5</v>
      </c>
      <c r="C128" s="54">
        <v>43070</v>
      </c>
      <c r="D128" s="3" t="str">
        <f>YEAR(Datos_Consumo[[#This Row],[FECHA]])&amp;"-"&amp;MONTH(Datos_Consumo[[#This Row],[FECHA]])</f>
        <v>2017-12</v>
      </c>
    </row>
    <row r="129" spans="1:4" x14ac:dyDescent="0.25">
      <c r="A129" t="s">
        <v>1487</v>
      </c>
      <c r="B129">
        <v>30</v>
      </c>
      <c r="C129" s="54">
        <v>43132</v>
      </c>
      <c r="D129" s="3" t="str">
        <f>YEAR(Datos_Consumo[[#This Row],[FECHA]])&amp;"-"&amp;MONTH(Datos_Consumo[[#This Row],[FECHA]])</f>
        <v>2018-2</v>
      </c>
    </row>
    <row r="130" spans="1:4" x14ac:dyDescent="0.25">
      <c r="A130" t="s">
        <v>1487</v>
      </c>
      <c r="B130">
        <v>6</v>
      </c>
      <c r="C130" s="54">
        <v>43191</v>
      </c>
      <c r="D130" s="3" t="str">
        <f>YEAR(Datos_Consumo[[#This Row],[FECHA]])&amp;"-"&amp;MONTH(Datos_Consumo[[#This Row],[FECHA]])</f>
        <v>2018-4</v>
      </c>
    </row>
    <row r="131" spans="1:4" x14ac:dyDescent="0.25">
      <c r="A131" t="s">
        <v>1488</v>
      </c>
      <c r="B131">
        <v>1</v>
      </c>
      <c r="C131" s="54">
        <v>43070</v>
      </c>
      <c r="D131" s="3" t="str">
        <f>YEAR(Datos_Consumo[[#This Row],[FECHA]])&amp;"-"&amp;MONTH(Datos_Consumo[[#This Row],[FECHA]])</f>
        <v>2017-12</v>
      </c>
    </row>
    <row r="132" spans="1:4" x14ac:dyDescent="0.25">
      <c r="A132" t="s">
        <v>1489</v>
      </c>
      <c r="B132">
        <v>2</v>
      </c>
      <c r="C132" s="54">
        <v>43101</v>
      </c>
      <c r="D132" s="3" t="str">
        <f>YEAR(Datos_Consumo[[#This Row],[FECHA]])&amp;"-"&amp;MONTH(Datos_Consumo[[#This Row],[FECHA]])</f>
        <v>2018-1</v>
      </c>
    </row>
    <row r="133" spans="1:4" x14ac:dyDescent="0.25">
      <c r="A133" t="s">
        <v>1489</v>
      </c>
      <c r="B133">
        <v>6</v>
      </c>
      <c r="C133" s="54">
        <v>43132</v>
      </c>
      <c r="D133" s="3" t="str">
        <f>YEAR(Datos_Consumo[[#This Row],[FECHA]])&amp;"-"&amp;MONTH(Datos_Consumo[[#This Row],[FECHA]])</f>
        <v>2018-2</v>
      </c>
    </row>
    <row r="134" spans="1:4" x14ac:dyDescent="0.25">
      <c r="A134" t="s">
        <v>1489</v>
      </c>
      <c r="B134">
        <v>5</v>
      </c>
      <c r="C134" s="54">
        <v>43160</v>
      </c>
      <c r="D134" s="3" t="str">
        <f>YEAR(Datos_Consumo[[#This Row],[FECHA]])&amp;"-"&amp;MONTH(Datos_Consumo[[#This Row],[FECHA]])</f>
        <v>2018-3</v>
      </c>
    </row>
    <row r="135" spans="1:4" x14ac:dyDescent="0.25">
      <c r="A135" t="s">
        <v>1489</v>
      </c>
      <c r="B135">
        <v>7</v>
      </c>
      <c r="C135" s="54">
        <v>43191</v>
      </c>
      <c r="D135" s="3" t="str">
        <f>YEAR(Datos_Consumo[[#This Row],[FECHA]])&amp;"-"&amp;MONTH(Datos_Consumo[[#This Row],[FECHA]])</f>
        <v>2018-4</v>
      </c>
    </row>
    <row r="136" spans="1:4" x14ac:dyDescent="0.25">
      <c r="A136" t="s">
        <v>1490</v>
      </c>
      <c r="B136">
        <v>5</v>
      </c>
      <c r="C136" s="54">
        <v>43070</v>
      </c>
      <c r="D136" s="3" t="str">
        <f>YEAR(Datos_Consumo[[#This Row],[FECHA]])&amp;"-"&amp;MONTH(Datos_Consumo[[#This Row],[FECHA]])</f>
        <v>2017-12</v>
      </c>
    </row>
    <row r="137" spans="1:4" x14ac:dyDescent="0.25">
      <c r="A137" t="s">
        <v>1490</v>
      </c>
      <c r="B137">
        <v>5</v>
      </c>
      <c r="C137" s="54">
        <v>43221</v>
      </c>
      <c r="D137" s="3" t="str">
        <f>YEAR(Datos_Consumo[[#This Row],[FECHA]])&amp;"-"&amp;MONTH(Datos_Consumo[[#This Row],[FECHA]])</f>
        <v>2018-5</v>
      </c>
    </row>
    <row r="138" spans="1:4" x14ac:dyDescent="0.25">
      <c r="A138" t="s">
        <v>1491</v>
      </c>
      <c r="B138">
        <v>7</v>
      </c>
      <c r="C138" s="54">
        <v>43101</v>
      </c>
      <c r="D138" s="3" t="str">
        <f>YEAR(Datos_Consumo[[#This Row],[FECHA]])&amp;"-"&amp;MONTH(Datos_Consumo[[#This Row],[FECHA]])</f>
        <v>2018-1</v>
      </c>
    </row>
    <row r="139" spans="1:4" x14ac:dyDescent="0.25">
      <c r="A139" t="s">
        <v>1491</v>
      </c>
      <c r="B139">
        <v>1</v>
      </c>
      <c r="C139" s="54">
        <v>43132</v>
      </c>
      <c r="D139" s="3" t="str">
        <f>YEAR(Datos_Consumo[[#This Row],[FECHA]])&amp;"-"&amp;MONTH(Datos_Consumo[[#This Row],[FECHA]])</f>
        <v>2018-2</v>
      </c>
    </row>
    <row r="140" spans="1:4" x14ac:dyDescent="0.25">
      <c r="A140" t="s">
        <v>1492</v>
      </c>
      <c r="B140">
        <v>6</v>
      </c>
      <c r="C140" s="54">
        <v>43070</v>
      </c>
      <c r="D140" s="3" t="str">
        <f>YEAR(Datos_Consumo[[#This Row],[FECHA]])&amp;"-"&amp;MONTH(Datos_Consumo[[#This Row],[FECHA]])</f>
        <v>2017-12</v>
      </c>
    </row>
    <row r="141" spans="1:4" x14ac:dyDescent="0.25">
      <c r="A141" t="s">
        <v>1492</v>
      </c>
      <c r="B141">
        <v>3</v>
      </c>
      <c r="C141" s="54">
        <v>43101</v>
      </c>
      <c r="D141" s="3" t="str">
        <f>YEAR(Datos_Consumo[[#This Row],[FECHA]])&amp;"-"&amp;MONTH(Datos_Consumo[[#This Row],[FECHA]])</f>
        <v>2018-1</v>
      </c>
    </row>
    <row r="142" spans="1:4" x14ac:dyDescent="0.25">
      <c r="A142" t="s">
        <v>1492</v>
      </c>
      <c r="B142">
        <v>1</v>
      </c>
      <c r="C142" s="54">
        <v>43132</v>
      </c>
      <c r="D142" s="3" t="str">
        <f>YEAR(Datos_Consumo[[#This Row],[FECHA]])&amp;"-"&amp;MONTH(Datos_Consumo[[#This Row],[FECHA]])</f>
        <v>2018-2</v>
      </c>
    </row>
    <row r="143" spans="1:4" x14ac:dyDescent="0.25">
      <c r="A143" t="s">
        <v>1492</v>
      </c>
      <c r="B143">
        <v>1</v>
      </c>
      <c r="C143" s="54">
        <v>43160</v>
      </c>
      <c r="D143" s="3" t="str">
        <f>YEAR(Datos_Consumo[[#This Row],[FECHA]])&amp;"-"&amp;MONTH(Datos_Consumo[[#This Row],[FECHA]])</f>
        <v>2018-3</v>
      </c>
    </row>
    <row r="144" spans="1:4" x14ac:dyDescent="0.25">
      <c r="A144" t="s">
        <v>1492</v>
      </c>
      <c r="B144">
        <v>2</v>
      </c>
      <c r="C144" s="54">
        <v>43191</v>
      </c>
      <c r="D144" s="3" t="str">
        <f>YEAR(Datos_Consumo[[#This Row],[FECHA]])&amp;"-"&amp;MONTH(Datos_Consumo[[#This Row],[FECHA]])</f>
        <v>2018-4</v>
      </c>
    </row>
    <row r="145" spans="1:4" x14ac:dyDescent="0.25">
      <c r="A145" t="s">
        <v>1493</v>
      </c>
      <c r="B145">
        <v>9</v>
      </c>
      <c r="C145" s="54">
        <v>43070</v>
      </c>
      <c r="D145" s="3" t="str">
        <f>YEAR(Datos_Consumo[[#This Row],[FECHA]])&amp;"-"&amp;MONTH(Datos_Consumo[[#This Row],[FECHA]])</f>
        <v>2017-12</v>
      </c>
    </row>
    <row r="146" spans="1:4" x14ac:dyDescent="0.25">
      <c r="A146" t="s">
        <v>1493</v>
      </c>
      <c r="B146">
        <v>6</v>
      </c>
      <c r="C146" s="54">
        <v>43101</v>
      </c>
      <c r="D146" s="3" t="str">
        <f>YEAR(Datos_Consumo[[#This Row],[FECHA]])&amp;"-"&amp;MONTH(Datos_Consumo[[#This Row],[FECHA]])</f>
        <v>2018-1</v>
      </c>
    </row>
    <row r="147" spans="1:4" x14ac:dyDescent="0.25">
      <c r="A147" t="s">
        <v>1493</v>
      </c>
      <c r="B147">
        <v>14</v>
      </c>
      <c r="C147" s="54">
        <v>43132</v>
      </c>
      <c r="D147" s="3" t="str">
        <f>YEAR(Datos_Consumo[[#This Row],[FECHA]])&amp;"-"&amp;MONTH(Datos_Consumo[[#This Row],[FECHA]])</f>
        <v>2018-2</v>
      </c>
    </row>
    <row r="148" spans="1:4" x14ac:dyDescent="0.25">
      <c r="A148" t="s">
        <v>1493</v>
      </c>
      <c r="B148">
        <v>48</v>
      </c>
      <c r="C148" s="54">
        <v>43160</v>
      </c>
      <c r="D148" s="3" t="str">
        <f>YEAR(Datos_Consumo[[#This Row],[FECHA]])&amp;"-"&amp;MONTH(Datos_Consumo[[#This Row],[FECHA]])</f>
        <v>2018-3</v>
      </c>
    </row>
    <row r="149" spans="1:4" x14ac:dyDescent="0.25">
      <c r="A149" t="s">
        <v>1493</v>
      </c>
      <c r="B149">
        <v>2</v>
      </c>
      <c r="C149" s="54">
        <v>43191</v>
      </c>
      <c r="D149" s="3" t="str">
        <f>YEAR(Datos_Consumo[[#This Row],[FECHA]])&amp;"-"&amp;MONTH(Datos_Consumo[[#This Row],[FECHA]])</f>
        <v>2018-4</v>
      </c>
    </row>
    <row r="150" spans="1:4" x14ac:dyDescent="0.25">
      <c r="A150" t="s">
        <v>1493</v>
      </c>
      <c r="B150">
        <v>6</v>
      </c>
      <c r="C150" s="54">
        <v>43221</v>
      </c>
      <c r="D150" s="3" t="str">
        <f>YEAR(Datos_Consumo[[#This Row],[FECHA]])&amp;"-"&amp;MONTH(Datos_Consumo[[#This Row],[FECHA]])</f>
        <v>2018-5</v>
      </c>
    </row>
    <row r="151" spans="1:4" x14ac:dyDescent="0.25">
      <c r="A151" t="s">
        <v>1494</v>
      </c>
      <c r="B151">
        <v>1</v>
      </c>
      <c r="C151" s="54">
        <v>43101</v>
      </c>
      <c r="D151" s="3" t="str">
        <f>YEAR(Datos_Consumo[[#This Row],[FECHA]])&amp;"-"&amp;MONTH(Datos_Consumo[[#This Row],[FECHA]])</f>
        <v>2018-1</v>
      </c>
    </row>
    <row r="152" spans="1:4" x14ac:dyDescent="0.25">
      <c r="A152" t="s">
        <v>1495</v>
      </c>
      <c r="B152">
        <v>2</v>
      </c>
      <c r="C152" s="54">
        <v>43132</v>
      </c>
      <c r="D152" s="3" t="str">
        <f>YEAR(Datos_Consumo[[#This Row],[FECHA]])&amp;"-"&amp;MONTH(Datos_Consumo[[#This Row],[FECHA]])</f>
        <v>2018-2</v>
      </c>
    </row>
    <row r="153" spans="1:4" x14ac:dyDescent="0.25">
      <c r="A153" t="s">
        <v>1496</v>
      </c>
      <c r="B153">
        <v>1</v>
      </c>
      <c r="C153" s="54">
        <v>43160</v>
      </c>
      <c r="D153" s="3" t="str">
        <f>YEAR(Datos_Consumo[[#This Row],[FECHA]])&amp;"-"&amp;MONTH(Datos_Consumo[[#This Row],[FECHA]])</f>
        <v>2018-3</v>
      </c>
    </row>
    <row r="154" spans="1:4" x14ac:dyDescent="0.25">
      <c r="A154" t="s">
        <v>1496</v>
      </c>
      <c r="B154">
        <v>1</v>
      </c>
      <c r="C154" s="54">
        <v>43191</v>
      </c>
      <c r="D154" s="3" t="str">
        <f>YEAR(Datos_Consumo[[#This Row],[FECHA]])&amp;"-"&amp;MONTH(Datos_Consumo[[#This Row],[FECHA]])</f>
        <v>2018-4</v>
      </c>
    </row>
    <row r="155" spans="1:4" x14ac:dyDescent="0.25">
      <c r="A155" t="s">
        <v>1497</v>
      </c>
      <c r="B155">
        <v>2</v>
      </c>
      <c r="C155" s="54">
        <v>43101</v>
      </c>
      <c r="D155" s="3" t="str">
        <f>YEAR(Datos_Consumo[[#This Row],[FECHA]])&amp;"-"&amp;MONTH(Datos_Consumo[[#This Row],[FECHA]])</f>
        <v>2018-1</v>
      </c>
    </row>
    <row r="156" spans="1:4" x14ac:dyDescent="0.25">
      <c r="A156" t="s">
        <v>1498</v>
      </c>
      <c r="B156">
        <v>3</v>
      </c>
      <c r="C156" s="54">
        <v>43101</v>
      </c>
      <c r="D156" s="3" t="str">
        <f>YEAR(Datos_Consumo[[#This Row],[FECHA]])&amp;"-"&amp;MONTH(Datos_Consumo[[#This Row],[FECHA]])</f>
        <v>2018-1</v>
      </c>
    </row>
    <row r="157" spans="1:4" x14ac:dyDescent="0.25">
      <c r="A157" t="s">
        <v>1498</v>
      </c>
      <c r="B157">
        <v>1</v>
      </c>
      <c r="C157" s="54">
        <v>43132</v>
      </c>
      <c r="D157" s="3" t="str">
        <f>YEAR(Datos_Consumo[[#This Row],[FECHA]])&amp;"-"&amp;MONTH(Datos_Consumo[[#This Row],[FECHA]])</f>
        <v>2018-2</v>
      </c>
    </row>
    <row r="158" spans="1:4" x14ac:dyDescent="0.25">
      <c r="A158" t="s">
        <v>1498</v>
      </c>
      <c r="B158">
        <v>2</v>
      </c>
      <c r="C158" s="54">
        <v>43160</v>
      </c>
      <c r="D158" s="3" t="str">
        <f>YEAR(Datos_Consumo[[#This Row],[FECHA]])&amp;"-"&amp;MONTH(Datos_Consumo[[#This Row],[FECHA]])</f>
        <v>2018-3</v>
      </c>
    </row>
    <row r="159" spans="1:4" x14ac:dyDescent="0.25">
      <c r="A159" t="s">
        <v>1498</v>
      </c>
      <c r="B159">
        <v>5</v>
      </c>
      <c r="C159" s="54">
        <v>43191</v>
      </c>
      <c r="D159" s="3" t="str">
        <f>YEAR(Datos_Consumo[[#This Row],[FECHA]])&amp;"-"&amp;MONTH(Datos_Consumo[[#This Row],[FECHA]])</f>
        <v>2018-4</v>
      </c>
    </row>
    <row r="160" spans="1:4" x14ac:dyDescent="0.25">
      <c r="A160" t="s">
        <v>1499</v>
      </c>
      <c r="B160">
        <v>12</v>
      </c>
      <c r="C160" s="54">
        <v>43070</v>
      </c>
      <c r="D160" s="3" t="str">
        <f>YEAR(Datos_Consumo[[#This Row],[FECHA]])&amp;"-"&amp;MONTH(Datos_Consumo[[#This Row],[FECHA]])</f>
        <v>2017-12</v>
      </c>
    </row>
    <row r="161" spans="1:4" x14ac:dyDescent="0.25">
      <c r="A161" t="s">
        <v>1499</v>
      </c>
      <c r="B161">
        <v>15</v>
      </c>
      <c r="C161" s="54">
        <v>43101</v>
      </c>
      <c r="D161" s="3" t="str">
        <f>YEAR(Datos_Consumo[[#This Row],[FECHA]])&amp;"-"&amp;MONTH(Datos_Consumo[[#This Row],[FECHA]])</f>
        <v>2018-1</v>
      </c>
    </row>
    <row r="162" spans="1:4" x14ac:dyDescent="0.25">
      <c r="A162" t="s">
        <v>1499</v>
      </c>
      <c r="B162">
        <v>10</v>
      </c>
      <c r="C162" s="54">
        <v>43132</v>
      </c>
      <c r="D162" s="3" t="str">
        <f>YEAR(Datos_Consumo[[#This Row],[FECHA]])&amp;"-"&amp;MONTH(Datos_Consumo[[#This Row],[FECHA]])</f>
        <v>2018-2</v>
      </c>
    </row>
    <row r="163" spans="1:4" x14ac:dyDescent="0.25">
      <c r="A163" t="s">
        <v>1499</v>
      </c>
      <c r="B163">
        <v>5</v>
      </c>
      <c r="C163" s="54">
        <v>43160</v>
      </c>
      <c r="D163" s="3" t="str">
        <f>YEAR(Datos_Consumo[[#This Row],[FECHA]])&amp;"-"&amp;MONTH(Datos_Consumo[[#This Row],[FECHA]])</f>
        <v>2018-3</v>
      </c>
    </row>
    <row r="164" spans="1:4" x14ac:dyDescent="0.25">
      <c r="A164" t="s">
        <v>1499</v>
      </c>
      <c r="B164">
        <v>5</v>
      </c>
      <c r="C164" s="54">
        <v>43191</v>
      </c>
      <c r="D164" s="3" t="str">
        <f>YEAR(Datos_Consumo[[#This Row],[FECHA]])&amp;"-"&amp;MONTH(Datos_Consumo[[#This Row],[FECHA]])</f>
        <v>2018-4</v>
      </c>
    </row>
    <row r="165" spans="1:4" x14ac:dyDescent="0.25">
      <c r="A165" t="s">
        <v>1500</v>
      </c>
      <c r="B165">
        <v>2</v>
      </c>
      <c r="C165" s="54">
        <v>43070</v>
      </c>
      <c r="D165" s="3" t="str">
        <f>YEAR(Datos_Consumo[[#This Row],[FECHA]])&amp;"-"&amp;MONTH(Datos_Consumo[[#This Row],[FECHA]])</f>
        <v>2017-12</v>
      </c>
    </row>
    <row r="166" spans="1:4" x14ac:dyDescent="0.25">
      <c r="A166" t="s">
        <v>1500</v>
      </c>
      <c r="B166">
        <v>1</v>
      </c>
      <c r="C166" s="54">
        <v>43132</v>
      </c>
      <c r="D166" s="3" t="str">
        <f>YEAR(Datos_Consumo[[#This Row],[FECHA]])&amp;"-"&amp;MONTH(Datos_Consumo[[#This Row],[FECHA]])</f>
        <v>2018-2</v>
      </c>
    </row>
    <row r="167" spans="1:4" x14ac:dyDescent="0.25">
      <c r="A167" t="s">
        <v>1501</v>
      </c>
      <c r="B167">
        <v>1</v>
      </c>
      <c r="C167" s="54">
        <v>43191</v>
      </c>
      <c r="D167" s="3" t="str">
        <f>YEAR(Datos_Consumo[[#This Row],[FECHA]])&amp;"-"&amp;MONTH(Datos_Consumo[[#This Row],[FECHA]])</f>
        <v>2018-4</v>
      </c>
    </row>
    <row r="168" spans="1:4" x14ac:dyDescent="0.25">
      <c r="A168" t="s">
        <v>1502</v>
      </c>
      <c r="B168">
        <v>61</v>
      </c>
      <c r="C168" s="54">
        <v>43070</v>
      </c>
      <c r="D168" s="3" t="str">
        <f>YEAR(Datos_Consumo[[#This Row],[FECHA]])&amp;"-"&amp;MONTH(Datos_Consumo[[#This Row],[FECHA]])</f>
        <v>2017-12</v>
      </c>
    </row>
    <row r="169" spans="1:4" x14ac:dyDescent="0.25">
      <c r="A169" t="s">
        <v>1502</v>
      </c>
      <c r="B169">
        <v>178</v>
      </c>
      <c r="C169" s="54">
        <v>43101</v>
      </c>
      <c r="D169" s="3" t="str">
        <f>YEAR(Datos_Consumo[[#This Row],[FECHA]])&amp;"-"&amp;MONTH(Datos_Consumo[[#This Row],[FECHA]])</f>
        <v>2018-1</v>
      </c>
    </row>
    <row r="170" spans="1:4" x14ac:dyDescent="0.25">
      <c r="A170" t="s">
        <v>1502</v>
      </c>
      <c r="B170">
        <v>133</v>
      </c>
      <c r="C170" s="54">
        <v>43132</v>
      </c>
      <c r="D170" s="3" t="str">
        <f>YEAR(Datos_Consumo[[#This Row],[FECHA]])&amp;"-"&amp;MONTH(Datos_Consumo[[#This Row],[FECHA]])</f>
        <v>2018-2</v>
      </c>
    </row>
    <row r="171" spans="1:4" x14ac:dyDescent="0.25">
      <c r="A171" t="s">
        <v>1502</v>
      </c>
      <c r="B171">
        <v>158</v>
      </c>
      <c r="C171" s="54">
        <v>43160</v>
      </c>
      <c r="D171" s="3" t="str">
        <f>YEAR(Datos_Consumo[[#This Row],[FECHA]])&amp;"-"&amp;MONTH(Datos_Consumo[[#This Row],[FECHA]])</f>
        <v>2018-3</v>
      </c>
    </row>
    <row r="172" spans="1:4" x14ac:dyDescent="0.25">
      <c r="A172" t="s">
        <v>1502</v>
      </c>
      <c r="B172">
        <v>233</v>
      </c>
      <c r="C172" s="54">
        <v>43191</v>
      </c>
      <c r="D172" s="3" t="str">
        <f>YEAR(Datos_Consumo[[#This Row],[FECHA]])&amp;"-"&amp;MONTH(Datos_Consumo[[#This Row],[FECHA]])</f>
        <v>2018-4</v>
      </c>
    </row>
    <row r="173" spans="1:4" x14ac:dyDescent="0.25">
      <c r="A173" t="s">
        <v>1502</v>
      </c>
      <c r="B173">
        <v>33</v>
      </c>
      <c r="C173" s="54">
        <v>43221</v>
      </c>
      <c r="D173" s="3" t="str">
        <f>YEAR(Datos_Consumo[[#This Row],[FECHA]])&amp;"-"&amp;MONTH(Datos_Consumo[[#This Row],[FECHA]])</f>
        <v>2018-5</v>
      </c>
    </row>
    <row r="174" spans="1:4" x14ac:dyDescent="0.25">
      <c r="A174" t="s">
        <v>1503</v>
      </c>
      <c r="B174">
        <v>2</v>
      </c>
      <c r="C174" s="54">
        <v>43160</v>
      </c>
      <c r="D174" s="3" t="str">
        <f>YEAR(Datos_Consumo[[#This Row],[FECHA]])&amp;"-"&amp;MONTH(Datos_Consumo[[#This Row],[FECHA]])</f>
        <v>2018-3</v>
      </c>
    </row>
    <row r="175" spans="1:4" x14ac:dyDescent="0.25">
      <c r="A175" t="s">
        <v>1504</v>
      </c>
      <c r="B175">
        <v>38</v>
      </c>
      <c r="C175" s="54">
        <v>43101</v>
      </c>
      <c r="D175" s="3" t="str">
        <f>YEAR(Datos_Consumo[[#This Row],[FECHA]])&amp;"-"&amp;MONTH(Datos_Consumo[[#This Row],[FECHA]])</f>
        <v>2018-1</v>
      </c>
    </row>
    <row r="176" spans="1:4" x14ac:dyDescent="0.25">
      <c r="A176" t="s">
        <v>1504</v>
      </c>
      <c r="B176">
        <v>2</v>
      </c>
      <c r="C176" s="54">
        <v>43160</v>
      </c>
      <c r="D176" s="3" t="str">
        <f>YEAR(Datos_Consumo[[#This Row],[FECHA]])&amp;"-"&amp;MONTH(Datos_Consumo[[#This Row],[FECHA]])</f>
        <v>2018-3</v>
      </c>
    </row>
    <row r="177" spans="1:4" x14ac:dyDescent="0.25">
      <c r="A177" t="s">
        <v>1504</v>
      </c>
      <c r="B177">
        <v>3</v>
      </c>
      <c r="C177" s="54">
        <v>43221</v>
      </c>
      <c r="D177" s="3" t="str">
        <f>YEAR(Datos_Consumo[[#This Row],[FECHA]])&amp;"-"&amp;MONTH(Datos_Consumo[[#This Row],[FECHA]])</f>
        <v>2018-5</v>
      </c>
    </row>
    <row r="178" spans="1:4" x14ac:dyDescent="0.25">
      <c r="A178" t="s">
        <v>1505</v>
      </c>
      <c r="B178">
        <v>5</v>
      </c>
      <c r="C178" s="54">
        <v>43101</v>
      </c>
      <c r="D178" s="3" t="str">
        <f>YEAR(Datos_Consumo[[#This Row],[FECHA]])&amp;"-"&amp;MONTH(Datos_Consumo[[#This Row],[FECHA]])</f>
        <v>2018-1</v>
      </c>
    </row>
    <row r="179" spans="1:4" x14ac:dyDescent="0.25">
      <c r="A179" t="s">
        <v>1506</v>
      </c>
      <c r="B179">
        <v>1</v>
      </c>
      <c r="C179" s="54">
        <v>43160</v>
      </c>
      <c r="D179" s="3" t="str">
        <f>YEAR(Datos_Consumo[[#This Row],[FECHA]])&amp;"-"&amp;MONTH(Datos_Consumo[[#This Row],[FECHA]])</f>
        <v>2018-3</v>
      </c>
    </row>
    <row r="180" spans="1:4" x14ac:dyDescent="0.25">
      <c r="A180" t="s">
        <v>1507</v>
      </c>
      <c r="B180">
        <v>3</v>
      </c>
      <c r="C180" s="54">
        <v>43101</v>
      </c>
      <c r="D180" s="3" t="str">
        <f>YEAR(Datos_Consumo[[#This Row],[FECHA]])&amp;"-"&amp;MONTH(Datos_Consumo[[#This Row],[FECHA]])</f>
        <v>2018-1</v>
      </c>
    </row>
    <row r="181" spans="1:4" x14ac:dyDescent="0.25">
      <c r="A181" t="s">
        <v>1507</v>
      </c>
      <c r="B181">
        <v>2</v>
      </c>
      <c r="C181" s="54">
        <v>43132</v>
      </c>
      <c r="D181" s="3" t="str">
        <f>YEAR(Datos_Consumo[[#This Row],[FECHA]])&amp;"-"&amp;MONTH(Datos_Consumo[[#This Row],[FECHA]])</f>
        <v>2018-2</v>
      </c>
    </row>
    <row r="182" spans="1:4" x14ac:dyDescent="0.25">
      <c r="A182" t="s">
        <v>1507</v>
      </c>
      <c r="B182">
        <v>3</v>
      </c>
      <c r="C182" s="54">
        <v>43160</v>
      </c>
      <c r="D182" s="3" t="str">
        <f>YEAR(Datos_Consumo[[#This Row],[FECHA]])&amp;"-"&amp;MONTH(Datos_Consumo[[#This Row],[FECHA]])</f>
        <v>2018-3</v>
      </c>
    </row>
    <row r="183" spans="1:4" x14ac:dyDescent="0.25">
      <c r="A183" t="s">
        <v>1508</v>
      </c>
      <c r="B183">
        <v>1</v>
      </c>
      <c r="C183" s="54">
        <v>43070</v>
      </c>
      <c r="D183" s="3" t="str">
        <f>YEAR(Datos_Consumo[[#This Row],[FECHA]])&amp;"-"&amp;MONTH(Datos_Consumo[[#This Row],[FECHA]])</f>
        <v>2017-12</v>
      </c>
    </row>
    <row r="184" spans="1:4" x14ac:dyDescent="0.25">
      <c r="A184" t="s">
        <v>1508</v>
      </c>
      <c r="B184">
        <v>1</v>
      </c>
      <c r="C184" s="54">
        <v>43191</v>
      </c>
      <c r="D184" s="3" t="str">
        <f>YEAR(Datos_Consumo[[#This Row],[FECHA]])&amp;"-"&amp;MONTH(Datos_Consumo[[#This Row],[FECHA]])</f>
        <v>2018-4</v>
      </c>
    </row>
    <row r="185" spans="1:4" x14ac:dyDescent="0.25">
      <c r="A185" t="s">
        <v>1509</v>
      </c>
      <c r="B185">
        <v>1</v>
      </c>
      <c r="C185" s="54">
        <v>43070</v>
      </c>
      <c r="D185" s="3" t="str">
        <f>YEAR(Datos_Consumo[[#This Row],[FECHA]])&amp;"-"&amp;MONTH(Datos_Consumo[[#This Row],[FECHA]])</f>
        <v>2017-12</v>
      </c>
    </row>
    <row r="186" spans="1:4" x14ac:dyDescent="0.25">
      <c r="A186" t="s">
        <v>1509</v>
      </c>
      <c r="B186">
        <v>1</v>
      </c>
      <c r="C186" s="54">
        <v>43160</v>
      </c>
      <c r="D186" s="3" t="str">
        <f>YEAR(Datos_Consumo[[#This Row],[FECHA]])&amp;"-"&amp;MONTH(Datos_Consumo[[#This Row],[FECHA]])</f>
        <v>2018-3</v>
      </c>
    </row>
    <row r="187" spans="1:4" x14ac:dyDescent="0.25">
      <c r="A187" t="s">
        <v>1509</v>
      </c>
      <c r="B187">
        <v>6</v>
      </c>
      <c r="C187" s="54">
        <v>43191</v>
      </c>
      <c r="D187" s="3" t="str">
        <f>YEAR(Datos_Consumo[[#This Row],[FECHA]])&amp;"-"&amp;MONTH(Datos_Consumo[[#This Row],[FECHA]])</f>
        <v>2018-4</v>
      </c>
    </row>
    <row r="188" spans="1:4" x14ac:dyDescent="0.25">
      <c r="A188" t="s">
        <v>1510</v>
      </c>
      <c r="B188">
        <v>1</v>
      </c>
      <c r="C188" s="54">
        <v>43132</v>
      </c>
      <c r="D188" s="3" t="str">
        <f>YEAR(Datos_Consumo[[#This Row],[FECHA]])&amp;"-"&amp;MONTH(Datos_Consumo[[#This Row],[FECHA]])</f>
        <v>2018-2</v>
      </c>
    </row>
    <row r="189" spans="1:4" x14ac:dyDescent="0.25">
      <c r="A189" t="s">
        <v>1510</v>
      </c>
      <c r="B189">
        <v>2</v>
      </c>
      <c r="C189" s="54">
        <v>43160</v>
      </c>
      <c r="D189" s="3" t="str">
        <f>YEAR(Datos_Consumo[[#This Row],[FECHA]])&amp;"-"&amp;MONTH(Datos_Consumo[[#This Row],[FECHA]])</f>
        <v>2018-3</v>
      </c>
    </row>
    <row r="190" spans="1:4" x14ac:dyDescent="0.25">
      <c r="A190" t="s">
        <v>1511</v>
      </c>
      <c r="B190">
        <v>4</v>
      </c>
      <c r="C190" s="54">
        <v>43070</v>
      </c>
      <c r="D190" s="3" t="str">
        <f>YEAR(Datos_Consumo[[#This Row],[FECHA]])&amp;"-"&amp;MONTH(Datos_Consumo[[#This Row],[FECHA]])</f>
        <v>2017-12</v>
      </c>
    </row>
    <row r="191" spans="1:4" x14ac:dyDescent="0.25">
      <c r="A191" t="s">
        <v>1511</v>
      </c>
      <c r="B191">
        <v>4</v>
      </c>
      <c r="C191" s="54">
        <v>43132</v>
      </c>
      <c r="D191" s="3" t="str">
        <f>YEAR(Datos_Consumo[[#This Row],[FECHA]])&amp;"-"&amp;MONTH(Datos_Consumo[[#This Row],[FECHA]])</f>
        <v>2018-2</v>
      </c>
    </row>
    <row r="192" spans="1:4" x14ac:dyDescent="0.25">
      <c r="A192" t="s">
        <v>1511</v>
      </c>
      <c r="B192">
        <v>1</v>
      </c>
      <c r="C192" s="54">
        <v>43191</v>
      </c>
      <c r="D192" s="3" t="str">
        <f>YEAR(Datos_Consumo[[#This Row],[FECHA]])&amp;"-"&amp;MONTH(Datos_Consumo[[#This Row],[FECHA]])</f>
        <v>2018-4</v>
      </c>
    </row>
    <row r="193" spans="1:4" x14ac:dyDescent="0.25">
      <c r="A193" t="s">
        <v>1512</v>
      </c>
      <c r="B193">
        <v>3</v>
      </c>
      <c r="C193" s="54">
        <v>43070</v>
      </c>
      <c r="D193" s="3" t="str">
        <f>YEAR(Datos_Consumo[[#This Row],[FECHA]])&amp;"-"&amp;MONTH(Datos_Consumo[[#This Row],[FECHA]])</f>
        <v>2017-12</v>
      </c>
    </row>
    <row r="194" spans="1:4" x14ac:dyDescent="0.25">
      <c r="A194" t="s">
        <v>1512</v>
      </c>
      <c r="B194">
        <v>1</v>
      </c>
      <c r="C194" s="54">
        <v>43101</v>
      </c>
      <c r="D194" s="3" t="str">
        <f>YEAR(Datos_Consumo[[#This Row],[FECHA]])&amp;"-"&amp;MONTH(Datos_Consumo[[#This Row],[FECHA]])</f>
        <v>2018-1</v>
      </c>
    </row>
    <row r="195" spans="1:4" x14ac:dyDescent="0.25">
      <c r="A195" t="s">
        <v>1512</v>
      </c>
      <c r="B195">
        <v>3</v>
      </c>
      <c r="C195" s="54">
        <v>43132</v>
      </c>
      <c r="D195" s="3" t="str">
        <f>YEAR(Datos_Consumo[[#This Row],[FECHA]])&amp;"-"&amp;MONTH(Datos_Consumo[[#This Row],[FECHA]])</f>
        <v>2018-2</v>
      </c>
    </row>
    <row r="196" spans="1:4" x14ac:dyDescent="0.25">
      <c r="A196" t="s">
        <v>1513</v>
      </c>
      <c r="B196">
        <v>1</v>
      </c>
      <c r="C196" s="54">
        <v>43070</v>
      </c>
      <c r="D196" s="3" t="str">
        <f>YEAR(Datos_Consumo[[#This Row],[FECHA]])&amp;"-"&amp;MONTH(Datos_Consumo[[#This Row],[FECHA]])</f>
        <v>2017-12</v>
      </c>
    </row>
    <row r="197" spans="1:4" x14ac:dyDescent="0.25">
      <c r="A197" t="s">
        <v>1514</v>
      </c>
      <c r="B197">
        <v>1</v>
      </c>
      <c r="C197" s="54">
        <v>43101</v>
      </c>
      <c r="D197" s="3" t="str">
        <f>YEAR(Datos_Consumo[[#This Row],[FECHA]])&amp;"-"&amp;MONTH(Datos_Consumo[[#This Row],[FECHA]])</f>
        <v>2018-1</v>
      </c>
    </row>
    <row r="198" spans="1:4" x14ac:dyDescent="0.25">
      <c r="A198" t="s">
        <v>1514</v>
      </c>
      <c r="B198">
        <v>1</v>
      </c>
      <c r="C198" s="54">
        <v>43132</v>
      </c>
      <c r="D198" s="3" t="str">
        <f>YEAR(Datos_Consumo[[#This Row],[FECHA]])&amp;"-"&amp;MONTH(Datos_Consumo[[#This Row],[FECHA]])</f>
        <v>2018-2</v>
      </c>
    </row>
    <row r="199" spans="1:4" x14ac:dyDescent="0.25">
      <c r="A199" t="s">
        <v>1514</v>
      </c>
      <c r="B199">
        <v>2</v>
      </c>
      <c r="C199" s="54">
        <v>43160</v>
      </c>
      <c r="D199" s="3" t="str">
        <f>YEAR(Datos_Consumo[[#This Row],[FECHA]])&amp;"-"&amp;MONTH(Datos_Consumo[[#This Row],[FECHA]])</f>
        <v>2018-3</v>
      </c>
    </row>
    <row r="200" spans="1:4" x14ac:dyDescent="0.25">
      <c r="A200" t="s">
        <v>1514</v>
      </c>
      <c r="B200">
        <v>2</v>
      </c>
      <c r="C200" s="54">
        <v>43191</v>
      </c>
      <c r="D200" s="3" t="str">
        <f>YEAR(Datos_Consumo[[#This Row],[FECHA]])&amp;"-"&amp;MONTH(Datos_Consumo[[#This Row],[FECHA]])</f>
        <v>2018-4</v>
      </c>
    </row>
    <row r="201" spans="1:4" x14ac:dyDescent="0.25">
      <c r="A201" t="s">
        <v>1514</v>
      </c>
      <c r="B201">
        <v>2</v>
      </c>
      <c r="C201" s="54">
        <v>43221</v>
      </c>
      <c r="D201" s="3" t="str">
        <f>YEAR(Datos_Consumo[[#This Row],[FECHA]])&amp;"-"&amp;MONTH(Datos_Consumo[[#This Row],[FECHA]])</f>
        <v>2018-5</v>
      </c>
    </row>
    <row r="202" spans="1:4" x14ac:dyDescent="0.25">
      <c r="A202" t="s">
        <v>4035</v>
      </c>
      <c r="B202">
        <v>2</v>
      </c>
      <c r="C202" s="54">
        <v>43221</v>
      </c>
      <c r="D202" s="3" t="str">
        <f>YEAR(Datos_Consumo[[#This Row],[FECHA]])&amp;"-"&amp;MONTH(Datos_Consumo[[#This Row],[FECHA]])</f>
        <v>2018-5</v>
      </c>
    </row>
    <row r="203" spans="1:4" x14ac:dyDescent="0.25">
      <c r="A203" t="s">
        <v>1515</v>
      </c>
      <c r="B203">
        <v>3</v>
      </c>
      <c r="C203" s="54">
        <v>43132</v>
      </c>
      <c r="D203" s="3" t="str">
        <f>YEAR(Datos_Consumo[[#This Row],[FECHA]])&amp;"-"&amp;MONTH(Datos_Consumo[[#This Row],[FECHA]])</f>
        <v>2018-2</v>
      </c>
    </row>
    <row r="204" spans="1:4" x14ac:dyDescent="0.25">
      <c r="A204" t="s">
        <v>1515</v>
      </c>
      <c r="B204">
        <v>4</v>
      </c>
      <c r="C204" s="54">
        <v>43160</v>
      </c>
      <c r="D204" s="3" t="str">
        <f>YEAR(Datos_Consumo[[#This Row],[FECHA]])&amp;"-"&amp;MONTH(Datos_Consumo[[#This Row],[FECHA]])</f>
        <v>2018-3</v>
      </c>
    </row>
    <row r="205" spans="1:4" x14ac:dyDescent="0.25">
      <c r="A205" t="s">
        <v>1515</v>
      </c>
      <c r="B205">
        <v>2</v>
      </c>
      <c r="C205" s="54">
        <v>43191</v>
      </c>
      <c r="D205" s="3" t="str">
        <f>YEAR(Datos_Consumo[[#This Row],[FECHA]])&amp;"-"&amp;MONTH(Datos_Consumo[[#This Row],[FECHA]])</f>
        <v>2018-4</v>
      </c>
    </row>
    <row r="206" spans="1:4" x14ac:dyDescent="0.25">
      <c r="A206" t="s">
        <v>1516</v>
      </c>
      <c r="B206">
        <v>4</v>
      </c>
      <c r="C206" s="54">
        <v>43101</v>
      </c>
      <c r="D206" s="3" t="str">
        <f>YEAR(Datos_Consumo[[#This Row],[FECHA]])&amp;"-"&amp;MONTH(Datos_Consumo[[#This Row],[FECHA]])</f>
        <v>2018-1</v>
      </c>
    </row>
    <row r="207" spans="1:4" x14ac:dyDescent="0.25">
      <c r="A207" t="s">
        <v>1516</v>
      </c>
      <c r="B207">
        <v>14</v>
      </c>
      <c r="C207" s="54">
        <v>43160</v>
      </c>
      <c r="D207" s="3" t="str">
        <f>YEAR(Datos_Consumo[[#This Row],[FECHA]])&amp;"-"&amp;MONTH(Datos_Consumo[[#This Row],[FECHA]])</f>
        <v>2018-3</v>
      </c>
    </row>
    <row r="208" spans="1:4" x14ac:dyDescent="0.25">
      <c r="A208" t="s">
        <v>1516</v>
      </c>
      <c r="B208">
        <v>2</v>
      </c>
      <c r="C208" s="54">
        <v>43191</v>
      </c>
      <c r="D208" s="3" t="str">
        <f>YEAR(Datos_Consumo[[#This Row],[FECHA]])&amp;"-"&amp;MONTH(Datos_Consumo[[#This Row],[FECHA]])</f>
        <v>2018-4</v>
      </c>
    </row>
    <row r="209" spans="1:4" x14ac:dyDescent="0.25">
      <c r="A209" t="s">
        <v>1517</v>
      </c>
      <c r="B209">
        <v>2</v>
      </c>
      <c r="C209" s="54">
        <v>43101</v>
      </c>
      <c r="D209" s="3" t="str">
        <f>YEAR(Datos_Consumo[[#This Row],[FECHA]])&amp;"-"&amp;MONTH(Datos_Consumo[[#This Row],[FECHA]])</f>
        <v>2018-1</v>
      </c>
    </row>
    <row r="210" spans="1:4" x14ac:dyDescent="0.25">
      <c r="A210" t="s">
        <v>1517</v>
      </c>
      <c r="B210">
        <v>10</v>
      </c>
      <c r="C210" s="54">
        <v>43160</v>
      </c>
      <c r="D210" s="3" t="str">
        <f>YEAR(Datos_Consumo[[#This Row],[FECHA]])&amp;"-"&amp;MONTH(Datos_Consumo[[#This Row],[FECHA]])</f>
        <v>2018-3</v>
      </c>
    </row>
    <row r="211" spans="1:4" x14ac:dyDescent="0.25">
      <c r="A211" t="s">
        <v>1517</v>
      </c>
      <c r="B211">
        <v>2</v>
      </c>
      <c r="C211" s="54">
        <v>43191</v>
      </c>
      <c r="D211" s="3" t="str">
        <f>YEAR(Datos_Consumo[[#This Row],[FECHA]])&amp;"-"&amp;MONTH(Datos_Consumo[[#This Row],[FECHA]])</f>
        <v>2018-4</v>
      </c>
    </row>
    <row r="212" spans="1:4" x14ac:dyDescent="0.25">
      <c r="A212" t="s">
        <v>1518</v>
      </c>
      <c r="B212">
        <v>2</v>
      </c>
      <c r="C212" s="54">
        <v>43191</v>
      </c>
      <c r="D212" s="3" t="str">
        <f>YEAR(Datos_Consumo[[#This Row],[FECHA]])&amp;"-"&amp;MONTH(Datos_Consumo[[#This Row],[FECHA]])</f>
        <v>2018-4</v>
      </c>
    </row>
    <row r="213" spans="1:4" x14ac:dyDescent="0.25">
      <c r="A213" t="s">
        <v>1519</v>
      </c>
      <c r="B213">
        <v>10</v>
      </c>
      <c r="C213" s="54">
        <v>43160</v>
      </c>
      <c r="D213" s="3" t="str">
        <f>YEAR(Datos_Consumo[[#This Row],[FECHA]])&amp;"-"&amp;MONTH(Datos_Consumo[[#This Row],[FECHA]])</f>
        <v>2018-3</v>
      </c>
    </row>
    <row r="214" spans="1:4" x14ac:dyDescent="0.25">
      <c r="A214" t="s">
        <v>1519</v>
      </c>
      <c r="B214">
        <v>2</v>
      </c>
      <c r="C214" s="54">
        <v>43191</v>
      </c>
      <c r="D214" s="3" t="str">
        <f>YEAR(Datos_Consumo[[#This Row],[FECHA]])&amp;"-"&amp;MONTH(Datos_Consumo[[#This Row],[FECHA]])</f>
        <v>2018-4</v>
      </c>
    </row>
    <row r="215" spans="1:4" x14ac:dyDescent="0.25">
      <c r="A215" t="s">
        <v>1520</v>
      </c>
      <c r="B215">
        <v>3</v>
      </c>
      <c r="C215" s="54">
        <v>43160</v>
      </c>
      <c r="D215" s="3" t="str">
        <f>YEAR(Datos_Consumo[[#This Row],[FECHA]])&amp;"-"&amp;MONTH(Datos_Consumo[[#This Row],[FECHA]])</f>
        <v>2018-3</v>
      </c>
    </row>
    <row r="216" spans="1:4" x14ac:dyDescent="0.25">
      <c r="A216" t="s">
        <v>1521</v>
      </c>
      <c r="B216">
        <v>5</v>
      </c>
      <c r="C216" s="54">
        <v>43070</v>
      </c>
      <c r="D216" s="3" t="str">
        <f>YEAR(Datos_Consumo[[#This Row],[FECHA]])&amp;"-"&amp;MONTH(Datos_Consumo[[#This Row],[FECHA]])</f>
        <v>2017-12</v>
      </c>
    </row>
    <row r="217" spans="1:4" x14ac:dyDescent="0.25">
      <c r="A217" t="s">
        <v>1521</v>
      </c>
      <c r="B217">
        <v>3</v>
      </c>
      <c r="C217" s="54">
        <v>43101</v>
      </c>
      <c r="D217" s="3" t="str">
        <f>YEAR(Datos_Consumo[[#This Row],[FECHA]])&amp;"-"&amp;MONTH(Datos_Consumo[[#This Row],[FECHA]])</f>
        <v>2018-1</v>
      </c>
    </row>
    <row r="218" spans="1:4" x14ac:dyDescent="0.25">
      <c r="A218" t="s">
        <v>1521</v>
      </c>
      <c r="B218">
        <v>12</v>
      </c>
      <c r="C218" s="54">
        <v>43132</v>
      </c>
      <c r="D218" s="3" t="str">
        <f>YEAR(Datos_Consumo[[#This Row],[FECHA]])&amp;"-"&amp;MONTH(Datos_Consumo[[#This Row],[FECHA]])</f>
        <v>2018-2</v>
      </c>
    </row>
    <row r="219" spans="1:4" x14ac:dyDescent="0.25">
      <c r="A219" t="s">
        <v>1521</v>
      </c>
      <c r="B219">
        <v>7</v>
      </c>
      <c r="C219" s="54">
        <v>43160</v>
      </c>
      <c r="D219" s="3" t="str">
        <f>YEAR(Datos_Consumo[[#This Row],[FECHA]])&amp;"-"&amp;MONTH(Datos_Consumo[[#This Row],[FECHA]])</f>
        <v>2018-3</v>
      </c>
    </row>
    <row r="220" spans="1:4" x14ac:dyDescent="0.25">
      <c r="A220" t="s">
        <v>1521</v>
      </c>
      <c r="B220">
        <v>4</v>
      </c>
      <c r="C220" s="54">
        <v>43191</v>
      </c>
      <c r="D220" s="3" t="str">
        <f>YEAR(Datos_Consumo[[#This Row],[FECHA]])&amp;"-"&amp;MONTH(Datos_Consumo[[#This Row],[FECHA]])</f>
        <v>2018-4</v>
      </c>
    </row>
    <row r="221" spans="1:4" x14ac:dyDescent="0.25">
      <c r="A221" t="s">
        <v>1522</v>
      </c>
      <c r="B221">
        <v>1</v>
      </c>
      <c r="C221" s="54">
        <v>43160</v>
      </c>
      <c r="D221" s="3" t="str">
        <f>YEAR(Datos_Consumo[[#This Row],[FECHA]])&amp;"-"&amp;MONTH(Datos_Consumo[[#This Row],[FECHA]])</f>
        <v>2018-3</v>
      </c>
    </row>
    <row r="222" spans="1:4" x14ac:dyDescent="0.25">
      <c r="A222" t="s">
        <v>1523</v>
      </c>
      <c r="B222">
        <v>2</v>
      </c>
      <c r="C222" s="54">
        <v>43070</v>
      </c>
      <c r="D222" s="3" t="str">
        <f>YEAR(Datos_Consumo[[#This Row],[FECHA]])&amp;"-"&amp;MONTH(Datos_Consumo[[#This Row],[FECHA]])</f>
        <v>2017-12</v>
      </c>
    </row>
    <row r="223" spans="1:4" x14ac:dyDescent="0.25">
      <c r="A223" t="s">
        <v>1523</v>
      </c>
      <c r="B223">
        <v>2</v>
      </c>
      <c r="C223" s="54">
        <v>43191</v>
      </c>
      <c r="D223" s="3" t="str">
        <f>YEAR(Datos_Consumo[[#This Row],[FECHA]])&amp;"-"&amp;MONTH(Datos_Consumo[[#This Row],[FECHA]])</f>
        <v>2018-4</v>
      </c>
    </row>
    <row r="224" spans="1:4" x14ac:dyDescent="0.25">
      <c r="A224" t="s">
        <v>1524</v>
      </c>
      <c r="B224">
        <v>4</v>
      </c>
      <c r="C224" s="54">
        <v>43132</v>
      </c>
      <c r="D224" s="3" t="str">
        <f>YEAR(Datos_Consumo[[#This Row],[FECHA]])&amp;"-"&amp;MONTH(Datos_Consumo[[#This Row],[FECHA]])</f>
        <v>2018-2</v>
      </c>
    </row>
    <row r="225" spans="1:4" x14ac:dyDescent="0.25">
      <c r="A225" t="s">
        <v>1525</v>
      </c>
      <c r="B225">
        <v>1</v>
      </c>
      <c r="C225" s="54">
        <v>43101</v>
      </c>
      <c r="D225" s="3" t="str">
        <f>YEAR(Datos_Consumo[[#This Row],[FECHA]])&amp;"-"&amp;MONTH(Datos_Consumo[[#This Row],[FECHA]])</f>
        <v>2018-1</v>
      </c>
    </row>
    <row r="226" spans="1:4" x14ac:dyDescent="0.25">
      <c r="A226" t="s">
        <v>1525</v>
      </c>
      <c r="B226">
        <v>3</v>
      </c>
      <c r="C226" s="54">
        <v>43191</v>
      </c>
      <c r="D226" s="3" t="str">
        <f>YEAR(Datos_Consumo[[#This Row],[FECHA]])&amp;"-"&amp;MONTH(Datos_Consumo[[#This Row],[FECHA]])</f>
        <v>2018-4</v>
      </c>
    </row>
    <row r="227" spans="1:4" x14ac:dyDescent="0.25">
      <c r="A227" t="s">
        <v>1526</v>
      </c>
      <c r="B227">
        <v>2</v>
      </c>
      <c r="C227" s="54">
        <v>43070</v>
      </c>
      <c r="D227" s="3" t="str">
        <f>YEAR(Datos_Consumo[[#This Row],[FECHA]])&amp;"-"&amp;MONTH(Datos_Consumo[[#This Row],[FECHA]])</f>
        <v>2017-12</v>
      </c>
    </row>
    <row r="228" spans="1:4" x14ac:dyDescent="0.25">
      <c r="A228" t="s">
        <v>1526</v>
      </c>
      <c r="B228">
        <v>1</v>
      </c>
      <c r="C228" s="54">
        <v>43101</v>
      </c>
      <c r="D228" s="3" t="str">
        <f>YEAR(Datos_Consumo[[#This Row],[FECHA]])&amp;"-"&amp;MONTH(Datos_Consumo[[#This Row],[FECHA]])</f>
        <v>2018-1</v>
      </c>
    </row>
    <row r="229" spans="1:4" x14ac:dyDescent="0.25">
      <c r="A229" t="s">
        <v>1527</v>
      </c>
      <c r="B229">
        <v>2</v>
      </c>
      <c r="C229" s="54">
        <v>43191</v>
      </c>
      <c r="D229" s="3" t="str">
        <f>YEAR(Datos_Consumo[[#This Row],[FECHA]])&amp;"-"&amp;MONTH(Datos_Consumo[[#This Row],[FECHA]])</f>
        <v>2018-4</v>
      </c>
    </row>
    <row r="230" spans="1:4" x14ac:dyDescent="0.25">
      <c r="A230" t="s">
        <v>1528</v>
      </c>
      <c r="B230">
        <v>11</v>
      </c>
      <c r="C230" s="54">
        <v>43070</v>
      </c>
      <c r="D230" s="3" t="str">
        <f>YEAR(Datos_Consumo[[#This Row],[FECHA]])&amp;"-"&amp;MONTH(Datos_Consumo[[#This Row],[FECHA]])</f>
        <v>2017-12</v>
      </c>
    </row>
    <row r="231" spans="1:4" x14ac:dyDescent="0.25">
      <c r="A231" t="s">
        <v>1528</v>
      </c>
      <c r="B231">
        <v>2</v>
      </c>
      <c r="C231" s="54">
        <v>43101</v>
      </c>
      <c r="D231" s="3" t="str">
        <f>YEAR(Datos_Consumo[[#This Row],[FECHA]])&amp;"-"&amp;MONTH(Datos_Consumo[[#This Row],[FECHA]])</f>
        <v>2018-1</v>
      </c>
    </row>
    <row r="232" spans="1:4" x14ac:dyDescent="0.25">
      <c r="A232" t="s">
        <v>1528</v>
      </c>
      <c r="B232">
        <v>4</v>
      </c>
      <c r="C232" s="54">
        <v>43191</v>
      </c>
      <c r="D232" s="3" t="str">
        <f>YEAR(Datos_Consumo[[#This Row],[FECHA]])&amp;"-"&amp;MONTH(Datos_Consumo[[#This Row],[FECHA]])</f>
        <v>2018-4</v>
      </c>
    </row>
    <row r="233" spans="1:4" x14ac:dyDescent="0.25">
      <c r="A233" t="s">
        <v>1529</v>
      </c>
      <c r="B233">
        <v>31</v>
      </c>
      <c r="C233" s="54">
        <v>43070</v>
      </c>
      <c r="D233" s="3" t="str">
        <f>YEAR(Datos_Consumo[[#This Row],[FECHA]])&amp;"-"&amp;MONTH(Datos_Consumo[[#This Row],[FECHA]])</f>
        <v>2017-12</v>
      </c>
    </row>
    <row r="234" spans="1:4" x14ac:dyDescent="0.25">
      <c r="A234" t="s">
        <v>1529</v>
      </c>
      <c r="B234">
        <v>12</v>
      </c>
      <c r="C234" s="54">
        <v>43101</v>
      </c>
      <c r="D234" s="3" t="str">
        <f>YEAR(Datos_Consumo[[#This Row],[FECHA]])&amp;"-"&amp;MONTH(Datos_Consumo[[#This Row],[FECHA]])</f>
        <v>2018-1</v>
      </c>
    </row>
    <row r="235" spans="1:4" x14ac:dyDescent="0.25">
      <c r="A235" t="s">
        <v>1529</v>
      </c>
      <c r="B235">
        <v>11</v>
      </c>
      <c r="C235" s="54">
        <v>43132</v>
      </c>
      <c r="D235" s="3" t="str">
        <f>YEAR(Datos_Consumo[[#This Row],[FECHA]])&amp;"-"&amp;MONTH(Datos_Consumo[[#This Row],[FECHA]])</f>
        <v>2018-2</v>
      </c>
    </row>
    <row r="236" spans="1:4" x14ac:dyDescent="0.25">
      <c r="A236" t="s">
        <v>1529</v>
      </c>
      <c r="B236">
        <v>13</v>
      </c>
      <c r="C236" s="54">
        <v>43160</v>
      </c>
      <c r="D236" s="3" t="str">
        <f>YEAR(Datos_Consumo[[#This Row],[FECHA]])&amp;"-"&amp;MONTH(Datos_Consumo[[#This Row],[FECHA]])</f>
        <v>2018-3</v>
      </c>
    </row>
    <row r="237" spans="1:4" x14ac:dyDescent="0.25">
      <c r="A237" t="s">
        <v>1529</v>
      </c>
      <c r="B237">
        <v>2</v>
      </c>
      <c r="C237" s="54">
        <v>43191</v>
      </c>
      <c r="D237" s="3" t="str">
        <f>YEAR(Datos_Consumo[[#This Row],[FECHA]])&amp;"-"&amp;MONTH(Datos_Consumo[[#This Row],[FECHA]])</f>
        <v>2018-4</v>
      </c>
    </row>
    <row r="238" spans="1:4" x14ac:dyDescent="0.25">
      <c r="A238" t="s">
        <v>1529</v>
      </c>
      <c r="B238">
        <v>11</v>
      </c>
      <c r="C238" s="54">
        <v>43221</v>
      </c>
      <c r="D238" s="3" t="str">
        <f>YEAR(Datos_Consumo[[#This Row],[FECHA]])&amp;"-"&amp;MONTH(Datos_Consumo[[#This Row],[FECHA]])</f>
        <v>2018-5</v>
      </c>
    </row>
    <row r="239" spans="1:4" x14ac:dyDescent="0.25">
      <c r="A239" t="s">
        <v>1530</v>
      </c>
      <c r="B239">
        <v>24</v>
      </c>
      <c r="C239" s="54">
        <v>43070</v>
      </c>
      <c r="D239" s="3" t="str">
        <f>YEAR(Datos_Consumo[[#This Row],[FECHA]])&amp;"-"&amp;MONTH(Datos_Consumo[[#This Row],[FECHA]])</f>
        <v>2017-12</v>
      </c>
    </row>
    <row r="240" spans="1:4" x14ac:dyDescent="0.25">
      <c r="A240" t="s">
        <v>1530</v>
      </c>
      <c r="B240">
        <v>15</v>
      </c>
      <c r="C240" s="54">
        <v>43101</v>
      </c>
      <c r="D240" s="3" t="str">
        <f>YEAR(Datos_Consumo[[#This Row],[FECHA]])&amp;"-"&amp;MONTH(Datos_Consumo[[#This Row],[FECHA]])</f>
        <v>2018-1</v>
      </c>
    </row>
    <row r="241" spans="1:4" x14ac:dyDescent="0.25">
      <c r="A241" t="s">
        <v>1530</v>
      </c>
      <c r="B241">
        <v>6</v>
      </c>
      <c r="C241" s="54">
        <v>43132</v>
      </c>
      <c r="D241" s="3" t="str">
        <f>YEAR(Datos_Consumo[[#This Row],[FECHA]])&amp;"-"&amp;MONTH(Datos_Consumo[[#This Row],[FECHA]])</f>
        <v>2018-2</v>
      </c>
    </row>
    <row r="242" spans="1:4" x14ac:dyDescent="0.25">
      <c r="A242" t="s">
        <v>1530</v>
      </c>
      <c r="B242">
        <v>7</v>
      </c>
      <c r="C242" s="54">
        <v>43160</v>
      </c>
      <c r="D242" s="3" t="str">
        <f>YEAR(Datos_Consumo[[#This Row],[FECHA]])&amp;"-"&amp;MONTH(Datos_Consumo[[#This Row],[FECHA]])</f>
        <v>2018-3</v>
      </c>
    </row>
    <row r="243" spans="1:4" x14ac:dyDescent="0.25">
      <c r="A243" t="s">
        <v>1530</v>
      </c>
      <c r="B243">
        <v>12</v>
      </c>
      <c r="C243" s="54">
        <v>43191</v>
      </c>
      <c r="D243" s="3" t="str">
        <f>YEAR(Datos_Consumo[[#This Row],[FECHA]])&amp;"-"&amp;MONTH(Datos_Consumo[[#This Row],[FECHA]])</f>
        <v>2018-4</v>
      </c>
    </row>
    <row r="244" spans="1:4" x14ac:dyDescent="0.25">
      <c r="A244" t="s">
        <v>1530</v>
      </c>
      <c r="B244">
        <v>12</v>
      </c>
      <c r="C244" s="54">
        <v>43221</v>
      </c>
      <c r="D244" s="3" t="str">
        <f>YEAR(Datos_Consumo[[#This Row],[FECHA]])&amp;"-"&amp;MONTH(Datos_Consumo[[#This Row],[FECHA]])</f>
        <v>2018-5</v>
      </c>
    </row>
    <row r="245" spans="1:4" x14ac:dyDescent="0.25">
      <c r="A245" t="s">
        <v>1531</v>
      </c>
      <c r="B245">
        <v>1</v>
      </c>
      <c r="C245" s="54">
        <v>43132</v>
      </c>
      <c r="D245" s="3" t="str">
        <f>YEAR(Datos_Consumo[[#This Row],[FECHA]])&amp;"-"&amp;MONTH(Datos_Consumo[[#This Row],[FECHA]])</f>
        <v>2018-2</v>
      </c>
    </row>
    <row r="246" spans="1:4" x14ac:dyDescent="0.25">
      <c r="A246" t="s">
        <v>1531</v>
      </c>
      <c r="B246">
        <v>4</v>
      </c>
      <c r="C246" s="54">
        <v>43221</v>
      </c>
      <c r="D246" s="3" t="str">
        <f>YEAR(Datos_Consumo[[#This Row],[FECHA]])&amp;"-"&amp;MONTH(Datos_Consumo[[#This Row],[FECHA]])</f>
        <v>2018-5</v>
      </c>
    </row>
    <row r="247" spans="1:4" x14ac:dyDescent="0.25">
      <c r="A247" t="s">
        <v>1532</v>
      </c>
      <c r="B247">
        <v>18</v>
      </c>
      <c r="C247" s="54">
        <v>43070</v>
      </c>
      <c r="D247" s="3" t="str">
        <f>YEAR(Datos_Consumo[[#This Row],[FECHA]])&amp;"-"&amp;MONTH(Datos_Consumo[[#This Row],[FECHA]])</f>
        <v>2017-12</v>
      </c>
    </row>
    <row r="248" spans="1:4" x14ac:dyDescent="0.25">
      <c r="A248" t="s">
        <v>1532</v>
      </c>
      <c r="B248">
        <v>3</v>
      </c>
      <c r="C248" s="54">
        <v>43101</v>
      </c>
      <c r="D248" s="3" t="str">
        <f>YEAR(Datos_Consumo[[#This Row],[FECHA]])&amp;"-"&amp;MONTH(Datos_Consumo[[#This Row],[FECHA]])</f>
        <v>2018-1</v>
      </c>
    </row>
    <row r="249" spans="1:4" x14ac:dyDescent="0.25">
      <c r="A249" t="s">
        <v>1532</v>
      </c>
      <c r="B249">
        <v>5</v>
      </c>
      <c r="C249" s="54">
        <v>43132</v>
      </c>
      <c r="D249" s="3" t="str">
        <f>YEAR(Datos_Consumo[[#This Row],[FECHA]])&amp;"-"&amp;MONTH(Datos_Consumo[[#This Row],[FECHA]])</f>
        <v>2018-2</v>
      </c>
    </row>
    <row r="250" spans="1:4" x14ac:dyDescent="0.25">
      <c r="A250" t="s">
        <v>1532</v>
      </c>
      <c r="B250">
        <v>26</v>
      </c>
      <c r="C250" s="54">
        <v>43160</v>
      </c>
      <c r="D250" s="3" t="str">
        <f>YEAR(Datos_Consumo[[#This Row],[FECHA]])&amp;"-"&amp;MONTH(Datos_Consumo[[#This Row],[FECHA]])</f>
        <v>2018-3</v>
      </c>
    </row>
    <row r="251" spans="1:4" x14ac:dyDescent="0.25">
      <c r="A251" t="s">
        <v>1532</v>
      </c>
      <c r="B251">
        <v>20</v>
      </c>
      <c r="C251" s="54">
        <v>43191</v>
      </c>
      <c r="D251" s="3" t="str">
        <f>YEAR(Datos_Consumo[[#This Row],[FECHA]])&amp;"-"&amp;MONTH(Datos_Consumo[[#This Row],[FECHA]])</f>
        <v>2018-4</v>
      </c>
    </row>
    <row r="252" spans="1:4" x14ac:dyDescent="0.25">
      <c r="A252" t="s">
        <v>1532</v>
      </c>
      <c r="B252">
        <v>10</v>
      </c>
      <c r="C252" s="54">
        <v>43221</v>
      </c>
      <c r="D252" s="3" t="str">
        <f>YEAR(Datos_Consumo[[#This Row],[FECHA]])&amp;"-"&amp;MONTH(Datos_Consumo[[#This Row],[FECHA]])</f>
        <v>2018-5</v>
      </c>
    </row>
    <row r="253" spans="1:4" x14ac:dyDescent="0.25">
      <c r="A253" t="s">
        <v>1533</v>
      </c>
      <c r="B253">
        <v>1</v>
      </c>
      <c r="C253" s="54">
        <v>43132</v>
      </c>
      <c r="D253" s="3" t="str">
        <f>YEAR(Datos_Consumo[[#This Row],[FECHA]])&amp;"-"&amp;MONTH(Datos_Consumo[[#This Row],[FECHA]])</f>
        <v>2018-2</v>
      </c>
    </row>
    <row r="254" spans="1:4" x14ac:dyDescent="0.25">
      <c r="A254" t="s">
        <v>1534</v>
      </c>
      <c r="B254">
        <v>1</v>
      </c>
      <c r="C254" s="54">
        <v>43070</v>
      </c>
      <c r="D254" s="3" t="str">
        <f>YEAR(Datos_Consumo[[#This Row],[FECHA]])&amp;"-"&amp;MONTH(Datos_Consumo[[#This Row],[FECHA]])</f>
        <v>2017-12</v>
      </c>
    </row>
    <row r="255" spans="1:4" x14ac:dyDescent="0.25">
      <c r="A255" t="s">
        <v>1535</v>
      </c>
      <c r="B255">
        <v>1</v>
      </c>
      <c r="C255" s="54">
        <v>43160</v>
      </c>
      <c r="D255" s="3" t="str">
        <f>YEAR(Datos_Consumo[[#This Row],[FECHA]])&amp;"-"&amp;MONTH(Datos_Consumo[[#This Row],[FECHA]])</f>
        <v>2018-3</v>
      </c>
    </row>
    <row r="256" spans="1:4" x14ac:dyDescent="0.25">
      <c r="A256" t="s">
        <v>1535</v>
      </c>
      <c r="B256">
        <v>5</v>
      </c>
      <c r="C256" s="54">
        <v>43191</v>
      </c>
      <c r="D256" s="3" t="str">
        <f>YEAR(Datos_Consumo[[#This Row],[FECHA]])&amp;"-"&amp;MONTH(Datos_Consumo[[#This Row],[FECHA]])</f>
        <v>2018-4</v>
      </c>
    </row>
    <row r="257" spans="1:4" x14ac:dyDescent="0.25">
      <c r="A257" t="s">
        <v>1535</v>
      </c>
      <c r="B257">
        <v>5</v>
      </c>
      <c r="C257" s="54">
        <v>43221</v>
      </c>
      <c r="D257" s="3" t="str">
        <f>YEAR(Datos_Consumo[[#This Row],[FECHA]])&amp;"-"&amp;MONTH(Datos_Consumo[[#This Row],[FECHA]])</f>
        <v>2018-5</v>
      </c>
    </row>
    <row r="258" spans="1:4" x14ac:dyDescent="0.25">
      <c r="A258" t="s">
        <v>1536</v>
      </c>
      <c r="B258">
        <v>1</v>
      </c>
      <c r="C258" s="54">
        <v>43132</v>
      </c>
      <c r="D258" s="3" t="str">
        <f>YEAR(Datos_Consumo[[#This Row],[FECHA]])&amp;"-"&amp;MONTH(Datos_Consumo[[#This Row],[FECHA]])</f>
        <v>2018-2</v>
      </c>
    </row>
    <row r="259" spans="1:4" x14ac:dyDescent="0.25">
      <c r="A259" t="s">
        <v>1537</v>
      </c>
      <c r="B259">
        <v>1</v>
      </c>
      <c r="C259" s="54">
        <v>43132</v>
      </c>
      <c r="D259" s="3" t="str">
        <f>YEAR(Datos_Consumo[[#This Row],[FECHA]])&amp;"-"&amp;MONTH(Datos_Consumo[[#This Row],[FECHA]])</f>
        <v>2018-2</v>
      </c>
    </row>
    <row r="260" spans="1:4" x14ac:dyDescent="0.25">
      <c r="A260" t="s">
        <v>1538</v>
      </c>
      <c r="B260">
        <v>2</v>
      </c>
      <c r="C260" s="54">
        <v>43101</v>
      </c>
      <c r="D260" s="3" t="str">
        <f>YEAR(Datos_Consumo[[#This Row],[FECHA]])&amp;"-"&amp;MONTH(Datos_Consumo[[#This Row],[FECHA]])</f>
        <v>2018-1</v>
      </c>
    </row>
    <row r="261" spans="1:4" x14ac:dyDescent="0.25">
      <c r="A261" t="s">
        <v>1538</v>
      </c>
      <c r="B261">
        <v>1</v>
      </c>
      <c r="C261" s="54">
        <v>43160</v>
      </c>
      <c r="D261" s="3" t="str">
        <f>YEAR(Datos_Consumo[[#This Row],[FECHA]])&amp;"-"&amp;MONTH(Datos_Consumo[[#This Row],[FECHA]])</f>
        <v>2018-3</v>
      </c>
    </row>
    <row r="262" spans="1:4" x14ac:dyDescent="0.25">
      <c r="A262" t="s">
        <v>1538</v>
      </c>
      <c r="B262">
        <v>1</v>
      </c>
      <c r="C262" s="54">
        <v>43191</v>
      </c>
      <c r="D262" s="3" t="str">
        <f>YEAR(Datos_Consumo[[#This Row],[FECHA]])&amp;"-"&amp;MONTH(Datos_Consumo[[#This Row],[FECHA]])</f>
        <v>2018-4</v>
      </c>
    </row>
    <row r="263" spans="1:4" x14ac:dyDescent="0.25">
      <c r="A263" t="s">
        <v>1539</v>
      </c>
      <c r="B263">
        <v>10</v>
      </c>
      <c r="C263" s="54">
        <v>43132</v>
      </c>
      <c r="D263" s="3" t="str">
        <f>YEAR(Datos_Consumo[[#This Row],[FECHA]])&amp;"-"&amp;MONTH(Datos_Consumo[[#This Row],[FECHA]])</f>
        <v>2018-2</v>
      </c>
    </row>
    <row r="264" spans="1:4" x14ac:dyDescent="0.25">
      <c r="A264" t="s">
        <v>1539</v>
      </c>
      <c r="B264">
        <v>10</v>
      </c>
      <c r="C264" s="54">
        <v>43160</v>
      </c>
      <c r="D264" s="3" t="str">
        <f>YEAR(Datos_Consumo[[#This Row],[FECHA]])&amp;"-"&amp;MONTH(Datos_Consumo[[#This Row],[FECHA]])</f>
        <v>2018-3</v>
      </c>
    </row>
    <row r="265" spans="1:4" x14ac:dyDescent="0.25">
      <c r="A265" t="s">
        <v>1540</v>
      </c>
      <c r="B265">
        <v>2</v>
      </c>
      <c r="C265" s="54">
        <v>43101</v>
      </c>
      <c r="D265" s="3" t="str">
        <f>YEAR(Datos_Consumo[[#This Row],[FECHA]])&amp;"-"&amp;MONTH(Datos_Consumo[[#This Row],[FECHA]])</f>
        <v>2018-1</v>
      </c>
    </row>
    <row r="266" spans="1:4" x14ac:dyDescent="0.25">
      <c r="A266" t="s">
        <v>1540</v>
      </c>
      <c r="B266">
        <v>3</v>
      </c>
      <c r="C266" s="54">
        <v>43132</v>
      </c>
      <c r="D266" s="3" t="str">
        <f>YEAR(Datos_Consumo[[#This Row],[FECHA]])&amp;"-"&amp;MONTH(Datos_Consumo[[#This Row],[FECHA]])</f>
        <v>2018-2</v>
      </c>
    </row>
    <row r="267" spans="1:4" x14ac:dyDescent="0.25">
      <c r="A267" t="s">
        <v>1540</v>
      </c>
      <c r="B267">
        <v>2</v>
      </c>
      <c r="C267" s="54">
        <v>43160</v>
      </c>
      <c r="D267" s="3" t="str">
        <f>YEAR(Datos_Consumo[[#This Row],[FECHA]])&amp;"-"&amp;MONTH(Datos_Consumo[[#This Row],[FECHA]])</f>
        <v>2018-3</v>
      </c>
    </row>
    <row r="268" spans="1:4" x14ac:dyDescent="0.25">
      <c r="A268" t="s">
        <v>1541</v>
      </c>
      <c r="B268">
        <v>4</v>
      </c>
      <c r="C268" s="54">
        <v>43070</v>
      </c>
      <c r="D268" s="3" t="str">
        <f>YEAR(Datos_Consumo[[#This Row],[FECHA]])&amp;"-"&amp;MONTH(Datos_Consumo[[#This Row],[FECHA]])</f>
        <v>2017-12</v>
      </c>
    </row>
    <row r="269" spans="1:4" x14ac:dyDescent="0.25">
      <c r="A269" t="s">
        <v>1542</v>
      </c>
      <c r="B269">
        <v>4</v>
      </c>
      <c r="C269" s="54">
        <v>43070</v>
      </c>
      <c r="D269" s="3" t="str">
        <f>YEAR(Datos_Consumo[[#This Row],[FECHA]])&amp;"-"&amp;MONTH(Datos_Consumo[[#This Row],[FECHA]])</f>
        <v>2017-12</v>
      </c>
    </row>
    <row r="270" spans="1:4" x14ac:dyDescent="0.25">
      <c r="A270" t="s">
        <v>1542</v>
      </c>
      <c r="B270">
        <v>2</v>
      </c>
      <c r="C270" s="54">
        <v>43132</v>
      </c>
      <c r="D270" s="3" t="str">
        <f>YEAR(Datos_Consumo[[#This Row],[FECHA]])&amp;"-"&amp;MONTH(Datos_Consumo[[#This Row],[FECHA]])</f>
        <v>2018-2</v>
      </c>
    </row>
    <row r="271" spans="1:4" x14ac:dyDescent="0.25">
      <c r="A271" t="s">
        <v>1543</v>
      </c>
      <c r="B271">
        <v>1</v>
      </c>
      <c r="C271" s="54">
        <v>43101</v>
      </c>
      <c r="D271" s="3" t="str">
        <f>YEAR(Datos_Consumo[[#This Row],[FECHA]])&amp;"-"&amp;MONTH(Datos_Consumo[[#This Row],[FECHA]])</f>
        <v>2018-1</v>
      </c>
    </row>
    <row r="272" spans="1:4" x14ac:dyDescent="0.25">
      <c r="A272" t="s">
        <v>1544</v>
      </c>
      <c r="B272">
        <v>3</v>
      </c>
      <c r="C272" s="54">
        <v>43132</v>
      </c>
      <c r="D272" s="3" t="str">
        <f>YEAR(Datos_Consumo[[#This Row],[FECHA]])&amp;"-"&amp;MONTH(Datos_Consumo[[#This Row],[FECHA]])</f>
        <v>2018-2</v>
      </c>
    </row>
    <row r="273" spans="1:4" x14ac:dyDescent="0.25">
      <c r="A273" t="s">
        <v>1545</v>
      </c>
      <c r="B273">
        <v>8</v>
      </c>
      <c r="C273" s="54">
        <v>43101</v>
      </c>
      <c r="D273" s="3" t="str">
        <f>YEAR(Datos_Consumo[[#This Row],[FECHA]])&amp;"-"&amp;MONTH(Datos_Consumo[[#This Row],[FECHA]])</f>
        <v>2018-1</v>
      </c>
    </row>
    <row r="274" spans="1:4" x14ac:dyDescent="0.25">
      <c r="A274" t="s">
        <v>1545</v>
      </c>
      <c r="B274">
        <v>1</v>
      </c>
      <c r="C274" s="54">
        <v>43132</v>
      </c>
      <c r="D274" s="3" t="str">
        <f>YEAR(Datos_Consumo[[#This Row],[FECHA]])&amp;"-"&amp;MONTH(Datos_Consumo[[#This Row],[FECHA]])</f>
        <v>2018-2</v>
      </c>
    </row>
    <row r="275" spans="1:4" x14ac:dyDescent="0.25">
      <c r="A275" t="s">
        <v>1545</v>
      </c>
      <c r="B275">
        <v>17</v>
      </c>
      <c r="C275" s="54">
        <v>43191</v>
      </c>
      <c r="D275" s="3" t="str">
        <f>YEAR(Datos_Consumo[[#This Row],[FECHA]])&amp;"-"&amp;MONTH(Datos_Consumo[[#This Row],[FECHA]])</f>
        <v>2018-4</v>
      </c>
    </row>
    <row r="276" spans="1:4" x14ac:dyDescent="0.25">
      <c r="A276" t="s">
        <v>1546</v>
      </c>
      <c r="B276">
        <v>2</v>
      </c>
      <c r="C276" s="54">
        <v>43160</v>
      </c>
      <c r="D276" s="3" t="str">
        <f>YEAR(Datos_Consumo[[#This Row],[FECHA]])&amp;"-"&amp;MONTH(Datos_Consumo[[#This Row],[FECHA]])</f>
        <v>2018-3</v>
      </c>
    </row>
    <row r="277" spans="1:4" x14ac:dyDescent="0.25">
      <c r="A277" t="s">
        <v>1547</v>
      </c>
      <c r="B277">
        <v>1</v>
      </c>
      <c r="C277" s="54">
        <v>43132</v>
      </c>
      <c r="D277" s="3" t="str">
        <f>YEAR(Datos_Consumo[[#This Row],[FECHA]])&amp;"-"&amp;MONTH(Datos_Consumo[[#This Row],[FECHA]])</f>
        <v>2018-2</v>
      </c>
    </row>
    <row r="278" spans="1:4" x14ac:dyDescent="0.25">
      <c r="A278" t="s">
        <v>1548</v>
      </c>
      <c r="B278">
        <v>4</v>
      </c>
      <c r="C278" s="54">
        <v>43101</v>
      </c>
      <c r="D278" s="3" t="str">
        <f>YEAR(Datos_Consumo[[#This Row],[FECHA]])&amp;"-"&amp;MONTH(Datos_Consumo[[#This Row],[FECHA]])</f>
        <v>2018-1</v>
      </c>
    </row>
    <row r="279" spans="1:4" x14ac:dyDescent="0.25">
      <c r="A279" t="s">
        <v>1548</v>
      </c>
      <c r="B279">
        <v>4</v>
      </c>
      <c r="C279" s="54">
        <v>43132</v>
      </c>
      <c r="D279" s="3" t="str">
        <f>YEAR(Datos_Consumo[[#This Row],[FECHA]])&amp;"-"&amp;MONTH(Datos_Consumo[[#This Row],[FECHA]])</f>
        <v>2018-2</v>
      </c>
    </row>
    <row r="280" spans="1:4" x14ac:dyDescent="0.25">
      <c r="A280" t="s">
        <v>1548</v>
      </c>
      <c r="B280">
        <v>9</v>
      </c>
      <c r="C280" s="54">
        <v>43160</v>
      </c>
      <c r="D280" s="3" t="str">
        <f>YEAR(Datos_Consumo[[#This Row],[FECHA]])&amp;"-"&amp;MONTH(Datos_Consumo[[#This Row],[FECHA]])</f>
        <v>2018-3</v>
      </c>
    </row>
    <row r="281" spans="1:4" x14ac:dyDescent="0.25">
      <c r="A281" t="s">
        <v>1548</v>
      </c>
      <c r="B281">
        <v>6</v>
      </c>
      <c r="C281" s="54">
        <v>43191</v>
      </c>
      <c r="D281" s="3" t="str">
        <f>YEAR(Datos_Consumo[[#This Row],[FECHA]])&amp;"-"&amp;MONTH(Datos_Consumo[[#This Row],[FECHA]])</f>
        <v>2018-4</v>
      </c>
    </row>
    <row r="282" spans="1:4" x14ac:dyDescent="0.25">
      <c r="A282" t="s">
        <v>1549</v>
      </c>
      <c r="B282">
        <v>166</v>
      </c>
      <c r="C282" s="54">
        <v>43070</v>
      </c>
      <c r="D282" s="3" t="str">
        <f>YEAR(Datos_Consumo[[#This Row],[FECHA]])&amp;"-"&amp;MONTH(Datos_Consumo[[#This Row],[FECHA]])</f>
        <v>2017-12</v>
      </c>
    </row>
    <row r="283" spans="1:4" x14ac:dyDescent="0.25">
      <c r="A283" t="s">
        <v>1549</v>
      </c>
      <c r="B283">
        <v>180</v>
      </c>
      <c r="C283" s="54">
        <v>43101</v>
      </c>
      <c r="D283" s="3" t="str">
        <f>YEAR(Datos_Consumo[[#This Row],[FECHA]])&amp;"-"&amp;MONTH(Datos_Consumo[[#This Row],[FECHA]])</f>
        <v>2018-1</v>
      </c>
    </row>
    <row r="284" spans="1:4" x14ac:dyDescent="0.25">
      <c r="A284" t="s">
        <v>1549</v>
      </c>
      <c r="B284">
        <v>96</v>
      </c>
      <c r="C284" s="54">
        <v>43132</v>
      </c>
      <c r="D284" s="3" t="str">
        <f>YEAR(Datos_Consumo[[#This Row],[FECHA]])&amp;"-"&amp;MONTH(Datos_Consumo[[#This Row],[FECHA]])</f>
        <v>2018-2</v>
      </c>
    </row>
    <row r="285" spans="1:4" x14ac:dyDescent="0.25">
      <c r="A285" t="s">
        <v>1549</v>
      </c>
      <c r="B285">
        <v>45</v>
      </c>
      <c r="C285" s="54">
        <v>43160</v>
      </c>
      <c r="D285" s="3" t="str">
        <f>YEAR(Datos_Consumo[[#This Row],[FECHA]])&amp;"-"&amp;MONTH(Datos_Consumo[[#This Row],[FECHA]])</f>
        <v>2018-3</v>
      </c>
    </row>
    <row r="286" spans="1:4" x14ac:dyDescent="0.25">
      <c r="A286" t="s">
        <v>1549</v>
      </c>
      <c r="B286">
        <v>364</v>
      </c>
      <c r="C286" s="54">
        <v>43191</v>
      </c>
      <c r="D286" s="3" t="str">
        <f>YEAR(Datos_Consumo[[#This Row],[FECHA]])&amp;"-"&amp;MONTH(Datos_Consumo[[#This Row],[FECHA]])</f>
        <v>2018-4</v>
      </c>
    </row>
    <row r="287" spans="1:4" x14ac:dyDescent="0.25">
      <c r="A287" t="s">
        <v>1549</v>
      </c>
      <c r="B287">
        <v>102</v>
      </c>
      <c r="C287" s="54">
        <v>43221</v>
      </c>
      <c r="D287" s="3" t="str">
        <f>YEAR(Datos_Consumo[[#This Row],[FECHA]])&amp;"-"&amp;MONTH(Datos_Consumo[[#This Row],[FECHA]])</f>
        <v>2018-5</v>
      </c>
    </row>
    <row r="288" spans="1:4" x14ac:dyDescent="0.25">
      <c r="A288" t="s">
        <v>1550</v>
      </c>
      <c r="B288">
        <v>28</v>
      </c>
      <c r="C288" s="54">
        <v>43070</v>
      </c>
      <c r="D288" s="3" t="str">
        <f>YEAR(Datos_Consumo[[#This Row],[FECHA]])&amp;"-"&amp;MONTH(Datos_Consumo[[#This Row],[FECHA]])</f>
        <v>2017-12</v>
      </c>
    </row>
    <row r="289" spans="1:4" x14ac:dyDescent="0.25">
      <c r="A289" t="s">
        <v>1550</v>
      </c>
      <c r="B289">
        <v>71</v>
      </c>
      <c r="C289" s="54">
        <v>43101</v>
      </c>
      <c r="D289" s="3" t="str">
        <f>YEAR(Datos_Consumo[[#This Row],[FECHA]])&amp;"-"&amp;MONTH(Datos_Consumo[[#This Row],[FECHA]])</f>
        <v>2018-1</v>
      </c>
    </row>
    <row r="290" spans="1:4" x14ac:dyDescent="0.25">
      <c r="A290" t="s">
        <v>1550</v>
      </c>
      <c r="B290">
        <v>228</v>
      </c>
      <c r="C290" s="54">
        <v>43132</v>
      </c>
      <c r="D290" s="3" t="str">
        <f>YEAR(Datos_Consumo[[#This Row],[FECHA]])&amp;"-"&amp;MONTH(Datos_Consumo[[#This Row],[FECHA]])</f>
        <v>2018-2</v>
      </c>
    </row>
    <row r="291" spans="1:4" x14ac:dyDescent="0.25">
      <c r="A291" t="s">
        <v>1550</v>
      </c>
      <c r="B291">
        <v>24</v>
      </c>
      <c r="C291" s="54">
        <v>43160</v>
      </c>
      <c r="D291" s="3" t="str">
        <f>YEAR(Datos_Consumo[[#This Row],[FECHA]])&amp;"-"&amp;MONTH(Datos_Consumo[[#This Row],[FECHA]])</f>
        <v>2018-3</v>
      </c>
    </row>
    <row r="292" spans="1:4" x14ac:dyDescent="0.25">
      <c r="A292" t="s">
        <v>1550</v>
      </c>
      <c r="B292">
        <v>45</v>
      </c>
      <c r="C292" s="54">
        <v>43191</v>
      </c>
      <c r="D292" s="3" t="str">
        <f>YEAR(Datos_Consumo[[#This Row],[FECHA]])&amp;"-"&amp;MONTH(Datos_Consumo[[#This Row],[FECHA]])</f>
        <v>2018-4</v>
      </c>
    </row>
    <row r="293" spans="1:4" x14ac:dyDescent="0.25">
      <c r="A293" t="s">
        <v>1551</v>
      </c>
      <c r="B293">
        <v>3</v>
      </c>
      <c r="C293" s="54">
        <v>43101</v>
      </c>
      <c r="D293" s="3" t="str">
        <f>YEAR(Datos_Consumo[[#This Row],[FECHA]])&amp;"-"&amp;MONTH(Datos_Consumo[[#This Row],[FECHA]])</f>
        <v>2018-1</v>
      </c>
    </row>
    <row r="294" spans="1:4" x14ac:dyDescent="0.25">
      <c r="A294" t="s">
        <v>1552</v>
      </c>
      <c r="B294">
        <v>7</v>
      </c>
      <c r="C294" s="54">
        <v>43070</v>
      </c>
      <c r="D294" s="3" t="str">
        <f>YEAR(Datos_Consumo[[#This Row],[FECHA]])&amp;"-"&amp;MONTH(Datos_Consumo[[#This Row],[FECHA]])</f>
        <v>2017-12</v>
      </c>
    </row>
    <row r="295" spans="1:4" x14ac:dyDescent="0.25">
      <c r="A295" t="s">
        <v>1552</v>
      </c>
      <c r="B295">
        <v>12</v>
      </c>
      <c r="C295" s="54">
        <v>43101</v>
      </c>
      <c r="D295" s="3" t="str">
        <f>YEAR(Datos_Consumo[[#This Row],[FECHA]])&amp;"-"&amp;MONTH(Datos_Consumo[[#This Row],[FECHA]])</f>
        <v>2018-1</v>
      </c>
    </row>
    <row r="296" spans="1:4" x14ac:dyDescent="0.25">
      <c r="A296" t="s">
        <v>1552</v>
      </c>
      <c r="B296">
        <v>2</v>
      </c>
      <c r="C296" s="54">
        <v>43132</v>
      </c>
      <c r="D296" s="3" t="str">
        <f>YEAR(Datos_Consumo[[#This Row],[FECHA]])&amp;"-"&amp;MONTH(Datos_Consumo[[#This Row],[FECHA]])</f>
        <v>2018-2</v>
      </c>
    </row>
    <row r="297" spans="1:4" x14ac:dyDescent="0.25">
      <c r="A297" t="s">
        <v>1552</v>
      </c>
      <c r="B297">
        <v>19</v>
      </c>
      <c r="C297" s="54">
        <v>43160</v>
      </c>
      <c r="D297" s="3" t="str">
        <f>YEAR(Datos_Consumo[[#This Row],[FECHA]])&amp;"-"&amp;MONTH(Datos_Consumo[[#This Row],[FECHA]])</f>
        <v>2018-3</v>
      </c>
    </row>
    <row r="298" spans="1:4" x14ac:dyDescent="0.25">
      <c r="A298" t="s">
        <v>1552</v>
      </c>
      <c r="B298">
        <v>5</v>
      </c>
      <c r="C298" s="54">
        <v>43191</v>
      </c>
      <c r="D298" s="3" t="str">
        <f>YEAR(Datos_Consumo[[#This Row],[FECHA]])&amp;"-"&amp;MONTH(Datos_Consumo[[#This Row],[FECHA]])</f>
        <v>2018-4</v>
      </c>
    </row>
    <row r="299" spans="1:4" x14ac:dyDescent="0.25">
      <c r="A299" t="s">
        <v>1552</v>
      </c>
      <c r="B299">
        <v>4</v>
      </c>
      <c r="C299" s="54">
        <v>43221</v>
      </c>
      <c r="D299" s="3" t="str">
        <f>YEAR(Datos_Consumo[[#This Row],[FECHA]])&amp;"-"&amp;MONTH(Datos_Consumo[[#This Row],[FECHA]])</f>
        <v>2018-5</v>
      </c>
    </row>
    <row r="300" spans="1:4" x14ac:dyDescent="0.25">
      <c r="A300" t="s">
        <v>1553</v>
      </c>
      <c r="B300">
        <v>1</v>
      </c>
      <c r="C300" s="54">
        <v>43070</v>
      </c>
      <c r="D300" s="3" t="str">
        <f>YEAR(Datos_Consumo[[#This Row],[FECHA]])&amp;"-"&amp;MONTH(Datos_Consumo[[#This Row],[FECHA]])</f>
        <v>2017-12</v>
      </c>
    </row>
    <row r="301" spans="1:4" x14ac:dyDescent="0.25">
      <c r="A301" t="s">
        <v>1554</v>
      </c>
      <c r="B301">
        <v>19</v>
      </c>
      <c r="C301" s="54">
        <v>43070</v>
      </c>
      <c r="D301" s="3" t="str">
        <f>YEAR(Datos_Consumo[[#This Row],[FECHA]])&amp;"-"&amp;MONTH(Datos_Consumo[[#This Row],[FECHA]])</f>
        <v>2017-12</v>
      </c>
    </row>
    <row r="302" spans="1:4" x14ac:dyDescent="0.25">
      <c r="A302" t="s">
        <v>1554</v>
      </c>
      <c r="B302">
        <v>2</v>
      </c>
      <c r="C302" s="54">
        <v>43101</v>
      </c>
      <c r="D302" s="3" t="str">
        <f>YEAR(Datos_Consumo[[#This Row],[FECHA]])&amp;"-"&amp;MONTH(Datos_Consumo[[#This Row],[FECHA]])</f>
        <v>2018-1</v>
      </c>
    </row>
    <row r="303" spans="1:4" x14ac:dyDescent="0.25">
      <c r="A303" t="s">
        <v>1554</v>
      </c>
      <c r="B303">
        <v>4</v>
      </c>
      <c r="C303" s="54">
        <v>43132</v>
      </c>
      <c r="D303" s="3" t="str">
        <f>YEAR(Datos_Consumo[[#This Row],[FECHA]])&amp;"-"&amp;MONTH(Datos_Consumo[[#This Row],[FECHA]])</f>
        <v>2018-2</v>
      </c>
    </row>
    <row r="304" spans="1:4" x14ac:dyDescent="0.25">
      <c r="A304" t="s">
        <v>1554</v>
      </c>
      <c r="B304">
        <v>29</v>
      </c>
      <c r="C304" s="54">
        <v>43160</v>
      </c>
      <c r="D304" s="3" t="str">
        <f>YEAR(Datos_Consumo[[#This Row],[FECHA]])&amp;"-"&amp;MONTH(Datos_Consumo[[#This Row],[FECHA]])</f>
        <v>2018-3</v>
      </c>
    </row>
    <row r="305" spans="1:4" x14ac:dyDescent="0.25">
      <c r="A305" t="s">
        <v>1554</v>
      </c>
      <c r="B305">
        <v>25</v>
      </c>
      <c r="C305" s="54">
        <v>43191</v>
      </c>
      <c r="D305" s="3" t="str">
        <f>YEAR(Datos_Consumo[[#This Row],[FECHA]])&amp;"-"&amp;MONTH(Datos_Consumo[[#This Row],[FECHA]])</f>
        <v>2018-4</v>
      </c>
    </row>
    <row r="306" spans="1:4" x14ac:dyDescent="0.25">
      <c r="A306" t="s">
        <v>1554</v>
      </c>
      <c r="B306">
        <v>2</v>
      </c>
      <c r="C306" s="54">
        <v>43221</v>
      </c>
      <c r="D306" s="3" t="str">
        <f>YEAR(Datos_Consumo[[#This Row],[FECHA]])&amp;"-"&amp;MONTH(Datos_Consumo[[#This Row],[FECHA]])</f>
        <v>2018-5</v>
      </c>
    </row>
    <row r="307" spans="1:4" x14ac:dyDescent="0.25">
      <c r="A307" t="s">
        <v>1555</v>
      </c>
      <c r="B307">
        <v>11</v>
      </c>
      <c r="C307" s="54">
        <v>43070</v>
      </c>
      <c r="D307" s="3" t="str">
        <f>YEAR(Datos_Consumo[[#This Row],[FECHA]])&amp;"-"&amp;MONTH(Datos_Consumo[[#This Row],[FECHA]])</f>
        <v>2017-12</v>
      </c>
    </row>
    <row r="308" spans="1:4" x14ac:dyDescent="0.25">
      <c r="A308" t="s">
        <v>1555</v>
      </c>
      <c r="B308">
        <v>16</v>
      </c>
      <c r="C308" s="54">
        <v>43101</v>
      </c>
      <c r="D308" s="3" t="str">
        <f>YEAR(Datos_Consumo[[#This Row],[FECHA]])&amp;"-"&amp;MONTH(Datos_Consumo[[#This Row],[FECHA]])</f>
        <v>2018-1</v>
      </c>
    </row>
    <row r="309" spans="1:4" x14ac:dyDescent="0.25">
      <c r="A309" t="s">
        <v>1555</v>
      </c>
      <c r="B309">
        <v>3</v>
      </c>
      <c r="C309" s="54">
        <v>43132</v>
      </c>
      <c r="D309" s="3" t="str">
        <f>YEAR(Datos_Consumo[[#This Row],[FECHA]])&amp;"-"&amp;MONTH(Datos_Consumo[[#This Row],[FECHA]])</f>
        <v>2018-2</v>
      </c>
    </row>
    <row r="310" spans="1:4" x14ac:dyDescent="0.25">
      <c r="A310" t="s">
        <v>1555</v>
      </c>
      <c r="B310">
        <v>8</v>
      </c>
      <c r="C310" s="54">
        <v>43160</v>
      </c>
      <c r="D310" s="3" t="str">
        <f>YEAR(Datos_Consumo[[#This Row],[FECHA]])&amp;"-"&amp;MONTH(Datos_Consumo[[#This Row],[FECHA]])</f>
        <v>2018-3</v>
      </c>
    </row>
    <row r="311" spans="1:4" x14ac:dyDescent="0.25">
      <c r="A311" t="s">
        <v>1555</v>
      </c>
      <c r="B311">
        <v>22</v>
      </c>
      <c r="C311" s="54">
        <v>43191</v>
      </c>
      <c r="D311" s="3" t="str">
        <f>YEAR(Datos_Consumo[[#This Row],[FECHA]])&amp;"-"&amp;MONTH(Datos_Consumo[[#This Row],[FECHA]])</f>
        <v>2018-4</v>
      </c>
    </row>
    <row r="312" spans="1:4" x14ac:dyDescent="0.25">
      <c r="A312" t="s">
        <v>1555</v>
      </c>
      <c r="B312">
        <v>13</v>
      </c>
      <c r="C312" s="54">
        <v>43221</v>
      </c>
      <c r="D312" s="3" t="str">
        <f>YEAR(Datos_Consumo[[#This Row],[FECHA]])&amp;"-"&amp;MONTH(Datos_Consumo[[#This Row],[FECHA]])</f>
        <v>2018-5</v>
      </c>
    </row>
    <row r="313" spans="1:4" x14ac:dyDescent="0.25">
      <c r="A313" t="s">
        <v>1556</v>
      </c>
      <c r="B313">
        <v>3</v>
      </c>
      <c r="C313" s="54">
        <v>43070</v>
      </c>
      <c r="D313" s="3" t="str">
        <f>YEAR(Datos_Consumo[[#This Row],[FECHA]])&amp;"-"&amp;MONTH(Datos_Consumo[[#This Row],[FECHA]])</f>
        <v>2017-12</v>
      </c>
    </row>
    <row r="314" spans="1:4" x14ac:dyDescent="0.25">
      <c r="A314" t="s">
        <v>1556</v>
      </c>
      <c r="B314">
        <v>5</v>
      </c>
      <c r="C314" s="54">
        <v>43101</v>
      </c>
      <c r="D314" s="3" t="str">
        <f>YEAR(Datos_Consumo[[#This Row],[FECHA]])&amp;"-"&amp;MONTH(Datos_Consumo[[#This Row],[FECHA]])</f>
        <v>2018-1</v>
      </c>
    </row>
    <row r="315" spans="1:4" x14ac:dyDescent="0.25">
      <c r="A315" t="s">
        <v>1556</v>
      </c>
      <c r="B315">
        <v>4</v>
      </c>
      <c r="C315" s="54">
        <v>43132</v>
      </c>
      <c r="D315" s="3" t="str">
        <f>YEAR(Datos_Consumo[[#This Row],[FECHA]])&amp;"-"&amp;MONTH(Datos_Consumo[[#This Row],[FECHA]])</f>
        <v>2018-2</v>
      </c>
    </row>
    <row r="316" spans="1:4" x14ac:dyDescent="0.25">
      <c r="A316" t="s">
        <v>1556</v>
      </c>
      <c r="B316">
        <v>6</v>
      </c>
      <c r="C316" s="54">
        <v>43160</v>
      </c>
      <c r="D316" s="3" t="str">
        <f>YEAR(Datos_Consumo[[#This Row],[FECHA]])&amp;"-"&amp;MONTH(Datos_Consumo[[#This Row],[FECHA]])</f>
        <v>2018-3</v>
      </c>
    </row>
    <row r="317" spans="1:4" x14ac:dyDescent="0.25">
      <c r="A317" t="s">
        <v>1556</v>
      </c>
      <c r="B317">
        <v>6</v>
      </c>
      <c r="C317" s="54">
        <v>43191</v>
      </c>
      <c r="D317" s="3" t="str">
        <f>YEAR(Datos_Consumo[[#This Row],[FECHA]])&amp;"-"&amp;MONTH(Datos_Consumo[[#This Row],[FECHA]])</f>
        <v>2018-4</v>
      </c>
    </row>
    <row r="318" spans="1:4" x14ac:dyDescent="0.25">
      <c r="A318" t="s">
        <v>1556</v>
      </c>
      <c r="B318">
        <v>2</v>
      </c>
      <c r="C318" s="54">
        <v>43221</v>
      </c>
      <c r="D318" s="3" t="str">
        <f>YEAR(Datos_Consumo[[#This Row],[FECHA]])&amp;"-"&amp;MONTH(Datos_Consumo[[#This Row],[FECHA]])</f>
        <v>2018-5</v>
      </c>
    </row>
    <row r="319" spans="1:4" x14ac:dyDescent="0.25">
      <c r="A319" t="s">
        <v>4036</v>
      </c>
      <c r="B319">
        <v>1</v>
      </c>
      <c r="C319" s="54">
        <v>43221</v>
      </c>
      <c r="D319" s="3" t="str">
        <f>YEAR(Datos_Consumo[[#This Row],[FECHA]])&amp;"-"&amp;MONTH(Datos_Consumo[[#This Row],[FECHA]])</f>
        <v>2018-5</v>
      </c>
    </row>
    <row r="320" spans="1:4" x14ac:dyDescent="0.25">
      <c r="A320" t="s">
        <v>1557</v>
      </c>
      <c r="B320">
        <v>2</v>
      </c>
      <c r="C320" s="54">
        <v>43191</v>
      </c>
      <c r="D320" s="3" t="str">
        <f>YEAR(Datos_Consumo[[#This Row],[FECHA]])&amp;"-"&amp;MONTH(Datos_Consumo[[#This Row],[FECHA]])</f>
        <v>2018-4</v>
      </c>
    </row>
    <row r="321" spans="1:4" x14ac:dyDescent="0.25">
      <c r="A321" t="s">
        <v>1558</v>
      </c>
      <c r="B321">
        <v>6</v>
      </c>
      <c r="C321" s="54">
        <v>43070</v>
      </c>
      <c r="D321" s="3" t="str">
        <f>YEAR(Datos_Consumo[[#This Row],[FECHA]])&amp;"-"&amp;MONTH(Datos_Consumo[[#This Row],[FECHA]])</f>
        <v>2017-12</v>
      </c>
    </row>
    <row r="322" spans="1:4" x14ac:dyDescent="0.25">
      <c r="A322" t="s">
        <v>1558</v>
      </c>
      <c r="B322">
        <v>5</v>
      </c>
      <c r="C322" s="54">
        <v>43160</v>
      </c>
      <c r="D322" s="3" t="str">
        <f>YEAR(Datos_Consumo[[#This Row],[FECHA]])&amp;"-"&amp;MONTH(Datos_Consumo[[#This Row],[FECHA]])</f>
        <v>2018-3</v>
      </c>
    </row>
    <row r="323" spans="1:4" x14ac:dyDescent="0.25">
      <c r="A323" t="s">
        <v>1559</v>
      </c>
      <c r="B323">
        <v>1</v>
      </c>
      <c r="C323" s="54">
        <v>43160</v>
      </c>
      <c r="D323" s="3" t="str">
        <f>YEAR(Datos_Consumo[[#This Row],[FECHA]])&amp;"-"&amp;MONTH(Datos_Consumo[[#This Row],[FECHA]])</f>
        <v>2018-3</v>
      </c>
    </row>
    <row r="324" spans="1:4" x14ac:dyDescent="0.25">
      <c r="A324" t="s">
        <v>1560</v>
      </c>
      <c r="B324">
        <v>2</v>
      </c>
      <c r="C324" s="54">
        <v>43132</v>
      </c>
      <c r="D324" s="3" t="str">
        <f>YEAR(Datos_Consumo[[#This Row],[FECHA]])&amp;"-"&amp;MONTH(Datos_Consumo[[#This Row],[FECHA]])</f>
        <v>2018-2</v>
      </c>
    </row>
    <row r="325" spans="1:4" x14ac:dyDescent="0.25">
      <c r="A325" t="s">
        <v>1561</v>
      </c>
      <c r="B325">
        <v>4</v>
      </c>
      <c r="C325" s="54">
        <v>43132</v>
      </c>
      <c r="D325" s="3" t="str">
        <f>YEAR(Datos_Consumo[[#This Row],[FECHA]])&amp;"-"&amp;MONTH(Datos_Consumo[[#This Row],[FECHA]])</f>
        <v>2018-2</v>
      </c>
    </row>
    <row r="326" spans="1:4" x14ac:dyDescent="0.25">
      <c r="A326" t="s">
        <v>1562</v>
      </c>
      <c r="B326">
        <v>1</v>
      </c>
      <c r="C326" s="54">
        <v>43101</v>
      </c>
      <c r="D326" s="3" t="str">
        <f>YEAR(Datos_Consumo[[#This Row],[FECHA]])&amp;"-"&amp;MONTH(Datos_Consumo[[#This Row],[FECHA]])</f>
        <v>2018-1</v>
      </c>
    </row>
    <row r="327" spans="1:4" x14ac:dyDescent="0.25">
      <c r="A327" t="s">
        <v>1563</v>
      </c>
      <c r="B327">
        <v>2</v>
      </c>
      <c r="C327" s="54">
        <v>43160</v>
      </c>
      <c r="D327" s="3" t="str">
        <f>YEAR(Datos_Consumo[[#This Row],[FECHA]])&amp;"-"&amp;MONTH(Datos_Consumo[[#This Row],[FECHA]])</f>
        <v>2018-3</v>
      </c>
    </row>
    <row r="328" spans="1:4" x14ac:dyDescent="0.25">
      <c r="A328" t="s">
        <v>1564</v>
      </c>
      <c r="B328">
        <v>1</v>
      </c>
      <c r="C328" s="54">
        <v>43160</v>
      </c>
      <c r="D328" s="3" t="str">
        <f>YEAR(Datos_Consumo[[#This Row],[FECHA]])&amp;"-"&amp;MONTH(Datos_Consumo[[#This Row],[FECHA]])</f>
        <v>2018-3</v>
      </c>
    </row>
    <row r="329" spans="1:4" x14ac:dyDescent="0.25">
      <c r="A329" t="s">
        <v>1565</v>
      </c>
      <c r="B329">
        <v>4</v>
      </c>
      <c r="C329" s="54">
        <v>43101</v>
      </c>
      <c r="D329" s="3" t="str">
        <f>YEAR(Datos_Consumo[[#This Row],[FECHA]])&amp;"-"&amp;MONTH(Datos_Consumo[[#This Row],[FECHA]])</f>
        <v>2018-1</v>
      </c>
    </row>
    <row r="330" spans="1:4" x14ac:dyDescent="0.25">
      <c r="A330" t="s">
        <v>1565</v>
      </c>
      <c r="B330">
        <v>5</v>
      </c>
      <c r="C330" s="54">
        <v>43160</v>
      </c>
      <c r="D330" s="3" t="str">
        <f>YEAR(Datos_Consumo[[#This Row],[FECHA]])&amp;"-"&amp;MONTH(Datos_Consumo[[#This Row],[FECHA]])</f>
        <v>2018-3</v>
      </c>
    </row>
    <row r="331" spans="1:4" x14ac:dyDescent="0.25">
      <c r="A331" t="s">
        <v>1566</v>
      </c>
      <c r="B331">
        <v>2</v>
      </c>
      <c r="C331" s="54">
        <v>43160</v>
      </c>
      <c r="D331" s="3" t="str">
        <f>YEAR(Datos_Consumo[[#This Row],[FECHA]])&amp;"-"&amp;MONTH(Datos_Consumo[[#This Row],[FECHA]])</f>
        <v>2018-3</v>
      </c>
    </row>
    <row r="332" spans="1:4" x14ac:dyDescent="0.25">
      <c r="A332" t="s">
        <v>1567</v>
      </c>
      <c r="B332">
        <v>2</v>
      </c>
      <c r="C332" s="54">
        <v>43070</v>
      </c>
      <c r="D332" s="3" t="str">
        <f>YEAR(Datos_Consumo[[#This Row],[FECHA]])&amp;"-"&amp;MONTH(Datos_Consumo[[#This Row],[FECHA]])</f>
        <v>2017-12</v>
      </c>
    </row>
    <row r="333" spans="1:4" x14ac:dyDescent="0.25">
      <c r="A333" t="s">
        <v>1567</v>
      </c>
      <c r="B333">
        <v>13</v>
      </c>
      <c r="C333" s="54">
        <v>43101</v>
      </c>
      <c r="D333" s="3" t="str">
        <f>YEAR(Datos_Consumo[[#This Row],[FECHA]])&amp;"-"&amp;MONTH(Datos_Consumo[[#This Row],[FECHA]])</f>
        <v>2018-1</v>
      </c>
    </row>
    <row r="334" spans="1:4" x14ac:dyDescent="0.25">
      <c r="A334" t="s">
        <v>1567</v>
      </c>
      <c r="B334">
        <v>4</v>
      </c>
      <c r="C334" s="54">
        <v>43132</v>
      </c>
      <c r="D334" s="3" t="str">
        <f>YEAR(Datos_Consumo[[#This Row],[FECHA]])&amp;"-"&amp;MONTH(Datos_Consumo[[#This Row],[FECHA]])</f>
        <v>2018-2</v>
      </c>
    </row>
    <row r="335" spans="1:4" x14ac:dyDescent="0.25">
      <c r="A335" t="s">
        <v>1567</v>
      </c>
      <c r="B335">
        <v>1</v>
      </c>
      <c r="C335" s="54">
        <v>43160</v>
      </c>
      <c r="D335" s="3" t="str">
        <f>YEAR(Datos_Consumo[[#This Row],[FECHA]])&amp;"-"&amp;MONTH(Datos_Consumo[[#This Row],[FECHA]])</f>
        <v>2018-3</v>
      </c>
    </row>
    <row r="336" spans="1:4" x14ac:dyDescent="0.25">
      <c r="A336" t="s">
        <v>1567</v>
      </c>
      <c r="B336">
        <v>20</v>
      </c>
      <c r="C336" s="54">
        <v>43191</v>
      </c>
      <c r="D336" s="3" t="str">
        <f>YEAR(Datos_Consumo[[#This Row],[FECHA]])&amp;"-"&amp;MONTH(Datos_Consumo[[#This Row],[FECHA]])</f>
        <v>2018-4</v>
      </c>
    </row>
    <row r="337" spans="1:4" x14ac:dyDescent="0.25">
      <c r="A337" t="s">
        <v>1567</v>
      </c>
      <c r="B337">
        <v>4</v>
      </c>
      <c r="C337" s="54">
        <v>43221</v>
      </c>
      <c r="D337" s="3" t="str">
        <f>YEAR(Datos_Consumo[[#This Row],[FECHA]])&amp;"-"&amp;MONTH(Datos_Consumo[[#This Row],[FECHA]])</f>
        <v>2018-5</v>
      </c>
    </row>
    <row r="338" spans="1:4" x14ac:dyDescent="0.25">
      <c r="A338" t="s">
        <v>1568</v>
      </c>
      <c r="B338">
        <v>2</v>
      </c>
      <c r="C338" s="54">
        <v>43070</v>
      </c>
      <c r="D338" s="3" t="str">
        <f>YEAR(Datos_Consumo[[#This Row],[FECHA]])&amp;"-"&amp;MONTH(Datos_Consumo[[#This Row],[FECHA]])</f>
        <v>2017-12</v>
      </c>
    </row>
    <row r="339" spans="1:4" x14ac:dyDescent="0.25">
      <c r="A339" t="s">
        <v>1568</v>
      </c>
      <c r="B339">
        <v>1</v>
      </c>
      <c r="C339" s="54">
        <v>43101</v>
      </c>
      <c r="D339" s="3" t="str">
        <f>YEAR(Datos_Consumo[[#This Row],[FECHA]])&amp;"-"&amp;MONTH(Datos_Consumo[[#This Row],[FECHA]])</f>
        <v>2018-1</v>
      </c>
    </row>
    <row r="340" spans="1:4" x14ac:dyDescent="0.25">
      <c r="A340" t="s">
        <v>1568</v>
      </c>
      <c r="B340">
        <v>2</v>
      </c>
      <c r="C340" s="54">
        <v>43132</v>
      </c>
      <c r="D340" s="3" t="str">
        <f>YEAR(Datos_Consumo[[#This Row],[FECHA]])&amp;"-"&amp;MONTH(Datos_Consumo[[#This Row],[FECHA]])</f>
        <v>2018-2</v>
      </c>
    </row>
    <row r="341" spans="1:4" x14ac:dyDescent="0.25">
      <c r="A341" t="s">
        <v>1568</v>
      </c>
      <c r="B341">
        <v>3</v>
      </c>
      <c r="C341" s="54">
        <v>43160</v>
      </c>
      <c r="D341" s="3" t="str">
        <f>YEAR(Datos_Consumo[[#This Row],[FECHA]])&amp;"-"&amp;MONTH(Datos_Consumo[[#This Row],[FECHA]])</f>
        <v>2018-3</v>
      </c>
    </row>
    <row r="342" spans="1:4" x14ac:dyDescent="0.25">
      <c r="A342" t="s">
        <v>1569</v>
      </c>
      <c r="B342">
        <v>1</v>
      </c>
      <c r="C342" s="54">
        <v>43070</v>
      </c>
      <c r="D342" s="3" t="str">
        <f>YEAR(Datos_Consumo[[#This Row],[FECHA]])&amp;"-"&amp;MONTH(Datos_Consumo[[#This Row],[FECHA]])</f>
        <v>2017-12</v>
      </c>
    </row>
    <row r="343" spans="1:4" x14ac:dyDescent="0.25">
      <c r="A343" t="s">
        <v>1569</v>
      </c>
      <c r="B343">
        <v>2</v>
      </c>
      <c r="C343" s="54">
        <v>43132</v>
      </c>
      <c r="D343" s="3" t="str">
        <f>YEAR(Datos_Consumo[[#This Row],[FECHA]])&amp;"-"&amp;MONTH(Datos_Consumo[[#This Row],[FECHA]])</f>
        <v>2018-2</v>
      </c>
    </row>
    <row r="344" spans="1:4" x14ac:dyDescent="0.25">
      <c r="A344" t="s">
        <v>1569</v>
      </c>
      <c r="B344">
        <v>1</v>
      </c>
      <c r="C344" s="54">
        <v>43160</v>
      </c>
      <c r="D344" s="3" t="str">
        <f>YEAR(Datos_Consumo[[#This Row],[FECHA]])&amp;"-"&amp;MONTH(Datos_Consumo[[#This Row],[FECHA]])</f>
        <v>2018-3</v>
      </c>
    </row>
    <row r="345" spans="1:4" x14ac:dyDescent="0.25">
      <c r="A345" t="s">
        <v>1570</v>
      </c>
      <c r="B345">
        <v>5</v>
      </c>
      <c r="C345" s="54">
        <v>43101</v>
      </c>
      <c r="D345" s="3" t="str">
        <f>YEAR(Datos_Consumo[[#This Row],[FECHA]])&amp;"-"&amp;MONTH(Datos_Consumo[[#This Row],[FECHA]])</f>
        <v>2018-1</v>
      </c>
    </row>
    <row r="346" spans="1:4" x14ac:dyDescent="0.25">
      <c r="A346" t="s">
        <v>1570</v>
      </c>
      <c r="B346">
        <v>12</v>
      </c>
      <c r="C346" s="54">
        <v>43132</v>
      </c>
      <c r="D346" s="3" t="str">
        <f>YEAR(Datos_Consumo[[#This Row],[FECHA]])&amp;"-"&amp;MONTH(Datos_Consumo[[#This Row],[FECHA]])</f>
        <v>2018-2</v>
      </c>
    </row>
    <row r="347" spans="1:4" x14ac:dyDescent="0.25">
      <c r="A347" t="s">
        <v>1570</v>
      </c>
      <c r="B347">
        <v>2</v>
      </c>
      <c r="C347" s="54">
        <v>43160</v>
      </c>
      <c r="D347" s="3" t="str">
        <f>YEAR(Datos_Consumo[[#This Row],[FECHA]])&amp;"-"&amp;MONTH(Datos_Consumo[[#This Row],[FECHA]])</f>
        <v>2018-3</v>
      </c>
    </row>
    <row r="348" spans="1:4" x14ac:dyDescent="0.25">
      <c r="A348" t="s">
        <v>1570</v>
      </c>
      <c r="B348">
        <v>2</v>
      </c>
      <c r="C348" s="54">
        <v>43191</v>
      </c>
      <c r="D348" s="3" t="str">
        <f>YEAR(Datos_Consumo[[#This Row],[FECHA]])&amp;"-"&amp;MONTH(Datos_Consumo[[#This Row],[FECHA]])</f>
        <v>2018-4</v>
      </c>
    </row>
    <row r="349" spans="1:4" x14ac:dyDescent="0.25">
      <c r="A349" t="s">
        <v>1570</v>
      </c>
      <c r="B349">
        <v>6</v>
      </c>
      <c r="C349" s="54">
        <v>43221</v>
      </c>
      <c r="D349" s="3" t="str">
        <f>YEAR(Datos_Consumo[[#This Row],[FECHA]])&amp;"-"&amp;MONTH(Datos_Consumo[[#This Row],[FECHA]])</f>
        <v>2018-5</v>
      </c>
    </row>
    <row r="350" spans="1:4" x14ac:dyDescent="0.25">
      <c r="A350" t="s">
        <v>1571</v>
      </c>
      <c r="B350">
        <v>3</v>
      </c>
      <c r="C350" s="54">
        <v>43070</v>
      </c>
      <c r="D350" s="3" t="str">
        <f>YEAR(Datos_Consumo[[#This Row],[FECHA]])&amp;"-"&amp;MONTH(Datos_Consumo[[#This Row],[FECHA]])</f>
        <v>2017-12</v>
      </c>
    </row>
    <row r="351" spans="1:4" x14ac:dyDescent="0.25">
      <c r="A351" t="s">
        <v>1571</v>
      </c>
      <c r="B351">
        <v>3</v>
      </c>
      <c r="C351" s="54">
        <v>43101</v>
      </c>
      <c r="D351" s="3" t="str">
        <f>YEAR(Datos_Consumo[[#This Row],[FECHA]])&amp;"-"&amp;MONTH(Datos_Consumo[[#This Row],[FECHA]])</f>
        <v>2018-1</v>
      </c>
    </row>
    <row r="352" spans="1:4" x14ac:dyDescent="0.25">
      <c r="A352" t="s">
        <v>1571</v>
      </c>
      <c r="B352">
        <v>2</v>
      </c>
      <c r="C352" s="54">
        <v>43132</v>
      </c>
      <c r="D352" s="3" t="str">
        <f>YEAR(Datos_Consumo[[#This Row],[FECHA]])&amp;"-"&amp;MONTH(Datos_Consumo[[#This Row],[FECHA]])</f>
        <v>2018-2</v>
      </c>
    </row>
    <row r="353" spans="1:4" x14ac:dyDescent="0.25">
      <c r="A353" t="s">
        <v>1571</v>
      </c>
      <c r="B353">
        <v>6</v>
      </c>
      <c r="C353" s="54">
        <v>43160</v>
      </c>
      <c r="D353" s="3" t="str">
        <f>YEAR(Datos_Consumo[[#This Row],[FECHA]])&amp;"-"&amp;MONTH(Datos_Consumo[[#This Row],[FECHA]])</f>
        <v>2018-3</v>
      </c>
    </row>
    <row r="354" spans="1:4" x14ac:dyDescent="0.25">
      <c r="A354" t="s">
        <v>1571</v>
      </c>
      <c r="B354">
        <v>2</v>
      </c>
      <c r="C354" s="54">
        <v>43191</v>
      </c>
      <c r="D354" s="3" t="str">
        <f>YEAR(Datos_Consumo[[#This Row],[FECHA]])&amp;"-"&amp;MONTH(Datos_Consumo[[#This Row],[FECHA]])</f>
        <v>2018-4</v>
      </c>
    </row>
    <row r="355" spans="1:4" x14ac:dyDescent="0.25">
      <c r="A355" t="s">
        <v>1572</v>
      </c>
      <c r="B355">
        <v>2</v>
      </c>
      <c r="C355" s="54">
        <v>43070</v>
      </c>
      <c r="D355" s="3" t="str">
        <f>YEAR(Datos_Consumo[[#This Row],[FECHA]])&amp;"-"&amp;MONTH(Datos_Consumo[[#This Row],[FECHA]])</f>
        <v>2017-12</v>
      </c>
    </row>
    <row r="356" spans="1:4" x14ac:dyDescent="0.25">
      <c r="A356" t="s">
        <v>1572</v>
      </c>
      <c r="B356">
        <v>20</v>
      </c>
      <c r="C356" s="54">
        <v>43101</v>
      </c>
      <c r="D356" s="3" t="str">
        <f>YEAR(Datos_Consumo[[#This Row],[FECHA]])&amp;"-"&amp;MONTH(Datos_Consumo[[#This Row],[FECHA]])</f>
        <v>2018-1</v>
      </c>
    </row>
    <row r="357" spans="1:4" x14ac:dyDescent="0.25">
      <c r="A357" t="s">
        <v>1572</v>
      </c>
      <c r="B357">
        <v>5</v>
      </c>
      <c r="C357" s="54">
        <v>43132</v>
      </c>
      <c r="D357" s="3" t="str">
        <f>YEAR(Datos_Consumo[[#This Row],[FECHA]])&amp;"-"&amp;MONTH(Datos_Consumo[[#This Row],[FECHA]])</f>
        <v>2018-2</v>
      </c>
    </row>
    <row r="358" spans="1:4" x14ac:dyDescent="0.25">
      <c r="A358" t="s">
        <v>1572</v>
      </c>
      <c r="B358">
        <v>3</v>
      </c>
      <c r="C358" s="54">
        <v>43160</v>
      </c>
      <c r="D358" s="3" t="str">
        <f>YEAR(Datos_Consumo[[#This Row],[FECHA]])&amp;"-"&amp;MONTH(Datos_Consumo[[#This Row],[FECHA]])</f>
        <v>2018-3</v>
      </c>
    </row>
    <row r="359" spans="1:4" x14ac:dyDescent="0.25">
      <c r="A359" t="s">
        <v>1572</v>
      </c>
      <c r="B359">
        <v>11</v>
      </c>
      <c r="C359" s="54">
        <v>43191</v>
      </c>
      <c r="D359" s="3" t="str">
        <f>YEAR(Datos_Consumo[[#This Row],[FECHA]])&amp;"-"&amp;MONTH(Datos_Consumo[[#This Row],[FECHA]])</f>
        <v>2018-4</v>
      </c>
    </row>
    <row r="360" spans="1:4" x14ac:dyDescent="0.25">
      <c r="A360" t="s">
        <v>1573</v>
      </c>
      <c r="B360">
        <v>7</v>
      </c>
      <c r="C360" s="54">
        <v>43070</v>
      </c>
      <c r="D360" s="3" t="str">
        <f>YEAR(Datos_Consumo[[#This Row],[FECHA]])&amp;"-"&amp;MONTH(Datos_Consumo[[#This Row],[FECHA]])</f>
        <v>2017-12</v>
      </c>
    </row>
    <row r="361" spans="1:4" x14ac:dyDescent="0.25">
      <c r="A361" t="s">
        <v>1573</v>
      </c>
      <c r="B361">
        <v>10</v>
      </c>
      <c r="C361" s="54">
        <v>43101</v>
      </c>
      <c r="D361" s="3" t="str">
        <f>YEAR(Datos_Consumo[[#This Row],[FECHA]])&amp;"-"&amp;MONTH(Datos_Consumo[[#This Row],[FECHA]])</f>
        <v>2018-1</v>
      </c>
    </row>
    <row r="362" spans="1:4" x14ac:dyDescent="0.25">
      <c r="A362" t="s">
        <v>1573</v>
      </c>
      <c r="B362">
        <v>2</v>
      </c>
      <c r="C362" s="54">
        <v>43132</v>
      </c>
      <c r="D362" s="3" t="str">
        <f>YEAR(Datos_Consumo[[#This Row],[FECHA]])&amp;"-"&amp;MONTH(Datos_Consumo[[#This Row],[FECHA]])</f>
        <v>2018-2</v>
      </c>
    </row>
    <row r="363" spans="1:4" x14ac:dyDescent="0.25">
      <c r="A363" t="s">
        <v>1573</v>
      </c>
      <c r="B363">
        <v>9</v>
      </c>
      <c r="C363" s="54">
        <v>43160</v>
      </c>
      <c r="D363" s="3" t="str">
        <f>YEAR(Datos_Consumo[[#This Row],[FECHA]])&amp;"-"&amp;MONTH(Datos_Consumo[[#This Row],[FECHA]])</f>
        <v>2018-3</v>
      </c>
    </row>
    <row r="364" spans="1:4" x14ac:dyDescent="0.25">
      <c r="A364" t="s">
        <v>1573</v>
      </c>
      <c r="B364">
        <v>21</v>
      </c>
      <c r="C364" s="54">
        <v>43191</v>
      </c>
      <c r="D364" s="3" t="str">
        <f>YEAR(Datos_Consumo[[#This Row],[FECHA]])&amp;"-"&amp;MONTH(Datos_Consumo[[#This Row],[FECHA]])</f>
        <v>2018-4</v>
      </c>
    </row>
    <row r="365" spans="1:4" x14ac:dyDescent="0.25">
      <c r="A365" t="s">
        <v>1573</v>
      </c>
      <c r="B365">
        <v>4</v>
      </c>
      <c r="C365" s="54">
        <v>43221</v>
      </c>
      <c r="D365" s="3" t="str">
        <f>YEAR(Datos_Consumo[[#This Row],[FECHA]])&amp;"-"&amp;MONTH(Datos_Consumo[[#This Row],[FECHA]])</f>
        <v>2018-5</v>
      </c>
    </row>
    <row r="366" spans="1:4" x14ac:dyDescent="0.25">
      <c r="A366" t="s">
        <v>1574</v>
      </c>
      <c r="B366">
        <v>2</v>
      </c>
      <c r="C366" s="54">
        <v>43101</v>
      </c>
      <c r="D366" s="3" t="str">
        <f>YEAR(Datos_Consumo[[#This Row],[FECHA]])&amp;"-"&amp;MONTH(Datos_Consumo[[#This Row],[FECHA]])</f>
        <v>2018-1</v>
      </c>
    </row>
    <row r="367" spans="1:4" x14ac:dyDescent="0.25">
      <c r="A367" t="s">
        <v>1575</v>
      </c>
      <c r="B367">
        <v>33</v>
      </c>
      <c r="C367" s="54">
        <v>43070</v>
      </c>
      <c r="D367" s="3" t="str">
        <f>YEAR(Datos_Consumo[[#This Row],[FECHA]])&amp;"-"&amp;MONTH(Datos_Consumo[[#This Row],[FECHA]])</f>
        <v>2017-12</v>
      </c>
    </row>
    <row r="368" spans="1:4" x14ac:dyDescent="0.25">
      <c r="A368" t="s">
        <v>1575</v>
      </c>
      <c r="B368">
        <v>45</v>
      </c>
      <c r="C368" s="54">
        <v>43160</v>
      </c>
      <c r="D368" s="3" t="str">
        <f>YEAR(Datos_Consumo[[#This Row],[FECHA]])&amp;"-"&amp;MONTH(Datos_Consumo[[#This Row],[FECHA]])</f>
        <v>2018-3</v>
      </c>
    </row>
    <row r="369" spans="1:4" x14ac:dyDescent="0.25">
      <c r="A369" t="s">
        <v>1575</v>
      </c>
      <c r="B369">
        <v>75</v>
      </c>
      <c r="C369" s="54">
        <v>43191</v>
      </c>
      <c r="D369" s="3" t="str">
        <f>YEAR(Datos_Consumo[[#This Row],[FECHA]])&amp;"-"&amp;MONTH(Datos_Consumo[[#This Row],[FECHA]])</f>
        <v>2018-4</v>
      </c>
    </row>
    <row r="370" spans="1:4" x14ac:dyDescent="0.25">
      <c r="A370" t="s">
        <v>1576</v>
      </c>
      <c r="B370">
        <v>2</v>
      </c>
      <c r="C370" s="54">
        <v>43070</v>
      </c>
      <c r="D370" s="3" t="str">
        <f>YEAR(Datos_Consumo[[#This Row],[FECHA]])&amp;"-"&amp;MONTH(Datos_Consumo[[#This Row],[FECHA]])</f>
        <v>2017-12</v>
      </c>
    </row>
    <row r="371" spans="1:4" x14ac:dyDescent="0.25">
      <c r="A371" t="s">
        <v>1576</v>
      </c>
      <c r="B371">
        <v>4</v>
      </c>
      <c r="C371" s="54">
        <v>43101</v>
      </c>
      <c r="D371" s="3" t="str">
        <f>YEAR(Datos_Consumo[[#This Row],[FECHA]])&amp;"-"&amp;MONTH(Datos_Consumo[[#This Row],[FECHA]])</f>
        <v>2018-1</v>
      </c>
    </row>
    <row r="372" spans="1:4" x14ac:dyDescent="0.25">
      <c r="A372" t="s">
        <v>1576</v>
      </c>
      <c r="B372">
        <v>1</v>
      </c>
      <c r="C372" s="54">
        <v>43132</v>
      </c>
      <c r="D372" s="3" t="str">
        <f>YEAR(Datos_Consumo[[#This Row],[FECHA]])&amp;"-"&amp;MONTH(Datos_Consumo[[#This Row],[FECHA]])</f>
        <v>2018-2</v>
      </c>
    </row>
    <row r="373" spans="1:4" x14ac:dyDescent="0.25">
      <c r="A373" t="s">
        <v>1577</v>
      </c>
      <c r="B373">
        <v>2</v>
      </c>
      <c r="C373" s="54">
        <v>43070</v>
      </c>
      <c r="D373" s="3" t="str">
        <f>YEAR(Datos_Consumo[[#This Row],[FECHA]])&amp;"-"&amp;MONTH(Datos_Consumo[[#This Row],[FECHA]])</f>
        <v>2017-12</v>
      </c>
    </row>
    <row r="374" spans="1:4" x14ac:dyDescent="0.25">
      <c r="A374" t="s">
        <v>1577</v>
      </c>
      <c r="B374">
        <v>1</v>
      </c>
      <c r="C374" s="54">
        <v>43101</v>
      </c>
      <c r="D374" s="3" t="str">
        <f>YEAR(Datos_Consumo[[#This Row],[FECHA]])&amp;"-"&amp;MONTH(Datos_Consumo[[#This Row],[FECHA]])</f>
        <v>2018-1</v>
      </c>
    </row>
    <row r="375" spans="1:4" x14ac:dyDescent="0.25">
      <c r="A375" t="s">
        <v>1577</v>
      </c>
      <c r="B375">
        <v>1</v>
      </c>
      <c r="C375" s="54">
        <v>43132</v>
      </c>
      <c r="D375" s="3" t="str">
        <f>YEAR(Datos_Consumo[[#This Row],[FECHA]])&amp;"-"&amp;MONTH(Datos_Consumo[[#This Row],[FECHA]])</f>
        <v>2018-2</v>
      </c>
    </row>
    <row r="376" spans="1:4" x14ac:dyDescent="0.25">
      <c r="A376" t="s">
        <v>1578</v>
      </c>
      <c r="B376">
        <v>2</v>
      </c>
      <c r="C376" s="54">
        <v>43132</v>
      </c>
      <c r="D376" s="3" t="str">
        <f>YEAR(Datos_Consumo[[#This Row],[FECHA]])&amp;"-"&amp;MONTH(Datos_Consumo[[#This Row],[FECHA]])</f>
        <v>2018-2</v>
      </c>
    </row>
    <row r="377" spans="1:4" x14ac:dyDescent="0.25">
      <c r="A377" t="s">
        <v>1579</v>
      </c>
      <c r="B377">
        <v>2</v>
      </c>
      <c r="C377" s="54">
        <v>43132</v>
      </c>
      <c r="D377" s="3" t="str">
        <f>YEAR(Datos_Consumo[[#This Row],[FECHA]])&amp;"-"&amp;MONTH(Datos_Consumo[[#This Row],[FECHA]])</f>
        <v>2018-2</v>
      </c>
    </row>
    <row r="378" spans="1:4" x14ac:dyDescent="0.25">
      <c r="A378" t="s">
        <v>1579</v>
      </c>
      <c r="B378">
        <v>1</v>
      </c>
      <c r="C378" s="54">
        <v>43221</v>
      </c>
      <c r="D378" s="3" t="str">
        <f>YEAR(Datos_Consumo[[#This Row],[FECHA]])&amp;"-"&amp;MONTH(Datos_Consumo[[#This Row],[FECHA]])</f>
        <v>2018-5</v>
      </c>
    </row>
    <row r="379" spans="1:4" x14ac:dyDescent="0.25">
      <c r="A379" t="s">
        <v>1580</v>
      </c>
      <c r="B379">
        <v>1</v>
      </c>
      <c r="C379" s="54">
        <v>43070</v>
      </c>
      <c r="D379" s="3" t="str">
        <f>YEAR(Datos_Consumo[[#This Row],[FECHA]])&amp;"-"&amp;MONTH(Datos_Consumo[[#This Row],[FECHA]])</f>
        <v>2017-12</v>
      </c>
    </row>
    <row r="380" spans="1:4" x14ac:dyDescent="0.25">
      <c r="A380" t="s">
        <v>1580</v>
      </c>
      <c r="B380">
        <v>5</v>
      </c>
      <c r="C380" s="54">
        <v>43101</v>
      </c>
      <c r="D380" s="3" t="str">
        <f>YEAR(Datos_Consumo[[#This Row],[FECHA]])&amp;"-"&amp;MONTH(Datos_Consumo[[#This Row],[FECHA]])</f>
        <v>2018-1</v>
      </c>
    </row>
    <row r="381" spans="1:4" x14ac:dyDescent="0.25">
      <c r="A381" t="s">
        <v>1580</v>
      </c>
      <c r="B381">
        <v>4</v>
      </c>
      <c r="C381" s="54">
        <v>43132</v>
      </c>
      <c r="D381" s="3" t="str">
        <f>YEAR(Datos_Consumo[[#This Row],[FECHA]])&amp;"-"&amp;MONTH(Datos_Consumo[[#This Row],[FECHA]])</f>
        <v>2018-2</v>
      </c>
    </row>
    <row r="382" spans="1:4" x14ac:dyDescent="0.25">
      <c r="A382" t="s">
        <v>1580</v>
      </c>
      <c r="B382">
        <v>3</v>
      </c>
      <c r="C382" s="54">
        <v>43191</v>
      </c>
      <c r="D382" s="3" t="str">
        <f>YEAR(Datos_Consumo[[#This Row],[FECHA]])&amp;"-"&amp;MONTH(Datos_Consumo[[#This Row],[FECHA]])</f>
        <v>2018-4</v>
      </c>
    </row>
    <row r="383" spans="1:4" x14ac:dyDescent="0.25">
      <c r="A383" t="s">
        <v>1580</v>
      </c>
      <c r="B383">
        <v>6</v>
      </c>
      <c r="C383" s="54">
        <v>43221</v>
      </c>
      <c r="D383" s="3" t="str">
        <f>YEAR(Datos_Consumo[[#This Row],[FECHA]])&amp;"-"&amp;MONTH(Datos_Consumo[[#This Row],[FECHA]])</f>
        <v>2018-5</v>
      </c>
    </row>
    <row r="384" spans="1:4" x14ac:dyDescent="0.25">
      <c r="A384" t="s">
        <v>1581</v>
      </c>
      <c r="B384">
        <v>47</v>
      </c>
      <c r="C384" s="54">
        <v>43101</v>
      </c>
      <c r="D384" s="3" t="str">
        <f>YEAR(Datos_Consumo[[#This Row],[FECHA]])&amp;"-"&amp;MONTH(Datos_Consumo[[#This Row],[FECHA]])</f>
        <v>2018-1</v>
      </c>
    </row>
    <row r="385" spans="1:4" x14ac:dyDescent="0.25">
      <c r="A385" t="s">
        <v>1581</v>
      </c>
      <c r="B385">
        <v>2</v>
      </c>
      <c r="C385" s="54">
        <v>43132</v>
      </c>
      <c r="D385" s="3" t="str">
        <f>YEAR(Datos_Consumo[[#This Row],[FECHA]])&amp;"-"&amp;MONTH(Datos_Consumo[[#This Row],[FECHA]])</f>
        <v>2018-2</v>
      </c>
    </row>
    <row r="386" spans="1:4" x14ac:dyDescent="0.25">
      <c r="A386" t="s">
        <v>1581</v>
      </c>
      <c r="B386">
        <v>3</v>
      </c>
      <c r="C386" s="54">
        <v>43160</v>
      </c>
      <c r="D386" s="3" t="str">
        <f>YEAR(Datos_Consumo[[#This Row],[FECHA]])&amp;"-"&amp;MONTH(Datos_Consumo[[#This Row],[FECHA]])</f>
        <v>2018-3</v>
      </c>
    </row>
    <row r="387" spans="1:4" x14ac:dyDescent="0.25">
      <c r="A387" t="s">
        <v>1582</v>
      </c>
      <c r="B387">
        <v>2</v>
      </c>
      <c r="C387" s="54">
        <v>43101</v>
      </c>
      <c r="D387" s="3" t="str">
        <f>YEAR(Datos_Consumo[[#This Row],[FECHA]])&amp;"-"&amp;MONTH(Datos_Consumo[[#This Row],[FECHA]])</f>
        <v>2018-1</v>
      </c>
    </row>
    <row r="388" spans="1:4" x14ac:dyDescent="0.25">
      <c r="A388" t="s">
        <v>1582</v>
      </c>
      <c r="B388">
        <v>1</v>
      </c>
      <c r="C388" s="54">
        <v>43132</v>
      </c>
      <c r="D388" s="3" t="str">
        <f>YEAR(Datos_Consumo[[#This Row],[FECHA]])&amp;"-"&amp;MONTH(Datos_Consumo[[#This Row],[FECHA]])</f>
        <v>2018-2</v>
      </c>
    </row>
    <row r="389" spans="1:4" x14ac:dyDescent="0.25">
      <c r="A389" t="s">
        <v>1583</v>
      </c>
      <c r="B389">
        <v>1</v>
      </c>
      <c r="C389" s="54">
        <v>43070</v>
      </c>
      <c r="D389" s="3" t="str">
        <f>YEAR(Datos_Consumo[[#This Row],[FECHA]])&amp;"-"&amp;MONTH(Datos_Consumo[[#This Row],[FECHA]])</f>
        <v>2017-12</v>
      </c>
    </row>
    <row r="390" spans="1:4" x14ac:dyDescent="0.25">
      <c r="A390" t="s">
        <v>1584</v>
      </c>
      <c r="B390">
        <v>1</v>
      </c>
      <c r="C390" s="54">
        <v>43160</v>
      </c>
      <c r="D390" s="3" t="str">
        <f>YEAR(Datos_Consumo[[#This Row],[FECHA]])&amp;"-"&amp;MONTH(Datos_Consumo[[#This Row],[FECHA]])</f>
        <v>2018-3</v>
      </c>
    </row>
    <row r="391" spans="1:4" x14ac:dyDescent="0.25">
      <c r="A391" t="s">
        <v>1585</v>
      </c>
      <c r="B391">
        <v>6</v>
      </c>
      <c r="C391" s="54">
        <v>43070</v>
      </c>
      <c r="D391" s="3" t="str">
        <f>YEAR(Datos_Consumo[[#This Row],[FECHA]])&amp;"-"&amp;MONTH(Datos_Consumo[[#This Row],[FECHA]])</f>
        <v>2017-12</v>
      </c>
    </row>
    <row r="392" spans="1:4" x14ac:dyDescent="0.25">
      <c r="A392" t="s">
        <v>1585</v>
      </c>
      <c r="B392">
        <v>4</v>
      </c>
      <c r="C392" s="54">
        <v>43101</v>
      </c>
      <c r="D392" s="3" t="str">
        <f>YEAR(Datos_Consumo[[#This Row],[FECHA]])&amp;"-"&amp;MONTH(Datos_Consumo[[#This Row],[FECHA]])</f>
        <v>2018-1</v>
      </c>
    </row>
    <row r="393" spans="1:4" x14ac:dyDescent="0.25">
      <c r="A393" t="s">
        <v>1585</v>
      </c>
      <c r="B393">
        <v>2</v>
      </c>
      <c r="C393" s="54">
        <v>43221</v>
      </c>
      <c r="D393" s="3" t="str">
        <f>YEAR(Datos_Consumo[[#This Row],[FECHA]])&amp;"-"&amp;MONTH(Datos_Consumo[[#This Row],[FECHA]])</f>
        <v>2018-5</v>
      </c>
    </row>
    <row r="394" spans="1:4" x14ac:dyDescent="0.25">
      <c r="A394" t="s">
        <v>1586</v>
      </c>
      <c r="B394">
        <v>2</v>
      </c>
      <c r="C394" s="54">
        <v>43132</v>
      </c>
      <c r="D394" s="3" t="str">
        <f>YEAR(Datos_Consumo[[#This Row],[FECHA]])&amp;"-"&amp;MONTH(Datos_Consumo[[#This Row],[FECHA]])</f>
        <v>2018-2</v>
      </c>
    </row>
    <row r="395" spans="1:4" x14ac:dyDescent="0.25">
      <c r="A395" t="s">
        <v>1586</v>
      </c>
      <c r="B395">
        <v>2</v>
      </c>
      <c r="C395" s="54">
        <v>43191</v>
      </c>
      <c r="D395" s="3" t="str">
        <f>YEAR(Datos_Consumo[[#This Row],[FECHA]])&amp;"-"&amp;MONTH(Datos_Consumo[[#This Row],[FECHA]])</f>
        <v>2018-4</v>
      </c>
    </row>
    <row r="396" spans="1:4" x14ac:dyDescent="0.25">
      <c r="A396" t="s">
        <v>1587</v>
      </c>
      <c r="B396">
        <v>1</v>
      </c>
      <c r="C396" s="54">
        <v>43101</v>
      </c>
      <c r="D396" s="3" t="str">
        <f>YEAR(Datos_Consumo[[#This Row],[FECHA]])&amp;"-"&amp;MONTH(Datos_Consumo[[#This Row],[FECHA]])</f>
        <v>2018-1</v>
      </c>
    </row>
    <row r="397" spans="1:4" x14ac:dyDescent="0.25">
      <c r="A397" t="s">
        <v>1588</v>
      </c>
      <c r="B397">
        <v>2</v>
      </c>
      <c r="C397" s="54">
        <v>43070</v>
      </c>
      <c r="D397" s="3" t="str">
        <f>YEAR(Datos_Consumo[[#This Row],[FECHA]])&amp;"-"&amp;MONTH(Datos_Consumo[[#This Row],[FECHA]])</f>
        <v>2017-12</v>
      </c>
    </row>
    <row r="398" spans="1:4" x14ac:dyDescent="0.25">
      <c r="A398" t="s">
        <v>1588</v>
      </c>
      <c r="B398">
        <v>1</v>
      </c>
      <c r="C398" s="54">
        <v>43101</v>
      </c>
      <c r="D398" s="3" t="str">
        <f>YEAR(Datos_Consumo[[#This Row],[FECHA]])&amp;"-"&amp;MONTH(Datos_Consumo[[#This Row],[FECHA]])</f>
        <v>2018-1</v>
      </c>
    </row>
    <row r="399" spans="1:4" x14ac:dyDescent="0.25">
      <c r="A399" t="s">
        <v>1588</v>
      </c>
      <c r="B399">
        <v>1</v>
      </c>
      <c r="C399" s="54">
        <v>43221</v>
      </c>
      <c r="D399" s="3" t="str">
        <f>YEAR(Datos_Consumo[[#This Row],[FECHA]])&amp;"-"&amp;MONTH(Datos_Consumo[[#This Row],[FECHA]])</f>
        <v>2018-5</v>
      </c>
    </row>
    <row r="400" spans="1:4" x14ac:dyDescent="0.25">
      <c r="A400" t="s">
        <v>1589</v>
      </c>
      <c r="B400">
        <v>2</v>
      </c>
      <c r="C400" s="54">
        <v>43070</v>
      </c>
      <c r="D400" s="3" t="str">
        <f>YEAR(Datos_Consumo[[#This Row],[FECHA]])&amp;"-"&amp;MONTH(Datos_Consumo[[#This Row],[FECHA]])</f>
        <v>2017-12</v>
      </c>
    </row>
    <row r="401" spans="1:4" x14ac:dyDescent="0.25">
      <c r="A401" t="s">
        <v>1590</v>
      </c>
      <c r="B401">
        <v>1</v>
      </c>
      <c r="C401" s="54">
        <v>43070</v>
      </c>
      <c r="D401" s="3" t="str">
        <f>YEAR(Datos_Consumo[[#This Row],[FECHA]])&amp;"-"&amp;MONTH(Datos_Consumo[[#This Row],[FECHA]])</f>
        <v>2017-12</v>
      </c>
    </row>
    <row r="402" spans="1:4" x14ac:dyDescent="0.25">
      <c r="A402" t="s">
        <v>1590</v>
      </c>
      <c r="B402">
        <v>2</v>
      </c>
      <c r="C402" s="54">
        <v>43132</v>
      </c>
      <c r="D402" s="3" t="str">
        <f>YEAR(Datos_Consumo[[#This Row],[FECHA]])&amp;"-"&amp;MONTH(Datos_Consumo[[#This Row],[FECHA]])</f>
        <v>2018-2</v>
      </c>
    </row>
    <row r="403" spans="1:4" x14ac:dyDescent="0.25">
      <c r="A403" t="s">
        <v>1591</v>
      </c>
      <c r="B403">
        <v>6</v>
      </c>
      <c r="C403" s="54">
        <v>43070</v>
      </c>
      <c r="D403" s="3" t="str">
        <f>YEAR(Datos_Consumo[[#This Row],[FECHA]])&amp;"-"&amp;MONTH(Datos_Consumo[[#This Row],[FECHA]])</f>
        <v>2017-12</v>
      </c>
    </row>
    <row r="404" spans="1:4" x14ac:dyDescent="0.25">
      <c r="A404" t="s">
        <v>1592</v>
      </c>
      <c r="B404">
        <v>2</v>
      </c>
      <c r="C404" s="54">
        <v>43070</v>
      </c>
      <c r="D404" s="3" t="str">
        <f>YEAR(Datos_Consumo[[#This Row],[FECHA]])&amp;"-"&amp;MONTH(Datos_Consumo[[#This Row],[FECHA]])</f>
        <v>2017-12</v>
      </c>
    </row>
    <row r="405" spans="1:4" x14ac:dyDescent="0.25">
      <c r="A405" t="s">
        <v>1592</v>
      </c>
      <c r="B405">
        <v>1</v>
      </c>
      <c r="C405" s="54">
        <v>43101</v>
      </c>
      <c r="D405" s="3" t="str">
        <f>YEAR(Datos_Consumo[[#This Row],[FECHA]])&amp;"-"&amp;MONTH(Datos_Consumo[[#This Row],[FECHA]])</f>
        <v>2018-1</v>
      </c>
    </row>
    <row r="406" spans="1:4" x14ac:dyDescent="0.25">
      <c r="A406" t="s">
        <v>1593</v>
      </c>
      <c r="B406">
        <v>3</v>
      </c>
      <c r="C406" s="54">
        <v>43191</v>
      </c>
      <c r="D406" s="3" t="str">
        <f>YEAR(Datos_Consumo[[#This Row],[FECHA]])&amp;"-"&amp;MONTH(Datos_Consumo[[#This Row],[FECHA]])</f>
        <v>2018-4</v>
      </c>
    </row>
    <row r="407" spans="1:4" x14ac:dyDescent="0.25">
      <c r="A407" t="s">
        <v>1594</v>
      </c>
      <c r="B407">
        <v>1</v>
      </c>
      <c r="C407" s="54">
        <v>43070</v>
      </c>
      <c r="D407" s="3" t="str">
        <f>YEAR(Datos_Consumo[[#This Row],[FECHA]])&amp;"-"&amp;MONTH(Datos_Consumo[[#This Row],[FECHA]])</f>
        <v>2017-12</v>
      </c>
    </row>
    <row r="408" spans="1:4" x14ac:dyDescent="0.25">
      <c r="A408" t="s">
        <v>1595</v>
      </c>
      <c r="B408">
        <v>1</v>
      </c>
      <c r="C408" s="54">
        <v>43101</v>
      </c>
      <c r="D408" s="3" t="str">
        <f>YEAR(Datos_Consumo[[#This Row],[FECHA]])&amp;"-"&amp;MONTH(Datos_Consumo[[#This Row],[FECHA]])</f>
        <v>2018-1</v>
      </c>
    </row>
    <row r="409" spans="1:4" x14ac:dyDescent="0.25">
      <c r="A409" t="s">
        <v>1595</v>
      </c>
      <c r="B409">
        <v>1</v>
      </c>
      <c r="C409" s="54">
        <v>43191</v>
      </c>
      <c r="D409" s="3" t="str">
        <f>YEAR(Datos_Consumo[[#This Row],[FECHA]])&amp;"-"&amp;MONTH(Datos_Consumo[[#This Row],[FECHA]])</f>
        <v>2018-4</v>
      </c>
    </row>
    <row r="410" spans="1:4" x14ac:dyDescent="0.25">
      <c r="A410" t="s">
        <v>1596</v>
      </c>
      <c r="B410">
        <v>20</v>
      </c>
      <c r="C410" s="54">
        <v>43070</v>
      </c>
      <c r="D410" s="3" t="str">
        <f>YEAR(Datos_Consumo[[#This Row],[FECHA]])&amp;"-"&amp;MONTH(Datos_Consumo[[#This Row],[FECHA]])</f>
        <v>2017-12</v>
      </c>
    </row>
    <row r="411" spans="1:4" x14ac:dyDescent="0.25">
      <c r="A411" t="s">
        <v>1596</v>
      </c>
      <c r="B411">
        <v>11</v>
      </c>
      <c r="C411" s="54">
        <v>43101</v>
      </c>
      <c r="D411" s="3" t="str">
        <f>YEAR(Datos_Consumo[[#This Row],[FECHA]])&amp;"-"&amp;MONTH(Datos_Consumo[[#This Row],[FECHA]])</f>
        <v>2018-1</v>
      </c>
    </row>
    <row r="412" spans="1:4" x14ac:dyDescent="0.25">
      <c r="A412" t="s">
        <v>1596</v>
      </c>
      <c r="B412">
        <v>5</v>
      </c>
      <c r="C412" s="54">
        <v>43160</v>
      </c>
      <c r="D412" s="3" t="str">
        <f>YEAR(Datos_Consumo[[#This Row],[FECHA]])&amp;"-"&amp;MONTH(Datos_Consumo[[#This Row],[FECHA]])</f>
        <v>2018-3</v>
      </c>
    </row>
    <row r="413" spans="1:4" x14ac:dyDescent="0.25">
      <c r="A413" t="s">
        <v>1596</v>
      </c>
      <c r="B413">
        <v>15</v>
      </c>
      <c r="C413" s="54">
        <v>43191</v>
      </c>
      <c r="D413" s="3" t="str">
        <f>YEAR(Datos_Consumo[[#This Row],[FECHA]])&amp;"-"&amp;MONTH(Datos_Consumo[[#This Row],[FECHA]])</f>
        <v>2018-4</v>
      </c>
    </row>
    <row r="414" spans="1:4" x14ac:dyDescent="0.25">
      <c r="A414" t="s">
        <v>1596</v>
      </c>
      <c r="B414">
        <v>1</v>
      </c>
      <c r="C414" s="54">
        <v>43221</v>
      </c>
      <c r="D414" s="3" t="str">
        <f>YEAR(Datos_Consumo[[#This Row],[FECHA]])&amp;"-"&amp;MONTH(Datos_Consumo[[#This Row],[FECHA]])</f>
        <v>2018-5</v>
      </c>
    </row>
    <row r="415" spans="1:4" x14ac:dyDescent="0.25">
      <c r="A415" t="s">
        <v>1597</v>
      </c>
      <c r="B415">
        <v>21</v>
      </c>
      <c r="C415" s="54">
        <v>43070</v>
      </c>
      <c r="D415" s="3" t="str">
        <f>YEAR(Datos_Consumo[[#This Row],[FECHA]])&amp;"-"&amp;MONTH(Datos_Consumo[[#This Row],[FECHA]])</f>
        <v>2017-12</v>
      </c>
    </row>
    <row r="416" spans="1:4" x14ac:dyDescent="0.25">
      <c r="A416" t="s">
        <v>1597</v>
      </c>
      <c r="B416">
        <v>2</v>
      </c>
      <c r="C416" s="54">
        <v>43101</v>
      </c>
      <c r="D416" s="3" t="str">
        <f>YEAR(Datos_Consumo[[#This Row],[FECHA]])&amp;"-"&amp;MONTH(Datos_Consumo[[#This Row],[FECHA]])</f>
        <v>2018-1</v>
      </c>
    </row>
    <row r="417" spans="1:4" x14ac:dyDescent="0.25">
      <c r="A417" t="s">
        <v>1597</v>
      </c>
      <c r="B417">
        <v>1</v>
      </c>
      <c r="C417" s="54">
        <v>43160</v>
      </c>
      <c r="D417" s="3" t="str">
        <f>YEAR(Datos_Consumo[[#This Row],[FECHA]])&amp;"-"&amp;MONTH(Datos_Consumo[[#This Row],[FECHA]])</f>
        <v>2018-3</v>
      </c>
    </row>
    <row r="418" spans="1:4" x14ac:dyDescent="0.25">
      <c r="A418" t="s">
        <v>1598</v>
      </c>
      <c r="B418">
        <v>2</v>
      </c>
      <c r="C418" s="54">
        <v>43101</v>
      </c>
      <c r="D418" s="3" t="str">
        <f>YEAR(Datos_Consumo[[#This Row],[FECHA]])&amp;"-"&amp;MONTH(Datos_Consumo[[#This Row],[FECHA]])</f>
        <v>2018-1</v>
      </c>
    </row>
    <row r="419" spans="1:4" x14ac:dyDescent="0.25">
      <c r="A419" t="s">
        <v>4037</v>
      </c>
      <c r="B419">
        <v>1</v>
      </c>
      <c r="C419" s="54">
        <v>43191</v>
      </c>
      <c r="D419" s="3" t="str">
        <f>YEAR(Datos_Consumo[[#This Row],[FECHA]])&amp;"-"&amp;MONTH(Datos_Consumo[[#This Row],[FECHA]])</f>
        <v>2018-4</v>
      </c>
    </row>
    <row r="420" spans="1:4" x14ac:dyDescent="0.25">
      <c r="A420" t="s">
        <v>1599</v>
      </c>
      <c r="B420">
        <v>5</v>
      </c>
      <c r="C420" s="54">
        <v>43070</v>
      </c>
      <c r="D420" s="3" t="str">
        <f>YEAR(Datos_Consumo[[#This Row],[FECHA]])&amp;"-"&amp;MONTH(Datos_Consumo[[#This Row],[FECHA]])</f>
        <v>2017-12</v>
      </c>
    </row>
    <row r="421" spans="1:4" x14ac:dyDescent="0.25">
      <c r="A421" t="s">
        <v>1599</v>
      </c>
      <c r="B421">
        <v>5</v>
      </c>
      <c r="C421" s="54">
        <v>43101</v>
      </c>
      <c r="D421" s="3" t="str">
        <f>YEAR(Datos_Consumo[[#This Row],[FECHA]])&amp;"-"&amp;MONTH(Datos_Consumo[[#This Row],[FECHA]])</f>
        <v>2018-1</v>
      </c>
    </row>
    <row r="422" spans="1:4" x14ac:dyDescent="0.25">
      <c r="A422" t="s">
        <v>1599</v>
      </c>
      <c r="B422">
        <v>10</v>
      </c>
      <c r="C422" s="54">
        <v>43132</v>
      </c>
      <c r="D422" s="3" t="str">
        <f>YEAR(Datos_Consumo[[#This Row],[FECHA]])&amp;"-"&amp;MONTH(Datos_Consumo[[#This Row],[FECHA]])</f>
        <v>2018-2</v>
      </c>
    </row>
    <row r="423" spans="1:4" x14ac:dyDescent="0.25">
      <c r="A423" t="s">
        <v>1599</v>
      </c>
      <c r="B423">
        <v>10</v>
      </c>
      <c r="C423" s="54">
        <v>43191</v>
      </c>
      <c r="D423" s="3" t="str">
        <f>YEAR(Datos_Consumo[[#This Row],[FECHA]])&amp;"-"&amp;MONTH(Datos_Consumo[[#This Row],[FECHA]])</f>
        <v>2018-4</v>
      </c>
    </row>
    <row r="424" spans="1:4" x14ac:dyDescent="0.25">
      <c r="A424" t="s">
        <v>1599</v>
      </c>
      <c r="B424">
        <v>30</v>
      </c>
      <c r="C424" s="54">
        <v>43221</v>
      </c>
      <c r="D424" s="3" t="str">
        <f>YEAR(Datos_Consumo[[#This Row],[FECHA]])&amp;"-"&amp;MONTH(Datos_Consumo[[#This Row],[FECHA]])</f>
        <v>2018-5</v>
      </c>
    </row>
    <row r="425" spans="1:4" x14ac:dyDescent="0.25">
      <c r="A425" t="s">
        <v>1600</v>
      </c>
      <c r="B425">
        <v>6</v>
      </c>
      <c r="C425" s="54">
        <v>43070</v>
      </c>
      <c r="D425" s="3" t="str">
        <f>YEAR(Datos_Consumo[[#This Row],[FECHA]])&amp;"-"&amp;MONTH(Datos_Consumo[[#This Row],[FECHA]])</f>
        <v>2017-12</v>
      </c>
    </row>
    <row r="426" spans="1:4" x14ac:dyDescent="0.25">
      <c r="A426" t="s">
        <v>1600</v>
      </c>
      <c r="B426">
        <v>6</v>
      </c>
      <c r="C426" s="54">
        <v>43101</v>
      </c>
      <c r="D426" s="3" t="str">
        <f>YEAR(Datos_Consumo[[#This Row],[FECHA]])&amp;"-"&amp;MONTH(Datos_Consumo[[#This Row],[FECHA]])</f>
        <v>2018-1</v>
      </c>
    </row>
    <row r="427" spans="1:4" x14ac:dyDescent="0.25">
      <c r="A427" t="s">
        <v>1600</v>
      </c>
      <c r="B427">
        <v>4</v>
      </c>
      <c r="C427" s="54">
        <v>43132</v>
      </c>
      <c r="D427" s="3" t="str">
        <f>YEAR(Datos_Consumo[[#This Row],[FECHA]])&amp;"-"&amp;MONTH(Datos_Consumo[[#This Row],[FECHA]])</f>
        <v>2018-2</v>
      </c>
    </row>
    <row r="428" spans="1:4" x14ac:dyDescent="0.25">
      <c r="A428" t="s">
        <v>1600</v>
      </c>
      <c r="B428">
        <v>2</v>
      </c>
      <c r="C428" s="54">
        <v>43160</v>
      </c>
      <c r="D428" s="3" t="str">
        <f>YEAR(Datos_Consumo[[#This Row],[FECHA]])&amp;"-"&amp;MONTH(Datos_Consumo[[#This Row],[FECHA]])</f>
        <v>2018-3</v>
      </c>
    </row>
    <row r="429" spans="1:4" x14ac:dyDescent="0.25">
      <c r="A429" t="s">
        <v>1600</v>
      </c>
      <c r="B429">
        <v>6</v>
      </c>
      <c r="C429" s="54">
        <v>43191</v>
      </c>
      <c r="D429" s="3" t="str">
        <f>YEAR(Datos_Consumo[[#This Row],[FECHA]])&amp;"-"&amp;MONTH(Datos_Consumo[[#This Row],[FECHA]])</f>
        <v>2018-4</v>
      </c>
    </row>
    <row r="430" spans="1:4" x14ac:dyDescent="0.25">
      <c r="A430" t="s">
        <v>1600</v>
      </c>
      <c r="B430">
        <v>5</v>
      </c>
      <c r="C430" s="54">
        <v>43221</v>
      </c>
      <c r="D430" s="3" t="str">
        <f>YEAR(Datos_Consumo[[#This Row],[FECHA]])&amp;"-"&amp;MONTH(Datos_Consumo[[#This Row],[FECHA]])</f>
        <v>2018-5</v>
      </c>
    </row>
    <row r="431" spans="1:4" x14ac:dyDescent="0.25">
      <c r="A431" t="s">
        <v>1601</v>
      </c>
      <c r="B431">
        <v>2</v>
      </c>
      <c r="C431" s="54">
        <v>43132</v>
      </c>
      <c r="D431" s="3" t="str">
        <f>YEAR(Datos_Consumo[[#This Row],[FECHA]])&amp;"-"&amp;MONTH(Datos_Consumo[[#This Row],[FECHA]])</f>
        <v>2018-2</v>
      </c>
    </row>
    <row r="432" spans="1:4" x14ac:dyDescent="0.25">
      <c r="A432" t="s">
        <v>1602</v>
      </c>
      <c r="B432">
        <v>2</v>
      </c>
      <c r="C432" s="54">
        <v>43070</v>
      </c>
      <c r="D432" s="3" t="str">
        <f>YEAR(Datos_Consumo[[#This Row],[FECHA]])&amp;"-"&amp;MONTH(Datos_Consumo[[#This Row],[FECHA]])</f>
        <v>2017-12</v>
      </c>
    </row>
    <row r="433" spans="1:4" x14ac:dyDescent="0.25">
      <c r="A433" t="s">
        <v>1602</v>
      </c>
      <c r="B433">
        <v>2</v>
      </c>
      <c r="C433" s="54">
        <v>43132</v>
      </c>
      <c r="D433" s="3" t="str">
        <f>YEAR(Datos_Consumo[[#This Row],[FECHA]])&amp;"-"&amp;MONTH(Datos_Consumo[[#This Row],[FECHA]])</f>
        <v>2018-2</v>
      </c>
    </row>
    <row r="434" spans="1:4" x14ac:dyDescent="0.25">
      <c r="A434" t="s">
        <v>1603</v>
      </c>
      <c r="B434">
        <v>1</v>
      </c>
      <c r="C434" s="54">
        <v>43191</v>
      </c>
      <c r="D434" s="3" t="str">
        <f>YEAR(Datos_Consumo[[#This Row],[FECHA]])&amp;"-"&amp;MONTH(Datos_Consumo[[#This Row],[FECHA]])</f>
        <v>2018-4</v>
      </c>
    </row>
    <row r="435" spans="1:4" x14ac:dyDescent="0.25">
      <c r="A435" t="s">
        <v>1604</v>
      </c>
      <c r="B435">
        <v>7</v>
      </c>
      <c r="C435" s="54">
        <v>43160</v>
      </c>
      <c r="D435" s="3" t="str">
        <f>YEAR(Datos_Consumo[[#This Row],[FECHA]])&amp;"-"&amp;MONTH(Datos_Consumo[[#This Row],[FECHA]])</f>
        <v>2018-3</v>
      </c>
    </row>
    <row r="436" spans="1:4" x14ac:dyDescent="0.25">
      <c r="A436" t="s">
        <v>1605</v>
      </c>
      <c r="B436">
        <v>1</v>
      </c>
      <c r="C436" s="54">
        <v>43132</v>
      </c>
      <c r="D436" s="3" t="str">
        <f>YEAR(Datos_Consumo[[#This Row],[FECHA]])&amp;"-"&amp;MONTH(Datos_Consumo[[#This Row],[FECHA]])</f>
        <v>2018-2</v>
      </c>
    </row>
    <row r="437" spans="1:4" x14ac:dyDescent="0.25">
      <c r="A437" t="s">
        <v>1605</v>
      </c>
      <c r="B437">
        <v>2</v>
      </c>
      <c r="C437" s="54">
        <v>43160</v>
      </c>
      <c r="D437" s="3" t="str">
        <f>YEAR(Datos_Consumo[[#This Row],[FECHA]])&amp;"-"&amp;MONTH(Datos_Consumo[[#This Row],[FECHA]])</f>
        <v>2018-3</v>
      </c>
    </row>
    <row r="438" spans="1:4" x14ac:dyDescent="0.25">
      <c r="A438" t="s">
        <v>1605</v>
      </c>
      <c r="B438">
        <v>10</v>
      </c>
      <c r="C438" s="54">
        <v>43191</v>
      </c>
      <c r="D438" s="3" t="str">
        <f>YEAR(Datos_Consumo[[#This Row],[FECHA]])&amp;"-"&amp;MONTH(Datos_Consumo[[#This Row],[FECHA]])</f>
        <v>2018-4</v>
      </c>
    </row>
    <row r="439" spans="1:4" x14ac:dyDescent="0.25">
      <c r="A439" t="s">
        <v>1606</v>
      </c>
      <c r="B439">
        <v>1</v>
      </c>
      <c r="C439" s="54">
        <v>43070</v>
      </c>
      <c r="D439" s="3" t="str">
        <f>YEAR(Datos_Consumo[[#This Row],[FECHA]])&amp;"-"&amp;MONTH(Datos_Consumo[[#This Row],[FECHA]])</f>
        <v>2017-12</v>
      </c>
    </row>
    <row r="440" spans="1:4" x14ac:dyDescent="0.25">
      <c r="A440" t="s">
        <v>1607</v>
      </c>
      <c r="B440">
        <v>2</v>
      </c>
      <c r="C440" s="54">
        <v>43101</v>
      </c>
      <c r="D440" s="3" t="str">
        <f>YEAR(Datos_Consumo[[#This Row],[FECHA]])&amp;"-"&amp;MONTH(Datos_Consumo[[#This Row],[FECHA]])</f>
        <v>2018-1</v>
      </c>
    </row>
    <row r="441" spans="1:4" x14ac:dyDescent="0.25">
      <c r="A441" t="s">
        <v>1608</v>
      </c>
      <c r="B441">
        <v>1</v>
      </c>
      <c r="C441" s="54">
        <v>43070</v>
      </c>
      <c r="D441" s="3" t="str">
        <f>YEAR(Datos_Consumo[[#This Row],[FECHA]])&amp;"-"&amp;MONTH(Datos_Consumo[[#This Row],[FECHA]])</f>
        <v>2017-12</v>
      </c>
    </row>
    <row r="442" spans="1:4" x14ac:dyDescent="0.25">
      <c r="A442" t="s">
        <v>1608</v>
      </c>
      <c r="B442">
        <v>10</v>
      </c>
      <c r="C442" s="54">
        <v>43132</v>
      </c>
      <c r="D442" s="3" t="str">
        <f>YEAR(Datos_Consumo[[#This Row],[FECHA]])&amp;"-"&amp;MONTH(Datos_Consumo[[#This Row],[FECHA]])</f>
        <v>2018-2</v>
      </c>
    </row>
    <row r="443" spans="1:4" x14ac:dyDescent="0.25">
      <c r="A443" t="s">
        <v>1608</v>
      </c>
      <c r="B443">
        <v>1</v>
      </c>
      <c r="C443" s="54">
        <v>43221</v>
      </c>
      <c r="D443" s="3" t="str">
        <f>YEAR(Datos_Consumo[[#This Row],[FECHA]])&amp;"-"&amp;MONTH(Datos_Consumo[[#This Row],[FECHA]])</f>
        <v>2018-5</v>
      </c>
    </row>
    <row r="444" spans="1:4" x14ac:dyDescent="0.25">
      <c r="A444" t="s">
        <v>1609</v>
      </c>
      <c r="B444">
        <v>6</v>
      </c>
      <c r="C444" s="54">
        <v>43101</v>
      </c>
      <c r="D444" s="3" t="str">
        <f>YEAR(Datos_Consumo[[#This Row],[FECHA]])&amp;"-"&amp;MONTH(Datos_Consumo[[#This Row],[FECHA]])</f>
        <v>2018-1</v>
      </c>
    </row>
    <row r="445" spans="1:4" x14ac:dyDescent="0.25">
      <c r="A445" t="s">
        <v>1609</v>
      </c>
      <c r="B445">
        <v>4</v>
      </c>
      <c r="C445" s="54">
        <v>43132</v>
      </c>
      <c r="D445" s="3" t="str">
        <f>YEAR(Datos_Consumo[[#This Row],[FECHA]])&amp;"-"&amp;MONTH(Datos_Consumo[[#This Row],[FECHA]])</f>
        <v>2018-2</v>
      </c>
    </row>
    <row r="446" spans="1:4" x14ac:dyDescent="0.25">
      <c r="A446" t="s">
        <v>1609</v>
      </c>
      <c r="B446">
        <v>2</v>
      </c>
      <c r="C446" s="54">
        <v>43160</v>
      </c>
      <c r="D446" s="3" t="str">
        <f>YEAR(Datos_Consumo[[#This Row],[FECHA]])&amp;"-"&amp;MONTH(Datos_Consumo[[#This Row],[FECHA]])</f>
        <v>2018-3</v>
      </c>
    </row>
    <row r="447" spans="1:4" x14ac:dyDescent="0.25">
      <c r="A447" t="s">
        <v>1609</v>
      </c>
      <c r="B447">
        <v>2</v>
      </c>
      <c r="C447" s="54">
        <v>43191</v>
      </c>
      <c r="D447" s="3" t="str">
        <f>YEAR(Datos_Consumo[[#This Row],[FECHA]])&amp;"-"&amp;MONTH(Datos_Consumo[[#This Row],[FECHA]])</f>
        <v>2018-4</v>
      </c>
    </row>
    <row r="448" spans="1:4" x14ac:dyDescent="0.25">
      <c r="A448" t="s">
        <v>1609</v>
      </c>
      <c r="B448">
        <v>2</v>
      </c>
      <c r="C448" s="54">
        <v>43221</v>
      </c>
      <c r="D448" s="3" t="str">
        <f>YEAR(Datos_Consumo[[#This Row],[FECHA]])&amp;"-"&amp;MONTH(Datos_Consumo[[#This Row],[FECHA]])</f>
        <v>2018-5</v>
      </c>
    </row>
    <row r="449" spans="1:4" x14ac:dyDescent="0.25">
      <c r="A449" t="s">
        <v>1610</v>
      </c>
      <c r="B449">
        <v>1</v>
      </c>
      <c r="C449" s="54">
        <v>43101</v>
      </c>
      <c r="D449" s="3" t="str">
        <f>YEAR(Datos_Consumo[[#This Row],[FECHA]])&amp;"-"&amp;MONTH(Datos_Consumo[[#This Row],[FECHA]])</f>
        <v>2018-1</v>
      </c>
    </row>
    <row r="450" spans="1:4" x14ac:dyDescent="0.25">
      <c r="A450" t="s">
        <v>1610</v>
      </c>
      <c r="B450">
        <v>3</v>
      </c>
      <c r="C450" s="54">
        <v>43160</v>
      </c>
      <c r="D450" s="3" t="str">
        <f>YEAR(Datos_Consumo[[#This Row],[FECHA]])&amp;"-"&amp;MONTH(Datos_Consumo[[#This Row],[FECHA]])</f>
        <v>2018-3</v>
      </c>
    </row>
    <row r="451" spans="1:4" x14ac:dyDescent="0.25">
      <c r="A451" t="s">
        <v>1610</v>
      </c>
      <c r="B451">
        <v>1</v>
      </c>
      <c r="C451" s="54">
        <v>43191</v>
      </c>
      <c r="D451" s="3" t="str">
        <f>YEAR(Datos_Consumo[[#This Row],[FECHA]])&amp;"-"&amp;MONTH(Datos_Consumo[[#This Row],[FECHA]])</f>
        <v>2018-4</v>
      </c>
    </row>
    <row r="452" spans="1:4" x14ac:dyDescent="0.25">
      <c r="A452" t="s">
        <v>1611</v>
      </c>
      <c r="B452">
        <v>7</v>
      </c>
      <c r="C452" s="54">
        <v>43101</v>
      </c>
      <c r="D452" s="3" t="str">
        <f>YEAR(Datos_Consumo[[#This Row],[FECHA]])&amp;"-"&amp;MONTH(Datos_Consumo[[#This Row],[FECHA]])</f>
        <v>2018-1</v>
      </c>
    </row>
    <row r="453" spans="1:4" x14ac:dyDescent="0.25">
      <c r="A453" t="s">
        <v>1611</v>
      </c>
      <c r="B453">
        <v>1</v>
      </c>
      <c r="C453" s="54">
        <v>43160</v>
      </c>
      <c r="D453" s="3" t="str">
        <f>YEAR(Datos_Consumo[[#This Row],[FECHA]])&amp;"-"&amp;MONTH(Datos_Consumo[[#This Row],[FECHA]])</f>
        <v>2018-3</v>
      </c>
    </row>
    <row r="454" spans="1:4" x14ac:dyDescent="0.25">
      <c r="A454" t="s">
        <v>1611</v>
      </c>
      <c r="B454">
        <v>1</v>
      </c>
      <c r="C454" s="54">
        <v>43191</v>
      </c>
      <c r="D454" s="3" t="str">
        <f>YEAR(Datos_Consumo[[#This Row],[FECHA]])&amp;"-"&amp;MONTH(Datos_Consumo[[#This Row],[FECHA]])</f>
        <v>2018-4</v>
      </c>
    </row>
    <row r="455" spans="1:4" x14ac:dyDescent="0.25">
      <c r="A455" t="s">
        <v>1612</v>
      </c>
      <c r="B455">
        <v>18</v>
      </c>
      <c r="C455" s="54">
        <v>43101</v>
      </c>
      <c r="D455" s="3" t="str">
        <f>YEAR(Datos_Consumo[[#This Row],[FECHA]])&amp;"-"&amp;MONTH(Datos_Consumo[[#This Row],[FECHA]])</f>
        <v>2018-1</v>
      </c>
    </row>
    <row r="456" spans="1:4" x14ac:dyDescent="0.25">
      <c r="A456" t="s">
        <v>1612</v>
      </c>
      <c r="B456">
        <v>2</v>
      </c>
      <c r="C456" s="54">
        <v>43132</v>
      </c>
      <c r="D456" s="3" t="str">
        <f>YEAR(Datos_Consumo[[#This Row],[FECHA]])&amp;"-"&amp;MONTH(Datos_Consumo[[#This Row],[FECHA]])</f>
        <v>2018-2</v>
      </c>
    </row>
    <row r="457" spans="1:4" x14ac:dyDescent="0.25">
      <c r="A457" t="s">
        <v>1612</v>
      </c>
      <c r="B457">
        <v>5</v>
      </c>
      <c r="C457" s="54">
        <v>43191</v>
      </c>
      <c r="D457" s="3" t="str">
        <f>YEAR(Datos_Consumo[[#This Row],[FECHA]])&amp;"-"&amp;MONTH(Datos_Consumo[[#This Row],[FECHA]])</f>
        <v>2018-4</v>
      </c>
    </row>
    <row r="458" spans="1:4" x14ac:dyDescent="0.25">
      <c r="A458" t="s">
        <v>1613</v>
      </c>
      <c r="B458">
        <v>1</v>
      </c>
      <c r="C458" s="54">
        <v>43070</v>
      </c>
      <c r="D458" s="3" t="str">
        <f>YEAR(Datos_Consumo[[#This Row],[FECHA]])&amp;"-"&amp;MONTH(Datos_Consumo[[#This Row],[FECHA]])</f>
        <v>2017-12</v>
      </c>
    </row>
    <row r="459" spans="1:4" x14ac:dyDescent="0.25">
      <c r="A459" t="s">
        <v>1613</v>
      </c>
      <c r="B459">
        <v>1</v>
      </c>
      <c r="C459" s="54">
        <v>43160</v>
      </c>
      <c r="D459" s="3" t="str">
        <f>YEAR(Datos_Consumo[[#This Row],[FECHA]])&amp;"-"&amp;MONTH(Datos_Consumo[[#This Row],[FECHA]])</f>
        <v>2018-3</v>
      </c>
    </row>
    <row r="460" spans="1:4" x14ac:dyDescent="0.25">
      <c r="A460" t="s">
        <v>1613</v>
      </c>
      <c r="B460">
        <v>1</v>
      </c>
      <c r="C460" s="54">
        <v>43221</v>
      </c>
      <c r="D460" s="3" t="str">
        <f>YEAR(Datos_Consumo[[#This Row],[FECHA]])&amp;"-"&amp;MONTH(Datos_Consumo[[#This Row],[FECHA]])</f>
        <v>2018-5</v>
      </c>
    </row>
    <row r="461" spans="1:4" x14ac:dyDescent="0.25">
      <c r="A461" t="s">
        <v>1614</v>
      </c>
      <c r="B461">
        <v>3</v>
      </c>
      <c r="C461" s="54">
        <v>43070</v>
      </c>
      <c r="D461" s="3" t="str">
        <f>YEAR(Datos_Consumo[[#This Row],[FECHA]])&amp;"-"&amp;MONTH(Datos_Consumo[[#This Row],[FECHA]])</f>
        <v>2017-12</v>
      </c>
    </row>
    <row r="462" spans="1:4" x14ac:dyDescent="0.25">
      <c r="A462" t="s">
        <v>1614</v>
      </c>
      <c r="B462">
        <v>4</v>
      </c>
      <c r="C462" s="54">
        <v>43101</v>
      </c>
      <c r="D462" s="3" t="str">
        <f>YEAR(Datos_Consumo[[#This Row],[FECHA]])&amp;"-"&amp;MONTH(Datos_Consumo[[#This Row],[FECHA]])</f>
        <v>2018-1</v>
      </c>
    </row>
    <row r="463" spans="1:4" x14ac:dyDescent="0.25">
      <c r="A463" t="s">
        <v>1614</v>
      </c>
      <c r="B463">
        <v>7</v>
      </c>
      <c r="C463" s="54">
        <v>43132</v>
      </c>
      <c r="D463" s="3" t="str">
        <f>YEAR(Datos_Consumo[[#This Row],[FECHA]])&amp;"-"&amp;MONTH(Datos_Consumo[[#This Row],[FECHA]])</f>
        <v>2018-2</v>
      </c>
    </row>
    <row r="464" spans="1:4" x14ac:dyDescent="0.25">
      <c r="A464" t="s">
        <v>1614</v>
      </c>
      <c r="B464">
        <v>8</v>
      </c>
      <c r="C464" s="54">
        <v>43160</v>
      </c>
      <c r="D464" s="3" t="str">
        <f>YEAR(Datos_Consumo[[#This Row],[FECHA]])&amp;"-"&amp;MONTH(Datos_Consumo[[#This Row],[FECHA]])</f>
        <v>2018-3</v>
      </c>
    </row>
    <row r="465" spans="1:4" x14ac:dyDescent="0.25">
      <c r="A465" t="s">
        <v>1614</v>
      </c>
      <c r="B465">
        <v>18</v>
      </c>
      <c r="C465" s="54">
        <v>43191</v>
      </c>
      <c r="D465" s="3" t="str">
        <f>YEAR(Datos_Consumo[[#This Row],[FECHA]])&amp;"-"&amp;MONTH(Datos_Consumo[[#This Row],[FECHA]])</f>
        <v>2018-4</v>
      </c>
    </row>
    <row r="466" spans="1:4" x14ac:dyDescent="0.25">
      <c r="A466" t="s">
        <v>1615</v>
      </c>
      <c r="B466">
        <v>3</v>
      </c>
      <c r="C466" s="54">
        <v>43070</v>
      </c>
      <c r="D466" s="3" t="str">
        <f>YEAR(Datos_Consumo[[#This Row],[FECHA]])&amp;"-"&amp;MONTH(Datos_Consumo[[#This Row],[FECHA]])</f>
        <v>2017-12</v>
      </c>
    </row>
    <row r="467" spans="1:4" x14ac:dyDescent="0.25">
      <c r="A467" t="s">
        <v>1616</v>
      </c>
      <c r="B467">
        <v>5</v>
      </c>
      <c r="C467" s="54">
        <v>43070</v>
      </c>
      <c r="D467" s="3" t="str">
        <f>YEAR(Datos_Consumo[[#This Row],[FECHA]])&amp;"-"&amp;MONTH(Datos_Consumo[[#This Row],[FECHA]])</f>
        <v>2017-12</v>
      </c>
    </row>
    <row r="468" spans="1:4" x14ac:dyDescent="0.25">
      <c r="A468" t="s">
        <v>1616</v>
      </c>
      <c r="B468">
        <v>3</v>
      </c>
      <c r="C468" s="54">
        <v>43101</v>
      </c>
      <c r="D468" s="3" t="str">
        <f>YEAR(Datos_Consumo[[#This Row],[FECHA]])&amp;"-"&amp;MONTH(Datos_Consumo[[#This Row],[FECHA]])</f>
        <v>2018-1</v>
      </c>
    </row>
    <row r="469" spans="1:4" x14ac:dyDescent="0.25">
      <c r="A469" t="s">
        <v>1616</v>
      </c>
      <c r="B469">
        <v>6</v>
      </c>
      <c r="C469" s="54">
        <v>43132</v>
      </c>
      <c r="D469" s="3" t="str">
        <f>YEAR(Datos_Consumo[[#This Row],[FECHA]])&amp;"-"&amp;MONTH(Datos_Consumo[[#This Row],[FECHA]])</f>
        <v>2018-2</v>
      </c>
    </row>
    <row r="470" spans="1:4" x14ac:dyDescent="0.25">
      <c r="A470" t="s">
        <v>1616</v>
      </c>
      <c r="B470">
        <v>6</v>
      </c>
      <c r="C470" s="54">
        <v>43160</v>
      </c>
      <c r="D470" s="3" t="str">
        <f>YEAR(Datos_Consumo[[#This Row],[FECHA]])&amp;"-"&amp;MONTH(Datos_Consumo[[#This Row],[FECHA]])</f>
        <v>2018-3</v>
      </c>
    </row>
    <row r="471" spans="1:4" x14ac:dyDescent="0.25">
      <c r="A471" t="s">
        <v>1616</v>
      </c>
      <c r="B471">
        <v>8</v>
      </c>
      <c r="C471" s="54">
        <v>43191</v>
      </c>
      <c r="D471" s="3" t="str">
        <f>YEAR(Datos_Consumo[[#This Row],[FECHA]])&amp;"-"&amp;MONTH(Datos_Consumo[[#This Row],[FECHA]])</f>
        <v>2018-4</v>
      </c>
    </row>
    <row r="472" spans="1:4" x14ac:dyDescent="0.25">
      <c r="A472" t="s">
        <v>1616</v>
      </c>
      <c r="B472">
        <v>2</v>
      </c>
      <c r="C472" s="54">
        <v>43221</v>
      </c>
      <c r="D472" s="3" t="str">
        <f>YEAR(Datos_Consumo[[#This Row],[FECHA]])&amp;"-"&amp;MONTH(Datos_Consumo[[#This Row],[FECHA]])</f>
        <v>2018-5</v>
      </c>
    </row>
    <row r="473" spans="1:4" x14ac:dyDescent="0.25">
      <c r="A473" t="s">
        <v>1617</v>
      </c>
      <c r="B473">
        <v>79</v>
      </c>
      <c r="C473" s="54">
        <v>43070</v>
      </c>
      <c r="D473" s="3" t="str">
        <f>YEAR(Datos_Consumo[[#This Row],[FECHA]])&amp;"-"&amp;MONTH(Datos_Consumo[[#This Row],[FECHA]])</f>
        <v>2017-12</v>
      </c>
    </row>
    <row r="474" spans="1:4" x14ac:dyDescent="0.25">
      <c r="A474" t="s">
        <v>1617</v>
      </c>
      <c r="B474">
        <v>6</v>
      </c>
      <c r="C474" s="54">
        <v>43101</v>
      </c>
      <c r="D474" s="3" t="str">
        <f>YEAR(Datos_Consumo[[#This Row],[FECHA]])&amp;"-"&amp;MONTH(Datos_Consumo[[#This Row],[FECHA]])</f>
        <v>2018-1</v>
      </c>
    </row>
    <row r="475" spans="1:4" x14ac:dyDescent="0.25">
      <c r="A475" t="s">
        <v>1617</v>
      </c>
      <c r="B475">
        <v>5</v>
      </c>
      <c r="C475" s="54">
        <v>43132</v>
      </c>
      <c r="D475" s="3" t="str">
        <f>YEAR(Datos_Consumo[[#This Row],[FECHA]])&amp;"-"&amp;MONTH(Datos_Consumo[[#This Row],[FECHA]])</f>
        <v>2018-2</v>
      </c>
    </row>
    <row r="476" spans="1:4" x14ac:dyDescent="0.25">
      <c r="A476" t="s">
        <v>1617</v>
      </c>
      <c r="B476">
        <v>4</v>
      </c>
      <c r="C476" s="54">
        <v>43160</v>
      </c>
      <c r="D476" s="3" t="str">
        <f>YEAR(Datos_Consumo[[#This Row],[FECHA]])&amp;"-"&amp;MONTH(Datos_Consumo[[#This Row],[FECHA]])</f>
        <v>2018-3</v>
      </c>
    </row>
    <row r="477" spans="1:4" x14ac:dyDescent="0.25">
      <c r="A477" t="s">
        <v>1617</v>
      </c>
      <c r="B477">
        <v>3</v>
      </c>
      <c r="C477" s="54">
        <v>43191</v>
      </c>
      <c r="D477" s="3" t="str">
        <f>YEAR(Datos_Consumo[[#This Row],[FECHA]])&amp;"-"&amp;MONTH(Datos_Consumo[[#This Row],[FECHA]])</f>
        <v>2018-4</v>
      </c>
    </row>
    <row r="478" spans="1:4" x14ac:dyDescent="0.25">
      <c r="A478" t="s">
        <v>1617</v>
      </c>
      <c r="B478">
        <v>3</v>
      </c>
      <c r="C478" s="54">
        <v>43221</v>
      </c>
      <c r="D478" s="3" t="str">
        <f>YEAR(Datos_Consumo[[#This Row],[FECHA]])&amp;"-"&amp;MONTH(Datos_Consumo[[#This Row],[FECHA]])</f>
        <v>2018-5</v>
      </c>
    </row>
    <row r="479" spans="1:4" x14ac:dyDescent="0.25">
      <c r="A479" t="s">
        <v>1618</v>
      </c>
      <c r="B479">
        <v>2</v>
      </c>
      <c r="C479" s="54">
        <v>43101</v>
      </c>
      <c r="D479" s="3" t="str">
        <f>YEAR(Datos_Consumo[[#This Row],[FECHA]])&amp;"-"&amp;MONTH(Datos_Consumo[[#This Row],[FECHA]])</f>
        <v>2018-1</v>
      </c>
    </row>
    <row r="480" spans="1:4" x14ac:dyDescent="0.25">
      <c r="A480" t="s">
        <v>1619</v>
      </c>
      <c r="B480">
        <v>1</v>
      </c>
      <c r="C480" s="54">
        <v>43101</v>
      </c>
      <c r="D480" s="3" t="str">
        <f>YEAR(Datos_Consumo[[#This Row],[FECHA]])&amp;"-"&amp;MONTH(Datos_Consumo[[#This Row],[FECHA]])</f>
        <v>2018-1</v>
      </c>
    </row>
    <row r="481" spans="1:4" x14ac:dyDescent="0.25">
      <c r="A481" t="s">
        <v>1620</v>
      </c>
      <c r="B481">
        <v>7</v>
      </c>
      <c r="C481" s="54">
        <v>43070</v>
      </c>
      <c r="D481" s="3" t="str">
        <f>YEAR(Datos_Consumo[[#This Row],[FECHA]])&amp;"-"&amp;MONTH(Datos_Consumo[[#This Row],[FECHA]])</f>
        <v>2017-12</v>
      </c>
    </row>
    <row r="482" spans="1:4" x14ac:dyDescent="0.25">
      <c r="A482" t="s">
        <v>1620</v>
      </c>
      <c r="B482">
        <v>2</v>
      </c>
      <c r="C482" s="54">
        <v>43101</v>
      </c>
      <c r="D482" s="3" t="str">
        <f>YEAR(Datos_Consumo[[#This Row],[FECHA]])&amp;"-"&amp;MONTH(Datos_Consumo[[#This Row],[FECHA]])</f>
        <v>2018-1</v>
      </c>
    </row>
    <row r="483" spans="1:4" x14ac:dyDescent="0.25">
      <c r="A483" t="s">
        <v>1621</v>
      </c>
      <c r="B483">
        <v>8</v>
      </c>
      <c r="C483" s="54">
        <v>43070</v>
      </c>
      <c r="D483" s="3" t="str">
        <f>YEAR(Datos_Consumo[[#This Row],[FECHA]])&amp;"-"&amp;MONTH(Datos_Consumo[[#This Row],[FECHA]])</f>
        <v>2017-12</v>
      </c>
    </row>
    <row r="484" spans="1:4" x14ac:dyDescent="0.25">
      <c r="A484" t="s">
        <v>1621</v>
      </c>
      <c r="B484">
        <v>2</v>
      </c>
      <c r="C484" s="54">
        <v>43101</v>
      </c>
      <c r="D484" s="3" t="str">
        <f>YEAR(Datos_Consumo[[#This Row],[FECHA]])&amp;"-"&amp;MONTH(Datos_Consumo[[#This Row],[FECHA]])</f>
        <v>2018-1</v>
      </c>
    </row>
    <row r="485" spans="1:4" x14ac:dyDescent="0.25">
      <c r="A485" t="s">
        <v>1621</v>
      </c>
      <c r="B485">
        <v>3</v>
      </c>
      <c r="C485" s="54">
        <v>43132</v>
      </c>
      <c r="D485" s="3" t="str">
        <f>YEAR(Datos_Consumo[[#This Row],[FECHA]])&amp;"-"&amp;MONTH(Datos_Consumo[[#This Row],[FECHA]])</f>
        <v>2018-2</v>
      </c>
    </row>
    <row r="486" spans="1:4" x14ac:dyDescent="0.25">
      <c r="A486" t="s">
        <v>1621</v>
      </c>
      <c r="B486">
        <v>4</v>
      </c>
      <c r="C486" s="54">
        <v>43160</v>
      </c>
      <c r="D486" s="3" t="str">
        <f>YEAR(Datos_Consumo[[#This Row],[FECHA]])&amp;"-"&amp;MONTH(Datos_Consumo[[#This Row],[FECHA]])</f>
        <v>2018-3</v>
      </c>
    </row>
    <row r="487" spans="1:4" x14ac:dyDescent="0.25">
      <c r="A487" t="s">
        <v>1621</v>
      </c>
      <c r="B487">
        <v>1</v>
      </c>
      <c r="C487" s="54">
        <v>43191</v>
      </c>
      <c r="D487" s="3" t="str">
        <f>YEAR(Datos_Consumo[[#This Row],[FECHA]])&amp;"-"&amp;MONTH(Datos_Consumo[[#This Row],[FECHA]])</f>
        <v>2018-4</v>
      </c>
    </row>
    <row r="488" spans="1:4" x14ac:dyDescent="0.25">
      <c r="A488" t="s">
        <v>1622</v>
      </c>
      <c r="B488">
        <v>5</v>
      </c>
      <c r="C488" s="54">
        <v>43070</v>
      </c>
      <c r="D488" s="3" t="str">
        <f>YEAR(Datos_Consumo[[#This Row],[FECHA]])&amp;"-"&amp;MONTH(Datos_Consumo[[#This Row],[FECHA]])</f>
        <v>2017-12</v>
      </c>
    </row>
    <row r="489" spans="1:4" x14ac:dyDescent="0.25">
      <c r="A489" t="s">
        <v>1622</v>
      </c>
      <c r="B489">
        <v>8</v>
      </c>
      <c r="C489" s="54">
        <v>43101</v>
      </c>
      <c r="D489" s="3" t="str">
        <f>YEAR(Datos_Consumo[[#This Row],[FECHA]])&amp;"-"&amp;MONTH(Datos_Consumo[[#This Row],[FECHA]])</f>
        <v>2018-1</v>
      </c>
    </row>
    <row r="490" spans="1:4" x14ac:dyDescent="0.25">
      <c r="A490" t="s">
        <v>1622</v>
      </c>
      <c r="B490">
        <v>1</v>
      </c>
      <c r="C490" s="54">
        <v>43132</v>
      </c>
      <c r="D490" s="3" t="str">
        <f>YEAR(Datos_Consumo[[#This Row],[FECHA]])&amp;"-"&amp;MONTH(Datos_Consumo[[#This Row],[FECHA]])</f>
        <v>2018-2</v>
      </c>
    </row>
    <row r="491" spans="1:4" x14ac:dyDescent="0.25">
      <c r="A491" t="s">
        <v>1622</v>
      </c>
      <c r="B491">
        <v>4</v>
      </c>
      <c r="C491" s="54">
        <v>43160</v>
      </c>
      <c r="D491" s="3" t="str">
        <f>YEAR(Datos_Consumo[[#This Row],[FECHA]])&amp;"-"&amp;MONTH(Datos_Consumo[[#This Row],[FECHA]])</f>
        <v>2018-3</v>
      </c>
    </row>
    <row r="492" spans="1:4" x14ac:dyDescent="0.25">
      <c r="A492" t="s">
        <v>1622</v>
      </c>
      <c r="B492">
        <v>10</v>
      </c>
      <c r="C492" s="54">
        <v>43191</v>
      </c>
      <c r="D492" s="3" t="str">
        <f>YEAR(Datos_Consumo[[#This Row],[FECHA]])&amp;"-"&amp;MONTH(Datos_Consumo[[#This Row],[FECHA]])</f>
        <v>2018-4</v>
      </c>
    </row>
    <row r="493" spans="1:4" x14ac:dyDescent="0.25">
      <c r="A493" t="s">
        <v>1622</v>
      </c>
      <c r="B493">
        <v>6</v>
      </c>
      <c r="C493" s="54">
        <v>43221</v>
      </c>
      <c r="D493" s="3" t="str">
        <f>YEAR(Datos_Consumo[[#This Row],[FECHA]])&amp;"-"&amp;MONTH(Datos_Consumo[[#This Row],[FECHA]])</f>
        <v>2018-5</v>
      </c>
    </row>
    <row r="494" spans="1:4" x14ac:dyDescent="0.25">
      <c r="A494" t="s">
        <v>1623</v>
      </c>
      <c r="B494">
        <v>4</v>
      </c>
      <c r="C494" s="54">
        <v>43070</v>
      </c>
      <c r="D494" s="3" t="str">
        <f>YEAR(Datos_Consumo[[#This Row],[FECHA]])&amp;"-"&amp;MONTH(Datos_Consumo[[#This Row],[FECHA]])</f>
        <v>2017-12</v>
      </c>
    </row>
    <row r="495" spans="1:4" x14ac:dyDescent="0.25">
      <c r="A495" t="s">
        <v>1623</v>
      </c>
      <c r="B495">
        <v>7</v>
      </c>
      <c r="C495" s="54">
        <v>43101</v>
      </c>
      <c r="D495" s="3" t="str">
        <f>YEAR(Datos_Consumo[[#This Row],[FECHA]])&amp;"-"&amp;MONTH(Datos_Consumo[[#This Row],[FECHA]])</f>
        <v>2018-1</v>
      </c>
    </row>
    <row r="496" spans="1:4" x14ac:dyDescent="0.25">
      <c r="A496" t="s">
        <v>1623</v>
      </c>
      <c r="B496">
        <v>3</v>
      </c>
      <c r="C496" s="54">
        <v>43132</v>
      </c>
      <c r="D496" s="3" t="str">
        <f>YEAR(Datos_Consumo[[#This Row],[FECHA]])&amp;"-"&amp;MONTH(Datos_Consumo[[#This Row],[FECHA]])</f>
        <v>2018-2</v>
      </c>
    </row>
    <row r="497" spans="1:4" x14ac:dyDescent="0.25">
      <c r="A497" t="s">
        <v>1623</v>
      </c>
      <c r="B497">
        <v>15</v>
      </c>
      <c r="C497" s="54">
        <v>43160</v>
      </c>
      <c r="D497" s="3" t="str">
        <f>YEAR(Datos_Consumo[[#This Row],[FECHA]])&amp;"-"&amp;MONTH(Datos_Consumo[[#This Row],[FECHA]])</f>
        <v>2018-3</v>
      </c>
    </row>
    <row r="498" spans="1:4" x14ac:dyDescent="0.25">
      <c r="A498" t="s">
        <v>1623</v>
      </c>
      <c r="B498">
        <v>3</v>
      </c>
      <c r="C498" s="54">
        <v>43191</v>
      </c>
      <c r="D498" s="3" t="str">
        <f>YEAR(Datos_Consumo[[#This Row],[FECHA]])&amp;"-"&amp;MONTH(Datos_Consumo[[#This Row],[FECHA]])</f>
        <v>2018-4</v>
      </c>
    </row>
    <row r="499" spans="1:4" x14ac:dyDescent="0.25">
      <c r="A499" t="s">
        <v>1623</v>
      </c>
      <c r="B499">
        <v>9</v>
      </c>
      <c r="C499" s="54">
        <v>43221</v>
      </c>
      <c r="D499" s="3" t="str">
        <f>YEAR(Datos_Consumo[[#This Row],[FECHA]])&amp;"-"&amp;MONTH(Datos_Consumo[[#This Row],[FECHA]])</f>
        <v>2018-5</v>
      </c>
    </row>
    <row r="500" spans="1:4" x14ac:dyDescent="0.25">
      <c r="A500" t="s">
        <v>1624</v>
      </c>
      <c r="B500">
        <v>89</v>
      </c>
      <c r="C500" s="54">
        <v>43070</v>
      </c>
      <c r="D500" s="3" t="str">
        <f>YEAR(Datos_Consumo[[#This Row],[FECHA]])&amp;"-"&amp;MONTH(Datos_Consumo[[#This Row],[FECHA]])</f>
        <v>2017-12</v>
      </c>
    </row>
    <row r="501" spans="1:4" x14ac:dyDescent="0.25">
      <c r="A501" t="s">
        <v>1624</v>
      </c>
      <c r="B501">
        <v>126</v>
      </c>
      <c r="C501" s="54">
        <v>43101</v>
      </c>
      <c r="D501" s="3" t="str">
        <f>YEAR(Datos_Consumo[[#This Row],[FECHA]])&amp;"-"&amp;MONTH(Datos_Consumo[[#This Row],[FECHA]])</f>
        <v>2018-1</v>
      </c>
    </row>
    <row r="502" spans="1:4" x14ac:dyDescent="0.25">
      <c r="A502" t="s">
        <v>1624</v>
      </c>
      <c r="B502">
        <v>63</v>
      </c>
      <c r="C502" s="54">
        <v>43132</v>
      </c>
      <c r="D502" s="3" t="str">
        <f>YEAR(Datos_Consumo[[#This Row],[FECHA]])&amp;"-"&amp;MONTH(Datos_Consumo[[#This Row],[FECHA]])</f>
        <v>2018-2</v>
      </c>
    </row>
    <row r="503" spans="1:4" x14ac:dyDescent="0.25">
      <c r="A503" t="s">
        <v>1624</v>
      </c>
      <c r="B503">
        <v>275</v>
      </c>
      <c r="C503" s="54">
        <v>43160</v>
      </c>
      <c r="D503" s="3" t="str">
        <f>YEAR(Datos_Consumo[[#This Row],[FECHA]])&amp;"-"&amp;MONTH(Datos_Consumo[[#This Row],[FECHA]])</f>
        <v>2018-3</v>
      </c>
    </row>
    <row r="504" spans="1:4" x14ac:dyDescent="0.25">
      <c r="A504" t="s">
        <v>1624</v>
      </c>
      <c r="B504">
        <v>282</v>
      </c>
      <c r="C504" s="54">
        <v>43191</v>
      </c>
      <c r="D504" s="3" t="str">
        <f>YEAR(Datos_Consumo[[#This Row],[FECHA]])&amp;"-"&amp;MONTH(Datos_Consumo[[#This Row],[FECHA]])</f>
        <v>2018-4</v>
      </c>
    </row>
    <row r="505" spans="1:4" x14ac:dyDescent="0.25">
      <c r="A505" t="s">
        <v>1624</v>
      </c>
      <c r="B505">
        <v>31</v>
      </c>
      <c r="C505" s="54">
        <v>43221</v>
      </c>
      <c r="D505" s="3" t="str">
        <f>YEAR(Datos_Consumo[[#This Row],[FECHA]])&amp;"-"&amp;MONTH(Datos_Consumo[[#This Row],[FECHA]])</f>
        <v>2018-5</v>
      </c>
    </row>
    <row r="506" spans="1:4" x14ac:dyDescent="0.25">
      <c r="A506" t="s">
        <v>1625</v>
      </c>
      <c r="B506">
        <v>18</v>
      </c>
      <c r="C506" s="54">
        <v>43070</v>
      </c>
      <c r="D506" s="3" t="str">
        <f>YEAR(Datos_Consumo[[#This Row],[FECHA]])&amp;"-"&amp;MONTH(Datos_Consumo[[#This Row],[FECHA]])</f>
        <v>2017-12</v>
      </c>
    </row>
    <row r="507" spans="1:4" x14ac:dyDescent="0.25">
      <c r="A507" t="s">
        <v>1625</v>
      </c>
      <c r="B507">
        <v>28</v>
      </c>
      <c r="C507" s="54">
        <v>43101</v>
      </c>
      <c r="D507" s="3" t="str">
        <f>YEAR(Datos_Consumo[[#This Row],[FECHA]])&amp;"-"&amp;MONTH(Datos_Consumo[[#This Row],[FECHA]])</f>
        <v>2018-1</v>
      </c>
    </row>
    <row r="508" spans="1:4" x14ac:dyDescent="0.25">
      <c r="A508" t="s">
        <v>1625</v>
      </c>
      <c r="B508">
        <v>15</v>
      </c>
      <c r="C508" s="54">
        <v>43132</v>
      </c>
      <c r="D508" s="3" t="str">
        <f>YEAR(Datos_Consumo[[#This Row],[FECHA]])&amp;"-"&amp;MONTH(Datos_Consumo[[#This Row],[FECHA]])</f>
        <v>2018-2</v>
      </c>
    </row>
    <row r="509" spans="1:4" x14ac:dyDescent="0.25">
      <c r="A509" t="s">
        <v>1625</v>
      </c>
      <c r="B509">
        <v>60</v>
      </c>
      <c r="C509" s="54">
        <v>43160</v>
      </c>
      <c r="D509" s="3" t="str">
        <f>YEAR(Datos_Consumo[[#This Row],[FECHA]])&amp;"-"&amp;MONTH(Datos_Consumo[[#This Row],[FECHA]])</f>
        <v>2018-3</v>
      </c>
    </row>
    <row r="510" spans="1:4" x14ac:dyDescent="0.25">
      <c r="A510" t="s">
        <v>1625</v>
      </c>
      <c r="B510">
        <v>20</v>
      </c>
      <c r="C510" s="54">
        <v>43191</v>
      </c>
      <c r="D510" s="3" t="str">
        <f>YEAR(Datos_Consumo[[#This Row],[FECHA]])&amp;"-"&amp;MONTH(Datos_Consumo[[#This Row],[FECHA]])</f>
        <v>2018-4</v>
      </c>
    </row>
    <row r="511" spans="1:4" x14ac:dyDescent="0.25">
      <c r="A511" t="s">
        <v>1625</v>
      </c>
      <c r="B511">
        <v>10</v>
      </c>
      <c r="C511" s="54">
        <v>43221</v>
      </c>
      <c r="D511" s="3" t="str">
        <f>YEAR(Datos_Consumo[[#This Row],[FECHA]])&amp;"-"&amp;MONTH(Datos_Consumo[[#This Row],[FECHA]])</f>
        <v>2018-5</v>
      </c>
    </row>
    <row r="512" spans="1:4" x14ac:dyDescent="0.25">
      <c r="A512" t="s">
        <v>1626</v>
      </c>
      <c r="B512">
        <v>4</v>
      </c>
      <c r="C512" s="54">
        <v>43070</v>
      </c>
      <c r="D512" s="3" t="str">
        <f>YEAR(Datos_Consumo[[#This Row],[FECHA]])&amp;"-"&amp;MONTH(Datos_Consumo[[#This Row],[FECHA]])</f>
        <v>2017-12</v>
      </c>
    </row>
    <row r="513" spans="1:4" x14ac:dyDescent="0.25">
      <c r="A513" t="s">
        <v>1626</v>
      </c>
      <c r="B513">
        <v>2</v>
      </c>
      <c r="C513" s="54">
        <v>43101</v>
      </c>
      <c r="D513" s="3" t="str">
        <f>YEAR(Datos_Consumo[[#This Row],[FECHA]])&amp;"-"&amp;MONTH(Datos_Consumo[[#This Row],[FECHA]])</f>
        <v>2018-1</v>
      </c>
    </row>
    <row r="514" spans="1:4" x14ac:dyDescent="0.25">
      <c r="A514" t="s">
        <v>1626</v>
      </c>
      <c r="B514">
        <v>7</v>
      </c>
      <c r="C514" s="54">
        <v>43132</v>
      </c>
      <c r="D514" s="3" t="str">
        <f>YEAR(Datos_Consumo[[#This Row],[FECHA]])&amp;"-"&amp;MONTH(Datos_Consumo[[#This Row],[FECHA]])</f>
        <v>2018-2</v>
      </c>
    </row>
    <row r="515" spans="1:4" x14ac:dyDescent="0.25">
      <c r="A515" t="s">
        <v>1626</v>
      </c>
      <c r="B515">
        <v>2</v>
      </c>
      <c r="C515" s="54">
        <v>43160</v>
      </c>
      <c r="D515" s="3" t="str">
        <f>YEAR(Datos_Consumo[[#This Row],[FECHA]])&amp;"-"&amp;MONTH(Datos_Consumo[[#This Row],[FECHA]])</f>
        <v>2018-3</v>
      </c>
    </row>
    <row r="516" spans="1:4" x14ac:dyDescent="0.25">
      <c r="A516" t="s">
        <v>1626</v>
      </c>
      <c r="B516">
        <v>6</v>
      </c>
      <c r="C516" s="54">
        <v>43191</v>
      </c>
      <c r="D516" s="3" t="str">
        <f>YEAR(Datos_Consumo[[#This Row],[FECHA]])&amp;"-"&amp;MONTH(Datos_Consumo[[#This Row],[FECHA]])</f>
        <v>2018-4</v>
      </c>
    </row>
    <row r="517" spans="1:4" x14ac:dyDescent="0.25">
      <c r="A517" t="s">
        <v>1627</v>
      </c>
      <c r="B517">
        <v>1</v>
      </c>
      <c r="C517" s="54">
        <v>43101</v>
      </c>
      <c r="D517" s="3" t="str">
        <f>YEAR(Datos_Consumo[[#This Row],[FECHA]])&amp;"-"&amp;MONTH(Datos_Consumo[[#This Row],[FECHA]])</f>
        <v>2018-1</v>
      </c>
    </row>
    <row r="518" spans="1:4" x14ac:dyDescent="0.25">
      <c r="A518" t="s">
        <v>1627</v>
      </c>
      <c r="B518">
        <v>3</v>
      </c>
      <c r="C518" s="54">
        <v>43132</v>
      </c>
      <c r="D518" s="3" t="str">
        <f>YEAR(Datos_Consumo[[#This Row],[FECHA]])&amp;"-"&amp;MONTH(Datos_Consumo[[#This Row],[FECHA]])</f>
        <v>2018-2</v>
      </c>
    </row>
    <row r="519" spans="1:4" x14ac:dyDescent="0.25">
      <c r="A519" t="s">
        <v>1627</v>
      </c>
      <c r="B519">
        <v>2</v>
      </c>
      <c r="C519" s="54">
        <v>43191</v>
      </c>
      <c r="D519" s="3" t="str">
        <f>YEAR(Datos_Consumo[[#This Row],[FECHA]])&amp;"-"&amp;MONTH(Datos_Consumo[[#This Row],[FECHA]])</f>
        <v>2018-4</v>
      </c>
    </row>
    <row r="520" spans="1:4" x14ac:dyDescent="0.25">
      <c r="A520" t="s">
        <v>1628</v>
      </c>
      <c r="B520">
        <v>2</v>
      </c>
      <c r="C520" s="54">
        <v>43101</v>
      </c>
      <c r="D520" s="3" t="str">
        <f>YEAR(Datos_Consumo[[#This Row],[FECHA]])&amp;"-"&amp;MONTH(Datos_Consumo[[#This Row],[FECHA]])</f>
        <v>2018-1</v>
      </c>
    </row>
    <row r="521" spans="1:4" x14ac:dyDescent="0.25">
      <c r="A521" t="s">
        <v>1629</v>
      </c>
      <c r="B521">
        <v>1</v>
      </c>
      <c r="C521" s="54">
        <v>43101</v>
      </c>
      <c r="D521" s="3" t="str">
        <f>YEAR(Datos_Consumo[[#This Row],[FECHA]])&amp;"-"&amp;MONTH(Datos_Consumo[[#This Row],[FECHA]])</f>
        <v>2018-1</v>
      </c>
    </row>
    <row r="522" spans="1:4" x14ac:dyDescent="0.25">
      <c r="A522" t="s">
        <v>1630</v>
      </c>
      <c r="B522">
        <v>1</v>
      </c>
      <c r="C522" s="54">
        <v>43101</v>
      </c>
      <c r="D522" s="3" t="str">
        <f>YEAR(Datos_Consumo[[#This Row],[FECHA]])&amp;"-"&amp;MONTH(Datos_Consumo[[#This Row],[FECHA]])</f>
        <v>2018-1</v>
      </c>
    </row>
    <row r="523" spans="1:4" x14ac:dyDescent="0.25">
      <c r="A523" t="s">
        <v>1631</v>
      </c>
      <c r="B523">
        <v>2</v>
      </c>
      <c r="C523" s="54">
        <v>43101</v>
      </c>
      <c r="D523" s="3" t="str">
        <f>YEAR(Datos_Consumo[[#This Row],[FECHA]])&amp;"-"&amp;MONTH(Datos_Consumo[[#This Row],[FECHA]])</f>
        <v>2018-1</v>
      </c>
    </row>
    <row r="524" spans="1:4" x14ac:dyDescent="0.25">
      <c r="A524" t="s">
        <v>1632</v>
      </c>
      <c r="B524">
        <v>2</v>
      </c>
      <c r="C524" s="54">
        <v>43101</v>
      </c>
      <c r="D524" s="3" t="str">
        <f>YEAR(Datos_Consumo[[#This Row],[FECHA]])&amp;"-"&amp;MONTH(Datos_Consumo[[#This Row],[FECHA]])</f>
        <v>2018-1</v>
      </c>
    </row>
    <row r="525" spans="1:4" x14ac:dyDescent="0.25">
      <c r="A525" t="s">
        <v>1633</v>
      </c>
      <c r="B525">
        <v>1</v>
      </c>
      <c r="C525" s="54">
        <v>43160</v>
      </c>
      <c r="D525" s="3" t="str">
        <f>YEAR(Datos_Consumo[[#This Row],[FECHA]])&amp;"-"&amp;MONTH(Datos_Consumo[[#This Row],[FECHA]])</f>
        <v>2018-3</v>
      </c>
    </row>
    <row r="526" spans="1:4" x14ac:dyDescent="0.25">
      <c r="A526" t="s">
        <v>1633</v>
      </c>
      <c r="B526">
        <v>4</v>
      </c>
      <c r="C526" s="54">
        <v>43191</v>
      </c>
      <c r="D526" s="3" t="str">
        <f>YEAR(Datos_Consumo[[#This Row],[FECHA]])&amp;"-"&amp;MONTH(Datos_Consumo[[#This Row],[FECHA]])</f>
        <v>2018-4</v>
      </c>
    </row>
    <row r="527" spans="1:4" x14ac:dyDescent="0.25">
      <c r="A527" t="s">
        <v>1634</v>
      </c>
      <c r="B527">
        <v>1</v>
      </c>
      <c r="C527" s="54">
        <v>43070</v>
      </c>
      <c r="D527" s="3" t="str">
        <f>YEAR(Datos_Consumo[[#This Row],[FECHA]])&amp;"-"&amp;MONTH(Datos_Consumo[[#This Row],[FECHA]])</f>
        <v>2017-12</v>
      </c>
    </row>
    <row r="528" spans="1:4" x14ac:dyDescent="0.25">
      <c r="A528" t="s">
        <v>1634</v>
      </c>
      <c r="B528">
        <v>2</v>
      </c>
      <c r="C528" s="54">
        <v>43132</v>
      </c>
      <c r="D528" s="3" t="str">
        <f>YEAR(Datos_Consumo[[#This Row],[FECHA]])&amp;"-"&amp;MONTH(Datos_Consumo[[#This Row],[FECHA]])</f>
        <v>2018-2</v>
      </c>
    </row>
    <row r="529" spans="1:4" x14ac:dyDescent="0.25">
      <c r="A529" t="s">
        <v>1635</v>
      </c>
      <c r="B529">
        <v>1</v>
      </c>
      <c r="C529" s="54">
        <v>43101</v>
      </c>
      <c r="D529" s="3" t="str">
        <f>YEAR(Datos_Consumo[[#This Row],[FECHA]])&amp;"-"&amp;MONTH(Datos_Consumo[[#This Row],[FECHA]])</f>
        <v>2018-1</v>
      </c>
    </row>
    <row r="530" spans="1:4" x14ac:dyDescent="0.25">
      <c r="A530" t="s">
        <v>1636</v>
      </c>
      <c r="B530">
        <v>2</v>
      </c>
      <c r="C530" s="54">
        <v>43101</v>
      </c>
      <c r="D530" s="3" t="str">
        <f>YEAR(Datos_Consumo[[#This Row],[FECHA]])&amp;"-"&amp;MONTH(Datos_Consumo[[#This Row],[FECHA]])</f>
        <v>2018-1</v>
      </c>
    </row>
    <row r="531" spans="1:4" x14ac:dyDescent="0.25">
      <c r="A531" t="s">
        <v>1636</v>
      </c>
      <c r="B531">
        <v>16</v>
      </c>
      <c r="C531" s="54">
        <v>43132</v>
      </c>
      <c r="D531" s="3" t="str">
        <f>YEAR(Datos_Consumo[[#This Row],[FECHA]])&amp;"-"&amp;MONTH(Datos_Consumo[[#This Row],[FECHA]])</f>
        <v>2018-2</v>
      </c>
    </row>
    <row r="532" spans="1:4" x14ac:dyDescent="0.25">
      <c r="A532" t="s">
        <v>1636</v>
      </c>
      <c r="B532">
        <v>8</v>
      </c>
      <c r="C532" s="54">
        <v>43160</v>
      </c>
      <c r="D532" s="3" t="str">
        <f>YEAR(Datos_Consumo[[#This Row],[FECHA]])&amp;"-"&amp;MONTH(Datos_Consumo[[#This Row],[FECHA]])</f>
        <v>2018-3</v>
      </c>
    </row>
    <row r="533" spans="1:4" x14ac:dyDescent="0.25">
      <c r="A533" t="s">
        <v>1636</v>
      </c>
      <c r="B533">
        <v>10</v>
      </c>
      <c r="C533" s="54">
        <v>43191</v>
      </c>
      <c r="D533" s="3" t="str">
        <f>YEAR(Datos_Consumo[[#This Row],[FECHA]])&amp;"-"&amp;MONTH(Datos_Consumo[[#This Row],[FECHA]])</f>
        <v>2018-4</v>
      </c>
    </row>
    <row r="534" spans="1:4" x14ac:dyDescent="0.25">
      <c r="A534" t="s">
        <v>1637</v>
      </c>
      <c r="B534">
        <v>2</v>
      </c>
      <c r="C534" s="54">
        <v>43101</v>
      </c>
      <c r="D534" s="3" t="str">
        <f>YEAR(Datos_Consumo[[#This Row],[FECHA]])&amp;"-"&amp;MONTH(Datos_Consumo[[#This Row],[FECHA]])</f>
        <v>2018-1</v>
      </c>
    </row>
    <row r="535" spans="1:4" x14ac:dyDescent="0.25">
      <c r="A535" t="s">
        <v>1637</v>
      </c>
      <c r="B535">
        <v>2</v>
      </c>
      <c r="C535" s="54">
        <v>43160</v>
      </c>
      <c r="D535" s="3" t="str">
        <f>YEAR(Datos_Consumo[[#This Row],[FECHA]])&amp;"-"&amp;MONTH(Datos_Consumo[[#This Row],[FECHA]])</f>
        <v>2018-3</v>
      </c>
    </row>
    <row r="536" spans="1:4" x14ac:dyDescent="0.25">
      <c r="A536" t="s">
        <v>1638</v>
      </c>
      <c r="B536">
        <v>5</v>
      </c>
      <c r="C536" s="54">
        <v>43070</v>
      </c>
      <c r="D536" s="3" t="str">
        <f>YEAR(Datos_Consumo[[#This Row],[FECHA]])&amp;"-"&amp;MONTH(Datos_Consumo[[#This Row],[FECHA]])</f>
        <v>2017-12</v>
      </c>
    </row>
    <row r="537" spans="1:4" x14ac:dyDescent="0.25">
      <c r="A537" t="s">
        <v>1638</v>
      </c>
      <c r="B537">
        <v>3</v>
      </c>
      <c r="C537" s="54">
        <v>43160</v>
      </c>
      <c r="D537" s="3" t="str">
        <f>YEAR(Datos_Consumo[[#This Row],[FECHA]])&amp;"-"&amp;MONTH(Datos_Consumo[[#This Row],[FECHA]])</f>
        <v>2018-3</v>
      </c>
    </row>
    <row r="538" spans="1:4" x14ac:dyDescent="0.25">
      <c r="A538" t="s">
        <v>1638</v>
      </c>
      <c r="B538">
        <v>3</v>
      </c>
      <c r="C538" s="54">
        <v>43191</v>
      </c>
      <c r="D538" s="3" t="str">
        <f>YEAR(Datos_Consumo[[#This Row],[FECHA]])&amp;"-"&amp;MONTH(Datos_Consumo[[#This Row],[FECHA]])</f>
        <v>2018-4</v>
      </c>
    </row>
    <row r="539" spans="1:4" x14ac:dyDescent="0.25">
      <c r="A539" t="s">
        <v>1639</v>
      </c>
      <c r="B539">
        <v>2</v>
      </c>
      <c r="C539" s="54">
        <v>43070</v>
      </c>
      <c r="D539" s="3" t="str">
        <f>YEAR(Datos_Consumo[[#This Row],[FECHA]])&amp;"-"&amp;MONTH(Datos_Consumo[[#This Row],[FECHA]])</f>
        <v>2017-12</v>
      </c>
    </row>
    <row r="540" spans="1:4" x14ac:dyDescent="0.25">
      <c r="A540" t="s">
        <v>1639</v>
      </c>
      <c r="B540">
        <v>4</v>
      </c>
      <c r="C540" s="54">
        <v>43101</v>
      </c>
      <c r="D540" s="3" t="str">
        <f>YEAR(Datos_Consumo[[#This Row],[FECHA]])&amp;"-"&amp;MONTH(Datos_Consumo[[#This Row],[FECHA]])</f>
        <v>2018-1</v>
      </c>
    </row>
    <row r="541" spans="1:4" x14ac:dyDescent="0.25">
      <c r="A541" t="s">
        <v>1639</v>
      </c>
      <c r="B541">
        <v>3</v>
      </c>
      <c r="C541" s="54">
        <v>43160</v>
      </c>
      <c r="D541" s="3" t="str">
        <f>YEAR(Datos_Consumo[[#This Row],[FECHA]])&amp;"-"&amp;MONTH(Datos_Consumo[[#This Row],[FECHA]])</f>
        <v>2018-3</v>
      </c>
    </row>
    <row r="542" spans="1:4" x14ac:dyDescent="0.25">
      <c r="A542" t="s">
        <v>1640</v>
      </c>
      <c r="B542">
        <v>8</v>
      </c>
      <c r="C542" s="54">
        <v>43070</v>
      </c>
      <c r="D542" s="3" t="str">
        <f>YEAR(Datos_Consumo[[#This Row],[FECHA]])&amp;"-"&amp;MONTH(Datos_Consumo[[#This Row],[FECHA]])</f>
        <v>2017-12</v>
      </c>
    </row>
    <row r="543" spans="1:4" x14ac:dyDescent="0.25">
      <c r="A543" t="s">
        <v>1640</v>
      </c>
      <c r="B543">
        <v>5</v>
      </c>
      <c r="C543" s="54">
        <v>43101</v>
      </c>
      <c r="D543" s="3" t="str">
        <f>YEAR(Datos_Consumo[[#This Row],[FECHA]])&amp;"-"&amp;MONTH(Datos_Consumo[[#This Row],[FECHA]])</f>
        <v>2018-1</v>
      </c>
    </row>
    <row r="544" spans="1:4" x14ac:dyDescent="0.25">
      <c r="A544" t="s">
        <v>1640</v>
      </c>
      <c r="B544">
        <v>5</v>
      </c>
      <c r="C544" s="54">
        <v>43132</v>
      </c>
      <c r="D544" s="3" t="str">
        <f>YEAR(Datos_Consumo[[#This Row],[FECHA]])&amp;"-"&amp;MONTH(Datos_Consumo[[#This Row],[FECHA]])</f>
        <v>2018-2</v>
      </c>
    </row>
    <row r="545" spans="1:4" x14ac:dyDescent="0.25">
      <c r="A545" t="s">
        <v>1640</v>
      </c>
      <c r="B545">
        <v>1</v>
      </c>
      <c r="C545" s="54">
        <v>43160</v>
      </c>
      <c r="D545" s="3" t="str">
        <f>YEAR(Datos_Consumo[[#This Row],[FECHA]])&amp;"-"&amp;MONTH(Datos_Consumo[[#This Row],[FECHA]])</f>
        <v>2018-3</v>
      </c>
    </row>
    <row r="546" spans="1:4" x14ac:dyDescent="0.25">
      <c r="A546" t="s">
        <v>1640</v>
      </c>
      <c r="B546">
        <v>6</v>
      </c>
      <c r="C546" s="54">
        <v>43191</v>
      </c>
      <c r="D546" s="3" t="str">
        <f>YEAR(Datos_Consumo[[#This Row],[FECHA]])&amp;"-"&amp;MONTH(Datos_Consumo[[#This Row],[FECHA]])</f>
        <v>2018-4</v>
      </c>
    </row>
    <row r="547" spans="1:4" x14ac:dyDescent="0.25">
      <c r="A547" t="s">
        <v>1640</v>
      </c>
      <c r="B547">
        <v>4</v>
      </c>
      <c r="C547" s="54">
        <v>43221</v>
      </c>
      <c r="D547" s="3" t="str">
        <f>YEAR(Datos_Consumo[[#This Row],[FECHA]])&amp;"-"&amp;MONTH(Datos_Consumo[[#This Row],[FECHA]])</f>
        <v>2018-5</v>
      </c>
    </row>
    <row r="548" spans="1:4" x14ac:dyDescent="0.25">
      <c r="A548" t="s">
        <v>1641</v>
      </c>
      <c r="B548">
        <v>2</v>
      </c>
      <c r="C548" s="54">
        <v>43191</v>
      </c>
      <c r="D548" s="3" t="str">
        <f>YEAR(Datos_Consumo[[#This Row],[FECHA]])&amp;"-"&amp;MONTH(Datos_Consumo[[#This Row],[FECHA]])</f>
        <v>2018-4</v>
      </c>
    </row>
    <row r="549" spans="1:4" x14ac:dyDescent="0.25">
      <c r="A549" t="s">
        <v>1641</v>
      </c>
      <c r="B549">
        <v>1</v>
      </c>
      <c r="C549" s="54">
        <v>43221</v>
      </c>
      <c r="D549" s="3" t="str">
        <f>YEAR(Datos_Consumo[[#This Row],[FECHA]])&amp;"-"&amp;MONTH(Datos_Consumo[[#This Row],[FECHA]])</f>
        <v>2018-5</v>
      </c>
    </row>
    <row r="550" spans="1:4" x14ac:dyDescent="0.25">
      <c r="A550" t="s">
        <v>1642</v>
      </c>
      <c r="B550">
        <v>8</v>
      </c>
      <c r="C550" s="54">
        <v>43132</v>
      </c>
      <c r="D550" s="3" t="str">
        <f>YEAR(Datos_Consumo[[#This Row],[FECHA]])&amp;"-"&amp;MONTH(Datos_Consumo[[#This Row],[FECHA]])</f>
        <v>2018-2</v>
      </c>
    </row>
    <row r="551" spans="1:4" x14ac:dyDescent="0.25">
      <c r="A551" t="s">
        <v>1642</v>
      </c>
      <c r="B551">
        <v>3</v>
      </c>
      <c r="C551" s="54">
        <v>43191</v>
      </c>
      <c r="D551" s="3" t="str">
        <f>YEAR(Datos_Consumo[[#This Row],[FECHA]])&amp;"-"&amp;MONTH(Datos_Consumo[[#This Row],[FECHA]])</f>
        <v>2018-4</v>
      </c>
    </row>
    <row r="552" spans="1:4" x14ac:dyDescent="0.25">
      <c r="A552" t="s">
        <v>4038</v>
      </c>
      <c r="B552">
        <v>1</v>
      </c>
      <c r="C552" s="54">
        <v>43191</v>
      </c>
      <c r="D552" s="3" t="str">
        <f>YEAR(Datos_Consumo[[#This Row],[FECHA]])&amp;"-"&amp;MONTH(Datos_Consumo[[#This Row],[FECHA]])</f>
        <v>2018-4</v>
      </c>
    </row>
    <row r="553" spans="1:4" x14ac:dyDescent="0.25">
      <c r="A553" t="s">
        <v>1643</v>
      </c>
      <c r="B553">
        <v>3</v>
      </c>
      <c r="C553" s="54">
        <v>43070</v>
      </c>
      <c r="D553" s="3" t="str">
        <f>YEAR(Datos_Consumo[[#This Row],[FECHA]])&amp;"-"&amp;MONTH(Datos_Consumo[[#This Row],[FECHA]])</f>
        <v>2017-12</v>
      </c>
    </row>
    <row r="554" spans="1:4" x14ac:dyDescent="0.25">
      <c r="A554" t="s">
        <v>1643</v>
      </c>
      <c r="B554">
        <v>8</v>
      </c>
      <c r="C554" s="54">
        <v>43101</v>
      </c>
      <c r="D554" s="3" t="str">
        <f>YEAR(Datos_Consumo[[#This Row],[FECHA]])&amp;"-"&amp;MONTH(Datos_Consumo[[#This Row],[FECHA]])</f>
        <v>2018-1</v>
      </c>
    </row>
    <row r="555" spans="1:4" x14ac:dyDescent="0.25">
      <c r="A555" t="s">
        <v>1643</v>
      </c>
      <c r="B555">
        <v>5</v>
      </c>
      <c r="C555" s="54">
        <v>43132</v>
      </c>
      <c r="D555" s="3" t="str">
        <f>YEAR(Datos_Consumo[[#This Row],[FECHA]])&amp;"-"&amp;MONTH(Datos_Consumo[[#This Row],[FECHA]])</f>
        <v>2018-2</v>
      </c>
    </row>
    <row r="556" spans="1:4" x14ac:dyDescent="0.25">
      <c r="A556" t="s">
        <v>1643</v>
      </c>
      <c r="B556">
        <v>8</v>
      </c>
      <c r="C556" s="54">
        <v>43160</v>
      </c>
      <c r="D556" s="3" t="str">
        <f>YEAR(Datos_Consumo[[#This Row],[FECHA]])&amp;"-"&amp;MONTH(Datos_Consumo[[#This Row],[FECHA]])</f>
        <v>2018-3</v>
      </c>
    </row>
    <row r="557" spans="1:4" x14ac:dyDescent="0.25">
      <c r="A557" t="s">
        <v>1643</v>
      </c>
      <c r="B557">
        <v>15</v>
      </c>
      <c r="C557" s="54">
        <v>43191</v>
      </c>
      <c r="D557" s="3" t="str">
        <f>YEAR(Datos_Consumo[[#This Row],[FECHA]])&amp;"-"&amp;MONTH(Datos_Consumo[[#This Row],[FECHA]])</f>
        <v>2018-4</v>
      </c>
    </row>
    <row r="558" spans="1:4" x14ac:dyDescent="0.25">
      <c r="A558" t="s">
        <v>1643</v>
      </c>
      <c r="B558">
        <v>5</v>
      </c>
      <c r="C558" s="54">
        <v>43221</v>
      </c>
      <c r="D558" s="3" t="str">
        <f>YEAR(Datos_Consumo[[#This Row],[FECHA]])&amp;"-"&amp;MONTH(Datos_Consumo[[#This Row],[FECHA]])</f>
        <v>2018-5</v>
      </c>
    </row>
    <row r="559" spans="1:4" x14ac:dyDescent="0.25">
      <c r="A559" t="s">
        <v>1644</v>
      </c>
      <c r="B559">
        <v>1</v>
      </c>
      <c r="C559" s="54">
        <v>43160</v>
      </c>
      <c r="D559" s="3" t="str">
        <f>YEAR(Datos_Consumo[[#This Row],[FECHA]])&amp;"-"&amp;MONTH(Datos_Consumo[[#This Row],[FECHA]])</f>
        <v>2018-3</v>
      </c>
    </row>
    <row r="560" spans="1:4" x14ac:dyDescent="0.25">
      <c r="A560" t="s">
        <v>1644</v>
      </c>
      <c r="B560">
        <v>1</v>
      </c>
      <c r="C560" s="54">
        <v>43191</v>
      </c>
      <c r="D560" s="3" t="str">
        <f>YEAR(Datos_Consumo[[#This Row],[FECHA]])&amp;"-"&amp;MONTH(Datos_Consumo[[#This Row],[FECHA]])</f>
        <v>2018-4</v>
      </c>
    </row>
    <row r="561" spans="1:4" x14ac:dyDescent="0.25">
      <c r="A561" t="s">
        <v>1645</v>
      </c>
      <c r="B561">
        <v>1</v>
      </c>
      <c r="C561" s="54">
        <v>43101</v>
      </c>
      <c r="D561" s="3" t="str">
        <f>YEAR(Datos_Consumo[[#This Row],[FECHA]])&amp;"-"&amp;MONTH(Datos_Consumo[[#This Row],[FECHA]])</f>
        <v>2018-1</v>
      </c>
    </row>
    <row r="562" spans="1:4" x14ac:dyDescent="0.25">
      <c r="A562" t="s">
        <v>1645</v>
      </c>
      <c r="B562">
        <v>1</v>
      </c>
      <c r="C562" s="54">
        <v>43132</v>
      </c>
      <c r="D562" s="3" t="str">
        <f>YEAR(Datos_Consumo[[#This Row],[FECHA]])&amp;"-"&amp;MONTH(Datos_Consumo[[#This Row],[FECHA]])</f>
        <v>2018-2</v>
      </c>
    </row>
    <row r="563" spans="1:4" x14ac:dyDescent="0.25">
      <c r="A563" t="s">
        <v>1645</v>
      </c>
      <c r="B563">
        <v>1</v>
      </c>
      <c r="C563" s="54">
        <v>43160</v>
      </c>
      <c r="D563" s="3" t="str">
        <f>YEAR(Datos_Consumo[[#This Row],[FECHA]])&amp;"-"&amp;MONTH(Datos_Consumo[[#This Row],[FECHA]])</f>
        <v>2018-3</v>
      </c>
    </row>
    <row r="564" spans="1:4" x14ac:dyDescent="0.25">
      <c r="A564" t="s">
        <v>1645</v>
      </c>
      <c r="B564">
        <v>2</v>
      </c>
      <c r="C564" s="54">
        <v>43191</v>
      </c>
      <c r="D564" s="3" t="str">
        <f>YEAR(Datos_Consumo[[#This Row],[FECHA]])&amp;"-"&amp;MONTH(Datos_Consumo[[#This Row],[FECHA]])</f>
        <v>2018-4</v>
      </c>
    </row>
    <row r="565" spans="1:4" x14ac:dyDescent="0.25">
      <c r="A565" t="s">
        <v>1646</v>
      </c>
      <c r="B565">
        <v>1</v>
      </c>
      <c r="C565" s="54">
        <v>43070</v>
      </c>
      <c r="D565" s="3" t="str">
        <f>YEAR(Datos_Consumo[[#This Row],[FECHA]])&amp;"-"&amp;MONTH(Datos_Consumo[[#This Row],[FECHA]])</f>
        <v>2017-12</v>
      </c>
    </row>
    <row r="566" spans="1:4" x14ac:dyDescent="0.25">
      <c r="A566" t="s">
        <v>1646</v>
      </c>
      <c r="B566">
        <v>1</v>
      </c>
      <c r="C566" s="54">
        <v>43101</v>
      </c>
      <c r="D566" s="3" t="str">
        <f>YEAR(Datos_Consumo[[#This Row],[FECHA]])&amp;"-"&amp;MONTH(Datos_Consumo[[#This Row],[FECHA]])</f>
        <v>2018-1</v>
      </c>
    </row>
    <row r="567" spans="1:4" x14ac:dyDescent="0.25">
      <c r="A567" t="s">
        <v>1646</v>
      </c>
      <c r="B567">
        <v>5</v>
      </c>
      <c r="C567" s="54">
        <v>43160</v>
      </c>
      <c r="D567" s="3" t="str">
        <f>YEAR(Datos_Consumo[[#This Row],[FECHA]])&amp;"-"&amp;MONTH(Datos_Consumo[[#This Row],[FECHA]])</f>
        <v>2018-3</v>
      </c>
    </row>
    <row r="568" spans="1:4" x14ac:dyDescent="0.25">
      <c r="A568" t="s">
        <v>1646</v>
      </c>
      <c r="B568">
        <v>3</v>
      </c>
      <c r="C568" s="54">
        <v>43191</v>
      </c>
      <c r="D568" s="3" t="str">
        <f>YEAR(Datos_Consumo[[#This Row],[FECHA]])&amp;"-"&amp;MONTH(Datos_Consumo[[#This Row],[FECHA]])</f>
        <v>2018-4</v>
      </c>
    </row>
    <row r="569" spans="1:4" x14ac:dyDescent="0.25">
      <c r="A569" t="s">
        <v>1647</v>
      </c>
      <c r="B569">
        <v>3</v>
      </c>
      <c r="C569" s="54">
        <v>43132</v>
      </c>
      <c r="D569" s="3" t="str">
        <f>YEAR(Datos_Consumo[[#This Row],[FECHA]])&amp;"-"&amp;MONTH(Datos_Consumo[[#This Row],[FECHA]])</f>
        <v>2018-2</v>
      </c>
    </row>
    <row r="570" spans="1:4" x14ac:dyDescent="0.25">
      <c r="A570" t="s">
        <v>1647</v>
      </c>
      <c r="B570">
        <v>4</v>
      </c>
      <c r="C570" s="54">
        <v>43191</v>
      </c>
      <c r="D570" s="3" t="str">
        <f>YEAR(Datos_Consumo[[#This Row],[FECHA]])&amp;"-"&amp;MONTH(Datos_Consumo[[#This Row],[FECHA]])</f>
        <v>2018-4</v>
      </c>
    </row>
    <row r="571" spans="1:4" x14ac:dyDescent="0.25">
      <c r="A571" t="s">
        <v>1648</v>
      </c>
      <c r="B571">
        <v>1</v>
      </c>
      <c r="C571" s="54">
        <v>43101</v>
      </c>
      <c r="D571" s="3" t="str">
        <f>YEAR(Datos_Consumo[[#This Row],[FECHA]])&amp;"-"&amp;MONTH(Datos_Consumo[[#This Row],[FECHA]])</f>
        <v>2018-1</v>
      </c>
    </row>
    <row r="572" spans="1:4" x14ac:dyDescent="0.25">
      <c r="A572" t="s">
        <v>1649</v>
      </c>
      <c r="B572">
        <v>1</v>
      </c>
      <c r="C572" s="54">
        <v>43132</v>
      </c>
      <c r="D572" s="3" t="str">
        <f>YEAR(Datos_Consumo[[#This Row],[FECHA]])&amp;"-"&amp;MONTH(Datos_Consumo[[#This Row],[FECHA]])</f>
        <v>2018-2</v>
      </c>
    </row>
    <row r="573" spans="1:4" x14ac:dyDescent="0.25">
      <c r="A573" t="s">
        <v>1649</v>
      </c>
      <c r="B573">
        <v>1</v>
      </c>
      <c r="C573" s="54">
        <v>43160</v>
      </c>
      <c r="D573" s="3" t="str">
        <f>YEAR(Datos_Consumo[[#This Row],[FECHA]])&amp;"-"&amp;MONTH(Datos_Consumo[[#This Row],[FECHA]])</f>
        <v>2018-3</v>
      </c>
    </row>
    <row r="574" spans="1:4" x14ac:dyDescent="0.25">
      <c r="A574" t="s">
        <v>1650</v>
      </c>
      <c r="B574">
        <v>3</v>
      </c>
      <c r="C574" s="54">
        <v>43070</v>
      </c>
      <c r="D574" s="3" t="str">
        <f>YEAR(Datos_Consumo[[#This Row],[FECHA]])&amp;"-"&amp;MONTH(Datos_Consumo[[#This Row],[FECHA]])</f>
        <v>2017-12</v>
      </c>
    </row>
    <row r="575" spans="1:4" x14ac:dyDescent="0.25">
      <c r="A575" t="s">
        <v>1650</v>
      </c>
      <c r="B575">
        <v>14</v>
      </c>
      <c r="C575" s="54">
        <v>43101</v>
      </c>
      <c r="D575" s="3" t="str">
        <f>YEAR(Datos_Consumo[[#This Row],[FECHA]])&amp;"-"&amp;MONTH(Datos_Consumo[[#This Row],[FECHA]])</f>
        <v>2018-1</v>
      </c>
    </row>
    <row r="576" spans="1:4" x14ac:dyDescent="0.25">
      <c r="A576" t="s">
        <v>1650</v>
      </c>
      <c r="B576">
        <v>5</v>
      </c>
      <c r="C576" s="54">
        <v>43132</v>
      </c>
      <c r="D576" s="3" t="str">
        <f>YEAR(Datos_Consumo[[#This Row],[FECHA]])&amp;"-"&amp;MONTH(Datos_Consumo[[#This Row],[FECHA]])</f>
        <v>2018-2</v>
      </c>
    </row>
    <row r="577" spans="1:4" x14ac:dyDescent="0.25">
      <c r="A577" t="s">
        <v>1650</v>
      </c>
      <c r="B577">
        <v>5</v>
      </c>
      <c r="C577" s="54">
        <v>43160</v>
      </c>
      <c r="D577" s="3" t="str">
        <f>YEAR(Datos_Consumo[[#This Row],[FECHA]])&amp;"-"&amp;MONTH(Datos_Consumo[[#This Row],[FECHA]])</f>
        <v>2018-3</v>
      </c>
    </row>
    <row r="578" spans="1:4" x14ac:dyDescent="0.25">
      <c r="A578" t="s">
        <v>1650</v>
      </c>
      <c r="B578">
        <v>4</v>
      </c>
      <c r="C578" s="54">
        <v>43191</v>
      </c>
      <c r="D578" s="3" t="str">
        <f>YEAR(Datos_Consumo[[#This Row],[FECHA]])&amp;"-"&amp;MONTH(Datos_Consumo[[#This Row],[FECHA]])</f>
        <v>2018-4</v>
      </c>
    </row>
    <row r="579" spans="1:4" x14ac:dyDescent="0.25">
      <c r="A579" t="s">
        <v>1650</v>
      </c>
      <c r="B579">
        <v>1</v>
      </c>
      <c r="C579" s="54">
        <v>43221</v>
      </c>
      <c r="D579" s="3" t="str">
        <f>YEAR(Datos_Consumo[[#This Row],[FECHA]])&amp;"-"&amp;MONTH(Datos_Consumo[[#This Row],[FECHA]])</f>
        <v>2018-5</v>
      </c>
    </row>
    <row r="580" spans="1:4" x14ac:dyDescent="0.25">
      <c r="A580" t="s">
        <v>1651</v>
      </c>
      <c r="B580">
        <v>44</v>
      </c>
      <c r="C580" s="54">
        <v>43070</v>
      </c>
      <c r="D580" s="3" t="str">
        <f>YEAR(Datos_Consumo[[#This Row],[FECHA]])&amp;"-"&amp;MONTH(Datos_Consumo[[#This Row],[FECHA]])</f>
        <v>2017-12</v>
      </c>
    </row>
    <row r="581" spans="1:4" x14ac:dyDescent="0.25">
      <c r="A581" t="s">
        <v>1651</v>
      </c>
      <c r="B581">
        <v>35</v>
      </c>
      <c r="C581" s="54">
        <v>43101</v>
      </c>
      <c r="D581" s="3" t="str">
        <f>YEAR(Datos_Consumo[[#This Row],[FECHA]])&amp;"-"&amp;MONTH(Datos_Consumo[[#This Row],[FECHA]])</f>
        <v>2018-1</v>
      </c>
    </row>
    <row r="582" spans="1:4" x14ac:dyDescent="0.25">
      <c r="A582" t="s">
        <v>1651</v>
      </c>
      <c r="B582">
        <v>91</v>
      </c>
      <c r="C582" s="54">
        <v>43132</v>
      </c>
      <c r="D582" s="3" t="str">
        <f>YEAR(Datos_Consumo[[#This Row],[FECHA]])&amp;"-"&amp;MONTH(Datos_Consumo[[#This Row],[FECHA]])</f>
        <v>2018-2</v>
      </c>
    </row>
    <row r="583" spans="1:4" x14ac:dyDescent="0.25">
      <c r="A583" t="s">
        <v>1651</v>
      </c>
      <c r="B583">
        <v>37</v>
      </c>
      <c r="C583" s="54">
        <v>43160</v>
      </c>
      <c r="D583" s="3" t="str">
        <f>YEAR(Datos_Consumo[[#This Row],[FECHA]])&amp;"-"&amp;MONTH(Datos_Consumo[[#This Row],[FECHA]])</f>
        <v>2018-3</v>
      </c>
    </row>
    <row r="584" spans="1:4" x14ac:dyDescent="0.25">
      <c r="A584" t="s">
        <v>1651</v>
      </c>
      <c r="B584">
        <v>71</v>
      </c>
      <c r="C584" s="54">
        <v>43191</v>
      </c>
      <c r="D584" s="3" t="str">
        <f>YEAR(Datos_Consumo[[#This Row],[FECHA]])&amp;"-"&amp;MONTH(Datos_Consumo[[#This Row],[FECHA]])</f>
        <v>2018-4</v>
      </c>
    </row>
    <row r="585" spans="1:4" x14ac:dyDescent="0.25">
      <c r="A585" t="s">
        <v>1651</v>
      </c>
      <c r="B585">
        <v>28</v>
      </c>
      <c r="C585" s="54">
        <v>43221</v>
      </c>
      <c r="D585" s="3" t="str">
        <f>YEAR(Datos_Consumo[[#This Row],[FECHA]])&amp;"-"&amp;MONTH(Datos_Consumo[[#This Row],[FECHA]])</f>
        <v>2018-5</v>
      </c>
    </row>
    <row r="586" spans="1:4" x14ac:dyDescent="0.25">
      <c r="A586" t="s">
        <v>1652</v>
      </c>
      <c r="B586">
        <v>7</v>
      </c>
      <c r="C586" s="54">
        <v>43070</v>
      </c>
      <c r="D586" s="3" t="str">
        <f>YEAR(Datos_Consumo[[#This Row],[FECHA]])&amp;"-"&amp;MONTH(Datos_Consumo[[#This Row],[FECHA]])</f>
        <v>2017-12</v>
      </c>
    </row>
    <row r="587" spans="1:4" x14ac:dyDescent="0.25">
      <c r="A587" t="s">
        <v>1652</v>
      </c>
      <c r="B587">
        <v>23</v>
      </c>
      <c r="C587" s="54">
        <v>43101</v>
      </c>
      <c r="D587" s="3" t="str">
        <f>YEAR(Datos_Consumo[[#This Row],[FECHA]])&amp;"-"&amp;MONTH(Datos_Consumo[[#This Row],[FECHA]])</f>
        <v>2018-1</v>
      </c>
    </row>
    <row r="588" spans="1:4" x14ac:dyDescent="0.25">
      <c r="A588" t="s">
        <v>1652</v>
      </c>
      <c r="B588">
        <v>1</v>
      </c>
      <c r="C588" s="54">
        <v>43132</v>
      </c>
      <c r="D588" s="3" t="str">
        <f>YEAR(Datos_Consumo[[#This Row],[FECHA]])&amp;"-"&amp;MONTH(Datos_Consumo[[#This Row],[FECHA]])</f>
        <v>2018-2</v>
      </c>
    </row>
    <row r="589" spans="1:4" x14ac:dyDescent="0.25">
      <c r="A589" t="s">
        <v>1652</v>
      </c>
      <c r="B589">
        <v>7</v>
      </c>
      <c r="C589" s="54">
        <v>43160</v>
      </c>
      <c r="D589" s="3" t="str">
        <f>YEAR(Datos_Consumo[[#This Row],[FECHA]])&amp;"-"&amp;MONTH(Datos_Consumo[[#This Row],[FECHA]])</f>
        <v>2018-3</v>
      </c>
    </row>
    <row r="590" spans="1:4" x14ac:dyDescent="0.25">
      <c r="A590" t="s">
        <v>1652</v>
      </c>
      <c r="B590">
        <v>11</v>
      </c>
      <c r="C590" s="54">
        <v>43191</v>
      </c>
      <c r="D590" s="3" t="str">
        <f>YEAR(Datos_Consumo[[#This Row],[FECHA]])&amp;"-"&amp;MONTH(Datos_Consumo[[#This Row],[FECHA]])</f>
        <v>2018-4</v>
      </c>
    </row>
    <row r="591" spans="1:4" x14ac:dyDescent="0.25">
      <c r="A591" t="s">
        <v>1652</v>
      </c>
      <c r="B591">
        <v>1</v>
      </c>
      <c r="C591" s="54">
        <v>43221</v>
      </c>
      <c r="D591" s="3" t="str">
        <f>YEAR(Datos_Consumo[[#This Row],[FECHA]])&amp;"-"&amp;MONTH(Datos_Consumo[[#This Row],[FECHA]])</f>
        <v>2018-5</v>
      </c>
    </row>
    <row r="592" spans="1:4" x14ac:dyDescent="0.25">
      <c r="A592" t="s">
        <v>1653</v>
      </c>
      <c r="B592">
        <v>1</v>
      </c>
      <c r="C592" s="54">
        <v>43070</v>
      </c>
      <c r="D592" s="3" t="str">
        <f>YEAR(Datos_Consumo[[#This Row],[FECHA]])&amp;"-"&amp;MONTH(Datos_Consumo[[#This Row],[FECHA]])</f>
        <v>2017-12</v>
      </c>
    </row>
    <row r="593" spans="1:4" x14ac:dyDescent="0.25">
      <c r="A593" t="s">
        <v>1653</v>
      </c>
      <c r="B593">
        <v>6</v>
      </c>
      <c r="C593" s="54">
        <v>43101</v>
      </c>
      <c r="D593" s="3" t="str">
        <f>YEAR(Datos_Consumo[[#This Row],[FECHA]])&amp;"-"&amp;MONTH(Datos_Consumo[[#This Row],[FECHA]])</f>
        <v>2018-1</v>
      </c>
    </row>
    <row r="594" spans="1:4" x14ac:dyDescent="0.25">
      <c r="A594" t="s">
        <v>1653</v>
      </c>
      <c r="B594">
        <v>12</v>
      </c>
      <c r="C594" s="54">
        <v>43132</v>
      </c>
      <c r="D594" s="3" t="str">
        <f>YEAR(Datos_Consumo[[#This Row],[FECHA]])&amp;"-"&amp;MONTH(Datos_Consumo[[#This Row],[FECHA]])</f>
        <v>2018-2</v>
      </c>
    </row>
    <row r="595" spans="1:4" x14ac:dyDescent="0.25">
      <c r="A595" t="s">
        <v>1653</v>
      </c>
      <c r="B595">
        <v>13</v>
      </c>
      <c r="C595" s="54">
        <v>43160</v>
      </c>
      <c r="D595" s="3" t="str">
        <f>YEAR(Datos_Consumo[[#This Row],[FECHA]])&amp;"-"&amp;MONTH(Datos_Consumo[[#This Row],[FECHA]])</f>
        <v>2018-3</v>
      </c>
    </row>
    <row r="596" spans="1:4" x14ac:dyDescent="0.25">
      <c r="A596" t="s">
        <v>1653</v>
      </c>
      <c r="B596">
        <v>13</v>
      </c>
      <c r="C596" s="54">
        <v>43191</v>
      </c>
      <c r="D596" s="3" t="str">
        <f>YEAR(Datos_Consumo[[#This Row],[FECHA]])&amp;"-"&amp;MONTH(Datos_Consumo[[#This Row],[FECHA]])</f>
        <v>2018-4</v>
      </c>
    </row>
    <row r="597" spans="1:4" x14ac:dyDescent="0.25">
      <c r="A597" t="s">
        <v>1654</v>
      </c>
      <c r="B597">
        <v>1</v>
      </c>
      <c r="C597" s="54">
        <v>43070</v>
      </c>
      <c r="D597" s="3" t="str">
        <f>YEAR(Datos_Consumo[[#This Row],[FECHA]])&amp;"-"&amp;MONTH(Datos_Consumo[[#This Row],[FECHA]])</f>
        <v>2017-12</v>
      </c>
    </row>
    <row r="598" spans="1:4" x14ac:dyDescent="0.25">
      <c r="A598" t="s">
        <v>1655</v>
      </c>
      <c r="B598">
        <v>1</v>
      </c>
      <c r="C598" s="54">
        <v>43101</v>
      </c>
      <c r="D598" s="3" t="str">
        <f>YEAR(Datos_Consumo[[#This Row],[FECHA]])&amp;"-"&amp;MONTH(Datos_Consumo[[#This Row],[FECHA]])</f>
        <v>2018-1</v>
      </c>
    </row>
    <row r="599" spans="1:4" x14ac:dyDescent="0.25">
      <c r="A599" t="s">
        <v>1655</v>
      </c>
      <c r="B599">
        <v>2</v>
      </c>
      <c r="C599" s="54">
        <v>43191</v>
      </c>
      <c r="D599" s="3" t="str">
        <f>YEAR(Datos_Consumo[[#This Row],[FECHA]])&amp;"-"&amp;MONTH(Datos_Consumo[[#This Row],[FECHA]])</f>
        <v>2018-4</v>
      </c>
    </row>
    <row r="600" spans="1:4" x14ac:dyDescent="0.25">
      <c r="A600" t="s">
        <v>1656</v>
      </c>
      <c r="B600">
        <v>1</v>
      </c>
      <c r="C600" s="54">
        <v>43132</v>
      </c>
      <c r="D600" s="3" t="str">
        <f>YEAR(Datos_Consumo[[#This Row],[FECHA]])&amp;"-"&amp;MONTH(Datos_Consumo[[#This Row],[FECHA]])</f>
        <v>2018-2</v>
      </c>
    </row>
    <row r="601" spans="1:4" x14ac:dyDescent="0.25">
      <c r="A601" t="s">
        <v>1656</v>
      </c>
      <c r="B601">
        <v>2</v>
      </c>
      <c r="C601" s="54">
        <v>43160</v>
      </c>
      <c r="D601" s="3" t="str">
        <f>YEAR(Datos_Consumo[[#This Row],[FECHA]])&amp;"-"&amp;MONTH(Datos_Consumo[[#This Row],[FECHA]])</f>
        <v>2018-3</v>
      </c>
    </row>
    <row r="602" spans="1:4" x14ac:dyDescent="0.25">
      <c r="A602" t="s">
        <v>1656</v>
      </c>
      <c r="B602">
        <v>1</v>
      </c>
      <c r="C602" s="54">
        <v>43221</v>
      </c>
      <c r="D602" s="3" t="str">
        <f>YEAR(Datos_Consumo[[#This Row],[FECHA]])&amp;"-"&amp;MONTH(Datos_Consumo[[#This Row],[FECHA]])</f>
        <v>2018-5</v>
      </c>
    </row>
    <row r="603" spans="1:4" x14ac:dyDescent="0.25">
      <c r="A603" t="s">
        <v>1657</v>
      </c>
      <c r="B603">
        <v>2</v>
      </c>
      <c r="C603" s="54">
        <v>43160</v>
      </c>
      <c r="D603" s="3" t="str">
        <f>YEAR(Datos_Consumo[[#This Row],[FECHA]])&amp;"-"&amp;MONTH(Datos_Consumo[[#This Row],[FECHA]])</f>
        <v>2018-3</v>
      </c>
    </row>
    <row r="604" spans="1:4" x14ac:dyDescent="0.25">
      <c r="A604" t="s">
        <v>1657</v>
      </c>
      <c r="B604">
        <v>1</v>
      </c>
      <c r="C604" s="54">
        <v>43191</v>
      </c>
      <c r="D604" s="3" t="str">
        <f>YEAR(Datos_Consumo[[#This Row],[FECHA]])&amp;"-"&amp;MONTH(Datos_Consumo[[#This Row],[FECHA]])</f>
        <v>2018-4</v>
      </c>
    </row>
    <row r="605" spans="1:4" x14ac:dyDescent="0.25">
      <c r="A605" t="s">
        <v>1658</v>
      </c>
      <c r="B605">
        <v>5</v>
      </c>
      <c r="C605" s="54">
        <v>43101</v>
      </c>
      <c r="D605" s="3" t="str">
        <f>YEAR(Datos_Consumo[[#This Row],[FECHA]])&amp;"-"&amp;MONTH(Datos_Consumo[[#This Row],[FECHA]])</f>
        <v>2018-1</v>
      </c>
    </row>
    <row r="606" spans="1:4" x14ac:dyDescent="0.25">
      <c r="A606" t="s">
        <v>1658</v>
      </c>
      <c r="B606">
        <v>2</v>
      </c>
      <c r="C606" s="54">
        <v>43132</v>
      </c>
      <c r="D606" s="3" t="str">
        <f>YEAR(Datos_Consumo[[#This Row],[FECHA]])&amp;"-"&amp;MONTH(Datos_Consumo[[#This Row],[FECHA]])</f>
        <v>2018-2</v>
      </c>
    </row>
    <row r="607" spans="1:4" x14ac:dyDescent="0.25">
      <c r="A607" t="s">
        <v>1658</v>
      </c>
      <c r="B607">
        <v>3</v>
      </c>
      <c r="C607" s="54">
        <v>43160</v>
      </c>
      <c r="D607" s="3" t="str">
        <f>YEAR(Datos_Consumo[[#This Row],[FECHA]])&amp;"-"&amp;MONTH(Datos_Consumo[[#This Row],[FECHA]])</f>
        <v>2018-3</v>
      </c>
    </row>
    <row r="608" spans="1:4" x14ac:dyDescent="0.25">
      <c r="A608" t="s">
        <v>1658</v>
      </c>
      <c r="B608">
        <v>1</v>
      </c>
      <c r="C608" s="54">
        <v>43191</v>
      </c>
      <c r="D608" s="3" t="str">
        <f>YEAR(Datos_Consumo[[#This Row],[FECHA]])&amp;"-"&amp;MONTH(Datos_Consumo[[#This Row],[FECHA]])</f>
        <v>2018-4</v>
      </c>
    </row>
    <row r="609" spans="1:4" x14ac:dyDescent="0.25">
      <c r="A609" t="s">
        <v>1658</v>
      </c>
      <c r="B609">
        <v>4</v>
      </c>
      <c r="C609" s="54">
        <v>43221</v>
      </c>
      <c r="D609" s="3" t="str">
        <f>YEAR(Datos_Consumo[[#This Row],[FECHA]])&amp;"-"&amp;MONTH(Datos_Consumo[[#This Row],[FECHA]])</f>
        <v>2018-5</v>
      </c>
    </row>
    <row r="610" spans="1:4" x14ac:dyDescent="0.25">
      <c r="A610" t="s">
        <v>1659</v>
      </c>
      <c r="B610">
        <v>4</v>
      </c>
      <c r="C610" s="54">
        <v>43101</v>
      </c>
      <c r="D610" s="3" t="str">
        <f>YEAR(Datos_Consumo[[#This Row],[FECHA]])&amp;"-"&amp;MONTH(Datos_Consumo[[#This Row],[FECHA]])</f>
        <v>2018-1</v>
      </c>
    </row>
    <row r="611" spans="1:4" x14ac:dyDescent="0.25">
      <c r="A611" t="s">
        <v>1659</v>
      </c>
      <c r="B611">
        <v>2</v>
      </c>
      <c r="C611" s="54">
        <v>43160</v>
      </c>
      <c r="D611" s="3" t="str">
        <f>YEAR(Datos_Consumo[[#This Row],[FECHA]])&amp;"-"&amp;MONTH(Datos_Consumo[[#This Row],[FECHA]])</f>
        <v>2018-3</v>
      </c>
    </row>
    <row r="612" spans="1:4" x14ac:dyDescent="0.25">
      <c r="A612" t="s">
        <v>1659</v>
      </c>
      <c r="B612">
        <v>1</v>
      </c>
      <c r="C612" s="54">
        <v>43191</v>
      </c>
      <c r="D612" s="3" t="str">
        <f>YEAR(Datos_Consumo[[#This Row],[FECHA]])&amp;"-"&amp;MONTH(Datos_Consumo[[#This Row],[FECHA]])</f>
        <v>2018-4</v>
      </c>
    </row>
    <row r="613" spans="1:4" x14ac:dyDescent="0.25">
      <c r="A613" t="s">
        <v>1660</v>
      </c>
      <c r="B613">
        <v>1</v>
      </c>
      <c r="C613" s="54">
        <v>43070</v>
      </c>
      <c r="D613" s="3" t="str">
        <f>YEAR(Datos_Consumo[[#This Row],[FECHA]])&amp;"-"&amp;MONTH(Datos_Consumo[[#This Row],[FECHA]])</f>
        <v>2017-12</v>
      </c>
    </row>
    <row r="614" spans="1:4" x14ac:dyDescent="0.25">
      <c r="A614" t="s">
        <v>1660</v>
      </c>
      <c r="B614">
        <v>3</v>
      </c>
      <c r="C614" s="54">
        <v>43101</v>
      </c>
      <c r="D614" s="3" t="str">
        <f>YEAR(Datos_Consumo[[#This Row],[FECHA]])&amp;"-"&amp;MONTH(Datos_Consumo[[#This Row],[FECHA]])</f>
        <v>2018-1</v>
      </c>
    </row>
    <row r="615" spans="1:4" x14ac:dyDescent="0.25">
      <c r="A615" t="s">
        <v>1660</v>
      </c>
      <c r="B615">
        <v>4</v>
      </c>
      <c r="C615" s="54">
        <v>43132</v>
      </c>
      <c r="D615" s="3" t="str">
        <f>YEAR(Datos_Consumo[[#This Row],[FECHA]])&amp;"-"&amp;MONTH(Datos_Consumo[[#This Row],[FECHA]])</f>
        <v>2018-2</v>
      </c>
    </row>
    <row r="616" spans="1:4" x14ac:dyDescent="0.25">
      <c r="A616" t="s">
        <v>1660</v>
      </c>
      <c r="B616">
        <v>2</v>
      </c>
      <c r="C616" s="54">
        <v>43160</v>
      </c>
      <c r="D616" s="3" t="str">
        <f>YEAR(Datos_Consumo[[#This Row],[FECHA]])&amp;"-"&amp;MONTH(Datos_Consumo[[#This Row],[FECHA]])</f>
        <v>2018-3</v>
      </c>
    </row>
    <row r="617" spans="1:4" x14ac:dyDescent="0.25">
      <c r="A617" t="s">
        <v>1660</v>
      </c>
      <c r="B617">
        <v>2</v>
      </c>
      <c r="C617" s="54">
        <v>43221</v>
      </c>
      <c r="D617" s="3" t="str">
        <f>YEAR(Datos_Consumo[[#This Row],[FECHA]])&amp;"-"&amp;MONTH(Datos_Consumo[[#This Row],[FECHA]])</f>
        <v>2018-5</v>
      </c>
    </row>
    <row r="618" spans="1:4" x14ac:dyDescent="0.25">
      <c r="A618" t="s">
        <v>1661</v>
      </c>
      <c r="B618">
        <v>2</v>
      </c>
      <c r="C618" s="54">
        <v>43101</v>
      </c>
      <c r="D618" s="3" t="str">
        <f>YEAR(Datos_Consumo[[#This Row],[FECHA]])&amp;"-"&amp;MONTH(Datos_Consumo[[#This Row],[FECHA]])</f>
        <v>2018-1</v>
      </c>
    </row>
    <row r="619" spans="1:4" x14ac:dyDescent="0.25">
      <c r="A619" t="s">
        <v>1661</v>
      </c>
      <c r="B619">
        <v>2</v>
      </c>
      <c r="C619" s="54">
        <v>43160</v>
      </c>
      <c r="D619" s="3" t="str">
        <f>YEAR(Datos_Consumo[[#This Row],[FECHA]])&amp;"-"&amp;MONTH(Datos_Consumo[[#This Row],[FECHA]])</f>
        <v>2018-3</v>
      </c>
    </row>
    <row r="620" spans="1:4" x14ac:dyDescent="0.25">
      <c r="A620" t="s">
        <v>1661</v>
      </c>
      <c r="B620">
        <v>21</v>
      </c>
      <c r="C620" s="54">
        <v>43191</v>
      </c>
      <c r="D620" s="3" t="str">
        <f>YEAR(Datos_Consumo[[#This Row],[FECHA]])&amp;"-"&amp;MONTH(Datos_Consumo[[#This Row],[FECHA]])</f>
        <v>2018-4</v>
      </c>
    </row>
    <row r="621" spans="1:4" x14ac:dyDescent="0.25">
      <c r="A621" t="s">
        <v>1661</v>
      </c>
      <c r="B621">
        <v>3</v>
      </c>
      <c r="C621" s="54">
        <v>43221</v>
      </c>
      <c r="D621" s="3" t="str">
        <f>YEAR(Datos_Consumo[[#This Row],[FECHA]])&amp;"-"&amp;MONTH(Datos_Consumo[[#This Row],[FECHA]])</f>
        <v>2018-5</v>
      </c>
    </row>
    <row r="622" spans="1:4" x14ac:dyDescent="0.25">
      <c r="A622" t="s">
        <v>1662</v>
      </c>
      <c r="B622">
        <v>23</v>
      </c>
      <c r="C622" s="54">
        <v>43070</v>
      </c>
      <c r="D622" s="3" t="str">
        <f>YEAR(Datos_Consumo[[#This Row],[FECHA]])&amp;"-"&amp;MONTH(Datos_Consumo[[#This Row],[FECHA]])</f>
        <v>2017-12</v>
      </c>
    </row>
    <row r="623" spans="1:4" x14ac:dyDescent="0.25">
      <c r="A623" t="s">
        <v>1662</v>
      </c>
      <c r="B623">
        <v>7</v>
      </c>
      <c r="C623" s="54">
        <v>43101</v>
      </c>
      <c r="D623" s="3" t="str">
        <f>YEAR(Datos_Consumo[[#This Row],[FECHA]])&amp;"-"&amp;MONTH(Datos_Consumo[[#This Row],[FECHA]])</f>
        <v>2018-1</v>
      </c>
    </row>
    <row r="624" spans="1:4" x14ac:dyDescent="0.25">
      <c r="A624" t="s">
        <v>1662</v>
      </c>
      <c r="B624">
        <v>16</v>
      </c>
      <c r="C624" s="54">
        <v>43132</v>
      </c>
      <c r="D624" s="3" t="str">
        <f>YEAR(Datos_Consumo[[#This Row],[FECHA]])&amp;"-"&amp;MONTH(Datos_Consumo[[#This Row],[FECHA]])</f>
        <v>2018-2</v>
      </c>
    </row>
    <row r="625" spans="1:4" x14ac:dyDescent="0.25">
      <c r="A625" t="s">
        <v>1662</v>
      </c>
      <c r="B625">
        <v>10</v>
      </c>
      <c r="C625" s="54">
        <v>43160</v>
      </c>
      <c r="D625" s="3" t="str">
        <f>YEAR(Datos_Consumo[[#This Row],[FECHA]])&amp;"-"&amp;MONTH(Datos_Consumo[[#This Row],[FECHA]])</f>
        <v>2018-3</v>
      </c>
    </row>
    <row r="626" spans="1:4" x14ac:dyDescent="0.25">
      <c r="A626" t="s">
        <v>1662</v>
      </c>
      <c r="B626">
        <v>4</v>
      </c>
      <c r="C626" s="54">
        <v>43191</v>
      </c>
      <c r="D626" s="3" t="str">
        <f>YEAR(Datos_Consumo[[#This Row],[FECHA]])&amp;"-"&amp;MONTH(Datos_Consumo[[#This Row],[FECHA]])</f>
        <v>2018-4</v>
      </c>
    </row>
    <row r="627" spans="1:4" x14ac:dyDescent="0.25">
      <c r="A627" t="s">
        <v>1662</v>
      </c>
      <c r="B627">
        <v>1</v>
      </c>
      <c r="C627" s="54">
        <v>43221</v>
      </c>
      <c r="D627" s="3" t="str">
        <f>YEAR(Datos_Consumo[[#This Row],[FECHA]])&amp;"-"&amp;MONTH(Datos_Consumo[[#This Row],[FECHA]])</f>
        <v>2018-5</v>
      </c>
    </row>
    <row r="628" spans="1:4" x14ac:dyDescent="0.25">
      <c r="A628" t="s">
        <v>1663</v>
      </c>
      <c r="B628">
        <v>2</v>
      </c>
      <c r="C628" s="54">
        <v>43070</v>
      </c>
      <c r="D628" s="3" t="str">
        <f>YEAR(Datos_Consumo[[#This Row],[FECHA]])&amp;"-"&amp;MONTH(Datos_Consumo[[#This Row],[FECHA]])</f>
        <v>2017-12</v>
      </c>
    </row>
    <row r="629" spans="1:4" x14ac:dyDescent="0.25">
      <c r="A629" t="s">
        <v>1663</v>
      </c>
      <c r="B629">
        <v>1</v>
      </c>
      <c r="C629" s="54">
        <v>43101</v>
      </c>
      <c r="D629" s="3" t="str">
        <f>YEAR(Datos_Consumo[[#This Row],[FECHA]])&amp;"-"&amp;MONTH(Datos_Consumo[[#This Row],[FECHA]])</f>
        <v>2018-1</v>
      </c>
    </row>
    <row r="630" spans="1:4" x14ac:dyDescent="0.25">
      <c r="A630" t="s">
        <v>1663</v>
      </c>
      <c r="B630">
        <v>2</v>
      </c>
      <c r="C630" s="54">
        <v>43132</v>
      </c>
      <c r="D630" s="3" t="str">
        <f>YEAR(Datos_Consumo[[#This Row],[FECHA]])&amp;"-"&amp;MONTH(Datos_Consumo[[#This Row],[FECHA]])</f>
        <v>2018-2</v>
      </c>
    </row>
    <row r="631" spans="1:4" x14ac:dyDescent="0.25">
      <c r="A631" t="s">
        <v>1663</v>
      </c>
      <c r="B631">
        <v>5</v>
      </c>
      <c r="C631" s="54">
        <v>43160</v>
      </c>
      <c r="D631" s="3" t="str">
        <f>YEAR(Datos_Consumo[[#This Row],[FECHA]])&amp;"-"&amp;MONTH(Datos_Consumo[[#This Row],[FECHA]])</f>
        <v>2018-3</v>
      </c>
    </row>
    <row r="632" spans="1:4" x14ac:dyDescent="0.25">
      <c r="A632" t="s">
        <v>1664</v>
      </c>
      <c r="B632">
        <v>10</v>
      </c>
      <c r="C632" s="54">
        <v>43070</v>
      </c>
      <c r="D632" s="3" t="str">
        <f>YEAR(Datos_Consumo[[#This Row],[FECHA]])&amp;"-"&amp;MONTH(Datos_Consumo[[#This Row],[FECHA]])</f>
        <v>2017-12</v>
      </c>
    </row>
    <row r="633" spans="1:4" x14ac:dyDescent="0.25">
      <c r="A633" t="s">
        <v>1664</v>
      </c>
      <c r="B633">
        <v>21</v>
      </c>
      <c r="C633" s="54">
        <v>43160</v>
      </c>
      <c r="D633" s="3" t="str">
        <f>YEAR(Datos_Consumo[[#This Row],[FECHA]])&amp;"-"&amp;MONTH(Datos_Consumo[[#This Row],[FECHA]])</f>
        <v>2018-3</v>
      </c>
    </row>
    <row r="634" spans="1:4" x14ac:dyDescent="0.25">
      <c r="A634" t="s">
        <v>1664</v>
      </c>
      <c r="B634">
        <v>1</v>
      </c>
      <c r="C634" s="54">
        <v>43191</v>
      </c>
      <c r="D634" s="3" t="str">
        <f>YEAR(Datos_Consumo[[#This Row],[FECHA]])&amp;"-"&amp;MONTH(Datos_Consumo[[#This Row],[FECHA]])</f>
        <v>2018-4</v>
      </c>
    </row>
    <row r="635" spans="1:4" x14ac:dyDescent="0.25">
      <c r="A635" t="s">
        <v>1665</v>
      </c>
      <c r="B635">
        <v>6</v>
      </c>
      <c r="C635" s="54">
        <v>43070</v>
      </c>
      <c r="D635" s="3" t="str">
        <f>YEAR(Datos_Consumo[[#This Row],[FECHA]])&amp;"-"&amp;MONTH(Datos_Consumo[[#This Row],[FECHA]])</f>
        <v>2017-12</v>
      </c>
    </row>
    <row r="636" spans="1:4" x14ac:dyDescent="0.25">
      <c r="A636" t="s">
        <v>1665</v>
      </c>
      <c r="B636">
        <v>1</v>
      </c>
      <c r="C636" s="54">
        <v>43101</v>
      </c>
      <c r="D636" s="3" t="str">
        <f>YEAR(Datos_Consumo[[#This Row],[FECHA]])&amp;"-"&amp;MONTH(Datos_Consumo[[#This Row],[FECHA]])</f>
        <v>2018-1</v>
      </c>
    </row>
    <row r="637" spans="1:4" x14ac:dyDescent="0.25">
      <c r="A637" t="s">
        <v>1665</v>
      </c>
      <c r="B637">
        <v>5</v>
      </c>
      <c r="C637" s="54">
        <v>43132</v>
      </c>
      <c r="D637" s="3" t="str">
        <f>YEAR(Datos_Consumo[[#This Row],[FECHA]])&amp;"-"&amp;MONTH(Datos_Consumo[[#This Row],[FECHA]])</f>
        <v>2018-2</v>
      </c>
    </row>
    <row r="638" spans="1:4" x14ac:dyDescent="0.25">
      <c r="A638" t="s">
        <v>1665</v>
      </c>
      <c r="B638">
        <v>2</v>
      </c>
      <c r="C638" s="54">
        <v>43160</v>
      </c>
      <c r="D638" s="3" t="str">
        <f>YEAR(Datos_Consumo[[#This Row],[FECHA]])&amp;"-"&amp;MONTH(Datos_Consumo[[#This Row],[FECHA]])</f>
        <v>2018-3</v>
      </c>
    </row>
    <row r="639" spans="1:4" x14ac:dyDescent="0.25">
      <c r="A639" t="s">
        <v>1665</v>
      </c>
      <c r="B639">
        <v>8</v>
      </c>
      <c r="C639" s="54">
        <v>43191</v>
      </c>
      <c r="D639" s="3" t="str">
        <f>YEAR(Datos_Consumo[[#This Row],[FECHA]])&amp;"-"&amp;MONTH(Datos_Consumo[[#This Row],[FECHA]])</f>
        <v>2018-4</v>
      </c>
    </row>
    <row r="640" spans="1:4" x14ac:dyDescent="0.25">
      <c r="A640" t="s">
        <v>1665</v>
      </c>
      <c r="B640">
        <v>2</v>
      </c>
      <c r="C640" s="54">
        <v>43221</v>
      </c>
      <c r="D640" s="3" t="str">
        <f>YEAR(Datos_Consumo[[#This Row],[FECHA]])&amp;"-"&amp;MONTH(Datos_Consumo[[#This Row],[FECHA]])</f>
        <v>2018-5</v>
      </c>
    </row>
    <row r="641" spans="1:4" x14ac:dyDescent="0.25">
      <c r="A641" t="s">
        <v>1666</v>
      </c>
      <c r="B641">
        <v>5</v>
      </c>
      <c r="C641" s="54">
        <v>43101</v>
      </c>
      <c r="D641" s="3" t="str">
        <f>YEAR(Datos_Consumo[[#This Row],[FECHA]])&amp;"-"&amp;MONTH(Datos_Consumo[[#This Row],[FECHA]])</f>
        <v>2018-1</v>
      </c>
    </row>
    <row r="642" spans="1:4" x14ac:dyDescent="0.25">
      <c r="A642" t="s">
        <v>1666</v>
      </c>
      <c r="B642">
        <v>1</v>
      </c>
      <c r="C642" s="54">
        <v>43191</v>
      </c>
      <c r="D642" s="3" t="str">
        <f>YEAR(Datos_Consumo[[#This Row],[FECHA]])&amp;"-"&amp;MONTH(Datos_Consumo[[#This Row],[FECHA]])</f>
        <v>2018-4</v>
      </c>
    </row>
    <row r="643" spans="1:4" x14ac:dyDescent="0.25">
      <c r="A643" t="s">
        <v>1667</v>
      </c>
      <c r="B643">
        <v>5</v>
      </c>
      <c r="C643" s="54">
        <v>43070</v>
      </c>
      <c r="D643" s="3" t="str">
        <f>YEAR(Datos_Consumo[[#This Row],[FECHA]])&amp;"-"&amp;MONTH(Datos_Consumo[[#This Row],[FECHA]])</f>
        <v>2017-12</v>
      </c>
    </row>
    <row r="644" spans="1:4" x14ac:dyDescent="0.25">
      <c r="A644" t="s">
        <v>1667</v>
      </c>
      <c r="B644">
        <v>1</v>
      </c>
      <c r="C644" s="54">
        <v>43101</v>
      </c>
      <c r="D644" s="3" t="str">
        <f>YEAR(Datos_Consumo[[#This Row],[FECHA]])&amp;"-"&amp;MONTH(Datos_Consumo[[#This Row],[FECHA]])</f>
        <v>2018-1</v>
      </c>
    </row>
    <row r="645" spans="1:4" x14ac:dyDescent="0.25">
      <c r="A645" t="s">
        <v>1667</v>
      </c>
      <c r="B645">
        <v>1</v>
      </c>
      <c r="C645" s="54">
        <v>43132</v>
      </c>
      <c r="D645" s="3" t="str">
        <f>YEAR(Datos_Consumo[[#This Row],[FECHA]])&amp;"-"&amp;MONTH(Datos_Consumo[[#This Row],[FECHA]])</f>
        <v>2018-2</v>
      </c>
    </row>
    <row r="646" spans="1:4" x14ac:dyDescent="0.25">
      <c r="A646" t="s">
        <v>1667</v>
      </c>
      <c r="B646">
        <v>1</v>
      </c>
      <c r="C646" s="54">
        <v>43160</v>
      </c>
      <c r="D646" s="3" t="str">
        <f>YEAR(Datos_Consumo[[#This Row],[FECHA]])&amp;"-"&amp;MONTH(Datos_Consumo[[#This Row],[FECHA]])</f>
        <v>2018-3</v>
      </c>
    </row>
    <row r="647" spans="1:4" x14ac:dyDescent="0.25">
      <c r="A647" t="s">
        <v>1667</v>
      </c>
      <c r="B647">
        <v>2</v>
      </c>
      <c r="C647" s="54">
        <v>43191</v>
      </c>
      <c r="D647" s="3" t="str">
        <f>YEAR(Datos_Consumo[[#This Row],[FECHA]])&amp;"-"&amp;MONTH(Datos_Consumo[[#This Row],[FECHA]])</f>
        <v>2018-4</v>
      </c>
    </row>
    <row r="648" spans="1:4" x14ac:dyDescent="0.25">
      <c r="A648" t="s">
        <v>1668</v>
      </c>
      <c r="B648">
        <v>2</v>
      </c>
      <c r="C648" s="54">
        <v>43070</v>
      </c>
      <c r="D648" s="3" t="str">
        <f>YEAR(Datos_Consumo[[#This Row],[FECHA]])&amp;"-"&amp;MONTH(Datos_Consumo[[#This Row],[FECHA]])</f>
        <v>2017-12</v>
      </c>
    </row>
    <row r="649" spans="1:4" x14ac:dyDescent="0.25">
      <c r="A649" t="s">
        <v>1668</v>
      </c>
      <c r="B649">
        <v>1</v>
      </c>
      <c r="C649" s="54">
        <v>43160</v>
      </c>
      <c r="D649" s="3" t="str">
        <f>YEAR(Datos_Consumo[[#This Row],[FECHA]])&amp;"-"&amp;MONTH(Datos_Consumo[[#This Row],[FECHA]])</f>
        <v>2018-3</v>
      </c>
    </row>
    <row r="650" spans="1:4" x14ac:dyDescent="0.25">
      <c r="A650" t="s">
        <v>1668</v>
      </c>
      <c r="B650">
        <v>1</v>
      </c>
      <c r="C650" s="54">
        <v>43191</v>
      </c>
      <c r="D650" s="3" t="str">
        <f>YEAR(Datos_Consumo[[#This Row],[FECHA]])&amp;"-"&amp;MONTH(Datos_Consumo[[#This Row],[FECHA]])</f>
        <v>2018-4</v>
      </c>
    </row>
    <row r="651" spans="1:4" x14ac:dyDescent="0.25">
      <c r="A651" t="s">
        <v>1669</v>
      </c>
      <c r="B651">
        <v>23</v>
      </c>
      <c r="C651" s="54">
        <v>43070</v>
      </c>
      <c r="D651" s="3" t="str">
        <f>YEAR(Datos_Consumo[[#This Row],[FECHA]])&amp;"-"&amp;MONTH(Datos_Consumo[[#This Row],[FECHA]])</f>
        <v>2017-12</v>
      </c>
    </row>
    <row r="652" spans="1:4" x14ac:dyDescent="0.25">
      <c r="A652" t="s">
        <v>1669</v>
      </c>
      <c r="B652">
        <v>19</v>
      </c>
      <c r="C652" s="54">
        <v>43101</v>
      </c>
      <c r="D652" s="3" t="str">
        <f>YEAR(Datos_Consumo[[#This Row],[FECHA]])&amp;"-"&amp;MONTH(Datos_Consumo[[#This Row],[FECHA]])</f>
        <v>2018-1</v>
      </c>
    </row>
    <row r="653" spans="1:4" x14ac:dyDescent="0.25">
      <c r="A653" t="s">
        <v>1669</v>
      </c>
      <c r="B653">
        <v>7</v>
      </c>
      <c r="C653" s="54">
        <v>43132</v>
      </c>
      <c r="D653" s="3" t="str">
        <f>YEAR(Datos_Consumo[[#This Row],[FECHA]])&amp;"-"&amp;MONTH(Datos_Consumo[[#This Row],[FECHA]])</f>
        <v>2018-2</v>
      </c>
    </row>
    <row r="654" spans="1:4" x14ac:dyDescent="0.25">
      <c r="A654" t="s">
        <v>1669</v>
      </c>
      <c r="B654">
        <v>5</v>
      </c>
      <c r="C654" s="54">
        <v>43160</v>
      </c>
      <c r="D654" s="3" t="str">
        <f>YEAR(Datos_Consumo[[#This Row],[FECHA]])&amp;"-"&amp;MONTH(Datos_Consumo[[#This Row],[FECHA]])</f>
        <v>2018-3</v>
      </c>
    </row>
    <row r="655" spans="1:4" x14ac:dyDescent="0.25">
      <c r="A655" t="s">
        <v>1669</v>
      </c>
      <c r="B655">
        <v>6</v>
      </c>
      <c r="C655" s="54">
        <v>43191</v>
      </c>
      <c r="D655" s="3" t="str">
        <f>YEAR(Datos_Consumo[[#This Row],[FECHA]])&amp;"-"&amp;MONTH(Datos_Consumo[[#This Row],[FECHA]])</f>
        <v>2018-4</v>
      </c>
    </row>
    <row r="656" spans="1:4" x14ac:dyDescent="0.25">
      <c r="A656" t="s">
        <v>1669</v>
      </c>
      <c r="B656">
        <v>7</v>
      </c>
      <c r="C656" s="54">
        <v>43221</v>
      </c>
      <c r="D656" s="3" t="str">
        <f>YEAR(Datos_Consumo[[#This Row],[FECHA]])&amp;"-"&amp;MONTH(Datos_Consumo[[#This Row],[FECHA]])</f>
        <v>2018-5</v>
      </c>
    </row>
    <row r="657" spans="1:4" x14ac:dyDescent="0.25">
      <c r="A657" t="s">
        <v>1670</v>
      </c>
      <c r="B657">
        <v>8</v>
      </c>
      <c r="C657" s="54">
        <v>43070</v>
      </c>
      <c r="D657" s="3" t="str">
        <f>YEAR(Datos_Consumo[[#This Row],[FECHA]])&amp;"-"&amp;MONTH(Datos_Consumo[[#This Row],[FECHA]])</f>
        <v>2017-12</v>
      </c>
    </row>
    <row r="658" spans="1:4" x14ac:dyDescent="0.25">
      <c r="A658" t="s">
        <v>1670</v>
      </c>
      <c r="B658">
        <v>5</v>
      </c>
      <c r="C658" s="54">
        <v>43101</v>
      </c>
      <c r="D658" s="3" t="str">
        <f>YEAR(Datos_Consumo[[#This Row],[FECHA]])&amp;"-"&amp;MONTH(Datos_Consumo[[#This Row],[FECHA]])</f>
        <v>2018-1</v>
      </c>
    </row>
    <row r="659" spans="1:4" x14ac:dyDescent="0.25">
      <c r="A659" t="s">
        <v>1670</v>
      </c>
      <c r="B659">
        <v>6</v>
      </c>
      <c r="C659" s="54">
        <v>43132</v>
      </c>
      <c r="D659" s="3" t="str">
        <f>YEAR(Datos_Consumo[[#This Row],[FECHA]])&amp;"-"&amp;MONTH(Datos_Consumo[[#This Row],[FECHA]])</f>
        <v>2018-2</v>
      </c>
    </row>
    <row r="660" spans="1:4" x14ac:dyDescent="0.25">
      <c r="A660" t="s">
        <v>1670</v>
      </c>
      <c r="B660">
        <v>2</v>
      </c>
      <c r="C660" s="54">
        <v>43160</v>
      </c>
      <c r="D660" s="3" t="str">
        <f>YEAR(Datos_Consumo[[#This Row],[FECHA]])&amp;"-"&amp;MONTH(Datos_Consumo[[#This Row],[FECHA]])</f>
        <v>2018-3</v>
      </c>
    </row>
    <row r="661" spans="1:4" x14ac:dyDescent="0.25">
      <c r="A661" t="s">
        <v>1670</v>
      </c>
      <c r="B661">
        <v>2</v>
      </c>
      <c r="C661" s="54">
        <v>43191</v>
      </c>
      <c r="D661" s="3" t="str">
        <f>YEAR(Datos_Consumo[[#This Row],[FECHA]])&amp;"-"&amp;MONTH(Datos_Consumo[[#This Row],[FECHA]])</f>
        <v>2018-4</v>
      </c>
    </row>
    <row r="662" spans="1:4" x14ac:dyDescent="0.25">
      <c r="A662" t="s">
        <v>1670</v>
      </c>
      <c r="B662">
        <v>5</v>
      </c>
      <c r="C662" s="54">
        <v>43221</v>
      </c>
      <c r="D662" s="3" t="str">
        <f>YEAR(Datos_Consumo[[#This Row],[FECHA]])&amp;"-"&amp;MONTH(Datos_Consumo[[#This Row],[FECHA]])</f>
        <v>2018-5</v>
      </c>
    </row>
    <row r="663" spans="1:4" x14ac:dyDescent="0.25">
      <c r="A663" t="s">
        <v>1671</v>
      </c>
      <c r="B663">
        <v>1</v>
      </c>
      <c r="C663" s="54">
        <v>43101</v>
      </c>
      <c r="D663" s="3" t="str">
        <f>YEAR(Datos_Consumo[[#This Row],[FECHA]])&amp;"-"&amp;MONTH(Datos_Consumo[[#This Row],[FECHA]])</f>
        <v>2018-1</v>
      </c>
    </row>
    <row r="664" spans="1:4" x14ac:dyDescent="0.25">
      <c r="A664" t="s">
        <v>1672</v>
      </c>
      <c r="B664">
        <v>40</v>
      </c>
      <c r="C664" s="54">
        <v>43070</v>
      </c>
      <c r="D664" s="3" t="str">
        <f>YEAR(Datos_Consumo[[#This Row],[FECHA]])&amp;"-"&amp;MONTH(Datos_Consumo[[#This Row],[FECHA]])</f>
        <v>2017-12</v>
      </c>
    </row>
    <row r="665" spans="1:4" x14ac:dyDescent="0.25">
      <c r="A665" t="s">
        <v>1672</v>
      </c>
      <c r="B665">
        <v>24</v>
      </c>
      <c r="C665" s="54">
        <v>43101</v>
      </c>
      <c r="D665" s="3" t="str">
        <f>YEAR(Datos_Consumo[[#This Row],[FECHA]])&amp;"-"&amp;MONTH(Datos_Consumo[[#This Row],[FECHA]])</f>
        <v>2018-1</v>
      </c>
    </row>
    <row r="666" spans="1:4" x14ac:dyDescent="0.25">
      <c r="A666" t="s">
        <v>1672</v>
      </c>
      <c r="B666">
        <v>12</v>
      </c>
      <c r="C666" s="54">
        <v>43132</v>
      </c>
      <c r="D666" s="3" t="str">
        <f>YEAR(Datos_Consumo[[#This Row],[FECHA]])&amp;"-"&amp;MONTH(Datos_Consumo[[#This Row],[FECHA]])</f>
        <v>2018-2</v>
      </c>
    </row>
    <row r="667" spans="1:4" x14ac:dyDescent="0.25">
      <c r="A667" t="s">
        <v>1672</v>
      </c>
      <c r="B667">
        <v>208</v>
      </c>
      <c r="C667" s="54">
        <v>43160</v>
      </c>
      <c r="D667" s="3" t="str">
        <f>YEAR(Datos_Consumo[[#This Row],[FECHA]])&amp;"-"&amp;MONTH(Datos_Consumo[[#This Row],[FECHA]])</f>
        <v>2018-3</v>
      </c>
    </row>
    <row r="668" spans="1:4" x14ac:dyDescent="0.25">
      <c r="A668" t="s">
        <v>1672</v>
      </c>
      <c r="B668">
        <v>64</v>
      </c>
      <c r="C668" s="54">
        <v>43191</v>
      </c>
      <c r="D668" s="3" t="str">
        <f>YEAR(Datos_Consumo[[#This Row],[FECHA]])&amp;"-"&amp;MONTH(Datos_Consumo[[#This Row],[FECHA]])</f>
        <v>2018-4</v>
      </c>
    </row>
    <row r="669" spans="1:4" x14ac:dyDescent="0.25">
      <c r="A669" t="s">
        <v>1672</v>
      </c>
      <c r="B669">
        <v>40</v>
      </c>
      <c r="C669" s="54">
        <v>43221</v>
      </c>
      <c r="D669" s="3" t="str">
        <f>YEAR(Datos_Consumo[[#This Row],[FECHA]])&amp;"-"&amp;MONTH(Datos_Consumo[[#This Row],[FECHA]])</f>
        <v>2018-5</v>
      </c>
    </row>
    <row r="670" spans="1:4" x14ac:dyDescent="0.25">
      <c r="A670" t="s">
        <v>1673</v>
      </c>
      <c r="B670">
        <v>4</v>
      </c>
      <c r="C670" s="54">
        <v>43101</v>
      </c>
      <c r="D670" s="3" t="str">
        <f>YEAR(Datos_Consumo[[#This Row],[FECHA]])&amp;"-"&amp;MONTH(Datos_Consumo[[#This Row],[FECHA]])</f>
        <v>2018-1</v>
      </c>
    </row>
    <row r="671" spans="1:4" x14ac:dyDescent="0.25">
      <c r="A671" t="s">
        <v>1673</v>
      </c>
      <c r="B671">
        <v>1</v>
      </c>
      <c r="C671" s="54">
        <v>43132</v>
      </c>
      <c r="D671" s="3" t="str">
        <f>YEAR(Datos_Consumo[[#This Row],[FECHA]])&amp;"-"&amp;MONTH(Datos_Consumo[[#This Row],[FECHA]])</f>
        <v>2018-2</v>
      </c>
    </row>
    <row r="672" spans="1:4" x14ac:dyDescent="0.25">
      <c r="A672" t="s">
        <v>1674</v>
      </c>
      <c r="B672">
        <v>1</v>
      </c>
      <c r="C672" s="54">
        <v>43070</v>
      </c>
      <c r="D672" s="3" t="str">
        <f>YEAR(Datos_Consumo[[#This Row],[FECHA]])&amp;"-"&amp;MONTH(Datos_Consumo[[#This Row],[FECHA]])</f>
        <v>2017-12</v>
      </c>
    </row>
    <row r="673" spans="1:4" x14ac:dyDescent="0.25">
      <c r="A673" t="s">
        <v>1674</v>
      </c>
      <c r="B673">
        <v>3</v>
      </c>
      <c r="C673" s="54">
        <v>43101</v>
      </c>
      <c r="D673" s="3" t="str">
        <f>YEAR(Datos_Consumo[[#This Row],[FECHA]])&amp;"-"&amp;MONTH(Datos_Consumo[[#This Row],[FECHA]])</f>
        <v>2018-1</v>
      </c>
    </row>
    <row r="674" spans="1:4" x14ac:dyDescent="0.25">
      <c r="A674" t="s">
        <v>1674</v>
      </c>
      <c r="B674">
        <v>3</v>
      </c>
      <c r="C674" s="54">
        <v>43132</v>
      </c>
      <c r="D674" s="3" t="str">
        <f>YEAR(Datos_Consumo[[#This Row],[FECHA]])&amp;"-"&amp;MONTH(Datos_Consumo[[#This Row],[FECHA]])</f>
        <v>2018-2</v>
      </c>
    </row>
    <row r="675" spans="1:4" x14ac:dyDescent="0.25">
      <c r="A675" t="s">
        <v>1674</v>
      </c>
      <c r="B675">
        <v>5</v>
      </c>
      <c r="C675" s="54">
        <v>43160</v>
      </c>
      <c r="D675" s="3" t="str">
        <f>YEAR(Datos_Consumo[[#This Row],[FECHA]])&amp;"-"&amp;MONTH(Datos_Consumo[[#This Row],[FECHA]])</f>
        <v>2018-3</v>
      </c>
    </row>
    <row r="676" spans="1:4" x14ac:dyDescent="0.25">
      <c r="A676" t="s">
        <v>1674</v>
      </c>
      <c r="B676">
        <v>2</v>
      </c>
      <c r="C676" s="54">
        <v>43191</v>
      </c>
      <c r="D676" s="3" t="str">
        <f>YEAR(Datos_Consumo[[#This Row],[FECHA]])&amp;"-"&amp;MONTH(Datos_Consumo[[#This Row],[FECHA]])</f>
        <v>2018-4</v>
      </c>
    </row>
    <row r="677" spans="1:4" x14ac:dyDescent="0.25">
      <c r="A677" t="s">
        <v>1674</v>
      </c>
      <c r="B677">
        <v>2</v>
      </c>
      <c r="C677" s="54">
        <v>43221</v>
      </c>
      <c r="D677" s="3" t="str">
        <f>YEAR(Datos_Consumo[[#This Row],[FECHA]])&amp;"-"&amp;MONTH(Datos_Consumo[[#This Row],[FECHA]])</f>
        <v>2018-5</v>
      </c>
    </row>
    <row r="678" spans="1:4" x14ac:dyDescent="0.25">
      <c r="A678" t="s">
        <v>1675</v>
      </c>
      <c r="B678">
        <v>2</v>
      </c>
      <c r="C678" s="54">
        <v>43132</v>
      </c>
      <c r="D678" s="3" t="str">
        <f>YEAR(Datos_Consumo[[#This Row],[FECHA]])&amp;"-"&amp;MONTH(Datos_Consumo[[#This Row],[FECHA]])</f>
        <v>2018-2</v>
      </c>
    </row>
    <row r="679" spans="1:4" x14ac:dyDescent="0.25">
      <c r="A679" t="s">
        <v>1676</v>
      </c>
      <c r="B679">
        <v>1</v>
      </c>
      <c r="C679" s="54">
        <v>43101</v>
      </c>
      <c r="D679" s="3" t="str">
        <f>YEAR(Datos_Consumo[[#This Row],[FECHA]])&amp;"-"&amp;MONTH(Datos_Consumo[[#This Row],[FECHA]])</f>
        <v>2018-1</v>
      </c>
    </row>
    <row r="680" spans="1:4" x14ac:dyDescent="0.25">
      <c r="A680" t="s">
        <v>1676</v>
      </c>
      <c r="B680">
        <v>2</v>
      </c>
      <c r="C680" s="54">
        <v>43132</v>
      </c>
      <c r="D680" s="3" t="str">
        <f>YEAR(Datos_Consumo[[#This Row],[FECHA]])&amp;"-"&amp;MONTH(Datos_Consumo[[#This Row],[FECHA]])</f>
        <v>2018-2</v>
      </c>
    </row>
    <row r="681" spans="1:4" x14ac:dyDescent="0.25">
      <c r="A681" t="s">
        <v>1676</v>
      </c>
      <c r="B681">
        <v>1</v>
      </c>
      <c r="C681" s="54">
        <v>43191</v>
      </c>
      <c r="D681" s="3" t="str">
        <f>YEAR(Datos_Consumo[[#This Row],[FECHA]])&amp;"-"&amp;MONTH(Datos_Consumo[[#This Row],[FECHA]])</f>
        <v>2018-4</v>
      </c>
    </row>
    <row r="682" spans="1:4" x14ac:dyDescent="0.25">
      <c r="A682" t="s">
        <v>1677</v>
      </c>
      <c r="B682">
        <v>1</v>
      </c>
      <c r="C682" s="54">
        <v>43132</v>
      </c>
      <c r="D682" s="3" t="str">
        <f>YEAR(Datos_Consumo[[#This Row],[FECHA]])&amp;"-"&amp;MONTH(Datos_Consumo[[#This Row],[FECHA]])</f>
        <v>2018-2</v>
      </c>
    </row>
    <row r="683" spans="1:4" x14ac:dyDescent="0.25">
      <c r="A683" t="s">
        <v>1677</v>
      </c>
      <c r="B683">
        <v>2</v>
      </c>
      <c r="C683" s="54">
        <v>43221</v>
      </c>
      <c r="D683" s="3" t="str">
        <f>YEAR(Datos_Consumo[[#This Row],[FECHA]])&amp;"-"&amp;MONTH(Datos_Consumo[[#This Row],[FECHA]])</f>
        <v>2018-5</v>
      </c>
    </row>
    <row r="684" spans="1:4" x14ac:dyDescent="0.25">
      <c r="A684" t="s">
        <v>1678</v>
      </c>
      <c r="B684">
        <v>2</v>
      </c>
      <c r="C684" s="54">
        <v>43070</v>
      </c>
      <c r="D684" s="3" t="str">
        <f>YEAR(Datos_Consumo[[#This Row],[FECHA]])&amp;"-"&amp;MONTH(Datos_Consumo[[#This Row],[FECHA]])</f>
        <v>2017-12</v>
      </c>
    </row>
    <row r="685" spans="1:4" x14ac:dyDescent="0.25">
      <c r="A685" t="s">
        <v>1678</v>
      </c>
      <c r="B685">
        <v>5</v>
      </c>
      <c r="C685" s="54">
        <v>43101</v>
      </c>
      <c r="D685" s="3" t="str">
        <f>YEAR(Datos_Consumo[[#This Row],[FECHA]])&amp;"-"&amp;MONTH(Datos_Consumo[[#This Row],[FECHA]])</f>
        <v>2018-1</v>
      </c>
    </row>
    <row r="686" spans="1:4" x14ac:dyDescent="0.25">
      <c r="A686" t="s">
        <v>1678</v>
      </c>
      <c r="B686">
        <v>3</v>
      </c>
      <c r="C686" s="54">
        <v>43132</v>
      </c>
      <c r="D686" s="3" t="str">
        <f>YEAR(Datos_Consumo[[#This Row],[FECHA]])&amp;"-"&amp;MONTH(Datos_Consumo[[#This Row],[FECHA]])</f>
        <v>2018-2</v>
      </c>
    </row>
    <row r="687" spans="1:4" x14ac:dyDescent="0.25">
      <c r="A687" t="s">
        <v>1678</v>
      </c>
      <c r="B687">
        <v>11</v>
      </c>
      <c r="C687" s="54">
        <v>43191</v>
      </c>
      <c r="D687" s="3" t="str">
        <f>YEAR(Datos_Consumo[[#This Row],[FECHA]])&amp;"-"&amp;MONTH(Datos_Consumo[[#This Row],[FECHA]])</f>
        <v>2018-4</v>
      </c>
    </row>
    <row r="688" spans="1:4" x14ac:dyDescent="0.25">
      <c r="A688" t="s">
        <v>1679</v>
      </c>
      <c r="B688">
        <v>3</v>
      </c>
      <c r="C688" s="54">
        <v>43070</v>
      </c>
      <c r="D688" s="3" t="str">
        <f>YEAR(Datos_Consumo[[#This Row],[FECHA]])&amp;"-"&amp;MONTH(Datos_Consumo[[#This Row],[FECHA]])</f>
        <v>2017-12</v>
      </c>
    </row>
    <row r="689" spans="1:4" x14ac:dyDescent="0.25">
      <c r="A689" t="s">
        <v>1679</v>
      </c>
      <c r="B689">
        <v>13</v>
      </c>
      <c r="C689" s="54">
        <v>43101</v>
      </c>
      <c r="D689" s="3" t="str">
        <f>YEAR(Datos_Consumo[[#This Row],[FECHA]])&amp;"-"&amp;MONTH(Datos_Consumo[[#This Row],[FECHA]])</f>
        <v>2018-1</v>
      </c>
    </row>
    <row r="690" spans="1:4" x14ac:dyDescent="0.25">
      <c r="A690" t="s">
        <v>1679</v>
      </c>
      <c r="B690">
        <v>4</v>
      </c>
      <c r="C690" s="54">
        <v>43160</v>
      </c>
      <c r="D690" s="3" t="str">
        <f>YEAR(Datos_Consumo[[#This Row],[FECHA]])&amp;"-"&amp;MONTH(Datos_Consumo[[#This Row],[FECHA]])</f>
        <v>2018-3</v>
      </c>
    </row>
    <row r="691" spans="1:4" x14ac:dyDescent="0.25">
      <c r="A691" t="s">
        <v>1679</v>
      </c>
      <c r="B691">
        <v>5</v>
      </c>
      <c r="C691" s="54">
        <v>43191</v>
      </c>
      <c r="D691" s="3" t="str">
        <f>YEAR(Datos_Consumo[[#This Row],[FECHA]])&amp;"-"&amp;MONTH(Datos_Consumo[[#This Row],[FECHA]])</f>
        <v>2018-4</v>
      </c>
    </row>
    <row r="692" spans="1:4" x14ac:dyDescent="0.25">
      <c r="A692" t="s">
        <v>1679</v>
      </c>
      <c r="B692">
        <v>9</v>
      </c>
      <c r="C692" s="54">
        <v>43221</v>
      </c>
      <c r="D692" s="3" t="str">
        <f>YEAR(Datos_Consumo[[#This Row],[FECHA]])&amp;"-"&amp;MONTH(Datos_Consumo[[#This Row],[FECHA]])</f>
        <v>2018-5</v>
      </c>
    </row>
    <row r="693" spans="1:4" x14ac:dyDescent="0.25">
      <c r="A693" t="s">
        <v>1680</v>
      </c>
      <c r="B693">
        <v>1</v>
      </c>
      <c r="C693" s="54">
        <v>43070</v>
      </c>
      <c r="D693" s="3" t="str">
        <f>YEAR(Datos_Consumo[[#This Row],[FECHA]])&amp;"-"&amp;MONTH(Datos_Consumo[[#This Row],[FECHA]])</f>
        <v>2017-12</v>
      </c>
    </row>
    <row r="694" spans="1:4" x14ac:dyDescent="0.25">
      <c r="A694" t="s">
        <v>1680</v>
      </c>
      <c r="B694">
        <v>1</v>
      </c>
      <c r="C694" s="54">
        <v>43191</v>
      </c>
      <c r="D694" s="3" t="str">
        <f>YEAR(Datos_Consumo[[#This Row],[FECHA]])&amp;"-"&amp;MONTH(Datos_Consumo[[#This Row],[FECHA]])</f>
        <v>2018-4</v>
      </c>
    </row>
    <row r="695" spans="1:4" x14ac:dyDescent="0.25">
      <c r="A695" t="s">
        <v>1681</v>
      </c>
      <c r="B695">
        <v>1</v>
      </c>
      <c r="C695" s="54">
        <v>43101</v>
      </c>
      <c r="D695" s="3" t="str">
        <f>YEAR(Datos_Consumo[[#This Row],[FECHA]])&amp;"-"&amp;MONTH(Datos_Consumo[[#This Row],[FECHA]])</f>
        <v>2018-1</v>
      </c>
    </row>
    <row r="696" spans="1:4" x14ac:dyDescent="0.25">
      <c r="A696" t="s">
        <v>1681</v>
      </c>
      <c r="B696">
        <v>1</v>
      </c>
      <c r="C696" s="54">
        <v>43221</v>
      </c>
      <c r="D696" s="3" t="str">
        <f>YEAR(Datos_Consumo[[#This Row],[FECHA]])&amp;"-"&amp;MONTH(Datos_Consumo[[#This Row],[FECHA]])</f>
        <v>2018-5</v>
      </c>
    </row>
    <row r="697" spans="1:4" x14ac:dyDescent="0.25">
      <c r="A697" t="s">
        <v>1682</v>
      </c>
      <c r="B697">
        <v>1</v>
      </c>
      <c r="C697" s="54">
        <v>43132</v>
      </c>
      <c r="D697" s="3" t="str">
        <f>YEAR(Datos_Consumo[[#This Row],[FECHA]])&amp;"-"&amp;MONTH(Datos_Consumo[[#This Row],[FECHA]])</f>
        <v>2018-2</v>
      </c>
    </row>
    <row r="698" spans="1:4" x14ac:dyDescent="0.25">
      <c r="A698" t="s">
        <v>1683</v>
      </c>
      <c r="B698">
        <v>6</v>
      </c>
      <c r="C698" s="54">
        <v>43070</v>
      </c>
      <c r="D698" s="3" t="str">
        <f>YEAR(Datos_Consumo[[#This Row],[FECHA]])&amp;"-"&amp;MONTH(Datos_Consumo[[#This Row],[FECHA]])</f>
        <v>2017-12</v>
      </c>
    </row>
    <row r="699" spans="1:4" x14ac:dyDescent="0.25">
      <c r="A699" t="s">
        <v>1683</v>
      </c>
      <c r="B699">
        <v>10</v>
      </c>
      <c r="C699" s="54">
        <v>43101</v>
      </c>
      <c r="D699" s="3" t="str">
        <f>YEAR(Datos_Consumo[[#This Row],[FECHA]])&amp;"-"&amp;MONTH(Datos_Consumo[[#This Row],[FECHA]])</f>
        <v>2018-1</v>
      </c>
    </row>
    <row r="700" spans="1:4" x14ac:dyDescent="0.25">
      <c r="A700" t="s">
        <v>1683</v>
      </c>
      <c r="B700">
        <v>5</v>
      </c>
      <c r="C700" s="54">
        <v>43191</v>
      </c>
      <c r="D700" s="3" t="str">
        <f>YEAR(Datos_Consumo[[#This Row],[FECHA]])&amp;"-"&amp;MONTH(Datos_Consumo[[#This Row],[FECHA]])</f>
        <v>2018-4</v>
      </c>
    </row>
    <row r="701" spans="1:4" x14ac:dyDescent="0.25">
      <c r="A701" t="s">
        <v>1684</v>
      </c>
      <c r="B701">
        <v>3</v>
      </c>
      <c r="C701" s="54">
        <v>43101</v>
      </c>
      <c r="D701" s="3" t="str">
        <f>YEAR(Datos_Consumo[[#This Row],[FECHA]])&amp;"-"&amp;MONTH(Datos_Consumo[[#This Row],[FECHA]])</f>
        <v>2018-1</v>
      </c>
    </row>
    <row r="702" spans="1:4" x14ac:dyDescent="0.25">
      <c r="A702" t="s">
        <v>1685</v>
      </c>
      <c r="B702">
        <v>1</v>
      </c>
      <c r="C702" s="54">
        <v>43070</v>
      </c>
      <c r="D702" s="3" t="str">
        <f>YEAR(Datos_Consumo[[#This Row],[FECHA]])&amp;"-"&amp;MONTH(Datos_Consumo[[#This Row],[FECHA]])</f>
        <v>2017-12</v>
      </c>
    </row>
    <row r="703" spans="1:4" x14ac:dyDescent="0.25">
      <c r="A703" t="s">
        <v>1685</v>
      </c>
      <c r="B703">
        <v>2</v>
      </c>
      <c r="C703" s="54">
        <v>43132</v>
      </c>
      <c r="D703" s="3" t="str">
        <f>YEAR(Datos_Consumo[[#This Row],[FECHA]])&amp;"-"&amp;MONTH(Datos_Consumo[[#This Row],[FECHA]])</f>
        <v>2018-2</v>
      </c>
    </row>
    <row r="704" spans="1:4" x14ac:dyDescent="0.25">
      <c r="A704" t="s">
        <v>1685</v>
      </c>
      <c r="B704">
        <v>5</v>
      </c>
      <c r="C704" s="54">
        <v>43160</v>
      </c>
      <c r="D704" s="3" t="str">
        <f>YEAR(Datos_Consumo[[#This Row],[FECHA]])&amp;"-"&amp;MONTH(Datos_Consumo[[#This Row],[FECHA]])</f>
        <v>2018-3</v>
      </c>
    </row>
    <row r="705" spans="1:4" x14ac:dyDescent="0.25">
      <c r="A705" t="s">
        <v>1685</v>
      </c>
      <c r="B705">
        <v>1</v>
      </c>
      <c r="C705" s="54">
        <v>43191</v>
      </c>
      <c r="D705" s="3" t="str">
        <f>YEAR(Datos_Consumo[[#This Row],[FECHA]])&amp;"-"&amp;MONTH(Datos_Consumo[[#This Row],[FECHA]])</f>
        <v>2018-4</v>
      </c>
    </row>
    <row r="706" spans="1:4" x14ac:dyDescent="0.25">
      <c r="A706" t="s">
        <v>1685</v>
      </c>
      <c r="B706">
        <v>3</v>
      </c>
      <c r="C706" s="54">
        <v>43221</v>
      </c>
      <c r="D706" s="3" t="str">
        <f>YEAR(Datos_Consumo[[#This Row],[FECHA]])&amp;"-"&amp;MONTH(Datos_Consumo[[#This Row],[FECHA]])</f>
        <v>2018-5</v>
      </c>
    </row>
    <row r="707" spans="1:4" x14ac:dyDescent="0.25">
      <c r="A707" t="s">
        <v>1686</v>
      </c>
      <c r="B707">
        <v>6</v>
      </c>
      <c r="C707" s="54">
        <v>43070</v>
      </c>
      <c r="D707" s="3" t="str">
        <f>YEAR(Datos_Consumo[[#This Row],[FECHA]])&amp;"-"&amp;MONTH(Datos_Consumo[[#This Row],[FECHA]])</f>
        <v>2017-12</v>
      </c>
    </row>
    <row r="708" spans="1:4" x14ac:dyDescent="0.25">
      <c r="A708" t="s">
        <v>1686</v>
      </c>
      <c r="B708">
        <v>4</v>
      </c>
      <c r="C708" s="54">
        <v>43101</v>
      </c>
      <c r="D708" s="3" t="str">
        <f>YEAR(Datos_Consumo[[#This Row],[FECHA]])&amp;"-"&amp;MONTH(Datos_Consumo[[#This Row],[FECHA]])</f>
        <v>2018-1</v>
      </c>
    </row>
    <row r="709" spans="1:4" x14ac:dyDescent="0.25">
      <c r="A709" t="s">
        <v>1686</v>
      </c>
      <c r="B709">
        <v>2</v>
      </c>
      <c r="C709" s="54">
        <v>43132</v>
      </c>
      <c r="D709" s="3" t="str">
        <f>YEAR(Datos_Consumo[[#This Row],[FECHA]])&amp;"-"&amp;MONTH(Datos_Consumo[[#This Row],[FECHA]])</f>
        <v>2018-2</v>
      </c>
    </row>
    <row r="710" spans="1:4" x14ac:dyDescent="0.25">
      <c r="A710" t="s">
        <v>1686</v>
      </c>
      <c r="B710">
        <v>8</v>
      </c>
      <c r="C710" s="54">
        <v>43160</v>
      </c>
      <c r="D710" s="3" t="str">
        <f>YEAR(Datos_Consumo[[#This Row],[FECHA]])&amp;"-"&amp;MONTH(Datos_Consumo[[#This Row],[FECHA]])</f>
        <v>2018-3</v>
      </c>
    </row>
    <row r="711" spans="1:4" x14ac:dyDescent="0.25">
      <c r="A711" t="s">
        <v>1686</v>
      </c>
      <c r="B711">
        <v>8</v>
      </c>
      <c r="C711" s="54">
        <v>43191</v>
      </c>
      <c r="D711" s="3" t="str">
        <f>YEAR(Datos_Consumo[[#This Row],[FECHA]])&amp;"-"&amp;MONTH(Datos_Consumo[[#This Row],[FECHA]])</f>
        <v>2018-4</v>
      </c>
    </row>
    <row r="712" spans="1:4" x14ac:dyDescent="0.25">
      <c r="A712" t="s">
        <v>1686</v>
      </c>
      <c r="B712">
        <v>2</v>
      </c>
      <c r="C712" s="54">
        <v>43221</v>
      </c>
      <c r="D712" s="3" t="str">
        <f>YEAR(Datos_Consumo[[#This Row],[FECHA]])&amp;"-"&amp;MONTH(Datos_Consumo[[#This Row],[FECHA]])</f>
        <v>2018-5</v>
      </c>
    </row>
    <row r="713" spans="1:4" x14ac:dyDescent="0.25">
      <c r="A713" t="s">
        <v>1687</v>
      </c>
      <c r="B713">
        <v>2</v>
      </c>
      <c r="C713" s="54">
        <v>43160</v>
      </c>
      <c r="D713" s="3" t="str">
        <f>YEAR(Datos_Consumo[[#This Row],[FECHA]])&amp;"-"&amp;MONTH(Datos_Consumo[[#This Row],[FECHA]])</f>
        <v>2018-3</v>
      </c>
    </row>
    <row r="714" spans="1:4" x14ac:dyDescent="0.25">
      <c r="A714" t="s">
        <v>1688</v>
      </c>
      <c r="B714">
        <v>4</v>
      </c>
      <c r="C714" s="54">
        <v>43191</v>
      </c>
      <c r="D714" s="3" t="str">
        <f>YEAR(Datos_Consumo[[#This Row],[FECHA]])&amp;"-"&amp;MONTH(Datos_Consumo[[#This Row],[FECHA]])</f>
        <v>2018-4</v>
      </c>
    </row>
    <row r="715" spans="1:4" x14ac:dyDescent="0.25">
      <c r="A715" t="s">
        <v>1689</v>
      </c>
      <c r="B715">
        <v>3</v>
      </c>
      <c r="C715" s="54">
        <v>43070</v>
      </c>
      <c r="D715" s="3" t="str">
        <f>YEAR(Datos_Consumo[[#This Row],[FECHA]])&amp;"-"&amp;MONTH(Datos_Consumo[[#This Row],[FECHA]])</f>
        <v>2017-12</v>
      </c>
    </row>
    <row r="716" spans="1:4" x14ac:dyDescent="0.25">
      <c r="A716" t="s">
        <v>1690</v>
      </c>
      <c r="B716">
        <v>1</v>
      </c>
      <c r="C716" s="54">
        <v>43070</v>
      </c>
      <c r="D716" s="3" t="str">
        <f>YEAR(Datos_Consumo[[#This Row],[FECHA]])&amp;"-"&amp;MONTH(Datos_Consumo[[#This Row],[FECHA]])</f>
        <v>2017-12</v>
      </c>
    </row>
    <row r="717" spans="1:4" x14ac:dyDescent="0.25">
      <c r="A717" t="s">
        <v>1690</v>
      </c>
      <c r="B717">
        <v>6</v>
      </c>
      <c r="C717" s="54">
        <v>43101</v>
      </c>
      <c r="D717" s="3" t="str">
        <f>YEAR(Datos_Consumo[[#This Row],[FECHA]])&amp;"-"&amp;MONTH(Datos_Consumo[[#This Row],[FECHA]])</f>
        <v>2018-1</v>
      </c>
    </row>
    <row r="718" spans="1:4" x14ac:dyDescent="0.25">
      <c r="A718" t="s">
        <v>1690</v>
      </c>
      <c r="B718">
        <v>2</v>
      </c>
      <c r="C718" s="54">
        <v>43132</v>
      </c>
      <c r="D718" s="3" t="str">
        <f>YEAR(Datos_Consumo[[#This Row],[FECHA]])&amp;"-"&amp;MONTH(Datos_Consumo[[#This Row],[FECHA]])</f>
        <v>2018-2</v>
      </c>
    </row>
    <row r="719" spans="1:4" x14ac:dyDescent="0.25">
      <c r="A719" t="s">
        <v>1690</v>
      </c>
      <c r="B719">
        <v>3</v>
      </c>
      <c r="C719" s="54">
        <v>43221</v>
      </c>
      <c r="D719" s="3" t="str">
        <f>YEAR(Datos_Consumo[[#This Row],[FECHA]])&amp;"-"&amp;MONTH(Datos_Consumo[[#This Row],[FECHA]])</f>
        <v>2018-5</v>
      </c>
    </row>
    <row r="720" spans="1:4" x14ac:dyDescent="0.25">
      <c r="A720" t="s">
        <v>1691</v>
      </c>
      <c r="B720">
        <v>2</v>
      </c>
      <c r="C720" s="54">
        <v>43132</v>
      </c>
      <c r="D720" s="3" t="str">
        <f>YEAR(Datos_Consumo[[#This Row],[FECHA]])&amp;"-"&amp;MONTH(Datos_Consumo[[#This Row],[FECHA]])</f>
        <v>2018-2</v>
      </c>
    </row>
    <row r="721" spans="1:4" x14ac:dyDescent="0.25">
      <c r="A721" t="s">
        <v>1691</v>
      </c>
      <c r="B721">
        <v>2</v>
      </c>
      <c r="C721" s="54">
        <v>43160</v>
      </c>
      <c r="D721" s="3" t="str">
        <f>YEAR(Datos_Consumo[[#This Row],[FECHA]])&amp;"-"&amp;MONTH(Datos_Consumo[[#This Row],[FECHA]])</f>
        <v>2018-3</v>
      </c>
    </row>
    <row r="722" spans="1:4" x14ac:dyDescent="0.25">
      <c r="A722" t="s">
        <v>1691</v>
      </c>
      <c r="B722">
        <v>1</v>
      </c>
      <c r="C722" s="54">
        <v>43221</v>
      </c>
      <c r="D722" s="3" t="str">
        <f>YEAR(Datos_Consumo[[#This Row],[FECHA]])&amp;"-"&amp;MONTH(Datos_Consumo[[#This Row],[FECHA]])</f>
        <v>2018-5</v>
      </c>
    </row>
    <row r="723" spans="1:4" x14ac:dyDescent="0.25">
      <c r="A723" t="s">
        <v>1692</v>
      </c>
      <c r="B723">
        <v>2</v>
      </c>
      <c r="C723" s="54">
        <v>43070</v>
      </c>
      <c r="D723" s="3" t="str">
        <f>YEAR(Datos_Consumo[[#This Row],[FECHA]])&amp;"-"&amp;MONTH(Datos_Consumo[[#This Row],[FECHA]])</f>
        <v>2017-12</v>
      </c>
    </row>
    <row r="724" spans="1:4" x14ac:dyDescent="0.25">
      <c r="A724" t="s">
        <v>1692</v>
      </c>
      <c r="B724">
        <v>5</v>
      </c>
      <c r="C724" s="54">
        <v>43101</v>
      </c>
      <c r="D724" s="3" t="str">
        <f>YEAR(Datos_Consumo[[#This Row],[FECHA]])&amp;"-"&amp;MONTH(Datos_Consumo[[#This Row],[FECHA]])</f>
        <v>2018-1</v>
      </c>
    </row>
    <row r="725" spans="1:4" x14ac:dyDescent="0.25">
      <c r="A725" t="s">
        <v>1692</v>
      </c>
      <c r="B725">
        <v>1</v>
      </c>
      <c r="C725" s="54">
        <v>43132</v>
      </c>
      <c r="D725" s="3" t="str">
        <f>YEAR(Datos_Consumo[[#This Row],[FECHA]])&amp;"-"&amp;MONTH(Datos_Consumo[[#This Row],[FECHA]])</f>
        <v>2018-2</v>
      </c>
    </row>
    <row r="726" spans="1:4" x14ac:dyDescent="0.25">
      <c r="A726" t="s">
        <v>1692</v>
      </c>
      <c r="B726">
        <v>6</v>
      </c>
      <c r="C726" s="54">
        <v>43160</v>
      </c>
      <c r="D726" s="3" t="str">
        <f>YEAR(Datos_Consumo[[#This Row],[FECHA]])&amp;"-"&amp;MONTH(Datos_Consumo[[#This Row],[FECHA]])</f>
        <v>2018-3</v>
      </c>
    </row>
    <row r="727" spans="1:4" x14ac:dyDescent="0.25">
      <c r="A727" t="s">
        <v>1692</v>
      </c>
      <c r="B727">
        <v>4</v>
      </c>
      <c r="C727" s="54">
        <v>43191</v>
      </c>
      <c r="D727" s="3" t="str">
        <f>YEAR(Datos_Consumo[[#This Row],[FECHA]])&amp;"-"&amp;MONTH(Datos_Consumo[[#This Row],[FECHA]])</f>
        <v>2018-4</v>
      </c>
    </row>
    <row r="728" spans="1:4" x14ac:dyDescent="0.25">
      <c r="A728" t="s">
        <v>1692</v>
      </c>
      <c r="B728">
        <v>3</v>
      </c>
      <c r="C728" s="54">
        <v>43221</v>
      </c>
      <c r="D728" s="3" t="str">
        <f>YEAR(Datos_Consumo[[#This Row],[FECHA]])&amp;"-"&amp;MONTH(Datos_Consumo[[#This Row],[FECHA]])</f>
        <v>2018-5</v>
      </c>
    </row>
    <row r="729" spans="1:4" x14ac:dyDescent="0.25">
      <c r="A729" t="s">
        <v>1693</v>
      </c>
      <c r="B729">
        <v>221</v>
      </c>
      <c r="C729" s="54">
        <v>43070</v>
      </c>
      <c r="D729" s="3" t="str">
        <f>YEAR(Datos_Consumo[[#This Row],[FECHA]])&amp;"-"&amp;MONTH(Datos_Consumo[[#This Row],[FECHA]])</f>
        <v>2017-12</v>
      </c>
    </row>
    <row r="730" spans="1:4" x14ac:dyDescent="0.25">
      <c r="A730" t="s">
        <v>1693</v>
      </c>
      <c r="B730">
        <v>1</v>
      </c>
      <c r="C730" s="54">
        <v>43101</v>
      </c>
      <c r="D730" s="3" t="str">
        <f>YEAR(Datos_Consumo[[#This Row],[FECHA]])&amp;"-"&amp;MONTH(Datos_Consumo[[#This Row],[FECHA]])</f>
        <v>2018-1</v>
      </c>
    </row>
    <row r="731" spans="1:4" x14ac:dyDescent="0.25">
      <c r="A731" t="s">
        <v>1693</v>
      </c>
      <c r="B731">
        <v>3</v>
      </c>
      <c r="C731" s="54">
        <v>43132</v>
      </c>
      <c r="D731" s="3" t="str">
        <f>YEAR(Datos_Consumo[[#This Row],[FECHA]])&amp;"-"&amp;MONTH(Datos_Consumo[[#This Row],[FECHA]])</f>
        <v>2018-2</v>
      </c>
    </row>
    <row r="732" spans="1:4" x14ac:dyDescent="0.25">
      <c r="A732" t="s">
        <v>1693</v>
      </c>
      <c r="B732">
        <v>228</v>
      </c>
      <c r="C732" s="54">
        <v>43160</v>
      </c>
      <c r="D732" s="3" t="str">
        <f>YEAR(Datos_Consumo[[#This Row],[FECHA]])&amp;"-"&amp;MONTH(Datos_Consumo[[#This Row],[FECHA]])</f>
        <v>2018-3</v>
      </c>
    </row>
    <row r="733" spans="1:4" x14ac:dyDescent="0.25">
      <c r="A733" t="s">
        <v>1693</v>
      </c>
      <c r="B733">
        <v>134</v>
      </c>
      <c r="C733" s="54">
        <v>43191</v>
      </c>
      <c r="D733" s="3" t="str">
        <f>YEAR(Datos_Consumo[[#This Row],[FECHA]])&amp;"-"&amp;MONTH(Datos_Consumo[[#This Row],[FECHA]])</f>
        <v>2018-4</v>
      </c>
    </row>
    <row r="734" spans="1:4" x14ac:dyDescent="0.25">
      <c r="A734" t="s">
        <v>1693</v>
      </c>
      <c r="B734">
        <v>6</v>
      </c>
      <c r="C734" s="54">
        <v>43221</v>
      </c>
      <c r="D734" s="3" t="str">
        <f>YEAR(Datos_Consumo[[#This Row],[FECHA]])&amp;"-"&amp;MONTH(Datos_Consumo[[#This Row],[FECHA]])</f>
        <v>2018-5</v>
      </c>
    </row>
    <row r="735" spans="1:4" x14ac:dyDescent="0.25">
      <c r="A735" t="s">
        <v>1694</v>
      </c>
      <c r="B735">
        <v>2</v>
      </c>
      <c r="C735" s="54">
        <v>43070</v>
      </c>
      <c r="D735" s="3" t="str">
        <f>YEAR(Datos_Consumo[[#This Row],[FECHA]])&amp;"-"&amp;MONTH(Datos_Consumo[[#This Row],[FECHA]])</f>
        <v>2017-12</v>
      </c>
    </row>
    <row r="736" spans="1:4" x14ac:dyDescent="0.25">
      <c r="A736" t="s">
        <v>1694</v>
      </c>
      <c r="B736">
        <v>5</v>
      </c>
      <c r="C736" s="54">
        <v>43101</v>
      </c>
      <c r="D736" s="3" t="str">
        <f>YEAR(Datos_Consumo[[#This Row],[FECHA]])&amp;"-"&amp;MONTH(Datos_Consumo[[#This Row],[FECHA]])</f>
        <v>2018-1</v>
      </c>
    </row>
    <row r="737" spans="1:4" x14ac:dyDescent="0.25">
      <c r="A737" t="s">
        <v>1694</v>
      </c>
      <c r="B737">
        <v>467</v>
      </c>
      <c r="C737" s="54">
        <v>43191</v>
      </c>
      <c r="D737" s="3" t="str">
        <f>YEAR(Datos_Consumo[[#This Row],[FECHA]])&amp;"-"&amp;MONTH(Datos_Consumo[[#This Row],[FECHA]])</f>
        <v>2018-4</v>
      </c>
    </row>
    <row r="738" spans="1:4" x14ac:dyDescent="0.25">
      <c r="A738" t="s">
        <v>1694</v>
      </c>
      <c r="B738">
        <v>10</v>
      </c>
      <c r="C738" s="54">
        <v>43221</v>
      </c>
      <c r="D738" s="3" t="str">
        <f>YEAR(Datos_Consumo[[#This Row],[FECHA]])&amp;"-"&amp;MONTH(Datos_Consumo[[#This Row],[FECHA]])</f>
        <v>2018-5</v>
      </c>
    </row>
    <row r="739" spans="1:4" x14ac:dyDescent="0.25">
      <c r="A739" t="s">
        <v>1695</v>
      </c>
      <c r="B739">
        <v>31</v>
      </c>
      <c r="C739" s="54">
        <v>43070</v>
      </c>
      <c r="D739" s="3" t="str">
        <f>YEAR(Datos_Consumo[[#This Row],[FECHA]])&amp;"-"&amp;MONTH(Datos_Consumo[[#This Row],[FECHA]])</f>
        <v>2017-12</v>
      </c>
    </row>
    <row r="740" spans="1:4" x14ac:dyDescent="0.25">
      <c r="A740" t="s">
        <v>1695</v>
      </c>
      <c r="B740">
        <v>51</v>
      </c>
      <c r="C740" s="54">
        <v>43101</v>
      </c>
      <c r="D740" s="3" t="str">
        <f>YEAR(Datos_Consumo[[#This Row],[FECHA]])&amp;"-"&amp;MONTH(Datos_Consumo[[#This Row],[FECHA]])</f>
        <v>2018-1</v>
      </c>
    </row>
    <row r="741" spans="1:4" x14ac:dyDescent="0.25">
      <c r="A741" t="s">
        <v>1695</v>
      </c>
      <c r="B741">
        <v>45</v>
      </c>
      <c r="C741" s="54">
        <v>43132</v>
      </c>
      <c r="D741" s="3" t="str">
        <f>YEAR(Datos_Consumo[[#This Row],[FECHA]])&amp;"-"&amp;MONTH(Datos_Consumo[[#This Row],[FECHA]])</f>
        <v>2018-2</v>
      </c>
    </row>
    <row r="742" spans="1:4" x14ac:dyDescent="0.25">
      <c r="A742" t="s">
        <v>1695</v>
      </c>
      <c r="B742">
        <v>83</v>
      </c>
      <c r="C742" s="54">
        <v>43160</v>
      </c>
      <c r="D742" s="3" t="str">
        <f>YEAR(Datos_Consumo[[#This Row],[FECHA]])&amp;"-"&amp;MONTH(Datos_Consumo[[#This Row],[FECHA]])</f>
        <v>2018-3</v>
      </c>
    </row>
    <row r="743" spans="1:4" x14ac:dyDescent="0.25">
      <c r="A743" t="s">
        <v>1695</v>
      </c>
      <c r="B743">
        <v>31</v>
      </c>
      <c r="C743" s="54">
        <v>43191</v>
      </c>
      <c r="D743" s="3" t="str">
        <f>YEAR(Datos_Consumo[[#This Row],[FECHA]])&amp;"-"&amp;MONTH(Datos_Consumo[[#This Row],[FECHA]])</f>
        <v>2018-4</v>
      </c>
    </row>
    <row r="744" spans="1:4" x14ac:dyDescent="0.25">
      <c r="A744" t="s">
        <v>1696</v>
      </c>
      <c r="B744">
        <v>4</v>
      </c>
      <c r="C744" s="54">
        <v>43070</v>
      </c>
      <c r="D744" s="3" t="str">
        <f>YEAR(Datos_Consumo[[#This Row],[FECHA]])&amp;"-"&amp;MONTH(Datos_Consumo[[#This Row],[FECHA]])</f>
        <v>2017-12</v>
      </c>
    </row>
    <row r="745" spans="1:4" x14ac:dyDescent="0.25">
      <c r="A745" t="s">
        <v>1696</v>
      </c>
      <c r="B745">
        <v>3</v>
      </c>
      <c r="C745" s="54">
        <v>43101</v>
      </c>
      <c r="D745" s="3" t="str">
        <f>YEAR(Datos_Consumo[[#This Row],[FECHA]])&amp;"-"&amp;MONTH(Datos_Consumo[[#This Row],[FECHA]])</f>
        <v>2018-1</v>
      </c>
    </row>
    <row r="746" spans="1:4" x14ac:dyDescent="0.25">
      <c r="A746" t="s">
        <v>1696</v>
      </c>
      <c r="B746">
        <v>4</v>
      </c>
      <c r="C746" s="54">
        <v>43191</v>
      </c>
      <c r="D746" s="3" t="str">
        <f>YEAR(Datos_Consumo[[#This Row],[FECHA]])&amp;"-"&amp;MONTH(Datos_Consumo[[#This Row],[FECHA]])</f>
        <v>2018-4</v>
      </c>
    </row>
    <row r="747" spans="1:4" x14ac:dyDescent="0.25">
      <c r="A747" t="s">
        <v>1697</v>
      </c>
      <c r="B747">
        <v>1</v>
      </c>
      <c r="C747" s="54">
        <v>43101</v>
      </c>
      <c r="D747" s="3" t="str">
        <f>YEAR(Datos_Consumo[[#This Row],[FECHA]])&amp;"-"&amp;MONTH(Datos_Consumo[[#This Row],[FECHA]])</f>
        <v>2018-1</v>
      </c>
    </row>
    <row r="748" spans="1:4" x14ac:dyDescent="0.25">
      <c r="A748" t="s">
        <v>1697</v>
      </c>
      <c r="B748">
        <v>1</v>
      </c>
      <c r="C748" s="54">
        <v>43191</v>
      </c>
      <c r="D748" s="3" t="str">
        <f>YEAR(Datos_Consumo[[#This Row],[FECHA]])&amp;"-"&amp;MONTH(Datos_Consumo[[#This Row],[FECHA]])</f>
        <v>2018-4</v>
      </c>
    </row>
    <row r="749" spans="1:4" x14ac:dyDescent="0.25">
      <c r="A749" t="s">
        <v>1698</v>
      </c>
      <c r="B749">
        <v>2</v>
      </c>
      <c r="C749" s="54">
        <v>43132</v>
      </c>
      <c r="D749" s="3" t="str">
        <f>YEAR(Datos_Consumo[[#This Row],[FECHA]])&amp;"-"&amp;MONTH(Datos_Consumo[[#This Row],[FECHA]])</f>
        <v>2018-2</v>
      </c>
    </row>
    <row r="750" spans="1:4" x14ac:dyDescent="0.25">
      <c r="A750" t="s">
        <v>1699</v>
      </c>
      <c r="B750">
        <v>1</v>
      </c>
      <c r="C750" s="54">
        <v>43160</v>
      </c>
      <c r="D750" s="3" t="str">
        <f>YEAR(Datos_Consumo[[#This Row],[FECHA]])&amp;"-"&amp;MONTH(Datos_Consumo[[#This Row],[FECHA]])</f>
        <v>2018-3</v>
      </c>
    </row>
    <row r="751" spans="1:4" x14ac:dyDescent="0.25">
      <c r="A751" t="s">
        <v>1700</v>
      </c>
      <c r="B751">
        <v>4</v>
      </c>
      <c r="C751" s="54">
        <v>43070</v>
      </c>
      <c r="D751" s="3" t="str">
        <f>YEAR(Datos_Consumo[[#This Row],[FECHA]])&amp;"-"&amp;MONTH(Datos_Consumo[[#This Row],[FECHA]])</f>
        <v>2017-12</v>
      </c>
    </row>
    <row r="752" spans="1:4" x14ac:dyDescent="0.25">
      <c r="A752" t="s">
        <v>1700</v>
      </c>
      <c r="B752">
        <v>2</v>
      </c>
      <c r="C752" s="54">
        <v>43101</v>
      </c>
      <c r="D752" s="3" t="str">
        <f>YEAR(Datos_Consumo[[#This Row],[FECHA]])&amp;"-"&amp;MONTH(Datos_Consumo[[#This Row],[FECHA]])</f>
        <v>2018-1</v>
      </c>
    </row>
    <row r="753" spans="1:4" x14ac:dyDescent="0.25">
      <c r="A753" t="s">
        <v>1700</v>
      </c>
      <c r="B753">
        <v>4</v>
      </c>
      <c r="C753" s="54">
        <v>43160</v>
      </c>
      <c r="D753" s="3" t="str">
        <f>YEAR(Datos_Consumo[[#This Row],[FECHA]])&amp;"-"&amp;MONTH(Datos_Consumo[[#This Row],[FECHA]])</f>
        <v>2018-3</v>
      </c>
    </row>
    <row r="754" spans="1:4" x14ac:dyDescent="0.25">
      <c r="A754" t="s">
        <v>1701</v>
      </c>
      <c r="B754">
        <v>1</v>
      </c>
      <c r="C754" s="54">
        <v>43101</v>
      </c>
      <c r="D754" s="3" t="str">
        <f>YEAR(Datos_Consumo[[#This Row],[FECHA]])&amp;"-"&amp;MONTH(Datos_Consumo[[#This Row],[FECHA]])</f>
        <v>2018-1</v>
      </c>
    </row>
    <row r="755" spans="1:4" x14ac:dyDescent="0.25">
      <c r="A755" t="s">
        <v>1701</v>
      </c>
      <c r="B755">
        <v>2</v>
      </c>
      <c r="C755" s="54">
        <v>43132</v>
      </c>
      <c r="D755" s="3" t="str">
        <f>YEAR(Datos_Consumo[[#This Row],[FECHA]])&amp;"-"&amp;MONTH(Datos_Consumo[[#This Row],[FECHA]])</f>
        <v>2018-2</v>
      </c>
    </row>
    <row r="756" spans="1:4" x14ac:dyDescent="0.25">
      <c r="A756" t="s">
        <v>1701</v>
      </c>
      <c r="B756">
        <v>3</v>
      </c>
      <c r="C756" s="54">
        <v>43160</v>
      </c>
      <c r="D756" s="3" t="str">
        <f>YEAR(Datos_Consumo[[#This Row],[FECHA]])&amp;"-"&amp;MONTH(Datos_Consumo[[#This Row],[FECHA]])</f>
        <v>2018-3</v>
      </c>
    </row>
    <row r="757" spans="1:4" x14ac:dyDescent="0.25">
      <c r="A757" t="s">
        <v>1702</v>
      </c>
      <c r="B757">
        <v>2</v>
      </c>
      <c r="C757" s="54">
        <v>43160</v>
      </c>
      <c r="D757" s="3" t="str">
        <f>YEAR(Datos_Consumo[[#This Row],[FECHA]])&amp;"-"&amp;MONTH(Datos_Consumo[[#This Row],[FECHA]])</f>
        <v>2018-3</v>
      </c>
    </row>
    <row r="758" spans="1:4" x14ac:dyDescent="0.25">
      <c r="A758" t="s">
        <v>1702</v>
      </c>
      <c r="B758">
        <v>1</v>
      </c>
      <c r="C758" s="54">
        <v>43191</v>
      </c>
      <c r="D758" s="3" t="str">
        <f>YEAR(Datos_Consumo[[#This Row],[FECHA]])&amp;"-"&amp;MONTH(Datos_Consumo[[#This Row],[FECHA]])</f>
        <v>2018-4</v>
      </c>
    </row>
    <row r="759" spans="1:4" x14ac:dyDescent="0.25">
      <c r="A759" t="s">
        <v>1703</v>
      </c>
      <c r="B759">
        <v>2</v>
      </c>
      <c r="C759" s="54">
        <v>43160</v>
      </c>
      <c r="D759" s="3" t="str">
        <f>YEAR(Datos_Consumo[[#This Row],[FECHA]])&amp;"-"&amp;MONTH(Datos_Consumo[[#This Row],[FECHA]])</f>
        <v>2018-3</v>
      </c>
    </row>
    <row r="760" spans="1:4" x14ac:dyDescent="0.25">
      <c r="A760" t="s">
        <v>1704</v>
      </c>
      <c r="B760">
        <v>36</v>
      </c>
      <c r="C760" s="54">
        <v>43070</v>
      </c>
      <c r="D760" s="3" t="str">
        <f>YEAR(Datos_Consumo[[#This Row],[FECHA]])&amp;"-"&amp;MONTH(Datos_Consumo[[#This Row],[FECHA]])</f>
        <v>2017-12</v>
      </c>
    </row>
    <row r="761" spans="1:4" x14ac:dyDescent="0.25">
      <c r="A761" t="s">
        <v>1704</v>
      </c>
      <c r="B761">
        <v>63</v>
      </c>
      <c r="C761" s="54">
        <v>43101</v>
      </c>
      <c r="D761" s="3" t="str">
        <f>YEAR(Datos_Consumo[[#This Row],[FECHA]])&amp;"-"&amp;MONTH(Datos_Consumo[[#This Row],[FECHA]])</f>
        <v>2018-1</v>
      </c>
    </row>
    <row r="762" spans="1:4" x14ac:dyDescent="0.25">
      <c r="A762" t="s">
        <v>1704</v>
      </c>
      <c r="B762">
        <v>15</v>
      </c>
      <c r="C762" s="54">
        <v>43132</v>
      </c>
      <c r="D762" s="3" t="str">
        <f>YEAR(Datos_Consumo[[#This Row],[FECHA]])&amp;"-"&amp;MONTH(Datos_Consumo[[#This Row],[FECHA]])</f>
        <v>2018-2</v>
      </c>
    </row>
    <row r="763" spans="1:4" x14ac:dyDescent="0.25">
      <c r="A763" t="s">
        <v>1704</v>
      </c>
      <c r="B763">
        <v>26</v>
      </c>
      <c r="C763" s="54">
        <v>43160</v>
      </c>
      <c r="D763" s="3" t="str">
        <f>YEAR(Datos_Consumo[[#This Row],[FECHA]])&amp;"-"&amp;MONTH(Datos_Consumo[[#This Row],[FECHA]])</f>
        <v>2018-3</v>
      </c>
    </row>
    <row r="764" spans="1:4" x14ac:dyDescent="0.25">
      <c r="A764" t="s">
        <v>1704</v>
      </c>
      <c r="B764">
        <v>24</v>
      </c>
      <c r="C764" s="54">
        <v>43191</v>
      </c>
      <c r="D764" s="3" t="str">
        <f>YEAR(Datos_Consumo[[#This Row],[FECHA]])&amp;"-"&amp;MONTH(Datos_Consumo[[#This Row],[FECHA]])</f>
        <v>2018-4</v>
      </c>
    </row>
    <row r="765" spans="1:4" x14ac:dyDescent="0.25">
      <c r="A765" t="s">
        <v>1705</v>
      </c>
      <c r="B765">
        <v>1</v>
      </c>
      <c r="C765" s="54">
        <v>43070</v>
      </c>
      <c r="D765" s="3" t="str">
        <f>YEAR(Datos_Consumo[[#This Row],[FECHA]])&amp;"-"&amp;MONTH(Datos_Consumo[[#This Row],[FECHA]])</f>
        <v>2017-12</v>
      </c>
    </row>
    <row r="766" spans="1:4" x14ac:dyDescent="0.25">
      <c r="A766" t="s">
        <v>1705</v>
      </c>
      <c r="B766">
        <v>2</v>
      </c>
      <c r="C766" s="54">
        <v>43101</v>
      </c>
      <c r="D766" s="3" t="str">
        <f>YEAR(Datos_Consumo[[#This Row],[FECHA]])&amp;"-"&amp;MONTH(Datos_Consumo[[#This Row],[FECHA]])</f>
        <v>2018-1</v>
      </c>
    </row>
    <row r="767" spans="1:4" x14ac:dyDescent="0.25">
      <c r="A767" t="s">
        <v>1705</v>
      </c>
      <c r="B767">
        <v>1</v>
      </c>
      <c r="C767" s="54">
        <v>43160</v>
      </c>
      <c r="D767" s="3" t="str">
        <f>YEAR(Datos_Consumo[[#This Row],[FECHA]])&amp;"-"&amp;MONTH(Datos_Consumo[[#This Row],[FECHA]])</f>
        <v>2018-3</v>
      </c>
    </row>
    <row r="768" spans="1:4" x14ac:dyDescent="0.25">
      <c r="A768" t="s">
        <v>1706</v>
      </c>
      <c r="B768">
        <v>1</v>
      </c>
      <c r="C768" s="54">
        <v>43160</v>
      </c>
      <c r="D768" s="3" t="str">
        <f>YEAR(Datos_Consumo[[#This Row],[FECHA]])&amp;"-"&amp;MONTH(Datos_Consumo[[#This Row],[FECHA]])</f>
        <v>2018-3</v>
      </c>
    </row>
    <row r="769" spans="1:4" x14ac:dyDescent="0.25">
      <c r="A769" t="s">
        <v>1707</v>
      </c>
      <c r="B769">
        <v>2</v>
      </c>
      <c r="C769" s="54">
        <v>43070</v>
      </c>
      <c r="D769" s="3" t="str">
        <f>YEAR(Datos_Consumo[[#This Row],[FECHA]])&amp;"-"&amp;MONTH(Datos_Consumo[[#This Row],[FECHA]])</f>
        <v>2017-12</v>
      </c>
    </row>
    <row r="770" spans="1:4" x14ac:dyDescent="0.25">
      <c r="A770" t="s">
        <v>1707</v>
      </c>
      <c r="B770">
        <v>1</v>
      </c>
      <c r="C770" s="54">
        <v>43160</v>
      </c>
      <c r="D770" s="3" t="str">
        <f>YEAR(Datos_Consumo[[#This Row],[FECHA]])&amp;"-"&amp;MONTH(Datos_Consumo[[#This Row],[FECHA]])</f>
        <v>2018-3</v>
      </c>
    </row>
    <row r="771" spans="1:4" x14ac:dyDescent="0.25">
      <c r="A771" t="s">
        <v>1707</v>
      </c>
      <c r="B771">
        <v>1</v>
      </c>
      <c r="C771" s="54">
        <v>43191</v>
      </c>
      <c r="D771" s="3" t="str">
        <f>YEAR(Datos_Consumo[[#This Row],[FECHA]])&amp;"-"&amp;MONTH(Datos_Consumo[[#This Row],[FECHA]])</f>
        <v>2018-4</v>
      </c>
    </row>
    <row r="772" spans="1:4" x14ac:dyDescent="0.25">
      <c r="A772" t="s">
        <v>1708</v>
      </c>
      <c r="B772">
        <v>4</v>
      </c>
      <c r="C772" s="54">
        <v>43070</v>
      </c>
      <c r="D772" s="3" t="str">
        <f>YEAR(Datos_Consumo[[#This Row],[FECHA]])&amp;"-"&amp;MONTH(Datos_Consumo[[#This Row],[FECHA]])</f>
        <v>2017-12</v>
      </c>
    </row>
    <row r="773" spans="1:4" x14ac:dyDescent="0.25">
      <c r="A773" t="s">
        <v>1708</v>
      </c>
      <c r="B773">
        <v>2</v>
      </c>
      <c r="C773" s="54">
        <v>43101</v>
      </c>
      <c r="D773" s="3" t="str">
        <f>YEAR(Datos_Consumo[[#This Row],[FECHA]])&amp;"-"&amp;MONTH(Datos_Consumo[[#This Row],[FECHA]])</f>
        <v>2018-1</v>
      </c>
    </row>
    <row r="774" spans="1:4" x14ac:dyDescent="0.25">
      <c r="A774" t="s">
        <v>1709</v>
      </c>
      <c r="B774">
        <v>3</v>
      </c>
      <c r="C774" s="54">
        <v>43070</v>
      </c>
      <c r="D774" s="3" t="str">
        <f>YEAR(Datos_Consumo[[#This Row],[FECHA]])&amp;"-"&amp;MONTH(Datos_Consumo[[#This Row],[FECHA]])</f>
        <v>2017-12</v>
      </c>
    </row>
    <row r="775" spans="1:4" x14ac:dyDescent="0.25">
      <c r="A775" t="s">
        <v>1709</v>
      </c>
      <c r="B775">
        <v>2</v>
      </c>
      <c r="C775" s="54">
        <v>43101</v>
      </c>
      <c r="D775" s="3" t="str">
        <f>YEAR(Datos_Consumo[[#This Row],[FECHA]])&amp;"-"&amp;MONTH(Datos_Consumo[[#This Row],[FECHA]])</f>
        <v>2018-1</v>
      </c>
    </row>
    <row r="776" spans="1:4" x14ac:dyDescent="0.25">
      <c r="A776" t="s">
        <v>1709</v>
      </c>
      <c r="B776">
        <v>1</v>
      </c>
      <c r="C776" s="54">
        <v>43160</v>
      </c>
      <c r="D776" s="3" t="str">
        <f>YEAR(Datos_Consumo[[#This Row],[FECHA]])&amp;"-"&amp;MONTH(Datos_Consumo[[#This Row],[FECHA]])</f>
        <v>2018-3</v>
      </c>
    </row>
    <row r="777" spans="1:4" x14ac:dyDescent="0.25">
      <c r="A777" t="s">
        <v>1710</v>
      </c>
      <c r="B777">
        <v>6</v>
      </c>
      <c r="C777" s="54">
        <v>43070</v>
      </c>
      <c r="D777" s="3" t="str">
        <f>YEAR(Datos_Consumo[[#This Row],[FECHA]])&amp;"-"&amp;MONTH(Datos_Consumo[[#This Row],[FECHA]])</f>
        <v>2017-12</v>
      </c>
    </row>
    <row r="778" spans="1:4" x14ac:dyDescent="0.25">
      <c r="A778" t="s">
        <v>1710</v>
      </c>
      <c r="B778">
        <v>10</v>
      </c>
      <c r="C778" s="54">
        <v>43101</v>
      </c>
      <c r="D778" s="3" t="str">
        <f>YEAR(Datos_Consumo[[#This Row],[FECHA]])&amp;"-"&amp;MONTH(Datos_Consumo[[#This Row],[FECHA]])</f>
        <v>2018-1</v>
      </c>
    </row>
    <row r="779" spans="1:4" x14ac:dyDescent="0.25">
      <c r="A779" t="s">
        <v>1710</v>
      </c>
      <c r="B779">
        <v>6</v>
      </c>
      <c r="C779" s="54">
        <v>43132</v>
      </c>
      <c r="D779" s="3" t="str">
        <f>YEAR(Datos_Consumo[[#This Row],[FECHA]])&amp;"-"&amp;MONTH(Datos_Consumo[[#This Row],[FECHA]])</f>
        <v>2018-2</v>
      </c>
    </row>
    <row r="780" spans="1:4" x14ac:dyDescent="0.25">
      <c r="A780" t="s">
        <v>1711</v>
      </c>
      <c r="B780">
        <v>6</v>
      </c>
      <c r="C780" s="54">
        <v>43070</v>
      </c>
      <c r="D780" s="3" t="str">
        <f>YEAR(Datos_Consumo[[#This Row],[FECHA]])&amp;"-"&amp;MONTH(Datos_Consumo[[#This Row],[FECHA]])</f>
        <v>2017-12</v>
      </c>
    </row>
    <row r="781" spans="1:4" x14ac:dyDescent="0.25">
      <c r="A781" t="s">
        <v>1711</v>
      </c>
      <c r="B781">
        <v>12</v>
      </c>
      <c r="C781" s="54">
        <v>43101</v>
      </c>
      <c r="D781" s="3" t="str">
        <f>YEAR(Datos_Consumo[[#This Row],[FECHA]])&amp;"-"&amp;MONTH(Datos_Consumo[[#This Row],[FECHA]])</f>
        <v>2018-1</v>
      </c>
    </row>
    <row r="782" spans="1:4" x14ac:dyDescent="0.25">
      <c r="A782" t="s">
        <v>1711</v>
      </c>
      <c r="B782">
        <v>2</v>
      </c>
      <c r="C782" s="54">
        <v>43132</v>
      </c>
      <c r="D782" s="3" t="str">
        <f>YEAR(Datos_Consumo[[#This Row],[FECHA]])&amp;"-"&amp;MONTH(Datos_Consumo[[#This Row],[FECHA]])</f>
        <v>2018-2</v>
      </c>
    </row>
    <row r="783" spans="1:4" x14ac:dyDescent="0.25">
      <c r="A783" t="s">
        <v>1711</v>
      </c>
      <c r="B783">
        <v>10</v>
      </c>
      <c r="C783" s="54">
        <v>43191</v>
      </c>
      <c r="D783" s="3" t="str">
        <f>YEAR(Datos_Consumo[[#This Row],[FECHA]])&amp;"-"&amp;MONTH(Datos_Consumo[[#This Row],[FECHA]])</f>
        <v>2018-4</v>
      </c>
    </row>
    <row r="784" spans="1:4" x14ac:dyDescent="0.25">
      <c r="A784" t="s">
        <v>4039</v>
      </c>
      <c r="B784">
        <v>3</v>
      </c>
      <c r="C784" s="54">
        <v>43191</v>
      </c>
      <c r="D784" s="3" t="str">
        <f>YEAR(Datos_Consumo[[#This Row],[FECHA]])&amp;"-"&amp;MONTH(Datos_Consumo[[#This Row],[FECHA]])</f>
        <v>2018-4</v>
      </c>
    </row>
    <row r="785" spans="1:4" x14ac:dyDescent="0.25">
      <c r="A785" t="s">
        <v>1712</v>
      </c>
      <c r="B785">
        <v>5</v>
      </c>
      <c r="C785" s="54">
        <v>43070</v>
      </c>
      <c r="D785" s="3" t="str">
        <f>YEAR(Datos_Consumo[[#This Row],[FECHA]])&amp;"-"&amp;MONTH(Datos_Consumo[[#This Row],[FECHA]])</f>
        <v>2017-12</v>
      </c>
    </row>
    <row r="786" spans="1:4" x14ac:dyDescent="0.25">
      <c r="A786" t="s">
        <v>1712</v>
      </c>
      <c r="B786">
        <v>15</v>
      </c>
      <c r="C786" s="54">
        <v>43101</v>
      </c>
      <c r="D786" s="3" t="str">
        <f>YEAR(Datos_Consumo[[#This Row],[FECHA]])&amp;"-"&amp;MONTH(Datos_Consumo[[#This Row],[FECHA]])</f>
        <v>2018-1</v>
      </c>
    </row>
    <row r="787" spans="1:4" x14ac:dyDescent="0.25">
      <c r="A787" t="s">
        <v>1712</v>
      </c>
      <c r="B787">
        <v>8</v>
      </c>
      <c r="C787" s="54">
        <v>43132</v>
      </c>
      <c r="D787" s="3" t="str">
        <f>YEAR(Datos_Consumo[[#This Row],[FECHA]])&amp;"-"&amp;MONTH(Datos_Consumo[[#This Row],[FECHA]])</f>
        <v>2018-2</v>
      </c>
    </row>
    <row r="788" spans="1:4" x14ac:dyDescent="0.25">
      <c r="A788" t="s">
        <v>1712</v>
      </c>
      <c r="B788">
        <v>7</v>
      </c>
      <c r="C788" s="54">
        <v>43160</v>
      </c>
      <c r="D788" s="3" t="str">
        <f>YEAR(Datos_Consumo[[#This Row],[FECHA]])&amp;"-"&amp;MONTH(Datos_Consumo[[#This Row],[FECHA]])</f>
        <v>2018-3</v>
      </c>
    </row>
    <row r="789" spans="1:4" x14ac:dyDescent="0.25">
      <c r="A789" t="s">
        <v>1712</v>
      </c>
      <c r="B789">
        <v>23</v>
      </c>
      <c r="C789" s="54">
        <v>43191</v>
      </c>
      <c r="D789" s="3" t="str">
        <f>YEAR(Datos_Consumo[[#This Row],[FECHA]])&amp;"-"&amp;MONTH(Datos_Consumo[[#This Row],[FECHA]])</f>
        <v>2018-4</v>
      </c>
    </row>
    <row r="790" spans="1:4" x14ac:dyDescent="0.25">
      <c r="A790" t="s">
        <v>1712</v>
      </c>
      <c r="B790">
        <v>10</v>
      </c>
      <c r="C790" s="54">
        <v>43221</v>
      </c>
      <c r="D790" s="3" t="str">
        <f>YEAR(Datos_Consumo[[#This Row],[FECHA]])&amp;"-"&amp;MONTH(Datos_Consumo[[#This Row],[FECHA]])</f>
        <v>2018-5</v>
      </c>
    </row>
    <row r="791" spans="1:4" x14ac:dyDescent="0.25">
      <c r="A791" t="s">
        <v>1713</v>
      </c>
      <c r="B791">
        <v>5</v>
      </c>
      <c r="C791" s="54">
        <v>43101</v>
      </c>
      <c r="D791" s="3" t="str">
        <f>YEAR(Datos_Consumo[[#This Row],[FECHA]])&amp;"-"&amp;MONTH(Datos_Consumo[[#This Row],[FECHA]])</f>
        <v>2018-1</v>
      </c>
    </row>
    <row r="792" spans="1:4" x14ac:dyDescent="0.25">
      <c r="A792" t="s">
        <v>1713</v>
      </c>
      <c r="B792">
        <v>6</v>
      </c>
      <c r="C792" s="54">
        <v>43160</v>
      </c>
      <c r="D792" s="3" t="str">
        <f>YEAR(Datos_Consumo[[#This Row],[FECHA]])&amp;"-"&amp;MONTH(Datos_Consumo[[#This Row],[FECHA]])</f>
        <v>2018-3</v>
      </c>
    </row>
    <row r="793" spans="1:4" x14ac:dyDescent="0.25">
      <c r="A793" t="s">
        <v>1714</v>
      </c>
      <c r="B793">
        <v>1</v>
      </c>
      <c r="C793" s="54">
        <v>43160</v>
      </c>
      <c r="D793" s="3" t="str">
        <f>YEAR(Datos_Consumo[[#This Row],[FECHA]])&amp;"-"&amp;MONTH(Datos_Consumo[[#This Row],[FECHA]])</f>
        <v>2018-3</v>
      </c>
    </row>
    <row r="794" spans="1:4" x14ac:dyDescent="0.25">
      <c r="A794" t="s">
        <v>1715</v>
      </c>
      <c r="B794">
        <v>4</v>
      </c>
      <c r="C794" s="54">
        <v>43070</v>
      </c>
      <c r="D794" s="3" t="str">
        <f>YEAR(Datos_Consumo[[#This Row],[FECHA]])&amp;"-"&amp;MONTH(Datos_Consumo[[#This Row],[FECHA]])</f>
        <v>2017-12</v>
      </c>
    </row>
    <row r="795" spans="1:4" x14ac:dyDescent="0.25">
      <c r="A795" t="s">
        <v>1715</v>
      </c>
      <c r="B795">
        <v>2</v>
      </c>
      <c r="C795" s="54">
        <v>43101</v>
      </c>
      <c r="D795" s="3" t="str">
        <f>YEAR(Datos_Consumo[[#This Row],[FECHA]])&amp;"-"&amp;MONTH(Datos_Consumo[[#This Row],[FECHA]])</f>
        <v>2018-1</v>
      </c>
    </row>
    <row r="796" spans="1:4" x14ac:dyDescent="0.25">
      <c r="A796" t="s">
        <v>1715</v>
      </c>
      <c r="B796">
        <v>2</v>
      </c>
      <c r="C796" s="54">
        <v>43191</v>
      </c>
      <c r="D796" s="3" t="str">
        <f>YEAR(Datos_Consumo[[#This Row],[FECHA]])&amp;"-"&amp;MONTH(Datos_Consumo[[#This Row],[FECHA]])</f>
        <v>2018-4</v>
      </c>
    </row>
    <row r="797" spans="1:4" x14ac:dyDescent="0.25">
      <c r="A797" t="s">
        <v>1716</v>
      </c>
      <c r="B797">
        <v>1</v>
      </c>
      <c r="C797" s="54">
        <v>43070</v>
      </c>
      <c r="D797" s="3" t="str">
        <f>YEAR(Datos_Consumo[[#This Row],[FECHA]])&amp;"-"&amp;MONTH(Datos_Consumo[[#This Row],[FECHA]])</f>
        <v>2017-12</v>
      </c>
    </row>
    <row r="798" spans="1:4" x14ac:dyDescent="0.25">
      <c r="A798" t="s">
        <v>1717</v>
      </c>
      <c r="B798">
        <v>7</v>
      </c>
      <c r="C798" s="54">
        <v>43070</v>
      </c>
      <c r="D798" s="3" t="str">
        <f>YEAR(Datos_Consumo[[#This Row],[FECHA]])&amp;"-"&amp;MONTH(Datos_Consumo[[#This Row],[FECHA]])</f>
        <v>2017-12</v>
      </c>
    </row>
    <row r="799" spans="1:4" x14ac:dyDescent="0.25">
      <c r="A799" t="s">
        <v>1717</v>
      </c>
      <c r="B799">
        <v>1</v>
      </c>
      <c r="C799" s="54">
        <v>43101</v>
      </c>
      <c r="D799" s="3" t="str">
        <f>YEAR(Datos_Consumo[[#This Row],[FECHA]])&amp;"-"&amp;MONTH(Datos_Consumo[[#This Row],[FECHA]])</f>
        <v>2018-1</v>
      </c>
    </row>
    <row r="800" spans="1:4" x14ac:dyDescent="0.25">
      <c r="A800" t="s">
        <v>1717</v>
      </c>
      <c r="B800">
        <v>7</v>
      </c>
      <c r="C800" s="54">
        <v>43160</v>
      </c>
      <c r="D800" s="3" t="str">
        <f>YEAR(Datos_Consumo[[#This Row],[FECHA]])&amp;"-"&amp;MONTH(Datos_Consumo[[#This Row],[FECHA]])</f>
        <v>2018-3</v>
      </c>
    </row>
    <row r="801" spans="1:4" x14ac:dyDescent="0.25">
      <c r="A801" t="s">
        <v>1717</v>
      </c>
      <c r="B801">
        <v>7</v>
      </c>
      <c r="C801" s="54">
        <v>43191</v>
      </c>
      <c r="D801" s="3" t="str">
        <f>YEAR(Datos_Consumo[[#This Row],[FECHA]])&amp;"-"&amp;MONTH(Datos_Consumo[[#This Row],[FECHA]])</f>
        <v>2018-4</v>
      </c>
    </row>
    <row r="802" spans="1:4" x14ac:dyDescent="0.25">
      <c r="A802" t="s">
        <v>1717</v>
      </c>
      <c r="B802">
        <v>1</v>
      </c>
      <c r="C802" s="54">
        <v>43221</v>
      </c>
      <c r="D802" s="3" t="str">
        <f>YEAR(Datos_Consumo[[#This Row],[FECHA]])&amp;"-"&amp;MONTH(Datos_Consumo[[#This Row],[FECHA]])</f>
        <v>2018-5</v>
      </c>
    </row>
    <row r="803" spans="1:4" x14ac:dyDescent="0.25">
      <c r="A803" t="s">
        <v>1718</v>
      </c>
      <c r="B803">
        <v>5</v>
      </c>
      <c r="C803" s="54">
        <v>43132</v>
      </c>
      <c r="D803" s="3" t="str">
        <f>YEAR(Datos_Consumo[[#This Row],[FECHA]])&amp;"-"&amp;MONTH(Datos_Consumo[[#This Row],[FECHA]])</f>
        <v>2018-2</v>
      </c>
    </row>
    <row r="804" spans="1:4" x14ac:dyDescent="0.25">
      <c r="A804" t="s">
        <v>1718</v>
      </c>
      <c r="B804">
        <v>6</v>
      </c>
      <c r="C804" s="54">
        <v>43160</v>
      </c>
      <c r="D804" s="3" t="str">
        <f>YEAR(Datos_Consumo[[#This Row],[FECHA]])&amp;"-"&amp;MONTH(Datos_Consumo[[#This Row],[FECHA]])</f>
        <v>2018-3</v>
      </c>
    </row>
    <row r="805" spans="1:4" x14ac:dyDescent="0.25">
      <c r="A805" t="s">
        <v>1719</v>
      </c>
      <c r="B805">
        <v>1</v>
      </c>
      <c r="C805" s="54">
        <v>43101</v>
      </c>
      <c r="D805" s="3" t="str">
        <f>YEAR(Datos_Consumo[[#This Row],[FECHA]])&amp;"-"&amp;MONTH(Datos_Consumo[[#This Row],[FECHA]])</f>
        <v>2018-1</v>
      </c>
    </row>
    <row r="806" spans="1:4" x14ac:dyDescent="0.25">
      <c r="A806" t="s">
        <v>1720</v>
      </c>
      <c r="B806">
        <v>2</v>
      </c>
      <c r="C806" s="54">
        <v>43132</v>
      </c>
      <c r="D806" s="3" t="str">
        <f>YEAR(Datos_Consumo[[#This Row],[FECHA]])&amp;"-"&amp;MONTH(Datos_Consumo[[#This Row],[FECHA]])</f>
        <v>2018-2</v>
      </c>
    </row>
    <row r="807" spans="1:4" x14ac:dyDescent="0.25">
      <c r="A807" t="s">
        <v>1721</v>
      </c>
      <c r="B807">
        <v>1</v>
      </c>
      <c r="C807" s="54">
        <v>43101</v>
      </c>
      <c r="D807" s="3" t="str">
        <f>YEAR(Datos_Consumo[[#This Row],[FECHA]])&amp;"-"&amp;MONTH(Datos_Consumo[[#This Row],[FECHA]])</f>
        <v>2018-1</v>
      </c>
    </row>
    <row r="808" spans="1:4" x14ac:dyDescent="0.25">
      <c r="A808" t="s">
        <v>1721</v>
      </c>
      <c r="B808">
        <v>1</v>
      </c>
      <c r="C808" s="54">
        <v>43132</v>
      </c>
      <c r="D808" s="3" t="str">
        <f>YEAR(Datos_Consumo[[#This Row],[FECHA]])&amp;"-"&amp;MONTH(Datos_Consumo[[#This Row],[FECHA]])</f>
        <v>2018-2</v>
      </c>
    </row>
    <row r="809" spans="1:4" x14ac:dyDescent="0.25">
      <c r="A809" t="s">
        <v>1721</v>
      </c>
      <c r="B809">
        <v>1</v>
      </c>
      <c r="C809" s="54">
        <v>43191</v>
      </c>
      <c r="D809" s="3" t="str">
        <f>YEAR(Datos_Consumo[[#This Row],[FECHA]])&amp;"-"&amp;MONTH(Datos_Consumo[[#This Row],[FECHA]])</f>
        <v>2018-4</v>
      </c>
    </row>
    <row r="810" spans="1:4" x14ac:dyDescent="0.25">
      <c r="A810" t="s">
        <v>1722</v>
      </c>
      <c r="B810">
        <v>6</v>
      </c>
      <c r="C810" s="54">
        <v>43070</v>
      </c>
      <c r="D810" s="3" t="str">
        <f>YEAR(Datos_Consumo[[#This Row],[FECHA]])&amp;"-"&amp;MONTH(Datos_Consumo[[#This Row],[FECHA]])</f>
        <v>2017-12</v>
      </c>
    </row>
    <row r="811" spans="1:4" x14ac:dyDescent="0.25">
      <c r="A811" t="s">
        <v>1722</v>
      </c>
      <c r="B811">
        <v>4</v>
      </c>
      <c r="C811" s="54">
        <v>43101</v>
      </c>
      <c r="D811" s="3" t="str">
        <f>YEAR(Datos_Consumo[[#This Row],[FECHA]])&amp;"-"&amp;MONTH(Datos_Consumo[[#This Row],[FECHA]])</f>
        <v>2018-1</v>
      </c>
    </row>
    <row r="812" spans="1:4" x14ac:dyDescent="0.25">
      <c r="A812" t="s">
        <v>1722</v>
      </c>
      <c r="B812">
        <v>1</v>
      </c>
      <c r="C812" s="54">
        <v>43132</v>
      </c>
      <c r="D812" s="3" t="str">
        <f>YEAR(Datos_Consumo[[#This Row],[FECHA]])&amp;"-"&amp;MONTH(Datos_Consumo[[#This Row],[FECHA]])</f>
        <v>2018-2</v>
      </c>
    </row>
    <row r="813" spans="1:4" x14ac:dyDescent="0.25">
      <c r="A813" t="s">
        <v>1722</v>
      </c>
      <c r="B813">
        <v>7</v>
      </c>
      <c r="C813" s="54">
        <v>43160</v>
      </c>
      <c r="D813" s="3" t="str">
        <f>YEAR(Datos_Consumo[[#This Row],[FECHA]])&amp;"-"&amp;MONTH(Datos_Consumo[[#This Row],[FECHA]])</f>
        <v>2018-3</v>
      </c>
    </row>
    <row r="814" spans="1:4" x14ac:dyDescent="0.25">
      <c r="A814" t="s">
        <v>1722</v>
      </c>
      <c r="B814">
        <v>4</v>
      </c>
      <c r="C814" s="54">
        <v>43191</v>
      </c>
      <c r="D814" s="3" t="str">
        <f>YEAR(Datos_Consumo[[#This Row],[FECHA]])&amp;"-"&amp;MONTH(Datos_Consumo[[#This Row],[FECHA]])</f>
        <v>2018-4</v>
      </c>
    </row>
    <row r="815" spans="1:4" x14ac:dyDescent="0.25">
      <c r="A815" t="s">
        <v>1722</v>
      </c>
      <c r="B815">
        <v>2</v>
      </c>
      <c r="C815" s="54">
        <v>43221</v>
      </c>
      <c r="D815" s="3" t="str">
        <f>YEAR(Datos_Consumo[[#This Row],[FECHA]])&amp;"-"&amp;MONTH(Datos_Consumo[[#This Row],[FECHA]])</f>
        <v>2018-5</v>
      </c>
    </row>
    <row r="816" spans="1:4" x14ac:dyDescent="0.25">
      <c r="A816" t="s">
        <v>1723</v>
      </c>
      <c r="B816">
        <v>1</v>
      </c>
      <c r="C816" s="54">
        <v>43070</v>
      </c>
      <c r="D816" s="3" t="str">
        <f>YEAR(Datos_Consumo[[#This Row],[FECHA]])&amp;"-"&amp;MONTH(Datos_Consumo[[#This Row],[FECHA]])</f>
        <v>2017-12</v>
      </c>
    </row>
    <row r="817" spans="1:4" x14ac:dyDescent="0.25">
      <c r="A817" t="s">
        <v>1723</v>
      </c>
      <c r="B817">
        <v>3</v>
      </c>
      <c r="C817" s="54">
        <v>43101</v>
      </c>
      <c r="D817" s="3" t="str">
        <f>YEAR(Datos_Consumo[[#This Row],[FECHA]])&amp;"-"&amp;MONTH(Datos_Consumo[[#This Row],[FECHA]])</f>
        <v>2018-1</v>
      </c>
    </row>
    <row r="818" spans="1:4" x14ac:dyDescent="0.25">
      <c r="A818" t="s">
        <v>1723</v>
      </c>
      <c r="B818">
        <v>2</v>
      </c>
      <c r="C818" s="54">
        <v>43160</v>
      </c>
      <c r="D818" s="3" t="str">
        <f>YEAR(Datos_Consumo[[#This Row],[FECHA]])&amp;"-"&amp;MONTH(Datos_Consumo[[#This Row],[FECHA]])</f>
        <v>2018-3</v>
      </c>
    </row>
    <row r="819" spans="1:4" x14ac:dyDescent="0.25">
      <c r="A819" t="s">
        <v>1723</v>
      </c>
      <c r="B819">
        <v>5</v>
      </c>
      <c r="C819" s="54">
        <v>43191</v>
      </c>
      <c r="D819" s="3" t="str">
        <f>YEAR(Datos_Consumo[[#This Row],[FECHA]])&amp;"-"&amp;MONTH(Datos_Consumo[[#This Row],[FECHA]])</f>
        <v>2018-4</v>
      </c>
    </row>
    <row r="820" spans="1:4" x14ac:dyDescent="0.25">
      <c r="A820" t="s">
        <v>1724</v>
      </c>
      <c r="B820">
        <v>17</v>
      </c>
      <c r="C820" s="54">
        <v>43132</v>
      </c>
      <c r="D820" s="3" t="str">
        <f>YEAR(Datos_Consumo[[#This Row],[FECHA]])&amp;"-"&amp;MONTH(Datos_Consumo[[#This Row],[FECHA]])</f>
        <v>2018-2</v>
      </c>
    </row>
    <row r="821" spans="1:4" x14ac:dyDescent="0.25">
      <c r="A821" t="s">
        <v>1724</v>
      </c>
      <c r="B821">
        <v>4</v>
      </c>
      <c r="C821" s="54">
        <v>43160</v>
      </c>
      <c r="D821" s="3" t="str">
        <f>YEAR(Datos_Consumo[[#This Row],[FECHA]])&amp;"-"&amp;MONTH(Datos_Consumo[[#This Row],[FECHA]])</f>
        <v>2018-3</v>
      </c>
    </row>
    <row r="822" spans="1:4" x14ac:dyDescent="0.25">
      <c r="A822" t="s">
        <v>1724</v>
      </c>
      <c r="B822">
        <v>2</v>
      </c>
      <c r="C822" s="54">
        <v>43191</v>
      </c>
      <c r="D822" s="3" t="str">
        <f>YEAR(Datos_Consumo[[#This Row],[FECHA]])&amp;"-"&amp;MONTH(Datos_Consumo[[#This Row],[FECHA]])</f>
        <v>2018-4</v>
      </c>
    </row>
    <row r="823" spans="1:4" x14ac:dyDescent="0.25">
      <c r="A823" t="s">
        <v>1725</v>
      </c>
      <c r="B823">
        <v>1</v>
      </c>
      <c r="C823" s="54">
        <v>43101</v>
      </c>
      <c r="D823" s="3" t="str">
        <f>YEAR(Datos_Consumo[[#This Row],[FECHA]])&amp;"-"&amp;MONTH(Datos_Consumo[[#This Row],[FECHA]])</f>
        <v>2018-1</v>
      </c>
    </row>
    <row r="824" spans="1:4" x14ac:dyDescent="0.25">
      <c r="A824" t="s">
        <v>1726</v>
      </c>
      <c r="B824">
        <v>11</v>
      </c>
      <c r="C824" s="54">
        <v>43070</v>
      </c>
      <c r="D824" s="3" t="str">
        <f>YEAR(Datos_Consumo[[#This Row],[FECHA]])&amp;"-"&amp;MONTH(Datos_Consumo[[#This Row],[FECHA]])</f>
        <v>2017-12</v>
      </c>
    </row>
    <row r="825" spans="1:4" x14ac:dyDescent="0.25">
      <c r="A825" t="s">
        <v>1726</v>
      </c>
      <c r="B825">
        <v>7</v>
      </c>
      <c r="C825" s="54">
        <v>43101</v>
      </c>
      <c r="D825" s="3" t="str">
        <f>YEAR(Datos_Consumo[[#This Row],[FECHA]])&amp;"-"&amp;MONTH(Datos_Consumo[[#This Row],[FECHA]])</f>
        <v>2018-1</v>
      </c>
    </row>
    <row r="826" spans="1:4" x14ac:dyDescent="0.25">
      <c r="A826" t="s">
        <v>1726</v>
      </c>
      <c r="B826">
        <v>3</v>
      </c>
      <c r="C826" s="54">
        <v>43132</v>
      </c>
      <c r="D826" s="3" t="str">
        <f>YEAR(Datos_Consumo[[#This Row],[FECHA]])&amp;"-"&amp;MONTH(Datos_Consumo[[#This Row],[FECHA]])</f>
        <v>2018-2</v>
      </c>
    </row>
    <row r="827" spans="1:4" x14ac:dyDescent="0.25">
      <c r="A827" t="s">
        <v>1726</v>
      </c>
      <c r="B827">
        <v>5</v>
      </c>
      <c r="C827" s="54">
        <v>43160</v>
      </c>
      <c r="D827" s="3" t="str">
        <f>YEAR(Datos_Consumo[[#This Row],[FECHA]])&amp;"-"&amp;MONTH(Datos_Consumo[[#This Row],[FECHA]])</f>
        <v>2018-3</v>
      </c>
    </row>
    <row r="828" spans="1:4" x14ac:dyDescent="0.25">
      <c r="A828" t="s">
        <v>1726</v>
      </c>
      <c r="B828">
        <v>1</v>
      </c>
      <c r="C828" s="54">
        <v>43191</v>
      </c>
      <c r="D828" s="3" t="str">
        <f>YEAR(Datos_Consumo[[#This Row],[FECHA]])&amp;"-"&amp;MONTH(Datos_Consumo[[#This Row],[FECHA]])</f>
        <v>2018-4</v>
      </c>
    </row>
    <row r="829" spans="1:4" x14ac:dyDescent="0.25">
      <c r="A829" t="s">
        <v>1726</v>
      </c>
      <c r="B829">
        <v>5</v>
      </c>
      <c r="C829" s="54">
        <v>43221</v>
      </c>
      <c r="D829" s="3" t="str">
        <f>YEAR(Datos_Consumo[[#This Row],[FECHA]])&amp;"-"&amp;MONTH(Datos_Consumo[[#This Row],[FECHA]])</f>
        <v>2018-5</v>
      </c>
    </row>
    <row r="830" spans="1:4" x14ac:dyDescent="0.25">
      <c r="A830" t="s">
        <v>1727</v>
      </c>
      <c r="B830">
        <v>3</v>
      </c>
      <c r="C830" s="54">
        <v>43070</v>
      </c>
      <c r="D830" s="3" t="str">
        <f>YEAR(Datos_Consumo[[#This Row],[FECHA]])&amp;"-"&amp;MONTH(Datos_Consumo[[#This Row],[FECHA]])</f>
        <v>2017-12</v>
      </c>
    </row>
    <row r="831" spans="1:4" x14ac:dyDescent="0.25">
      <c r="A831" t="s">
        <v>1727</v>
      </c>
      <c r="B831">
        <v>1</v>
      </c>
      <c r="C831" s="54">
        <v>43132</v>
      </c>
      <c r="D831" s="3" t="str">
        <f>YEAR(Datos_Consumo[[#This Row],[FECHA]])&amp;"-"&amp;MONTH(Datos_Consumo[[#This Row],[FECHA]])</f>
        <v>2018-2</v>
      </c>
    </row>
    <row r="832" spans="1:4" x14ac:dyDescent="0.25">
      <c r="A832" t="s">
        <v>1728</v>
      </c>
      <c r="B832">
        <v>2</v>
      </c>
      <c r="C832" s="54">
        <v>43160</v>
      </c>
      <c r="D832" s="3" t="str">
        <f>YEAR(Datos_Consumo[[#This Row],[FECHA]])&amp;"-"&amp;MONTH(Datos_Consumo[[#This Row],[FECHA]])</f>
        <v>2018-3</v>
      </c>
    </row>
    <row r="833" spans="1:4" x14ac:dyDescent="0.25">
      <c r="A833" t="s">
        <v>1729</v>
      </c>
      <c r="B833">
        <v>2</v>
      </c>
      <c r="C833" s="54">
        <v>43191</v>
      </c>
      <c r="D833" s="3" t="str">
        <f>YEAR(Datos_Consumo[[#This Row],[FECHA]])&amp;"-"&amp;MONTH(Datos_Consumo[[#This Row],[FECHA]])</f>
        <v>2018-4</v>
      </c>
    </row>
    <row r="834" spans="1:4" x14ac:dyDescent="0.25">
      <c r="A834" t="s">
        <v>1730</v>
      </c>
      <c r="B834">
        <v>80</v>
      </c>
      <c r="C834" s="54">
        <v>43070</v>
      </c>
      <c r="D834" s="3" t="str">
        <f>YEAR(Datos_Consumo[[#This Row],[FECHA]])&amp;"-"&amp;MONTH(Datos_Consumo[[#This Row],[FECHA]])</f>
        <v>2017-12</v>
      </c>
    </row>
    <row r="835" spans="1:4" x14ac:dyDescent="0.25">
      <c r="A835" t="s">
        <v>1730</v>
      </c>
      <c r="B835">
        <v>46</v>
      </c>
      <c r="C835" s="54">
        <v>43101</v>
      </c>
      <c r="D835" s="3" t="str">
        <f>YEAR(Datos_Consumo[[#This Row],[FECHA]])&amp;"-"&amp;MONTH(Datos_Consumo[[#This Row],[FECHA]])</f>
        <v>2018-1</v>
      </c>
    </row>
    <row r="836" spans="1:4" x14ac:dyDescent="0.25">
      <c r="A836" t="s">
        <v>1730</v>
      </c>
      <c r="B836">
        <v>31</v>
      </c>
      <c r="C836" s="54">
        <v>43132</v>
      </c>
      <c r="D836" s="3" t="str">
        <f>YEAR(Datos_Consumo[[#This Row],[FECHA]])&amp;"-"&amp;MONTH(Datos_Consumo[[#This Row],[FECHA]])</f>
        <v>2018-2</v>
      </c>
    </row>
    <row r="837" spans="1:4" x14ac:dyDescent="0.25">
      <c r="A837" t="s">
        <v>1730</v>
      </c>
      <c r="B837">
        <v>49</v>
      </c>
      <c r="C837" s="54">
        <v>43160</v>
      </c>
      <c r="D837" s="3" t="str">
        <f>YEAR(Datos_Consumo[[#This Row],[FECHA]])&amp;"-"&amp;MONTH(Datos_Consumo[[#This Row],[FECHA]])</f>
        <v>2018-3</v>
      </c>
    </row>
    <row r="838" spans="1:4" x14ac:dyDescent="0.25">
      <c r="A838" t="s">
        <v>1730</v>
      </c>
      <c r="B838">
        <v>44</v>
      </c>
      <c r="C838" s="54">
        <v>43191</v>
      </c>
      <c r="D838" s="3" t="str">
        <f>YEAR(Datos_Consumo[[#This Row],[FECHA]])&amp;"-"&amp;MONTH(Datos_Consumo[[#This Row],[FECHA]])</f>
        <v>2018-4</v>
      </c>
    </row>
    <row r="839" spans="1:4" x14ac:dyDescent="0.25">
      <c r="A839" t="s">
        <v>1730</v>
      </c>
      <c r="B839">
        <v>4</v>
      </c>
      <c r="C839" s="54">
        <v>43221</v>
      </c>
      <c r="D839" s="3" t="str">
        <f>YEAR(Datos_Consumo[[#This Row],[FECHA]])&amp;"-"&amp;MONTH(Datos_Consumo[[#This Row],[FECHA]])</f>
        <v>2018-5</v>
      </c>
    </row>
    <row r="840" spans="1:4" x14ac:dyDescent="0.25">
      <c r="A840" t="s">
        <v>1731</v>
      </c>
      <c r="B840">
        <v>1</v>
      </c>
      <c r="C840" s="54">
        <v>43132</v>
      </c>
      <c r="D840" s="3" t="str">
        <f>YEAR(Datos_Consumo[[#This Row],[FECHA]])&amp;"-"&amp;MONTH(Datos_Consumo[[#This Row],[FECHA]])</f>
        <v>2018-2</v>
      </c>
    </row>
    <row r="841" spans="1:4" x14ac:dyDescent="0.25">
      <c r="A841" t="s">
        <v>1732</v>
      </c>
      <c r="B841">
        <v>21</v>
      </c>
      <c r="C841" s="54">
        <v>43070</v>
      </c>
      <c r="D841" s="3" t="str">
        <f>YEAR(Datos_Consumo[[#This Row],[FECHA]])&amp;"-"&amp;MONTH(Datos_Consumo[[#This Row],[FECHA]])</f>
        <v>2017-12</v>
      </c>
    </row>
    <row r="842" spans="1:4" x14ac:dyDescent="0.25">
      <c r="A842" t="s">
        <v>1732</v>
      </c>
      <c r="B842">
        <v>6</v>
      </c>
      <c r="C842" s="54">
        <v>43101</v>
      </c>
      <c r="D842" s="3" t="str">
        <f>YEAR(Datos_Consumo[[#This Row],[FECHA]])&amp;"-"&amp;MONTH(Datos_Consumo[[#This Row],[FECHA]])</f>
        <v>2018-1</v>
      </c>
    </row>
    <row r="843" spans="1:4" x14ac:dyDescent="0.25">
      <c r="A843" t="s">
        <v>1732</v>
      </c>
      <c r="B843">
        <v>25</v>
      </c>
      <c r="C843" s="54">
        <v>43132</v>
      </c>
      <c r="D843" s="3" t="str">
        <f>YEAR(Datos_Consumo[[#This Row],[FECHA]])&amp;"-"&amp;MONTH(Datos_Consumo[[#This Row],[FECHA]])</f>
        <v>2018-2</v>
      </c>
    </row>
    <row r="844" spans="1:4" x14ac:dyDescent="0.25">
      <c r="A844" t="s">
        <v>1732</v>
      </c>
      <c r="B844">
        <v>71</v>
      </c>
      <c r="C844" s="54">
        <v>43160</v>
      </c>
      <c r="D844" s="3" t="str">
        <f>YEAR(Datos_Consumo[[#This Row],[FECHA]])&amp;"-"&amp;MONTH(Datos_Consumo[[#This Row],[FECHA]])</f>
        <v>2018-3</v>
      </c>
    </row>
    <row r="845" spans="1:4" x14ac:dyDescent="0.25">
      <c r="A845" t="s">
        <v>1732</v>
      </c>
      <c r="B845">
        <v>25</v>
      </c>
      <c r="C845" s="54">
        <v>43191</v>
      </c>
      <c r="D845" s="3" t="str">
        <f>YEAR(Datos_Consumo[[#This Row],[FECHA]])&amp;"-"&amp;MONTH(Datos_Consumo[[#This Row],[FECHA]])</f>
        <v>2018-4</v>
      </c>
    </row>
    <row r="846" spans="1:4" x14ac:dyDescent="0.25">
      <c r="A846" t="s">
        <v>1732</v>
      </c>
      <c r="B846">
        <v>13</v>
      </c>
      <c r="C846" s="54">
        <v>43221</v>
      </c>
      <c r="D846" s="3" t="str">
        <f>YEAR(Datos_Consumo[[#This Row],[FECHA]])&amp;"-"&amp;MONTH(Datos_Consumo[[#This Row],[FECHA]])</f>
        <v>2018-5</v>
      </c>
    </row>
    <row r="847" spans="1:4" x14ac:dyDescent="0.25">
      <c r="A847" t="s">
        <v>1733</v>
      </c>
      <c r="B847">
        <v>6</v>
      </c>
      <c r="C847" s="54">
        <v>43101</v>
      </c>
      <c r="D847" s="3" t="str">
        <f>YEAR(Datos_Consumo[[#This Row],[FECHA]])&amp;"-"&amp;MONTH(Datos_Consumo[[#This Row],[FECHA]])</f>
        <v>2018-1</v>
      </c>
    </row>
    <row r="848" spans="1:4" x14ac:dyDescent="0.25">
      <c r="A848" t="s">
        <v>1733</v>
      </c>
      <c r="B848">
        <v>5</v>
      </c>
      <c r="C848" s="54">
        <v>43132</v>
      </c>
      <c r="D848" s="3" t="str">
        <f>YEAR(Datos_Consumo[[#This Row],[FECHA]])&amp;"-"&amp;MONTH(Datos_Consumo[[#This Row],[FECHA]])</f>
        <v>2018-2</v>
      </c>
    </row>
    <row r="849" spans="1:4" x14ac:dyDescent="0.25">
      <c r="A849" t="s">
        <v>1733</v>
      </c>
      <c r="B849">
        <v>10</v>
      </c>
      <c r="C849" s="54">
        <v>43191</v>
      </c>
      <c r="D849" s="3" t="str">
        <f>YEAR(Datos_Consumo[[#This Row],[FECHA]])&amp;"-"&amp;MONTH(Datos_Consumo[[#This Row],[FECHA]])</f>
        <v>2018-4</v>
      </c>
    </row>
    <row r="850" spans="1:4" x14ac:dyDescent="0.25">
      <c r="A850" t="s">
        <v>1734</v>
      </c>
      <c r="B850">
        <v>12</v>
      </c>
      <c r="C850" s="54">
        <v>43070</v>
      </c>
      <c r="D850" s="3" t="str">
        <f>YEAR(Datos_Consumo[[#This Row],[FECHA]])&amp;"-"&amp;MONTH(Datos_Consumo[[#This Row],[FECHA]])</f>
        <v>2017-12</v>
      </c>
    </row>
    <row r="851" spans="1:4" x14ac:dyDescent="0.25">
      <c r="A851" t="s">
        <v>1734</v>
      </c>
      <c r="B851">
        <v>7</v>
      </c>
      <c r="C851" s="54">
        <v>43132</v>
      </c>
      <c r="D851" s="3" t="str">
        <f>YEAR(Datos_Consumo[[#This Row],[FECHA]])&amp;"-"&amp;MONTH(Datos_Consumo[[#This Row],[FECHA]])</f>
        <v>2018-2</v>
      </c>
    </row>
    <row r="852" spans="1:4" x14ac:dyDescent="0.25">
      <c r="A852" t="s">
        <v>1734</v>
      </c>
      <c r="B852">
        <v>1</v>
      </c>
      <c r="C852" s="54">
        <v>43160</v>
      </c>
      <c r="D852" s="3" t="str">
        <f>YEAR(Datos_Consumo[[#This Row],[FECHA]])&amp;"-"&amp;MONTH(Datos_Consumo[[#This Row],[FECHA]])</f>
        <v>2018-3</v>
      </c>
    </row>
    <row r="853" spans="1:4" x14ac:dyDescent="0.25">
      <c r="A853" t="s">
        <v>1734</v>
      </c>
      <c r="B853">
        <v>15</v>
      </c>
      <c r="C853" s="54">
        <v>43191</v>
      </c>
      <c r="D853" s="3" t="str">
        <f>YEAR(Datos_Consumo[[#This Row],[FECHA]])&amp;"-"&amp;MONTH(Datos_Consumo[[#This Row],[FECHA]])</f>
        <v>2018-4</v>
      </c>
    </row>
    <row r="854" spans="1:4" x14ac:dyDescent="0.25">
      <c r="A854" t="s">
        <v>4040</v>
      </c>
      <c r="B854">
        <v>260</v>
      </c>
      <c r="C854" s="54">
        <v>43221</v>
      </c>
      <c r="D854" s="3" t="str">
        <f>YEAR(Datos_Consumo[[#This Row],[FECHA]])&amp;"-"&amp;MONTH(Datos_Consumo[[#This Row],[FECHA]])</f>
        <v>2018-5</v>
      </c>
    </row>
    <row r="855" spans="1:4" x14ac:dyDescent="0.25">
      <c r="A855" t="s">
        <v>4041</v>
      </c>
      <c r="B855">
        <v>130</v>
      </c>
      <c r="C855" s="54">
        <v>43221</v>
      </c>
      <c r="D855" s="3" t="str">
        <f>YEAR(Datos_Consumo[[#This Row],[FECHA]])&amp;"-"&amp;MONTH(Datos_Consumo[[#This Row],[FECHA]])</f>
        <v>2018-5</v>
      </c>
    </row>
    <row r="856" spans="1:4" x14ac:dyDescent="0.25">
      <c r="A856" t="s">
        <v>4042</v>
      </c>
      <c r="B856">
        <v>30</v>
      </c>
      <c r="C856" s="54">
        <v>43221</v>
      </c>
      <c r="D856" s="3" t="str">
        <f>YEAR(Datos_Consumo[[#This Row],[FECHA]])&amp;"-"&amp;MONTH(Datos_Consumo[[#This Row],[FECHA]])</f>
        <v>2018-5</v>
      </c>
    </row>
    <row r="857" spans="1:4" x14ac:dyDescent="0.25">
      <c r="A857" t="s">
        <v>1735</v>
      </c>
      <c r="B857">
        <v>69</v>
      </c>
      <c r="C857" s="54">
        <v>43070</v>
      </c>
      <c r="D857" s="3" t="str">
        <f>YEAR(Datos_Consumo[[#This Row],[FECHA]])&amp;"-"&amp;MONTH(Datos_Consumo[[#This Row],[FECHA]])</f>
        <v>2017-12</v>
      </c>
    </row>
    <row r="858" spans="1:4" x14ac:dyDescent="0.25">
      <c r="A858" t="s">
        <v>1735</v>
      </c>
      <c r="B858">
        <v>100</v>
      </c>
      <c r="C858" s="54">
        <v>43191</v>
      </c>
      <c r="D858" s="3" t="str">
        <f>YEAR(Datos_Consumo[[#This Row],[FECHA]])&amp;"-"&amp;MONTH(Datos_Consumo[[#This Row],[FECHA]])</f>
        <v>2018-4</v>
      </c>
    </row>
    <row r="859" spans="1:4" x14ac:dyDescent="0.25">
      <c r="A859" t="s">
        <v>1736</v>
      </c>
      <c r="B859">
        <v>1</v>
      </c>
      <c r="C859" s="54">
        <v>43191</v>
      </c>
      <c r="D859" s="3" t="str">
        <f>YEAR(Datos_Consumo[[#This Row],[FECHA]])&amp;"-"&amp;MONTH(Datos_Consumo[[#This Row],[FECHA]])</f>
        <v>2018-4</v>
      </c>
    </row>
    <row r="860" spans="1:4" x14ac:dyDescent="0.25">
      <c r="A860" t="s">
        <v>4043</v>
      </c>
      <c r="B860">
        <v>6</v>
      </c>
      <c r="C860" s="54">
        <v>43191</v>
      </c>
      <c r="D860" s="3" t="str">
        <f>YEAR(Datos_Consumo[[#This Row],[FECHA]])&amp;"-"&amp;MONTH(Datos_Consumo[[#This Row],[FECHA]])</f>
        <v>2018-4</v>
      </c>
    </row>
    <row r="861" spans="1:4" x14ac:dyDescent="0.25">
      <c r="A861" t="s">
        <v>4044</v>
      </c>
      <c r="B861">
        <v>1</v>
      </c>
      <c r="C861" s="54">
        <v>43191</v>
      </c>
      <c r="D861" s="3" t="str">
        <f>YEAR(Datos_Consumo[[#This Row],[FECHA]])&amp;"-"&amp;MONTH(Datos_Consumo[[#This Row],[FECHA]])</f>
        <v>2018-4</v>
      </c>
    </row>
    <row r="862" spans="1:4" x14ac:dyDescent="0.25">
      <c r="A862" t="s">
        <v>1737</v>
      </c>
      <c r="B862">
        <v>199</v>
      </c>
      <c r="C862" s="54">
        <v>43070</v>
      </c>
      <c r="D862" s="3" t="str">
        <f>YEAR(Datos_Consumo[[#This Row],[FECHA]])&amp;"-"&amp;MONTH(Datos_Consumo[[#This Row],[FECHA]])</f>
        <v>2017-12</v>
      </c>
    </row>
    <row r="863" spans="1:4" x14ac:dyDescent="0.25">
      <c r="A863" t="s">
        <v>1737</v>
      </c>
      <c r="B863">
        <v>119</v>
      </c>
      <c r="C863" s="54">
        <v>43101</v>
      </c>
      <c r="D863" s="3" t="str">
        <f>YEAR(Datos_Consumo[[#This Row],[FECHA]])&amp;"-"&amp;MONTH(Datos_Consumo[[#This Row],[FECHA]])</f>
        <v>2018-1</v>
      </c>
    </row>
    <row r="864" spans="1:4" x14ac:dyDescent="0.25">
      <c r="A864" t="s">
        <v>1737</v>
      </c>
      <c r="B864">
        <v>104</v>
      </c>
      <c r="C864" s="54">
        <v>43132</v>
      </c>
      <c r="D864" s="3" t="str">
        <f>YEAR(Datos_Consumo[[#This Row],[FECHA]])&amp;"-"&amp;MONTH(Datos_Consumo[[#This Row],[FECHA]])</f>
        <v>2018-2</v>
      </c>
    </row>
    <row r="865" spans="1:4" x14ac:dyDescent="0.25">
      <c r="A865" t="s">
        <v>1737</v>
      </c>
      <c r="B865">
        <v>313</v>
      </c>
      <c r="C865" s="54">
        <v>43160</v>
      </c>
      <c r="D865" s="3" t="str">
        <f>YEAR(Datos_Consumo[[#This Row],[FECHA]])&amp;"-"&amp;MONTH(Datos_Consumo[[#This Row],[FECHA]])</f>
        <v>2018-3</v>
      </c>
    </row>
    <row r="866" spans="1:4" x14ac:dyDescent="0.25">
      <c r="A866" t="s">
        <v>1737</v>
      </c>
      <c r="B866">
        <v>156</v>
      </c>
      <c r="C866" s="54">
        <v>43191</v>
      </c>
      <c r="D866" s="3" t="str">
        <f>YEAR(Datos_Consumo[[#This Row],[FECHA]])&amp;"-"&amp;MONTH(Datos_Consumo[[#This Row],[FECHA]])</f>
        <v>2018-4</v>
      </c>
    </row>
    <row r="867" spans="1:4" x14ac:dyDescent="0.25">
      <c r="A867" t="s">
        <v>1737</v>
      </c>
      <c r="B867">
        <v>39</v>
      </c>
      <c r="C867" s="54">
        <v>43221</v>
      </c>
      <c r="D867" s="3" t="str">
        <f>YEAR(Datos_Consumo[[#This Row],[FECHA]])&amp;"-"&amp;MONTH(Datos_Consumo[[#This Row],[FECHA]])</f>
        <v>2018-5</v>
      </c>
    </row>
    <row r="868" spans="1:4" x14ac:dyDescent="0.25">
      <c r="A868" t="s">
        <v>1738</v>
      </c>
      <c r="B868">
        <v>33</v>
      </c>
      <c r="C868" s="54">
        <v>43070</v>
      </c>
      <c r="D868" s="3" t="str">
        <f>YEAR(Datos_Consumo[[#This Row],[FECHA]])&amp;"-"&amp;MONTH(Datos_Consumo[[#This Row],[FECHA]])</f>
        <v>2017-12</v>
      </c>
    </row>
    <row r="869" spans="1:4" x14ac:dyDescent="0.25">
      <c r="A869" t="s">
        <v>1738</v>
      </c>
      <c r="B869">
        <v>42</v>
      </c>
      <c r="C869" s="54">
        <v>43101</v>
      </c>
      <c r="D869" s="3" t="str">
        <f>YEAR(Datos_Consumo[[#This Row],[FECHA]])&amp;"-"&amp;MONTH(Datos_Consumo[[#This Row],[FECHA]])</f>
        <v>2018-1</v>
      </c>
    </row>
    <row r="870" spans="1:4" x14ac:dyDescent="0.25">
      <c r="A870" t="s">
        <v>1738</v>
      </c>
      <c r="B870">
        <v>22</v>
      </c>
      <c r="C870" s="54">
        <v>43132</v>
      </c>
      <c r="D870" s="3" t="str">
        <f>YEAR(Datos_Consumo[[#This Row],[FECHA]])&amp;"-"&amp;MONTH(Datos_Consumo[[#This Row],[FECHA]])</f>
        <v>2018-2</v>
      </c>
    </row>
    <row r="871" spans="1:4" x14ac:dyDescent="0.25">
      <c r="A871" t="s">
        <v>1738</v>
      </c>
      <c r="B871">
        <v>35</v>
      </c>
      <c r="C871" s="54">
        <v>43160</v>
      </c>
      <c r="D871" s="3" t="str">
        <f>YEAR(Datos_Consumo[[#This Row],[FECHA]])&amp;"-"&amp;MONTH(Datos_Consumo[[#This Row],[FECHA]])</f>
        <v>2018-3</v>
      </c>
    </row>
    <row r="872" spans="1:4" x14ac:dyDescent="0.25">
      <c r="A872" t="s">
        <v>1738</v>
      </c>
      <c r="B872">
        <v>27</v>
      </c>
      <c r="C872" s="54">
        <v>43191</v>
      </c>
      <c r="D872" s="3" t="str">
        <f>YEAR(Datos_Consumo[[#This Row],[FECHA]])&amp;"-"&amp;MONTH(Datos_Consumo[[#This Row],[FECHA]])</f>
        <v>2018-4</v>
      </c>
    </row>
    <row r="873" spans="1:4" x14ac:dyDescent="0.25">
      <c r="A873" t="s">
        <v>1738</v>
      </c>
      <c r="B873">
        <v>4</v>
      </c>
      <c r="C873" s="54">
        <v>43221</v>
      </c>
      <c r="D873" s="3" t="str">
        <f>YEAR(Datos_Consumo[[#This Row],[FECHA]])&amp;"-"&amp;MONTH(Datos_Consumo[[#This Row],[FECHA]])</f>
        <v>2018-5</v>
      </c>
    </row>
    <row r="874" spans="1:4" x14ac:dyDescent="0.25">
      <c r="A874" t="s">
        <v>1739</v>
      </c>
      <c r="B874">
        <v>23</v>
      </c>
      <c r="C874" s="54">
        <v>43070</v>
      </c>
      <c r="D874" s="3" t="str">
        <f>YEAR(Datos_Consumo[[#This Row],[FECHA]])&amp;"-"&amp;MONTH(Datos_Consumo[[#This Row],[FECHA]])</f>
        <v>2017-12</v>
      </c>
    </row>
    <row r="875" spans="1:4" x14ac:dyDescent="0.25">
      <c r="A875" t="s">
        <v>1739</v>
      </c>
      <c r="B875">
        <v>28</v>
      </c>
      <c r="C875" s="54">
        <v>43101</v>
      </c>
      <c r="D875" s="3" t="str">
        <f>YEAR(Datos_Consumo[[#This Row],[FECHA]])&amp;"-"&amp;MONTH(Datos_Consumo[[#This Row],[FECHA]])</f>
        <v>2018-1</v>
      </c>
    </row>
    <row r="876" spans="1:4" x14ac:dyDescent="0.25">
      <c r="A876" t="s">
        <v>1739</v>
      </c>
      <c r="B876">
        <v>54</v>
      </c>
      <c r="C876" s="54">
        <v>43132</v>
      </c>
      <c r="D876" s="3" t="str">
        <f>YEAR(Datos_Consumo[[#This Row],[FECHA]])&amp;"-"&amp;MONTH(Datos_Consumo[[#This Row],[FECHA]])</f>
        <v>2018-2</v>
      </c>
    </row>
    <row r="877" spans="1:4" x14ac:dyDescent="0.25">
      <c r="A877" t="s">
        <v>1739</v>
      </c>
      <c r="B877">
        <v>33</v>
      </c>
      <c r="C877" s="54">
        <v>43160</v>
      </c>
      <c r="D877" s="3" t="str">
        <f>YEAR(Datos_Consumo[[#This Row],[FECHA]])&amp;"-"&amp;MONTH(Datos_Consumo[[#This Row],[FECHA]])</f>
        <v>2018-3</v>
      </c>
    </row>
    <row r="878" spans="1:4" x14ac:dyDescent="0.25">
      <c r="A878" t="s">
        <v>1739</v>
      </c>
      <c r="B878">
        <v>68</v>
      </c>
      <c r="C878" s="54">
        <v>43191</v>
      </c>
      <c r="D878" s="3" t="str">
        <f>YEAR(Datos_Consumo[[#This Row],[FECHA]])&amp;"-"&amp;MONTH(Datos_Consumo[[#This Row],[FECHA]])</f>
        <v>2018-4</v>
      </c>
    </row>
    <row r="879" spans="1:4" x14ac:dyDescent="0.25">
      <c r="A879" t="s">
        <v>1739</v>
      </c>
      <c r="B879">
        <v>20</v>
      </c>
      <c r="C879" s="54">
        <v>43221</v>
      </c>
      <c r="D879" s="3" t="str">
        <f>YEAR(Datos_Consumo[[#This Row],[FECHA]])&amp;"-"&amp;MONTH(Datos_Consumo[[#This Row],[FECHA]])</f>
        <v>2018-5</v>
      </c>
    </row>
    <row r="880" spans="1:4" x14ac:dyDescent="0.25">
      <c r="A880" t="s">
        <v>1740</v>
      </c>
      <c r="B880">
        <v>1</v>
      </c>
      <c r="C880" s="54">
        <v>43160</v>
      </c>
      <c r="D880" s="3" t="str">
        <f>YEAR(Datos_Consumo[[#This Row],[FECHA]])&amp;"-"&amp;MONTH(Datos_Consumo[[#This Row],[FECHA]])</f>
        <v>2018-3</v>
      </c>
    </row>
    <row r="881" spans="1:4" x14ac:dyDescent="0.25">
      <c r="A881" t="s">
        <v>1740</v>
      </c>
      <c r="B881">
        <v>1</v>
      </c>
      <c r="C881" s="54">
        <v>43221</v>
      </c>
      <c r="D881" s="3" t="str">
        <f>YEAR(Datos_Consumo[[#This Row],[FECHA]])&amp;"-"&amp;MONTH(Datos_Consumo[[#This Row],[FECHA]])</f>
        <v>2018-5</v>
      </c>
    </row>
    <row r="882" spans="1:4" x14ac:dyDescent="0.25">
      <c r="A882" t="s">
        <v>1741</v>
      </c>
      <c r="B882">
        <v>9</v>
      </c>
      <c r="C882" s="54">
        <v>43070</v>
      </c>
      <c r="D882" s="3" t="str">
        <f>YEAR(Datos_Consumo[[#This Row],[FECHA]])&amp;"-"&amp;MONTH(Datos_Consumo[[#This Row],[FECHA]])</f>
        <v>2017-12</v>
      </c>
    </row>
    <row r="883" spans="1:4" x14ac:dyDescent="0.25">
      <c r="A883" t="s">
        <v>1741</v>
      </c>
      <c r="B883">
        <v>22</v>
      </c>
      <c r="C883" s="54">
        <v>43101</v>
      </c>
      <c r="D883" s="3" t="str">
        <f>YEAR(Datos_Consumo[[#This Row],[FECHA]])&amp;"-"&amp;MONTH(Datos_Consumo[[#This Row],[FECHA]])</f>
        <v>2018-1</v>
      </c>
    </row>
    <row r="884" spans="1:4" x14ac:dyDescent="0.25">
      <c r="A884" t="s">
        <v>1741</v>
      </c>
      <c r="B884">
        <v>10</v>
      </c>
      <c r="C884" s="54">
        <v>43132</v>
      </c>
      <c r="D884" s="3" t="str">
        <f>YEAR(Datos_Consumo[[#This Row],[FECHA]])&amp;"-"&amp;MONTH(Datos_Consumo[[#This Row],[FECHA]])</f>
        <v>2018-2</v>
      </c>
    </row>
    <row r="885" spans="1:4" x14ac:dyDescent="0.25">
      <c r="A885" t="s">
        <v>1741</v>
      </c>
      <c r="B885">
        <v>14</v>
      </c>
      <c r="C885" s="54">
        <v>43160</v>
      </c>
      <c r="D885" s="3" t="str">
        <f>YEAR(Datos_Consumo[[#This Row],[FECHA]])&amp;"-"&amp;MONTH(Datos_Consumo[[#This Row],[FECHA]])</f>
        <v>2018-3</v>
      </c>
    </row>
    <row r="886" spans="1:4" x14ac:dyDescent="0.25">
      <c r="A886" t="s">
        <v>1741</v>
      </c>
      <c r="B886">
        <v>14</v>
      </c>
      <c r="C886" s="54">
        <v>43191</v>
      </c>
      <c r="D886" s="3" t="str">
        <f>YEAR(Datos_Consumo[[#This Row],[FECHA]])&amp;"-"&amp;MONTH(Datos_Consumo[[#This Row],[FECHA]])</f>
        <v>2018-4</v>
      </c>
    </row>
    <row r="887" spans="1:4" x14ac:dyDescent="0.25">
      <c r="A887" t="s">
        <v>1741</v>
      </c>
      <c r="B887">
        <v>5</v>
      </c>
      <c r="C887" s="54">
        <v>43221</v>
      </c>
      <c r="D887" s="3" t="str">
        <f>YEAR(Datos_Consumo[[#This Row],[FECHA]])&amp;"-"&amp;MONTH(Datos_Consumo[[#This Row],[FECHA]])</f>
        <v>2018-5</v>
      </c>
    </row>
    <row r="888" spans="1:4" x14ac:dyDescent="0.25">
      <c r="A888" t="s">
        <v>1742</v>
      </c>
      <c r="B888">
        <v>31</v>
      </c>
      <c r="C888" s="54">
        <v>43070</v>
      </c>
      <c r="D888" s="3" t="str">
        <f>YEAR(Datos_Consumo[[#This Row],[FECHA]])&amp;"-"&amp;MONTH(Datos_Consumo[[#This Row],[FECHA]])</f>
        <v>2017-12</v>
      </c>
    </row>
    <row r="889" spans="1:4" x14ac:dyDescent="0.25">
      <c r="A889" t="s">
        <v>1742</v>
      </c>
      <c r="B889">
        <v>57</v>
      </c>
      <c r="C889" s="54">
        <v>43101</v>
      </c>
      <c r="D889" s="3" t="str">
        <f>YEAR(Datos_Consumo[[#This Row],[FECHA]])&amp;"-"&amp;MONTH(Datos_Consumo[[#This Row],[FECHA]])</f>
        <v>2018-1</v>
      </c>
    </row>
    <row r="890" spans="1:4" x14ac:dyDescent="0.25">
      <c r="A890" t="s">
        <v>1742</v>
      </c>
      <c r="B890">
        <v>25</v>
      </c>
      <c r="C890" s="54">
        <v>43132</v>
      </c>
      <c r="D890" s="3" t="str">
        <f>YEAR(Datos_Consumo[[#This Row],[FECHA]])&amp;"-"&amp;MONTH(Datos_Consumo[[#This Row],[FECHA]])</f>
        <v>2018-2</v>
      </c>
    </row>
    <row r="891" spans="1:4" x14ac:dyDescent="0.25">
      <c r="A891" t="s">
        <v>1742</v>
      </c>
      <c r="B891">
        <v>353</v>
      </c>
      <c r="C891" s="54">
        <v>43160</v>
      </c>
      <c r="D891" s="3" t="str">
        <f>YEAR(Datos_Consumo[[#This Row],[FECHA]])&amp;"-"&amp;MONTH(Datos_Consumo[[#This Row],[FECHA]])</f>
        <v>2018-3</v>
      </c>
    </row>
    <row r="892" spans="1:4" x14ac:dyDescent="0.25">
      <c r="A892" t="s">
        <v>1742</v>
      </c>
      <c r="B892">
        <v>189</v>
      </c>
      <c r="C892" s="54">
        <v>43191</v>
      </c>
      <c r="D892" s="3" t="str">
        <f>YEAR(Datos_Consumo[[#This Row],[FECHA]])&amp;"-"&amp;MONTH(Datos_Consumo[[#This Row],[FECHA]])</f>
        <v>2018-4</v>
      </c>
    </row>
    <row r="893" spans="1:4" x14ac:dyDescent="0.25">
      <c r="A893" t="s">
        <v>1742</v>
      </c>
      <c r="B893">
        <v>10</v>
      </c>
      <c r="C893" s="54">
        <v>43221</v>
      </c>
      <c r="D893" s="3" t="str">
        <f>YEAR(Datos_Consumo[[#This Row],[FECHA]])&amp;"-"&amp;MONTH(Datos_Consumo[[#This Row],[FECHA]])</f>
        <v>2018-5</v>
      </c>
    </row>
    <row r="894" spans="1:4" x14ac:dyDescent="0.25">
      <c r="A894" t="s">
        <v>1743</v>
      </c>
      <c r="B894">
        <v>8</v>
      </c>
      <c r="C894" s="54">
        <v>43070</v>
      </c>
      <c r="D894" s="3" t="str">
        <f>YEAR(Datos_Consumo[[#This Row],[FECHA]])&amp;"-"&amp;MONTH(Datos_Consumo[[#This Row],[FECHA]])</f>
        <v>2017-12</v>
      </c>
    </row>
    <row r="895" spans="1:4" x14ac:dyDescent="0.25">
      <c r="A895" t="s">
        <v>1743</v>
      </c>
      <c r="B895">
        <v>6</v>
      </c>
      <c r="C895" s="54">
        <v>43101</v>
      </c>
      <c r="D895" s="3" t="str">
        <f>YEAR(Datos_Consumo[[#This Row],[FECHA]])&amp;"-"&amp;MONTH(Datos_Consumo[[#This Row],[FECHA]])</f>
        <v>2018-1</v>
      </c>
    </row>
    <row r="896" spans="1:4" x14ac:dyDescent="0.25">
      <c r="A896" t="s">
        <v>1743</v>
      </c>
      <c r="B896">
        <v>4</v>
      </c>
      <c r="C896" s="54">
        <v>43132</v>
      </c>
      <c r="D896" s="3" t="str">
        <f>YEAR(Datos_Consumo[[#This Row],[FECHA]])&amp;"-"&amp;MONTH(Datos_Consumo[[#This Row],[FECHA]])</f>
        <v>2018-2</v>
      </c>
    </row>
    <row r="897" spans="1:4" x14ac:dyDescent="0.25">
      <c r="A897" t="s">
        <v>1743</v>
      </c>
      <c r="B897">
        <v>4</v>
      </c>
      <c r="C897" s="54">
        <v>43160</v>
      </c>
      <c r="D897" s="3" t="str">
        <f>YEAR(Datos_Consumo[[#This Row],[FECHA]])&amp;"-"&amp;MONTH(Datos_Consumo[[#This Row],[FECHA]])</f>
        <v>2018-3</v>
      </c>
    </row>
    <row r="898" spans="1:4" x14ac:dyDescent="0.25">
      <c r="A898" t="s">
        <v>1743</v>
      </c>
      <c r="B898">
        <v>7</v>
      </c>
      <c r="C898" s="54">
        <v>43191</v>
      </c>
      <c r="D898" s="3" t="str">
        <f>YEAR(Datos_Consumo[[#This Row],[FECHA]])&amp;"-"&amp;MONTH(Datos_Consumo[[#This Row],[FECHA]])</f>
        <v>2018-4</v>
      </c>
    </row>
    <row r="899" spans="1:4" x14ac:dyDescent="0.25">
      <c r="A899" t="s">
        <v>1743</v>
      </c>
      <c r="B899">
        <v>1</v>
      </c>
      <c r="C899" s="54">
        <v>43221</v>
      </c>
      <c r="D899" s="3" t="str">
        <f>YEAR(Datos_Consumo[[#This Row],[FECHA]])&amp;"-"&amp;MONTH(Datos_Consumo[[#This Row],[FECHA]])</f>
        <v>2018-5</v>
      </c>
    </row>
    <row r="900" spans="1:4" x14ac:dyDescent="0.25">
      <c r="A900" t="s">
        <v>1744</v>
      </c>
      <c r="B900">
        <v>2</v>
      </c>
      <c r="C900" s="54">
        <v>43070</v>
      </c>
      <c r="D900" s="3" t="str">
        <f>YEAR(Datos_Consumo[[#This Row],[FECHA]])&amp;"-"&amp;MONTH(Datos_Consumo[[#This Row],[FECHA]])</f>
        <v>2017-12</v>
      </c>
    </row>
    <row r="901" spans="1:4" x14ac:dyDescent="0.25">
      <c r="A901" t="s">
        <v>1744</v>
      </c>
      <c r="B901">
        <v>9</v>
      </c>
      <c r="C901" s="54">
        <v>43101</v>
      </c>
      <c r="D901" s="3" t="str">
        <f>YEAR(Datos_Consumo[[#This Row],[FECHA]])&amp;"-"&amp;MONTH(Datos_Consumo[[#This Row],[FECHA]])</f>
        <v>2018-1</v>
      </c>
    </row>
    <row r="902" spans="1:4" x14ac:dyDescent="0.25">
      <c r="A902" t="s">
        <v>1744</v>
      </c>
      <c r="B902">
        <v>8</v>
      </c>
      <c r="C902" s="54">
        <v>43132</v>
      </c>
      <c r="D902" s="3" t="str">
        <f>YEAR(Datos_Consumo[[#This Row],[FECHA]])&amp;"-"&amp;MONTH(Datos_Consumo[[#This Row],[FECHA]])</f>
        <v>2018-2</v>
      </c>
    </row>
    <row r="903" spans="1:4" x14ac:dyDescent="0.25">
      <c r="A903" t="s">
        <v>1744</v>
      </c>
      <c r="B903">
        <v>1</v>
      </c>
      <c r="C903" s="54">
        <v>43160</v>
      </c>
      <c r="D903" s="3" t="str">
        <f>YEAR(Datos_Consumo[[#This Row],[FECHA]])&amp;"-"&amp;MONTH(Datos_Consumo[[#This Row],[FECHA]])</f>
        <v>2018-3</v>
      </c>
    </row>
    <row r="904" spans="1:4" x14ac:dyDescent="0.25">
      <c r="A904" t="s">
        <v>1744</v>
      </c>
      <c r="B904">
        <v>5</v>
      </c>
      <c r="C904" s="54">
        <v>43191</v>
      </c>
      <c r="D904" s="3" t="str">
        <f>YEAR(Datos_Consumo[[#This Row],[FECHA]])&amp;"-"&amp;MONTH(Datos_Consumo[[#This Row],[FECHA]])</f>
        <v>2018-4</v>
      </c>
    </row>
    <row r="905" spans="1:4" x14ac:dyDescent="0.25">
      <c r="A905" t="s">
        <v>1744</v>
      </c>
      <c r="B905">
        <v>2</v>
      </c>
      <c r="C905" s="54">
        <v>43221</v>
      </c>
      <c r="D905" s="3" t="str">
        <f>YEAR(Datos_Consumo[[#This Row],[FECHA]])&amp;"-"&amp;MONTH(Datos_Consumo[[#This Row],[FECHA]])</f>
        <v>2018-5</v>
      </c>
    </row>
    <row r="906" spans="1:4" x14ac:dyDescent="0.25">
      <c r="A906" t="s">
        <v>1745</v>
      </c>
      <c r="B906">
        <v>90</v>
      </c>
      <c r="C906" s="54">
        <v>43070</v>
      </c>
      <c r="D906" s="3" t="str">
        <f>YEAR(Datos_Consumo[[#This Row],[FECHA]])&amp;"-"&amp;MONTH(Datos_Consumo[[#This Row],[FECHA]])</f>
        <v>2017-12</v>
      </c>
    </row>
    <row r="907" spans="1:4" x14ac:dyDescent="0.25">
      <c r="A907" t="s">
        <v>1745</v>
      </c>
      <c r="B907">
        <v>86</v>
      </c>
      <c r="C907" s="54">
        <v>43101</v>
      </c>
      <c r="D907" s="3" t="str">
        <f>YEAR(Datos_Consumo[[#This Row],[FECHA]])&amp;"-"&amp;MONTH(Datos_Consumo[[#This Row],[FECHA]])</f>
        <v>2018-1</v>
      </c>
    </row>
    <row r="908" spans="1:4" x14ac:dyDescent="0.25">
      <c r="A908" t="s">
        <v>1745</v>
      </c>
      <c r="B908">
        <v>82</v>
      </c>
      <c r="C908" s="54">
        <v>43132</v>
      </c>
      <c r="D908" s="3" t="str">
        <f>YEAR(Datos_Consumo[[#This Row],[FECHA]])&amp;"-"&amp;MONTH(Datos_Consumo[[#This Row],[FECHA]])</f>
        <v>2018-2</v>
      </c>
    </row>
    <row r="909" spans="1:4" x14ac:dyDescent="0.25">
      <c r="A909" t="s">
        <v>1745</v>
      </c>
      <c r="B909">
        <v>95</v>
      </c>
      <c r="C909" s="54">
        <v>43160</v>
      </c>
      <c r="D909" s="3" t="str">
        <f>YEAR(Datos_Consumo[[#This Row],[FECHA]])&amp;"-"&amp;MONTH(Datos_Consumo[[#This Row],[FECHA]])</f>
        <v>2018-3</v>
      </c>
    </row>
    <row r="910" spans="1:4" x14ac:dyDescent="0.25">
      <c r="A910" t="s">
        <v>1745</v>
      </c>
      <c r="B910">
        <v>127</v>
      </c>
      <c r="C910" s="54">
        <v>43191</v>
      </c>
      <c r="D910" s="3" t="str">
        <f>YEAR(Datos_Consumo[[#This Row],[FECHA]])&amp;"-"&amp;MONTH(Datos_Consumo[[#This Row],[FECHA]])</f>
        <v>2018-4</v>
      </c>
    </row>
    <row r="911" spans="1:4" x14ac:dyDescent="0.25">
      <c r="A911" t="s">
        <v>1745</v>
      </c>
      <c r="B911">
        <v>1</v>
      </c>
      <c r="C911" s="54">
        <v>43221</v>
      </c>
      <c r="D911" s="3" t="str">
        <f>YEAR(Datos_Consumo[[#This Row],[FECHA]])&amp;"-"&amp;MONTH(Datos_Consumo[[#This Row],[FECHA]])</f>
        <v>2018-5</v>
      </c>
    </row>
    <row r="912" spans="1:4" x14ac:dyDescent="0.25">
      <c r="A912" t="s">
        <v>1746</v>
      </c>
      <c r="B912">
        <v>4</v>
      </c>
      <c r="C912" s="54">
        <v>43070</v>
      </c>
      <c r="D912" s="3" t="str">
        <f>YEAR(Datos_Consumo[[#This Row],[FECHA]])&amp;"-"&amp;MONTH(Datos_Consumo[[#This Row],[FECHA]])</f>
        <v>2017-12</v>
      </c>
    </row>
    <row r="913" spans="1:4" x14ac:dyDescent="0.25">
      <c r="A913" t="s">
        <v>1746</v>
      </c>
      <c r="B913">
        <v>16</v>
      </c>
      <c r="C913" s="54">
        <v>43101</v>
      </c>
      <c r="D913" s="3" t="str">
        <f>YEAR(Datos_Consumo[[#This Row],[FECHA]])&amp;"-"&amp;MONTH(Datos_Consumo[[#This Row],[FECHA]])</f>
        <v>2018-1</v>
      </c>
    </row>
    <row r="914" spans="1:4" x14ac:dyDescent="0.25">
      <c r="A914" t="s">
        <v>1746</v>
      </c>
      <c r="B914">
        <v>2</v>
      </c>
      <c r="C914" s="54">
        <v>43132</v>
      </c>
      <c r="D914" s="3" t="str">
        <f>YEAR(Datos_Consumo[[#This Row],[FECHA]])&amp;"-"&amp;MONTH(Datos_Consumo[[#This Row],[FECHA]])</f>
        <v>2018-2</v>
      </c>
    </row>
    <row r="915" spans="1:4" x14ac:dyDescent="0.25">
      <c r="A915" t="s">
        <v>1746</v>
      </c>
      <c r="B915">
        <v>1</v>
      </c>
      <c r="C915" s="54">
        <v>43160</v>
      </c>
      <c r="D915" s="3" t="str">
        <f>YEAR(Datos_Consumo[[#This Row],[FECHA]])&amp;"-"&amp;MONTH(Datos_Consumo[[#This Row],[FECHA]])</f>
        <v>2018-3</v>
      </c>
    </row>
    <row r="916" spans="1:4" x14ac:dyDescent="0.25">
      <c r="A916" t="s">
        <v>1746</v>
      </c>
      <c r="B916">
        <v>14</v>
      </c>
      <c r="C916" s="54">
        <v>43191</v>
      </c>
      <c r="D916" s="3" t="str">
        <f>YEAR(Datos_Consumo[[#This Row],[FECHA]])&amp;"-"&amp;MONTH(Datos_Consumo[[#This Row],[FECHA]])</f>
        <v>2018-4</v>
      </c>
    </row>
    <row r="917" spans="1:4" x14ac:dyDescent="0.25">
      <c r="A917" t="s">
        <v>1747</v>
      </c>
      <c r="B917">
        <v>10</v>
      </c>
      <c r="C917" s="54">
        <v>43070</v>
      </c>
      <c r="D917" s="3" t="str">
        <f>YEAR(Datos_Consumo[[#This Row],[FECHA]])&amp;"-"&amp;MONTH(Datos_Consumo[[#This Row],[FECHA]])</f>
        <v>2017-12</v>
      </c>
    </row>
    <row r="918" spans="1:4" x14ac:dyDescent="0.25">
      <c r="A918" t="s">
        <v>1747</v>
      </c>
      <c r="B918">
        <v>7</v>
      </c>
      <c r="C918" s="54">
        <v>43101</v>
      </c>
      <c r="D918" s="3" t="str">
        <f>YEAR(Datos_Consumo[[#This Row],[FECHA]])&amp;"-"&amp;MONTH(Datos_Consumo[[#This Row],[FECHA]])</f>
        <v>2018-1</v>
      </c>
    </row>
    <row r="919" spans="1:4" x14ac:dyDescent="0.25">
      <c r="A919" t="s">
        <v>1747</v>
      </c>
      <c r="B919">
        <v>2</v>
      </c>
      <c r="C919" s="54">
        <v>43132</v>
      </c>
      <c r="D919" s="3" t="str">
        <f>YEAR(Datos_Consumo[[#This Row],[FECHA]])&amp;"-"&amp;MONTH(Datos_Consumo[[#This Row],[FECHA]])</f>
        <v>2018-2</v>
      </c>
    </row>
    <row r="920" spans="1:4" x14ac:dyDescent="0.25">
      <c r="A920" t="s">
        <v>1747</v>
      </c>
      <c r="B920">
        <v>5</v>
      </c>
      <c r="C920" s="54">
        <v>43160</v>
      </c>
      <c r="D920" s="3" t="str">
        <f>YEAR(Datos_Consumo[[#This Row],[FECHA]])&amp;"-"&amp;MONTH(Datos_Consumo[[#This Row],[FECHA]])</f>
        <v>2018-3</v>
      </c>
    </row>
    <row r="921" spans="1:4" x14ac:dyDescent="0.25">
      <c r="A921" t="s">
        <v>1747</v>
      </c>
      <c r="B921">
        <v>2</v>
      </c>
      <c r="C921" s="54">
        <v>43191</v>
      </c>
      <c r="D921" s="3" t="str">
        <f>YEAR(Datos_Consumo[[#This Row],[FECHA]])&amp;"-"&amp;MONTH(Datos_Consumo[[#This Row],[FECHA]])</f>
        <v>2018-4</v>
      </c>
    </row>
    <row r="922" spans="1:4" x14ac:dyDescent="0.25">
      <c r="A922" t="s">
        <v>1747</v>
      </c>
      <c r="B922">
        <v>6</v>
      </c>
      <c r="C922" s="54">
        <v>43221</v>
      </c>
      <c r="D922" s="3" t="str">
        <f>YEAR(Datos_Consumo[[#This Row],[FECHA]])&amp;"-"&amp;MONTH(Datos_Consumo[[#This Row],[FECHA]])</f>
        <v>2018-5</v>
      </c>
    </row>
    <row r="923" spans="1:4" x14ac:dyDescent="0.25">
      <c r="A923" t="s">
        <v>1748</v>
      </c>
      <c r="B923">
        <v>323</v>
      </c>
      <c r="C923" s="54">
        <v>43070</v>
      </c>
      <c r="D923" s="3" t="str">
        <f>YEAR(Datos_Consumo[[#This Row],[FECHA]])&amp;"-"&amp;MONTH(Datos_Consumo[[#This Row],[FECHA]])</f>
        <v>2017-12</v>
      </c>
    </row>
    <row r="924" spans="1:4" x14ac:dyDescent="0.25">
      <c r="A924" t="s">
        <v>1748</v>
      </c>
      <c r="B924">
        <v>444</v>
      </c>
      <c r="C924" s="54">
        <v>43101</v>
      </c>
      <c r="D924" s="3" t="str">
        <f>YEAR(Datos_Consumo[[#This Row],[FECHA]])&amp;"-"&amp;MONTH(Datos_Consumo[[#This Row],[FECHA]])</f>
        <v>2018-1</v>
      </c>
    </row>
    <row r="925" spans="1:4" x14ac:dyDescent="0.25">
      <c r="A925" t="s">
        <v>1748</v>
      </c>
      <c r="B925">
        <v>359</v>
      </c>
      <c r="C925" s="54">
        <v>43132</v>
      </c>
      <c r="D925" s="3" t="str">
        <f>YEAR(Datos_Consumo[[#This Row],[FECHA]])&amp;"-"&amp;MONTH(Datos_Consumo[[#This Row],[FECHA]])</f>
        <v>2018-2</v>
      </c>
    </row>
    <row r="926" spans="1:4" x14ac:dyDescent="0.25">
      <c r="A926" t="s">
        <v>1748</v>
      </c>
      <c r="B926">
        <v>410</v>
      </c>
      <c r="C926" s="54">
        <v>43160</v>
      </c>
      <c r="D926" s="3" t="str">
        <f>YEAR(Datos_Consumo[[#This Row],[FECHA]])&amp;"-"&amp;MONTH(Datos_Consumo[[#This Row],[FECHA]])</f>
        <v>2018-3</v>
      </c>
    </row>
    <row r="927" spans="1:4" x14ac:dyDescent="0.25">
      <c r="A927" t="s">
        <v>1748</v>
      </c>
      <c r="B927">
        <v>380</v>
      </c>
      <c r="C927" s="54">
        <v>43191</v>
      </c>
      <c r="D927" s="3" t="str">
        <f>YEAR(Datos_Consumo[[#This Row],[FECHA]])&amp;"-"&amp;MONTH(Datos_Consumo[[#This Row],[FECHA]])</f>
        <v>2018-4</v>
      </c>
    </row>
    <row r="928" spans="1:4" x14ac:dyDescent="0.25">
      <c r="A928" t="s">
        <v>1748</v>
      </c>
      <c r="B928">
        <v>110</v>
      </c>
      <c r="C928" s="54">
        <v>43221</v>
      </c>
      <c r="D928" s="3" t="str">
        <f>YEAR(Datos_Consumo[[#This Row],[FECHA]])&amp;"-"&amp;MONTH(Datos_Consumo[[#This Row],[FECHA]])</f>
        <v>2018-5</v>
      </c>
    </row>
    <row r="929" spans="1:4" x14ac:dyDescent="0.25">
      <c r="A929" t="s">
        <v>1749</v>
      </c>
      <c r="B929">
        <v>2</v>
      </c>
      <c r="C929" s="54">
        <v>43101</v>
      </c>
      <c r="D929" s="3" t="str">
        <f>YEAR(Datos_Consumo[[#This Row],[FECHA]])&amp;"-"&amp;MONTH(Datos_Consumo[[#This Row],[FECHA]])</f>
        <v>2018-1</v>
      </c>
    </row>
    <row r="930" spans="1:4" x14ac:dyDescent="0.25">
      <c r="A930" t="s">
        <v>1750</v>
      </c>
      <c r="B930">
        <v>1</v>
      </c>
      <c r="C930" s="54">
        <v>43191</v>
      </c>
      <c r="D930" s="3" t="str">
        <f>YEAR(Datos_Consumo[[#This Row],[FECHA]])&amp;"-"&amp;MONTH(Datos_Consumo[[#This Row],[FECHA]])</f>
        <v>2018-4</v>
      </c>
    </row>
    <row r="931" spans="1:4" x14ac:dyDescent="0.25">
      <c r="A931" t="s">
        <v>1751</v>
      </c>
      <c r="B931">
        <v>1</v>
      </c>
      <c r="C931" s="54">
        <v>43160</v>
      </c>
      <c r="D931" s="3" t="str">
        <f>YEAR(Datos_Consumo[[#This Row],[FECHA]])&amp;"-"&amp;MONTH(Datos_Consumo[[#This Row],[FECHA]])</f>
        <v>2018-3</v>
      </c>
    </row>
    <row r="932" spans="1:4" x14ac:dyDescent="0.25">
      <c r="A932" t="s">
        <v>1752</v>
      </c>
      <c r="B932">
        <v>2</v>
      </c>
      <c r="C932" s="54">
        <v>43132</v>
      </c>
      <c r="D932" s="3" t="str">
        <f>YEAR(Datos_Consumo[[#This Row],[FECHA]])&amp;"-"&amp;MONTH(Datos_Consumo[[#This Row],[FECHA]])</f>
        <v>2018-2</v>
      </c>
    </row>
    <row r="933" spans="1:4" x14ac:dyDescent="0.25">
      <c r="A933" t="s">
        <v>1753</v>
      </c>
      <c r="B933">
        <v>1</v>
      </c>
      <c r="C933" s="54">
        <v>43101</v>
      </c>
      <c r="D933" s="3" t="str">
        <f>YEAR(Datos_Consumo[[#This Row],[FECHA]])&amp;"-"&amp;MONTH(Datos_Consumo[[#This Row],[FECHA]])</f>
        <v>2018-1</v>
      </c>
    </row>
    <row r="934" spans="1:4" x14ac:dyDescent="0.25">
      <c r="A934" t="s">
        <v>1753</v>
      </c>
      <c r="B934">
        <v>1</v>
      </c>
      <c r="C934" s="54">
        <v>43160</v>
      </c>
      <c r="D934" s="3" t="str">
        <f>YEAR(Datos_Consumo[[#This Row],[FECHA]])&amp;"-"&amp;MONTH(Datos_Consumo[[#This Row],[FECHA]])</f>
        <v>2018-3</v>
      </c>
    </row>
    <row r="935" spans="1:4" x14ac:dyDescent="0.25">
      <c r="A935" t="s">
        <v>1754</v>
      </c>
      <c r="B935">
        <v>2</v>
      </c>
      <c r="C935" s="54">
        <v>43070</v>
      </c>
      <c r="D935" s="3" t="str">
        <f>YEAR(Datos_Consumo[[#This Row],[FECHA]])&amp;"-"&amp;MONTH(Datos_Consumo[[#This Row],[FECHA]])</f>
        <v>2017-12</v>
      </c>
    </row>
    <row r="936" spans="1:4" x14ac:dyDescent="0.25">
      <c r="A936" t="s">
        <v>1754</v>
      </c>
      <c r="B936">
        <v>1</v>
      </c>
      <c r="C936" s="54">
        <v>43160</v>
      </c>
      <c r="D936" s="3" t="str">
        <f>YEAR(Datos_Consumo[[#This Row],[FECHA]])&amp;"-"&amp;MONTH(Datos_Consumo[[#This Row],[FECHA]])</f>
        <v>2018-3</v>
      </c>
    </row>
    <row r="937" spans="1:4" x14ac:dyDescent="0.25">
      <c r="A937" t="s">
        <v>4045</v>
      </c>
      <c r="B937">
        <v>12</v>
      </c>
      <c r="C937" s="54">
        <v>43191</v>
      </c>
      <c r="D937" s="3" t="str">
        <f>YEAR(Datos_Consumo[[#This Row],[FECHA]])&amp;"-"&amp;MONTH(Datos_Consumo[[#This Row],[FECHA]])</f>
        <v>2018-4</v>
      </c>
    </row>
    <row r="938" spans="1:4" x14ac:dyDescent="0.25">
      <c r="A938" t="s">
        <v>1755</v>
      </c>
      <c r="B938">
        <v>3</v>
      </c>
      <c r="C938" s="54">
        <v>43070</v>
      </c>
      <c r="D938" s="3" t="str">
        <f>YEAR(Datos_Consumo[[#This Row],[FECHA]])&amp;"-"&amp;MONTH(Datos_Consumo[[#This Row],[FECHA]])</f>
        <v>2017-12</v>
      </c>
    </row>
    <row r="939" spans="1:4" x14ac:dyDescent="0.25">
      <c r="A939" t="s">
        <v>1755</v>
      </c>
      <c r="B939">
        <v>1</v>
      </c>
      <c r="C939" s="54">
        <v>43101</v>
      </c>
      <c r="D939" s="3" t="str">
        <f>YEAR(Datos_Consumo[[#This Row],[FECHA]])&amp;"-"&amp;MONTH(Datos_Consumo[[#This Row],[FECHA]])</f>
        <v>2018-1</v>
      </c>
    </row>
    <row r="940" spans="1:4" x14ac:dyDescent="0.25">
      <c r="A940" t="s">
        <v>1755</v>
      </c>
      <c r="B940">
        <v>2</v>
      </c>
      <c r="C940" s="54">
        <v>43160</v>
      </c>
      <c r="D940" s="3" t="str">
        <f>YEAR(Datos_Consumo[[#This Row],[FECHA]])&amp;"-"&amp;MONTH(Datos_Consumo[[#This Row],[FECHA]])</f>
        <v>2018-3</v>
      </c>
    </row>
    <row r="941" spans="1:4" x14ac:dyDescent="0.25">
      <c r="A941" t="s">
        <v>1755</v>
      </c>
      <c r="B941">
        <v>1</v>
      </c>
      <c r="C941" s="54">
        <v>43191</v>
      </c>
      <c r="D941" s="3" t="str">
        <f>YEAR(Datos_Consumo[[#This Row],[FECHA]])&amp;"-"&amp;MONTH(Datos_Consumo[[#This Row],[FECHA]])</f>
        <v>2018-4</v>
      </c>
    </row>
    <row r="942" spans="1:4" x14ac:dyDescent="0.25">
      <c r="A942" t="s">
        <v>1756</v>
      </c>
      <c r="B942">
        <v>4</v>
      </c>
      <c r="C942" s="54">
        <v>43070</v>
      </c>
      <c r="D942" s="3" t="str">
        <f>YEAR(Datos_Consumo[[#This Row],[FECHA]])&amp;"-"&amp;MONTH(Datos_Consumo[[#This Row],[FECHA]])</f>
        <v>2017-12</v>
      </c>
    </row>
    <row r="943" spans="1:4" x14ac:dyDescent="0.25">
      <c r="A943" t="s">
        <v>1756</v>
      </c>
      <c r="B943">
        <v>2</v>
      </c>
      <c r="C943" s="54">
        <v>43160</v>
      </c>
      <c r="D943" s="3" t="str">
        <f>YEAR(Datos_Consumo[[#This Row],[FECHA]])&amp;"-"&amp;MONTH(Datos_Consumo[[#This Row],[FECHA]])</f>
        <v>2018-3</v>
      </c>
    </row>
    <row r="944" spans="1:4" x14ac:dyDescent="0.25">
      <c r="A944" t="s">
        <v>1757</v>
      </c>
      <c r="B944">
        <v>4</v>
      </c>
      <c r="C944" s="54">
        <v>43101</v>
      </c>
      <c r="D944" s="3" t="str">
        <f>YEAR(Datos_Consumo[[#This Row],[FECHA]])&amp;"-"&amp;MONTH(Datos_Consumo[[#This Row],[FECHA]])</f>
        <v>2018-1</v>
      </c>
    </row>
    <row r="945" spans="1:4" x14ac:dyDescent="0.25">
      <c r="A945" t="s">
        <v>1758</v>
      </c>
      <c r="B945">
        <v>24</v>
      </c>
      <c r="C945" s="54">
        <v>43070</v>
      </c>
      <c r="D945" s="3" t="str">
        <f>YEAR(Datos_Consumo[[#This Row],[FECHA]])&amp;"-"&amp;MONTH(Datos_Consumo[[#This Row],[FECHA]])</f>
        <v>2017-12</v>
      </c>
    </row>
    <row r="946" spans="1:4" x14ac:dyDescent="0.25">
      <c r="A946" t="s">
        <v>1758</v>
      </c>
      <c r="B946">
        <v>4</v>
      </c>
      <c r="C946" s="54">
        <v>43160</v>
      </c>
      <c r="D946" s="3" t="str">
        <f>YEAR(Datos_Consumo[[#This Row],[FECHA]])&amp;"-"&amp;MONTH(Datos_Consumo[[#This Row],[FECHA]])</f>
        <v>2018-3</v>
      </c>
    </row>
    <row r="947" spans="1:4" x14ac:dyDescent="0.25">
      <c r="A947" t="s">
        <v>1759</v>
      </c>
      <c r="B947">
        <v>1</v>
      </c>
      <c r="C947" s="54">
        <v>43160</v>
      </c>
      <c r="D947" s="3" t="str">
        <f>YEAR(Datos_Consumo[[#This Row],[FECHA]])&amp;"-"&amp;MONTH(Datos_Consumo[[#This Row],[FECHA]])</f>
        <v>2018-3</v>
      </c>
    </row>
    <row r="948" spans="1:4" x14ac:dyDescent="0.25">
      <c r="A948" t="s">
        <v>1760</v>
      </c>
      <c r="B948">
        <v>2</v>
      </c>
      <c r="C948" s="54">
        <v>43160</v>
      </c>
      <c r="D948" s="3" t="str">
        <f>YEAR(Datos_Consumo[[#This Row],[FECHA]])&amp;"-"&amp;MONTH(Datos_Consumo[[#This Row],[FECHA]])</f>
        <v>2018-3</v>
      </c>
    </row>
    <row r="949" spans="1:4" x14ac:dyDescent="0.25">
      <c r="A949" t="s">
        <v>1761</v>
      </c>
      <c r="B949">
        <v>2</v>
      </c>
      <c r="C949" s="54">
        <v>43160</v>
      </c>
      <c r="D949" s="3" t="str">
        <f>YEAR(Datos_Consumo[[#This Row],[FECHA]])&amp;"-"&amp;MONTH(Datos_Consumo[[#This Row],[FECHA]])</f>
        <v>2018-3</v>
      </c>
    </row>
    <row r="950" spans="1:4" x14ac:dyDescent="0.25">
      <c r="A950" t="s">
        <v>1762</v>
      </c>
      <c r="B950">
        <v>2</v>
      </c>
      <c r="C950" s="54">
        <v>43132</v>
      </c>
      <c r="D950" s="3" t="str">
        <f>YEAR(Datos_Consumo[[#This Row],[FECHA]])&amp;"-"&amp;MONTH(Datos_Consumo[[#This Row],[FECHA]])</f>
        <v>2018-2</v>
      </c>
    </row>
    <row r="951" spans="1:4" x14ac:dyDescent="0.25">
      <c r="A951" t="s">
        <v>1763</v>
      </c>
      <c r="B951">
        <v>14</v>
      </c>
      <c r="C951" s="54">
        <v>43070</v>
      </c>
      <c r="D951" s="3" t="str">
        <f>YEAR(Datos_Consumo[[#This Row],[FECHA]])&amp;"-"&amp;MONTH(Datos_Consumo[[#This Row],[FECHA]])</f>
        <v>2017-12</v>
      </c>
    </row>
    <row r="952" spans="1:4" x14ac:dyDescent="0.25">
      <c r="A952" t="s">
        <v>1763</v>
      </c>
      <c r="B952">
        <v>13</v>
      </c>
      <c r="C952" s="54">
        <v>43101</v>
      </c>
      <c r="D952" s="3" t="str">
        <f>YEAR(Datos_Consumo[[#This Row],[FECHA]])&amp;"-"&amp;MONTH(Datos_Consumo[[#This Row],[FECHA]])</f>
        <v>2018-1</v>
      </c>
    </row>
    <row r="953" spans="1:4" x14ac:dyDescent="0.25">
      <c r="A953" t="s">
        <v>1763</v>
      </c>
      <c r="B953">
        <v>7</v>
      </c>
      <c r="C953" s="54">
        <v>43132</v>
      </c>
      <c r="D953" s="3" t="str">
        <f>YEAR(Datos_Consumo[[#This Row],[FECHA]])&amp;"-"&amp;MONTH(Datos_Consumo[[#This Row],[FECHA]])</f>
        <v>2018-2</v>
      </c>
    </row>
    <row r="954" spans="1:4" x14ac:dyDescent="0.25">
      <c r="A954" t="s">
        <v>1763</v>
      </c>
      <c r="B954">
        <v>4</v>
      </c>
      <c r="C954" s="54">
        <v>43160</v>
      </c>
      <c r="D954" s="3" t="str">
        <f>YEAR(Datos_Consumo[[#This Row],[FECHA]])&amp;"-"&amp;MONTH(Datos_Consumo[[#This Row],[FECHA]])</f>
        <v>2018-3</v>
      </c>
    </row>
    <row r="955" spans="1:4" x14ac:dyDescent="0.25">
      <c r="A955" t="s">
        <v>1763</v>
      </c>
      <c r="B955">
        <v>6</v>
      </c>
      <c r="C955" s="54">
        <v>43191</v>
      </c>
      <c r="D955" s="3" t="str">
        <f>YEAR(Datos_Consumo[[#This Row],[FECHA]])&amp;"-"&amp;MONTH(Datos_Consumo[[#This Row],[FECHA]])</f>
        <v>2018-4</v>
      </c>
    </row>
    <row r="956" spans="1:4" x14ac:dyDescent="0.25">
      <c r="A956" t="s">
        <v>1763</v>
      </c>
      <c r="B956">
        <v>5</v>
      </c>
      <c r="C956" s="54">
        <v>43221</v>
      </c>
      <c r="D956" s="3" t="str">
        <f>YEAR(Datos_Consumo[[#This Row],[FECHA]])&amp;"-"&amp;MONTH(Datos_Consumo[[#This Row],[FECHA]])</f>
        <v>2018-5</v>
      </c>
    </row>
    <row r="957" spans="1:4" x14ac:dyDescent="0.25">
      <c r="A957" t="s">
        <v>4046</v>
      </c>
      <c r="B957">
        <v>1</v>
      </c>
      <c r="C957" s="54">
        <v>43221</v>
      </c>
      <c r="D957" s="3" t="str">
        <f>YEAR(Datos_Consumo[[#This Row],[FECHA]])&amp;"-"&amp;MONTH(Datos_Consumo[[#This Row],[FECHA]])</f>
        <v>2018-5</v>
      </c>
    </row>
    <row r="958" spans="1:4" x14ac:dyDescent="0.25">
      <c r="A958" t="s">
        <v>1764</v>
      </c>
      <c r="B958">
        <v>1</v>
      </c>
      <c r="C958" s="54">
        <v>43070</v>
      </c>
      <c r="D958" s="3" t="str">
        <f>YEAR(Datos_Consumo[[#This Row],[FECHA]])&amp;"-"&amp;MONTH(Datos_Consumo[[#This Row],[FECHA]])</f>
        <v>2017-12</v>
      </c>
    </row>
    <row r="959" spans="1:4" x14ac:dyDescent="0.25">
      <c r="A959" t="s">
        <v>1764</v>
      </c>
      <c r="B959">
        <v>2</v>
      </c>
      <c r="C959" s="54">
        <v>43101</v>
      </c>
      <c r="D959" s="3" t="str">
        <f>YEAR(Datos_Consumo[[#This Row],[FECHA]])&amp;"-"&amp;MONTH(Datos_Consumo[[#This Row],[FECHA]])</f>
        <v>2018-1</v>
      </c>
    </row>
    <row r="960" spans="1:4" x14ac:dyDescent="0.25">
      <c r="A960" t="s">
        <v>1764</v>
      </c>
      <c r="B960">
        <v>3</v>
      </c>
      <c r="C960" s="54">
        <v>43132</v>
      </c>
      <c r="D960" s="3" t="str">
        <f>YEAR(Datos_Consumo[[#This Row],[FECHA]])&amp;"-"&amp;MONTH(Datos_Consumo[[#This Row],[FECHA]])</f>
        <v>2018-2</v>
      </c>
    </row>
    <row r="961" spans="1:4" x14ac:dyDescent="0.25">
      <c r="A961" t="s">
        <v>1764</v>
      </c>
      <c r="B961">
        <v>2</v>
      </c>
      <c r="C961" s="54">
        <v>43221</v>
      </c>
      <c r="D961" s="3" t="str">
        <f>YEAR(Datos_Consumo[[#This Row],[FECHA]])&amp;"-"&amp;MONTH(Datos_Consumo[[#This Row],[FECHA]])</f>
        <v>2018-5</v>
      </c>
    </row>
    <row r="962" spans="1:4" x14ac:dyDescent="0.25">
      <c r="A962" t="s">
        <v>1765</v>
      </c>
      <c r="B962">
        <v>1</v>
      </c>
      <c r="C962" s="54">
        <v>43101</v>
      </c>
      <c r="D962" s="3" t="str">
        <f>YEAR(Datos_Consumo[[#This Row],[FECHA]])&amp;"-"&amp;MONTH(Datos_Consumo[[#This Row],[FECHA]])</f>
        <v>2018-1</v>
      </c>
    </row>
    <row r="963" spans="1:4" x14ac:dyDescent="0.25">
      <c r="A963" t="s">
        <v>1765</v>
      </c>
      <c r="B963">
        <v>1</v>
      </c>
      <c r="C963" s="54">
        <v>43191</v>
      </c>
      <c r="D963" s="3" t="str">
        <f>YEAR(Datos_Consumo[[#This Row],[FECHA]])&amp;"-"&amp;MONTH(Datos_Consumo[[#This Row],[FECHA]])</f>
        <v>2018-4</v>
      </c>
    </row>
    <row r="964" spans="1:4" x14ac:dyDescent="0.25">
      <c r="A964" t="s">
        <v>1766</v>
      </c>
      <c r="B964">
        <v>1</v>
      </c>
      <c r="C964" s="54">
        <v>43101</v>
      </c>
      <c r="D964" s="3" t="str">
        <f>YEAR(Datos_Consumo[[#This Row],[FECHA]])&amp;"-"&amp;MONTH(Datos_Consumo[[#This Row],[FECHA]])</f>
        <v>2018-1</v>
      </c>
    </row>
    <row r="965" spans="1:4" x14ac:dyDescent="0.25">
      <c r="A965" t="s">
        <v>1766</v>
      </c>
      <c r="B965">
        <v>1</v>
      </c>
      <c r="C965" s="54">
        <v>43191</v>
      </c>
      <c r="D965" s="3" t="str">
        <f>YEAR(Datos_Consumo[[#This Row],[FECHA]])&amp;"-"&amp;MONTH(Datos_Consumo[[#This Row],[FECHA]])</f>
        <v>2018-4</v>
      </c>
    </row>
    <row r="966" spans="1:4" x14ac:dyDescent="0.25">
      <c r="A966" t="s">
        <v>1767</v>
      </c>
      <c r="B966">
        <v>1</v>
      </c>
      <c r="C966" s="54">
        <v>43070</v>
      </c>
      <c r="D966" s="3" t="str">
        <f>YEAR(Datos_Consumo[[#This Row],[FECHA]])&amp;"-"&amp;MONTH(Datos_Consumo[[#This Row],[FECHA]])</f>
        <v>2017-12</v>
      </c>
    </row>
    <row r="967" spans="1:4" x14ac:dyDescent="0.25">
      <c r="A967" t="s">
        <v>1767</v>
      </c>
      <c r="B967">
        <v>2</v>
      </c>
      <c r="C967" s="54">
        <v>43101</v>
      </c>
      <c r="D967" s="3" t="str">
        <f>YEAR(Datos_Consumo[[#This Row],[FECHA]])&amp;"-"&amp;MONTH(Datos_Consumo[[#This Row],[FECHA]])</f>
        <v>2018-1</v>
      </c>
    </row>
    <row r="968" spans="1:4" x14ac:dyDescent="0.25">
      <c r="A968" t="s">
        <v>1767</v>
      </c>
      <c r="B968">
        <v>1</v>
      </c>
      <c r="C968" s="54">
        <v>43132</v>
      </c>
      <c r="D968" s="3" t="str">
        <f>YEAR(Datos_Consumo[[#This Row],[FECHA]])&amp;"-"&amp;MONTH(Datos_Consumo[[#This Row],[FECHA]])</f>
        <v>2018-2</v>
      </c>
    </row>
    <row r="969" spans="1:4" x14ac:dyDescent="0.25">
      <c r="A969" t="s">
        <v>1767</v>
      </c>
      <c r="B969">
        <v>15</v>
      </c>
      <c r="C969" s="54">
        <v>43191</v>
      </c>
      <c r="D969" s="3" t="str">
        <f>YEAR(Datos_Consumo[[#This Row],[FECHA]])&amp;"-"&amp;MONTH(Datos_Consumo[[#This Row],[FECHA]])</f>
        <v>2018-4</v>
      </c>
    </row>
    <row r="970" spans="1:4" x14ac:dyDescent="0.25">
      <c r="A970" t="s">
        <v>1768</v>
      </c>
      <c r="B970">
        <v>1</v>
      </c>
      <c r="C970" s="54">
        <v>43070</v>
      </c>
      <c r="D970" s="3" t="str">
        <f>YEAR(Datos_Consumo[[#This Row],[FECHA]])&amp;"-"&amp;MONTH(Datos_Consumo[[#This Row],[FECHA]])</f>
        <v>2017-12</v>
      </c>
    </row>
    <row r="971" spans="1:4" x14ac:dyDescent="0.25">
      <c r="A971" t="s">
        <v>1768</v>
      </c>
      <c r="B971">
        <v>1</v>
      </c>
      <c r="C971" s="54">
        <v>43160</v>
      </c>
      <c r="D971" s="3" t="str">
        <f>YEAR(Datos_Consumo[[#This Row],[FECHA]])&amp;"-"&amp;MONTH(Datos_Consumo[[#This Row],[FECHA]])</f>
        <v>2018-3</v>
      </c>
    </row>
    <row r="972" spans="1:4" x14ac:dyDescent="0.25">
      <c r="A972" t="s">
        <v>1769</v>
      </c>
      <c r="B972">
        <v>6</v>
      </c>
      <c r="C972" s="54">
        <v>43070</v>
      </c>
      <c r="D972" s="3" t="str">
        <f>YEAR(Datos_Consumo[[#This Row],[FECHA]])&amp;"-"&amp;MONTH(Datos_Consumo[[#This Row],[FECHA]])</f>
        <v>2017-12</v>
      </c>
    </row>
    <row r="973" spans="1:4" x14ac:dyDescent="0.25">
      <c r="A973" t="s">
        <v>1769</v>
      </c>
      <c r="B973">
        <v>6</v>
      </c>
      <c r="C973" s="54">
        <v>43101</v>
      </c>
      <c r="D973" s="3" t="str">
        <f>YEAR(Datos_Consumo[[#This Row],[FECHA]])&amp;"-"&amp;MONTH(Datos_Consumo[[#This Row],[FECHA]])</f>
        <v>2018-1</v>
      </c>
    </row>
    <row r="974" spans="1:4" x14ac:dyDescent="0.25">
      <c r="A974" t="s">
        <v>1769</v>
      </c>
      <c r="B974">
        <v>2</v>
      </c>
      <c r="C974" s="54">
        <v>43132</v>
      </c>
      <c r="D974" s="3" t="str">
        <f>YEAR(Datos_Consumo[[#This Row],[FECHA]])&amp;"-"&amp;MONTH(Datos_Consumo[[#This Row],[FECHA]])</f>
        <v>2018-2</v>
      </c>
    </row>
    <row r="975" spans="1:4" x14ac:dyDescent="0.25">
      <c r="A975" t="s">
        <v>1769</v>
      </c>
      <c r="B975">
        <v>2</v>
      </c>
      <c r="C975" s="54">
        <v>43160</v>
      </c>
      <c r="D975" s="3" t="str">
        <f>YEAR(Datos_Consumo[[#This Row],[FECHA]])&amp;"-"&amp;MONTH(Datos_Consumo[[#This Row],[FECHA]])</f>
        <v>2018-3</v>
      </c>
    </row>
    <row r="976" spans="1:4" x14ac:dyDescent="0.25">
      <c r="A976" t="s">
        <v>1769</v>
      </c>
      <c r="B976">
        <v>3</v>
      </c>
      <c r="C976" s="54">
        <v>43191</v>
      </c>
      <c r="D976" s="3" t="str">
        <f>YEAR(Datos_Consumo[[#This Row],[FECHA]])&amp;"-"&amp;MONTH(Datos_Consumo[[#This Row],[FECHA]])</f>
        <v>2018-4</v>
      </c>
    </row>
    <row r="977" spans="1:4" x14ac:dyDescent="0.25">
      <c r="A977" t="s">
        <v>1769</v>
      </c>
      <c r="B977">
        <v>1</v>
      </c>
      <c r="C977" s="54">
        <v>43221</v>
      </c>
      <c r="D977" s="3" t="str">
        <f>YEAR(Datos_Consumo[[#This Row],[FECHA]])&amp;"-"&amp;MONTH(Datos_Consumo[[#This Row],[FECHA]])</f>
        <v>2018-5</v>
      </c>
    </row>
    <row r="978" spans="1:4" x14ac:dyDescent="0.25">
      <c r="A978" t="s">
        <v>1770</v>
      </c>
      <c r="B978">
        <v>1</v>
      </c>
      <c r="C978" s="54">
        <v>43070</v>
      </c>
      <c r="D978" s="3" t="str">
        <f>YEAR(Datos_Consumo[[#This Row],[FECHA]])&amp;"-"&amp;MONTH(Datos_Consumo[[#This Row],[FECHA]])</f>
        <v>2017-12</v>
      </c>
    </row>
    <row r="979" spans="1:4" x14ac:dyDescent="0.25">
      <c r="A979" t="s">
        <v>1770</v>
      </c>
      <c r="B979">
        <v>1</v>
      </c>
      <c r="C979" s="54">
        <v>43160</v>
      </c>
      <c r="D979" s="3" t="str">
        <f>YEAR(Datos_Consumo[[#This Row],[FECHA]])&amp;"-"&amp;MONTH(Datos_Consumo[[#This Row],[FECHA]])</f>
        <v>2018-3</v>
      </c>
    </row>
    <row r="980" spans="1:4" x14ac:dyDescent="0.25">
      <c r="A980" t="s">
        <v>1770</v>
      </c>
      <c r="B980">
        <v>1</v>
      </c>
      <c r="C980" s="54">
        <v>43191</v>
      </c>
      <c r="D980" s="3" t="str">
        <f>YEAR(Datos_Consumo[[#This Row],[FECHA]])&amp;"-"&amp;MONTH(Datos_Consumo[[#This Row],[FECHA]])</f>
        <v>2018-4</v>
      </c>
    </row>
    <row r="981" spans="1:4" x14ac:dyDescent="0.25">
      <c r="A981" t="s">
        <v>1771</v>
      </c>
      <c r="B981">
        <v>7</v>
      </c>
      <c r="C981" s="54">
        <v>43070</v>
      </c>
      <c r="D981" s="3" t="str">
        <f>YEAR(Datos_Consumo[[#This Row],[FECHA]])&amp;"-"&amp;MONTH(Datos_Consumo[[#This Row],[FECHA]])</f>
        <v>2017-12</v>
      </c>
    </row>
    <row r="982" spans="1:4" x14ac:dyDescent="0.25">
      <c r="A982" t="s">
        <v>1771</v>
      </c>
      <c r="B982">
        <v>1</v>
      </c>
      <c r="C982" s="54">
        <v>43101</v>
      </c>
      <c r="D982" s="3" t="str">
        <f>YEAR(Datos_Consumo[[#This Row],[FECHA]])&amp;"-"&amp;MONTH(Datos_Consumo[[#This Row],[FECHA]])</f>
        <v>2018-1</v>
      </c>
    </row>
    <row r="983" spans="1:4" x14ac:dyDescent="0.25">
      <c r="A983" t="s">
        <v>1771</v>
      </c>
      <c r="B983">
        <v>4</v>
      </c>
      <c r="C983" s="54">
        <v>43132</v>
      </c>
      <c r="D983" s="3" t="str">
        <f>YEAR(Datos_Consumo[[#This Row],[FECHA]])&amp;"-"&amp;MONTH(Datos_Consumo[[#This Row],[FECHA]])</f>
        <v>2018-2</v>
      </c>
    </row>
    <row r="984" spans="1:4" x14ac:dyDescent="0.25">
      <c r="A984" t="s">
        <v>1771</v>
      </c>
      <c r="B984">
        <v>1</v>
      </c>
      <c r="C984" s="54">
        <v>43160</v>
      </c>
      <c r="D984" s="3" t="str">
        <f>YEAR(Datos_Consumo[[#This Row],[FECHA]])&amp;"-"&amp;MONTH(Datos_Consumo[[#This Row],[FECHA]])</f>
        <v>2018-3</v>
      </c>
    </row>
    <row r="985" spans="1:4" x14ac:dyDescent="0.25">
      <c r="A985" t="s">
        <v>1771</v>
      </c>
      <c r="B985">
        <v>4</v>
      </c>
      <c r="C985" s="54">
        <v>43191</v>
      </c>
      <c r="D985" s="3" t="str">
        <f>YEAR(Datos_Consumo[[#This Row],[FECHA]])&amp;"-"&amp;MONTH(Datos_Consumo[[#This Row],[FECHA]])</f>
        <v>2018-4</v>
      </c>
    </row>
    <row r="986" spans="1:4" x14ac:dyDescent="0.25">
      <c r="A986" t="s">
        <v>1771</v>
      </c>
      <c r="B986">
        <v>2</v>
      </c>
      <c r="C986" s="54">
        <v>43221</v>
      </c>
      <c r="D986" s="3" t="str">
        <f>YEAR(Datos_Consumo[[#This Row],[FECHA]])&amp;"-"&amp;MONTH(Datos_Consumo[[#This Row],[FECHA]])</f>
        <v>2018-5</v>
      </c>
    </row>
    <row r="987" spans="1:4" x14ac:dyDescent="0.25">
      <c r="A987" t="s">
        <v>4047</v>
      </c>
      <c r="B987">
        <v>1</v>
      </c>
      <c r="C987" s="54">
        <v>43191</v>
      </c>
      <c r="D987" s="3" t="str">
        <f>YEAR(Datos_Consumo[[#This Row],[FECHA]])&amp;"-"&amp;MONTH(Datos_Consumo[[#This Row],[FECHA]])</f>
        <v>2018-4</v>
      </c>
    </row>
    <row r="988" spans="1:4" x14ac:dyDescent="0.25">
      <c r="A988" t="s">
        <v>1772</v>
      </c>
      <c r="B988">
        <v>20</v>
      </c>
      <c r="C988" s="54">
        <v>43070</v>
      </c>
      <c r="D988" s="3" t="str">
        <f>YEAR(Datos_Consumo[[#This Row],[FECHA]])&amp;"-"&amp;MONTH(Datos_Consumo[[#This Row],[FECHA]])</f>
        <v>2017-12</v>
      </c>
    </row>
    <row r="989" spans="1:4" x14ac:dyDescent="0.25">
      <c r="A989" t="s">
        <v>1772</v>
      </c>
      <c r="B989">
        <v>34</v>
      </c>
      <c r="C989" s="54">
        <v>43101</v>
      </c>
      <c r="D989" s="3" t="str">
        <f>YEAR(Datos_Consumo[[#This Row],[FECHA]])&amp;"-"&amp;MONTH(Datos_Consumo[[#This Row],[FECHA]])</f>
        <v>2018-1</v>
      </c>
    </row>
    <row r="990" spans="1:4" x14ac:dyDescent="0.25">
      <c r="A990" t="s">
        <v>1772</v>
      </c>
      <c r="B990">
        <v>7</v>
      </c>
      <c r="C990" s="54">
        <v>43132</v>
      </c>
      <c r="D990" s="3" t="str">
        <f>YEAR(Datos_Consumo[[#This Row],[FECHA]])&amp;"-"&amp;MONTH(Datos_Consumo[[#This Row],[FECHA]])</f>
        <v>2018-2</v>
      </c>
    </row>
    <row r="991" spans="1:4" x14ac:dyDescent="0.25">
      <c r="A991" t="s">
        <v>1772</v>
      </c>
      <c r="B991">
        <v>35</v>
      </c>
      <c r="C991" s="54">
        <v>43160</v>
      </c>
      <c r="D991" s="3" t="str">
        <f>YEAR(Datos_Consumo[[#This Row],[FECHA]])&amp;"-"&amp;MONTH(Datos_Consumo[[#This Row],[FECHA]])</f>
        <v>2018-3</v>
      </c>
    </row>
    <row r="992" spans="1:4" x14ac:dyDescent="0.25">
      <c r="A992" t="s">
        <v>1772</v>
      </c>
      <c r="B992">
        <v>10</v>
      </c>
      <c r="C992" s="54">
        <v>43191</v>
      </c>
      <c r="D992" s="3" t="str">
        <f>YEAR(Datos_Consumo[[#This Row],[FECHA]])&amp;"-"&amp;MONTH(Datos_Consumo[[#This Row],[FECHA]])</f>
        <v>2018-4</v>
      </c>
    </row>
    <row r="993" spans="1:4" x14ac:dyDescent="0.25">
      <c r="A993" t="s">
        <v>1772</v>
      </c>
      <c r="B993">
        <v>2</v>
      </c>
      <c r="C993" s="54">
        <v>43221</v>
      </c>
      <c r="D993" s="3" t="str">
        <f>YEAR(Datos_Consumo[[#This Row],[FECHA]])&amp;"-"&amp;MONTH(Datos_Consumo[[#This Row],[FECHA]])</f>
        <v>2018-5</v>
      </c>
    </row>
    <row r="994" spans="1:4" x14ac:dyDescent="0.25">
      <c r="A994" t="s">
        <v>1773</v>
      </c>
      <c r="B994">
        <v>1</v>
      </c>
      <c r="C994" s="54">
        <v>43070</v>
      </c>
      <c r="D994" s="3" t="str">
        <f>YEAR(Datos_Consumo[[#This Row],[FECHA]])&amp;"-"&amp;MONTH(Datos_Consumo[[#This Row],[FECHA]])</f>
        <v>2017-12</v>
      </c>
    </row>
    <row r="995" spans="1:4" x14ac:dyDescent="0.25">
      <c r="A995" t="s">
        <v>1773</v>
      </c>
      <c r="B995">
        <v>2</v>
      </c>
      <c r="C995" s="54">
        <v>43160</v>
      </c>
      <c r="D995" s="3" t="str">
        <f>YEAR(Datos_Consumo[[#This Row],[FECHA]])&amp;"-"&amp;MONTH(Datos_Consumo[[#This Row],[FECHA]])</f>
        <v>2018-3</v>
      </c>
    </row>
    <row r="996" spans="1:4" x14ac:dyDescent="0.25">
      <c r="A996" t="s">
        <v>1774</v>
      </c>
      <c r="B996">
        <v>1</v>
      </c>
      <c r="C996" s="54">
        <v>43101</v>
      </c>
      <c r="D996" s="3" t="str">
        <f>YEAR(Datos_Consumo[[#This Row],[FECHA]])&amp;"-"&amp;MONTH(Datos_Consumo[[#This Row],[FECHA]])</f>
        <v>2018-1</v>
      </c>
    </row>
    <row r="997" spans="1:4" x14ac:dyDescent="0.25">
      <c r="A997" t="s">
        <v>1774</v>
      </c>
      <c r="B997">
        <v>1</v>
      </c>
      <c r="C997" s="54">
        <v>43160</v>
      </c>
      <c r="D997" s="3" t="str">
        <f>YEAR(Datos_Consumo[[#This Row],[FECHA]])&amp;"-"&amp;MONTH(Datos_Consumo[[#This Row],[FECHA]])</f>
        <v>2018-3</v>
      </c>
    </row>
    <row r="998" spans="1:4" x14ac:dyDescent="0.25">
      <c r="A998" t="s">
        <v>1774</v>
      </c>
      <c r="B998">
        <v>1</v>
      </c>
      <c r="C998" s="54">
        <v>43191</v>
      </c>
      <c r="D998" s="3" t="str">
        <f>YEAR(Datos_Consumo[[#This Row],[FECHA]])&amp;"-"&amp;MONTH(Datos_Consumo[[#This Row],[FECHA]])</f>
        <v>2018-4</v>
      </c>
    </row>
    <row r="999" spans="1:4" x14ac:dyDescent="0.25">
      <c r="A999" t="s">
        <v>1774</v>
      </c>
      <c r="B999">
        <v>1</v>
      </c>
      <c r="C999" s="54">
        <v>43221</v>
      </c>
      <c r="D999" s="3" t="str">
        <f>YEAR(Datos_Consumo[[#This Row],[FECHA]])&amp;"-"&amp;MONTH(Datos_Consumo[[#This Row],[FECHA]])</f>
        <v>2018-5</v>
      </c>
    </row>
    <row r="1000" spans="1:4" x14ac:dyDescent="0.25">
      <c r="A1000" t="s">
        <v>1775</v>
      </c>
      <c r="B1000">
        <v>1</v>
      </c>
      <c r="C1000" s="54">
        <v>43132</v>
      </c>
      <c r="D1000" s="3" t="str">
        <f>YEAR(Datos_Consumo[[#This Row],[FECHA]])&amp;"-"&amp;MONTH(Datos_Consumo[[#This Row],[FECHA]])</f>
        <v>2018-2</v>
      </c>
    </row>
    <row r="1001" spans="1:4" x14ac:dyDescent="0.25">
      <c r="A1001" t="s">
        <v>1776</v>
      </c>
      <c r="B1001">
        <v>1</v>
      </c>
      <c r="C1001" s="54">
        <v>43070</v>
      </c>
      <c r="D1001" s="3" t="str">
        <f>YEAR(Datos_Consumo[[#This Row],[FECHA]])&amp;"-"&amp;MONTH(Datos_Consumo[[#This Row],[FECHA]])</f>
        <v>2017-12</v>
      </c>
    </row>
    <row r="1002" spans="1:4" x14ac:dyDescent="0.25">
      <c r="A1002" t="s">
        <v>1776</v>
      </c>
      <c r="B1002">
        <v>3</v>
      </c>
      <c r="C1002" s="54">
        <v>43101</v>
      </c>
      <c r="D1002" s="3" t="str">
        <f>YEAR(Datos_Consumo[[#This Row],[FECHA]])&amp;"-"&amp;MONTH(Datos_Consumo[[#This Row],[FECHA]])</f>
        <v>2018-1</v>
      </c>
    </row>
    <row r="1003" spans="1:4" x14ac:dyDescent="0.25">
      <c r="A1003" t="s">
        <v>1776</v>
      </c>
      <c r="B1003">
        <v>1</v>
      </c>
      <c r="C1003" s="54">
        <v>43160</v>
      </c>
      <c r="D1003" s="3" t="str">
        <f>YEAR(Datos_Consumo[[#This Row],[FECHA]])&amp;"-"&amp;MONTH(Datos_Consumo[[#This Row],[FECHA]])</f>
        <v>2018-3</v>
      </c>
    </row>
    <row r="1004" spans="1:4" x14ac:dyDescent="0.25">
      <c r="A1004" t="s">
        <v>1776</v>
      </c>
      <c r="B1004">
        <v>2</v>
      </c>
      <c r="C1004" s="54">
        <v>43221</v>
      </c>
      <c r="D1004" s="3" t="str">
        <f>YEAR(Datos_Consumo[[#This Row],[FECHA]])&amp;"-"&amp;MONTH(Datos_Consumo[[#This Row],[FECHA]])</f>
        <v>2018-5</v>
      </c>
    </row>
    <row r="1005" spans="1:4" x14ac:dyDescent="0.25">
      <c r="A1005" t="s">
        <v>1777</v>
      </c>
      <c r="B1005">
        <v>8</v>
      </c>
      <c r="C1005" s="54">
        <v>43070</v>
      </c>
      <c r="D1005" s="3" t="str">
        <f>YEAR(Datos_Consumo[[#This Row],[FECHA]])&amp;"-"&amp;MONTH(Datos_Consumo[[#This Row],[FECHA]])</f>
        <v>2017-12</v>
      </c>
    </row>
    <row r="1006" spans="1:4" x14ac:dyDescent="0.25">
      <c r="A1006" t="s">
        <v>1777</v>
      </c>
      <c r="B1006">
        <v>10</v>
      </c>
      <c r="C1006" s="54">
        <v>43101</v>
      </c>
      <c r="D1006" s="3" t="str">
        <f>YEAR(Datos_Consumo[[#This Row],[FECHA]])&amp;"-"&amp;MONTH(Datos_Consumo[[#This Row],[FECHA]])</f>
        <v>2018-1</v>
      </c>
    </row>
    <row r="1007" spans="1:4" x14ac:dyDescent="0.25">
      <c r="A1007" t="s">
        <v>1777</v>
      </c>
      <c r="B1007">
        <v>11</v>
      </c>
      <c r="C1007" s="54">
        <v>43160</v>
      </c>
      <c r="D1007" s="3" t="str">
        <f>YEAR(Datos_Consumo[[#This Row],[FECHA]])&amp;"-"&amp;MONTH(Datos_Consumo[[#This Row],[FECHA]])</f>
        <v>2018-3</v>
      </c>
    </row>
    <row r="1008" spans="1:4" x14ac:dyDescent="0.25">
      <c r="A1008" t="s">
        <v>1777</v>
      </c>
      <c r="B1008">
        <v>4</v>
      </c>
      <c r="C1008" s="54">
        <v>43191</v>
      </c>
      <c r="D1008" s="3" t="str">
        <f>YEAR(Datos_Consumo[[#This Row],[FECHA]])&amp;"-"&amp;MONTH(Datos_Consumo[[#This Row],[FECHA]])</f>
        <v>2018-4</v>
      </c>
    </row>
    <row r="1009" spans="1:4" x14ac:dyDescent="0.25">
      <c r="A1009" t="s">
        <v>1777</v>
      </c>
      <c r="B1009">
        <v>2</v>
      </c>
      <c r="C1009" s="54">
        <v>43221</v>
      </c>
      <c r="D1009" s="3" t="str">
        <f>YEAR(Datos_Consumo[[#This Row],[FECHA]])&amp;"-"&amp;MONTH(Datos_Consumo[[#This Row],[FECHA]])</f>
        <v>2018-5</v>
      </c>
    </row>
    <row r="1010" spans="1:4" x14ac:dyDescent="0.25">
      <c r="A1010" t="s">
        <v>1778</v>
      </c>
      <c r="B1010">
        <v>2</v>
      </c>
      <c r="C1010" s="54">
        <v>43070</v>
      </c>
      <c r="D1010" s="3" t="str">
        <f>YEAR(Datos_Consumo[[#This Row],[FECHA]])&amp;"-"&amp;MONTH(Datos_Consumo[[#This Row],[FECHA]])</f>
        <v>2017-12</v>
      </c>
    </row>
    <row r="1011" spans="1:4" x14ac:dyDescent="0.25">
      <c r="A1011" t="s">
        <v>1778</v>
      </c>
      <c r="B1011">
        <v>1</v>
      </c>
      <c r="C1011" s="54">
        <v>43101</v>
      </c>
      <c r="D1011" s="3" t="str">
        <f>YEAR(Datos_Consumo[[#This Row],[FECHA]])&amp;"-"&amp;MONTH(Datos_Consumo[[#This Row],[FECHA]])</f>
        <v>2018-1</v>
      </c>
    </row>
    <row r="1012" spans="1:4" x14ac:dyDescent="0.25">
      <c r="A1012" t="s">
        <v>1778</v>
      </c>
      <c r="B1012">
        <v>1</v>
      </c>
      <c r="C1012" s="54">
        <v>43160</v>
      </c>
      <c r="D1012" s="3" t="str">
        <f>YEAR(Datos_Consumo[[#This Row],[FECHA]])&amp;"-"&amp;MONTH(Datos_Consumo[[#This Row],[FECHA]])</f>
        <v>2018-3</v>
      </c>
    </row>
    <row r="1013" spans="1:4" x14ac:dyDescent="0.25">
      <c r="A1013" t="s">
        <v>1778</v>
      </c>
      <c r="B1013">
        <v>2</v>
      </c>
      <c r="C1013" s="54">
        <v>43221</v>
      </c>
      <c r="D1013" s="3" t="str">
        <f>YEAR(Datos_Consumo[[#This Row],[FECHA]])&amp;"-"&amp;MONTH(Datos_Consumo[[#This Row],[FECHA]])</f>
        <v>2018-5</v>
      </c>
    </row>
    <row r="1014" spans="1:4" x14ac:dyDescent="0.25">
      <c r="A1014" t="s">
        <v>1779</v>
      </c>
      <c r="B1014">
        <v>21</v>
      </c>
      <c r="C1014" s="54">
        <v>43070</v>
      </c>
      <c r="D1014" s="3" t="str">
        <f>YEAR(Datos_Consumo[[#This Row],[FECHA]])&amp;"-"&amp;MONTH(Datos_Consumo[[#This Row],[FECHA]])</f>
        <v>2017-12</v>
      </c>
    </row>
    <row r="1015" spans="1:4" x14ac:dyDescent="0.25">
      <c r="A1015" t="s">
        <v>1779</v>
      </c>
      <c r="B1015">
        <v>39</v>
      </c>
      <c r="C1015" s="54">
        <v>43101</v>
      </c>
      <c r="D1015" s="3" t="str">
        <f>YEAR(Datos_Consumo[[#This Row],[FECHA]])&amp;"-"&amp;MONTH(Datos_Consumo[[#This Row],[FECHA]])</f>
        <v>2018-1</v>
      </c>
    </row>
    <row r="1016" spans="1:4" x14ac:dyDescent="0.25">
      <c r="A1016" t="s">
        <v>1779</v>
      </c>
      <c r="B1016">
        <v>15</v>
      </c>
      <c r="C1016" s="54">
        <v>43132</v>
      </c>
      <c r="D1016" s="3" t="str">
        <f>YEAR(Datos_Consumo[[#This Row],[FECHA]])&amp;"-"&amp;MONTH(Datos_Consumo[[#This Row],[FECHA]])</f>
        <v>2018-2</v>
      </c>
    </row>
    <row r="1017" spans="1:4" x14ac:dyDescent="0.25">
      <c r="A1017" t="s">
        <v>1779</v>
      </c>
      <c r="B1017">
        <v>26</v>
      </c>
      <c r="C1017" s="54">
        <v>43160</v>
      </c>
      <c r="D1017" s="3" t="str">
        <f>YEAR(Datos_Consumo[[#This Row],[FECHA]])&amp;"-"&amp;MONTH(Datos_Consumo[[#This Row],[FECHA]])</f>
        <v>2018-3</v>
      </c>
    </row>
    <row r="1018" spans="1:4" x14ac:dyDescent="0.25">
      <c r="A1018" t="s">
        <v>1779</v>
      </c>
      <c r="B1018">
        <v>28</v>
      </c>
      <c r="C1018" s="54">
        <v>43191</v>
      </c>
      <c r="D1018" s="3" t="str">
        <f>YEAR(Datos_Consumo[[#This Row],[FECHA]])&amp;"-"&amp;MONTH(Datos_Consumo[[#This Row],[FECHA]])</f>
        <v>2018-4</v>
      </c>
    </row>
    <row r="1019" spans="1:4" x14ac:dyDescent="0.25">
      <c r="A1019" t="s">
        <v>1779</v>
      </c>
      <c r="B1019">
        <v>8</v>
      </c>
      <c r="C1019" s="54">
        <v>43221</v>
      </c>
      <c r="D1019" s="3" t="str">
        <f>YEAR(Datos_Consumo[[#This Row],[FECHA]])&amp;"-"&amp;MONTH(Datos_Consumo[[#This Row],[FECHA]])</f>
        <v>2018-5</v>
      </c>
    </row>
    <row r="1020" spans="1:4" x14ac:dyDescent="0.25">
      <c r="A1020" t="s">
        <v>1780</v>
      </c>
      <c r="B1020">
        <v>33</v>
      </c>
      <c r="C1020" s="54">
        <v>43070</v>
      </c>
      <c r="D1020" s="3" t="str">
        <f>YEAR(Datos_Consumo[[#This Row],[FECHA]])&amp;"-"&amp;MONTH(Datos_Consumo[[#This Row],[FECHA]])</f>
        <v>2017-12</v>
      </c>
    </row>
    <row r="1021" spans="1:4" x14ac:dyDescent="0.25">
      <c r="A1021" t="s">
        <v>1780</v>
      </c>
      <c r="B1021">
        <v>58</v>
      </c>
      <c r="C1021" s="54">
        <v>43101</v>
      </c>
      <c r="D1021" s="3" t="str">
        <f>YEAR(Datos_Consumo[[#This Row],[FECHA]])&amp;"-"&amp;MONTH(Datos_Consumo[[#This Row],[FECHA]])</f>
        <v>2018-1</v>
      </c>
    </row>
    <row r="1022" spans="1:4" x14ac:dyDescent="0.25">
      <c r="A1022" t="s">
        <v>1780</v>
      </c>
      <c r="B1022">
        <v>19</v>
      </c>
      <c r="C1022" s="54">
        <v>43132</v>
      </c>
      <c r="D1022" s="3" t="str">
        <f>YEAR(Datos_Consumo[[#This Row],[FECHA]])&amp;"-"&amp;MONTH(Datos_Consumo[[#This Row],[FECHA]])</f>
        <v>2018-2</v>
      </c>
    </row>
    <row r="1023" spans="1:4" x14ac:dyDescent="0.25">
      <c r="A1023" t="s">
        <v>1780</v>
      </c>
      <c r="B1023">
        <v>23</v>
      </c>
      <c r="C1023" s="54">
        <v>43160</v>
      </c>
      <c r="D1023" s="3" t="str">
        <f>YEAR(Datos_Consumo[[#This Row],[FECHA]])&amp;"-"&amp;MONTH(Datos_Consumo[[#This Row],[FECHA]])</f>
        <v>2018-3</v>
      </c>
    </row>
    <row r="1024" spans="1:4" x14ac:dyDescent="0.25">
      <c r="A1024" t="s">
        <v>1780</v>
      </c>
      <c r="B1024">
        <v>19</v>
      </c>
      <c r="C1024" s="54">
        <v>43191</v>
      </c>
      <c r="D1024" s="3" t="str">
        <f>YEAR(Datos_Consumo[[#This Row],[FECHA]])&amp;"-"&amp;MONTH(Datos_Consumo[[#This Row],[FECHA]])</f>
        <v>2018-4</v>
      </c>
    </row>
    <row r="1025" spans="1:4" x14ac:dyDescent="0.25">
      <c r="A1025" t="s">
        <v>1780</v>
      </c>
      <c r="B1025">
        <v>14</v>
      </c>
      <c r="C1025" s="54">
        <v>43221</v>
      </c>
      <c r="D1025" s="3" t="str">
        <f>YEAR(Datos_Consumo[[#This Row],[FECHA]])&amp;"-"&amp;MONTH(Datos_Consumo[[#This Row],[FECHA]])</f>
        <v>2018-5</v>
      </c>
    </row>
    <row r="1026" spans="1:4" x14ac:dyDescent="0.25">
      <c r="A1026" t="s">
        <v>1781</v>
      </c>
      <c r="B1026">
        <v>4</v>
      </c>
      <c r="C1026" s="54">
        <v>43070</v>
      </c>
      <c r="D1026" s="3" t="str">
        <f>YEAR(Datos_Consumo[[#This Row],[FECHA]])&amp;"-"&amp;MONTH(Datos_Consumo[[#This Row],[FECHA]])</f>
        <v>2017-12</v>
      </c>
    </row>
    <row r="1027" spans="1:4" x14ac:dyDescent="0.25">
      <c r="A1027" t="s">
        <v>1781</v>
      </c>
      <c r="B1027">
        <v>9</v>
      </c>
      <c r="C1027" s="54">
        <v>43101</v>
      </c>
      <c r="D1027" s="3" t="str">
        <f>YEAR(Datos_Consumo[[#This Row],[FECHA]])&amp;"-"&amp;MONTH(Datos_Consumo[[#This Row],[FECHA]])</f>
        <v>2018-1</v>
      </c>
    </row>
    <row r="1028" spans="1:4" x14ac:dyDescent="0.25">
      <c r="A1028" t="s">
        <v>1781</v>
      </c>
      <c r="B1028">
        <v>6</v>
      </c>
      <c r="C1028" s="54">
        <v>43160</v>
      </c>
      <c r="D1028" s="3" t="str">
        <f>YEAR(Datos_Consumo[[#This Row],[FECHA]])&amp;"-"&amp;MONTH(Datos_Consumo[[#This Row],[FECHA]])</f>
        <v>2018-3</v>
      </c>
    </row>
    <row r="1029" spans="1:4" x14ac:dyDescent="0.25">
      <c r="A1029" t="s">
        <v>1781</v>
      </c>
      <c r="B1029">
        <v>8</v>
      </c>
      <c r="C1029" s="54">
        <v>43191</v>
      </c>
      <c r="D1029" s="3" t="str">
        <f>YEAR(Datos_Consumo[[#This Row],[FECHA]])&amp;"-"&amp;MONTH(Datos_Consumo[[#This Row],[FECHA]])</f>
        <v>2018-4</v>
      </c>
    </row>
    <row r="1030" spans="1:4" x14ac:dyDescent="0.25">
      <c r="A1030" t="s">
        <v>1782</v>
      </c>
      <c r="B1030">
        <v>18</v>
      </c>
      <c r="C1030" s="54">
        <v>43070</v>
      </c>
      <c r="D1030" s="3" t="str">
        <f>YEAR(Datos_Consumo[[#This Row],[FECHA]])&amp;"-"&amp;MONTH(Datos_Consumo[[#This Row],[FECHA]])</f>
        <v>2017-12</v>
      </c>
    </row>
    <row r="1031" spans="1:4" x14ac:dyDescent="0.25">
      <c r="A1031" t="s">
        <v>1782</v>
      </c>
      <c r="B1031">
        <v>16</v>
      </c>
      <c r="C1031" s="54">
        <v>43101</v>
      </c>
      <c r="D1031" s="3" t="str">
        <f>YEAR(Datos_Consumo[[#This Row],[FECHA]])&amp;"-"&amp;MONTH(Datos_Consumo[[#This Row],[FECHA]])</f>
        <v>2018-1</v>
      </c>
    </row>
    <row r="1032" spans="1:4" x14ac:dyDescent="0.25">
      <c r="A1032" t="s">
        <v>1782</v>
      </c>
      <c r="B1032">
        <v>5</v>
      </c>
      <c r="C1032" s="54">
        <v>43132</v>
      </c>
      <c r="D1032" s="3" t="str">
        <f>YEAR(Datos_Consumo[[#This Row],[FECHA]])&amp;"-"&amp;MONTH(Datos_Consumo[[#This Row],[FECHA]])</f>
        <v>2018-2</v>
      </c>
    </row>
    <row r="1033" spans="1:4" x14ac:dyDescent="0.25">
      <c r="A1033" t="s">
        <v>1782</v>
      </c>
      <c r="B1033">
        <v>22</v>
      </c>
      <c r="C1033" s="54">
        <v>43160</v>
      </c>
      <c r="D1033" s="3" t="str">
        <f>YEAR(Datos_Consumo[[#This Row],[FECHA]])&amp;"-"&amp;MONTH(Datos_Consumo[[#This Row],[FECHA]])</f>
        <v>2018-3</v>
      </c>
    </row>
    <row r="1034" spans="1:4" x14ac:dyDescent="0.25">
      <c r="A1034" t="s">
        <v>1782</v>
      </c>
      <c r="B1034">
        <v>22</v>
      </c>
      <c r="C1034" s="54">
        <v>43191</v>
      </c>
      <c r="D1034" s="3" t="str">
        <f>YEAR(Datos_Consumo[[#This Row],[FECHA]])&amp;"-"&amp;MONTH(Datos_Consumo[[#This Row],[FECHA]])</f>
        <v>2018-4</v>
      </c>
    </row>
    <row r="1035" spans="1:4" x14ac:dyDescent="0.25">
      <c r="A1035" t="s">
        <v>1782</v>
      </c>
      <c r="B1035">
        <v>4</v>
      </c>
      <c r="C1035" s="54">
        <v>43221</v>
      </c>
      <c r="D1035" s="3" t="str">
        <f>YEAR(Datos_Consumo[[#This Row],[FECHA]])&amp;"-"&amp;MONTH(Datos_Consumo[[#This Row],[FECHA]])</f>
        <v>2018-5</v>
      </c>
    </row>
    <row r="1036" spans="1:4" x14ac:dyDescent="0.25">
      <c r="A1036" t="s">
        <v>1783</v>
      </c>
      <c r="B1036">
        <v>10</v>
      </c>
      <c r="C1036" s="54">
        <v>43070</v>
      </c>
      <c r="D1036" s="3" t="str">
        <f>YEAR(Datos_Consumo[[#This Row],[FECHA]])&amp;"-"&amp;MONTH(Datos_Consumo[[#This Row],[FECHA]])</f>
        <v>2017-12</v>
      </c>
    </row>
    <row r="1037" spans="1:4" x14ac:dyDescent="0.25">
      <c r="A1037" t="s">
        <v>1783</v>
      </c>
      <c r="B1037">
        <v>6</v>
      </c>
      <c r="C1037" s="54">
        <v>43160</v>
      </c>
      <c r="D1037" s="3" t="str">
        <f>YEAR(Datos_Consumo[[#This Row],[FECHA]])&amp;"-"&amp;MONTH(Datos_Consumo[[#This Row],[FECHA]])</f>
        <v>2018-3</v>
      </c>
    </row>
    <row r="1038" spans="1:4" x14ac:dyDescent="0.25">
      <c r="A1038" t="s">
        <v>1783</v>
      </c>
      <c r="B1038">
        <v>11</v>
      </c>
      <c r="C1038" s="54">
        <v>43191</v>
      </c>
      <c r="D1038" s="3" t="str">
        <f>YEAR(Datos_Consumo[[#This Row],[FECHA]])&amp;"-"&amp;MONTH(Datos_Consumo[[#This Row],[FECHA]])</f>
        <v>2018-4</v>
      </c>
    </row>
    <row r="1039" spans="1:4" x14ac:dyDescent="0.25">
      <c r="A1039" t="s">
        <v>1784</v>
      </c>
      <c r="B1039">
        <v>2</v>
      </c>
      <c r="C1039" s="54">
        <v>43070</v>
      </c>
      <c r="D1039" s="3" t="str">
        <f>YEAR(Datos_Consumo[[#This Row],[FECHA]])&amp;"-"&amp;MONTH(Datos_Consumo[[#This Row],[FECHA]])</f>
        <v>2017-12</v>
      </c>
    </row>
    <row r="1040" spans="1:4" x14ac:dyDescent="0.25">
      <c r="A1040" t="s">
        <v>1784</v>
      </c>
      <c r="B1040">
        <v>5</v>
      </c>
      <c r="C1040" s="54">
        <v>43101</v>
      </c>
      <c r="D1040" s="3" t="str">
        <f>YEAR(Datos_Consumo[[#This Row],[FECHA]])&amp;"-"&amp;MONTH(Datos_Consumo[[#This Row],[FECHA]])</f>
        <v>2018-1</v>
      </c>
    </row>
    <row r="1041" spans="1:4" x14ac:dyDescent="0.25">
      <c r="A1041" t="s">
        <v>1784</v>
      </c>
      <c r="B1041">
        <v>5</v>
      </c>
      <c r="C1041" s="54">
        <v>43132</v>
      </c>
      <c r="D1041" s="3" t="str">
        <f>YEAR(Datos_Consumo[[#This Row],[FECHA]])&amp;"-"&amp;MONTH(Datos_Consumo[[#This Row],[FECHA]])</f>
        <v>2018-2</v>
      </c>
    </row>
    <row r="1042" spans="1:4" x14ac:dyDescent="0.25">
      <c r="A1042" t="s">
        <v>1784</v>
      </c>
      <c r="B1042">
        <v>6</v>
      </c>
      <c r="C1042" s="54">
        <v>43160</v>
      </c>
      <c r="D1042" s="3" t="str">
        <f>YEAR(Datos_Consumo[[#This Row],[FECHA]])&amp;"-"&amp;MONTH(Datos_Consumo[[#This Row],[FECHA]])</f>
        <v>2018-3</v>
      </c>
    </row>
    <row r="1043" spans="1:4" x14ac:dyDescent="0.25">
      <c r="A1043" t="s">
        <v>1784</v>
      </c>
      <c r="B1043">
        <v>3</v>
      </c>
      <c r="C1043" s="54">
        <v>43191</v>
      </c>
      <c r="D1043" s="3" t="str">
        <f>YEAR(Datos_Consumo[[#This Row],[FECHA]])&amp;"-"&amp;MONTH(Datos_Consumo[[#This Row],[FECHA]])</f>
        <v>2018-4</v>
      </c>
    </row>
    <row r="1044" spans="1:4" x14ac:dyDescent="0.25">
      <c r="A1044" t="s">
        <v>1784</v>
      </c>
      <c r="B1044">
        <v>2</v>
      </c>
      <c r="C1044" s="54">
        <v>43221</v>
      </c>
      <c r="D1044" s="3" t="str">
        <f>YEAR(Datos_Consumo[[#This Row],[FECHA]])&amp;"-"&amp;MONTH(Datos_Consumo[[#This Row],[FECHA]])</f>
        <v>2018-5</v>
      </c>
    </row>
    <row r="1045" spans="1:4" x14ac:dyDescent="0.25">
      <c r="A1045" t="s">
        <v>1785</v>
      </c>
      <c r="B1045">
        <v>8</v>
      </c>
      <c r="C1045" s="54">
        <v>43070</v>
      </c>
      <c r="D1045" s="3" t="str">
        <f>YEAR(Datos_Consumo[[#This Row],[FECHA]])&amp;"-"&amp;MONTH(Datos_Consumo[[#This Row],[FECHA]])</f>
        <v>2017-12</v>
      </c>
    </row>
    <row r="1046" spans="1:4" x14ac:dyDescent="0.25">
      <c r="A1046" t="s">
        <v>1785</v>
      </c>
      <c r="B1046">
        <v>1</v>
      </c>
      <c r="C1046" s="54">
        <v>43101</v>
      </c>
      <c r="D1046" s="3" t="str">
        <f>YEAR(Datos_Consumo[[#This Row],[FECHA]])&amp;"-"&amp;MONTH(Datos_Consumo[[#This Row],[FECHA]])</f>
        <v>2018-1</v>
      </c>
    </row>
    <row r="1047" spans="1:4" x14ac:dyDescent="0.25">
      <c r="A1047" t="s">
        <v>1785</v>
      </c>
      <c r="B1047">
        <v>2</v>
      </c>
      <c r="C1047" s="54">
        <v>43132</v>
      </c>
      <c r="D1047" s="3" t="str">
        <f>YEAR(Datos_Consumo[[#This Row],[FECHA]])&amp;"-"&amp;MONTH(Datos_Consumo[[#This Row],[FECHA]])</f>
        <v>2018-2</v>
      </c>
    </row>
    <row r="1048" spans="1:4" x14ac:dyDescent="0.25">
      <c r="A1048" t="s">
        <v>1785</v>
      </c>
      <c r="B1048">
        <v>2</v>
      </c>
      <c r="C1048" s="54">
        <v>43160</v>
      </c>
      <c r="D1048" s="3" t="str">
        <f>YEAR(Datos_Consumo[[#This Row],[FECHA]])&amp;"-"&amp;MONTH(Datos_Consumo[[#This Row],[FECHA]])</f>
        <v>2018-3</v>
      </c>
    </row>
    <row r="1049" spans="1:4" x14ac:dyDescent="0.25">
      <c r="A1049" t="s">
        <v>1785</v>
      </c>
      <c r="B1049">
        <v>2</v>
      </c>
      <c r="C1049" s="54">
        <v>43221</v>
      </c>
      <c r="D1049" s="3" t="str">
        <f>YEAR(Datos_Consumo[[#This Row],[FECHA]])&amp;"-"&amp;MONTH(Datos_Consumo[[#This Row],[FECHA]])</f>
        <v>2018-5</v>
      </c>
    </row>
    <row r="1050" spans="1:4" x14ac:dyDescent="0.25">
      <c r="A1050" t="s">
        <v>1786</v>
      </c>
      <c r="B1050">
        <v>18</v>
      </c>
      <c r="C1050" s="54">
        <v>43070</v>
      </c>
      <c r="D1050" s="3" t="str">
        <f>YEAR(Datos_Consumo[[#This Row],[FECHA]])&amp;"-"&amp;MONTH(Datos_Consumo[[#This Row],[FECHA]])</f>
        <v>2017-12</v>
      </c>
    </row>
    <row r="1051" spans="1:4" x14ac:dyDescent="0.25">
      <c r="A1051" t="s">
        <v>1786</v>
      </c>
      <c r="B1051">
        <v>1</v>
      </c>
      <c r="C1051" s="54">
        <v>43101</v>
      </c>
      <c r="D1051" s="3" t="str">
        <f>YEAR(Datos_Consumo[[#This Row],[FECHA]])&amp;"-"&amp;MONTH(Datos_Consumo[[#This Row],[FECHA]])</f>
        <v>2018-1</v>
      </c>
    </row>
    <row r="1052" spans="1:4" x14ac:dyDescent="0.25">
      <c r="A1052" t="s">
        <v>1786</v>
      </c>
      <c r="B1052">
        <v>7</v>
      </c>
      <c r="C1052" s="54">
        <v>43132</v>
      </c>
      <c r="D1052" s="3" t="str">
        <f>YEAR(Datos_Consumo[[#This Row],[FECHA]])&amp;"-"&amp;MONTH(Datos_Consumo[[#This Row],[FECHA]])</f>
        <v>2018-2</v>
      </c>
    </row>
    <row r="1053" spans="1:4" x14ac:dyDescent="0.25">
      <c r="A1053" t="s">
        <v>1786</v>
      </c>
      <c r="B1053">
        <v>5</v>
      </c>
      <c r="C1053" s="54">
        <v>43160</v>
      </c>
      <c r="D1053" s="3" t="str">
        <f>YEAR(Datos_Consumo[[#This Row],[FECHA]])&amp;"-"&amp;MONTH(Datos_Consumo[[#This Row],[FECHA]])</f>
        <v>2018-3</v>
      </c>
    </row>
    <row r="1054" spans="1:4" x14ac:dyDescent="0.25">
      <c r="A1054" t="s">
        <v>1786</v>
      </c>
      <c r="B1054">
        <v>10</v>
      </c>
      <c r="C1054" s="54">
        <v>43191</v>
      </c>
      <c r="D1054" s="3" t="str">
        <f>YEAR(Datos_Consumo[[#This Row],[FECHA]])&amp;"-"&amp;MONTH(Datos_Consumo[[#This Row],[FECHA]])</f>
        <v>2018-4</v>
      </c>
    </row>
    <row r="1055" spans="1:4" x14ac:dyDescent="0.25">
      <c r="A1055" t="s">
        <v>1786</v>
      </c>
      <c r="B1055">
        <v>2</v>
      </c>
      <c r="C1055" s="54">
        <v>43221</v>
      </c>
      <c r="D1055" s="3" t="str">
        <f>YEAR(Datos_Consumo[[#This Row],[FECHA]])&amp;"-"&amp;MONTH(Datos_Consumo[[#This Row],[FECHA]])</f>
        <v>2018-5</v>
      </c>
    </row>
    <row r="1056" spans="1:4" x14ac:dyDescent="0.25">
      <c r="A1056" t="s">
        <v>1787</v>
      </c>
      <c r="B1056">
        <v>8</v>
      </c>
      <c r="C1056" s="54">
        <v>43070</v>
      </c>
      <c r="D1056" s="3" t="str">
        <f>YEAR(Datos_Consumo[[#This Row],[FECHA]])&amp;"-"&amp;MONTH(Datos_Consumo[[#This Row],[FECHA]])</f>
        <v>2017-12</v>
      </c>
    </row>
    <row r="1057" spans="1:4" x14ac:dyDescent="0.25">
      <c r="A1057" t="s">
        <v>1787</v>
      </c>
      <c r="B1057">
        <v>1</v>
      </c>
      <c r="C1057" s="54">
        <v>43101</v>
      </c>
      <c r="D1057" s="3" t="str">
        <f>YEAR(Datos_Consumo[[#This Row],[FECHA]])&amp;"-"&amp;MONTH(Datos_Consumo[[#This Row],[FECHA]])</f>
        <v>2018-1</v>
      </c>
    </row>
    <row r="1058" spans="1:4" x14ac:dyDescent="0.25">
      <c r="A1058" t="s">
        <v>1787</v>
      </c>
      <c r="B1058">
        <v>1</v>
      </c>
      <c r="C1058" s="54">
        <v>43132</v>
      </c>
      <c r="D1058" s="3" t="str">
        <f>YEAR(Datos_Consumo[[#This Row],[FECHA]])&amp;"-"&amp;MONTH(Datos_Consumo[[#This Row],[FECHA]])</f>
        <v>2018-2</v>
      </c>
    </row>
    <row r="1059" spans="1:4" x14ac:dyDescent="0.25">
      <c r="A1059" t="s">
        <v>1787</v>
      </c>
      <c r="B1059">
        <v>5</v>
      </c>
      <c r="C1059" s="54">
        <v>43160</v>
      </c>
      <c r="D1059" s="3" t="str">
        <f>YEAR(Datos_Consumo[[#This Row],[FECHA]])&amp;"-"&amp;MONTH(Datos_Consumo[[#This Row],[FECHA]])</f>
        <v>2018-3</v>
      </c>
    </row>
    <row r="1060" spans="1:4" x14ac:dyDescent="0.25">
      <c r="A1060" t="s">
        <v>1787</v>
      </c>
      <c r="B1060">
        <v>2</v>
      </c>
      <c r="C1060" s="54">
        <v>43221</v>
      </c>
      <c r="D1060" s="3" t="str">
        <f>YEAR(Datos_Consumo[[#This Row],[FECHA]])&amp;"-"&amp;MONTH(Datos_Consumo[[#This Row],[FECHA]])</f>
        <v>2018-5</v>
      </c>
    </row>
    <row r="1061" spans="1:4" x14ac:dyDescent="0.25">
      <c r="A1061" t="s">
        <v>1788</v>
      </c>
      <c r="B1061">
        <v>2</v>
      </c>
      <c r="C1061" s="54">
        <v>43070</v>
      </c>
      <c r="D1061" s="3" t="str">
        <f>YEAR(Datos_Consumo[[#This Row],[FECHA]])&amp;"-"&amp;MONTH(Datos_Consumo[[#This Row],[FECHA]])</f>
        <v>2017-12</v>
      </c>
    </row>
    <row r="1062" spans="1:4" x14ac:dyDescent="0.25">
      <c r="A1062" t="s">
        <v>1789</v>
      </c>
      <c r="B1062">
        <v>5</v>
      </c>
      <c r="C1062" s="54">
        <v>43070</v>
      </c>
      <c r="D1062" s="3" t="str">
        <f>YEAR(Datos_Consumo[[#This Row],[FECHA]])&amp;"-"&amp;MONTH(Datos_Consumo[[#This Row],[FECHA]])</f>
        <v>2017-12</v>
      </c>
    </row>
    <row r="1063" spans="1:4" x14ac:dyDescent="0.25">
      <c r="A1063" t="s">
        <v>1789</v>
      </c>
      <c r="B1063">
        <v>4</v>
      </c>
      <c r="C1063" s="54">
        <v>43101</v>
      </c>
      <c r="D1063" s="3" t="str">
        <f>YEAR(Datos_Consumo[[#This Row],[FECHA]])&amp;"-"&amp;MONTH(Datos_Consumo[[#This Row],[FECHA]])</f>
        <v>2018-1</v>
      </c>
    </row>
    <row r="1064" spans="1:4" x14ac:dyDescent="0.25">
      <c r="A1064" t="s">
        <v>1789</v>
      </c>
      <c r="B1064">
        <v>2</v>
      </c>
      <c r="C1064" s="54">
        <v>43132</v>
      </c>
      <c r="D1064" s="3" t="str">
        <f>YEAR(Datos_Consumo[[#This Row],[FECHA]])&amp;"-"&amp;MONTH(Datos_Consumo[[#This Row],[FECHA]])</f>
        <v>2018-2</v>
      </c>
    </row>
    <row r="1065" spans="1:4" x14ac:dyDescent="0.25">
      <c r="A1065" t="s">
        <v>1789</v>
      </c>
      <c r="B1065">
        <v>2</v>
      </c>
      <c r="C1065" s="54">
        <v>43160</v>
      </c>
      <c r="D1065" s="3" t="str">
        <f>YEAR(Datos_Consumo[[#This Row],[FECHA]])&amp;"-"&amp;MONTH(Datos_Consumo[[#This Row],[FECHA]])</f>
        <v>2018-3</v>
      </c>
    </row>
    <row r="1066" spans="1:4" x14ac:dyDescent="0.25">
      <c r="A1066" t="s">
        <v>1789</v>
      </c>
      <c r="B1066">
        <v>2</v>
      </c>
      <c r="C1066" s="54">
        <v>43191</v>
      </c>
      <c r="D1066" s="3" t="str">
        <f>YEAR(Datos_Consumo[[#This Row],[FECHA]])&amp;"-"&amp;MONTH(Datos_Consumo[[#This Row],[FECHA]])</f>
        <v>2018-4</v>
      </c>
    </row>
    <row r="1067" spans="1:4" x14ac:dyDescent="0.25">
      <c r="A1067" t="s">
        <v>1790</v>
      </c>
      <c r="B1067">
        <v>10</v>
      </c>
      <c r="C1067" s="54">
        <v>43070</v>
      </c>
      <c r="D1067" s="3" t="str">
        <f>YEAR(Datos_Consumo[[#This Row],[FECHA]])&amp;"-"&amp;MONTH(Datos_Consumo[[#This Row],[FECHA]])</f>
        <v>2017-12</v>
      </c>
    </row>
    <row r="1068" spans="1:4" x14ac:dyDescent="0.25">
      <c r="A1068" t="s">
        <v>1790</v>
      </c>
      <c r="B1068">
        <v>3</v>
      </c>
      <c r="C1068" s="54">
        <v>43101</v>
      </c>
      <c r="D1068" s="3" t="str">
        <f>YEAR(Datos_Consumo[[#This Row],[FECHA]])&amp;"-"&amp;MONTH(Datos_Consumo[[#This Row],[FECHA]])</f>
        <v>2018-1</v>
      </c>
    </row>
    <row r="1069" spans="1:4" x14ac:dyDescent="0.25">
      <c r="A1069" t="s">
        <v>1790</v>
      </c>
      <c r="B1069">
        <v>5</v>
      </c>
      <c r="C1069" s="54">
        <v>43160</v>
      </c>
      <c r="D1069" s="3" t="str">
        <f>YEAR(Datos_Consumo[[#This Row],[FECHA]])&amp;"-"&amp;MONTH(Datos_Consumo[[#This Row],[FECHA]])</f>
        <v>2018-3</v>
      </c>
    </row>
    <row r="1070" spans="1:4" x14ac:dyDescent="0.25">
      <c r="A1070" t="s">
        <v>1790</v>
      </c>
      <c r="B1070">
        <v>3</v>
      </c>
      <c r="C1070" s="54">
        <v>43191</v>
      </c>
      <c r="D1070" s="3" t="str">
        <f>YEAR(Datos_Consumo[[#This Row],[FECHA]])&amp;"-"&amp;MONTH(Datos_Consumo[[#This Row],[FECHA]])</f>
        <v>2018-4</v>
      </c>
    </row>
    <row r="1071" spans="1:4" x14ac:dyDescent="0.25">
      <c r="A1071" t="s">
        <v>1791</v>
      </c>
      <c r="B1071">
        <v>2</v>
      </c>
      <c r="C1071" s="54">
        <v>43070</v>
      </c>
      <c r="D1071" s="3" t="str">
        <f>YEAR(Datos_Consumo[[#This Row],[FECHA]])&amp;"-"&amp;MONTH(Datos_Consumo[[#This Row],[FECHA]])</f>
        <v>2017-12</v>
      </c>
    </row>
    <row r="1072" spans="1:4" x14ac:dyDescent="0.25">
      <c r="A1072" t="s">
        <v>1791</v>
      </c>
      <c r="B1072">
        <v>2</v>
      </c>
      <c r="C1072" s="54">
        <v>43132</v>
      </c>
      <c r="D1072" s="3" t="str">
        <f>YEAR(Datos_Consumo[[#This Row],[FECHA]])&amp;"-"&amp;MONTH(Datos_Consumo[[#This Row],[FECHA]])</f>
        <v>2018-2</v>
      </c>
    </row>
    <row r="1073" spans="1:4" x14ac:dyDescent="0.25">
      <c r="A1073" t="s">
        <v>1791</v>
      </c>
      <c r="B1073">
        <v>2</v>
      </c>
      <c r="C1073" s="54">
        <v>43160</v>
      </c>
      <c r="D1073" s="3" t="str">
        <f>YEAR(Datos_Consumo[[#This Row],[FECHA]])&amp;"-"&amp;MONTH(Datos_Consumo[[#This Row],[FECHA]])</f>
        <v>2018-3</v>
      </c>
    </row>
    <row r="1074" spans="1:4" x14ac:dyDescent="0.25">
      <c r="A1074" t="s">
        <v>1792</v>
      </c>
      <c r="B1074">
        <v>25</v>
      </c>
      <c r="C1074" s="54">
        <v>43070</v>
      </c>
      <c r="D1074" s="3" t="str">
        <f>YEAR(Datos_Consumo[[#This Row],[FECHA]])&amp;"-"&amp;MONTH(Datos_Consumo[[#This Row],[FECHA]])</f>
        <v>2017-12</v>
      </c>
    </row>
    <row r="1075" spans="1:4" x14ac:dyDescent="0.25">
      <c r="A1075" t="s">
        <v>1792</v>
      </c>
      <c r="B1075">
        <v>18</v>
      </c>
      <c r="C1075" s="54">
        <v>43101</v>
      </c>
      <c r="D1075" s="3" t="str">
        <f>YEAR(Datos_Consumo[[#This Row],[FECHA]])&amp;"-"&amp;MONTH(Datos_Consumo[[#This Row],[FECHA]])</f>
        <v>2018-1</v>
      </c>
    </row>
    <row r="1076" spans="1:4" x14ac:dyDescent="0.25">
      <c r="A1076" t="s">
        <v>1792</v>
      </c>
      <c r="B1076">
        <v>14</v>
      </c>
      <c r="C1076" s="54">
        <v>43132</v>
      </c>
      <c r="D1076" s="3" t="str">
        <f>YEAR(Datos_Consumo[[#This Row],[FECHA]])&amp;"-"&amp;MONTH(Datos_Consumo[[#This Row],[FECHA]])</f>
        <v>2018-2</v>
      </c>
    </row>
    <row r="1077" spans="1:4" x14ac:dyDescent="0.25">
      <c r="A1077" t="s">
        <v>1792</v>
      </c>
      <c r="B1077">
        <v>8</v>
      </c>
      <c r="C1077" s="54">
        <v>43160</v>
      </c>
      <c r="D1077" s="3" t="str">
        <f>YEAR(Datos_Consumo[[#This Row],[FECHA]])&amp;"-"&amp;MONTH(Datos_Consumo[[#This Row],[FECHA]])</f>
        <v>2018-3</v>
      </c>
    </row>
    <row r="1078" spans="1:4" x14ac:dyDescent="0.25">
      <c r="A1078" t="s">
        <v>1792</v>
      </c>
      <c r="B1078">
        <v>2</v>
      </c>
      <c r="C1078" s="54">
        <v>43191</v>
      </c>
      <c r="D1078" s="3" t="str">
        <f>YEAR(Datos_Consumo[[#This Row],[FECHA]])&amp;"-"&amp;MONTH(Datos_Consumo[[#This Row],[FECHA]])</f>
        <v>2018-4</v>
      </c>
    </row>
    <row r="1079" spans="1:4" x14ac:dyDescent="0.25">
      <c r="A1079" t="s">
        <v>4048</v>
      </c>
      <c r="B1079">
        <v>2</v>
      </c>
      <c r="C1079" s="54">
        <v>43221</v>
      </c>
      <c r="D1079" s="3" t="str">
        <f>YEAR(Datos_Consumo[[#This Row],[FECHA]])&amp;"-"&amp;MONTH(Datos_Consumo[[#This Row],[FECHA]])</f>
        <v>2018-5</v>
      </c>
    </row>
    <row r="1080" spans="1:4" x14ac:dyDescent="0.25">
      <c r="A1080" t="s">
        <v>1793</v>
      </c>
      <c r="B1080">
        <v>1</v>
      </c>
      <c r="C1080" s="54">
        <v>43070</v>
      </c>
      <c r="D1080" s="3" t="str">
        <f>YEAR(Datos_Consumo[[#This Row],[FECHA]])&amp;"-"&amp;MONTH(Datos_Consumo[[#This Row],[FECHA]])</f>
        <v>2017-12</v>
      </c>
    </row>
    <row r="1081" spans="1:4" x14ac:dyDescent="0.25">
      <c r="A1081" t="s">
        <v>1794</v>
      </c>
      <c r="B1081">
        <v>7</v>
      </c>
      <c r="C1081" s="54">
        <v>43070</v>
      </c>
      <c r="D1081" s="3" t="str">
        <f>YEAR(Datos_Consumo[[#This Row],[FECHA]])&amp;"-"&amp;MONTH(Datos_Consumo[[#This Row],[FECHA]])</f>
        <v>2017-12</v>
      </c>
    </row>
    <row r="1082" spans="1:4" x14ac:dyDescent="0.25">
      <c r="A1082" t="s">
        <v>1794</v>
      </c>
      <c r="B1082">
        <v>3</v>
      </c>
      <c r="C1082" s="54">
        <v>43191</v>
      </c>
      <c r="D1082" s="3" t="str">
        <f>YEAR(Datos_Consumo[[#This Row],[FECHA]])&amp;"-"&amp;MONTH(Datos_Consumo[[#This Row],[FECHA]])</f>
        <v>2018-4</v>
      </c>
    </row>
    <row r="1083" spans="1:4" x14ac:dyDescent="0.25">
      <c r="A1083" t="s">
        <v>1794</v>
      </c>
      <c r="B1083">
        <v>1</v>
      </c>
      <c r="C1083" s="54">
        <v>43221</v>
      </c>
      <c r="D1083" s="3" t="str">
        <f>YEAR(Datos_Consumo[[#This Row],[FECHA]])&amp;"-"&amp;MONTH(Datos_Consumo[[#This Row],[FECHA]])</f>
        <v>2018-5</v>
      </c>
    </row>
    <row r="1084" spans="1:4" x14ac:dyDescent="0.25">
      <c r="A1084" t="s">
        <v>1795</v>
      </c>
      <c r="B1084">
        <v>3</v>
      </c>
      <c r="C1084" s="54">
        <v>43070</v>
      </c>
      <c r="D1084" s="3" t="str">
        <f>YEAR(Datos_Consumo[[#This Row],[FECHA]])&amp;"-"&amp;MONTH(Datos_Consumo[[#This Row],[FECHA]])</f>
        <v>2017-12</v>
      </c>
    </row>
    <row r="1085" spans="1:4" x14ac:dyDescent="0.25">
      <c r="A1085" t="s">
        <v>1795</v>
      </c>
      <c r="B1085">
        <v>46</v>
      </c>
      <c r="C1085" s="54">
        <v>43101</v>
      </c>
      <c r="D1085" s="3" t="str">
        <f>YEAR(Datos_Consumo[[#This Row],[FECHA]])&amp;"-"&amp;MONTH(Datos_Consumo[[#This Row],[FECHA]])</f>
        <v>2018-1</v>
      </c>
    </row>
    <row r="1086" spans="1:4" x14ac:dyDescent="0.25">
      <c r="A1086" t="s">
        <v>1795</v>
      </c>
      <c r="B1086">
        <v>15</v>
      </c>
      <c r="C1086" s="54">
        <v>43132</v>
      </c>
      <c r="D1086" s="3" t="str">
        <f>YEAR(Datos_Consumo[[#This Row],[FECHA]])&amp;"-"&amp;MONTH(Datos_Consumo[[#This Row],[FECHA]])</f>
        <v>2018-2</v>
      </c>
    </row>
    <row r="1087" spans="1:4" x14ac:dyDescent="0.25">
      <c r="A1087" t="s">
        <v>1795</v>
      </c>
      <c r="B1087">
        <v>6</v>
      </c>
      <c r="C1087" s="54">
        <v>43160</v>
      </c>
      <c r="D1087" s="3" t="str">
        <f>YEAR(Datos_Consumo[[#This Row],[FECHA]])&amp;"-"&amp;MONTH(Datos_Consumo[[#This Row],[FECHA]])</f>
        <v>2018-3</v>
      </c>
    </row>
    <row r="1088" spans="1:4" x14ac:dyDescent="0.25">
      <c r="A1088" t="s">
        <v>1795</v>
      </c>
      <c r="B1088">
        <v>104</v>
      </c>
      <c r="C1088" s="54">
        <v>43191</v>
      </c>
      <c r="D1088" s="3" t="str">
        <f>YEAR(Datos_Consumo[[#This Row],[FECHA]])&amp;"-"&amp;MONTH(Datos_Consumo[[#This Row],[FECHA]])</f>
        <v>2018-4</v>
      </c>
    </row>
    <row r="1089" spans="1:4" x14ac:dyDescent="0.25">
      <c r="A1089" t="s">
        <v>1795</v>
      </c>
      <c r="B1089">
        <v>11</v>
      </c>
      <c r="C1089" s="54">
        <v>43221</v>
      </c>
      <c r="D1089" s="3" t="str">
        <f>YEAR(Datos_Consumo[[#This Row],[FECHA]])&amp;"-"&amp;MONTH(Datos_Consumo[[#This Row],[FECHA]])</f>
        <v>2018-5</v>
      </c>
    </row>
    <row r="1090" spans="1:4" x14ac:dyDescent="0.25">
      <c r="A1090" t="s">
        <v>1796</v>
      </c>
      <c r="B1090">
        <v>33</v>
      </c>
      <c r="C1090" s="54">
        <v>43070</v>
      </c>
      <c r="D1090" s="3" t="str">
        <f>YEAR(Datos_Consumo[[#This Row],[FECHA]])&amp;"-"&amp;MONTH(Datos_Consumo[[#This Row],[FECHA]])</f>
        <v>2017-12</v>
      </c>
    </row>
    <row r="1091" spans="1:4" x14ac:dyDescent="0.25">
      <c r="A1091" t="s">
        <v>1796</v>
      </c>
      <c r="B1091">
        <v>47</v>
      </c>
      <c r="C1091" s="54">
        <v>43101</v>
      </c>
      <c r="D1091" s="3" t="str">
        <f>YEAR(Datos_Consumo[[#This Row],[FECHA]])&amp;"-"&amp;MONTH(Datos_Consumo[[#This Row],[FECHA]])</f>
        <v>2018-1</v>
      </c>
    </row>
    <row r="1092" spans="1:4" x14ac:dyDescent="0.25">
      <c r="A1092" t="s">
        <v>1796</v>
      </c>
      <c r="B1092">
        <v>66</v>
      </c>
      <c r="C1092" s="54">
        <v>43132</v>
      </c>
      <c r="D1092" s="3" t="str">
        <f>YEAR(Datos_Consumo[[#This Row],[FECHA]])&amp;"-"&amp;MONTH(Datos_Consumo[[#This Row],[FECHA]])</f>
        <v>2018-2</v>
      </c>
    </row>
    <row r="1093" spans="1:4" x14ac:dyDescent="0.25">
      <c r="A1093" t="s">
        <v>1796</v>
      </c>
      <c r="B1093">
        <v>75</v>
      </c>
      <c r="C1093" s="54">
        <v>43160</v>
      </c>
      <c r="D1093" s="3" t="str">
        <f>YEAR(Datos_Consumo[[#This Row],[FECHA]])&amp;"-"&amp;MONTH(Datos_Consumo[[#This Row],[FECHA]])</f>
        <v>2018-3</v>
      </c>
    </row>
    <row r="1094" spans="1:4" x14ac:dyDescent="0.25">
      <c r="A1094" t="s">
        <v>1796</v>
      </c>
      <c r="B1094">
        <v>9</v>
      </c>
      <c r="C1094" s="54">
        <v>43191</v>
      </c>
      <c r="D1094" s="3" t="str">
        <f>YEAR(Datos_Consumo[[#This Row],[FECHA]])&amp;"-"&amp;MONTH(Datos_Consumo[[#This Row],[FECHA]])</f>
        <v>2018-4</v>
      </c>
    </row>
    <row r="1095" spans="1:4" x14ac:dyDescent="0.25">
      <c r="A1095" t="s">
        <v>4049</v>
      </c>
      <c r="B1095">
        <v>2</v>
      </c>
      <c r="C1095" s="54">
        <v>43221</v>
      </c>
      <c r="D1095" s="3" t="str">
        <f>YEAR(Datos_Consumo[[#This Row],[FECHA]])&amp;"-"&amp;MONTH(Datos_Consumo[[#This Row],[FECHA]])</f>
        <v>2018-5</v>
      </c>
    </row>
    <row r="1096" spans="1:4" x14ac:dyDescent="0.25">
      <c r="A1096" t="s">
        <v>1797</v>
      </c>
      <c r="B1096">
        <v>48</v>
      </c>
      <c r="C1096" s="54">
        <v>43070</v>
      </c>
      <c r="D1096" s="3" t="str">
        <f>YEAR(Datos_Consumo[[#This Row],[FECHA]])&amp;"-"&amp;MONTH(Datos_Consumo[[#This Row],[FECHA]])</f>
        <v>2017-12</v>
      </c>
    </row>
    <row r="1097" spans="1:4" x14ac:dyDescent="0.25">
      <c r="A1097" t="s">
        <v>1797</v>
      </c>
      <c r="B1097">
        <v>2</v>
      </c>
      <c r="C1097" s="54">
        <v>43101</v>
      </c>
      <c r="D1097" s="3" t="str">
        <f>YEAR(Datos_Consumo[[#This Row],[FECHA]])&amp;"-"&amp;MONTH(Datos_Consumo[[#This Row],[FECHA]])</f>
        <v>2018-1</v>
      </c>
    </row>
    <row r="1098" spans="1:4" x14ac:dyDescent="0.25">
      <c r="A1098" t="s">
        <v>1797</v>
      </c>
      <c r="B1098">
        <v>1</v>
      </c>
      <c r="C1098" s="54">
        <v>43132</v>
      </c>
      <c r="D1098" s="3" t="str">
        <f>YEAR(Datos_Consumo[[#This Row],[FECHA]])&amp;"-"&amp;MONTH(Datos_Consumo[[#This Row],[FECHA]])</f>
        <v>2018-2</v>
      </c>
    </row>
    <row r="1099" spans="1:4" x14ac:dyDescent="0.25">
      <c r="A1099" t="s">
        <v>1797</v>
      </c>
      <c r="B1099">
        <v>1</v>
      </c>
      <c r="C1099" s="54">
        <v>43160</v>
      </c>
      <c r="D1099" s="3" t="str">
        <f>YEAR(Datos_Consumo[[#This Row],[FECHA]])&amp;"-"&amp;MONTH(Datos_Consumo[[#This Row],[FECHA]])</f>
        <v>2018-3</v>
      </c>
    </row>
    <row r="1100" spans="1:4" x14ac:dyDescent="0.25">
      <c r="A1100" t="s">
        <v>1797</v>
      </c>
      <c r="B1100">
        <v>48</v>
      </c>
      <c r="C1100" s="54">
        <v>43191</v>
      </c>
      <c r="D1100" s="3" t="str">
        <f>YEAR(Datos_Consumo[[#This Row],[FECHA]])&amp;"-"&amp;MONTH(Datos_Consumo[[#This Row],[FECHA]])</f>
        <v>2018-4</v>
      </c>
    </row>
    <row r="1101" spans="1:4" x14ac:dyDescent="0.25">
      <c r="A1101" t="s">
        <v>1798</v>
      </c>
      <c r="B1101">
        <v>2</v>
      </c>
      <c r="C1101" s="54">
        <v>43101</v>
      </c>
      <c r="D1101" s="3" t="str">
        <f>YEAR(Datos_Consumo[[#This Row],[FECHA]])&amp;"-"&amp;MONTH(Datos_Consumo[[#This Row],[FECHA]])</f>
        <v>2018-1</v>
      </c>
    </row>
    <row r="1102" spans="1:4" x14ac:dyDescent="0.25">
      <c r="A1102" t="s">
        <v>1798</v>
      </c>
      <c r="B1102">
        <v>3</v>
      </c>
      <c r="C1102" s="54">
        <v>43132</v>
      </c>
      <c r="D1102" s="3" t="str">
        <f>YEAR(Datos_Consumo[[#This Row],[FECHA]])&amp;"-"&amp;MONTH(Datos_Consumo[[#This Row],[FECHA]])</f>
        <v>2018-2</v>
      </c>
    </row>
    <row r="1103" spans="1:4" x14ac:dyDescent="0.25">
      <c r="A1103" t="s">
        <v>1798</v>
      </c>
      <c r="B1103">
        <v>4</v>
      </c>
      <c r="C1103" s="54">
        <v>43160</v>
      </c>
      <c r="D1103" s="3" t="str">
        <f>YEAR(Datos_Consumo[[#This Row],[FECHA]])&amp;"-"&amp;MONTH(Datos_Consumo[[#This Row],[FECHA]])</f>
        <v>2018-3</v>
      </c>
    </row>
    <row r="1104" spans="1:4" x14ac:dyDescent="0.25">
      <c r="A1104" t="s">
        <v>1799</v>
      </c>
      <c r="B1104">
        <v>4</v>
      </c>
      <c r="C1104" s="54">
        <v>43191</v>
      </c>
      <c r="D1104" s="3" t="str">
        <f>YEAR(Datos_Consumo[[#This Row],[FECHA]])&amp;"-"&amp;MONTH(Datos_Consumo[[#This Row],[FECHA]])</f>
        <v>2018-4</v>
      </c>
    </row>
    <row r="1105" spans="1:4" x14ac:dyDescent="0.25">
      <c r="A1105" t="s">
        <v>1800</v>
      </c>
      <c r="B1105">
        <v>1</v>
      </c>
      <c r="C1105" s="54">
        <v>43101</v>
      </c>
      <c r="D1105" s="3" t="str">
        <f>YEAR(Datos_Consumo[[#This Row],[FECHA]])&amp;"-"&amp;MONTH(Datos_Consumo[[#This Row],[FECHA]])</f>
        <v>2018-1</v>
      </c>
    </row>
    <row r="1106" spans="1:4" x14ac:dyDescent="0.25">
      <c r="A1106" t="s">
        <v>1801</v>
      </c>
      <c r="B1106">
        <v>4</v>
      </c>
      <c r="C1106" s="54">
        <v>43070</v>
      </c>
      <c r="D1106" s="3" t="str">
        <f>YEAR(Datos_Consumo[[#This Row],[FECHA]])&amp;"-"&amp;MONTH(Datos_Consumo[[#This Row],[FECHA]])</f>
        <v>2017-12</v>
      </c>
    </row>
    <row r="1107" spans="1:4" x14ac:dyDescent="0.25">
      <c r="A1107" t="s">
        <v>1801</v>
      </c>
      <c r="B1107">
        <v>11</v>
      </c>
      <c r="C1107" s="54">
        <v>43101</v>
      </c>
      <c r="D1107" s="3" t="str">
        <f>YEAR(Datos_Consumo[[#This Row],[FECHA]])&amp;"-"&amp;MONTH(Datos_Consumo[[#This Row],[FECHA]])</f>
        <v>2018-1</v>
      </c>
    </row>
    <row r="1108" spans="1:4" x14ac:dyDescent="0.25">
      <c r="A1108" t="s">
        <v>1801</v>
      </c>
      <c r="B1108">
        <v>2</v>
      </c>
      <c r="C1108" s="54">
        <v>43132</v>
      </c>
      <c r="D1108" s="3" t="str">
        <f>YEAR(Datos_Consumo[[#This Row],[FECHA]])&amp;"-"&amp;MONTH(Datos_Consumo[[#This Row],[FECHA]])</f>
        <v>2018-2</v>
      </c>
    </row>
    <row r="1109" spans="1:4" x14ac:dyDescent="0.25">
      <c r="A1109" t="s">
        <v>1801</v>
      </c>
      <c r="B1109">
        <v>5</v>
      </c>
      <c r="C1109" s="54">
        <v>43191</v>
      </c>
      <c r="D1109" s="3" t="str">
        <f>YEAR(Datos_Consumo[[#This Row],[FECHA]])&amp;"-"&amp;MONTH(Datos_Consumo[[#This Row],[FECHA]])</f>
        <v>2018-4</v>
      </c>
    </row>
    <row r="1110" spans="1:4" x14ac:dyDescent="0.25">
      <c r="A1110" t="s">
        <v>1801</v>
      </c>
      <c r="B1110">
        <v>3</v>
      </c>
      <c r="C1110" s="54">
        <v>43221</v>
      </c>
      <c r="D1110" s="3" t="str">
        <f>YEAR(Datos_Consumo[[#This Row],[FECHA]])&amp;"-"&amp;MONTH(Datos_Consumo[[#This Row],[FECHA]])</f>
        <v>2018-5</v>
      </c>
    </row>
    <row r="1111" spans="1:4" x14ac:dyDescent="0.25">
      <c r="A1111" t="s">
        <v>1802</v>
      </c>
      <c r="B1111">
        <v>29</v>
      </c>
      <c r="C1111" s="54">
        <v>43101</v>
      </c>
      <c r="D1111" s="3" t="str">
        <f>YEAR(Datos_Consumo[[#This Row],[FECHA]])&amp;"-"&amp;MONTH(Datos_Consumo[[#This Row],[FECHA]])</f>
        <v>2018-1</v>
      </c>
    </row>
    <row r="1112" spans="1:4" x14ac:dyDescent="0.25">
      <c r="A1112" t="s">
        <v>1802</v>
      </c>
      <c r="B1112">
        <v>1</v>
      </c>
      <c r="C1112" s="54">
        <v>43132</v>
      </c>
      <c r="D1112" s="3" t="str">
        <f>YEAR(Datos_Consumo[[#This Row],[FECHA]])&amp;"-"&amp;MONTH(Datos_Consumo[[#This Row],[FECHA]])</f>
        <v>2018-2</v>
      </c>
    </row>
    <row r="1113" spans="1:4" x14ac:dyDescent="0.25">
      <c r="A1113" t="s">
        <v>1802</v>
      </c>
      <c r="B1113">
        <v>7</v>
      </c>
      <c r="C1113" s="54">
        <v>43160</v>
      </c>
      <c r="D1113" s="3" t="str">
        <f>YEAR(Datos_Consumo[[#This Row],[FECHA]])&amp;"-"&amp;MONTH(Datos_Consumo[[#This Row],[FECHA]])</f>
        <v>2018-3</v>
      </c>
    </row>
    <row r="1114" spans="1:4" x14ac:dyDescent="0.25">
      <c r="A1114" t="s">
        <v>1802</v>
      </c>
      <c r="B1114">
        <v>2</v>
      </c>
      <c r="C1114" s="54">
        <v>43191</v>
      </c>
      <c r="D1114" s="3" t="str">
        <f>YEAR(Datos_Consumo[[#This Row],[FECHA]])&amp;"-"&amp;MONTH(Datos_Consumo[[#This Row],[FECHA]])</f>
        <v>2018-4</v>
      </c>
    </row>
    <row r="1115" spans="1:4" x14ac:dyDescent="0.25">
      <c r="A1115" t="s">
        <v>1803</v>
      </c>
      <c r="B1115">
        <v>26</v>
      </c>
      <c r="C1115" s="54">
        <v>43070</v>
      </c>
      <c r="D1115" s="3" t="str">
        <f>YEAR(Datos_Consumo[[#This Row],[FECHA]])&amp;"-"&amp;MONTH(Datos_Consumo[[#This Row],[FECHA]])</f>
        <v>2017-12</v>
      </c>
    </row>
    <row r="1116" spans="1:4" x14ac:dyDescent="0.25">
      <c r="A1116" t="s">
        <v>1803</v>
      </c>
      <c r="B1116">
        <v>15</v>
      </c>
      <c r="C1116" s="54">
        <v>43101</v>
      </c>
      <c r="D1116" s="3" t="str">
        <f>YEAR(Datos_Consumo[[#This Row],[FECHA]])&amp;"-"&amp;MONTH(Datos_Consumo[[#This Row],[FECHA]])</f>
        <v>2018-1</v>
      </c>
    </row>
    <row r="1117" spans="1:4" x14ac:dyDescent="0.25">
      <c r="A1117" t="s">
        <v>1803</v>
      </c>
      <c r="B1117">
        <v>35</v>
      </c>
      <c r="C1117" s="54">
        <v>43132</v>
      </c>
      <c r="D1117" s="3" t="str">
        <f>YEAR(Datos_Consumo[[#This Row],[FECHA]])&amp;"-"&amp;MONTH(Datos_Consumo[[#This Row],[FECHA]])</f>
        <v>2018-2</v>
      </c>
    </row>
    <row r="1118" spans="1:4" x14ac:dyDescent="0.25">
      <c r="A1118" t="s">
        <v>1803</v>
      </c>
      <c r="B1118">
        <v>41</v>
      </c>
      <c r="C1118" s="54">
        <v>43160</v>
      </c>
      <c r="D1118" s="3" t="str">
        <f>YEAR(Datos_Consumo[[#This Row],[FECHA]])&amp;"-"&amp;MONTH(Datos_Consumo[[#This Row],[FECHA]])</f>
        <v>2018-3</v>
      </c>
    </row>
    <row r="1119" spans="1:4" x14ac:dyDescent="0.25">
      <c r="A1119" t="s">
        <v>1803</v>
      </c>
      <c r="B1119">
        <v>33</v>
      </c>
      <c r="C1119" s="54">
        <v>43191</v>
      </c>
      <c r="D1119" s="3" t="str">
        <f>YEAR(Datos_Consumo[[#This Row],[FECHA]])&amp;"-"&amp;MONTH(Datos_Consumo[[#This Row],[FECHA]])</f>
        <v>2018-4</v>
      </c>
    </row>
    <row r="1120" spans="1:4" x14ac:dyDescent="0.25">
      <c r="A1120" t="s">
        <v>1803</v>
      </c>
      <c r="B1120">
        <v>12</v>
      </c>
      <c r="C1120" s="54">
        <v>43221</v>
      </c>
      <c r="D1120" s="3" t="str">
        <f>YEAR(Datos_Consumo[[#This Row],[FECHA]])&amp;"-"&amp;MONTH(Datos_Consumo[[#This Row],[FECHA]])</f>
        <v>2018-5</v>
      </c>
    </row>
    <row r="1121" spans="1:4" x14ac:dyDescent="0.25">
      <c r="A1121" t="s">
        <v>1804</v>
      </c>
      <c r="B1121">
        <v>3</v>
      </c>
      <c r="C1121" s="54">
        <v>43191</v>
      </c>
      <c r="D1121" s="3" t="str">
        <f>YEAR(Datos_Consumo[[#This Row],[FECHA]])&amp;"-"&amp;MONTH(Datos_Consumo[[#This Row],[FECHA]])</f>
        <v>2018-4</v>
      </c>
    </row>
    <row r="1122" spans="1:4" x14ac:dyDescent="0.25">
      <c r="A1122" t="s">
        <v>1805</v>
      </c>
      <c r="B1122">
        <v>2</v>
      </c>
      <c r="C1122" s="54">
        <v>43101</v>
      </c>
      <c r="D1122" s="3" t="str">
        <f>YEAR(Datos_Consumo[[#This Row],[FECHA]])&amp;"-"&amp;MONTH(Datos_Consumo[[#This Row],[FECHA]])</f>
        <v>2018-1</v>
      </c>
    </row>
    <row r="1123" spans="1:4" x14ac:dyDescent="0.25">
      <c r="A1123" t="s">
        <v>1805</v>
      </c>
      <c r="B1123">
        <v>3</v>
      </c>
      <c r="C1123" s="54">
        <v>43132</v>
      </c>
      <c r="D1123" s="3" t="str">
        <f>YEAR(Datos_Consumo[[#This Row],[FECHA]])&amp;"-"&amp;MONTH(Datos_Consumo[[#This Row],[FECHA]])</f>
        <v>2018-2</v>
      </c>
    </row>
    <row r="1124" spans="1:4" x14ac:dyDescent="0.25">
      <c r="A1124" t="s">
        <v>1806</v>
      </c>
      <c r="B1124">
        <v>2</v>
      </c>
      <c r="C1124" s="54">
        <v>43191</v>
      </c>
      <c r="D1124" s="3" t="str">
        <f>YEAR(Datos_Consumo[[#This Row],[FECHA]])&amp;"-"&amp;MONTH(Datos_Consumo[[#This Row],[FECHA]])</f>
        <v>2018-4</v>
      </c>
    </row>
    <row r="1125" spans="1:4" x14ac:dyDescent="0.25">
      <c r="A1125" t="s">
        <v>1807</v>
      </c>
      <c r="B1125">
        <v>16</v>
      </c>
      <c r="C1125" s="54">
        <v>43160</v>
      </c>
      <c r="D1125" s="3" t="str">
        <f>YEAR(Datos_Consumo[[#This Row],[FECHA]])&amp;"-"&amp;MONTH(Datos_Consumo[[#This Row],[FECHA]])</f>
        <v>2018-3</v>
      </c>
    </row>
    <row r="1126" spans="1:4" x14ac:dyDescent="0.25">
      <c r="A1126" t="s">
        <v>1808</v>
      </c>
      <c r="B1126">
        <v>1</v>
      </c>
      <c r="C1126" s="54">
        <v>43132</v>
      </c>
      <c r="D1126" s="3" t="str">
        <f>YEAR(Datos_Consumo[[#This Row],[FECHA]])&amp;"-"&amp;MONTH(Datos_Consumo[[#This Row],[FECHA]])</f>
        <v>2018-2</v>
      </c>
    </row>
    <row r="1127" spans="1:4" x14ac:dyDescent="0.25">
      <c r="A1127" t="s">
        <v>1808</v>
      </c>
      <c r="B1127">
        <v>3</v>
      </c>
      <c r="C1127" s="54">
        <v>43191</v>
      </c>
      <c r="D1127" s="3" t="str">
        <f>YEAR(Datos_Consumo[[#This Row],[FECHA]])&amp;"-"&amp;MONTH(Datos_Consumo[[#This Row],[FECHA]])</f>
        <v>2018-4</v>
      </c>
    </row>
    <row r="1128" spans="1:4" x14ac:dyDescent="0.25">
      <c r="A1128" t="s">
        <v>1809</v>
      </c>
      <c r="B1128">
        <v>2</v>
      </c>
      <c r="C1128" s="54">
        <v>43101</v>
      </c>
      <c r="D1128" s="3" t="str">
        <f>YEAR(Datos_Consumo[[#This Row],[FECHA]])&amp;"-"&amp;MONTH(Datos_Consumo[[#This Row],[FECHA]])</f>
        <v>2018-1</v>
      </c>
    </row>
    <row r="1129" spans="1:4" x14ac:dyDescent="0.25">
      <c r="A1129" t="s">
        <v>1809</v>
      </c>
      <c r="B1129">
        <v>1</v>
      </c>
      <c r="C1129" s="54">
        <v>43160</v>
      </c>
      <c r="D1129" s="3" t="str">
        <f>YEAR(Datos_Consumo[[#This Row],[FECHA]])&amp;"-"&amp;MONTH(Datos_Consumo[[#This Row],[FECHA]])</f>
        <v>2018-3</v>
      </c>
    </row>
    <row r="1130" spans="1:4" x14ac:dyDescent="0.25">
      <c r="A1130" t="s">
        <v>1810</v>
      </c>
      <c r="B1130">
        <v>4</v>
      </c>
      <c r="C1130" s="54">
        <v>43160</v>
      </c>
      <c r="D1130" s="3" t="str">
        <f>YEAR(Datos_Consumo[[#This Row],[FECHA]])&amp;"-"&amp;MONTH(Datos_Consumo[[#This Row],[FECHA]])</f>
        <v>2018-3</v>
      </c>
    </row>
    <row r="1131" spans="1:4" x14ac:dyDescent="0.25">
      <c r="A1131" t="s">
        <v>1810</v>
      </c>
      <c r="B1131">
        <v>1</v>
      </c>
      <c r="C1131" s="54">
        <v>43191</v>
      </c>
      <c r="D1131" s="3" t="str">
        <f>YEAR(Datos_Consumo[[#This Row],[FECHA]])&amp;"-"&amp;MONTH(Datos_Consumo[[#This Row],[FECHA]])</f>
        <v>2018-4</v>
      </c>
    </row>
    <row r="1132" spans="1:4" x14ac:dyDescent="0.25">
      <c r="A1132" t="s">
        <v>1811</v>
      </c>
      <c r="B1132">
        <v>4</v>
      </c>
      <c r="C1132" s="54">
        <v>43070</v>
      </c>
      <c r="D1132" s="3" t="str">
        <f>YEAR(Datos_Consumo[[#This Row],[FECHA]])&amp;"-"&amp;MONTH(Datos_Consumo[[#This Row],[FECHA]])</f>
        <v>2017-12</v>
      </c>
    </row>
    <row r="1133" spans="1:4" x14ac:dyDescent="0.25">
      <c r="A1133" t="s">
        <v>1811</v>
      </c>
      <c r="B1133">
        <v>5</v>
      </c>
      <c r="C1133" s="54">
        <v>43101</v>
      </c>
      <c r="D1133" s="3" t="str">
        <f>YEAR(Datos_Consumo[[#This Row],[FECHA]])&amp;"-"&amp;MONTH(Datos_Consumo[[#This Row],[FECHA]])</f>
        <v>2018-1</v>
      </c>
    </row>
    <row r="1134" spans="1:4" x14ac:dyDescent="0.25">
      <c r="A1134" t="s">
        <v>1811</v>
      </c>
      <c r="B1134">
        <v>6</v>
      </c>
      <c r="C1134" s="54">
        <v>43132</v>
      </c>
      <c r="D1134" s="3" t="str">
        <f>YEAR(Datos_Consumo[[#This Row],[FECHA]])&amp;"-"&amp;MONTH(Datos_Consumo[[#This Row],[FECHA]])</f>
        <v>2018-2</v>
      </c>
    </row>
    <row r="1135" spans="1:4" x14ac:dyDescent="0.25">
      <c r="A1135" t="s">
        <v>1811</v>
      </c>
      <c r="B1135">
        <v>39</v>
      </c>
      <c r="C1135" s="54">
        <v>43160</v>
      </c>
      <c r="D1135" s="3" t="str">
        <f>YEAR(Datos_Consumo[[#This Row],[FECHA]])&amp;"-"&amp;MONTH(Datos_Consumo[[#This Row],[FECHA]])</f>
        <v>2018-3</v>
      </c>
    </row>
    <row r="1136" spans="1:4" x14ac:dyDescent="0.25">
      <c r="A1136" t="s">
        <v>1811</v>
      </c>
      <c r="B1136">
        <v>1</v>
      </c>
      <c r="C1136" s="54">
        <v>43191</v>
      </c>
      <c r="D1136" s="3" t="str">
        <f>YEAR(Datos_Consumo[[#This Row],[FECHA]])&amp;"-"&amp;MONTH(Datos_Consumo[[#This Row],[FECHA]])</f>
        <v>2018-4</v>
      </c>
    </row>
    <row r="1137" spans="1:4" x14ac:dyDescent="0.25">
      <c r="A1137" t="s">
        <v>1811</v>
      </c>
      <c r="B1137">
        <v>1</v>
      </c>
      <c r="C1137" s="54">
        <v>43221</v>
      </c>
      <c r="D1137" s="3" t="str">
        <f>YEAR(Datos_Consumo[[#This Row],[FECHA]])&amp;"-"&amp;MONTH(Datos_Consumo[[#This Row],[FECHA]])</f>
        <v>2018-5</v>
      </c>
    </row>
    <row r="1138" spans="1:4" x14ac:dyDescent="0.25">
      <c r="A1138" t="s">
        <v>1812</v>
      </c>
      <c r="B1138">
        <v>7</v>
      </c>
      <c r="C1138" s="54">
        <v>43070</v>
      </c>
      <c r="D1138" s="3" t="str">
        <f>YEAR(Datos_Consumo[[#This Row],[FECHA]])&amp;"-"&amp;MONTH(Datos_Consumo[[#This Row],[FECHA]])</f>
        <v>2017-12</v>
      </c>
    </row>
    <row r="1139" spans="1:4" x14ac:dyDescent="0.25">
      <c r="A1139" t="s">
        <v>1812</v>
      </c>
      <c r="B1139">
        <v>1</v>
      </c>
      <c r="C1139" s="54">
        <v>43101</v>
      </c>
      <c r="D1139" s="3" t="str">
        <f>YEAR(Datos_Consumo[[#This Row],[FECHA]])&amp;"-"&amp;MONTH(Datos_Consumo[[#This Row],[FECHA]])</f>
        <v>2018-1</v>
      </c>
    </row>
    <row r="1140" spans="1:4" x14ac:dyDescent="0.25">
      <c r="A1140" t="s">
        <v>1812</v>
      </c>
      <c r="B1140">
        <v>3</v>
      </c>
      <c r="C1140" s="54">
        <v>43132</v>
      </c>
      <c r="D1140" s="3" t="str">
        <f>YEAR(Datos_Consumo[[#This Row],[FECHA]])&amp;"-"&amp;MONTH(Datos_Consumo[[#This Row],[FECHA]])</f>
        <v>2018-2</v>
      </c>
    </row>
    <row r="1141" spans="1:4" x14ac:dyDescent="0.25">
      <c r="A1141" t="s">
        <v>1812</v>
      </c>
      <c r="B1141">
        <v>9</v>
      </c>
      <c r="C1141" s="54">
        <v>43160</v>
      </c>
      <c r="D1141" s="3" t="str">
        <f>YEAR(Datos_Consumo[[#This Row],[FECHA]])&amp;"-"&amp;MONTH(Datos_Consumo[[#This Row],[FECHA]])</f>
        <v>2018-3</v>
      </c>
    </row>
    <row r="1142" spans="1:4" x14ac:dyDescent="0.25">
      <c r="A1142" t="s">
        <v>1812</v>
      </c>
      <c r="B1142">
        <v>6</v>
      </c>
      <c r="C1142" s="54">
        <v>43191</v>
      </c>
      <c r="D1142" s="3" t="str">
        <f>YEAR(Datos_Consumo[[#This Row],[FECHA]])&amp;"-"&amp;MONTH(Datos_Consumo[[#This Row],[FECHA]])</f>
        <v>2018-4</v>
      </c>
    </row>
    <row r="1143" spans="1:4" x14ac:dyDescent="0.25">
      <c r="A1143" t="s">
        <v>1812</v>
      </c>
      <c r="B1143">
        <v>7</v>
      </c>
      <c r="C1143" s="54">
        <v>43221</v>
      </c>
      <c r="D1143" s="3" t="str">
        <f>YEAR(Datos_Consumo[[#This Row],[FECHA]])&amp;"-"&amp;MONTH(Datos_Consumo[[#This Row],[FECHA]])</f>
        <v>2018-5</v>
      </c>
    </row>
    <row r="1144" spans="1:4" x14ac:dyDescent="0.25">
      <c r="A1144" t="s">
        <v>1813</v>
      </c>
      <c r="B1144">
        <v>15</v>
      </c>
      <c r="C1144" s="54">
        <v>43070</v>
      </c>
      <c r="D1144" s="3" t="str">
        <f>YEAR(Datos_Consumo[[#This Row],[FECHA]])&amp;"-"&amp;MONTH(Datos_Consumo[[#This Row],[FECHA]])</f>
        <v>2017-12</v>
      </c>
    </row>
    <row r="1145" spans="1:4" x14ac:dyDescent="0.25">
      <c r="A1145" t="s">
        <v>1813</v>
      </c>
      <c r="B1145">
        <v>23</v>
      </c>
      <c r="C1145" s="54">
        <v>43101</v>
      </c>
      <c r="D1145" s="3" t="str">
        <f>YEAR(Datos_Consumo[[#This Row],[FECHA]])&amp;"-"&amp;MONTH(Datos_Consumo[[#This Row],[FECHA]])</f>
        <v>2018-1</v>
      </c>
    </row>
    <row r="1146" spans="1:4" x14ac:dyDescent="0.25">
      <c r="A1146" t="s">
        <v>1813</v>
      </c>
      <c r="B1146">
        <v>85</v>
      </c>
      <c r="C1146" s="54">
        <v>43132</v>
      </c>
      <c r="D1146" s="3" t="str">
        <f>YEAR(Datos_Consumo[[#This Row],[FECHA]])&amp;"-"&amp;MONTH(Datos_Consumo[[#This Row],[FECHA]])</f>
        <v>2018-2</v>
      </c>
    </row>
    <row r="1147" spans="1:4" x14ac:dyDescent="0.25">
      <c r="A1147" t="s">
        <v>1813</v>
      </c>
      <c r="B1147">
        <v>64</v>
      </c>
      <c r="C1147" s="54">
        <v>43160</v>
      </c>
      <c r="D1147" s="3" t="str">
        <f>YEAR(Datos_Consumo[[#This Row],[FECHA]])&amp;"-"&amp;MONTH(Datos_Consumo[[#This Row],[FECHA]])</f>
        <v>2018-3</v>
      </c>
    </row>
    <row r="1148" spans="1:4" x14ac:dyDescent="0.25">
      <c r="A1148" t="s">
        <v>1813</v>
      </c>
      <c r="B1148">
        <v>35</v>
      </c>
      <c r="C1148" s="54">
        <v>43191</v>
      </c>
      <c r="D1148" s="3" t="str">
        <f>YEAR(Datos_Consumo[[#This Row],[FECHA]])&amp;"-"&amp;MONTH(Datos_Consumo[[#This Row],[FECHA]])</f>
        <v>2018-4</v>
      </c>
    </row>
    <row r="1149" spans="1:4" x14ac:dyDescent="0.25">
      <c r="A1149" t="s">
        <v>1813</v>
      </c>
      <c r="B1149">
        <v>2</v>
      </c>
      <c r="C1149" s="54">
        <v>43221</v>
      </c>
      <c r="D1149" s="3" t="str">
        <f>YEAR(Datos_Consumo[[#This Row],[FECHA]])&amp;"-"&amp;MONTH(Datos_Consumo[[#This Row],[FECHA]])</f>
        <v>2018-5</v>
      </c>
    </row>
    <row r="1150" spans="1:4" x14ac:dyDescent="0.25">
      <c r="A1150" t="s">
        <v>1814</v>
      </c>
      <c r="B1150">
        <v>10</v>
      </c>
      <c r="C1150" s="54">
        <v>43070</v>
      </c>
      <c r="D1150" s="3" t="str">
        <f>YEAR(Datos_Consumo[[#This Row],[FECHA]])&amp;"-"&amp;MONTH(Datos_Consumo[[#This Row],[FECHA]])</f>
        <v>2017-12</v>
      </c>
    </row>
    <row r="1151" spans="1:4" x14ac:dyDescent="0.25">
      <c r="A1151" t="s">
        <v>1814</v>
      </c>
      <c r="B1151">
        <v>11</v>
      </c>
      <c r="C1151" s="54">
        <v>43101</v>
      </c>
      <c r="D1151" s="3" t="str">
        <f>YEAR(Datos_Consumo[[#This Row],[FECHA]])&amp;"-"&amp;MONTH(Datos_Consumo[[#This Row],[FECHA]])</f>
        <v>2018-1</v>
      </c>
    </row>
    <row r="1152" spans="1:4" x14ac:dyDescent="0.25">
      <c r="A1152" t="s">
        <v>1814</v>
      </c>
      <c r="B1152">
        <v>14</v>
      </c>
      <c r="C1152" s="54">
        <v>43132</v>
      </c>
      <c r="D1152" s="3" t="str">
        <f>YEAR(Datos_Consumo[[#This Row],[FECHA]])&amp;"-"&amp;MONTH(Datos_Consumo[[#This Row],[FECHA]])</f>
        <v>2018-2</v>
      </c>
    </row>
    <row r="1153" spans="1:4" x14ac:dyDescent="0.25">
      <c r="A1153" t="s">
        <v>1814</v>
      </c>
      <c r="B1153">
        <v>23</v>
      </c>
      <c r="C1153" s="54">
        <v>43160</v>
      </c>
      <c r="D1153" s="3" t="str">
        <f>YEAR(Datos_Consumo[[#This Row],[FECHA]])&amp;"-"&amp;MONTH(Datos_Consumo[[#This Row],[FECHA]])</f>
        <v>2018-3</v>
      </c>
    </row>
    <row r="1154" spans="1:4" x14ac:dyDescent="0.25">
      <c r="A1154" t="s">
        <v>1814</v>
      </c>
      <c r="B1154">
        <v>24</v>
      </c>
      <c r="C1154" s="54">
        <v>43191</v>
      </c>
      <c r="D1154" s="3" t="str">
        <f>YEAR(Datos_Consumo[[#This Row],[FECHA]])&amp;"-"&amp;MONTH(Datos_Consumo[[#This Row],[FECHA]])</f>
        <v>2018-4</v>
      </c>
    </row>
    <row r="1155" spans="1:4" x14ac:dyDescent="0.25">
      <c r="A1155" t="s">
        <v>1815</v>
      </c>
      <c r="B1155">
        <v>44</v>
      </c>
      <c r="C1155" s="54">
        <v>43070</v>
      </c>
      <c r="D1155" s="3" t="str">
        <f>YEAR(Datos_Consumo[[#This Row],[FECHA]])&amp;"-"&amp;MONTH(Datos_Consumo[[#This Row],[FECHA]])</f>
        <v>2017-12</v>
      </c>
    </row>
    <row r="1156" spans="1:4" x14ac:dyDescent="0.25">
      <c r="A1156" t="s">
        <v>1815</v>
      </c>
      <c r="B1156">
        <v>68</v>
      </c>
      <c r="C1156" s="54">
        <v>43101</v>
      </c>
      <c r="D1156" s="3" t="str">
        <f>YEAR(Datos_Consumo[[#This Row],[FECHA]])&amp;"-"&amp;MONTH(Datos_Consumo[[#This Row],[FECHA]])</f>
        <v>2018-1</v>
      </c>
    </row>
    <row r="1157" spans="1:4" x14ac:dyDescent="0.25">
      <c r="A1157" t="s">
        <v>1815</v>
      </c>
      <c r="B1157">
        <v>8</v>
      </c>
      <c r="C1157" s="54">
        <v>43132</v>
      </c>
      <c r="D1157" s="3" t="str">
        <f>YEAR(Datos_Consumo[[#This Row],[FECHA]])&amp;"-"&amp;MONTH(Datos_Consumo[[#This Row],[FECHA]])</f>
        <v>2018-2</v>
      </c>
    </row>
    <row r="1158" spans="1:4" x14ac:dyDescent="0.25">
      <c r="A1158" t="s">
        <v>1815</v>
      </c>
      <c r="B1158">
        <v>71</v>
      </c>
      <c r="C1158" s="54">
        <v>43160</v>
      </c>
      <c r="D1158" s="3" t="str">
        <f>YEAR(Datos_Consumo[[#This Row],[FECHA]])&amp;"-"&amp;MONTH(Datos_Consumo[[#This Row],[FECHA]])</f>
        <v>2018-3</v>
      </c>
    </row>
    <row r="1159" spans="1:4" x14ac:dyDescent="0.25">
      <c r="A1159" t="s">
        <v>1815</v>
      </c>
      <c r="B1159">
        <v>62</v>
      </c>
      <c r="C1159" s="54">
        <v>43191</v>
      </c>
      <c r="D1159" s="3" t="str">
        <f>YEAR(Datos_Consumo[[#This Row],[FECHA]])&amp;"-"&amp;MONTH(Datos_Consumo[[#This Row],[FECHA]])</f>
        <v>2018-4</v>
      </c>
    </row>
    <row r="1160" spans="1:4" x14ac:dyDescent="0.25">
      <c r="A1160" t="s">
        <v>1816</v>
      </c>
      <c r="B1160">
        <v>4</v>
      </c>
      <c r="C1160" s="54">
        <v>43070</v>
      </c>
      <c r="D1160" s="3" t="str">
        <f>YEAR(Datos_Consumo[[#This Row],[FECHA]])&amp;"-"&amp;MONTH(Datos_Consumo[[#This Row],[FECHA]])</f>
        <v>2017-12</v>
      </c>
    </row>
    <row r="1161" spans="1:4" x14ac:dyDescent="0.25">
      <c r="A1161" t="s">
        <v>1816</v>
      </c>
      <c r="B1161">
        <v>3</v>
      </c>
      <c r="C1161" s="54">
        <v>43101</v>
      </c>
      <c r="D1161" s="3" t="str">
        <f>YEAR(Datos_Consumo[[#This Row],[FECHA]])&amp;"-"&amp;MONTH(Datos_Consumo[[#This Row],[FECHA]])</f>
        <v>2018-1</v>
      </c>
    </row>
    <row r="1162" spans="1:4" x14ac:dyDescent="0.25">
      <c r="A1162" t="s">
        <v>1816</v>
      </c>
      <c r="B1162">
        <v>8</v>
      </c>
      <c r="C1162" s="54">
        <v>43132</v>
      </c>
      <c r="D1162" s="3" t="str">
        <f>YEAR(Datos_Consumo[[#This Row],[FECHA]])&amp;"-"&amp;MONTH(Datos_Consumo[[#This Row],[FECHA]])</f>
        <v>2018-2</v>
      </c>
    </row>
    <row r="1163" spans="1:4" x14ac:dyDescent="0.25">
      <c r="A1163" t="s">
        <v>1816</v>
      </c>
      <c r="B1163">
        <v>3</v>
      </c>
      <c r="C1163" s="54">
        <v>43160</v>
      </c>
      <c r="D1163" s="3" t="str">
        <f>YEAR(Datos_Consumo[[#This Row],[FECHA]])&amp;"-"&amp;MONTH(Datos_Consumo[[#This Row],[FECHA]])</f>
        <v>2018-3</v>
      </c>
    </row>
    <row r="1164" spans="1:4" x14ac:dyDescent="0.25">
      <c r="A1164" t="s">
        <v>1816</v>
      </c>
      <c r="B1164">
        <v>9</v>
      </c>
      <c r="C1164" s="54">
        <v>43191</v>
      </c>
      <c r="D1164" s="3" t="str">
        <f>YEAR(Datos_Consumo[[#This Row],[FECHA]])&amp;"-"&amp;MONTH(Datos_Consumo[[#This Row],[FECHA]])</f>
        <v>2018-4</v>
      </c>
    </row>
    <row r="1165" spans="1:4" x14ac:dyDescent="0.25">
      <c r="A1165" t="s">
        <v>1816</v>
      </c>
      <c r="B1165">
        <v>12</v>
      </c>
      <c r="C1165" s="54">
        <v>43221</v>
      </c>
      <c r="D1165" s="3" t="str">
        <f>YEAR(Datos_Consumo[[#This Row],[FECHA]])&amp;"-"&amp;MONTH(Datos_Consumo[[#This Row],[FECHA]])</f>
        <v>2018-5</v>
      </c>
    </row>
    <row r="1166" spans="1:4" x14ac:dyDescent="0.25">
      <c r="A1166" t="s">
        <v>1817</v>
      </c>
      <c r="B1166">
        <v>1</v>
      </c>
      <c r="C1166" s="54">
        <v>43070</v>
      </c>
      <c r="D1166" s="3" t="str">
        <f>YEAR(Datos_Consumo[[#This Row],[FECHA]])&amp;"-"&amp;MONTH(Datos_Consumo[[#This Row],[FECHA]])</f>
        <v>2017-12</v>
      </c>
    </row>
    <row r="1167" spans="1:4" x14ac:dyDescent="0.25">
      <c r="A1167" t="s">
        <v>1817</v>
      </c>
      <c r="B1167">
        <v>7</v>
      </c>
      <c r="C1167" s="54">
        <v>43101</v>
      </c>
      <c r="D1167" s="3" t="str">
        <f>YEAR(Datos_Consumo[[#This Row],[FECHA]])&amp;"-"&amp;MONTH(Datos_Consumo[[#This Row],[FECHA]])</f>
        <v>2018-1</v>
      </c>
    </row>
    <row r="1168" spans="1:4" x14ac:dyDescent="0.25">
      <c r="A1168" t="s">
        <v>1817</v>
      </c>
      <c r="B1168">
        <v>4</v>
      </c>
      <c r="C1168" s="54">
        <v>43160</v>
      </c>
      <c r="D1168" s="3" t="str">
        <f>YEAR(Datos_Consumo[[#This Row],[FECHA]])&amp;"-"&amp;MONTH(Datos_Consumo[[#This Row],[FECHA]])</f>
        <v>2018-3</v>
      </c>
    </row>
    <row r="1169" spans="1:4" x14ac:dyDescent="0.25">
      <c r="A1169" t="s">
        <v>1817</v>
      </c>
      <c r="B1169">
        <v>7</v>
      </c>
      <c r="C1169" s="54">
        <v>43191</v>
      </c>
      <c r="D1169" s="3" t="str">
        <f>YEAR(Datos_Consumo[[#This Row],[FECHA]])&amp;"-"&amp;MONTH(Datos_Consumo[[#This Row],[FECHA]])</f>
        <v>2018-4</v>
      </c>
    </row>
    <row r="1170" spans="1:4" x14ac:dyDescent="0.25">
      <c r="A1170" t="s">
        <v>1817</v>
      </c>
      <c r="B1170">
        <v>2</v>
      </c>
      <c r="C1170" s="54">
        <v>43221</v>
      </c>
      <c r="D1170" s="3" t="str">
        <f>YEAR(Datos_Consumo[[#This Row],[FECHA]])&amp;"-"&amp;MONTH(Datos_Consumo[[#This Row],[FECHA]])</f>
        <v>2018-5</v>
      </c>
    </row>
    <row r="1171" spans="1:4" x14ac:dyDescent="0.25">
      <c r="A1171" t="s">
        <v>1818</v>
      </c>
      <c r="B1171">
        <v>2</v>
      </c>
      <c r="C1171" s="54">
        <v>43070</v>
      </c>
      <c r="D1171" s="3" t="str">
        <f>YEAR(Datos_Consumo[[#This Row],[FECHA]])&amp;"-"&amp;MONTH(Datos_Consumo[[#This Row],[FECHA]])</f>
        <v>2017-12</v>
      </c>
    </row>
    <row r="1172" spans="1:4" x14ac:dyDescent="0.25">
      <c r="A1172" t="s">
        <v>1818</v>
      </c>
      <c r="B1172">
        <v>9</v>
      </c>
      <c r="C1172" s="54">
        <v>43160</v>
      </c>
      <c r="D1172" s="3" t="str">
        <f>YEAR(Datos_Consumo[[#This Row],[FECHA]])&amp;"-"&amp;MONTH(Datos_Consumo[[#This Row],[FECHA]])</f>
        <v>2018-3</v>
      </c>
    </row>
    <row r="1173" spans="1:4" x14ac:dyDescent="0.25">
      <c r="A1173" t="s">
        <v>1818</v>
      </c>
      <c r="B1173">
        <v>10</v>
      </c>
      <c r="C1173" s="54">
        <v>43191</v>
      </c>
      <c r="D1173" s="3" t="str">
        <f>YEAR(Datos_Consumo[[#This Row],[FECHA]])&amp;"-"&amp;MONTH(Datos_Consumo[[#This Row],[FECHA]])</f>
        <v>2018-4</v>
      </c>
    </row>
    <row r="1174" spans="1:4" x14ac:dyDescent="0.25">
      <c r="A1174" t="s">
        <v>1819</v>
      </c>
      <c r="B1174">
        <v>35</v>
      </c>
      <c r="C1174" s="54">
        <v>43070</v>
      </c>
      <c r="D1174" s="3" t="str">
        <f>YEAR(Datos_Consumo[[#This Row],[FECHA]])&amp;"-"&amp;MONTH(Datos_Consumo[[#This Row],[FECHA]])</f>
        <v>2017-12</v>
      </c>
    </row>
    <row r="1175" spans="1:4" x14ac:dyDescent="0.25">
      <c r="A1175" t="s">
        <v>1819</v>
      </c>
      <c r="B1175">
        <v>28</v>
      </c>
      <c r="C1175" s="54">
        <v>43101</v>
      </c>
      <c r="D1175" s="3" t="str">
        <f>YEAR(Datos_Consumo[[#This Row],[FECHA]])&amp;"-"&amp;MONTH(Datos_Consumo[[#This Row],[FECHA]])</f>
        <v>2018-1</v>
      </c>
    </row>
    <row r="1176" spans="1:4" x14ac:dyDescent="0.25">
      <c r="A1176" t="s">
        <v>1819</v>
      </c>
      <c r="B1176">
        <v>13</v>
      </c>
      <c r="C1176" s="54">
        <v>43132</v>
      </c>
      <c r="D1176" s="3" t="str">
        <f>YEAR(Datos_Consumo[[#This Row],[FECHA]])&amp;"-"&amp;MONTH(Datos_Consumo[[#This Row],[FECHA]])</f>
        <v>2018-2</v>
      </c>
    </row>
    <row r="1177" spans="1:4" x14ac:dyDescent="0.25">
      <c r="A1177" t="s">
        <v>1819</v>
      </c>
      <c r="B1177">
        <v>23</v>
      </c>
      <c r="C1177" s="54">
        <v>43160</v>
      </c>
      <c r="D1177" s="3" t="str">
        <f>YEAR(Datos_Consumo[[#This Row],[FECHA]])&amp;"-"&amp;MONTH(Datos_Consumo[[#This Row],[FECHA]])</f>
        <v>2018-3</v>
      </c>
    </row>
    <row r="1178" spans="1:4" x14ac:dyDescent="0.25">
      <c r="A1178" t="s">
        <v>1819</v>
      </c>
      <c r="B1178">
        <v>6</v>
      </c>
      <c r="C1178" s="54">
        <v>43191</v>
      </c>
      <c r="D1178" s="3" t="str">
        <f>YEAR(Datos_Consumo[[#This Row],[FECHA]])&amp;"-"&amp;MONTH(Datos_Consumo[[#This Row],[FECHA]])</f>
        <v>2018-4</v>
      </c>
    </row>
    <row r="1179" spans="1:4" x14ac:dyDescent="0.25">
      <c r="A1179" t="s">
        <v>1819</v>
      </c>
      <c r="B1179">
        <v>18</v>
      </c>
      <c r="C1179" s="54">
        <v>43221</v>
      </c>
      <c r="D1179" s="3" t="str">
        <f>YEAR(Datos_Consumo[[#This Row],[FECHA]])&amp;"-"&amp;MONTH(Datos_Consumo[[#This Row],[FECHA]])</f>
        <v>2018-5</v>
      </c>
    </row>
    <row r="1180" spans="1:4" x14ac:dyDescent="0.25">
      <c r="A1180" t="s">
        <v>1820</v>
      </c>
      <c r="B1180">
        <v>46</v>
      </c>
      <c r="C1180" s="54">
        <v>43070</v>
      </c>
      <c r="D1180" s="3" t="str">
        <f>YEAR(Datos_Consumo[[#This Row],[FECHA]])&amp;"-"&amp;MONTH(Datos_Consumo[[#This Row],[FECHA]])</f>
        <v>2017-12</v>
      </c>
    </row>
    <row r="1181" spans="1:4" x14ac:dyDescent="0.25">
      <c r="A1181" t="s">
        <v>1820</v>
      </c>
      <c r="B1181">
        <v>70</v>
      </c>
      <c r="C1181" s="54">
        <v>43101</v>
      </c>
      <c r="D1181" s="3" t="str">
        <f>YEAR(Datos_Consumo[[#This Row],[FECHA]])&amp;"-"&amp;MONTH(Datos_Consumo[[#This Row],[FECHA]])</f>
        <v>2018-1</v>
      </c>
    </row>
    <row r="1182" spans="1:4" x14ac:dyDescent="0.25">
      <c r="A1182" t="s">
        <v>1820</v>
      </c>
      <c r="B1182">
        <v>19</v>
      </c>
      <c r="C1182" s="54">
        <v>43132</v>
      </c>
      <c r="D1182" s="3" t="str">
        <f>YEAR(Datos_Consumo[[#This Row],[FECHA]])&amp;"-"&amp;MONTH(Datos_Consumo[[#This Row],[FECHA]])</f>
        <v>2018-2</v>
      </c>
    </row>
    <row r="1183" spans="1:4" x14ac:dyDescent="0.25">
      <c r="A1183" t="s">
        <v>1820</v>
      </c>
      <c r="B1183">
        <v>88</v>
      </c>
      <c r="C1183" s="54">
        <v>43160</v>
      </c>
      <c r="D1183" s="3" t="str">
        <f>YEAR(Datos_Consumo[[#This Row],[FECHA]])&amp;"-"&amp;MONTH(Datos_Consumo[[#This Row],[FECHA]])</f>
        <v>2018-3</v>
      </c>
    </row>
    <row r="1184" spans="1:4" x14ac:dyDescent="0.25">
      <c r="A1184" t="s">
        <v>1820</v>
      </c>
      <c r="B1184">
        <v>75</v>
      </c>
      <c r="C1184" s="54">
        <v>43191</v>
      </c>
      <c r="D1184" s="3" t="str">
        <f>YEAR(Datos_Consumo[[#This Row],[FECHA]])&amp;"-"&amp;MONTH(Datos_Consumo[[#This Row],[FECHA]])</f>
        <v>2018-4</v>
      </c>
    </row>
    <row r="1185" spans="1:4" x14ac:dyDescent="0.25">
      <c r="A1185" t="s">
        <v>1820</v>
      </c>
      <c r="B1185">
        <v>6</v>
      </c>
      <c r="C1185" s="54">
        <v>43221</v>
      </c>
      <c r="D1185" s="3" t="str">
        <f>YEAR(Datos_Consumo[[#This Row],[FECHA]])&amp;"-"&amp;MONTH(Datos_Consumo[[#This Row],[FECHA]])</f>
        <v>2018-5</v>
      </c>
    </row>
    <row r="1186" spans="1:4" x14ac:dyDescent="0.25">
      <c r="A1186" t="s">
        <v>1821</v>
      </c>
      <c r="B1186">
        <v>4</v>
      </c>
      <c r="C1186" s="54">
        <v>43070</v>
      </c>
      <c r="D1186" s="3" t="str">
        <f>YEAR(Datos_Consumo[[#This Row],[FECHA]])&amp;"-"&amp;MONTH(Datos_Consumo[[#This Row],[FECHA]])</f>
        <v>2017-12</v>
      </c>
    </row>
    <row r="1187" spans="1:4" x14ac:dyDescent="0.25">
      <c r="A1187" t="s">
        <v>1821</v>
      </c>
      <c r="B1187">
        <v>1</v>
      </c>
      <c r="C1187" s="54">
        <v>43132</v>
      </c>
      <c r="D1187" s="3" t="str">
        <f>YEAR(Datos_Consumo[[#This Row],[FECHA]])&amp;"-"&amp;MONTH(Datos_Consumo[[#This Row],[FECHA]])</f>
        <v>2018-2</v>
      </c>
    </row>
    <row r="1188" spans="1:4" x14ac:dyDescent="0.25">
      <c r="A1188" t="s">
        <v>1821</v>
      </c>
      <c r="B1188">
        <v>2</v>
      </c>
      <c r="C1188" s="54">
        <v>43160</v>
      </c>
      <c r="D1188" s="3" t="str">
        <f>YEAR(Datos_Consumo[[#This Row],[FECHA]])&amp;"-"&amp;MONTH(Datos_Consumo[[#This Row],[FECHA]])</f>
        <v>2018-3</v>
      </c>
    </row>
    <row r="1189" spans="1:4" x14ac:dyDescent="0.25">
      <c r="A1189" t="s">
        <v>1821</v>
      </c>
      <c r="B1189">
        <v>1</v>
      </c>
      <c r="C1189" s="54">
        <v>43191</v>
      </c>
      <c r="D1189" s="3" t="str">
        <f>YEAR(Datos_Consumo[[#This Row],[FECHA]])&amp;"-"&amp;MONTH(Datos_Consumo[[#This Row],[FECHA]])</f>
        <v>2018-4</v>
      </c>
    </row>
    <row r="1190" spans="1:4" x14ac:dyDescent="0.25">
      <c r="A1190" t="s">
        <v>1822</v>
      </c>
      <c r="B1190">
        <v>2</v>
      </c>
      <c r="C1190" s="54">
        <v>43132</v>
      </c>
      <c r="D1190" s="3" t="str">
        <f>YEAR(Datos_Consumo[[#This Row],[FECHA]])&amp;"-"&amp;MONTH(Datos_Consumo[[#This Row],[FECHA]])</f>
        <v>2018-2</v>
      </c>
    </row>
    <row r="1191" spans="1:4" x14ac:dyDescent="0.25">
      <c r="A1191" t="s">
        <v>1822</v>
      </c>
      <c r="B1191">
        <v>5</v>
      </c>
      <c r="C1191" s="54">
        <v>43191</v>
      </c>
      <c r="D1191" s="3" t="str">
        <f>YEAR(Datos_Consumo[[#This Row],[FECHA]])&amp;"-"&amp;MONTH(Datos_Consumo[[#This Row],[FECHA]])</f>
        <v>2018-4</v>
      </c>
    </row>
    <row r="1192" spans="1:4" x14ac:dyDescent="0.25">
      <c r="A1192" t="s">
        <v>1823</v>
      </c>
      <c r="B1192">
        <v>2</v>
      </c>
      <c r="C1192" s="54">
        <v>43160</v>
      </c>
      <c r="D1192" s="3" t="str">
        <f>YEAR(Datos_Consumo[[#This Row],[FECHA]])&amp;"-"&amp;MONTH(Datos_Consumo[[#This Row],[FECHA]])</f>
        <v>2018-3</v>
      </c>
    </row>
    <row r="1193" spans="1:4" x14ac:dyDescent="0.25">
      <c r="A1193" t="s">
        <v>1824</v>
      </c>
      <c r="B1193">
        <v>55</v>
      </c>
      <c r="C1193" s="54">
        <v>43070</v>
      </c>
      <c r="D1193" s="3" t="str">
        <f>YEAR(Datos_Consumo[[#This Row],[FECHA]])&amp;"-"&amp;MONTH(Datos_Consumo[[#This Row],[FECHA]])</f>
        <v>2017-12</v>
      </c>
    </row>
    <row r="1194" spans="1:4" x14ac:dyDescent="0.25">
      <c r="A1194" t="s">
        <v>1824</v>
      </c>
      <c r="B1194">
        <v>10</v>
      </c>
      <c r="C1194" s="54">
        <v>43101</v>
      </c>
      <c r="D1194" s="3" t="str">
        <f>YEAR(Datos_Consumo[[#This Row],[FECHA]])&amp;"-"&amp;MONTH(Datos_Consumo[[#This Row],[FECHA]])</f>
        <v>2018-1</v>
      </c>
    </row>
    <row r="1195" spans="1:4" x14ac:dyDescent="0.25">
      <c r="A1195" t="s">
        <v>1824</v>
      </c>
      <c r="B1195">
        <v>16</v>
      </c>
      <c r="C1195" s="54">
        <v>43132</v>
      </c>
      <c r="D1195" s="3" t="str">
        <f>YEAR(Datos_Consumo[[#This Row],[FECHA]])&amp;"-"&amp;MONTH(Datos_Consumo[[#This Row],[FECHA]])</f>
        <v>2018-2</v>
      </c>
    </row>
    <row r="1196" spans="1:4" x14ac:dyDescent="0.25">
      <c r="A1196" t="s">
        <v>1824</v>
      </c>
      <c r="B1196">
        <v>15</v>
      </c>
      <c r="C1196" s="54">
        <v>43160</v>
      </c>
      <c r="D1196" s="3" t="str">
        <f>YEAR(Datos_Consumo[[#This Row],[FECHA]])&amp;"-"&amp;MONTH(Datos_Consumo[[#This Row],[FECHA]])</f>
        <v>2018-3</v>
      </c>
    </row>
    <row r="1197" spans="1:4" x14ac:dyDescent="0.25">
      <c r="A1197" t="s">
        <v>1824</v>
      </c>
      <c r="B1197">
        <v>25</v>
      </c>
      <c r="C1197" s="54">
        <v>43191</v>
      </c>
      <c r="D1197" s="3" t="str">
        <f>YEAR(Datos_Consumo[[#This Row],[FECHA]])&amp;"-"&amp;MONTH(Datos_Consumo[[#This Row],[FECHA]])</f>
        <v>2018-4</v>
      </c>
    </row>
    <row r="1198" spans="1:4" x14ac:dyDescent="0.25">
      <c r="A1198" t="s">
        <v>1824</v>
      </c>
      <c r="B1198">
        <v>25</v>
      </c>
      <c r="C1198" s="54">
        <v>43221</v>
      </c>
      <c r="D1198" s="3" t="str">
        <f>YEAR(Datos_Consumo[[#This Row],[FECHA]])&amp;"-"&amp;MONTH(Datos_Consumo[[#This Row],[FECHA]])</f>
        <v>2018-5</v>
      </c>
    </row>
    <row r="1199" spans="1:4" x14ac:dyDescent="0.25">
      <c r="A1199" t="s">
        <v>1825</v>
      </c>
      <c r="B1199">
        <v>2</v>
      </c>
      <c r="C1199" s="54">
        <v>43101</v>
      </c>
      <c r="D1199" s="3" t="str">
        <f>YEAR(Datos_Consumo[[#This Row],[FECHA]])&amp;"-"&amp;MONTH(Datos_Consumo[[#This Row],[FECHA]])</f>
        <v>2018-1</v>
      </c>
    </row>
    <row r="1200" spans="1:4" x14ac:dyDescent="0.25">
      <c r="A1200" t="s">
        <v>1826</v>
      </c>
      <c r="B1200">
        <v>2</v>
      </c>
      <c r="C1200" s="54">
        <v>43101</v>
      </c>
      <c r="D1200" s="3" t="str">
        <f>YEAR(Datos_Consumo[[#This Row],[FECHA]])&amp;"-"&amp;MONTH(Datos_Consumo[[#This Row],[FECHA]])</f>
        <v>2018-1</v>
      </c>
    </row>
    <row r="1201" spans="1:4" x14ac:dyDescent="0.25">
      <c r="A1201" t="s">
        <v>1826</v>
      </c>
      <c r="B1201">
        <v>1</v>
      </c>
      <c r="C1201" s="54">
        <v>43160</v>
      </c>
      <c r="D1201" s="3" t="str">
        <f>YEAR(Datos_Consumo[[#This Row],[FECHA]])&amp;"-"&amp;MONTH(Datos_Consumo[[#This Row],[FECHA]])</f>
        <v>2018-3</v>
      </c>
    </row>
    <row r="1202" spans="1:4" x14ac:dyDescent="0.25">
      <c r="A1202" t="s">
        <v>1827</v>
      </c>
      <c r="B1202">
        <v>14</v>
      </c>
      <c r="C1202" s="54">
        <v>43070</v>
      </c>
      <c r="D1202" s="3" t="str">
        <f>YEAR(Datos_Consumo[[#This Row],[FECHA]])&amp;"-"&amp;MONTH(Datos_Consumo[[#This Row],[FECHA]])</f>
        <v>2017-12</v>
      </c>
    </row>
    <row r="1203" spans="1:4" x14ac:dyDescent="0.25">
      <c r="A1203" t="s">
        <v>1827</v>
      </c>
      <c r="B1203">
        <v>12</v>
      </c>
      <c r="C1203" s="54">
        <v>43101</v>
      </c>
      <c r="D1203" s="3" t="str">
        <f>YEAR(Datos_Consumo[[#This Row],[FECHA]])&amp;"-"&amp;MONTH(Datos_Consumo[[#This Row],[FECHA]])</f>
        <v>2018-1</v>
      </c>
    </row>
    <row r="1204" spans="1:4" x14ac:dyDescent="0.25">
      <c r="A1204" t="s">
        <v>1827</v>
      </c>
      <c r="B1204">
        <v>16</v>
      </c>
      <c r="C1204" s="54">
        <v>43132</v>
      </c>
      <c r="D1204" s="3" t="str">
        <f>YEAR(Datos_Consumo[[#This Row],[FECHA]])&amp;"-"&amp;MONTH(Datos_Consumo[[#This Row],[FECHA]])</f>
        <v>2018-2</v>
      </c>
    </row>
    <row r="1205" spans="1:4" x14ac:dyDescent="0.25">
      <c r="A1205" t="s">
        <v>1827</v>
      </c>
      <c r="B1205">
        <v>11</v>
      </c>
      <c r="C1205" s="54">
        <v>43160</v>
      </c>
      <c r="D1205" s="3" t="str">
        <f>YEAR(Datos_Consumo[[#This Row],[FECHA]])&amp;"-"&amp;MONTH(Datos_Consumo[[#This Row],[FECHA]])</f>
        <v>2018-3</v>
      </c>
    </row>
    <row r="1206" spans="1:4" x14ac:dyDescent="0.25">
      <c r="A1206" t="s">
        <v>1827</v>
      </c>
      <c r="B1206">
        <v>9</v>
      </c>
      <c r="C1206" s="54">
        <v>43191</v>
      </c>
      <c r="D1206" s="3" t="str">
        <f>YEAR(Datos_Consumo[[#This Row],[FECHA]])&amp;"-"&amp;MONTH(Datos_Consumo[[#This Row],[FECHA]])</f>
        <v>2018-4</v>
      </c>
    </row>
    <row r="1207" spans="1:4" x14ac:dyDescent="0.25">
      <c r="A1207" t="s">
        <v>1828</v>
      </c>
      <c r="B1207">
        <v>2</v>
      </c>
      <c r="C1207" s="54">
        <v>43070</v>
      </c>
      <c r="D1207" s="3" t="str">
        <f>YEAR(Datos_Consumo[[#This Row],[FECHA]])&amp;"-"&amp;MONTH(Datos_Consumo[[#This Row],[FECHA]])</f>
        <v>2017-12</v>
      </c>
    </row>
    <row r="1208" spans="1:4" x14ac:dyDescent="0.25">
      <c r="A1208" t="s">
        <v>1828</v>
      </c>
      <c r="B1208">
        <v>22</v>
      </c>
      <c r="C1208" s="54">
        <v>43101</v>
      </c>
      <c r="D1208" s="3" t="str">
        <f>YEAR(Datos_Consumo[[#This Row],[FECHA]])&amp;"-"&amp;MONTH(Datos_Consumo[[#This Row],[FECHA]])</f>
        <v>2018-1</v>
      </c>
    </row>
    <row r="1209" spans="1:4" x14ac:dyDescent="0.25">
      <c r="A1209" t="s">
        <v>1828</v>
      </c>
      <c r="B1209">
        <v>4</v>
      </c>
      <c r="C1209" s="54">
        <v>43132</v>
      </c>
      <c r="D1209" s="3" t="str">
        <f>YEAR(Datos_Consumo[[#This Row],[FECHA]])&amp;"-"&amp;MONTH(Datos_Consumo[[#This Row],[FECHA]])</f>
        <v>2018-2</v>
      </c>
    </row>
    <row r="1210" spans="1:4" x14ac:dyDescent="0.25">
      <c r="A1210" t="s">
        <v>1828</v>
      </c>
      <c r="B1210">
        <v>15</v>
      </c>
      <c r="C1210" s="54">
        <v>43160</v>
      </c>
      <c r="D1210" s="3" t="str">
        <f>YEAR(Datos_Consumo[[#This Row],[FECHA]])&amp;"-"&amp;MONTH(Datos_Consumo[[#This Row],[FECHA]])</f>
        <v>2018-3</v>
      </c>
    </row>
    <row r="1211" spans="1:4" x14ac:dyDescent="0.25">
      <c r="A1211" t="s">
        <v>1828</v>
      </c>
      <c r="B1211">
        <v>9</v>
      </c>
      <c r="C1211" s="54">
        <v>43191</v>
      </c>
      <c r="D1211" s="3" t="str">
        <f>YEAR(Datos_Consumo[[#This Row],[FECHA]])&amp;"-"&amp;MONTH(Datos_Consumo[[#This Row],[FECHA]])</f>
        <v>2018-4</v>
      </c>
    </row>
    <row r="1212" spans="1:4" x14ac:dyDescent="0.25">
      <c r="A1212" t="s">
        <v>1828</v>
      </c>
      <c r="B1212">
        <v>6</v>
      </c>
      <c r="C1212" s="54">
        <v>43221</v>
      </c>
      <c r="D1212" s="3" t="str">
        <f>YEAR(Datos_Consumo[[#This Row],[FECHA]])&amp;"-"&amp;MONTH(Datos_Consumo[[#This Row],[FECHA]])</f>
        <v>2018-5</v>
      </c>
    </row>
    <row r="1213" spans="1:4" x14ac:dyDescent="0.25">
      <c r="A1213" t="s">
        <v>1829</v>
      </c>
      <c r="B1213">
        <v>2</v>
      </c>
      <c r="C1213" s="54">
        <v>43101</v>
      </c>
      <c r="D1213" s="3" t="str">
        <f>YEAR(Datos_Consumo[[#This Row],[FECHA]])&amp;"-"&amp;MONTH(Datos_Consumo[[#This Row],[FECHA]])</f>
        <v>2018-1</v>
      </c>
    </row>
    <row r="1214" spans="1:4" x14ac:dyDescent="0.25">
      <c r="A1214" t="s">
        <v>1829</v>
      </c>
      <c r="B1214">
        <v>4</v>
      </c>
      <c r="C1214" s="54">
        <v>43132</v>
      </c>
      <c r="D1214" s="3" t="str">
        <f>YEAR(Datos_Consumo[[#This Row],[FECHA]])&amp;"-"&amp;MONTH(Datos_Consumo[[#This Row],[FECHA]])</f>
        <v>2018-2</v>
      </c>
    </row>
    <row r="1215" spans="1:4" x14ac:dyDescent="0.25">
      <c r="A1215" t="s">
        <v>1829</v>
      </c>
      <c r="B1215">
        <v>2</v>
      </c>
      <c r="C1215" s="54">
        <v>43191</v>
      </c>
      <c r="D1215" s="3" t="str">
        <f>YEAR(Datos_Consumo[[#This Row],[FECHA]])&amp;"-"&amp;MONTH(Datos_Consumo[[#This Row],[FECHA]])</f>
        <v>2018-4</v>
      </c>
    </row>
    <row r="1216" spans="1:4" x14ac:dyDescent="0.25">
      <c r="A1216" t="s">
        <v>1830</v>
      </c>
      <c r="B1216">
        <v>55</v>
      </c>
      <c r="C1216" s="54">
        <v>43070</v>
      </c>
      <c r="D1216" s="3" t="str">
        <f>YEAR(Datos_Consumo[[#This Row],[FECHA]])&amp;"-"&amp;MONTH(Datos_Consumo[[#This Row],[FECHA]])</f>
        <v>2017-12</v>
      </c>
    </row>
    <row r="1217" spans="1:4" x14ac:dyDescent="0.25">
      <c r="A1217" t="s">
        <v>1830</v>
      </c>
      <c r="B1217">
        <v>53</v>
      </c>
      <c r="C1217" s="54">
        <v>43101</v>
      </c>
      <c r="D1217" s="3" t="str">
        <f>YEAR(Datos_Consumo[[#This Row],[FECHA]])&amp;"-"&amp;MONTH(Datos_Consumo[[#This Row],[FECHA]])</f>
        <v>2018-1</v>
      </c>
    </row>
    <row r="1218" spans="1:4" x14ac:dyDescent="0.25">
      <c r="A1218" t="s">
        <v>1830</v>
      </c>
      <c r="B1218">
        <v>37</v>
      </c>
      <c r="C1218" s="54">
        <v>43132</v>
      </c>
      <c r="D1218" s="3" t="str">
        <f>YEAR(Datos_Consumo[[#This Row],[FECHA]])&amp;"-"&amp;MONTH(Datos_Consumo[[#This Row],[FECHA]])</f>
        <v>2018-2</v>
      </c>
    </row>
    <row r="1219" spans="1:4" x14ac:dyDescent="0.25">
      <c r="A1219" t="s">
        <v>1830</v>
      </c>
      <c r="B1219">
        <v>40</v>
      </c>
      <c r="C1219" s="54">
        <v>43160</v>
      </c>
      <c r="D1219" s="3" t="str">
        <f>YEAR(Datos_Consumo[[#This Row],[FECHA]])&amp;"-"&amp;MONTH(Datos_Consumo[[#This Row],[FECHA]])</f>
        <v>2018-3</v>
      </c>
    </row>
    <row r="1220" spans="1:4" x14ac:dyDescent="0.25">
      <c r="A1220" t="s">
        <v>1830</v>
      </c>
      <c r="B1220">
        <v>88</v>
      </c>
      <c r="C1220" s="54">
        <v>43191</v>
      </c>
      <c r="D1220" s="3" t="str">
        <f>YEAR(Datos_Consumo[[#This Row],[FECHA]])&amp;"-"&amp;MONTH(Datos_Consumo[[#This Row],[FECHA]])</f>
        <v>2018-4</v>
      </c>
    </row>
    <row r="1221" spans="1:4" x14ac:dyDescent="0.25">
      <c r="A1221" t="s">
        <v>1830</v>
      </c>
      <c r="B1221">
        <v>9</v>
      </c>
      <c r="C1221" s="54">
        <v>43221</v>
      </c>
      <c r="D1221" s="3" t="str">
        <f>YEAR(Datos_Consumo[[#This Row],[FECHA]])&amp;"-"&amp;MONTH(Datos_Consumo[[#This Row],[FECHA]])</f>
        <v>2018-5</v>
      </c>
    </row>
    <row r="1222" spans="1:4" x14ac:dyDescent="0.25">
      <c r="A1222" t="s">
        <v>1831</v>
      </c>
      <c r="B1222">
        <v>31</v>
      </c>
      <c r="C1222" s="54">
        <v>43070</v>
      </c>
      <c r="D1222" s="3" t="str">
        <f>YEAR(Datos_Consumo[[#This Row],[FECHA]])&amp;"-"&amp;MONTH(Datos_Consumo[[#This Row],[FECHA]])</f>
        <v>2017-12</v>
      </c>
    </row>
    <row r="1223" spans="1:4" x14ac:dyDescent="0.25">
      <c r="A1223" t="s">
        <v>1831</v>
      </c>
      <c r="B1223">
        <v>34</v>
      </c>
      <c r="C1223" s="54">
        <v>43101</v>
      </c>
      <c r="D1223" s="3" t="str">
        <f>YEAR(Datos_Consumo[[#This Row],[FECHA]])&amp;"-"&amp;MONTH(Datos_Consumo[[#This Row],[FECHA]])</f>
        <v>2018-1</v>
      </c>
    </row>
    <row r="1224" spans="1:4" x14ac:dyDescent="0.25">
      <c r="A1224" t="s">
        <v>1831</v>
      </c>
      <c r="B1224">
        <v>46</v>
      </c>
      <c r="C1224" s="54">
        <v>43132</v>
      </c>
      <c r="D1224" s="3" t="str">
        <f>YEAR(Datos_Consumo[[#This Row],[FECHA]])&amp;"-"&amp;MONTH(Datos_Consumo[[#This Row],[FECHA]])</f>
        <v>2018-2</v>
      </c>
    </row>
    <row r="1225" spans="1:4" x14ac:dyDescent="0.25">
      <c r="A1225" t="s">
        <v>1831</v>
      </c>
      <c r="B1225">
        <v>28</v>
      </c>
      <c r="C1225" s="54">
        <v>43160</v>
      </c>
      <c r="D1225" s="3" t="str">
        <f>YEAR(Datos_Consumo[[#This Row],[FECHA]])&amp;"-"&amp;MONTH(Datos_Consumo[[#This Row],[FECHA]])</f>
        <v>2018-3</v>
      </c>
    </row>
    <row r="1226" spans="1:4" x14ac:dyDescent="0.25">
      <c r="A1226" t="s">
        <v>1831</v>
      </c>
      <c r="B1226">
        <v>52</v>
      </c>
      <c r="C1226" s="54">
        <v>43191</v>
      </c>
      <c r="D1226" s="3" t="str">
        <f>YEAR(Datos_Consumo[[#This Row],[FECHA]])&amp;"-"&amp;MONTH(Datos_Consumo[[#This Row],[FECHA]])</f>
        <v>2018-4</v>
      </c>
    </row>
    <row r="1227" spans="1:4" x14ac:dyDescent="0.25">
      <c r="A1227" t="s">
        <v>1831</v>
      </c>
      <c r="B1227">
        <v>11</v>
      </c>
      <c r="C1227" s="54">
        <v>43221</v>
      </c>
      <c r="D1227" s="3" t="str">
        <f>YEAR(Datos_Consumo[[#This Row],[FECHA]])&amp;"-"&amp;MONTH(Datos_Consumo[[#This Row],[FECHA]])</f>
        <v>2018-5</v>
      </c>
    </row>
    <row r="1228" spans="1:4" x14ac:dyDescent="0.25">
      <c r="A1228" t="s">
        <v>1832</v>
      </c>
      <c r="B1228">
        <v>2</v>
      </c>
      <c r="C1228" s="54">
        <v>43132</v>
      </c>
      <c r="D1228" s="3" t="str">
        <f>YEAR(Datos_Consumo[[#This Row],[FECHA]])&amp;"-"&amp;MONTH(Datos_Consumo[[#This Row],[FECHA]])</f>
        <v>2018-2</v>
      </c>
    </row>
    <row r="1229" spans="1:4" x14ac:dyDescent="0.25">
      <c r="A1229" t="s">
        <v>1832</v>
      </c>
      <c r="B1229">
        <v>2</v>
      </c>
      <c r="C1229" s="54">
        <v>43160</v>
      </c>
      <c r="D1229" s="3" t="str">
        <f>YEAR(Datos_Consumo[[#This Row],[FECHA]])&amp;"-"&amp;MONTH(Datos_Consumo[[#This Row],[FECHA]])</f>
        <v>2018-3</v>
      </c>
    </row>
    <row r="1230" spans="1:4" x14ac:dyDescent="0.25">
      <c r="A1230" t="s">
        <v>1832</v>
      </c>
      <c r="B1230">
        <v>2</v>
      </c>
      <c r="C1230" s="54">
        <v>43191</v>
      </c>
      <c r="D1230" s="3" t="str">
        <f>YEAR(Datos_Consumo[[#This Row],[FECHA]])&amp;"-"&amp;MONTH(Datos_Consumo[[#This Row],[FECHA]])</f>
        <v>2018-4</v>
      </c>
    </row>
    <row r="1231" spans="1:4" x14ac:dyDescent="0.25">
      <c r="A1231" t="s">
        <v>1833</v>
      </c>
      <c r="B1231">
        <v>23</v>
      </c>
      <c r="C1231" s="54">
        <v>43070</v>
      </c>
      <c r="D1231" s="3" t="str">
        <f>YEAR(Datos_Consumo[[#This Row],[FECHA]])&amp;"-"&amp;MONTH(Datos_Consumo[[#This Row],[FECHA]])</f>
        <v>2017-12</v>
      </c>
    </row>
    <row r="1232" spans="1:4" x14ac:dyDescent="0.25">
      <c r="A1232" t="s">
        <v>1833</v>
      </c>
      <c r="B1232">
        <v>10</v>
      </c>
      <c r="C1232" s="54">
        <v>43101</v>
      </c>
      <c r="D1232" s="3" t="str">
        <f>YEAR(Datos_Consumo[[#This Row],[FECHA]])&amp;"-"&amp;MONTH(Datos_Consumo[[#This Row],[FECHA]])</f>
        <v>2018-1</v>
      </c>
    </row>
    <row r="1233" spans="1:4" x14ac:dyDescent="0.25">
      <c r="A1233" t="s">
        <v>1833</v>
      </c>
      <c r="B1233">
        <v>6</v>
      </c>
      <c r="C1233" s="54">
        <v>43132</v>
      </c>
      <c r="D1233" s="3" t="str">
        <f>YEAR(Datos_Consumo[[#This Row],[FECHA]])&amp;"-"&amp;MONTH(Datos_Consumo[[#This Row],[FECHA]])</f>
        <v>2018-2</v>
      </c>
    </row>
    <row r="1234" spans="1:4" x14ac:dyDescent="0.25">
      <c r="A1234" t="s">
        <v>1833</v>
      </c>
      <c r="B1234">
        <v>10</v>
      </c>
      <c r="C1234" s="54">
        <v>43160</v>
      </c>
      <c r="D1234" s="3" t="str">
        <f>YEAR(Datos_Consumo[[#This Row],[FECHA]])&amp;"-"&amp;MONTH(Datos_Consumo[[#This Row],[FECHA]])</f>
        <v>2018-3</v>
      </c>
    </row>
    <row r="1235" spans="1:4" x14ac:dyDescent="0.25">
      <c r="A1235" t="s">
        <v>1833</v>
      </c>
      <c r="B1235">
        <v>16</v>
      </c>
      <c r="C1235" s="54">
        <v>43191</v>
      </c>
      <c r="D1235" s="3" t="str">
        <f>YEAR(Datos_Consumo[[#This Row],[FECHA]])&amp;"-"&amp;MONTH(Datos_Consumo[[#This Row],[FECHA]])</f>
        <v>2018-4</v>
      </c>
    </row>
    <row r="1236" spans="1:4" x14ac:dyDescent="0.25">
      <c r="A1236" t="s">
        <v>1834</v>
      </c>
      <c r="B1236">
        <v>70</v>
      </c>
      <c r="C1236" s="54">
        <v>43101</v>
      </c>
      <c r="D1236" s="3" t="str">
        <f>YEAR(Datos_Consumo[[#This Row],[FECHA]])&amp;"-"&amp;MONTH(Datos_Consumo[[#This Row],[FECHA]])</f>
        <v>2018-1</v>
      </c>
    </row>
    <row r="1237" spans="1:4" x14ac:dyDescent="0.25">
      <c r="A1237" t="s">
        <v>1835</v>
      </c>
      <c r="B1237">
        <v>4</v>
      </c>
      <c r="C1237" s="54">
        <v>43101</v>
      </c>
      <c r="D1237" s="3" t="str">
        <f>YEAR(Datos_Consumo[[#This Row],[FECHA]])&amp;"-"&amp;MONTH(Datos_Consumo[[#This Row],[FECHA]])</f>
        <v>2018-1</v>
      </c>
    </row>
    <row r="1238" spans="1:4" x14ac:dyDescent="0.25">
      <c r="A1238" t="s">
        <v>1836</v>
      </c>
      <c r="B1238">
        <v>1</v>
      </c>
      <c r="C1238" s="54">
        <v>43070</v>
      </c>
      <c r="D1238" s="3" t="str">
        <f>YEAR(Datos_Consumo[[#This Row],[FECHA]])&amp;"-"&amp;MONTH(Datos_Consumo[[#This Row],[FECHA]])</f>
        <v>2017-12</v>
      </c>
    </row>
    <row r="1239" spans="1:4" x14ac:dyDescent="0.25">
      <c r="A1239" t="s">
        <v>1836</v>
      </c>
      <c r="B1239">
        <v>1</v>
      </c>
      <c r="C1239" s="54">
        <v>43101</v>
      </c>
      <c r="D1239" s="3" t="str">
        <f>YEAR(Datos_Consumo[[#This Row],[FECHA]])&amp;"-"&amp;MONTH(Datos_Consumo[[#This Row],[FECHA]])</f>
        <v>2018-1</v>
      </c>
    </row>
    <row r="1240" spans="1:4" x14ac:dyDescent="0.25">
      <c r="A1240" t="s">
        <v>1837</v>
      </c>
      <c r="B1240">
        <v>3</v>
      </c>
      <c r="C1240" s="54">
        <v>43070</v>
      </c>
      <c r="D1240" s="3" t="str">
        <f>YEAR(Datos_Consumo[[#This Row],[FECHA]])&amp;"-"&amp;MONTH(Datos_Consumo[[#This Row],[FECHA]])</f>
        <v>2017-12</v>
      </c>
    </row>
    <row r="1241" spans="1:4" x14ac:dyDescent="0.25">
      <c r="A1241" t="s">
        <v>1837</v>
      </c>
      <c r="B1241">
        <v>2</v>
      </c>
      <c r="C1241" s="54">
        <v>43101</v>
      </c>
      <c r="D1241" s="3" t="str">
        <f>YEAR(Datos_Consumo[[#This Row],[FECHA]])&amp;"-"&amp;MONTH(Datos_Consumo[[#This Row],[FECHA]])</f>
        <v>2018-1</v>
      </c>
    </row>
    <row r="1242" spans="1:4" x14ac:dyDescent="0.25">
      <c r="A1242" t="s">
        <v>1837</v>
      </c>
      <c r="B1242">
        <v>1</v>
      </c>
      <c r="C1242" s="54">
        <v>43132</v>
      </c>
      <c r="D1242" s="3" t="str">
        <f>YEAR(Datos_Consumo[[#This Row],[FECHA]])&amp;"-"&amp;MONTH(Datos_Consumo[[#This Row],[FECHA]])</f>
        <v>2018-2</v>
      </c>
    </row>
    <row r="1243" spans="1:4" x14ac:dyDescent="0.25">
      <c r="A1243" t="s">
        <v>1837</v>
      </c>
      <c r="B1243">
        <v>2</v>
      </c>
      <c r="C1243" s="54">
        <v>43160</v>
      </c>
      <c r="D1243" s="3" t="str">
        <f>YEAR(Datos_Consumo[[#This Row],[FECHA]])&amp;"-"&amp;MONTH(Datos_Consumo[[#This Row],[FECHA]])</f>
        <v>2018-3</v>
      </c>
    </row>
    <row r="1244" spans="1:4" x14ac:dyDescent="0.25">
      <c r="A1244" t="s">
        <v>1837</v>
      </c>
      <c r="B1244">
        <v>1</v>
      </c>
      <c r="C1244" s="54">
        <v>43191</v>
      </c>
      <c r="D1244" s="3" t="str">
        <f>YEAR(Datos_Consumo[[#This Row],[FECHA]])&amp;"-"&amp;MONTH(Datos_Consumo[[#This Row],[FECHA]])</f>
        <v>2018-4</v>
      </c>
    </row>
    <row r="1245" spans="1:4" x14ac:dyDescent="0.25">
      <c r="A1245" t="s">
        <v>1838</v>
      </c>
      <c r="B1245">
        <v>2</v>
      </c>
      <c r="C1245" s="54">
        <v>43101</v>
      </c>
      <c r="D1245" s="3" t="str">
        <f>YEAR(Datos_Consumo[[#This Row],[FECHA]])&amp;"-"&amp;MONTH(Datos_Consumo[[#This Row],[FECHA]])</f>
        <v>2018-1</v>
      </c>
    </row>
    <row r="1246" spans="1:4" x14ac:dyDescent="0.25">
      <c r="A1246" t="s">
        <v>1838</v>
      </c>
      <c r="B1246">
        <v>3</v>
      </c>
      <c r="C1246" s="54">
        <v>43132</v>
      </c>
      <c r="D1246" s="3" t="str">
        <f>YEAR(Datos_Consumo[[#This Row],[FECHA]])&amp;"-"&amp;MONTH(Datos_Consumo[[#This Row],[FECHA]])</f>
        <v>2018-2</v>
      </c>
    </row>
    <row r="1247" spans="1:4" x14ac:dyDescent="0.25">
      <c r="A1247" t="s">
        <v>1838</v>
      </c>
      <c r="B1247">
        <v>13</v>
      </c>
      <c r="C1247" s="54">
        <v>43160</v>
      </c>
      <c r="D1247" s="3" t="str">
        <f>YEAR(Datos_Consumo[[#This Row],[FECHA]])&amp;"-"&amp;MONTH(Datos_Consumo[[#This Row],[FECHA]])</f>
        <v>2018-3</v>
      </c>
    </row>
    <row r="1248" spans="1:4" x14ac:dyDescent="0.25">
      <c r="A1248" t="s">
        <v>1838</v>
      </c>
      <c r="B1248">
        <v>3</v>
      </c>
      <c r="C1248" s="54">
        <v>43191</v>
      </c>
      <c r="D1248" s="3" t="str">
        <f>YEAR(Datos_Consumo[[#This Row],[FECHA]])&amp;"-"&amp;MONTH(Datos_Consumo[[#This Row],[FECHA]])</f>
        <v>2018-4</v>
      </c>
    </row>
    <row r="1249" spans="1:4" x14ac:dyDescent="0.25">
      <c r="A1249" t="s">
        <v>1838</v>
      </c>
      <c r="B1249">
        <v>1</v>
      </c>
      <c r="C1249" s="54">
        <v>43221</v>
      </c>
      <c r="D1249" s="3" t="str">
        <f>YEAR(Datos_Consumo[[#This Row],[FECHA]])&amp;"-"&amp;MONTH(Datos_Consumo[[#This Row],[FECHA]])</f>
        <v>2018-5</v>
      </c>
    </row>
    <row r="1250" spans="1:4" x14ac:dyDescent="0.25">
      <c r="A1250" t="s">
        <v>1839</v>
      </c>
      <c r="B1250">
        <v>1</v>
      </c>
      <c r="C1250" s="54">
        <v>43101</v>
      </c>
      <c r="D1250" s="3" t="str">
        <f>YEAR(Datos_Consumo[[#This Row],[FECHA]])&amp;"-"&amp;MONTH(Datos_Consumo[[#This Row],[FECHA]])</f>
        <v>2018-1</v>
      </c>
    </row>
    <row r="1251" spans="1:4" x14ac:dyDescent="0.25">
      <c r="A1251" t="s">
        <v>1839</v>
      </c>
      <c r="B1251">
        <v>1</v>
      </c>
      <c r="C1251" s="54">
        <v>43132</v>
      </c>
      <c r="D1251" s="3" t="str">
        <f>YEAR(Datos_Consumo[[#This Row],[FECHA]])&amp;"-"&amp;MONTH(Datos_Consumo[[#This Row],[FECHA]])</f>
        <v>2018-2</v>
      </c>
    </row>
    <row r="1252" spans="1:4" x14ac:dyDescent="0.25">
      <c r="A1252" t="s">
        <v>1839</v>
      </c>
      <c r="B1252">
        <v>3</v>
      </c>
      <c r="C1252" s="54">
        <v>43160</v>
      </c>
      <c r="D1252" s="3" t="str">
        <f>YEAR(Datos_Consumo[[#This Row],[FECHA]])&amp;"-"&amp;MONTH(Datos_Consumo[[#This Row],[FECHA]])</f>
        <v>2018-3</v>
      </c>
    </row>
    <row r="1253" spans="1:4" x14ac:dyDescent="0.25">
      <c r="A1253" t="s">
        <v>1840</v>
      </c>
      <c r="B1253">
        <v>1</v>
      </c>
      <c r="C1253" s="54">
        <v>43070</v>
      </c>
      <c r="D1253" s="3" t="str">
        <f>YEAR(Datos_Consumo[[#This Row],[FECHA]])&amp;"-"&amp;MONTH(Datos_Consumo[[#This Row],[FECHA]])</f>
        <v>2017-12</v>
      </c>
    </row>
    <row r="1254" spans="1:4" x14ac:dyDescent="0.25">
      <c r="A1254" t="s">
        <v>1840</v>
      </c>
      <c r="B1254">
        <v>3</v>
      </c>
      <c r="C1254" s="54">
        <v>43101</v>
      </c>
      <c r="D1254" s="3" t="str">
        <f>YEAR(Datos_Consumo[[#This Row],[FECHA]])&amp;"-"&amp;MONTH(Datos_Consumo[[#This Row],[FECHA]])</f>
        <v>2018-1</v>
      </c>
    </row>
    <row r="1255" spans="1:4" x14ac:dyDescent="0.25">
      <c r="A1255" t="s">
        <v>1841</v>
      </c>
      <c r="B1255">
        <v>5</v>
      </c>
      <c r="C1255" s="54">
        <v>43101</v>
      </c>
      <c r="D1255" s="3" t="str">
        <f>YEAR(Datos_Consumo[[#This Row],[FECHA]])&amp;"-"&amp;MONTH(Datos_Consumo[[#This Row],[FECHA]])</f>
        <v>2018-1</v>
      </c>
    </row>
    <row r="1256" spans="1:4" x14ac:dyDescent="0.25">
      <c r="A1256" t="s">
        <v>1841</v>
      </c>
      <c r="B1256">
        <v>1</v>
      </c>
      <c r="C1256" s="54">
        <v>43132</v>
      </c>
      <c r="D1256" s="3" t="str">
        <f>YEAR(Datos_Consumo[[#This Row],[FECHA]])&amp;"-"&amp;MONTH(Datos_Consumo[[#This Row],[FECHA]])</f>
        <v>2018-2</v>
      </c>
    </row>
    <row r="1257" spans="1:4" x14ac:dyDescent="0.25">
      <c r="A1257" t="s">
        <v>1841</v>
      </c>
      <c r="B1257">
        <v>1</v>
      </c>
      <c r="C1257" s="54">
        <v>43160</v>
      </c>
      <c r="D1257" s="3" t="str">
        <f>YEAR(Datos_Consumo[[#This Row],[FECHA]])&amp;"-"&amp;MONTH(Datos_Consumo[[#This Row],[FECHA]])</f>
        <v>2018-3</v>
      </c>
    </row>
    <row r="1258" spans="1:4" x14ac:dyDescent="0.25">
      <c r="A1258" t="s">
        <v>1842</v>
      </c>
      <c r="B1258">
        <v>1</v>
      </c>
      <c r="C1258" s="54">
        <v>43160</v>
      </c>
      <c r="D1258" s="3" t="str">
        <f>YEAR(Datos_Consumo[[#This Row],[FECHA]])&amp;"-"&amp;MONTH(Datos_Consumo[[#This Row],[FECHA]])</f>
        <v>2018-3</v>
      </c>
    </row>
    <row r="1259" spans="1:4" x14ac:dyDescent="0.25">
      <c r="A1259" t="s">
        <v>1843</v>
      </c>
      <c r="B1259">
        <v>1</v>
      </c>
      <c r="C1259" s="54">
        <v>43132</v>
      </c>
      <c r="D1259" s="3" t="str">
        <f>YEAR(Datos_Consumo[[#This Row],[FECHA]])&amp;"-"&amp;MONTH(Datos_Consumo[[#This Row],[FECHA]])</f>
        <v>2018-2</v>
      </c>
    </row>
    <row r="1260" spans="1:4" x14ac:dyDescent="0.25">
      <c r="A1260" t="s">
        <v>1843</v>
      </c>
      <c r="B1260">
        <v>1</v>
      </c>
      <c r="C1260" s="54">
        <v>43160</v>
      </c>
      <c r="D1260" s="3" t="str">
        <f>YEAR(Datos_Consumo[[#This Row],[FECHA]])&amp;"-"&amp;MONTH(Datos_Consumo[[#This Row],[FECHA]])</f>
        <v>2018-3</v>
      </c>
    </row>
    <row r="1261" spans="1:4" x14ac:dyDescent="0.25">
      <c r="A1261" t="s">
        <v>1844</v>
      </c>
      <c r="B1261">
        <v>20</v>
      </c>
      <c r="C1261" s="54">
        <v>43070</v>
      </c>
      <c r="D1261" s="3" t="str">
        <f>YEAR(Datos_Consumo[[#This Row],[FECHA]])&amp;"-"&amp;MONTH(Datos_Consumo[[#This Row],[FECHA]])</f>
        <v>2017-12</v>
      </c>
    </row>
    <row r="1262" spans="1:4" x14ac:dyDescent="0.25">
      <c r="A1262" t="s">
        <v>1844</v>
      </c>
      <c r="B1262">
        <v>3</v>
      </c>
      <c r="C1262" s="54">
        <v>43101</v>
      </c>
      <c r="D1262" s="3" t="str">
        <f>YEAR(Datos_Consumo[[#This Row],[FECHA]])&amp;"-"&amp;MONTH(Datos_Consumo[[#This Row],[FECHA]])</f>
        <v>2018-1</v>
      </c>
    </row>
    <row r="1263" spans="1:4" x14ac:dyDescent="0.25">
      <c r="A1263" t="s">
        <v>1844</v>
      </c>
      <c r="B1263">
        <v>1</v>
      </c>
      <c r="C1263" s="54">
        <v>43160</v>
      </c>
      <c r="D1263" s="3" t="str">
        <f>YEAR(Datos_Consumo[[#This Row],[FECHA]])&amp;"-"&amp;MONTH(Datos_Consumo[[#This Row],[FECHA]])</f>
        <v>2018-3</v>
      </c>
    </row>
    <row r="1264" spans="1:4" x14ac:dyDescent="0.25">
      <c r="A1264" t="s">
        <v>1845</v>
      </c>
      <c r="B1264">
        <v>3</v>
      </c>
      <c r="C1264" s="54">
        <v>43101</v>
      </c>
      <c r="D1264" s="3" t="str">
        <f>YEAR(Datos_Consumo[[#This Row],[FECHA]])&amp;"-"&amp;MONTH(Datos_Consumo[[#This Row],[FECHA]])</f>
        <v>2018-1</v>
      </c>
    </row>
    <row r="1265" spans="1:4" x14ac:dyDescent="0.25">
      <c r="A1265" t="s">
        <v>1846</v>
      </c>
      <c r="B1265">
        <v>2</v>
      </c>
      <c r="C1265" s="54">
        <v>43101</v>
      </c>
      <c r="D1265" s="3" t="str">
        <f>YEAR(Datos_Consumo[[#This Row],[FECHA]])&amp;"-"&amp;MONTH(Datos_Consumo[[#This Row],[FECHA]])</f>
        <v>2018-1</v>
      </c>
    </row>
    <row r="1266" spans="1:4" x14ac:dyDescent="0.25">
      <c r="A1266" t="s">
        <v>1847</v>
      </c>
      <c r="B1266">
        <v>1</v>
      </c>
      <c r="C1266" s="54">
        <v>43160</v>
      </c>
      <c r="D1266" s="3" t="str">
        <f>YEAR(Datos_Consumo[[#This Row],[FECHA]])&amp;"-"&amp;MONTH(Datos_Consumo[[#This Row],[FECHA]])</f>
        <v>2018-3</v>
      </c>
    </row>
    <row r="1267" spans="1:4" x14ac:dyDescent="0.25">
      <c r="A1267" t="s">
        <v>1848</v>
      </c>
      <c r="B1267">
        <v>1</v>
      </c>
      <c r="C1267" s="54">
        <v>43070</v>
      </c>
      <c r="D1267" s="3" t="str">
        <f>YEAR(Datos_Consumo[[#This Row],[FECHA]])&amp;"-"&amp;MONTH(Datos_Consumo[[#This Row],[FECHA]])</f>
        <v>2017-12</v>
      </c>
    </row>
    <row r="1268" spans="1:4" x14ac:dyDescent="0.25">
      <c r="A1268" t="s">
        <v>1848</v>
      </c>
      <c r="B1268">
        <v>2</v>
      </c>
      <c r="C1268" s="54">
        <v>43101</v>
      </c>
      <c r="D1268" s="3" t="str">
        <f>YEAR(Datos_Consumo[[#This Row],[FECHA]])&amp;"-"&amp;MONTH(Datos_Consumo[[#This Row],[FECHA]])</f>
        <v>2018-1</v>
      </c>
    </row>
    <row r="1269" spans="1:4" x14ac:dyDescent="0.25">
      <c r="A1269" t="s">
        <v>1848</v>
      </c>
      <c r="B1269">
        <v>2</v>
      </c>
      <c r="C1269" s="54">
        <v>43160</v>
      </c>
      <c r="D1269" s="3" t="str">
        <f>YEAR(Datos_Consumo[[#This Row],[FECHA]])&amp;"-"&amp;MONTH(Datos_Consumo[[#This Row],[FECHA]])</f>
        <v>2018-3</v>
      </c>
    </row>
    <row r="1270" spans="1:4" x14ac:dyDescent="0.25">
      <c r="A1270" t="s">
        <v>1848</v>
      </c>
      <c r="B1270">
        <v>1</v>
      </c>
      <c r="C1270" s="54">
        <v>43191</v>
      </c>
      <c r="D1270" s="3" t="str">
        <f>YEAR(Datos_Consumo[[#This Row],[FECHA]])&amp;"-"&amp;MONTH(Datos_Consumo[[#This Row],[FECHA]])</f>
        <v>2018-4</v>
      </c>
    </row>
    <row r="1271" spans="1:4" x14ac:dyDescent="0.25">
      <c r="A1271" t="s">
        <v>1849</v>
      </c>
      <c r="B1271">
        <v>4</v>
      </c>
      <c r="C1271" s="54">
        <v>43132</v>
      </c>
      <c r="D1271" s="3" t="str">
        <f>YEAR(Datos_Consumo[[#This Row],[FECHA]])&amp;"-"&amp;MONTH(Datos_Consumo[[#This Row],[FECHA]])</f>
        <v>2018-2</v>
      </c>
    </row>
    <row r="1272" spans="1:4" x14ac:dyDescent="0.25">
      <c r="A1272" t="s">
        <v>1849</v>
      </c>
      <c r="B1272">
        <v>1</v>
      </c>
      <c r="C1272" s="54">
        <v>43160</v>
      </c>
      <c r="D1272" s="3" t="str">
        <f>YEAR(Datos_Consumo[[#This Row],[FECHA]])&amp;"-"&amp;MONTH(Datos_Consumo[[#This Row],[FECHA]])</f>
        <v>2018-3</v>
      </c>
    </row>
    <row r="1273" spans="1:4" x14ac:dyDescent="0.25">
      <c r="A1273" t="s">
        <v>1849</v>
      </c>
      <c r="B1273">
        <v>2</v>
      </c>
      <c r="C1273" s="54">
        <v>43191</v>
      </c>
      <c r="D1273" s="3" t="str">
        <f>YEAR(Datos_Consumo[[#This Row],[FECHA]])&amp;"-"&amp;MONTH(Datos_Consumo[[#This Row],[FECHA]])</f>
        <v>2018-4</v>
      </c>
    </row>
    <row r="1274" spans="1:4" x14ac:dyDescent="0.25">
      <c r="A1274" t="s">
        <v>1850</v>
      </c>
      <c r="B1274">
        <v>2</v>
      </c>
      <c r="C1274" s="54">
        <v>43101</v>
      </c>
      <c r="D1274" s="3" t="str">
        <f>YEAR(Datos_Consumo[[#This Row],[FECHA]])&amp;"-"&amp;MONTH(Datos_Consumo[[#This Row],[FECHA]])</f>
        <v>2018-1</v>
      </c>
    </row>
    <row r="1275" spans="1:4" x14ac:dyDescent="0.25">
      <c r="A1275" t="s">
        <v>1850</v>
      </c>
      <c r="B1275">
        <v>3</v>
      </c>
      <c r="C1275" s="54">
        <v>43132</v>
      </c>
      <c r="D1275" s="3" t="str">
        <f>YEAR(Datos_Consumo[[#This Row],[FECHA]])&amp;"-"&amp;MONTH(Datos_Consumo[[#This Row],[FECHA]])</f>
        <v>2018-2</v>
      </c>
    </row>
    <row r="1276" spans="1:4" x14ac:dyDescent="0.25">
      <c r="A1276" t="s">
        <v>1850</v>
      </c>
      <c r="B1276">
        <v>2</v>
      </c>
      <c r="C1276" s="54">
        <v>43191</v>
      </c>
      <c r="D1276" s="3" t="str">
        <f>YEAR(Datos_Consumo[[#This Row],[FECHA]])&amp;"-"&amp;MONTH(Datos_Consumo[[#This Row],[FECHA]])</f>
        <v>2018-4</v>
      </c>
    </row>
    <row r="1277" spans="1:4" x14ac:dyDescent="0.25">
      <c r="A1277" t="s">
        <v>1850</v>
      </c>
      <c r="B1277">
        <v>2</v>
      </c>
      <c r="C1277" s="54">
        <v>43221</v>
      </c>
      <c r="D1277" s="3" t="str">
        <f>YEAR(Datos_Consumo[[#This Row],[FECHA]])&amp;"-"&amp;MONTH(Datos_Consumo[[#This Row],[FECHA]])</f>
        <v>2018-5</v>
      </c>
    </row>
    <row r="1278" spans="1:4" x14ac:dyDescent="0.25">
      <c r="A1278" t="s">
        <v>1851</v>
      </c>
      <c r="B1278">
        <v>1</v>
      </c>
      <c r="C1278" s="54">
        <v>43132</v>
      </c>
      <c r="D1278" s="3" t="str">
        <f>YEAR(Datos_Consumo[[#This Row],[FECHA]])&amp;"-"&amp;MONTH(Datos_Consumo[[#This Row],[FECHA]])</f>
        <v>2018-2</v>
      </c>
    </row>
    <row r="1279" spans="1:4" x14ac:dyDescent="0.25">
      <c r="A1279" t="s">
        <v>1852</v>
      </c>
      <c r="B1279">
        <v>1</v>
      </c>
      <c r="C1279" s="54">
        <v>43070</v>
      </c>
      <c r="D1279" s="3" t="str">
        <f>YEAR(Datos_Consumo[[#This Row],[FECHA]])&amp;"-"&amp;MONTH(Datos_Consumo[[#This Row],[FECHA]])</f>
        <v>2017-12</v>
      </c>
    </row>
    <row r="1280" spans="1:4" x14ac:dyDescent="0.25">
      <c r="A1280" t="s">
        <v>1852</v>
      </c>
      <c r="B1280">
        <v>1</v>
      </c>
      <c r="C1280" s="54">
        <v>43160</v>
      </c>
      <c r="D1280" s="3" t="str">
        <f>YEAR(Datos_Consumo[[#This Row],[FECHA]])&amp;"-"&amp;MONTH(Datos_Consumo[[#This Row],[FECHA]])</f>
        <v>2018-3</v>
      </c>
    </row>
    <row r="1281" spans="1:4" x14ac:dyDescent="0.25">
      <c r="A1281" t="s">
        <v>1852</v>
      </c>
      <c r="B1281">
        <v>1</v>
      </c>
      <c r="C1281" s="54">
        <v>43221</v>
      </c>
      <c r="D1281" s="3" t="str">
        <f>YEAR(Datos_Consumo[[#This Row],[FECHA]])&amp;"-"&amp;MONTH(Datos_Consumo[[#This Row],[FECHA]])</f>
        <v>2018-5</v>
      </c>
    </row>
    <row r="1282" spans="1:4" x14ac:dyDescent="0.25">
      <c r="A1282" t="s">
        <v>1853</v>
      </c>
      <c r="B1282">
        <v>5</v>
      </c>
      <c r="C1282" s="54">
        <v>43101</v>
      </c>
      <c r="D1282" s="3" t="str">
        <f>YEAR(Datos_Consumo[[#This Row],[FECHA]])&amp;"-"&amp;MONTH(Datos_Consumo[[#This Row],[FECHA]])</f>
        <v>2018-1</v>
      </c>
    </row>
    <row r="1283" spans="1:4" x14ac:dyDescent="0.25">
      <c r="A1283" t="s">
        <v>1853</v>
      </c>
      <c r="B1283">
        <v>1</v>
      </c>
      <c r="C1283" s="54">
        <v>43160</v>
      </c>
      <c r="D1283" s="3" t="str">
        <f>YEAR(Datos_Consumo[[#This Row],[FECHA]])&amp;"-"&amp;MONTH(Datos_Consumo[[#This Row],[FECHA]])</f>
        <v>2018-3</v>
      </c>
    </row>
    <row r="1284" spans="1:4" x14ac:dyDescent="0.25">
      <c r="A1284" t="s">
        <v>1854</v>
      </c>
      <c r="B1284">
        <v>1</v>
      </c>
      <c r="C1284" s="54">
        <v>43160</v>
      </c>
      <c r="D1284" s="3" t="str">
        <f>YEAR(Datos_Consumo[[#This Row],[FECHA]])&amp;"-"&amp;MONTH(Datos_Consumo[[#This Row],[FECHA]])</f>
        <v>2018-3</v>
      </c>
    </row>
    <row r="1285" spans="1:4" x14ac:dyDescent="0.25">
      <c r="A1285" t="s">
        <v>1855</v>
      </c>
      <c r="B1285">
        <v>1</v>
      </c>
      <c r="C1285" s="54">
        <v>43101</v>
      </c>
      <c r="D1285" s="3" t="str">
        <f>YEAR(Datos_Consumo[[#This Row],[FECHA]])&amp;"-"&amp;MONTH(Datos_Consumo[[#This Row],[FECHA]])</f>
        <v>2018-1</v>
      </c>
    </row>
    <row r="1286" spans="1:4" x14ac:dyDescent="0.25">
      <c r="A1286" t="s">
        <v>1855</v>
      </c>
      <c r="B1286">
        <v>1</v>
      </c>
      <c r="C1286" s="54">
        <v>43160</v>
      </c>
      <c r="D1286" s="3" t="str">
        <f>YEAR(Datos_Consumo[[#This Row],[FECHA]])&amp;"-"&amp;MONTH(Datos_Consumo[[#This Row],[FECHA]])</f>
        <v>2018-3</v>
      </c>
    </row>
    <row r="1287" spans="1:4" x14ac:dyDescent="0.25">
      <c r="A1287" t="s">
        <v>1856</v>
      </c>
      <c r="B1287">
        <v>1</v>
      </c>
      <c r="C1287" s="54">
        <v>43132</v>
      </c>
      <c r="D1287" s="3" t="str">
        <f>YEAR(Datos_Consumo[[#This Row],[FECHA]])&amp;"-"&amp;MONTH(Datos_Consumo[[#This Row],[FECHA]])</f>
        <v>2018-2</v>
      </c>
    </row>
    <row r="1288" spans="1:4" x14ac:dyDescent="0.25">
      <c r="A1288" t="s">
        <v>1856</v>
      </c>
      <c r="B1288">
        <v>1</v>
      </c>
      <c r="C1288" s="54">
        <v>43160</v>
      </c>
      <c r="D1288" s="3" t="str">
        <f>YEAR(Datos_Consumo[[#This Row],[FECHA]])&amp;"-"&amp;MONTH(Datos_Consumo[[#This Row],[FECHA]])</f>
        <v>2018-3</v>
      </c>
    </row>
    <row r="1289" spans="1:4" x14ac:dyDescent="0.25">
      <c r="A1289" t="s">
        <v>1857</v>
      </c>
      <c r="B1289">
        <v>5</v>
      </c>
      <c r="C1289" s="54">
        <v>43070</v>
      </c>
      <c r="D1289" s="3" t="str">
        <f>YEAR(Datos_Consumo[[#This Row],[FECHA]])&amp;"-"&amp;MONTH(Datos_Consumo[[#This Row],[FECHA]])</f>
        <v>2017-12</v>
      </c>
    </row>
    <row r="1290" spans="1:4" x14ac:dyDescent="0.25">
      <c r="A1290" t="s">
        <v>1857</v>
      </c>
      <c r="B1290">
        <v>4</v>
      </c>
      <c r="C1290" s="54">
        <v>43101</v>
      </c>
      <c r="D1290" s="3" t="str">
        <f>YEAR(Datos_Consumo[[#This Row],[FECHA]])&amp;"-"&amp;MONTH(Datos_Consumo[[#This Row],[FECHA]])</f>
        <v>2018-1</v>
      </c>
    </row>
    <row r="1291" spans="1:4" x14ac:dyDescent="0.25">
      <c r="A1291" t="s">
        <v>1857</v>
      </c>
      <c r="B1291">
        <v>6</v>
      </c>
      <c r="C1291" s="54">
        <v>43160</v>
      </c>
      <c r="D1291" s="3" t="str">
        <f>YEAR(Datos_Consumo[[#This Row],[FECHA]])&amp;"-"&amp;MONTH(Datos_Consumo[[#This Row],[FECHA]])</f>
        <v>2018-3</v>
      </c>
    </row>
    <row r="1292" spans="1:4" x14ac:dyDescent="0.25">
      <c r="A1292" t="s">
        <v>1857</v>
      </c>
      <c r="B1292">
        <v>4</v>
      </c>
      <c r="C1292" s="54">
        <v>43191</v>
      </c>
      <c r="D1292" s="3" t="str">
        <f>YEAR(Datos_Consumo[[#This Row],[FECHA]])&amp;"-"&amp;MONTH(Datos_Consumo[[#This Row],[FECHA]])</f>
        <v>2018-4</v>
      </c>
    </row>
    <row r="1293" spans="1:4" x14ac:dyDescent="0.25">
      <c r="A1293" t="s">
        <v>1858</v>
      </c>
      <c r="B1293">
        <v>3</v>
      </c>
      <c r="C1293" s="54">
        <v>43101</v>
      </c>
      <c r="D1293" s="3" t="str">
        <f>YEAR(Datos_Consumo[[#This Row],[FECHA]])&amp;"-"&amp;MONTH(Datos_Consumo[[#This Row],[FECHA]])</f>
        <v>2018-1</v>
      </c>
    </row>
    <row r="1294" spans="1:4" x14ac:dyDescent="0.25">
      <c r="A1294" t="s">
        <v>1858</v>
      </c>
      <c r="B1294">
        <v>2</v>
      </c>
      <c r="C1294" s="54">
        <v>43160</v>
      </c>
      <c r="D1294" s="3" t="str">
        <f>YEAR(Datos_Consumo[[#This Row],[FECHA]])&amp;"-"&amp;MONTH(Datos_Consumo[[#This Row],[FECHA]])</f>
        <v>2018-3</v>
      </c>
    </row>
    <row r="1295" spans="1:4" x14ac:dyDescent="0.25">
      <c r="A1295" t="s">
        <v>1859</v>
      </c>
      <c r="B1295">
        <v>6</v>
      </c>
      <c r="C1295" s="54">
        <v>43101</v>
      </c>
      <c r="D1295" s="3" t="str">
        <f>YEAR(Datos_Consumo[[#This Row],[FECHA]])&amp;"-"&amp;MONTH(Datos_Consumo[[#This Row],[FECHA]])</f>
        <v>2018-1</v>
      </c>
    </row>
    <row r="1296" spans="1:4" x14ac:dyDescent="0.25">
      <c r="A1296" t="s">
        <v>1859</v>
      </c>
      <c r="B1296">
        <v>2</v>
      </c>
      <c r="C1296" s="54">
        <v>43132</v>
      </c>
      <c r="D1296" s="3" t="str">
        <f>YEAR(Datos_Consumo[[#This Row],[FECHA]])&amp;"-"&amp;MONTH(Datos_Consumo[[#This Row],[FECHA]])</f>
        <v>2018-2</v>
      </c>
    </row>
    <row r="1297" spans="1:4" x14ac:dyDescent="0.25">
      <c r="A1297" t="s">
        <v>1859</v>
      </c>
      <c r="B1297">
        <v>20</v>
      </c>
      <c r="C1297" s="54">
        <v>43160</v>
      </c>
      <c r="D1297" s="3" t="str">
        <f>YEAR(Datos_Consumo[[#This Row],[FECHA]])&amp;"-"&amp;MONTH(Datos_Consumo[[#This Row],[FECHA]])</f>
        <v>2018-3</v>
      </c>
    </row>
    <row r="1298" spans="1:4" x14ac:dyDescent="0.25">
      <c r="A1298" t="s">
        <v>1859</v>
      </c>
      <c r="B1298">
        <v>16</v>
      </c>
      <c r="C1298" s="54">
        <v>43191</v>
      </c>
      <c r="D1298" s="3" t="str">
        <f>YEAR(Datos_Consumo[[#This Row],[FECHA]])&amp;"-"&amp;MONTH(Datos_Consumo[[#This Row],[FECHA]])</f>
        <v>2018-4</v>
      </c>
    </row>
    <row r="1299" spans="1:4" x14ac:dyDescent="0.25">
      <c r="A1299" t="s">
        <v>1860</v>
      </c>
      <c r="B1299">
        <v>1</v>
      </c>
      <c r="C1299" s="54">
        <v>43191</v>
      </c>
      <c r="D1299" s="3" t="str">
        <f>YEAR(Datos_Consumo[[#This Row],[FECHA]])&amp;"-"&amp;MONTH(Datos_Consumo[[#This Row],[FECHA]])</f>
        <v>2018-4</v>
      </c>
    </row>
    <row r="1300" spans="1:4" x14ac:dyDescent="0.25">
      <c r="A1300" t="s">
        <v>1861</v>
      </c>
      <c r="B1300">
        <v>1</v>
      </c>
      <c r="C1300" s="54">
        <v>43070</v>
      </c>
      <c r="D1300" s="3" t="str">
        <f>YEAR(Datos_Consumo[[#This Row],[FECHA]])&amp;"-"&amp;MONTH(Datos_Consumo[[#This Row],[FECHA]])</f>
        <v>2017-12</v>
      </c>
    </row>
    <row r="1301" spans="1:4" x14ac:dyDescent="0.25">
      <c r="A1301" t="s">
        <v>1861</v>
      </c>
      <c r="B1301">
        <v>3</v>
      </c>
      <c r="C1301" s="54">
        <v>43101</v>
      </c>
      <c r="D1301" s="3" t="str">
        <f>YEAR(Datos_Consumo[[#This Row],[FECHA]])&amp;"-"&amp;MONTH(Datos_Consumo[[#This Row],[FECHA]])</f>
        <v>2018-1</v>
      </c>
    </row>
    <row r="1302" spans="1:4" x14ac:dyDescent="0.25">
      <c r="A1302" t="s">
        <v>1861</v>
      </c>
      <c r="B1302">
        <v>2</v>
      </c>
      <c r="C1302" s="54">
        <v>43132</v>
      </c>
      <c r="D1302" s="3" t="str">
        <f>YEAR(Datos_Consumo[[#This Row],[FECHA]])&amp;"-"&amp;MONTH(Datos_Consumo[[#This Row],[FECHA]])</f>
        <v>2018-2</v>
      </c>
    </row>
    <row r="1303" spans="1:4" x14ac:dyDescent="0.25">
      <c r="A1303" t="s">
        <v>1861</v>
      </c>
      <c r="B1303">
        <v>1</v>
      </c>
      <c r="C1303" s="54">
        <v>43191</v>
      </c>
      <c r="D1303" s="3" t="str">
        <f>YEAR(Datos_Consumo[[#This Row],[FECHA]])&amp;"-"&amp;MONTH(Datos_Consumo[[#This Row],[FECHA]])</f>
        <v>2018-4</v>
      </c>
    </row>
    <row r="1304" spans="1:4" x14ac:dyDescent="0.25">
      <c r="A1304" t="s">
        <v>1861</v>
      </c>
      <c r="B1304">
        <v>1</v>
      </c>
      <c r="C1304" s="54">
        <v>43221</v>
      </c>
      <c r="D1304" s="3" t="str">
        <f>YEAR(Datos_Consumo[[#This Row],[FECHA]])&amp;"-"&amp;MONTH(Datos_Consumo[[#This Row],[FECHA]])</f>
        <v>2018-5</v>
      </c>
    </row>
    <row r="1305" spans="1:4" x14ac:dyDescent="0.25">
      <c r="A1305" t="s">
        <v>1862</v>
      </c>
      <c r="B1305">
        <v>2</v>
      </c>
      <c r="C1305" s="54">
        <v>43101</v>
      </c>
      <c r="D1305" s="3" t="str">
        <f>YEAR(Datos_Consumo[[#This Row],[FECHA]])&amp;"-"&amp;MONTH(Datos_Consumo[[#This Row],[FECHA]])</f>
        <v>2018-1</v>
      </c>
    </row>
    <row r="1306" spans="1:4" x14ac:dyDescent="0.25">
      <c r="A1306" t="s">
        <v>1863</v>
      </c>
      <c r="B1306">
        <v>2</v>
      </c>
      <c r="C1306" s="54">
        <v>43070</v>
      </c>
      <c r="D1306" s="3" t="str">
        <f>YEAR(Datos_Consumo[[#This Row],[FECHA]])&amp;"-"&amp;MONTH(Datos_Consumo[[#This Row],[FECHA]])</f>
        <v>2017-12</v>
      </c>
    </row>
    <row r="1307" spans="1:4" x14ac:dyDescent="0.25">
      <c r="A1307" t="s">
        <v>1863</v>
      </c>
      <c r="B1307">
        <v>1</v>
      </c>
      <c r="C1307" s="54">
        <v>43101</v>
      </c>
      <c r="D1307" s="3" t="str">
        <f>YEAR(Datos_Consumo[[#This Row],[FECHA]])&amp;"-"&amp;MONTH(Datos_Consumo[[#This Row],[FECHA]])</f>
        <v>2018-1</v>
      </c>
    </row>
    <row r="1308" spans="1:4" x14ac:dyDescent="0.25">
      <c r="A1308" t="s">
        <v>1863</v>
      </c>
      <c r="B1308">
        <v>1</v>
      </c>
      <c r="C1308" s="54">
        <v>43160</v>
      </c>
      <c r="D1308" s="3" t="str">
        <f>YEAR(Datos_Consumo[[#This Row],[FECHA]])&amp;"-"&amp;MONTH(Datos_Consumo[[#This Row],[FECHA]])</f>
        <v>2018-3</v>
      </c>
    </row>
    <row r="1309" spans="1:4" x14ac:dyDescent="0.25">
      <c r="A1309" t="s">
        <v>1863</v>
      </c>
      <c r="B1309">
        <v>2</v>
      </c>
      <c r="C1309" s="54">
        <v>43191</v>
      </c>
      <c r="D1309" s="3" t="str">
        <f>YEAR(Datos_Consumo[[#This Row],[FECHA]])&amp;"-"&amp;MONTH(Datos_Consumo[[#This Row],[FECHA]])</f>
        <v>2018-4</v>
      </c>
    </row>
    <row r="1310" spans="1:4" x14ac:dyDescent="0.25">
      <c r="A1310" t="s">
        <v>1864</v>
      </c>
      <c r="B1310">
        <v>1</v>
      </c>
      <c r="C1310" s="54">
        <v>43132</v>
      </c>
      <c r="D1310" s="3" t="str">
        <f>YEAR(Datos_Consumo[[#This Row],[FECHA]])&amp;"-"&amp;MONTH(Datos_Consumo[[#This Row],[FECHA]])</f>
        <v>2018-2</v>
      </c>
    </row>
    <row r="1311" spans="1:4" x14ac:dyDescent="0.25">
      <c r="A1311" t="s">
        <v>1864</v>
      </c>
      <c r="B1311">
        <v>1</v>
      </c>
      <c r="C1311" s="54">
        <v>43160</v>
      </c>
      <c r="D1311" s="3" t="str">
        <f>YEAR(Datos_Consumo[[#This Row],[FECHA]])&amp;"-"&amp;MONTH(Datos_Consumo[[#This Row],[FECHA]])</f>
        <v>2018-3</v>
      </c>
    </row>
    <row r="1312" spans="1:4" x14ac:dyDescent="0.25">
      <c r="A1312" t="s">
        <v>1864</v>
      </c>
      <c r="B1312">
        <v>2</v>
      </c>
      <c r="C1312" s="54">
        <v>43191</v>
      </c>
      <c r="D1312" s="3" t="str">
        <f>YEAR(Datos_Consumo[[#This Row],[FECHA]])&amp;"-"&amp;MONTH(Datos_Consumo[[#This Row],[FECHA]])</f>
        <v>2018-4</v>
      </c>
    </row>
    <row r="1313" spans="1:4" x14ac:dyDescent="0.25">
      <c r="A1313" t="s">
        <v>1865</v>
      </c>
      <c r="B1313">
        <v>1</v>
      </c>
      <c r="C1313" s="54">
        <v>43101</v>
      </c>
      <c r="D1313" s="3" t="str">
        <f>YEAR(Datos_Consumo[[#This Row],[FECHA]])&amp;"-"&amp;MONTH(Datos_Consumo[[#This Row],[FECHA]])</f>
        <v>2018-1</v>
      </c>
    </row>
    <row r="1314" spans="1:4" x14ac:dyDescent="0.25">
      <c r="A1314" t="s">
        <v>1865</v>
      </c>
      <c r="B1314">
        <v>1</v>
      </c>
      <c r="C1314" s="54">
        <v>43160</v>
      </c>
      <c r="D1314" s="3" t="str">
        <f>YEAR(Datos_Consumo[[#This Row],[FECHA]])&amp;"-"&amp;MONTH(Datos_Consumo[[#This Row],[FECHA]])</f>
        <v>2018-3</v>
      </c>
    </row>
    <row r="1315" spans="1:4" x14ac:dyDescent="0.25">
      <c r="A1315" t="s">
        <v>1866</v>
      </c>
      <c r="B1315">
        <v>1</v>
      </c>
      <c r="C1315" s="54">
        <v>43101</v>
      </c>
      <c r="D1315" s="3" t="str">
        <f>YEAR(Datos_Consumo[[#This Row],[FECHA]])&amp;"-"&amp;MONTH(Datos_Consumo[[#This Row],[FECHA]])</f>
        <v>2018-1</v>
      </c>
    </row>
    <row r="1316" spans="1:4" x14ac:dyDescent="0.25">
      <c r="A1316" t="s">
        <v>1867</v>
      </c>
      <c r="B1316">
        <v>1</v>
      </c>
      <c r="C1316" s="54">
        <v>43070</v>
      </c>
      <c r="D1316" s="3" t="str">
        <f>YEAR(Datos_Consumo[[#This Row],[FECHA]])&amp;"-"&amp;MONTH(Datos_Consumo[[#This Row],[FECHA]])</f>
        <v>2017-12</v>
      </c>
    </row>
    <row r="1317" spans="1:4" x14ac:dyDescent="0.25">
      <c r="A1317" t="s">
        <v>1867</v>
      </c>
      <c r="B1317">
        <v>2</v>
      </c>
      <c r="C1317" s="54">
        <v>43101</v>
      </c>
      <c r="D1317" s="3" t="str">
        <f>YEAR(Datos_Consumo[[#This Row],[FECHA]])&amp;"-"&amp;MONTH(Datos_Consumo[[#This Row],[FECHA]])</f>
        <v>2018-1</v>
      </c>
    </row>
    <row r="1318" spans="1:4" x14ac:dyDescent="0.25">
      <c r="A1318" t="s">
        <v>1867</v>
      </c>
      <c r="B1318">
        <v>9</v>
      </c>
      <c r="C1318" s="54">
        <v>43191</v>
      </c>
      <c r="D1318" s="3" t="str">
        <f>YEAR(Datos_Consumo[[#This Row],[FECHA]])&amp;"-"&amp;MONTH(Datos_Consumo[[#This Row],[FECHA]])</f>
        <v>2018-4</v>
      </c>
    </row>
    <row r="1319" spans="1:4" x14ac:dyDescent="0.25">
      <c r="A1319" t="s">
        <v>1867</v>
      </c>
      <c r="B1319">
        <v>1</v>
      </c>
      <c r="C1319" s="54">
        <v>43221</v>
      </c>
      <c r="D1319" s="3" t="str">
        <f>YEAR(Datos_Consumo[[#This Row],[FECHA]])&amp;"-"&amp;MONTH(Datos_Consumo[[#This Row],[FECHA]])</f>
        <v>2018-5</v>
      </c>
    </row>
    <row r="1320" spans="1:4" x14ac:dyDescent="0.25">
      <c r="A1320" t="s">
        <v>1868</v>
      </c>
      <c r="B1320">
        <v>3</v>
      </c>
      <c r="C1320" s="54">
        <v>43070</v>
      </c>
      <c r="D1320" s="3" t="str">
        <f>YEAR(Datos_Consumo[[#This Row],[FECHA]])&amp;"-"&amp;MONTH(Datos_Consumo[[#This Row],[FECHA]])</f>
        <v>2017-12</v>
      </c>
    </row>
    <row r="1321" spans="1:4" x14ac:dyDescent="0.25">
      <c r="A1321" t="s">
        <v>1868</v>
      </c>
      <c r="B1321">
        <v>2</v>
      </c>
      <c r="C1321" s="54">
        <v>43160</v>
      </c>
      <c r="D1321" s="3" t="str">
        <f>YEAR(Datos_Consumo[[#This Row],[FECHA]])&amp;"-"&amp;MONTH(Datos_Consumo[[#This Row],[FECHA]])</f>
        <v>2018-3</v>
      </c>
    </row>
    <row r="1322" spans="1:4" x14ac:dyDescent="0.25">
      <c r="A1322" t="s">
        <v>1868</v>
      </c>
      <c r="B1322">
        <v>11</v>
      </c>
      <c r="C1322" s="54">
        <v>43191</v>
      </c>
      <c r="D1322" s="3" t="str">
        <f>YEAR(Datos_Consumo[[#This Row],[FECHA]])&amp;"-"&amp;MONTH(Datos_Consumo[[#This Row],[FECHA]])</f>
        <v>2018-4</v>
      </c>
    </row>
    <row r="1323" spans="1:4" x14ac:dyDescent="0.25">
      <c r="A1323" t="s">
        <v>1868</v>
      </c>
      <c r="B1323">
        <v>3</v>
      </c>
      <c r="C1323" s="54">
        <v>43221</v>
      </c>
      <c r="D1323" s="3" t="str">
        <f>YEAR(Datos_Consumo[[#This Row],[FECHA]])&amp;"-"&amp;MONTH(Datos_Consumo[[#This Row],[FECHA]])</f>
        <v>2018-5</v>
      </c>
    </row>
    <row r="1324" spans="1:4" x14ac:dyDescent="0.25">
      <c r="A1324" t="s">
        <v>1869</v>
      </c>
      <c r="B1324">
        <v>1</v>
      </c>
      <c r="C1324" s="54">
        <v>43070</v>
      </c>
      <c r="D1324" s="3" t="str">
        <f>YEAR(Datos_Consumo[[#This Row],[FECHA]])&amp;"-"&amp;MONTH(Datos_Consumo[[#This Row],[FECHA]])</f>
        <v>2017-12</v>
      </c>
    </row>
    <row r="1325" spans="1:4" x14ac:dyDescent="0.25">
      <c r="A1325" t="s">
        <v>1870</v>
      </c>
      <c r="B1325">
        <v>1</v>
      </c>
      <c r="C1325" s="54">
        <v>43101</v>
      </c>
      <c r="D1325" s="3" t="str">
        <f>YEAR(Datos_Consumo[[#This Row],[FECHA]])&amp;"-"&amp;MONTH(Datos_Consumo[[#This Row],[FECHA]])</f>
        <v>2018-1</v>
      </c>
    </row>
    <row r="1326" spans="1:4" x14ac:dyDescent="0.25">
      <c r="A1326" t="s">
        <v>1870</v>
      </c>
      <c r="B1326">
        <v>1</v>
      </c>
      <c r="C1326" s="54">
        <v>43132</v>
      </c>
      <c r="D1326" s="3" t="str">
        <f>YEAR(Datos_Consumo[[#This Row],[FECHA]])&amp;"-"&amp;MONTH(Datos_Consumo[[#This Row],[FECHA]])</f>
        <v>2018-2</v>
      </c>
    </row>
    <row r="1327" spans="1:4" x14ac:dyDescent="0.25">
      <c r="A1327" t="s">
        <v>1870</v>
      </c>
      <c r="B1327">
        <v>1</v>
      </c>
      <c r="C1327" s="54">
        <v>43160</v>
      </c>
      <c r="D1327" s="3" t="str">
        <f>YEAR(Datos_Consumo[[#This Row],[FECHA]])&amp;"-"&amp;MONTH(Datos_Consumo[[#This Row],[FECHA]])</f>
        <v>2018-3</v>
      </c>
    </row>
    <row r="1328" spans="1:4" x14ac:dyDescent="0.25">
      <c r="A1328" t="s">
        <v>1871</v>
      </c>
      <c r="B1328">
        <v>1</v>
      </c>
      <c r="C1328" s="54">
        <v>43070</v>
      </c>
      <c r="D1328" s="3" t="str">
        <f>YEAR(Datos_Consumo[[#This Row],[FECHA]])&amp;"-"&amp;MONTH(Datos_Consumo[[#This Row],[FECHA]])</f>
        <v>2017-12</v>
      </c>
    </row>
    <row r="1329" spans="1:4" x14ac:dyDescent="0.25">
      <c r="A1329" t="s">
        <v>1871</v>
      </c>
      <c r="B1329">
        <v>3</v>
      </c>
      <c r="C1329" s="54">
        <v>43101</v>
      </c>
      <c r="D1329" s="3" t="str">
        <f>YEAR(Datos_Consumo[[#This Row],[FECHA]])&amp;"-"&amp;MONTH(Datos_Consumo[[#This Row],[FECHA]])</f>
        <v>2018-1</v>
      </c>
    </row>
    <row r="1330" spans="1:4" x14ac:dyDescent="0.25">
      <c r="A1330" t="s">
        <v>1871</v>
      </c>
      <c r="B1330">
        <v>2</v>
      </c>
      <c r="C1330" s="54">
        <v>43132</v>
      </c>
      <c r="D1330" s="3" t="str">
        <f>YEAR(Datos_Consumo[[#This Row],[FECHA]])&amp;"-"&amp;MONTH(Datos_Consumo[[#This Row],[FECHA]])</f>
        <v>2018-2</v>
      </c>
    </row>
    <row r="1331" spans="1:4" x14ac:dyDescent="0.25">
      <c r="A1331" t="s">
        <v>1871</v>
      </c>
      <c r="B1331">
        <v>4</v>
      </c>
      <c r="C1331" s="54">
        <v>43160</v>
      </c>
      <c r="D1331" s="3" t="str">
        <f>YEAR(Datos_Consumo[[#This Row],[FECHA]])&amp;"-"&amp;MONTH(Datos_Consumo[[#This Row],[FECHA]])</f>
        <v>2018-3</v>
      </c>
    </row>
    <row r="1332" spans="1:4" x14ac:dyDescent="0.25">
      <c r="A1332" t="s">
        <v>1871</v>
      </c>
      <c r="B1332">
        <v>5</v>
      </c>
      <c r="C1332" s="54">
        <v>43191</v>
      </c>
      <c r="D1332" s="3" t="str">
        <f>YEAR(Datos_Consumo[[#This Row],[FECHA]])&amp;"-"&amp;MONTH(Datos_Consumo[[#This Row],[FECHA]])</f>
        <v>2018-4</v>
      </c>
    </row>
    <row r="1333" spans="1:4" x14ac:dyDescent="0.25">
      <c r="A1333" t="s">
        <v>1871</v>
      </c>
      <c r="B1333">
        <v>3</v>
      </c>
      <c r="C1333" s="54">
        <v>43221</v>
      </c>
      <c r="D1333" s="3" t="str">
        <f>YEAR(Datos_Consumo[[#This Row],[FECHA]])&amp;"-"&amp;MONTH(Datos_Consumo[[#This Row],[FECHA]])</f>
        <v>2018-5</v>
      </c>
    </row>
    <row r="1334" spans="1:4" x14ac:dyDescent="0.25">
      <c r="A1334" t="s">
        <v>1872</v>
      </c>
      <c r="B1334">
        <v>3</v>
      </c>
      <c r="C1334" s="54">
        <v>43101</v>
      </c>
      <c r="D1334" s="3" t="str">
        <f>YEAR(Datos_Consumo[[#This Row],[FECHA]])&amp;"-"&amp;MONTH(Datos_Consumo[[#This Row],[FECHA]])</f>
        <v>2018-1</v>
      </c>
    </row>
    <row r="1335" spans="1:4" x14ac:dyDescent="0.25">
      <c r="A1335" t="s">
        <v>1872</v>
      </c>
      <c r="B1335">
        <v>2</v>
      </c>
      <c r="C1335" s="54">
        <v>43132</v>
      </c>
      <c r="D1335" s="3" t="str">
        <f>YEAR(Datos_Consumo[[#This Row],[FECHA]])&amp;"-"&amp;MONTH(Datos_Consumo[[#This Row],[FECHA]])</f>
        <v>2018-2</v>
      </c>
    </row>
    <row r="1336" spans="1:4" x14ac:dyDescent="0.25">
      <c r="A1336" t="s">
        <v>1872</v>
      </c>
      <c r="B1336">
        <v>3</v>
      </c>
      <c r="C1336" s="54">
        <v>43160</v>
      </c>
      <c r="D1336" s="3" t="str">
        <f>YEAR(Datos_Consumo[[#This Row],[FECHA]])&amp;"-"&amp;MONTH(Datos_Consumo[[#This Row],[FECHA]])</f>
        <v>2018-3</v>
      </c>
    </row>
    <row r="1337" spans="1:4" x14ac:dyDescent="0.25">
      <c r="A1337" t="s">
        <v>1872</v>
      </c>
      <c r="B1337">
        <v>5</v>
      </c>
      <c r="C1337" s="54">
        <v>43191</v>
      </c>
      <c r="D1337" s="3" t="str">
        <f>YEAR(Datos_Consumo[[#This Row],[FECHA]])&amp;"-"&amp;MONTH(Datos_Consumo[[#This Row],[FECHA]])</f>
        <v>2018-4</v>
      </c>
    </row>
    <row r="1338" spans="1:4" x14ac:dyDescent="0.25">
      <c r="A1338" t="s">
        <v>1872</v>
      </c>
      <c r="B1338">
        <v>4</v>
      </c>
      <c r="C1338" s="54">
        <v>43221</v>
      </c>
      <c r="D1338" s="3" t="str">
        <f>YEAR(Datos_Consumo[[#This Row],[FECHA]])&amp;"-"&amp;MONTH(Datos_Consumo[[#This Row],[FECHA]])</f>
        <v>2018-5</v>
      </c>
    </row>
    <row r="1339" spans="1:4" x14ac:dyDescent="0.25">
      <c r="A1339" t="s">
        <v>1873</v>
      </c>
      <c r="B1339">
        <v>4</v>
      </c>
      <c r="C1339" s="54">
        <v>43070</v>
      </c>
      <c r="D1339" s="3" t="str">
        <f>YEAR(Datos_Consumo[[#This Row],[FECHA]])&amp;"-"&amp;MONTH(Datos_Consumo[[#This Row],[FECHA]])</f>
        <v>2017-12</v>
      </c>
    </row>
    <row r="1340" spans="1:4" x14ac:dyDescent="0.25">
      <c r="A1340" t="s">
        <v>1873</v>
      </c>
      <c r="B1340">
        <v>5</v>
      </c>
      <c r="C1340" s="54">
        <v>43101</v>
      </c>
      <c r="D1340" s="3" t="str">
        <f>YEAR(Datos_Consumo[[#This Row],[FECHA]])&amp;"-"&amp;MONTH(Datos_Consumo[[#This Row],[FECHA]])</f>
        <v>2018-1</v>
      </c>
    </row>
    <row r="1341" spans="1:4" x14ac:dyDescent="0.25">
      <c r="A1341" t="s">
        <v>1873</v>
      </c>
      <c r="B1341">
        <v>1</v>
      </c>
      <c r="C1341" s="54">
        <v>43132</v>
      </c>
      <c r="D1341" s="3" t="str">
        <f>YEAR(Datos_Consumo[[#This Row],[FECHA]])&amp;"-"&amp;MONTH(Datos_Consumo[[#This Row],[FECHA]])</f>
        <v>2018-2</v>
      </c>
    </row>
    <row r="1342" spans="1:4" x14ac:dyDescent="0.25">
      <c r="A1342" t="s">
        <v>1873</v>
      </c>
      <c r="B1342">
        <v>3</v>
      </c>
      <c r="C1342" s="54">
        <v>43160</v>
      </c>
      <c r="D1342" s="3" t="str">
        <f>YEAR(Datos_Consumo[[#This Row],[FECHA]])&amp;"-"&amp;MONTH(Datos_Consumo[[#This Row],[FECHA]])</f>
        <v>2018-3</v>
      </c>
    </row>
    <row r="1343" spans="1:4" x14ac:dyDescent="0.25">
      <c r="A1343" t="s">
        <v>1873</v>
      </c>
      <c r="B1343">
        <v>9</v>
      </c>
      <c r="C1343" s="54">
        <v>43191</v>
      </c>
      <c r="D1343" s="3" t="str">
        <f>YEAR(Datos_Consumo[[#This Row],[FECHA]])&amp;"-"&amp;MONTH(Datos_Consumo[[#This Row],[FECHA]])</f>
        <v>2018-4</v>
      </c>
    </row>
    <row r="1344" spans="1:4" x14ac:dyDescent="0.25">
      <c r="A1344" t="s">
        <v>1874</v>
      </c>
      <c r="B1344">
        <v>1</v>
      </c>
      <c r="C1344" s="54">
        <v>43160</v>
      </c>
      <c r="D1344" s="3" t="str">
        <f>YEAR(Datos_Consumo[[#This Row],[FECHA]])&amp;"-"&amp;MONTH(Datos_Consumo[[#This Row],[FECHA]])</f>
        <v>2018-3</v>
      </c>
    </row>
    <row r="1345" spans="1:4" x14ac:dyDescent="0.25">
      <c r="A1345" t="s">
        <v>1875</v>
      </c>
      <c r="B1345">
        <v>2</v>
      </c>
      <c r="C1345" s="54">
        <v>43101</v>
      </c>
      <c r="D1345" s="3" t="str">
        <f>YEAR(Datos_Consumo[[#This Row],[FECHA]])&amp;"-"&amp;MONTH(Datos_Consumo[[#This Row],[FECHA]])</f>
        <v>2018-1</v>
      </c>
    </row>
    <row r="1346" spans="1:4" x14ac:dyDescent="0.25">
      <c r="A1346" t="s">
        <v>1875</v>
      </c>
      <c r="B1346">
        <v>11</v>
      </c>
      <c r="C1346" s="54">
        <v>43132</v>
      </c>
      <c r="D1346" s="3" t="str">
        <f>YEAR(Datos_Consumo[[#This Row],[FECHA]])&amp;"-"&amp;MONTH(Datos_Consumo[[#This Row],[FECHA]])</f>
        <v>2018-2</v>
      </c>
    </row>
    <row r="1347" spans="1:4" x14ac:dyDescent="0.25">
      <c r="A1347" t="s">
        <v>1875</v>
      </c>
      <c r="B1347">
        <v>5</v>
      </c>
      <c r="C1347" s="54">
        <v>43160</v>
      </c>
      <c r="D1347" s="3" t="str">
        <f>YEAR(Datos_Consumo[[#This Row],[FECHA]])&amp;"-"&amp;MONTH(Datos_Consumo[[#This Row],[FECHA]])</f>
        <v>2018-3</v>
      </c>
    </row>
    <row r="1348" spans="1:4" x14ac:dyDescent="0.25">
      <c r="A1348" t="s">
        <v>4050</v>
      </c>
      <c r="B1348">
        <v>1</v>
      </c>
      <c r="C1348" s="54">
        <v>43191</v>
      </c>
      <c r="D1348" s="3" t="str">
        <f>YEAR(Datos_Consumo[[#This Row],[FECHA]])&amp;"-"&amp;MONTH(Datos_Consumo[[#This Row],[FECHA]])</f>
        <v>2018-4</v>
      </c>
    </row>
    <row r="1349" spans="1:4" x14ac:dyDescent="0.25">
      <c r="A1349" t="s">
        <v>1876</v>
      </c>
      <c r="B1349">
        <v>9</v>
      </c>
      <c r="C1349" s="54">
        <v>43070</v>
      </c>
      <c r="D1349" s="3" t="str">
        <f>YEAR(Datos_Consumo[[#This Row],[FECHA]])&amp;"-"&amp;MONTH(Datos_Consumo[[#This Row],[FECHA]])</f>
        <v>2017-12</v>
      </c>
    </row>
    <row r="1350" spans="1:4" x14ac:dyDescent="0.25">
      <c r="A1350" t="s">
        <v>1876</v>
      </c>
      <c r="B1350">
        <v>18</v>
      </c>
      <c r="C1350" s="54">
        <v>43101</v>
      </c>
      <c r="D1350" s="3" t="str">
        <f>YEAR(Datos_Consumo[[#This Row],[FECHA]])&amp;"-"&amp;MONTH(Datos_Consumo[[#This Row],[FECHA]])</f>
        <v>2018-1</v>
      </c>
    </row>
    <row r="1351" spans="1:4" x14ac:dyDescent="0.25">
      <c r="A1351" t="s">
        <v>1876</v>
      </c>
      <c r="B1351">
        <v>3</v>
      </c>
      <c r="C1351" s="54">
        <v>43132</v>
      </c>
      <c r="D1351" s="3" t="str">
        <f>YEAR(Datos_Consumo[[#This Row],[FECHA]])&amp;"-"&amp;MONTH(Datos_Consumo[[#This Row],[FECHA]])</f>
        <v>2018-2</v>
      </c>
    </row>
    <row r="1352" spans="1:4" x14ac:dyDescent="0.25">
      <c r="A1352" t="s">
        <v>1876</v>
      </c>
      <c r="B1352">
        <v>7</v>
      </c>
      <c r="C1352" s="54">
        <v>43160</v>
      </c>
      <c r="D1352" s="3" t="str">
        <f>YEAR(Datos_Consumo[[#This Row],[FECHA]])&amp;"-"&amp;MONTH(Datos_Consumo[[#This Row],[FECHA]])</f>
        <v>2018-3</v>
      </c>
    </row>
    <row r="1353" spans="1:4" x14ac:dyDescent="0.25">
      <c r="A1353" t="s">
        <v>1876</v>
      </c>
      <c r="B1353">
        <v>18</v>
      </c>
      <c r="C1353" s="54">
        <v>43191</v>
      </c>
      <c r="D1353" s="3" t="str">
        <f>YEAR(Datos_Consumo[[#This Row],[FECHA]])&amp;"-"&amp;MONTH(Datos_Consumo[[#This Row],[FECHA]])</f>
        <v>2018-4</v>
      </c>
    </row>
    <row r="1354" spans="1:4" x14ac:dyDescent="0.25">
      <c r="A1354" t="s">
        <v>1876</v>
      </c>
      <c r="B1354">
        <v>1</v>
      </c>
      <c r="C1354" s="54">
        <v>43221</v>
      </c>
      <c r="D1354" s="3" t="str">
        <f>YEAR(Datos_Consumo[[#This Row],[FECHA]])&amp;"-"&amp;MONTH(Datos_Consumo[[#This Row],[FECHA]])</f>
        <v>2018-5</v>
      </c>
    </row>
    <row r="1355" spans="1:4" x14ac:dyDescent="0.25">
      <c r="A1355" t="s">
        <v>1877</v>
      </c>
      <c r="B1355">
        <v>1</v>
      </c>
      <c r="C1355" s="54">
        <v>43132</v>
      </c>
      <c r="D1355" s="3" t="str">
        <f>YEAR(Datos_Consumo[[#This Row],[FECHA]])&amp;"-"&amp;MONTH(Datos_Consumo[[#This Row],[FECHA]])</f>
        <v>2018-2</v>
      </c>
    </row>
    <row r="1356" spans="1:4" x14ac:dyDescent="0.25">
      <c r="A1356" t="s">
        <v>1877</v>
      </c>
      <c r="B1356">
        <v>1</v>
      </c>
      <c r="C1356" s="54">
        <v>43160</v>
      </c>
      <c r="D1356" s="3" t="str">
        <f>YEAR(Datos_Consumo[[#This Row],[FECHA]])&amp;"-"&amp;MONTH(Datos_Consumo[[#This Row],[FECHA]])</f>
        <v>2018-3</v>
      </c>
    </row>
    <row r="1357" spans="1:4" x14ac:dyDescent="0.25">
      <c r="A1357" t="s">
        <v>1878</v>
      </c>
      <c r="B1357">
        <v>2</v>
      </c>
      <c r="C1357" s="54">
        <v>43070</v>
      </c>
      <c r="D1357" s="3" t="str">
        <f>YEAR(Datos_Consumo[[#This Row],[FECHA]])&amp;"-"&amp;MONTH(Datos_Consumo[[#This Row],[FECHA]])</f>
        <v>2017-12</v>
      </c>
    </row>
    <row r="1358" spans="1:4" x14ac:dyDescent="0.25">
      <c r="A1358" t="s">
        <v>1878</v>
      </c>
      <c r="B1358">
        <v>9</v>
      </c>
      <c r="C1358" s="54">
        <v>43101</v>
      </c>
      <c r="D1358" s="3" t="str">
        <f>YEAR(Datos_Consumo[[#This Row],[FECHA]])&amp;"-"&amp;MONTH(Datos_Consumo[[#This Row],[FECHA]])</f>
        <v>2018-1</v>
      </c>
    </row>
    <row r="1359" spans="1:4" x14ac:dyDescent="0.25">
      <c r="A1359" t="s">
        <v>1878</v>
      </c>
      <c r="B1359">
        <v>1</v>
      </c>
      <c r="C1359" s="54">
        <v>43132</v>
      </c>
      <c r="D1359" s="3" t="str">
        <f>YEAR(Datos_Consumo[[#This Row],[FECHA]])&amp;"-"&amp;MONTH(Datos_Consumo[[#This Row],[FECHA]])</f>
        <v>2018-2</v>
      </c>
    </row>
    <row r="1360" spans="1:4" x14ac:dyDescent="0.25">
      <c r="A1360" t="s">
        <v>1878</v>
      </c>
      <c r="B1360">
        <v>3</v>
      </c>
      <c r="C1360" s="54">
        <v>43160</v>
      </c>
      <c r="D1360" s="3" t="str">
        <f>YEAR(Datos_Consumo[[#This Row],[FECHA]])&amp;"-"&amp;MONTH(Datos_Consumo[[#This Row],[FECHA]])</f>
        <v>2018-3</v>
      </c>
    </row>
    <row r="1361" spans="1:4" x14ac:dyDescent="0.25">
      <c r="A1361" t="s">
        <v>1878</v>
      </c>
      <c r="B1361">
        <v>1</v>
      </c>
      <c r="C1361" s="54">
        <v>43191</v>
      </c>
      <c r="D1361" s="3" t="str">
        <f>YEAR(Datos_Consumo[[#This Row],[FECHA]])&amp;"-"&amp;MONTH(Datos_Consumo[[#This Row],[FECHA]])</f>
        <v>2018-4</v>
      </c>
    </row>
    <row r="1362" spans="1:4" x14ac:dyDescent="0.25">
      <c r="A1362" t="s">
        <v>1879</v>
      </c>
      <c r="B1362">
        <v>1</v>
      </c>
      <c r="C1362" s="54">
        <v>43132</v>
      </c>
      <c r="D1362" s="3" t="str">
        <f>YEAR(Datos_Consumo[[#This Row],[FECHA]])&amp;"-"&amp;MONTH(Datos_Consumo[[#This Row],[FECHA]])</f>
        <v>2018-2</v>
      </c>
    </row>
    <row r="1363" spans="1:4" x14ac:dyDescent="0.25">
      <c r="A1363" t="s">
        <v>1879</v>
      </c>
      <c r="B1363">
        <v>2</v>
      </c>
      <c r="C1363" s="54">
        <v>43221</v>
      </c>
      <c r="D1363" s="3" t="str">
        <f>YEAR(Datos_Consumo[[#This Row],[FECHA]])&amp;"-"&amp;MONTH(Datos_Consumo[[#This Row],[FECHA]])</f>
        <v>2018-5</v>
      </c>
    </row>
    <row r="1364" spans="1:4" x14ac:dyDescent="0.25">
      <c r="A1364" t="s">
        <v>1880</v>
      </c>
      <c r="B1364">
        <v>2</v>
      </c>
      <c r="C1364" s="54">
        <v>43160</v>
      </c>
      <c r="D1364" s="3" t="str">
        <f>YEAR(Datos_Consumo[[#This Row],[FECHA]])&amp;"-"&amp;MONTH(Datos_Consumo[[#This Row],[FECHA]])</f>
        <v>2018-3</v>
      </c>
    </row>
    <row r="1365" spans="1:4" x14ac:dyDescent="0.25">
      <c r="A1365" t="s">
        <v>1881</v>
      </c>
      <c r="B1365">
        <v>14</v>
      </c>
      <c r="C1365" s="54">
        <v>43070</v>
      </c>
      <c r="D1365" s="3" t="str">
        <f>YEAR(Datos_Consumo[[#This Row],[FECHA]])&amp;"-"&amp;MONTH(Datos_Consumo[[#This Row],[FECHA]])</f>
        <v>2017-12</v>
      </c>
    </row>
    <row r="1366" spans="1:4" x14ac:dyDescent="0.25">
      <c r="A1366" t="s">
        <v>1881</v>
      </c>
      <c r="B1366">
        <v>12</v>
      </c>
      <c r="C1366" s="54">
        <v>43101</v>
      </c>
      <c r="D1366" s="3" t="str">
        <f>YEAR(Datos_Consumo[[#This Row],[FECHA]])&amp;"-"&amp;MONTH(Datos_Consumo[[#This Row],[FECHA]])</f>
        <v>2018-1</v>
      </c>
    </row>
    <row r="1367" spans="1:4" x14ac:dyDescent="0.25">
      <c r="A1367" t="s">
        <v>1881</v>
      </c>
      <c r="B1367">
        <v>19</v>
      </c>
      <c r="C1367" s="54">
        <v>43132</v>
      </c>
      <c r="D1367" s="3" t="str">
        <f>YEAR(Datos_Consumo[[#This Row],[FECHA]])&amp;"-"&amp;MONTH(Datos_Consumo[[#This Row],[FECHA]])</f>
        <v>2018-2</v>
      </c>
    </row>
    <row r="1368" spans="1:4" x14ac:dyDescent="0.25">
      <c r="A1368" t="s">
        <v>1881</v>
      </c>
      <c r="B1368">
        <v>27</v>
      </c>
      <c r="C1368" s="54">
        <v>43160</v>
      </c>
      <c r="D1368" s="3" t="str">
        <f>YEAR(Datos_Consumo[[#This Row],[FECHA]])&amp;"-"&amp;MONTH(Datos_Consumo[[#This Row],[FECHA]])</f>
        <v>2018-3</v>
      </c>
    </row>
    <row r="1369" spans="1:4" x14ac:dyDescent="0.25">
      <c r="A1369" t="s">
        <v>1881</v>
      </c>
      <c r="B1369">
        <v>30</v>
      </c>
      <c r="C1369" s="54">
        <v>43191</v>
      </c>
      <c r="D1369" s="3" t="str">
        <f>YEAR(Datos_Consumo[[#This Row],[FECHA]])&amp;"-"&amp;MONTH(Datos_Consumo[[#This Row],[FECHA]])</f>
        <v>2018-4</v>
      </c>
    </row>
    <row r="1370" spans="1:4" x14ac:dyDescent="0.25">
      <c r="A1370" t="s">
        <v>1881</v>
      </c>
      <c r="B1370">
        <v>18</v>
      </c>
      <c r="C1370" s="54">
        <v>43221</v>
      </c>
      <c r="D1370" s="3" t="str">
        <f>YEAR(Datos_Consumo[[#This Row],[FECHA]])&amp;"-"&amp;MONTH(Datos_Consumo[[#This Row],[FECHA]])</f>
        <v>2018-5</v>
      </c>
    </row>
    <row r="1371" spans="1:4" x14ac:dyDescent="0.25">
      <c r="A1371" t="s">
        <v>1882</v>
      </c>
      <c r="B1371">
        <v>4</v>
      </c>
      <c r="C1371" s="54">
        <v>43132</v>
      </c>
      <c r="D1371" s="3" t="str">
        <f>YEAR(Datos_Consumo[[#This Row],[FECHA]])&amp;"-"&amp;MONTH(Datos_Consumo[[#This Row],[FECHA]])</f>
        <v>2018-2</v>
      </c>
    </row>
    <row r="1372" spans="1:4" x14ac:dyDescent="0.25">
      <c r="A1372" t="s">
        <v>1882</v>
      </c>
      <c r="B1372">
        <v>2</v>
      </c>
      <c r="C1372" s="54">
        <v>43160</v>
      </c>
      <c r="D1372" s="3" t="str">
        <f>YEAR(Datos_Consumo[[#This Row],[FECHA]])&amp;"-"&amp;MONTH(Datos_Consumo[[#This Row],[FECHA]])</f>
        <v>2018-3</v>
      </c>
    </row>
    <row r="1373" spans="1:4" x14ac:dyDescent="0.25">
      <c r="A1373" t="s">
        <v>1882</v>
      </c>
      <c r="B1373">
        <v>2</v>
      </c>
      <c r="C1373" s="54">
        <v>43191</v>
      </c>
      <c r="D1373" s="3" t="str">
        <f>YEAR(Datos_Consumo[[#This Row],[FECHA]])&amp;"-"&amp;MONTH(Datos_Consumo[[#This Row],[FECHA]])</f>
        <v>2018-4</v>
      </c>
    </row>
    <row r="1374" spans="1:4" x14ac:dyDescent="0.25">
      <c r="A1374" t="s">
        <v>1883</v>
      </c>
      <c r="B1374">
        <v>2</v>
      </c>
      <c r="C1374" s="54">
        <v>43070</v>
      </c>
      <c r="D1374" s="3" t="str">
        <f>YEAR(Datos_Consumo[[#This Row],[FECHA]])&amp;"-"&amp;MONTH(Datos_Consumo[[#This Row],[FECHA]])</f>
        <v>2017-12</v>
      </c>
    </row>
    <row r="1375" spans="1:4" x14ac:dyDescent="0.25">
      <c r="A1375" t="s">
        <v>1883</v>
      </c>
      <c r="B1375">
        <v>1</v>
      </c>
      <c r="C1375" s="54">
        <v>43160</v>
      </c>
      <c r="D1375" s="3" t="str">
        <f>YEAR(Datos_Consumo[[#This Row],[FECHA]])&amp;"-"&amp;MONTH(Datos_Consumo[[#This Row],[FECHA]])</f>
        <v>2018-3</v>
      </c>
    </row>
    <row r="1376" spans="1:4" x14ac:dyDescent="0.25">
      <c r="A1376" t="s">
        <v>1884</v>
      </c>
      <c r="B1376">
        <v>5</v>
      </c>
      <c r="C1376" s="54">
        <v>43070</v>
      </c>
      <c r="D1376" s="3" t="str">
        <f>YEAR(Datos_Consumo[[#This Row],[FECHA]])&amp;"-"&amp;MONTH(Datos_Consumo[[#This Row],[FECHA]])</f>
        <v>2017-12</v>
      </c>
    </row>
    <row r="1377" spans="1:4" x14ac:dyDescent="0.25">
      <c r="A1377" t="s">
        <v>1884</v>
      </c>
      <c r="B1377">
        <v>7</v>
      </c>
      <c r="C1377" s="54">
        <v>43101</v>
      </c>
      <c r="D1377" s="3" t="str">
        <f>YEAR(Datos_Consumo[[#This Row],[FECHA]])&amp;"-"&amp;MONTH(Datos_Consumo[[#This Row],[FECHA]])</f>
        <v>2018-1</v>
      </c>
    </row>
    <row r="1378" spans="1:4" x14ac:dyDescent="0.25">
      <c r="A1378" t="s">
        <v>1884</v>
      </c>
      <c r="B1378">
        <v>12</v>
      </c>
      <c r="C1378" s="54">
        <v>43132</v>
      </c>
      <c r="D1378" s="3" t="str">
        <f>YEAR(Datos_Consumo[[#This Row],[FECHA]])&amp;"-"&amp;MONTH(Datos_Consumo[[#This Row],[FECHA]])</f>
        <v>2018-2</v>
      </c>
    </row>
    <row r="1379" spans="1:4" x14ac:dyDescent="0.25">
      <c r="A1379" t="s">
        <v>1884</v>
      </c>
      <c r="B1379">
        <v>9</v>
      </c>
      <c r="C1379" s="54">
        <v>43191</v>
      </c>
      <c r="D1379" s="3" t="str">
        <f>YEAR(Datos_Consumo[[#This Row],[FECHA]])&amp;"-"&amp;MONTH(Datos_Consumo[[#This Row],[FECHA]])</f>
        <v>2018-4</v>
      </c>
    </row>
    <row r="1380" spans="1:4" x14ac:dyDescent="0.25">
      <c r="A1380" t="s">
        <v>1885</v>
      </c>
      <c r="B1380">
        <v>4</v>
      </c>
      <c r="C1380" s="54">
        <v>43070</v>
      </c>
      <c r="D1380" s="3" t="str">
        <f>YEAR(Datos_Consumo[[#This Row],[FECHA]])&amp;"-"&amp;MONTH(Datos_Consumo[[#This Row],[FECHA]])</f>
        <v>2017-12</v>
      </c>
    </row>
    <row r="1381" spans="1:4" x14ac:dyDescent="0.25">
      <c r="A1381" t="s">
        <v>1885</v>
      </c>
      <c r="B1381">
        <v>2</v>
      </c>
      <c r="C1381" s="54">
        <v>43132</v>
      </c>
      <c r="D1381" s="3" t="str">
        <f>YEAR(Datos_Consumo[[#This Row],[FECHA]])&amp;"-"&amp;MONTH(Datos_Consumo[[#This Row],[FECHA]])</f>
        <v>2018-2</v>
      </c>
    </row>
    <row r="1382" spans="1:4" x14ac:dyDescent="0.25">
      <c r="A1382" t="s">
        <v>1885</v>
      </c>
      <c r="B1382">
        <v>2</v>
      </c>
      <c r="C1382" s="54">
        <v>43160</v>
      </c>
      <c r="D1382" s="3" t="str">
        <f>YEAR(Datos_Consumo[[#This Row],[FECHA]])&amp;"-"&amp;MONTH(Datos_Consumo[[#This Row],[FECHA]])</f>
        <v>2018-3</v>
      </c>
    </row>
    <row r="1383" spans="1:4" x14ac:dyDescent="0.25">
      <c r="A1383" t="s">
        <v>1885</v>
      </c>
      <c r="B1383">
        <v>2</v>
      </c>
      <c r="C1383" s="54">
        <v>43191</v>
      </c>
      <c r="D1383" s="3" t="str">
        <f>YEAR(Datos_Consumo[[#This Row],[FECHA]])&amp;"-"&amp;MONTH(Datos_Consumo[[#This Row],[FECHA]])</f>
        <v>2018-4</v>
      </c>
    </row>
    <row r="1384" spans="1:4" x14ac:dyDescent="0.25">
      <c r="A1384" t="s">
        <v>1886</v>
      </c>
      <c r="B1384">
        <v>3</v>
      </c>
      <c r="C1384" s="54">
        <v>43132</v>
      </c>
      <c r="D1384" s="3" t="str">
        <f>YEAR(Datos_Consumo[[#This Row],[FECHA]])&amp;"-"&amp;MONTH(Datos_Consumo[[#This Row],[FECHA]])</f>
        <v>2018-2</v>
      </c>
    </row>
    <row r="1385" spans="1:4" x14ac:dyDescent="0.25">
      <c r="A1385" t="s">
        <v>1887</v>
      </c>
      <c r="B1385">
        <v>2</v>
      </c>
      <c r="C1385" s="54">
        <v>43070</v>
      </c>
      <c r="D1385" s="3" t="str">
        <f>YEAR(Datos_Consumo[[#This Row],[FECHA]])&amp;"-"&amp;MONTH(Datos_Consumo[[#This Row],[FECHA]])</f>
        <v>2017-12</v>
      </c>
    </row>
    <row r="1386" spans="1:4" x14ac:dyDescent="0.25">
      <c r="A1386" t="s">
        <v>1887</v>
      </c>
      <c r="B1386">
        <v>2</v>
      </c>
      <c r="C1386" s="54">
        <v>43101</v>
      </c>
      <c r="D1386" s="3" t="str">
        <f>YEAR(Datos_Consumo[[#This Row],[FECHA]])&amp;"-"&amp;MONTH(Datos_Consumo[[#This Row],[FECHA]])</f>
        <v>2018-1</v>
      </c>
    </row>
    <row r="1387" spans="1:4" x14ac:dyDescent="0.25">
      <c r="A1387" t="s">
        <v>1887</v>
      </c>
      <c r="B1387">
        <v>2</v>
      </c>
      <c r="C1387" s="54">
        <v>43132</v>
      </c>
      <c r="D1387" s="3" t="str">
        <f>YEAR(Datos_Consumo[[#This Row],[FECHA]])&amp;"-"&amp;MONTH(Datos_Consumo[[#This Row],[FECHA]])</f>
        <v>2018-2</v>
      </c>
    </row>
    <row r="1388" spans="1:4" x14ac:dyDescent="0.25">
      <c r="A1388" t="s">
        <v>1887</v>
      </c>
      <c r="B1388">
        <v>2</v>
      </c>
      <c r="C1388" s="54">
        <v>43160</v>
      </c>
      <c r="D1388" s="3" t="str">
        <f>YEAR(Datos_Consumo[[#This Row],[FECHA]])&amp;"-"&amp;MONTH(Datos_Consumo[[#This Row],[FECHA]])</f>
        <v>2018-3</v>
      </c>
    </row>
    <row r="1389" spans="1:4" x14ac:dyDescent="0.25">
      <c r="A1389" t="s">
        <v>1888</v>
      </c>
      <c r="B1389">
        <v>2</v>
      </c>
      <c r="C1389" s="54">
        <v>43070</v>
      </c>
      <c r="D1389" s="3" t="str">
        <f>YEAR(Datos_Consumo[[#This Row],[FECHA]])&amp;"-"&amp;MONTH(Datos_Consumo[[#This Row],[FECHA]])</f>
        <v>2017-12</v>
      </c>
    </row>
    <row r="1390" spans="1:4" x14ac:dyDescent="0.25">
      <c r="A1390" t="s">
        <v>1888</v>
      </c>
      <c r="B1390">
        <v>1</v>
      </c>
      <c r="C1390" s="54">
        <v>43101</v>
      </c>
      <c r="D1390" s="3" t="str">
        <f>YEAR(Datos_Consumo[[#This Row],[FECHA]])&amp;"-"&amp;MONTH(Datos_Consumo[[#This Row],[FECHA]])</f>
        <v>2018-1</v>
      </c>
    </row>
    <row r="1391" spans="1:4" x14ac:dyDescent="0.25">
      <c r="A1391" t="s">
        <v>1888</v>
      </c>
      <c r="B1391">
        <v>1</v>
      </c>
      <c r="C1391" s="54">
        <v>43132</v>
      </c>
      <c r="D1391" s="3" t="str">
        <f>YEAR(Datos_Consumo[[#This Row],[FECHA]])&amp;"-"&amp;MONTH(Datos_Consumo[[#This Row],[FECHA]])</f>
        <v>2018-2</v>
      </c>
    </row>
    <row r="1392" spans="1:4" x14ac:dyDescent="0.25">
      <c r="A1392" t="s">
        <v>1888</v>
      </c>
      <c r="B1392">
        <v>2</v>
      </c>
      <c r="C1392" s="54">
        <v>43191</v>
      </c>
      <c r="D1392" s="3" t="str">
        <f>YEAR(Datos_Consumo[[#This Row],[FECHA]])&amp;"-"&amp;MONTH(Datos_Consumo[[#This Row],[FECHA]])</f>
        <v>2018-4</v>
      </c>
    </row>
    <row r="1393" spans="1:4" x14ac:dyDescent="0.25">
      <c r="A1393" t="s">
        <v>1889</v>
      </c>
      <c r="B1393">
        <v>16</v>
      </c>
      <c r="C1393" s="54">
        <v>43070</v>
      </c>
      <c r="D1393" s="3" t="str">
        <f>YEAR(Datos_Consumo[[#This Row],[FECHA]])&amp;"-"&amp;MONTH(Datos_Consumo[[#This Row],[FECHA]])</f>
        <v>2017-12</v>
      </c>
    </row>
    <row r="1394" spans="1:4" x14ac:dyDescent="0.25">
      <c r="A1394" t="s">
        <v>1889</v>
      </c>
      <c r="B1394">
        <v>31</v>
      </c>
      <c r="C1394" s="54">
        <v>43101</v>
      </c>
      <c r="D1394" s="3" t="str">
        <f>YEAR(Datos_Consumo[[#This Row],[FECHA]])&amp;"-"&amp;MONTH(Datos_Consumo[[#This Row],[FECHA]])</f>
        <v>2018-1</v>
      </c>
    </row>
    <row r="1395" spans="1:4" x14ac:dyDescent="0.25">
      <c r="A1395" t="s">
        <v>1889</v>
      </c>
      <c r="B1395">
        <v>8</v>
      </c>
      <c r="C1395" s="54">
        <v>43132</v>
      </c>
      <c r="D1395" s="3" t="str">
        <f>YEAR(Datos_Consumo[[#This Row],[FECHA]])&amp;"-"&amp;MONTH(Datos_Consumo[[#This Row],[FECHA]])</f>
        <v>2018-2</v>
      </c>
    </row>
    <row r="1396" spans="1:4" x14ac:dyDescent="0.25">
      <c r="A1396" t="s">
        <v>1889</v>
      </c>
      <c r="B1396">
        <v>27</v>
      </c>
      <c r="C1396" s="54">
        <v>43160</v>
      </c>
      <c r="D1396" s="3" t="str">
        <f>YEAR(Datos_Consumo[[#This Row],[FECHA]])&amp;"-"&amp;MONTH(Datos_Consumo[[#This Row],[FECHA]])</f>
        <v>2018-3</v>
      </c>
    </row>
    <row r="1397" spans="1:4" x14ac:dyDescent="0.25">
      <c r="A1397" t="s">
        <v>1889</v>
      </c>
      <c r="B1397">
        <v>32</v>
      </c>
      <c r="C1397" s="54">
        <v>43191</v>
      </c>
      <c r="D1397" s="3" t="str">
        <f>YEAR(Datos_Consumo[[#This Row],[FECHA]])&amp;"-"&amp;MONTH(Datos_Consumo[[#This Row],[FECHA]])</f>
        <v>2018-4</v>
      </c>
    </row>
    <row r="1398" spans="1:4" x14ac:dyDescent="0.25">
      <c r="A1398" t="s">
        <v>1889</v>
      </c>
      <c r="B1398">
        <v>19</v>
      </c>
      <c r="C1398" s="54">
        <v>43221</v>
      </c>
      <c r="D1398" s="3" t="str">
        <f>YEAR(Datos_Consumo[[#This Row],[FECHA]])&amp;"-"&amp;MONTH(Datos_Consumo[[#This Row],[FECHA]])</f>
        <v>2018-5</v>
      </c>
    </row>
    <row r="1399" spans="1:4" x14ac:dyDescent="0.25">
      <c r="A1399" t="s">
        <v>1890</v>
      </c>
      <c r="B1399">
        <v>1</v>
      </c>
      <c r="C1399" s="54">
        <v>43191</v>
      </c>
      <c r="D1399" s="3" t="str">
        <f>YEAR(Datos_Consumo[[#This Row],[FECHA]])&amp;"-"&amp;MONTH(Datos_Consumo[[#This Row],[FECHA]])</f>
        <v>2018-4</v>
      </c>
    </row>
    <row r="1400" spans="1:4" x14ac:dyDescent="0.25">
      <c r="A1400" t="s">
        <v>1891</v>
      </c>
      <c r="B1400">
        <v>27</v>
      </c>
      <c r="C1400" s="54">
        <v>43070</v>
      </c>
      <c r="D1400" s="3" t="str">
        <f>YEAR(Datos_Consumo[[#This Row],[FECHA]])&amp;"-"&amp;MONTH(Datos_Consumo[[#This Row],[FECHA]])</f>
        <v>2017-12</v>
      </c>
    </row>
    <row r="1401" spans="1:4" x14ac:dyDescent="0.25">
      <c r="A1401" t="s">
        <v>1891</v>
      </c>
      <c r="B1401">
        <v>84</v>
      </c>
      <c r="C1401" s="54">
        <v>43101</v>
      </c>
      <c r="D1401" s="3" t="str">
        <f>YEAR(Datos_Consumo[[#This Row],[FECHA]])&amp;"-"&amp;MONTH(Datos_Consumo[[#This Row],[FECHA]])</f>
        <v>2018-1</v>
      </c>
    </row>
    <row r="1402" spans="1:4" x14ac:dyDescent="0.25">
      <c r="A1402" t="s">
        <v>1891</v>
      </c>
      <c r="B1402">
        <v>46</v>
      </c>
      <c r="C1402" s="54">
        <v>43132</v>
      </c>
      <c r="D1402" s="3" t="str">
        <f>YEAR(Datos_Consumo[[#This Row],[FECHA]])&amp;"-"&amp;MONTH(Datos_Consumo[[#This Row],[FECHA]])</f>
        <v>2018-2</v>
      </c>
    </row>
    <row r="1403" spans="1:4" x14ac:dyDescent="0.25">
      <c r="A1403" t="s">
        <v>1891</v>
      </c>
      <c r="B1403">
        <v>105</v>
      </c>
      <c r="C1403" s="54">
        <v>43160</v>
      </c>
      <c r="D1403" s="3" t="str">
        <f>YEAR(Datos_Consumo[[#This Row],[FECHA]])&amp;"-"&amp;MONTH(Datos_Consumo[[#This Row],[FECHA]])</f>
        <v>2018-3</v>
      </c>
    </row>
    <row r="1404" spans="1:4" x14ac:dyDescent="0.25">
      <c r="A1404" t="s">
        <v>1891</v>
      </c>
      <c r="B1404">
        <v>34</v>
      </c>
      <c r="C1404" s="54">
        <v>43191</v>
      </c>
      <c r="D1404" s="3" t="str">
        <f>YEAR(Datos_Consumo[[#This Row],[FECHA]])&amp;"-"&amp;MONTH(Datos_Consumo[[#This Row],[FECHA]])</f>
        <v>2018-4</v>
      </c>
    </row>
    <row r="1405" spans="1:4" x14ac:dyDescent="0.25">
      <c r="A1405" t="s">
        <v>1891</v>
      </c>
      <c r="B1405">
        <v>5</v>
      </c>
      <c r="C1405" s="54">
        <v>43221</v>
      </c>
      <c r="D1405" s="3" t="str">
        <f>YEAR(Datos_Consumo[[#This Row],[FECHA]])&amp;"-"&amp;MONTH(Datos_Consumo[[#This Row],[FECHA]])</f>
        <v>2018-5</v>
      </c>
    </row>
    <row r="1406" spans="1:4" x14ac:dyDescent="0.25">
      <c r="A1406" t="s">
        <v>1892</v>
      </c>
      <c r="B1406">
        <v>2</v>
      </c>
      <c r="C1406" s="54">
        <v>43070</v>
      </c>
      <c r="D1406" s="3" t="str">
        <f>YEAR(Datos_Consumo[[#This Row],[FECHA]])&amp;"-"&amp;MONTH(Datos_Consumo[[#This Row],[FECHA]])</f>
        <v>2017-12</v>
      </c>
    </row>
    <row r="1407" spans="1:4" x14ac:dyDescent="0.25">
      <c r="A1407" t="s">
        <v>1893</v>
      </c>
      <c r="B1407">
        <v>6</v>
      </c>
      <c r="C1407" s="54">
        <v>43101</v>
      </c>
      <c r="D1407" s="3" t="str">
        <f>YEAR(Datos_Consumo[[#This Row],[FECHA]])&amp;"-"&amp;MONTH(Datos_Consumo[[#This Row],[FECHA]])</f>
        <v>2018-1</v>
      </c>
    </row>
    <row r="1408" spans="1:4" x14ac:dyDescent="0.25">
      <c r="A1408" t="s">
        <v>1893</v>
      </c>
      <c r="B1408">
        <v>2</v>
      </c>
      <c r="C1408" s="54">
        <v>43132</v>
      </c>
      <c r="D1408" s="3" t="str">
        <f>YEAR(Datos_Consumo[[#This Row],[FECHA]])&amp;"-"&amp;MONTH(Datos_Consumo[[#This Row],[FECHA]])</f>
        <v>2018-2</v>
      </c>
    </row>
    <row r="1409" spans="1:4" x14ac:dyDescent="0.25">
      <c r="A1409" t="s">
        <v>1893</v>
      </c>
      <c r="B1409">
        <v>1</v>
      </c>
      <c r="C1409" s="54">
        <v>43160</v>
      </c>
      <c r="D1409" s="3" t="str">
        <f>YEAR(Datos_Consumo[[#This Row],[FECHA]])&amp;"-"&amp;MONTH(Datos_Consumo[[#This Row],[FECHA]])</f>
        <v>2018-3</v>
      </c>
    </row>
    <row r="1410" spans="1:4" x14ac:dyDescent="0.25">
      <c r="A1410" t="s">
        <v>1894</v>
      </c>
      <c r="B1410">
        <v>89</v>
      </c>
      <c r="C1410" s="54">
        <v>43070</v>
      </c>
      <c r="D1410" s="3" t="str">
        <f>YEAR(Datos_Consumo[[#This Row],[FECHA]])&amp;"-"&amp;MONTH(Datos_Consumo[[#This Row],[FECHA]])</f>
        <v>2017-12</v>
      </c>
    </row>
    <row r="1411" spans="1:4" x14ac:dyDescent="0.25">
      <c r="A1411" t="s">
        <v>1894</v>
      </c>
      <c r="B1411">
        <v>120</v>
      </c>
      <c r="C1411" s="54">
        <v>43101</v>
      </c>
      <c r="D1411" s="3" t="str">
        <f>YEAR(Datos_Consumo[[#This Row],[FECHA]])&amp;"-"&amp;MONTH(Datos_Consumo[[#This Row],[FECHA]])</f>
        <v>2018-1</v>
      </c>
    </row>
    <row r="1412" spans="1:4" x14ac:dyDescent="0.25">
      <c r="A1412" t="s">
        <v>1894</v>
      </c>
      <c r="B1412">
        <v>85</v>
      </c>
      <c r="C1412" s="54">
        <v>43160</v>
      </c>
      <c r="D1412" s="3" t="str">
        <f>YEAR(Datos_Consumo[[#This Row],[FECHA]])&amp;"-"&amp;MONTH(Datos_Consumo[[#This Row],[FECHA]])</f>
        <v>2018-3</v>
      </c>
    </row>
    <row r="1413" spans="1:4" x14ac:dyDescent="0.25">
      <c r="A1413" t="s">
        <v>1894</v>
      </c>
      <c r="B1413">
        <v>115</v>
      </c>
      <c r="C1413" s="54">
        <v>43191</v>
      </c>
      <c r="D1413" s="3" t="str">
        <f>YEAR(Datos_Consumo[[#This Row],[FECHA]])&amp;"-"&amp;MONTH(Datos_Consumo[[#This Row],[FECHA]])</f>
        <v>2018-4</v>
      </c>
    </row>
    <row r="1414" spans="1:4" x14ac:dyDescent="0.25">
      <c r="A1414" t="s">
        <v>1895</v>
      </c>
      <c r="B1414">
        <v>13</v>
      </c>
      <c r="C1414" s="54">
        <v>43132</v>
      </c>
      <c r="D1414" s="3" t="str">
        <f>YEAR(Datos_Consumo[[#This Row],[FECHA]])&amp;"-"&amp;MONTH(Datos_Consumo[[#This Row],[FECHA]])</f>
        <v>2018-2</v>
      </c>
    </row>
    <row r="1415" spans="1:4" x14ac:dyDescent="0.25">
      <c r="A1415" t="s">
        <v>1895</v>
      </c>
      <c r="B1415">
        <v>7</v>
      </c>
      <c r="C1415" s="54">
        <v>43160</v>
      </c>
      <c r="D1415" s="3" t="str">
        <f>YEAR(Datos_Consumo[[#This Row],[FECHA]])&amp;"-"&amp;MONTH(Datos_Consumo[[#This Row],[FECHA]])</f>
        <v>2018-3</v>
      </c>
    </row>
    <row r="1416" spans="1:4" x14ac:dyDescent="0.25">
      <c r="A1416" t="s">
        <v>1895</v>
      </c>
      <c r="B1416">
        <v>9</v>
      </c>
      <c r="C1416" s="54">
        <v>43191</v>
      </c>
      <c r="D1416" s="3" t="str">
        <f>YEAR(Datos_Consumo[[#This Row],[FECHA]])&amp;"-"&amp;MONTH(Datos_Consumo[[#This Row],[FECHA]])</f>
        <v>2018-4</v>
      </c>
    </row>
    <row r="1417" spans="1:4" x14ac:dyDescent="0.25">
      <c r="A1417" t="s">
        <v>1895</v>
      </c>
      <c r="B1417">
        <v>4</v>
      </c>
      <c r="C1417" s="54">
        <v>43221</v>
      </c>
      <c r="D1417" s="3" t="str">
        <f>YEAR(Datos_Consumo[[#This Row],[FECHA]])&amp;"-"&amp;MONTH(Datos_Consumo[[#This Row],[FECHA]])</f>
        <v>2018-5</v>
      </c>
    </row>
    <row r="1418" spans="1:4" x14ac:dyDescent="0.25">
      <c r="A1418" t="s">
        <v>1896</v>
      </c>
      <c r="B1418">
        <v>28</v>
      </c>
      <c r="C1418" s="54">
        <v>43070</v>
      </c>
      <c r="D1418" s="3" t="str">
        <f>YEAR(Datos_Consumo[[#This Row],[FECHA]])&amp;"-"&amp;MONTH(Datos_Consumo[[#This Row],[FECHA]])</f>
        <v>2017-12</v>
      </c>
    </row>
    <row r="1419" spans="1:4" x14ac:dyDescent="0.25">
      <c r="A1419" t="s">
        <v>1896</v>
      </c>
      <c r="B1419">
        <v>34</v>
      </c>
      <c r="C1419" s="54">
        <v>43101</v>
      </c>
      <c r="D1419" s="3" t="str">
        <f>YEAR(Datos_Consumo[[#This Row],[FECHA]])&amp;"-"&amp;MONTH(Datos_Consumo[[#This Row],[FECHA]])</f>
        <v>2018-1</v>
      </c>
    </row>
    <row r="1420" spans="1:4" x14ac:dyDescent="0.25">
      <c r="A1420" t="s">
        <v>1896</v>
      </c>
      <c r="B1420">
        <v>12</v>
      </c>
      <c r="C1420" s="54">
        <v>43132</v>
      </c>
      <c r="D1420" s="3" t="str">
        <f>YEAR(Datos_Consumo[[#This Row],[FECHA]])&amp;"-"&amp;MONTH(Datos_Consumo[[#This Row],[FECHA]])</f>
        <v>2018-2</v>
      </c>
    </row>
    <row r="1421" spans="1:4" x14ac:dyDescent="0.25">
      <c r="A1421" t="s">
        <v>1896</v>
      </c>
      <c r="B1421">
        <v>18</v>
      </c>
      <c r="C1421" s="54">
        <v>43160</v>
      </c>
      <c r="D1421" s="3" t="str">
        <f>YEAR(Datos_Consumo[[#This Row],[FECHA]])&amp;"-"&amp;MONTH(Datos_Consumo[[#This Row],[FECHA]])</f>
        <v>2018-3</v>
      </c>
    </row>
    <row r="1422" spans="1:4" x14ac:dyDescent="0.25">
      <c r="A1422" t="s">
        <v>1896</v>
      </c>
      <c r="B1422">
        <v>40</v>
      </c>
      <c r="C1422" s="54">
        <v>43191</v>
      </c>
      <c r="D1422" s="3" t="str">
        <f>YEAR(Datos_Consumo[[#This Row],[FECHA]])&amp;"-"&amp;MONTH(Datos_Consumo[[#This Row],[FECHA]])</f>
        <v>2018-4</v>
      </c>
    </row>
    <row r="1423" spans="1:4" x14ac:dyDescent="0.25">
      <c r="A1423" t="s">
        <v>1896</v>
      </c>
      <c r="B1423">
        <v>6</v>
      </c>
      <c r="C1423" s="54">
        <v>43221</v>
      </c>
      <c r="D1423" s="3" t="str">
        <f>YEAR(Datos_Consumo[[#This Row],[FECHA]])&amp;"-"&amp;MONTH(Datos_Consumo[[#This Row],[FECHA]])</f>
        <v>2018-5</v>
      </c>
    </row>
    <row r="1424" spans="1:4" x14ac:dyDescent="0.25">
      <c r="A1424" t="s">
        <v>1897</v>
      </c>
      <c r="B1424">
        <v>2</v>
      </c>
      <c r="C1424" s="54">
        <v>43160</v>
      </c>
      <c r="D1424" s="3" t="str">
        <f>YEAR(Datos_Consumo[[#This Row],[FECHA]])&amp;"-"&amp;MONTH(Datos_Consumo[[#This Row],[FECHA]])</f>
        <v>2018-3</v>
      </c>
    </row>
    <row r="1425" spans="1:4" x14ac:dyDescent="0.25">
      <c r="A1425" t="s">
        <v>4051</v>
      </c>
      <c r="B1425">
        <v>1</v>
      </c>
      <c r="C1425" s="54">
        <v>43191</v>
      </c>
      <c r="D1425" s="3" t="str">
        <f>YEAR(Datos_Consumo[[#This Row],[FECHA]])&amp;"-"&amp;MONTH(Datos_Consumo[[#This Row],[FECHA]])</f>
        <v>2018-4</v>
      </c>
    </row>
    <row r="1426" spans="1:4" x14ac:dyDescent="0.25">
      <c r="A1426" t="s">
        <v>1898</v>
      </c>
      <c r="B1426">
        <v>20</v>
      </c>
      <c r="C1426" s="54">
        <v>43070</v>
      </c>
      <c r="D1426" s="3" t="str">
        <f>YEAR(Datos_Consumo[[#This Row],[FECHA]])&amp;"-"&amp;MONTH(Datos_Consumo[[#This Row],[FECHA]])</f>
        <v>2017-12</v>
      </c>
    </row>
    <row r="1427" spans="1:4" x14ac:dyDescent="0.25">
      <c r="A1427" t="s">
        <v>1898</v>
      </c>
      <c r="B1427">
        <v>50</v>
      </c>
      <c r="C1427" s="54">
        <v>43101</v>
      </c>
      <c r="D1427" s="3" t="str">
        <f>YEAR(Datos_Consumo[[#This Row],[FECHA]])&amp;"-"&amp;MONTH(Datos_Consumo[[#This Row],[FECHA]])</f>
        <v>2018-1</v>
      </c>
    </row>
    <row r="1428" spans="1:4" x14ac:dyDescent="0.25">
      <c r="A1428" t="s">
        <v>1898</v>
      </c>
      <c r="B1428">
        <v>14</v>
      </c>
      <c r="C1428" s="54">
        <v>43132</v>
      </c>
      <c r="D1428" s="3" t="str">
        <f>YEAR(Datos_Consumo[[#This Row],[FECHA]])&amp;"-"&amp;MONTH(Datos_Consumo[[#This Row],[FECHA]])</f>
        <v>2018-2</v>
      </c>
    </row>
    <row r="1429" spans="1:4" x14ac:dyDescent="0.25">
      <c r="A1429" t="s">
        <v>1898</v>
      </c>
      <c r="B1429">
        <v>28</v>
      </c>
      <c r="C1429" s="54">
        <v>43160</v>
      </c>
      <c r="D1429" s="3" t="str">
        <f>YEAR(Datos_Consumo[[#This Row],[FECHA]])&amp;"-"&amp;MONTH(Datos_Consumo[[#This Row],[FECHA]])</f>
        <v>2018-3</v>
      </c>
    </row>
    <row r="1430" spans="1:4" x14ac:dyDescent="0.25">
      <c r="A1430" t="s">
        <v>1898</v>
      </c>
      <c r="B1430">
        <v>71</v>
      </c>
      <c r="C1430" s="54">
        <v>43191</v>
      </c>
      <c r="D1430" s="3" t="str">
        <f>YEAR(Datos_Consumo[[#This Row],[FECHA]])&amp;"-"&amp;MONTH(Datos_Consumo[[#This Row],[FECHA]])</f>
        <v>2018-4</v>
      </c>
    </row>
    <row r="1431" spans="1:4" x14ac:dyDescent="0.25">
      <c r="A1431" t="s">
        <v>1898</v>
      </c>
      <c r="B1431">
        <v>2</v>
      </c>
      <c r="C1431" s="54">
        <v>43221</v>
      </c>
      <c r="D1431" s="3" t="str">
        <f>YEAR(Datos_Consumo[[#This Row],[FECHA]])&amp;"-"&amp;MONTH(Datos_Consumo[[#This Row],[FECHA]])</f>
        <v>2018-5</v>
      </c>
    </row>
    <row r="1432" spans="1:4" x14ac:dyDescent="0.25">
      <c r="A1432" t="s">
        <v>4052</v>
      </c>
      <c r="B1432">
        <v>1</v>
      </c>
      <c r="C1432" s="54">
        <v>43191</v>
      </c>
      <c r="D1432" s="3" t="str">
        <f>YEAR(Datos_Consumo[[#This Row],[FECHA]])&amp;"-"&amp;MONTH(Datos_Consumo[[#This Row],[FECHA]])</f>
        <v>2018-4</v>
      </c>
    </row>
    <row r="1433" spans="1:4" x14ac:dyDescent="0.25">
      <c r="A1433" t="s">
        <v>1899</v>
      </c>
      <c r="B1433">
        <v>13</v>
      </c>
      <c r="C1433" s="54">
        <v>43070</v>
      </c>
      <c r="D1433" s="3" t="str">
        <f>YEAR(Datos_Consumo[[#This Row],[FECHA]])&amp;"-"&amp;MONTH(Datos_Consumo[[#This Row],[FECHA]])</f>
        <v>2017-12</v>
      </c>
    </row>
    <row r="1434" spans="1:4" x14ac:dyDescent="0.25">
      <c r="A1434" t="s">
        <v>1899</v>
      </c>
      <c r="B1434">
        <v>6</v>
      </c>
      <c r="C1434" s="54">
        <v>43101</v>
      </c>
      <c r="D1434" s="3" t="str">
        <f>YEAR(Datos_Consumo[[#This Row],[FECHA]])&amp;"-"&amp;MONTH(Datos_Consumo[[#This Row],[FECHA]])</f>
        <v>2018-1</v>
      </c>
    </row>
    <row r="1435" spans="1:4" x14ac:dyDescent="0.25">
      <c r="A1435" t="s">
        <v>1899</v>
      </c>
      <c r="B1435">
        <v>1</v>
      </c>
      <c r="C1435" s="54">
        <v>43132</v>
      </c>
      <c r="D1435" s="3" t="str">
        <f>YEAR(Datos_Consumo[[#This Row],[FECHA]])&amp;"-"&amp;MONTH(Datos_Consumo[[#This Row],[FECHA]])</f>
        <v>2018-2</v>
      </c>
    </row>
    <row r="1436" spans="1:4" x14ac:dyDescent="0.25">
      <c r="A1436" t="s">
        <v>1899</v>
      </c>
      <c r="B1436">
        <v>9</v>
      </c>
      <c r="C1436" s="54">
        <v>43160</v>
      </c>
      <c r="D1436" s="3" t="str">
        <f>YEAR(Datos_Consumo[[#This Row],[FECHA]])&amp;"-"&amp;MONTH(Datos_Consumo[[#This Row],[FECHA]])</f>
        <v>2018-3</v>
      </c>
    </row>
    <row r="1437" spans="1:4" x14ac:dyDescent="0.25">
      <c r="A1437" t="s">
        <v>1899</v>
      </c>
      <c r="B1437">
        <v>5</v>
      </c>
      <c r="C1437" s="54">
        <v>43191</v>
      </c>
      <c r="D1437" s="3" t="str">
        <f>YEAR(Datos_Consumo[[#This Row],[FECHA]])&amp;"-"&amp;MONTH(Datos_Consumo[[#This Row],[FECHA]])</f>
        <v>2018-4</v>
      </c>
    </row>
    <row r="1438" spans="1:4" x14ac:dyDescent="0.25">
      <c r="A1438" t="s">
        <v>1900</v>
      </c>
      <c r="B1438">
        <v>14</v>
      </c>
      <c r="C1438" s="54">
        <v>43070</v>
      </c>
      <c r="D1438" s="3" t="str">
        <f>YEAR(Datos_Consumo[[#This Row],[FECHA]])&amp;"-"&amp;MONTH(Datos_Consumo[[#This Row],[FECHA]])</f>
        <v>2017-12</v>
      </c>
    </row>
    <row r="1439" spans="1:4" x14ac:dyDescent="0.25">
      <c r="A1439" t="s">
        <v>1900</v>
      </c>
      <c r="B1439">
        <v>7</v>
      </c>
      <c r="C1439" s="54">
        <v>43101</v>
      </c>
      <c r="D1439" s="3" t="str">
        <f>YEAR(Datos_Consumo[[#This Row],[FECHA]])&amp;"-"&amp;MONTH(Datos_Consumo[[#This Row],[FECHA]])</f>
        <v>2018-1</v>
      </c>
    </row>
    <row r="1440" spans="1:4" x14ac:dyDescent="0.25">
      <c r="A1440" t="s">
        <v>1900</v>
      </c>
      <c r="B1440">
        <v>1</v>
      </c>
      <c r="C1440" s="54">
        <v>43132</v>
      </c>
      <c r="D1440" s="3" t="str">
        <f>YEAR(Datos_Consumo[[#This Row],[FECHA]])&amp;"-"&amp;MONTH(Datos_Consumo[[#This Row],[FECHA]])</f>
        <v>2018-2</v>
      </c>
    </row>
    <row r="1441" spans="1:4" x14ac:dyDescent="0.25">
      <c r="A1441" t="s">
        <v>1900</v>
      </c>
      <c r="B1441">
        <v>4</v>
      </c>
      <c r="C1441" s="54">
        <v>43160</v>
      </c>
      <c r="D1441" s="3" t="str">
        <f>YEAR(Datos_Consumo[[#This Row],[FECHA]])&amp;"-"&amp;MONTH(Datos_Consumo[[#This Row],[FECHA]])</f>
        <v>2018-3</v>
      </c>
    </row>
    <row r="1442" spans="1:4" x14ac:dyDescent="0.25">
      <c r="A1442" t="s">
        <v>1900</v>
      </c>
      <c r="B1442">
        <v>36</v>
      </c>
      <c r="C1442" s="54">
        <v>43191</v>
      </c>
      <c r="D1442" s="3" t="str">
        <f>YEAR(Datos_Consumo[[#This Row],[FECHA]])&amp;"-"&amp;MONTH(Datos_Consumo[[#This Row],[FECHA]])</f>
        <v>2018-4</v>
      </c>
    </row>
    <row r="1443" spans="1:4" x14ac:dyDescent="0.25">
      <c r="A1443" t="s">
        <v>4053</v>
      </c>
      <c r="B1443">
        <v>1</v>
      </c>
      <c r="C1443" s="54">
        <v>43191</v>
      </c>
      <c r="D1443" s="3" t="str">
        <f>YEAR(Datos_Consumo[[#This Row],[FECHA]])&amp;"-"&amp;MONTH(Datos_Consumo[[#This Row],[FECHA]])</f>
        <v>2018-4</v>
      </c>
    </row>
    <row r="1444" spans="1:4" x14ac:dyDescent="0.25">
      <c r="A1444" t="s">
        <v>1901</v>
      </c>
      <c r="B1444">
        <v>126</v>
      </c>
      <c r="C1444" s="54">
        <v>43070</v>
      </c>
      <c r="D1444" s="3" t="str">
        <f>YEAR(Datos_Consumo[[#This Row],[FECHA]])&amp;"-"&amp;MONTH(Datos_Consumo[[#This Row],[FECHA]])</f>
        <v>2017-12</v>
      </c>
    </row>
    <row r="1445" spans="1:4" x14ac:dyDescent="0.25">
      <c r="A1445" t="s">
        <v>1901</v>
      </c>
      <c r="B1445">
        <v>128</v>
      </c>
      <c r="C1445" s="54">
        <v>43101</v>
      </c>
      <c r="D1445" s="3" t="str">
        <f>YEAR(Datos_Consumo[[#This Row],[FECHA]])&amp;"-"&amp;MONTH(Datos_Consumo[[#This Row],[FECHA]])</f>
        <v>2018-1</v>
      </c>
    </row>
    <row r="1446" spans="1:4" x14ac:dyDescent="0.25">
      <c r="A1446" t="s">
        <v>1901</v>
      </c>
      <c r="B1446">
        <v>59</v>
      </c>
      <c r="C1446" s="54">
        <v>43132</v>
      </c>
      <c r="D1446" s="3" t="str">
        <f>YEAR(Datos_Consumo[[#This Row],[FECHA]])&amp;"-"&amp;MONTH(Datos_Consumo[[#This Row],[FECHA]])</f>
        <v>2018-2</v>
      </c>
    </row>
    <row r="1447" spans="1:4" x14ac:dyDescent="0.25">
      <c r="A1447" t="s">
        <v>1901</v>
      </c>
      <c r="B1447">
        <v>26</v>
      </c>
      <c r="C1447" s="54">
        <v>43160</v>
      </c>
      <c r="D1447" s="3" t="str">
        <f>YEAR(Datos_Consumo[[#This Row],[FECHA]])&amp;"-"&amp;MONTH(Datos_Consumo[[#This Row],[FECHA]])</f>
        <v>2018-3</v>
      </c>
    </row>
    <row r="1448" spans="1:4" x14ac:dyDescent="0.25">
      <c r="A1448" t="s">
        <v>1901</v>
      </c>
      <c r="B1448">
        <v>271</v>
      </c>
      <c r="C1448" s="54">
        <v>43191</v>
      </c>
      <c r="D1448" s="3" t="str">
        <f>YEAR(Datos_Consumo[[#This Row],[FECHA]])&amp;"-"&amp;MONTH(Datos_Consumo[[#This Row],[FECHA]])</f>
        <v>2018-4</v>
      </c>
    </row>
    <row r="1449" spans="1:4" x14ac:dyDescent="0.25">
      <c r="A1449" t="s">
        <v>1901</v>
      </c>
      <c r="B1449">
        <v>27</v>
      </c>
      <c r="C1449" s="54">
        <v>43221</v>
      </c>
      <c r="D1449" s="3" t="str">
        <f>YEAR(Datos_Consumo[[#This Row],[FECHA]])&amp;"-"&amp;MONTH(Datos_Consumo[[#This Row],[FECHA]])</f>
        <v>2018-5</v>
      </c>
    </row>
    <row r="1450" spans="1:4" x14ac:dyDescent="0.25">
      <c r="A1450" t="s">
        <v>1902</v>
      </c>
      <c r="B1450">
        <v>20</v>
      </c>
      <c r="C1450" s="54">
        <v>43101</v>
      </c>
      <c r="D1450" s="3" t="str">
        <f>YEAR(Datos_Consumo[[#This Row],[FECHA]])&amp;"-"&amp;MONTH(Datos_Consumo[[#This Row],[FECHA]])</f>
        <v>2018-1</v>
      </c>
    </row>
    <row r="1451" spans="1:4" x14ac:dyDescent="0.25">
      <c r="A1451" t="s">
        <v>1902</v>
      </c>
      <c r="B1451">
        <v>20</v>
      </c>
      <c r="C1451" s="54">
        <v>43160</v>
      </c>
      <c r="D1451" s="3" t="str">
        <f>YEAR(Datos_Consumo[[#This Row],[FECHA]])&amp;"-"&amp;MONTH(Datos_Consumo[[#This Row],[FECHA]])</f>
        <v>2018-3</v>
      </c>
    </row>
    <row r="1452" spans="1:4" x14ac:dyDescent="0.25">
      <c r="A1452" t="s">
        <v>1902</v>
      </c>
      <c r="B1452">
        <v>71</v>
      </c>
      <c r="C1452" s="54">
        <v>43191</v>
      </c>
      <c r="D1452" s="3" t="str">
        <f>YEAR(Datos_Consumo[[#This Row],[FECHA]])&amp;"-"&amp;MONTH(Datos_Consumo[[#This Row],[FECHA]])</f>
        <v>2018-4</v>
      </c>
    </row>
    <row r="1453" spans="1:4" x14ac:dyDescent="0.25">
      <c r="A1453" t="s">
        <v>1902</v>
      </c>
      <c r="B1453">
        <v>29</v>
      </c>
      <c r="C1453" s="54">
        <v>43221</v>
      </c>
      <c r="D1453" s="3" t="str">
        <f>YEAR(Datos_Consumo[[#This Row],[FECHA]])&amp;"-"&amp;MONTH(Datos_Consumo[[#This Row],[FECHA]])</f>
        <v>2018-5</v>
      </c>
    </row>
    <row r="1454" spans="1:4" x14ac:dyDescent="0.25">
      <c r="A1454" t="s">
        <v>4054</v>
      </c>
      <c r="B1454">
        <v>1</v>
      </c>
      <c r="C1454" s="54">
        <v>43191</v>
      </c>
      <c r="D1454" s="3" t="str">
        <f>YEAR(Datos_Consumo[[#This Row],[FECHA]])&amp;"-"&amp;MONTH(Datos_Consumo[[#This Row],[FECHA]])</f>
        <v>2018-4</v>
      </c>
    </row>
    <row r="1455" spans="1:4" x14ac:dyDescent="0.25">
      <c r="A1455" t="s">
        <v>1903</v>
      </c>
      <c r="B1455">
        <v>4</v>
      </c>
      <c r="C1455" s="54">
        <v>43132</v>
      </c>
      <c r="D1455" s="3" t="str">
        <f>YEAR(Datos_Consumo[[#This Row],[FECHA]])&amp;"-"&amp;MONTH(Datos_Consumo[[#This Row],[FECHA]])</f>
        <v>2018-2</v>
      </c>
    </row>
    <row r="1456" spans="1:4" x14ac:dyDescent="0.25">
      <c r="A1456" t="s">
        <v>1903</v>
      </c>
      <c r="B1456">
        <v>1</v>
      </c>
      <c r="C1456" s="54">
        <v>43191</v>
      </c>
      <c r="D1456" s="3" t="str">
        <f>YEAR(Datos_Consumo[[#This Row],[FECHA]])&amp;"-"&amp;MONTH(Datos_Consumo[[#This Row],[FECHA]])</f>
        <v>2018-4</v>
      </c>
    </row>
    <row r="1457" spans="1:4" x14ac:dyDescent="0.25">
      <c r="A1457" t="s">
        <v>1904</v>
      </c>
      <c r="B1457">
        <v>1</v>
      </c>
      <c r="C1457" s="54">
        <v>43101</v>
      </c>
      <c r="D1457" s="3" t="str">
        <f>YEAR(Datos_Consumo[[#This Row],[FECHA]])&amp;"-"&amp;MONTH(Datos_Consumo[[#This Row],[FECHA]])</f>
        <v>2018-1</v>
      </c>
    </row>
    <row r="1458" spans="1:4" x14ac:dyDescent="0.25">
      <c r="A1458" t="s">
        <v>1904</v>
      </c>
      <c r="B1458">
        <v>1</v>
      </c>
      <c r="C1458" s="54">
        <v>43160</v>
      </c>
      <c r="D1458" s="3" t="str">
        <f>YEAR(Datos_Consumo[[#This Row],[FECHA]])&amp;"-"&amp;MONTH(Datos_Consumo[[#This Row],[FECHA]])</f>
        <v>2018-3</v>
      </c>
    </row>
    <row r="1459" spans="1:4" x14ac:dyDescent="0.25">
      <c r="A1459" t="s">
        <v>1905</v>
      </c>
      <c r="B1459">
        <v>78</v>
      </c>
      <c r="C1459" s="54">
        <v>43070</v>
      </c>
      <c r="D1459" s="3" t="str">
        <f>YEAR(Datos_Consumo[[#This Row],[FECHA]])&amp;"-"&amp;MONTH(Datos_Consumo[[#This Row],[FECHA]])</f>
        <v>2017-12</v>
      </c>
    </row>
    <row r="1460" spans="1:4" x14ac:dyDescent="0.25">
      <c r="A1460" t="s">
        <v>1905</v>
      </c>
      <c r="B1460">
        <v>109</v>
      </c>
      <c r="C1460" s="54">
        <v>43101</v>
      </c>
      <c r="D1460" s="3" t="str">
        <f>YEAR(Datos_Consumo[[#This Row],[FECHA]])&amp;"-"&amp;MONTH(Datos_Consumo[[#This Row],[FECHA]])</f>
        <v>2018-1</v>
      </c>
    </row>
    <row r="1461" spans="1:4" x14ac:dyDescent="0.25">
      <c r="A1461" t="s">
        <v>1905</v>
      </c>
      <c r="B1461">
        <v>84</v>
      </c>
      <c r="C1461" s="54">
        <v>43132</v>
      </c>
      <c r="D1461" s="3" t="str">
        <f>YEAR(Datos_Consumo[[#This Row],[FECHA]])&amp;"-"&amp;MONTH(Datos_Consumo[[#This Row],[FECHA]])</f>
        <v>2018-2</v>
      </c>
    </row>
    <row r="1462" spans="1:4" x14ac:dyDescent="0.25">
      <c r="A1462" t="s">
        <v>1905</v>
      </c>
      <c r="B1462">
        <v>121</v>
      </c>
      <c r="C1462" s="54">
        <v>43160</v>
      </c>
      <c r="D1462" s="3" t="str">
        <f>YEAR(Datos_Consumo[[#This Row],[FECHA]])&amp;"-"&amp;MONTH(Datos_Consumo[[#This Row],[FECHA]])</f>
        <v>2018-3</v>
      </c>
    </row>
    <row r="1463" spans="1:4" x14ac:dyDescent="0.25">
      <c r="A1463" t="s">
        <v>1905</v>
      </c>
      <c r="B1463">
        <v>128</v>
      </c>
      <c r="C1463" s="54">
        <v>43191</v>
      </c>
      <c r="D1463" s="3" t="str">
        <f>YEAR(Datos_Consumo[[#This Row],[FECHA]])&amp;"-"&amp;MONTH(Datos_Consumo[[#This Row],[FECHA]])</f>
        <v>2018-4</v>
      </c>
    </row>
    <row r="1464" spans="1:4" x14ac:dyDescent="0.25">
      <c r="A1464" t="s">
        <v>1905</v>
      </c>
      <c r="B1464">
        <v>60</v>
      </c>
      <c r="C1464" s="54">
        <v>43221</v>
      </c>
      <c r="D1464" s="3" t="str">
        <f>YEAR(Datos_Consumo[[#This Row],[FECHA]])&amp;"-"&amp;MONTH(Datos_Consumo[[#This Row],[FECHA]])</f>
        <v>2018-5</v>
      </c>
    </row>
    <row r="1465" spans="1:4" x14ac:dyDescent="0.25">
      <c r="A1465" t="s">
        <v>4055</v>
      </c>
      <c r="B1465">
        <v>1</v>
      </c>
      <c r="C1465" s="54">
        <v>43191</v>
      </c>
      <c r="D1465" s="3" t="str">
        <f>YEAR(Datos_Consumo[[#This Row],[FECHA]])&amp;"-"&amp;MONTH(Datos_Consumo[[#This Row],[FECHA]])</f>
        <v>2018-4</v>
      </c>
    </row>
    <row r="1466" spans="1:4" x14ac:dyDescent="0.25">
      <c r="A1466" t="s">
        <v>1906</v>
      </c>
      <c r="B1466">
        <v>17</v>
      </c>
      <c r="C1466" s="54">
        <v>43070</v>
      </c>
      <c r="D1466" s="3" t="str">
        <f>YEAR(Datos_Consumo[[#This Row],[FECHA]])&amp;"-"&amp;MONTH(Datos_Consumo[[#This Row],[FECHA]])</f>
        <v>2017-12</v>
      </c>
    </row>
    <row r="1467" spans="1:4" x14ac:dyDescent="0.25">
      <c r="A1467" t="s">
        <v>1906</v>
      </c>
      <c r="B1467">
        <v>13</v>
      </c>
      <c r="C1467" s="54">
        <v>43101</v>
      </c>
      <c r="D1467" s="3" t="str">
        <f>YEAR(Datos_Consumo[[#This Row],[FECHA]])&amp;"-"&amp;MONTH(Datos_Consumo[[#This Row],[FECHA]])</f>
        <v>2018-1</v>
      </c>
    </row>
    <row r="1468" spans="1:4" x14ac:dyDescent="0.25">
      <c r="A1468" t="s">
        <v>1906</v>
      </c>
      <c r="B1468">
        <v>2</v>
      </c>
      <c r="C1468" s="54">
        <v>43132</v>
      </c>
      <c r="D1468" s="3" t="str">
        <f>YEAR(Datos_Consumo[[#This Row],[FECHA]])&amp;"-"&amp;MONTH(Datos_Consumo[[#This Row],[FECHA]])</f>
        <v>2018-2</v>
      </c>
    </row>
    <row r="1469" spans="1:4" x14ac:dyDescent="0.25">
      <c r="A1469" t="s">
        <v>1906</v>
      </c>
      <c r="B1469">
        <v>8</v>
      </c>
      <c r="C1469" s="54">
        <v>43160</v>
      </c>
      <c r="D1469" s="3" t="str">
        <f>YEAR(Datos_Consumo[[#This Row],[FECHA]])&amp;"-"&amp;MONTH(Datos_Consumo[[#This Row],[FECHA]])</f>
        <v>2018-3</v>
      </c>
    </row>
    <row r="1470" spans="1:4" x14ac:dyDescent="0.25">
      <c r="A1470" t="s">
        <v>1906</v>
      </c>
      <c r="B1470">
        <v>23</v>
      </c>
      <c r="C1470" s="54">
        <v>43191</v>
      </c>
      <c r="D1470" s="3" t="str">
        <f>YEAR(Datos_Consumo[[#This Row],[FECHA]])&amp;"-"&amp;MONTH(Datos_Consumo[[#This Row],[FECHA]])</f>
        <v>2018-4</v>
      </c>
    </row>
    <row r="1471" spans="1:4" x14ac:dyDescent="0.25">
      <c r="A1471" t="s">
        <v>1907</v>
      </c>
      <c r="B1471">
        <v>1</v>
      </c>
      <c r="C1471" s="54">
        <v>43101</v>
      </c>
      <c r="D1471" s="3" t="str">
        <f>YEAR(Datos_Consumo[[#This Row],[FECHA]])&amp;"-"&amp;MONTH(Datos_Consumo[[#This Row],[FECHA]])</f>
        <v>2018-1</v>
      </c>
    </row>
    <row r="1472" spans="1:4" x14ac:dyDescent="0.25">
      <c r="A1472" t="s">
        <v>1907</v>
      </c>
      <c r="B1472">
        <v>2</v>
      </c>
      <c r="C1472" s="54">
        <v>43221</v>
      </c>
      <c r="D1472" s="3" t="str">
        <f>YEAR(Datos_Consumo[[#This Row],[FECHA]])&amp;"-"&amp;MONTH(Datos_Consumo[[#This Row],[FECHA]])</f>
        <v>2018-5</v>
      </c>
    </row>
    <row r="1473" spans="1:4" x14ac:dyDescent="0.25">
      <c r="A1473" t="s">
        <v>1908</v>
      </c>
      <c r="B1473">
        <v>1</v>
      </c>
      <c r="C1473" s="54">
        <v>43160</v>
      </c>
      <c r="D1473" s="3" t="str">
        <f>YEAR(Datos_Consumo[[#This Row],[FECHA]])&amp;"-"&amp;MONTH(Datos_Consumo[[#This Row],[FECHA]])</f>
        <v>2018-3</v>
      </c>
    </row>
    <row r="1474" spans="1:4" x14ac:dyDescent="0.25">
      <c r="A1474" t="s">
        <v>1909</v>
      </c>
      <c r="B1474">
        <v>6</v>
      </c>
      <c r="C1474" s="54">
        <v>43070</v>
      </c>
      <c r="D1474" s="3" t="str">
        <f>YEAR(Datos_Consumo[[#This Row],[FECHA]])&amp;"-"&amp;MONTH(Datos_Consumo[[#This Row],[FECHA]])</f>
        <v>2017-12</v>
      </c>
    </row>
    <row r="1475" spans="1:4" x14ac:dyDescent="0.25">
      <c r="A1475" t="s">
        <v>1909</v>
      </c>
      <c r="B1475">
        <v>5</v>
      </c>
      <c r="C1475" s="54">
        <v>43191</v>
      </c>
      <c r="D1475" s="3" t="str">
        <f>YEAR(Datos_Consumo[[#This Row],[FECHA]])&amp;"-"&amp;MONTH(Datos_Consumo[[#This Row],[FECHA]])</f>
        <v>2018-4</v>
      </c>
    </row>
    <row r="1476" spans="1:4" x14ac:dyDescent="0.25">
      <c r="A1476" t="s">
        <v>1910</v>
      </c>
      <c r="B1476">
        <v>1</v>
      </c>
      <c r="C1476" s="54">
        <v>43070</v>
      </c>
      <c r="D1476" s="3" t="str">
        <f>YEAR(Datos_Consumo[[#This Row],[FECHA]])&amp;"-"&amp;MONTH(Datos_Consumo[[#This Row],[FECHA]])</f>
        <v>2017-12</v>
      </c>
    </row>
    <row r="1477" spans="1:4" x14ac:dyDescent="0.25">
      <c r="A1477" t="s">
        <v>1910</v>
      </c>
      <c r="B1477">
        <v>3</v>
      </c>
      <c r="C1477" s="54">
        <v>43132</v>
      </c>
      <c r="D1477" s="3" t="str">
        <f>YEAR(Datos_Consumo[[#This Row],[FECHA]])&amp;"-"&amp;MONTH(Datos_Consumo[[#This Row],[FECHA]])</f>
        <v>2018-2</v>
      </c>
    </row>
    <row r="1478" spans="1:4" x14ac:dyDescent="0.25">
      <c r="A1478" t="s">
        <v>1910</v>
      </c>
      <c r="B1478">
        <v>7</v>
      </c>
      <c r="C1478" s="54">
        <v>43160</v>
      </c>
      <c r="D1478" s="3" t="str">
        <f>YEAR(Datos_Consumo[[#This Row],[FECHA]])&amp;"-"&amp;MONTH(Datos_Consumo[[#This Row],[FECHA]])</f>
        <v>2018-3</v>
      </c>
    </row>
    <row r="1479" spans="1:4" x14ac:dyDescent="0.25">
      <c r="A1479" t="s">
        <v>1911</v>
      </c>
      <c r="B1479">
        <v>6</v>
      </c>
      <c r="C1479" s="54">
        <v>43132</v>
      </c>
      <c r="D1479" s="3" t="str">
        <f>YEAR(Datos_Consumo[[#This Row],[FECHA]])&amp;"-"&amp;MONTH(Datos_Consumo[[#This Row],[FECHA]])</f>
        <v>2018-2</v>
      </c>
    </row>
    <row r="1480" spans="1:4" x14ac:dyDescent="0.25">
      <c r="A1480" t="s">
        <v>1912</v>
      </c>
      <c r="B1480">
        <v>4</v>
      </c>
      <c r="C1480" s="54">
        <v>43101</v>
      </c>
      <c r="D1480" s="3" t="str">
        <f>YEAR(Datos_Consumo[[#This Row],[FECHA]])&amp;"-"&amp;MONTH(Datos_Consumo[[#This Row],[FECHA]])</f>
        <v>2018-1</v>
      </c>
    </row>
    <row r="1481" spans="1:4" x14ac:dyDescent="0.25">
      <c r="A1481" t="s">
        <v>1912</v>
      </c>
      <c r="B1481">
        <v>10</v>
      </c>
      <c r="C1481" s="54">
        <v>43132</v>
      </c>
      <c r="D1481" s="3" t="str">
        <f>YEAR(Datos_Consumo[[#This Row],[FECHA]])&amp;"-"&amp;MONTH(Datos_Consumo[[#This Row],[FECHA]])</f>
        <v>2018-2</v>
      </c>
    </row>
    <row r="1482" spans="1:4" x14ac:dyDescent="0.25">
      <c r="A1482" t="s">
        <v>1912</v>
      </c>
      <c r="B1482">
        <v>3</v>
      </c>
      <c r="C1482" s="54">
        <v>43160</v>
      </c>
      <c r="D1482" s="3" t="str">
        <f>YEAR(Datos_Consumo[[#This Row],[FECHA]])&amp;"-"&amp;MONTH(Datos_Consumo[[#This Row],[FECHA]])</f>
        <v>2018-3</v>
      </c>
    </row>
    <row r="1483" spans="1:4" x14ac:dyDescent="0.25">
      <c r="A1483" t="s">
        <v>1912</v>
      </c>
      <c r="B1483">
        <v>6</v>
      </c>
      <c r="C1483" s="54">
        <v>43191</v>
      </c>
      <c r="D1483" s="3" t="str">
        <f>YEAR(Datos_Consumo[[#This Row],[FECHA]])&amp;"-"&amp;MONTH(Datos_Consumo[[#This Row],[FECHA]])</f>
        <v>2018-4</v>
      </c>
    </row>
    <row r="1484" spans="1:4" x14ac:dyDescent="0.25">
      <c r="A1484" t="s">
        <v>1913</v>
      </c>
      <c r="B1484">
        <v>1</v>
      </c>
      <c r="C1484" s="54">
        <v>43070</v>
      </c>
      <c r="D1484" s="3" t="str">
        <f>YEAR(Datos_Consumo[[#This Row],[FECHA]])&amp;"-"&amp;MONTH(Datos_Consumo[[#This Row],[FECHA]])</f>
        <v>2017-12</v>
      </c>
    </row>
    <row r="1485" spans="1:4" x14ac:dyDescent="0.25">
      <c r="A1485" t="s">
        <v>1913</v>
      </c>
      <c r="B1485">
        <v>32</v>
      </c>
      <c r="C1485" s="54">
        <v>43101</v>
      </c>
      <c r="D1485" s="3" t="str">
        <f>YEAR(Datos_Consumo[[#This Row],[FECHA]])&amp;"-"&amp;MONTH(Datos_Consumo[[#This Row],[FECHA]])</f>
        <v>2018-1</v>
      </c>
    </row>
    <row r="1486" spans="1:4" x14ac:dyDescent="0.25">
      <c r="A1486" t="s">
        <v>1913</v>
      </c>
      <c r="B1486">
        <v>22</v>
      </c>
      <c r="C1486" s="54">
        <v>43132</v>
      </c>
      <c r="D1486" s="3" t="str">
        <f>YEAR(Datos_Consumo[[#This Row],[FECHA]])&amp;"-"&amp;MONTH(Datos_Consumo[[#This Row],[FECHA]])</f>
        <v>2018-2</v>
      </c>
    </row>
    <row r="1487" spans="1:4" x14ac:dyDescent="0.25">
      <c r="A1487" t="s">
        <v>1913</v>
      </c>
      <c r="B1487">
        <v>12</v>
      </c>
      <c r="C1487" s="54">
        <v>43160</v>
      </c>
      <c r="D1487" s="3" t="str">
        <f>YEAR(Datos_Consumo[[#This Row],[FECHA]])&amp;"-"&amp;MONTH(Datos_Consumo[[#This Row],[FECHA]])</f>
        <v>2018-3</v>
      </c>
    </row>
    <row r="1488" spans="1:4" x14ac:dyDescent="0.25">
      <c r="A1488" t="s">
        <v>1913</v>
      </c>
      <c r="B1488">
        <v>41</v>
      </c>
      <c r="C1488" s="54">
        <v>43191</v>
      </c>
      <c r="D1488" s="3" t="str">
        <f>YEAR(Datos_Consumo[[#This Row],[FECHA]])&amp;"-"&amp;MONTH(Datos_Consumo[[#This Row],[FECHA]])</f>
        <v>2018-4</v>
      </c>
    </row>
    <row r="1489" spans="1:4" x14ac:dyDescent="0.25">
      <c r="A1489" t="s">
        <v>1914</v>
      </c>
      <c r="B1489">
        <v>10</v>
      </c>
      <c r="C1489" s="54">
        <v>43101</v>
      </c>
      <c r="D1489" s="3" t="str">
        <f>YEAR(Datos_Consumo[[#This Row],[FECHA]])&amp;"-"&amp;MONTH(Datos_Consumo[[#This Row],[FECHA]])</f>
        <v>2018-1</v>
      </c>
    </row>
    <row r="1490" spans="1:4" x14ac:dyDescent="0.25">
      <c r="A1490" t="s">
        <v>1914</v>
      </c>
      <c r="B1490">
        <v>4</v>
      </c>
      <c r="C1490" s="54">
        <v>43160</v>
      </c>
      <c r="D1490" s="3" t="str">
        <f>YEAR(Datos_Consumo[[#This Row],[FECHA]])&amp;"-"&amp;MONTH(Datos_Consumo[[#This Row],[FECHA]])</f>
        <v>2018-3</v>
      </c>
    </row>
    <row r="1491" spans="1:4" x14ac:dyDescent="0.25">
      <c r="A1491" t="s">
        <v>1914</v>
      </c>
      <c r="B1491">
        <v>8</v>
      </c>
      <c r="C1491" s="54">
        <v>43191</v>
      </c>
      <c r="D1491" s="3" t="str">
        <f>YEAR(Datos_Consumo[[#This Row],[FECHA]])&amp;"-"&amp;MONTH(Datos_Consumo[[#This Row],[FECHA]])</f>
        <v>2018-4</v>
      </c>
    </row>
    <row r="1492" spans="1:4" x14ac:dyDescent="0.25">
      <c r="A1492" t="s">
        <v>1915</v>
      </c>
      <c r="B1492">
        <v>2</v>
      </c>
      <c r="C1492" s="54">
        <v>43070</v>
      </c>
      <c r="D1492" s="3" t="str">
        <f>YEAR(Datos_Consumo[[#This Row],[FECHA]])&amp;"-"&amp;MONTH(Datos_Consumo[[#This Row],[FECHA]])</f>
        <v>2017-12</v>
      </c>
    </row>
    <row r="1493" spans="1:4" x14ac:dyDescent="0.25">
      <c r="A1493" t="s">
        <v>1915</v>
      </c>
      <c r="B1493">
        <v>9</v>
      </c>
      <c r="C1493" s="54">
        <v>43101</v>
      </c>
      <c r="D1493" s="3" t="str">
        <f>YEAR(Datos_Consumo[[#This Row],[FECHA]])&amp;"-"&amp;MONTH(Datos_Consumo[[#This Row],[FECHA]])</f>
        <v>2018-1</v>
      </c>
    </row>
    <row r="1494" spans="1:4" x14ac:dyDescent="0.25">
      <c r="A1494" t="s">
        <v>1915</v>
      </c>
      <c r="B1494">
        <v>5</v>
      </c>
      <c r="C1494" s="54">
        <v>43132</v>
      </c>
      <c r="D1494" s="3" t="str">
        <f>YEAR(Datos_Consumo[[#This Row],[FECHA]])&amp;"-"&amp;MONTH(Datos_Consumo[[#This Row],[FECHA]])</f>
        <v>2018-2</v>
      </c>
    </row>
    <row r="1495" spans="1:4" x14ac:dyDescent="0.25">
      <c r="A1495" t="s">
        <v>1915</v>
      </c>
      <c r="B1495">
        <v>23</v>
      </c>
      <c r="C1495" s="54">
        <v>43160</v>
      </c>
      <c r="D1495" s="3" t="str">
        <f>YEAR(Datos_Consumo[[#This Row],[FECHA]])&amp;"-"&amp;MONTH(Datos_Consumo[[#This Row],[FECHA]])</f>
        <v>2018-3</v>
      </c>
    </row>
    <row r="1496" spans="1:4" x14ac:dyDescent="0.25">
      <c r="A1496" t="s">
        <v>1915</v>
      </c>
      <c r="B1496">
        <v>25</v>
      </c>
      <c r="C1496" s="54">
        <v>43191</v>
      </c>
      <c r="D1496" s="3" t="str">
        <f>YEAR(Datos_Consumo[[#This Row],[FECHA]])&amp;"-"&amp;MONTH(Datos_Consumo[[#This Row],[FECHA]])</f>
        <v>2018-4</v>
      </c>
    </row>
    <row r="1497" spans="1:4" x14ac:dyDescent="0.25">
      <c r="A1497" t="s">
        <v>1916</v>
      </c>
      <c r="B1497">
        <v>16</v>
      </c>
      <c r="C1497" s="54">
        <v>43101</v>
      </c>
      <c r="D1497" s="3" t="str">
        <f>YEAR(Datos_Consumo[[#This Row],[FECHA]])&amp;"-"&amp;MONTH(Datos_Consumo[[#This Row],[FECHA]])</f>
        <v>2018-1</v>
      </c>
    </row>
    <row r="1498" spans="1:4" x14ac:dyDescent="0.25">
      <c r="A1498" t="s">
        <v>1917</v>
      </c>
      <c r="B1498">
        <v>2</v>
      </c>
      <c r="C1498" s="54">
        <v>43101</v>
      </c>
      <c r="D1498" s="3" t="str">
        <f>YEAR(Datos_Consumo[[#This Row],[FECHA]])&amp;"-"&amp;MONTH(Datos_Consumo[[#This Row],[FECHA]])</f>
        <v>2018-1</v>
      </c>
    </row>
    <row r="1499" spans="1:4" x14ac:dyDescent="0.25">
      <c r="A1499" t="s">
        <v>1917</v>
      </c>
      <c r="B1499">
        <v>9</v>
      </c>
      <c r="C1499" s="54">
        <v>43132</v>
      </c>
      <c r="D1499" s="3" t="str">
        <f>YEAR(Datos_Consumo[[#This Row],[FECHA]])&amp;"-"&amp;MONTH(Datos_Consumo[[#This Row],[FECHA]])</f>
        <v>2018-2</v>
      </c>
    </row>
    <row r="1500" spans="1:4" x14ac:dyDescent="0.25">
      <c r="A1500" t="s">
        <v>1917</v>
      </c>
      <c r="B1500">
        <v>5</v>
      </c>
      <c r="C1500" s="54">
        <v>43160</v>
      </c>
      <c r="D1500" s="3" t="str">
        <f>YEAR(Datos_Consumo[[#This Row],[FECHA]])&amp;"-"&amp;MONTH(Datos_Consumo[[#This Row],[FECHA]])</f>
        <v>2018-3</v>
      </c>
    </row>
    <row r="1501" spans="1:4" x14ac:dyDescent="0.25">
      <c r="A1501" t="s">
        <v>1917</v>
      </c>
      <c r="B1501">
        <v>10</v>
      </c>
      <c r="C1501" s="54">
        <v>43191</v>
      </c>
      <c r="D1501" s="3" t="str">
        <f>YEAR(Datos_Consumo[[#This Row],[FECHA]])&amp;"-"&amp;MONTH(Datos_Consumo[[#This Row],[FECHA]])</f>
        <v>2018-4</v>
      </c>
    </row>
    <row r="1502" spans="1:4" x14ac:dyDescent="0.25">
      <c r="A1502" t="s">
        <v>1918</v>
      </c>
      <c r="B1502">
        <v>19</v>
      </c>
      <c r="C1502" s="54">
        <v>43070</v>
      </c>
      <c r="D1502" s="3" t="str">
        <f>YEAR(Datos_Consumo[[#This Row],[FECHA]])&amp;"-"&amp;MONTH(Datos_Consumo[[#This Row],[FECHA]])</f>
        <v>2017-12</v>
      </c>
    </row>
    <row r="1503" spans="1:4" x14ac:dyDescent="0.25">
      <c r="A1503" t="s">
        <v>1918</v>
      </c>
      <c r="B1503">
        <v>39</v>
      </c>
      <c r="C1503" s="54">
        <v>43101</v>
      </c>
      <c r="D1503" s="3" t="str">
        <f>YEAR(Datos_Consumo[[#This Row],[FECHA]])&amp;"-"&amp;MONTH(Datos_Consumo[[#This Row],[FECHA]])</f>
        <v>2018-1</v>
      </c>
    </row>
    <row r="1504" spans="1:4" x14ac:dyDescent="0.25">
      <c r="A1504" t="s">
        <v>1918</v>
      </c>
      <c r="B1504">
        <v>27</v>
      </c>
      <c r="C1504" s="54">
        <v>43132</v>
      </c>
      <c r="D1504" s="3" t="str">
        <f>YEAR(Datos_Consumo[[#This Row],[FECHA]])&amp;"-"&amp;MONTH(Datos_Consumo[[#This Row],[FECHA]])</f>
        <v>2018-2</v>
      </c>
    </row>
    <row r="1505" spans="1:4" x14ac:dyDescent="0.25">
      <c r="A1505" t="s">
        <v>1918</v>
      </c>
      <c r="B1505">
        <v>29</v>
      </c>
      <c r="C1505" s="54">
        <v>43160</v>
      </c>
      <c r="D1505" s="3" t="str">
        <f>YEAR(Datos_Consumo[[#This Row],[FECHA]])&amp;"-"&amp;MONTH(Datos_Consumo[[#This Row],[FECHA]])</f>
        <v>2018-3</v>
      </c>
    </row>
    <row r="1506" spans="1:4" x14ac:dyDescent="0.25">
      <c r="A1506" t="s">
        <v>1918</v>
      </c>
      <c r="B1506">
        <v>40</v>
      </c>
      <c r="C1506" s="54">
        <v>43191</v>
      </c>
      <c r="D1506" s="3" t="str">
        <f>YEAR(Datos_Consumo[[#This Row],[FECHA]])&amp;"-"&amp;MONTH(Datos_Consumo[[#This Row],[FECHA]])</f>
        <v>2018-4</v>
      </c>
    </row>
    <row r="1507" spans="1:4" x14ac:dyDescent="0.25">
      <c r="A1507" t="s">
        <v>1918</v>
      </c>
      <c r="B1507">
        <v>1</v>
      </c>
      <c r="C1507" s="54">
        <v>43221</v>
      </c>
      <c r="D1507" s="3" t="str">
        <f>YEAR(Datos_Consumo[[#This Row],[FECHA]])&amp;"-"&amp;MONTH(Datos_Consumo[[#This Row],[FECHA]])</f>
        <v>2018-5</v>
      </c>
    </row>
    <row r="1508" spans="1:4" x14ac:dyDescent="0.25">
      <c r="A1508" t="s">
        <v>1919</v>
      </c>
      <c r="B1508">
        <v>1</v>
      </c>
      <c r="C1508" s="54">
        <v>43070</v>
      </c>
      <c r="D1508" s="3" t="str">
        <f>YEAR(Datos_Consumo[[#This Row],[FECHA]])&amp;"-"&amp;MONTH(Datos_Consumo[[#This Row],[FECHA]])</f>
        <v>2017-12</v>
      </c>
    </row>
    <row r="1509" spans="1:4" x14ac:dyDescent="0.25">
      <c r="A1509" t="s">
        <v>1919</v>
      </c>
      <c r="B1509">
        <v>1</v>
      </c>
      <c r="C1509" s="54">
        <v>43101</v>
      </c>
      <c r="D1509" s="3" t="str">
        <f>YEAR(Datos_Consumo[[#This Row],[FECHA]])&amp;"-"&amp;MONTH(Datos_Consumo[[#This Row],[FECHA]])</f>
        <v>2018-1</v>
      </c>
    </row>
    <row r="1510" spans="1:4" x14ac:dyDescent="0.25">
      <c r="A1510" t="s">
        <v>1919</v>
      </c>
      <c r="B1510">
        <v>1</v>
      </c>
      <c r="C1510" s="54">
        <v>43160</v>
      </c>
      <c r="D1510" s="3" t="str">
        <f>YEAR(Datos_Consumo[[#This Row],[FECHA]])&amp;"-"&amp;MONTH(Datos_Consumo[[#This Row],[FECHA]])</f>
        <v>2018-3</v>
      </c>
    </row>
    <row r="1511" spans="1:4" x14ac:dyDescent="0.25">
      <c r="A1511" t="s">
        <v>1919</v>
      </c>
      <c r="B1511">
        <v>3</v>
      </c>
      <c r="C1511" s="54">
        <v>43221</v>
      </c>
      <c r="D1511" s="3" t="str">
        <f>YEAR(Datos_Consumo[[#This Row],[FECHA]])&amp;"-"&amp;MONTH(Datos_Consumo[[#This Row],[FECHA]])</f>
        <v>2018-5</v>
      </c>
    </row>
    <row r="1512" spans="1:4" x14ac:dyDescent="0.25">
      <c r="A1512" t="s">
        <v>1920</v>
      </c>
      <c r="B1512">
        <v>5</v>
      </c>
      <c r="C1512" s="54">
        <v>43070</v>
      </c>
      <c r="D1512" s="3" t="str">
        <f>YEAR(Datos_Consumo[[#This Row],[FECHA]])&amp;"-"&amp;MONTH(Datos_Consumo[[#This Row],[FECHA]])</f>
        <v>2017-12</v>
      </c>
    </row>
    <row r="1513" spans="1:4" x14ac:dyDescent="0.25">
      <c r="A1513" t="s">
        <v>1920</v>
      </c>
      <c r="B1513">
        <v>8</v>
      </c>
      <c r="C1513" s="54">
        <v>43160</v>
      </c>
      <c r="D1513" s="3" t="str">
        <f>YEAR(Datos_Consumo[[#This Row],[FECHA]])&amp;"-"&amp;MONTH(Datos_Consumo[[#This Row],[FECHA]])</f>
        <v>2018-3</v>
      </c>
    </row>
    <row r="1514" spans="1:4" x14ac:dyDescent="0.25">
      <c r="A1514" t="s">
        <v>1920</v>
      </c>
      <c r="B1514">
        <v>12</v>
      </c>
      <c r="C1514" s="54">
        <v>43221</v>
      </c>
      <c r="D1514" s="3" t="str">
        <f>YEAR(Datos_Consumo[[#This Row],[FECHA]])&amp;"-"&amp;MONTH(Datos_Consumo[[#This Row],[FECHA]])</f>
        <v>2018-5</v>
      </c>
    </row>
    <row r="1515" spans="1:4" x14ac:dyDescent="0.25">
      <c r="A1515" t="s">
        <v>1921</v>
      </c>
      <c r="B1515">
        <v>9</v>
      </c>
      <c r="C1515" s="54">
        <v>43070</v>
      </c>
      <c r="D1515" s="3" t="str">
        <f>YEAR(Datos_Consumo[[#This Row],[FECHA]])&amp;"-"&amp;MONTH(Datos_Consumo[[#This Row],[FECHA]])</f>
        <v>2017-12</v>
      </c>
    </row>
    <row r="1516" spans="1:4" x14ac:dyDescent="0.25">
      <c r="A1516" t="s">
        <v>1921</v>
      </c>
      <c r="B1516">
        <v>25</v>
      </c>
      <c r="C1516" s="54">
        <v>43101</v>
      </c>
      <c r="D1516" s="3" t="str">
        <f>YEAR(Datos_Consumo[[#This Row],[FECHA]])&amp;"-"&amp;MONTH(Datos_Consumo[[#This Row],[FECHA]])</f>
        <v>2018-1</v>
      </c>
    </row>
    <row r="1517" spans="1:4" x14ac:dyDescent="0.25">
      <c r="A1517" t="s">
        <v>1921</v>
      </c>
      <c r="B1517">
        <v>24</v>
      </c>
      <c r="C1517" s="54">
        <v>43132</v>
      </c>
      <c r="D1517" s="3" t="str">
        <f>YEAR(Datos_Consumo[[#This Row],[FECHA]])&amp;"-"&amp;MONTH(Datos_Consumo[[#This Row],[FECHA]])</f>
        <v>2018-2</v>
      </c>
    </row>
    <row r="1518" spans="1:4" x14ac:dyDescent="0.25">
      <c r="A1518" t="s">
        <v>1921</v>
      </c>
      <c r="B1518">
        <v>25</v>
      </c>
      <c r="C1518" s="54">
        <v>43160</v>
      </c>
      <c r="D1518" s="3" t="str">
        <f>YEAR(Datos_Consumo[[#This Row],[FECHA]])&amp;"-"&amp;MONTH(Datos_Consumo[[#This Row],[FECHA]])</f>
        <v>2018-3</v>
      </c>
    </row>
    <row r="1519" spans="1:4" x14ac:dyDescent="0.25">
      <c r="A1519" t="s">
        <v>1921</v>
      </c>
      <c r="B1519">
        <v>5</v>
      </c>
      <c r="C1519" s="54">
        <v>43191</v>
      </c>
      <c r="D1519" s="3" t="str">
        <f>YEAR(Datos_Consumo[[#This Row],[FECHA]])&amp;"-"&amp;MONTH(Datos_Consumo[[#This Row],[FECHA]])</f>
        <v>2018-4</v>
      </c>
    </row>
    <row r="1520" spans="1:4" x14ac:dyDescent="0.25">
      <c r="A1520" t="s">
        <v>1922</v>
      </c>
      <c r="B1520">
        <v>15</v>
      </c>
      <c r="C1520" s="54">
        <v>43070</v>
      </c>
      <c r="D1520" s="3" t="str">
        <f>YEAR(Datos_Consumo[[#This Row],[FECHA]])&amp;"-"&amp;MONTH(Datos_Consumo[[#This Row],[FECHA]])</f>
        <v>2017-12</v>
      </c>
    </row>
    <row r="1521" spans="1:4" x14ac:dyDescent="0.25">
      <c r="A1521" t="s">
        <v>1922</v>
      </c>
      <c r="B1521">
        <v>10</v>
      </c>
      <c r="C1521" s="54">
        <v>43101</v>
      </c>
      <c r="D1521" s="3" t="str">
        <f>YEAR(Datos_Consumo[[#This Row],[FECHA]])&amp;"-"&amp;MONTH(Datos_Consumo[[#This Row],[FECHA]])</f>
        <v>2018-1</v>
      </c>
    </row>
    <row r="1522" spans="1:4" x14ac:dyDescent="0.25">
      <c r="A1522" t="s">
        <v>1922</v>
      </c>
      <c r="B1522">
        <v>43</v>
      </c>
      <c r="C1522" s="54">
        <v>43132</v>
      </c>
      <c r="D1522" s="3" t="str">
        <f>YEAR(Datos_Consumo[[#This Row],[FECHA]])&amp;"-"&amp;MONTH(Datos_Consumo[[#This Row],[FECHA]])</f>
        <v>2018-2</v>
      </c>
    </row>
    <row r="1523" spans="1:4" x14ac:dyDescent="0.25">
      <c r="A1523" t="s">
        <v>1922</v>
      </c>
      <c r="B1523">
        <v>24</v>
      </c>
      <c r="C1523" s="54">
        <v>43160</v>
      </c>
      <c r="D1523" s="3" t="str">
        <f>YEAR(Datos_Consumo[[#This Row],[FECHA]])&amp;"-"&amp;MONTH(Datos_Consumo[[#This Row],[FECHA]])</f>
        <v>2018-3</v>
      </c>
    </row>
    <row r="1524" spans="1:4" x14ac:dyDescent="0.25">
      <c r="A1524" t="s">
        <v>1922</v>
      </c>
      <c r="B1524">
        <v>12</v>
      </c>
      <c r="C1524" s="54">
        <v>43191</v>
      </c>
      <c r="D1524" s="3" t="str">
        <f>YEAR(Datos_Consumo[[#This Row],[FECHA]])&amp;"-"&amp;MONTH(Datos_Consumo[[#This Row],[FECHA]])</f>
        <v>2018-4</v>
      </c>
    </row>
    <row r="1525" spans="1:4" x14ac:dyDescent="0.25">
      <c r="A1525" t="s">
        <v>1922</v>
      </c>
      <c r="B1525">
        <v>7</v>
      </c>
      <c r="C1525" s="54">
        <v>43221</v>
      </c>
      <c r="D1525" s="3" t="str">
        <f>YEAR(Datos_Consumo[[#This Row],[FECHA]])&amp;"-"&amp;MONTH(Datos_Consumo[[#This Row],[FECHA]])</f>
        <v>2018-5</v>
      </c>
    </row>
    <row r="1526" spans="1:4" x14ac:dyDescent="0.25">
      <c r="A1526" t="s">
        <v>1923</v>
      </c>
      <c r="B1526">
        <v>1</v>
      </c>
      <c r="C1526" s="54">
        <v>43070</v>
      </c>
      <c r="D1526" s="3" t="str">
        <f>YEAR(Datos_Consumo[[#This Row],[FECHA]])&amp;"-"&amp;MONTH(Datos_Consumo[[#This Row],[FECHA]])</f>
        <v>2017-12</v>
      </c>
    </row>
    <row r="1527" spans="1:4" x14ac:dyDescent="0.25">
      <c r="A1527" t="s">
        <v>1923</v>
      </c>
      <c r="B1527">
        <v>8</v>
      </c>
      <c r="C1527" s="54">
        <v>43101</v>
      </c>
      <c r="D1527" s="3" t="str">
        <f>YEAR(Datos_Consumo[[#This Row],[FECHA]])&amp;"-"&amp;MONTH(Datos_Consumo[[#This Row],[FECHA]])</f>
        <v>2018-1</v>
      </c>
    </row>
    <row r="1528" spans="1:4" x14ac:dyDescent="0.25">
      <c r="A1528" t="s">
        <v>1923</v>
      </c>
      <c r="B1528">
        <v>1</v>
      </c>
      <c r="C1528" s="54">
        <v>43132</v>
      </c>
      <c r="D1528" s="3" t="str">
        <f>YEAR(Datos_Consumo[[#This Row],[FECHA]])&amp;"-"&amp;MONTH(Datos_Consumo[[#This Row],[FECHA]])</f>
        <v>2018-2</v>
      </c>
    </row>
    <row r="1529" spans="1:4" x14ac:dyDescent="0.25">
      <c r="A1529" t="s">
        <v>1923</v>
      </c>
      <c r="B1529">
        <v>11</v>
      </c>
      <c r="C1529" s="54">
        <v>43160</v>
      </c>
      <c r="D1529" s="3" t="str">
        <f>YEAR(Datos_Consumo[[#This Row],[FECHA]])&amp;"-"&amp;MONTH(Datos_Consumo[[#This Row],[FECHA]])</f>
        <v>2018-3</v>
      </c>
    </row>
    <row r="1530" spans="1:4" x14ac:dyDescent="0.25">
      <c r="A1530" t="s">
        <v>1923</v>
      </c>
      <c r="B1530">
        <v>2</v>
      </c>
      <c r="C1530" s="54">
        <v>43191</v>
      </c>
      <c r="D1530" s="3" t="str">
        <f>YEAR(Datos_Consumo[[#This Row],[FECHA]])&amp;"-"&amp;MONTH(Datos_Consumo[[#This Row],[FECHA]])</f>
        <v>2018-4</v>
      </c>
    </row>
    <row r="1531" spans="1:4" x14ac:dyDescent="0.25">
      <c r="A1531" t="s">
        <v>1924</v>
      </c>
      <c r="B1531">
        <v>1</v>
      </c>
      <c r="C1531" s="54">
        <v>43070</v>
      </c>
      <c r="D1531" s="3" t="str">
        <f>YEAR(Datos_Consumo[[#This Row],[FECHA]])&amp;"-"&amp;MONTH(Datos_Consumo[[#This Row],[FECHA]])</f>
        <v>2017-12</v>
      </c>
    </row>
    <row r="1532" spans="1:4" x14ac:dyDescent="0.25">
      <c r="A1532" t="s">
        <v>1924</v>
      </c>
      <c r="B1532">
        <v>14</v>
      </c>
      <c r="C1532" s="54">
        <v>43101</v>
      </c>
      <c r="D1532" s="3" t="str">
        <f>YEAR(Datos_Consumo[[#This Row],[FECHA]])&amp;"-"&amp;MONTH(Datos_Consumo[[#This Row],[FECHA]])</f>
        <v>2018-1</v>
      </c>
    </row>
    <row r="1533" spans="1:4" x14ac:dyDescent="0.25">
      <c r="A1533" t="s">
        <v>1924</v>
      </c>
      <c r="B1533">
        <v>3</v>
      </c>
      <c r="C1533" s="54">
        <v>43160</v>
      </c>
      <c r="D1533" s="3" t="str">
        <f>YEAR(Datos_Consumo[[#This Row],[FECHA]])&amp;"-"&amp;MONTH(Datos_Consumo[[#This Row],[FECHA]])</f>
        <v>2018-3</v>
      </c>
    </row>
    <row r="1534" spans="1:4" x14ac:dyDescent="0.25">
      <c r="A1534" t="s">
        <v>1924</v>
      </c>
      <c r="B1534">
        <v>5</v>
      </c>
      <c r="C1534" s="54">
        <v>43191</v>
      </c>
      <c r="D1534" s="3" t="str">
        <f>YEAR(Datos_Consumo[[#This Row],[FECHA]])&amp;"-"&amp;MONTH(Datos_Consumo[[#This Row],[FECHA]])</f>
        <v>2018-4</v>
      </c>
    </row>
    <row r="1535" spans="1:4" x14ac:dyDescent="0.25">
      <c r="A1535" t="s">
        <v>1925</v>
      </c>
      <c r="B1535">
        <v>2</v>
      </c>
      <c r="C1535" s="54">
        <v>43101</v>
      </c>
      <c r="D1535" s="3" t="str">
        <f>YEAR(Datos_Consumo[[#This Row],[FECHA]])&amp;"-"&amp;MONTH(Datos_Consumo[[#This Row],[FECHA]])</f>
        <v>2018-1</v>
      </c>
    </row>
    <row r="1536" spans="1:4" x14ac:dyDescent="0.25">
      <c r="A1536" t="s">
        <v>1925</v>
      </c>
      <c r="B1536">
        <v>1</v>
      </c>
      <c r="C1536" s="54">
        <v>43132</v>
      </c>
      <c r="D1536" s="3" t="str">
        <f>YEAR(Datos_Consumo[[#This Row],[FECHA]])&amp;"-"&amp;MONTH(Datos_Consumo[[#This Row],[FECHA]])</f>
        <v>2018-2</v>
      </c>
    </row>
    <row r="1537" spans="1:4" x14ac:dyDescent="0.25">
      <c r="A1537" t="s">
        <v>1925</v>
      </c>
      <c r="B1537">
        <v>1</v>
      </c>
      <c r="C1537" s="54">
        <v>43191</v>
      </c>
      <c r="D1537" s="3" t="str">
        <f>YEAR(Datos_Consumo[[#This Row],[FECHA]])&amp;"-"&amp;MONTH(Datos_Consumo[[#This Row],[FECHA]])</f>
        <v>2018-4</v>
      </c>
    </row>
    <row r="1538" spans="1:4" x14ac:dyDescent="0.25">
      <c r="A1538" t="s">
        <v>1926</v>
      </c>
      <c r="B1538">
        <v>2</v>
      </c>
      <c r="C1538" s="54">
        <v>43132</v>
      </c>
      <c r="D1538" s="3" t="str">
        <f>YEAR(Datos_Consumo[[#This Row],[FECHA]])&amp;"-"&amp;MONTH(Datos_Consumo[[#This Row],[FECHA]])</f>
        <v>2018-2</v>
      </c>
    </row>
    <row r="1539" spans="1:4" x14ac:dyDescent="0.25">
      <c r="A1539" t="s">
        <v>1926</v>
      </c>
      <c r="B1539">
        <v>1</v>
      </c>
      <c r="C1539" s="54">
        <v>43191</v>
      </c>
      <c r="D1539" s="3" t="str">
        <f>YEAR(Datos_Consumo[[#This Row],[FECHA]])&amp;"-"&amp;MONTH(Datos_Consumo[[#This Row],[FECHA]])</f>
        <v>2018-4</v>
      </c>
    </row>
    <row r="1540" spans="1:4" x14ac:dyDescent="0.25">
      <c r="A1540" t="s">
        <v>1927</v>
      </c>
      <c r="B1540">
        <v>12</v>
      </c>
      <c r="C1540" s="54">
        <v>43132</v>
      </c>
      <c r="D1540" s="3" t="str">
        <f>YEAR(Datos_Consumo[[#This Row],[FECHA]])&amp;"-"&amp;MONTH(Datos_Consumo[[#This Row],[FECHA]])</f>
        <v>2018-2</v>
      </c>
    </row>
    <row r="1541" spans="1:4" x14ac:dyDescent="0.25">
      <c r="A1541" t="s">
        <v>1927</v>
      </c>
      <c r="B1541">
        <v>2</v>
      </c>
      <c r="C1541" s="54">
        <v>43160</v>
      </c>
      <c r="D1541" s="3" t="str">
        <f>YEAR(Datos_Consumo[[#This Row],[FECHA]])&amp;"-"&amp;MONTH(Datos_Consumo[[#This Row],[FECHA]])</f>
        <v>2018-3</v>
      </c>
    </row>
    <row r="1542" spans="1:4" x14ac:dyDescent="0.25">
      <c r="A1542" t="s">
        <v>1927</v>
      </c>
      <c r="B1542">
        <v>15</v>
      </c>
      <c r="C1542" s="54">
        <v>43191</v>
      </c>
      <c r="D1542" s="3" t="str">
        <f>YEAR(Datos_Consumo[[#This Row],[FECHA]])&amp;"-"&amp;MONTH(Datos_Consumo[[#This Row],[FECHA]])</f>
        <v>2018-4</v>
      </c>
    </row>
    <row r="1543" spans="1:4" x14ac:dyDescent="0.25">
      <c r="A1543" t="s">
        <v>1928</v>
      </c>
      <c r="B1543">
        <v>1</v>
      </c>
      <c r="C1543" s="54">
        <v>43160</v>
      </c>
      <c r="D1543" s="3" t="str">
        <f>YEAR(Datos_Consumo[[#This Row],[FECHA]])&amp;"-"&amp;MONTH(Datos_Consumo[[#This Row],[FECHA]])</f>
        <v>2018-3</v>
      </c>
    </row>
    <row r="1544" spans="1:4" x14ac:dyDescent="0.25">
      <c r="A1544" t="s">
        <v>1928</v>
      </c>
      <c r="B1544">
        <v>1</v>
      </c>
      <c r="C1544" s="54">
        <v>43221</v>
      </c>
      <c r="D1544" s="3" t="str">
        <f>YEAR(Datos_Consumo[[#This Row],[FECHA]])&amp;"-"&amp;MONTH(Datos_Consumo[[#This Row],[FECHA]])</f>
        <v>2018-5</v>
      </c>
    </row>
    <row r="1545" spans="1:4" x14ac:dyDescent="0.25">
      <c r="A1545" t="s">
        <v>1929</v>
      </c>
      <c r="B1545">
        <v>11</v>
      </c>
      <c r="C1545" s="54">
        <v>43070</v>
      </c>
      <c r="D1545" s="3" t="str">
        <f>YEAR(Datos_Consumo[[#This Row],[FECHA]])&amp;"-"&amp;MONTH(Datos_Consumo[[#This Row],[FECHA]])</f>
        <v>2017-12</v>
      </c>
    </row>
    <row r="1546" spans="1:4" x14ac:dyDescent="0.25">
      <c r="A1546" t="s">
        <v>1929</v>
      </c>
      <c r="B1546">
        <v>12</v>
      </c>
      <c r="C1546" s="54">
        <v>43101</v>
      </c>
      <c r="D1546" s="3" t="str">
        <f>YEAR(Datos_Consumo[[#This Row],[FECHA]])&amp;"-"&amp;MONTH(Datos_Consumo[[#This Row],[FECHA]])</f>
        <v>2018-1</v>
      </c>
    </row>
    <row r="1547" spans="1:4" x14ac:dyDescent="0.25">
      <c r="A1547" t="s">
        <v>1929</v>
      </c>
      <c r="B1547">
        <v>1</v>
      </c>
      <c r="C1547" s="54">
        <v>43132</v>
      </c>
      <c r="D1547" s="3" t="str">
        <f>YEAR(Datos_Consumo[[#This Row],[FECHA]])&amp;"-"&amp;MONTH(Datos_Consumo[[#This Row],[FECHA]])</f>
        <v>2018-2</v>
      </c>
    </row>
    <row r="1548" spans="1:4" x14ac:dyDescent="0.25">
      <c r="A1548" t="s">
        <v>1929</v>
      </c>
      <c r="B1548">
        <v>4</v>
      </c>
      <c r="C1548" s="54">
        <v>43160</v>
      </c>
      <c r="D1548" s="3" t="str">
        <f>YEAR(Datos_Consumo[[#This Row],[FECHA]])&amp;"-"&amp;MONTH(Datos_Consumo[[#This Row],[FECHA]])</f>
        <v>2018-3</v>
      </c>
    </row>
    <row r="1549" spans="1:4" x14ac:dyDescent="0.25">
      <c r="A1549" t="s">
        <v>1929</v>
      </c>
      <c r="B1549">
        <v>5</v>
      </c>
      <c r="C1549" s="54">
        <v>43191</v>
      </c>
      <c r="D1549" s="3" t="str">
        <f>YEAR(Datos_Consumo[[#This Row],[FECHA]])&amp;"-"&amp;MONTH(Datos_Consumo[[#This Row],[FECHA]])</f>
        <v>2018-4</v>
      </c>
    </row>
    <row r="1550" spans="1:4" x14ac:dyDescent="0.25">
      <c r="A1550" t="s">
        <v>1929</v>
      </c>
      <c r="B1550">
        <v>10</v>
      </c>
      <c r="C1550" s="54">
        <v>43221</v>
      </c>
      <c r="D1550" s="3" t="str">
        <f>YEAR(Datos_Consumo[[#This Row],[FECHA]])&amp;"-"&amp;MONTH(Datos_Consumo[[#This Row],[FECHA]])</f>
        <v>2018-5</v>
      </c>
    </row>
    <row r="1551" spans="1:4" x14ac:dyDescent="0.25">
      <c r="A1551" t="s">
        <v>1930</v>
      </c>
      <c r="B1551">
        <v>128</v>
      </c>
      <c r="C1551" s="54">
        <v>43070</v>
      </c>
      <c r="D1551" s="3" t="str">
        <f>YEAR(Datos_Consumo[[#This Row],[FECHA]])&amp;"-"&amp;MONTH(Datos_Consumo[[#This Row],[FECHA]])</f>
        <v>2017-12</v>
      </c>
    </row>
    <row r="1552" spans="1:4" x14ac:dyDescent="0.25">
      <c r="A1552" t="s">
        <v>1930</v>
      </c>
      <c r="B1552">
        <v>122</v>
      </c>
      <c r="C1552" s="54">
        <v>43101</v>
      </c>
      <c r="D1552" s="3" t="str">
        <f>YEAR(Datos_Consumo[[#This Row],[FECHA]])&amp;"-"&amp;MONTH(Datos_Consumo[[#This Row],[FECHA]])</f>
        <v>2018-1</v>
      </c>
    </row>
    <row r="1553" spans="1:4" x14ac:dyDescent="0.25">
      <c r="A1553" t="s">
        <v>1930</v>
      </c>
      <c r="B1553">
        <v>69</v>
      </c>
      <c r="C1553" s="54">
        <v>43132</v>
      </c>
      <c r="D1553" s="3" t="str">
        <f>YEAR(Datos_Consumo[[#This Row],[FECHA]])&amp;"-"&amp;MONTH(Datos_Consumo[[#This Row],[FECHA]])</f>
        <v>2018-2</v>
      </c>
    </row>
    <row r="1554" spans="1:4" x14ac:dyDescent="0.25">
      <c r="A1554" t="s">
        <v>1930</v>
      </c>
      <c r="B1554">
        <v>102</v>
      </c>
      <c r="C1554" s="54">
        <v>43160</v>
      </c>
      <c r="D1554" s="3" t="str">
        <f>YEAR(Datos_Consumo[[#This Row],[FECHA]])&amp;"-"&amp;MONTH(Datos_Consumo[[#This Row],[FECHA]])</f>
        <v>2018-3</v>
      </c>
    </row>
    <row r="1555" spans="1:4" x14ac:dyDescent="0.25">
      <c r="A1555" t="s">
        <v>1930</v>
      </c>
      <c r="B1555">
        <v>92</v>
      </c>
      <c r="C1555" s="54">
        <v>43191</v>
      </c>
      <c r="D1555" s="3" t="str">
        <f>YEAR(Datos_Consumo[[#This Row],[FECHA]])&amp;"-"&amp;MONTH(Datos_Consumo[[#This Row],[FECHA]])</f>
        <v>2018-4</v>
      </c>
    </row>
    <row r="1556" spans="1:4" x14ac:dyDescent="0.25">
      <c r="A1556" t="s">
        <v>1930</v>
      </c>
      <c r="B1556">
        <v>14</v>
      </c>
      <c r="C1556" s="54">
        <v>43221</v>
      </c>
      <c r="D1556" s="3" t="str">
        <f>YEAR(Datos_Consumo[[#This Row],[FECHA]])&amp;"-"&amp;MONTH(Datos_Consumo[[#This Row],[FECHA]])</f>
        <v>2018-5</v>
      </c>
    </row>
    <row r="1557" spans="1:4" x14ac:dyDescent="0.25">
      <c r="A1557" t="s">
        <v>1931</v>
      </c>
      <c r="B1557">
        <v>1</v>
      </c>
      <c r="C1557" s="54">
        <v>43101</v>
      </c>
      <c r="D1557" s="3" t="str">
        <f>YEAR(Datos_Consumo[[#This Row],[FECHA]])&amp;"-"&amp;MONTH(Datos_Consumo[[#This Row],[FECHA]])</f>
        <v>2018-1</v>
      </c>
    </row>
    <row r="1558" spans="1:4" x14ac:dyDescent="0.25">
      <c r="A1558" t="s">
        <v>1931</v>
      </c>
      <c r="B1558">
        <v>1</v>
      </c>
      <c r="C1558" s="54">
        <v>43132</v>
      </c>
      <c r="D1558" s="3" t="str">
        <f>YEAR(Datos_Consumo[[#This Row],[FECHA]])&amp;"-"&amp;MONTH(Datos_Consumo[[#This Row],[FECHA]])</f>
        <v>2018-2</v>
      </c>
    </row>
    <row r="1559" spans="1:4" x14ac:dyDescent="0.25">
      <c r="A1559" t="s">
        <v>1932</v>
      </c>
      <c r="B1559">
        <v>10</v>
      </c>
      <c r="C1559" s="54">
        <v>43070</v>
      </c>
      <c r="D1559" s="3" t="str">
        <f>YEAR(Datos_Consumo[[#This Row],[FECHA]])&amp;"-"&amp;MONTH(Datos_Consumo[[#This Row],[FECHA]])</f>
        <v>2017-12</v>
      </c>
    </row>
    <row r="1560" spans="1:4" x14ac:dyDescent="0.25">
      <c r="A1560" t="s">
        <v>1932</v>
      </c>
      <c r="B1560">
        <v>1</v>
      </c>
      <c r="C1560" s="54">
        <v>43160</v>
      </c>
      <c r="D1560" s="3" t="str">
        <f>YEAR(Datos_Consumo[[#This Row],[FECHA]])&amp;"-"&amp;MONTH(Datos_Consumo[[#This Row],[FECHA]])</f>
        <v>2018-3</v>
      </c>
    </row>
    <row r="1561" spans="1:4" x14ac:dyDescent="0.25">
      <c r="A1561" t="s">
        <v>1932</v>
      </c>
      <c r="B1561">
        <v>6</v>
      </c>
      <c r="C1561" s="54">
        <v>43191</v>
      </c>
      <c r="D1561" s="3" t="str">
        <f>YEAR(Datos_Consumo[[#This Row],[FECHA]])&amp;"-"&amp;MONTH(Datos_Consumo[[#This Row],[FECHA]])</f>
        <v>2018-4</v>
      </c>
    </row>
    <row r="1562" spans="1:4" x14ac:dyDescent="0.25">
      <c r="A1562" t="s">
        <v>4056</v>
      </c>
      <c r="B1562">
        <v>1</v>
      </c>
      <c r="C1562" s="54">
        <v>43221</v>
      </c>
      <c r="D1562" s="3" t="str">
        <f>YEAR(Datos_Consumo[[#This Row],[FECHA]])&amp;"-"&amp;MONTH(Datos_Consumo[[#This Row],[FECHA]])</f>
        <v>2018-5</v>
      </c>
    </row>
    <row r="1563" spans="1:4" x14ac:dyDescent="0.25">
      <c r="A1563" t="s">
        <v>1933</v>
      </c>
      <c r="B1563">
        <v>43</v>
      </c>
      <c r="C1563" s="54">
        <v>43070</v>
      </c>
      <c r="D1563" s="3" t="str">
        <f>YEAR(Datos_Consumo[[#This Row],[FECHA]])&amp;"-"&amp;MONTH(Datos_Consumo[[#This Row],[FECHA]])</f>
        <v>2017-12</v>
      </c>
    </row>
    <row r="1564" spans="1:4" x14ac:dyDescent="0.25">
      <c r="A1564" t="s">
        <v>1933</v>
      </c>
      <c r="B1564">
        <v>21</v>
      </c>
      <c r="C1564" s="54">
        <v>43101</v>
      </c>
      <c r="D1564" s="3" t="str">
        <f>YEAR(Datos_Consumo[[#This Row],[FECHA]])&amp;"-"&amp;MONTH(Datos_Consumo[[#This Row],[FECHA]])</f>
        <v>2018-1</v>
      </c>
    </row>
    <row r="1565" spans="1:4" x14ac:dyDescent="0.25">
      <c r="A1565" t="s">
        <v>1933</v>
      </c>
      <c r="B1565">
        <v>14</v>
      </c>
      <c r="C1565" s="54">
        <v>43132</v>
      </c>
      <c r="D1565" s="3" t="str">
        <f>YEAR(Datos_Consumo[[#This Row],[FECHA]])&amp;"-"&amp;MONTH(Datos_Consumo[[#This Row],[FECHA]])</f>
        <v>2018-2</v>
      </c>
    </row>
    <row r="1566" spans="1:4" x14ac:dyDescent="0.25">
      <c r="A1566" t="s">
        <v>1933</v>
      </c>
      <c r="B1566">
        <v>55</v>
      </c>
      <c r="C1566" s="54">
        <v>43160</v>
      </c>
      <c r="D1566" s="3" t="str">
        <f>YEAR(Datos_Consumo[[#This Row],[FECHA]])&amp;"-"&amp;MONTH(Datos_Consumo[[#This Row],[FECHA]])</f>
        <v>2018-3</v>
      </c>
    </row>
    <row r="1567" spans="1:4" x14ac:dyDescent="0.25">
      <c r="A1567" t="s">
        <v>1933</v>
      </c>
      <c r="B1567">
        <v>41</v>
      </c>
      <c r="C1567" s="54">
        <v>43191</v>
      </c>
      <c r="D1567" s="3" t="str">
        <f>YEAR(Datos_Consumo[[#This Row],[FECHA]])&amp;"-"&amp;MONTH(Datos_Consumo[[#This Row],[FECHA]])</f>
        <v>2018-4</v>
      </c>
    </row>
    <row r="1568" spans="1:4" x14ac:dyDescent="0.25">
      <c r="A1568" t="s">
        <v>1934</v>
      </c>
      <c r="B1568">
        <v>7</v>
      </c>
      <c r="C1568" s="54">
        <v>43070</v>
      </c>
      <c r="D1568" s="3" t="str">
        <f>YEAR(Datos_Consumo[[#This Row],[FECHA]])&amp;"-"&amp;MONTH(Datos_Consumo[[#This Row],[FECHA]])</f>
        <v>2017-12</v>
      </c>
    </row>
    <row r="1569" spans="1:4" x14ac:dyDescent="0.25">
      <c r="A1569" t="s">
        <v>1934</v>
      </c>
      <c r="B1569">
        <v>5</v>
      </c>
      <c r="C1569" s="54">
        <v>43132</v>
      </c>
      <c r="D1569" s="3" t="str">
        <f>YEAR(Datos_Consumo[[#This Row],[FECHA]])&amp;"-"&amp;MONTH(Datos_Consumo[[#This Row],[FECHA]])</f>
        <v>2018-2</v>
      </c>
    </row>
    <row r="1570" spans="1:4" x14ac:dyDescent="0.25">
      <c r="A1570" t="s">
        <v>1934</v>
      </c>
      <c r="B1570">
        <v>8</v>
      </c>
      <c r="C1570" s="54">
        <v>43160</v>
      </c>
      <c r="D1570" s="3" t="str">
        <f>YEAR(Datos_Consumo[[#This Row],[FECHA]])&amp;"-"&amp;MONTH(Datos_Consumo[[#This Row],[FECHA]])</f>
        <v>2018-3</v>
      </c>
    </row>
    <row r="1571" spans="1:4" x14ac:dyDescent="0.25">
      <c r="A1571" t="s">
        <v>1934</v>
      </c>
      <c r="B1571">
        <v>25</v>
      </c>
      <c r="C1571" s="54">
        <v>43191</v>
      </c>
      <c r="D1571" s="3" t="str">
        <f>YEAR(Datos_Consumo[[#This Row],[FECHA]])&amp;"-"&amp;MONTH(Datos_Consumo[[#This Row],[FECHA]])</f>
        <v>2018-4</v>
      </c>
    </row>
    <row r="1572" spans="1:4" x14ac:dyDescent="0.25">
      <c r="A1572" t="s">
        <v>1935</v>
      </c>
      <c r="B1572">
        <v>2</v>
      </c>
      <c r="C1572" s="54">
        <v>43132</v>
      </c>
      <c r="D1572" s="3" t="str">
        <f>YEAR(Datos_Consumo[[#This Row],[FECHA]])&amp;"-"&amp;MONTH(Datos_Consumo[[#This Row],[FECHA]])</f>
        <v>2018-2</v>
      </c>
    </row>
    <row r="1573" spans="1:4" x14ac:dyDescent="0.25">
      <c r="A1573" t="s">
        <v>1936</v>
      </c>
      <c r="B1573">
        <v>24</v>
      </c>
      <c r="C1573" s="54">
        <v>43070</v>
      </c>
      <c r="D1573" s="3" t="str">
        <f>YEAR(Datos_Consumo[[#This Row],[FECHA]])&amp;"-"&amp;MONTH(Datos_Consumo[[#This Row],[FECHA]])</f>
        <v>2017-12</v>
      </c>
    </row>
    <row r="1574" spans="1:4" x14ac:dyDescent="0.25">
      <c r="A1574" t="s">
        <v>1936</v>
      </c>
      <c r="B1574">
        <v>2</v>
      </c>
      <c r="C1574" s="54">
        <v>43101</v>
      </c>
      <c r="D1574" s="3" t="str">
        <f>YEAR(Datos_Consumo[[#This Row],[FECHA]])&amp;"-"&amp;MONTH(Datos_Consumo[[#This Row],[FECHA]])</f>
        <v>2018-1</v>
      </c>
    </row>
    <row r="1575" spans="1:4" x14ac:dyDescent="0.25">
      <c r="A1575" t="s">
        <v>1936</v>
      </c>
      <c r="B1575">
        <v>32</v>
      </c>
      <c r="C1575" s="54">
        <v>43132</v>
      </c>
      <c r="D1575" s="3" t="str">
        <f>YEAR(Datos_Consumo[[#This Row],[FECHA]])&amp;"-"&amp;MONTH(Datos_Consumo[[#This Row],[FECHA]])</f>
        <v>2018-2</v>
      </c>
    </row>
    <row r="1576" spans="1:4" x14ac:dyDescent="0.25">
      <c r="A1576" t="s">
        <v>1936</v>
      </c>
      <c r="B1576">
        <v>8</v>
      </c>
      <c r="C1576" s="54">
        <v>43160</v>
      </c>
      <c r="D1576" s="3" t="str">
        <f>YEAR(Datos_Consumo[[#This Row],[FECHA]])&amp;"-"&amp;MONTH(Datos_Consumo[[#This Row],[FECHA]])</f>
        <v>2018-3</v>
      </c>
    </row>
    <row r="1577" spans="1:4" x14ac:dyDescent="0.25">
      <c r="A1577" t="s">
        <v>1936</v>
      </c>
      <c r="B1577">
        <v>46</v>
      </c>
      <c r="C1577" s="54">
        <v>43191</v>
      </c>
      <c r="D1577" s="3" t="str">
        <f>YEAR(Datos_Consumo[[#This Row],[FECHA]])&amp;"-"&amp;MONTH(Datos_Consumo[[#This Row],[FECHA]])</f>
        <v>2018-4</v>
      </c>
    </row>
    <row r="1578" spans="1:4" x14ac:dyDescent="0.25">
      <c r="A1578" t="s">
        <v>1936</v>
      </c>
      <c r="B1578">
        <v>34</v>
      </c>
      <c r="C1578" s="54">
        <v>43221</v>
      </c>
      <c r="D1578" s="3" t="str">
        <f>YEAR(Datos_Consumo[[#This Row],[FECHA]])&amp;"-"&amp;MONTH(Datos_Consumo[[#This Row],[FECHA]])</f>
        <v>2018-5</v>
      </c>
    </row>
    <row r="1579" spans="1:4" x14ac:dyDescent="0.25">
      <c r="A1579" t="s">
        <v>1937</v>
      </c>
      <c r="B1579">
        <v>1</v>
      </c>
      <c r="C1579" s="54">
        <v>43070</v>
      </c>
      <c r="D1579" s="3" t="str">
        <f>YEAR(Datos_Consumo[[#This Row],[FECHA]])&amp;"-"&amp;MONTH(Datos_Consumo[[#This Row],[FECHA]])</f>
        <v>2017-12</v>
      </c>
    </row>
    <row r="1580" spans="1:4" x14ac:dyDescent="0.25">
      <c r="A1580" t="s">
        <v>1937</v>
      </c>
      <c r="B1580">
        <v>1</v>
      </c>
      <c r="C1580" s="54">
        <v>43132</v>
      </c>
      <c r="D1580" s="3" t="str">
        <f>YEAR(Datos_Consumo[[#This Row],[FECHA]])&amp;"-"&amp;MONTH(Datos_Consumo[[#This Row],[FECHA]])</f>
        <v>2018-2</v>
      </c>
    </row>
    <row r="1581" spans="1:4" x14ac:dyDescent="0.25">
      <c r="A1581" t="s">
        <v>1937</v>
      </c>
      <c r="B1581">
        <v>2</v>
      </c>
      <c r="C1581" s="54">
        <v>43191</v>
      </c>
      <c r="D1581" s="3" t="str">
        <f>YEAR(Datos_Consumo[[#This Row],[FECHA]])&amp;"-"&amp;MONTH(Datos_Consumo[[#This Row],[FECHA]])</f>
        <v>2018-4</v>
      </c>
    </row>
    <row r="1582" spans="1:4" x14ac:dyDescent="0.25">
      <c r="A1582" t="s">
        <v>1937</v>
      </c>
      <c r="B1582">
        <v>1</v>
      </c>
      <c r="C1582" s="54">
        <v>43221</v>
      </c>
      <c r="D1582" s="3" t="str">
        <f>YEAR(Datos_Consumo[[#This Row],[FECHA]])&amp;"-"&amp;MONTH(Datos_Consumo[[#This Row],[FECHA]])</f>
        <v>2018-5</v>
      </c>
    </row>
    <row r="1583" spans="1:4" x14ac:dyDescent="0.25">
      <c r="A1583" t="s">
        <v>1938</v>
      </c>
      <c r="B1583">
        <v>10</v>
      </c>
      <c r="C1583" s="54">
        <v>43070</v>
      </c>
      <c r="D1583" s="3" t="str">
        <f>YEAR(Datos_Consumo[[#This Row],[FECHA]])&amp;"-"&amp;MONTH(Datos_Consumo[[#This Row],[FECHA]])</f>
        <v>2017-12</v>
      </c>
    </row>
    <row r="1584" spans="1:4" x14ac:dyDescent="0.25">
      <c r="A1584" t="s">
        <v>1938</v>
      </c>
      <c r="B1584">
        <v>9</v>
      </c>
      <c r="C1584" s="54">
        <v>43101</v>
      </c>
      <c r="D1584" s="3" t="str">
        <f>YEAR(Datos_Consumo[[#This Row],[FECHA]])&amp;"-"&amp;MONTH(Datos_Consumo[[#This Row],[FECHA]])</f>
        <v>2018-1</v>
      </c>
    </row>
    <row r="1585" spans="1:4" x14ac:dyDescent="0.25">
      <c r="A1585" t="s">
        <v>1938</v>
      </c>
      <c r="B1585">
        <v>10</v>
      </c>
      <c r="C1585" s="54">
        <v>43132</v>
      </c>
      <c r="D1585" s="3" t="str">
        <f>YEAR(Datos_Consumo[[#This Row],[FECHA]])&amp;"-"&amp;MONTH(Datos_Consumo[[#This Row],[FECHA]])</f>
        <v>2018-2</v>
      </c>
    </row>
    <row r="1586" spans="1:4" x14ac:dyDescent="0.25">
      <c r="A1586" t="s">
        <v>1938</v>
      </c>
      <c r="B1586">
        <v>1</v>
      </c>
      <c r="C1586" s="54">
        <v>43160</v>
      </c>
      <c r="D1586" s="3" t="str">
        <f>YEAR(Datos_Consumo[[#This Row],[FECHA]])&amp;"-"&amp;MONTH(Datos_Consumo[[#This Row],[FECHA]])</f>
        <v>2018-3</v>
      </c>
    </row>
    <row r="1587" spans="1:4" x14ac:dyDescent="0.25">
      <c r="A1587" t="s">
        <v>1938</v>
      </c>
      <c r="B1587">
        <v>12</v>
      </c>
      <c r="C1587" s="54">
        <v>43191</v>
      </c>
      <c r="D1587" s="3" t="str">
        <f>YEAR(Datos_Consumo[[#This Row],[FECHA]])&amp;"-"&amp;MONTH(Datos_Consumo[[#This Row],[FECHA]])</f>
        <v>2018-4</v>
      </c>
    </row>
    <row r="1588" spans="1:4" x14ac:dyDescent="0.25">
      <c r="A1588" t="s">
        <v>1939</v>
      </c>
      <c r="B1588">
        <v>2</v>
      </c>
      <c r="C1588" s="54">
        <v>43070</v>
      </c>
      <c r="D1588" s="3" t="str">
        <f>YEAR(Datos_Consumo[[#This Row],[FECHA]])&amp;"-"&amp;MONTH(Datos_Consumo[[#This Row],[FECHA]])</f>
        <v>2017-12</v>
      </c>
    </row>
    <row r="1589" spans="1:4" x14ac:dyDescent="0.25">
      <c r="A1589" t="s">
        <v>1940</v>
      </c>
      <c r="B1589">
        <v>11</v>
      </c>
      <c r="C1589" s="54">
        <v>43070</v>
      </c>
      <c r="D1589" s="3" t="str">
        <f>YEAR(Datos_Consumo[[#This Row],[FECHA]])&amp;"-"&amp;MONTH(Datos_Consumo[[#This Row],[FECHA]])</f>
        <v>2017-12</v>
      </c>
    </row>
    <row r="1590" spans="1:4" x14ac:dyDescent="0.25">
      <c r="A1590" t="s">
        <v>1940</v>
      </c>
      <c r="B1590">
        <v>4</v>
      </c>
      <c r="C1590" s="54">
        <v>43101</v>
      </c>
      <c r="D1590" s="3" t="str">
        <f>YEAR(Datos_Consumo[[#This Row],[FECHA]])&amp;"-"&amp;MONTH(Datos_Consumo[[#This Row],[FECHA]])</f>
        <v>2018-1</v>
      </c>
    </row>
    <row r="1591" spans="1:4" x14ac:dyDescent="0.25">
      <c r="A1591" t="s">
        <v>1940</v>
      </c>
      <c r="B1591">
        <v>1</v>
      </c>
      <c r="C1591" s="54">
        <v>43160</v>
      </c>
      <c r="D1591" s="3" t="str">
        <f>YEAR(Datos_Consumo[[#This Row],[FECHA]])&amp;"-"&amp;MONTH(Datos_Consumo[[#This Row],[FECHA]])</f>
        <v>2018-3</v>
      </c>
    </row>
    <row r="1592" spans="1:4" x14ac:dyDescent="0.25">
      <c r="A1592" t="s">
        <v>1940</v>
      </c>
      <c r="B1592">
        <v>3</v>
      </c>
      <c r="C1592" s="54">
        <v>43191</v>
      </c>
      <c r="D1592" s="3" t="str">
        <f>YEAR(Datos_Consumo[[#This Row],[FECHA]])&amp;"-"&amp;MONTH(Datos_Consumo[[#This Row],[FECHA]])</f>
        <v>2018-4</v>
      </c>
    </row>
    <row r="1593" spans="1:4" x14ac:dyDescent="0.25">
      <c r="A1593" t="s">
        <v>1941</v>
      </c>
      <c r="B1593">
        <v>12</v>
      </c>
      <c r="C1593" s="54">
        <v>43070</v>
      </c>
      <c r="D1593" s="3" t="str">
        <f>YEAR(Datos_Consumo[[#This Row],[FECHA]])&amp;"-"&amp;MONTH(Datos_Consumo[[#This Row],[FECHA]])</f>
        <v>2017-12</v>
      </c>
    </row>
    <row r="1594" spans="1:4" x14ac:dyDescent="0.25">
      <c r="A1594" t="s">
        <v>1941</v>
      </c>
      <c r="B1594">
        <v>9</v>
      </c>
      <c r="C1594" s="54">
        <v>43101</v>
      </c>
      <c r="D1594" s="3" t="str">
        <f>YEAR(Datos_Consumo[[#This Row],[FECHA]])&amp;"-"&amp;MONTH(Datos_Consumo[[#This Row],[FECHA]])</f>
        <v>2018-1</v>
      </c>
    </row>
    <row r="1595" spans="1:4" x14ac:dyDescent="0.25">
      <c r="A1595" t="s">
        <v>1941</v>
      </c>
      <c r="B1595">
        <v>5</v>
      </c>
      <c r="C1595" s="54">
        <v>43132</v>
      </c>
      <c r="D1595" s="3" t="str">
        <f>YEAR(Datos_Consumo[[#This Row],[FECHA]])&amp;"-"&amp;MONTH(Datos_Consumo[[#This Row],[FECHA]])</f>
        <v>2018-2</v>
      </c>
    </row>
    <row r="1596" spans="1:4" x14ac:dyDescent="0.25">
      <c r="A1596" t="s">
        <v>1941</v>
      </c>
      <c r="B1596">
        <v>25</v>
      </c>
      <c r="C1596" s="54">
        <v>43160</v>
      </c>
      <c r="D1596" s="3" t="str">
        <f>YEAR(Datos_Consumo[[#This Row],[FECHA]])&amp;"-"&amp;MONTH(Datos_Consumo[[#This Row],[FECHA]])</f>
        <v>2018-3</v>
      </c>
    </row>
    <row r="1597" spans="1:4" x14ac:dyDescent="0.25">
      <c r="A1597" t="s">
        <v>1941</v>
      </c>
      <c r="B1597">
        <v>11</v>
      </c>
      <c r="C1597" s="54">
        <v>43191</v>
      </c>
      <c r="D1597" s="3" t="str">
        <f>YEAR(Datos_Consumo[[#This Row],[FECHA]])&amp;"-"&amp;MONTH(Datos_Consumo[[#This Row],[FECHA]])</f>
        <v>2018-4</v>
      </c>
    </row>
    <row r="1598" spans="1:4" x14ac:dyDescent="0.25">
      <c r="A1598" t="s">
        <v>1941</v>
      </c>
      <c r="B1598">
        <v>7</v>
      </c>
      <c r="C1598" s="54">
        <v>43221</v>
      </c>
      <c r="D1598" s="3" t="str">
        <f>YEAR(Datos_Consumo[[#This Row],[FECHA]])&amp;"-"&amp;MONTH(Datos_Consumo[[#This Row],[FECHA]])</f>
        <v>2018-5</v>
      </c>
    </row>
    <row r="1599" spans="1:4" x14ac:dyDescent="0.25">
      <c r="A1599" t="s">
        <v>1942</v>
      </c>
      <c r="B1599">
        <v>1</v>
      </c>
      <c r="C1599" s="54">
        <v>43070</v>
      </c>
      <c r="D1599" s="3" t="str">
        <f>YEAR(Datos_Consumo[[#This Row],[FECHA]])&amp;"-"&amp;MONTH(Datos_Consumo[[#This Row],[FECHA]])</f>
        <v>2017-12</v>
      </c>
    </row>
    <row r="1600" spans="1:4" x14ac:dyDescent="0.25">
      <c r="A1600" t="s">
        <v>1942</v>
      </c>
      <c r="B1600">
        <v>5</v>
      </c>
      <c r="C1600" s="54">
        <v>43101</v>
      </c>
      <c r="D1600" s="3" t="str">
        <f>YEAR(Datos_Consumo[[#This Row],[FECHA]])&amp;"-"&amp;MONTH(Datos_Consumo[[#This Row],[FECHA]])</f>
        <v>2018-1</v>
      </c>
    </row>
    <row r="1601" spans="1:4" x14ac:dyDescent="0.25">
      <c r="A1601" t="s">
        <v>1942</v>
      </c>
      <c r="B1601">
        <v>6</v>
      </c>
      <c r="C1601" s="54">
        <v>43132</v>
      </c>
      <c r="D1601" s="3" t="str">
        <f>YEAR(Datos_Consumo[[#This Row],[FECHA]])&amp;"-"&amp;MONTH(Datos_Consumo[[#This Row],[FECHA]])</f>
        <v>2018-2</v>
      </c>
    </row>
    <row r="1602" spans="1:4" x14ac:dyDescent="0.25">
      <c r="A1602" t="s">
        <v>1942</v>
      </c>
      <c r="B1602">
        <v>13</v>
      </c>
      <c r="C1602" s="54">
        <v>43160</v>
      </c>
      <c r="D1602" s="3" t="str">
        <f>YEAR(Datos_Consumo[[#This Row],[FECHA]])&amp;"-"&amp;MONTH(Datos_Consumo[[#This Row],[FECHA]])</f>
        <v>2018-3</v>
      </c>
    </row>
    <row r="1603" spans="1:4" x14ac:dyDescent="0.25">
      <c r="A1603" t="s">
        <v>1942</v>
      </c>
      <c r="B1603">
        <v>2</v>
      </c>
      <c r="C1603" s="54">
        <v>43191</v>
      </c>
      <c r="D1603" s="3" t="str">
        <f>YEAR(Datos_Consumo[[#This Row],[FECHA]])&amp;"-"&amp;MONTH(Datos_Consumo[[#This Row],[FECHA]])</f>
        <v>2018-4</v>
      </c>
    </row>
    <row r="1604" spans="1:4" x14ac:dyDescent="0.25">
      <c r="A1604" t="s">
        <v>1943</v>
      </c>
      <c r="B1604">
        <v>2</v>
      </c>
      <c r="C1604" s="54">
        <v>43070</v>
      </c>
      <c r="D1604" s="3" t="str">
        <f>YEAR(Datos_Consumo[[#This Row],[FECHA]])&amp;"-"&amp;MONTH(Datos_Consumo[[#This Row],[FECHA]])</f>
        <v>2017-12</v>
      </c>
    </row>
    <row r="1605" spans="1:4" x14ac:dyDescent="0.25">
      <c r="A1605" t="s">
        <v>1943</v>
      </c>
      <c r="B1605">
        <v>11</v>
      </c>
      <c r="C1605" s="54">
        <v>43101</v>
      </c>
      <c r="D1605" s="3" t="str">
        <f>YEAR(Datos_Consumo[[#This Row],[FECHA]])&amp;"-"&amp;MONTH(Datos_Consumo[[#This Row],[FECHA]])</f>
        <v>2018-1</v>
      </c>
    </row>
    <row r="1606" spans="1:4" x14ac:dyDescent="0.25">
      <c r="A1606" t="s">
        <v>1943</v>
      </c>
      <c r="B1606">
        <v>4</v>
      </c>
      <c r="C1606" s="54">
        <v>43132</v>
      </c>
      <c r="D1606" s="3" t="str">
        <f>YEAR(Datos_Consumo[[#This Row],[FECHA]])&amp;"-"&amp;MONTH(Datos_Consumo[[#This Row],[FECHA]])</f>
        <v>2018-2</v>
      </c>
    </row>
    <row r="1607" spans="1:4" x14ac:dyDescent="0.25">
      <c r="A1607" t="s">
        <v>1943</v>
      </c>
      <c r="B1607">
        <v>4</v>
      </c>
      <c r="C1607" s="54">
        <v>43160</v>
      </c>
      <c r="D1607" s="3" t="str">
        <f>YEAR(Datos_Consumo[[#This Row],[FECHA]])&amp;"-"&amp;MONTH(Datos_Consumo[[#This Row],[FECHA]])</f>
        <v>2018-3</v>
      </c>
    </row>
    <row r="1608" spans="1:4" x14ac:dyDescent="0.25">
      <c r="A1608" t="s">
        <v>1943</v>
      </c>
      <c r="B1608">
        <v>8</v>
      </c>
      <c r="C1608" s="54">
        <v>43191</v>
      </c>
      <c r="D1608" s="3" t="str">
        <f>YEAR(Datos_Consumo[[#This Row],[FECHA]])&amp;"-"&amp;MONTH(Datos_Consumo[[#This Row],[FECHA]])</f>
        <v>2018-4</v>
      </c>
    </row>
    <row r="1609" spans="1:4" x14ac:dyDescent="0.25">
      <c r="A1609" t="s">
        <v>1944</v>
      </c>
      <c r="B1609">
        <v>11</v>
      </c>
      <c r="C1609" s="54">
        <v>43070</v>
      </c>
      <c r="D1609" s="3" t="str">
        <f>YEAR(Datos_Consumo[[#This Row],[FECHA]])&amp;"-"&amp;MONTH(Datos_Consumo[[#This Row],[FECHA]])</f>
        <v>2017-12</v>
      </c>
    </row>
    <row r="1610" spans="1:4" x14ac:dyDescent="0.25">
      <c r="A1610" t="s">
        <v>1944</v>
      </c>
      <c r="B1610">
        <v>9</v>
      </c>
      <c r="C1610" s="54">
        <v>43101</v>
      </c>
      <c r="D1610" s="3" t="str">
        <f>YEAR(Datos_Consumo[[#This Row],[FECHA]])&amp;"-"&amp;MONTH(Datos_Consumo[[#This Row],[FECHA]])</f>
        <v>2018-1</v>
      </c>
    </row>
    <row r="1611" spans="1:4" x14ac:dyDescent="0.25">
      <c r="A1611" t="s">
        <v>1944</v>
      </c>
      <c r="B1611">
        <v>8</v>
      </c>
      <c r="C1611" s="54">
        <v>43132</v>
      </c>
      <c r="D1611" s="3" t="str">
        <f>YEAR(Datos_Consumo[[#This Row],[FECHA]])&amp;"-"&amp;MONTH(Datos_Consumo[[#This Row],[FECHA]])</f>
        <v>2018-2</v>
      </c>
    </row>
    <row r="1612" spans="1:4" x14ac:dyDescent="0.25">
      <c r="A1612" t="s">
        <v>1944</v>
      </c>
      <c r="B1612">
        <v>20</v>
      </c>
      <c r="C1612" s="54">
        <v>43160</v>
      </c>
      <c r="D1612" s="3" t="str">
        <f>YEAR(Datos_Consumo[[#This Row],[FECHA]])&amp;"-"&amp;MONTH(Datos_Consumo[[#This Row],[FECHA]])</f>
        <v>2018-3</v>
      </c>
    </row>
    <row r="1613" spans="1:4" x14ac:dyDescent="0.25">
      <c r="A1613" t="s">
        <v>1944</v>
      </c>
      <c r="B1613">
        <v>8</v>
      </c>
      <c r="C1613" s="54">
        <v>43191</v>
      </c>
      <c r="D1613" s="3" t="str">
        <f>YEAR(Datos_Consumo[[#This Row],[FECHA]])&amp;"-"&amp;MONTH(Datos_Consumo[[#This Row],[FECHA]])</f>
        <v>2018-4</v>
      </c>
    </row>
    <row r="1614" spans="1:4" x14ac:dyDescent="0.25">
      <c r="A1614" t="s">
        <v>1944</v>
      </c>
      <c r="B1614">
        <v>1</v>
      </c>
      <c r="C1614" s="54">
        <v>43221</v>
      </c>
      <c r="D1614" s="3" t="str">
        <f>YEAR(Datos_Consumo[[#This Row],[FECHA]])&amp;"-"&amp;MONTH(Datos_Consumo[[#This Row],[FECHA]])</f>
        <v>2018-5</v>
      </c>
    </row>
    <row r="1615" spans="1:4" x14ac:dyDescent="0.25">
      <c r="A1615" t="s">
        <v>1945</v>
      </c>
      <c r="B1615">
        <v>2</v>
      </c>
      <c r="C1615" s="54">
        <v>43160</v>
      </c>
      <c r="D1615" s="3" t="str">
        <f>YEAR(Datos_Consumo[[#This Row],[FECHA]])&amp;"-"&amp;MONTH(Datos_Consumo[[#This Row],[FECHA]])</f>
        <v>2018-3</v>
      </c>
    </row>
    <row r="1616" spans="1:4" x14ac:dyDescent="0.25">
      <c r="A1616" t="s">
        <v>1946</v>
      </c>
      <c r="B1616">
        <v>2</v>
      </c>
      <c r="C1616" s="54">
        <v>43070</v>
      </c>
      <c r="D1616" s="3" t="str">
        <f>YEAR(Datos_Consumo[[#This Row],[FECHA]])&amp;"-"&amp;MONTH(Datos_Consumo[[#This Row],[FECHA]])</f>
        <v>2017-12</v>
      </c>
    </row>
    <row r="1617" spans="1:4" x14ac:dyDescent="0.25">
      <c r="A1617" t="s">
        <v>1946</v>
      </c>
      <c r="B1617">
        <v>2</v>
      </c>
      <c r="C1617" s="54">
        <v>43101</v>
      </c>
      <c r="D1617" s="3" t="str">
        <f>YEAR(Datos_Consumo[[#This Row],[FECHA]])&amp;"-"&amp;MONTH(Datos_Consumo[[#This Row],[FECHA]])</f>
        <v>2018-1</v>
      </c>
    </row>
    <row r="1618" spans="1:4" x14ac:dyDescent="0.25">
      <c r="A1618" t="s">
        <v>1946</v>
      </c>
      <c r="B1618">
        <v>3</v>
      </c>
      <c r="C1618" s="54">
        <v>43160</v>
      </c>
      <c r="D1618" s="3" t="str">
        <f>YEAR(Datos_Consumo[[#This Row],[FECHA]])&amp;"-"&amp;MONTH(Datos_Consumo[[#This Row],[FECHA]])</f>
        <v>2018-3</v>
      </c>
    </row>
    <row r="1619" spans="1:4" x14ac:dyDescent="0.25">
      <c r="A1619" t="s">
        <v>1947</v>
      </c>
      <c r="B1619">
        <v>3</v>
      </c>
      <c r="C1619" s="54">
        <v>43101</v>
      </c>
      <c r="D1619" s="3" t="str">
        <f>YEAR(Datos_Consumo[[#This Row],[FECHA]])&amp;"-"&amp;MONTH(Datos_Consumo[[#This Row],[FECHA]])</f>
        <v>2018-1</v>
      </c>
    </row>
    <row r="1620" spans="1:4" x14ac:dyDescent="0.25">
      <c r="A1620" t="s">
        <v>1948</v>
      </c>
      <c r="B1620">
        <v>120</v>
      </c>
      <c r="C1620" s="54">
        <v>43132</v>
      </c>
      <c r="D1620" s="3" t="str">
        <f>YEAR(Datos_Consumo[[#This Row],[FECHA]])&amp;"-"&amp;MONTH(Datos_Consumo[[#This Row],[FECHA]])</f>
        <v>2018-2</v>
      </c>
    </row>
    <row r="1621" spans="1:4" x14ac:dyDescent="0.25">
      <c r="A1621" t="s">
        <v>1948</v>
      </c>
      <c r="B1621">
        <v>61</v>
      </c>
      <c r="C1621" s="54">
        <v>43160</v>
      </c>
      <c r="D1621" s="3" t="str">
        <f>YEAR(Datos_Consumo[[#This Row],[FECHA]])&amp;"-"&amp;MONTH(Datos_Consumo[[#This Row],[FECHA]])</f>
        <v>2018-3</v>
      </c>
    </row>
    <row r="1622" spans="1:4" x14ac:dyDescent="0.25">
      <c r="A1622" t="s">
        <v>1948</v>
      </c>
      <c r="B1622">
        <v>95</v>
      </c>
      <c r="C1622" s="54">
        <v>43191</v>
      </c>
      <c r="D1622" s="3" t="str">
        <f>YEAR(Datos_Consumo[[#This Row],[FECHA]])&amp;"-"&amp;MONTH(Datos_Consumo[[#This Row],[FECHA]])</f>
        <v>2018-4</v>
      </c>
    </row>
    <row r="1623" spans="1:4" x14ac:dyDescent="0.25">
      <c r="A1623" t="s">
        <v>1948</v>
      </c>
      <c r="B1623">
        <v>27</v>
      </c>
      <c r="C1623" s="54">
        <v>43221</v>
      </c>
      <c r="D1623" s="3" t="str">
        <f>YEAR(Datos_Consumo[[#This Row],[FECHA]])&amp;"-"&amp;MONTH(Datos_Consumo[[#This Row],[FECHA]])</f>
        <v>2018-5</v>
      </c>
    </row>
    <row r="1624" spans="1:4" x14ac:dyDescent="0.25">
      <c r="A1624" t="s">
        <v>1949</v>
      </c>
      <c r="B1624">
        <v>1</v>
      </c>
      <c r="C1624" s="54">
        <v>43101</v>
      </c>
      <c r="D1624" s="3" t="str">
        <f>YEAR(Datos_Consumo[[#This Row],[FECHA]])&amp;"-"&amp;MONTH(Datos_Consumo[[#This Row],[FECHA]])</f>
        <v>2018-1</v>
      </c>
    </row>
    <row r="1625" spans="1:4" x14ac:dyDescent="0.25">
      <c r="A1625" t="s">
        <v>1950</v>
      </c>
      <c r="B1625">
        <v>55</v>
      </c>
      <c r="C1625" s="54">
        <v>43070</v>
      </c>
      <c r="D1625" s="3" t="str">
        <f>YEAR(Datos_Consumo[[#This Row],[FECHA]])&amp;"-"&amp;MONTH(Datos_Consumo[[#This Row],[FECHA]])</f>
        <v>2017-12</v>
      </c>
    </row>
    <row r="1626" spans="1:4" x14ac:dyDescent="0.25">
      <c r="A1626" t="s">
        <v>1950</v>
      </c>
      <c r="B1626">
        <v>32</v>
      </c>
      <c r="C1626" s="54">
        <v>43101</v>
      </c>
      <c r="D1626" s="3" t="str">
        <f>YEAR(Datos_Consumo[[#This Row],[FECHA]])&amp;"-"&amp;MONTH(Datos_Consumo[[#This Row],[FECHA]])</f>
        <v>2018-1</v>
      </c>
    </row>
    <row r="1627" spans="1:4" x14ac:dyDescent="0.25">
      <c r="A1627" t="s">
        <v>1950</v>
      </c>
      <c r="B1627">
        <v>5</v>
      </c>
      <c r="C1627" s="54">
        <v>43132</v>
      </c>
      <c r="D1627" s="3" t="str">
        <f>YEAR(Datos_Consumo[[#This Row],[FECHA]])&amp;"-"&amp;MONTH(Datos_Consumo[[#This Row],[FECHA]])</f>
        <v>2018-2</v>
      </c>
    </row>
    <row r="1628" spans="1:4" x14ac:dyDescent="0.25">
      <c r="A1628" t="s">
        <v>1950</v>
      </c>
      <c r="B1628">
        <v>28</v>
      </c>
      <c r="C1628" s="54">
        <v>43160</v>
      </c>
      <c r="D1628" s="3" t="str">
        <f>YEAR(Datos_Consumo[[#This Row],[FECHA]])&amp;"-"&amp;MONTH(Datos_Consumo[[#This Row],[FECHA]])</f>
        <v>2018-3</v>
      </c>
    </row>
    <row r="1629" spans="1:4" x14ac:dyDescent="0.25">
      <c r="A1629" t="s">
        <v>1950</v>
      </c>
      <c r="B1629">
        <v>13</v>
      </c>
      <c r="C1629" s="54">
        <v>43191</v>
      </c>
      <c r="D1629" s="3" t="str">
        <f>YEAR(Datos_Consumo[[#This Row],[FECHA]])&amp;"-"&amp;MONTH(Datos_Consumo[[#This Row],[FECHA]])</f>
        <v>2018-4</v>
      </c>
    </row>
    <row r="1630" spans="1:4" x14ac:dyDescent="0.25">
      <c r="A1630" t="s">
        <v>1950</v>
      </c>
      <c r="B1630">
        <v>20</v>
      </c>
      <c r="C1630" s="54">
        <v>43221</v>
      </c>
      <c r="D1630" s="3" t="str">
        <f>YEAR(Datos_Consumo[[#This Row],[FECHA]])&amp;"-"&amp;MONTH(Datos_Consumo[[#This Row],[FECHA]])</f>
        <v>2018-5</v>
      </c>
    </row>
    <row r="1631" spans="1:4" x14ac:dyDescent="0.25">
      <c r="A1631" t="s">
        <v>1951</v>
      </c>
      <c r="B1631">
        <v>145</v>
      </c>
      <c r="C1631" s="54">
        <v>43070</v>
      </c>
      <c r="D1631" s="3" t="str">
        <f>YEAR(Datos_Consumo[[#This Row],[FECHA]])&amp;"-"&amp;MONTH(Datos_Consumo[[#This Row],[FECHA]])</f>
        <v>2017-12</v>
      </c>
    </row>
    <row r="1632" spans="1:4" x14ac:dyDescent="0.25">
      <c r="A1632" t="s">
        <v>1951</v>
      </c>
      <c r="B1632">
        <v>116</v>
      </c>
      <c r="C1632" s="54">
        <v>43101</v>
      </c>
      <c r="D1632" s="3" t="str">
        <f>YEAR(Datos_Consumo[[#This Row],[FECHA]])&amp;"-"&amp;MONTH(Datos_Consumo[[#This Row],[FECHA]])</f>
        <v>2018-1</v>
      </c>
    </row>
    <row r="1633" spans="1:4" x14ac:dyDescent="0.25">
      <c r="A1633" t="s">
        <v>1951</v>
      </c>
      <c r="B1633">
        <v>43</v>
      </c>
      <c r="C1633" s="54">
        <v>43132</v>
      </c>
      <c r="D1633" s="3" t="str">
        <f>YEAR(Datos_Consumo[[#This Row],[FECHA]])&amp;"-"&amp;MONTH(Datos_Consumo[[#This Row],[FECHA]])</f>
        <v>2018-2</v>
      </c>
    </row>
    <row r="1634" spans="1:4" x14ac:dyDescent="0.25">
      <c r="A1634" t="s">
        <v>1951</v>
      </c>
      <c r="B1634">
        <v>355</v>
      </c>
      <c r="C1634" s="54">
        <v>43160</v>
      </c>
      <c r="D1634" s="3" t="str">
        <f>YEAR(Datos_Consumo[[#This Row],[FECHA]])&amp;"-"&amp;MONTH(Datos_Consumo[[#This Row],[FECHA]])</f>
        <v>2018-3</v>
      </c>
    </row>
    <row r="1635" spans="1:4" x14ac:dyDescent="0.25">
      <c r="A1635" t="s">
        <v>1951</v>
      </c>
      <c r="B1635">
        <v>364</v>
      </c>
      <c r="C1635" s="54">
        <v>43191</v>
      </c>
      <c r="D1635" s="3" t="str">
        <f>YEAR(Datos_Consumo[[#This Row],[FECHA]])&amp;"-"&amp;MONTH(Datos_Consumo[[#This Row],[FECHA]])</f>
        <v>2018-4</v>
      </c>
    </row>
    <row r="1636" spans="1:4" x14ac:dyDescent="0.25">
      <c r="A1636" t="s">
        <v>1951</v>
      </c>
      <c r="B1636">
        <v>106</v>
      </c>
      <c r="C1636" s="54">
        <v>43221</v>
      </c>
      <c r="D1636" s="3" t="str">
        <f>YEAR(Datos_Consumo[[#This Row],[FECHA]])&amp;"-"&amp;MONTH(Datos_Consumo[[#This Row],[FECHA]])</f>
        <v>2018-5</v>
      </c>
    </row>
    <row r="1637" spans="1:4" x14ac:dyDescent="0.25">
      <c r="A1637" t="s">
        <v>1952</v>
      </c>
      <c r="B1637">
        <v>51</v>
      </c>
      <c r="C1637" s="54">
        <v>43101</v>
      </c>
      <c r="D1637" s="3" t="str">
        <f>YEAR(Datos_Consumo[[#This Row],[FECHA]])&amp;"-"&amp;MONTH(Datos_Consumo[[#This Row],[FECHA]])</f>
        <v>2018-1</v>
      </c>
    </row>
    <row r="1638" spans="1:4" x14ac:dyDescent="0.25">
      <c r="A1638" t="s">
        <v>1952</v>
      </c>
      <c r="B1638">
        <v>106</v>
      </c>
      <c r="C1638" s="54">
        <v>43132</v>
      </c>
      <c r="D1638" s="3" t="str">
        <f>YEAR(Datos_Consumo[[#This Row],[FECHA]])&amp;"-"&amp;MONTH(Datos_Consumo[[#This Row],[FECHA]])</f>
        <v>2018-2</v>
      </c>
    </row>
    <row r="1639" spans="1:4" x14ac:dyDescent="0.25">
      <c r="A1639" t="s">
        <v>1952</v>
      </c>
      <c r="B1639">
        <v>30</v>
      </c>
      <c r="C1639" s="54">
        <v>43160</v>
      </c>
      <c r="D1639" s="3" t="str">
        <f>YEAR(Datos_Consumo[[#This Row],[FECHA]])&amp;"-"&amp;MONTH(Datos_Consumo[[#This Row],[FECHA]])</f>
        <v>2018-3</v>
      </c>
    </row>
    <row r="1640" spans="1:4" x14ac:dyDescent="0.25">
      <c r="A1640" t="s">
        <v>1952</v>
      </c>
      <c r="B1640">
        <v>40</v>
      </c>
      <c r="C1640" s="54">
        <v>43191</v>
      </c>
      <c r="D1640" s="3" t="str">
        <f>YEAR(Datos_Consumo[[#This Row],[FECHA]])&amp;"-"&amp;MONTH(Datos_Consumo[[#This Row],[FECHA]])</f>
        <v>2018-4</v>
      </c>
    </row>
    <row r="1641" spans="1:4" x14ac:dyDescent="0.25">
      <c r="A1641" t="s">
        <v>1952</v>
      </c>
      <c r="B1641">
        <v>29</v>
      </c>
      <c r="C1641" s="54">
        <v>43221</v>
      </c>
      <c r="D1641" s="3" t="str">
        <f>YEAR(Datos_Consumo[[#This Row],[FECHA]])&amp;"-"&amp;MONTH(Datos_Consumo[[#This Row],[FECHA]])</f>
        <v>2018-5</v>
      </c>
    </row>
    <row r="1642" spans="1:4" x14ac:dyDescent="0.25">
      <c r="A1642" t="s">
        <v>1953</v>
      </c>
      <c r="B1642">
        <v>1</v>
      </c>
      <c r="C1642" s="54">
        <v>43132</v>
      </c>
      <c r="D1642" s="3" t="str">
        <f>YEAR(Datos_Consumo[[#This Row],[FECHA]])&amp;"-"&amp;MONTH(Datos_Consumo[[#This Row],[FECHA]])</f>
        <v>2018-2</v>
      </c>
    </row>
    <row r="1643" spans="1:4" x14ac:dyDescent="0.25">
      <c r="A1643" t="s">
        <v>1954</v>
      </c>
      <c r="B1643">
        <v>3</v>
      </c>
      <c r="C1643" s="54">
        <v>43101</v>
      </c>
      <c r="D1643" s="3" t="str">
        <f>YEAR(Datos_Consumo[[#This Row],[FECHA]])&amp;"-"&amp;MONTH(Datos_Consumo[[#This Row],[FECHA]])</f>
        <v>2018-1</v>
      </c>
    </row>
    <row r="1644" spans="1:4" x14ac:dyDescent="0.25">
      <c r="A1644" t="s">
        <v>1954</v>
      </c>
      <c r="B1644">
        <v>3</v>
      </c>
      <c r="C1644" s="54">
        <v>43132</v>
      </c>
      <c r="D1644" s="3" t="str">
        <f>YEAR(Datos_Consumo[[#This Row],[FECHA]])&amp;"-"&amp;MONTH(Datos_Consumo[[#This Row],[FECHA]])</f>
        <v>2018-2</v>
      </c>
    </row>
    <row r="1645" spans="1:4" x14ac:dyDescent="0.25">
      <c r="A1645" t="s">
        <v>1954</v>
      </c>
      <c r="B1645">
        <v>8</v>
      </c>
      <c r="C1645" s="54">
        <v>43160</v>
      </c>
      <c r="D1645" s="3" t="str">
        <f>YEAR(Datos_Consumo[[#This Row],[FECHA]])&amp;"-"&amp;MONTH(Datos_Consumo[[#This Row],[FECHA]])</f>
        <v>2018-3</v>
      </c>
    </row>
    <row r="1646" spans="1:4" x14ac:dyDescent="0.25">
      <c r="A1646" t="s">
        <v>1954</v>
      </c>
      <c r="B1646">
        <v>11</v>
      </c>
      <c r="C1646" s="54">
        <v>43191</v>
      </c>
      <c r="D1646" s="3" t="str">
        <f>YEAR(Datos_Consumo[[#This Row],[FECHA]])&amp;"-"&amp;MONTH(Datos_Consumo[[#This Row],[FECHA]])</f>
        <v>2018-4</v>
      </c>
    </row>
    <row r="1647" spans="1:4" x14ac:dyDescent="0.25">
      <c r="A1647" t="s">
        <v>1955</v>
      </c>
      <c r="B1647">
        <v>4</v>
      </c>
      <c r="C1647" s="54">
        <v>43070</v>
      </c>
      <c r="D1647" s="3" t="str">
        <f>YEAR(Datos_Consumo[[#This Row],[FECHA]])&amp;"-"&amp;MONTH(Datos_Consumo[[#This Row],[FECHA]])</f>
        <v>2017-12</v>
      </c>
    </row>
    <row r="1648" spans="1:4" x14ac:dyDescent="0.25">
      <c r="A1648" t="s">
        <v>1955</v>
      </c>
      <c r="B1648">
        <v>1</v>
      </c>
      <c r="C1648" s="54">
        <v>43221</v>
      </c>
      <c r="D1648" s="3" t="str">
        <f>YEAR(Datos_Consumo[[#This Row],[FECHA]])&amp;"-"&amp;MONTH(Datos_Consumo[[#This Row],[FECHA]])</f>
        <v>2018-5</v>
      </c>
    </row>
    <row r="1649" spans="1:4" x14ac:dyDescent="0.25">
      <c r="A1649" t="s">
        <v>1956</v>
      </c>
      <c r="B1649">
        <v>1</v>
      </c>
      <c r="C1649" s="54">
        <v>43101</v>
      </c>
      <c r="D1649" s="3" t="str">
        <f>YEAR(Datos_Consumo[[#This Row],[FECHA]])&amp;"-"&amp;MONTH(Datos_Consumo[[#This Row],[FECHA]])</f>
        <v>2018-1</v>
      </c>
    </row>
    <row r="1650" spans="1:4" x14ac:dyDescent="0.25">
      <c r="A1650" t="s">
        <v>1957</v>
      </c>
      <c r="B1650">
        <v>72</v>
      </c>
      <c r="C1650" s="54">
        <v>43070</v>
      </c>
      <c r="D1650" s="3" t="str">
        <f>YEAR(Datos_Consumo[[#This Row],[FECHA]])&amp;"-"&amp;MONTH(Datos_Consumo[[#This Row],[FECHA]])</f>
        <v>2017-12</v>
      </c>
    </row>
    <row r="1651" spans="1:4" x14ac:dyDescent="0.25">
      <c r="A1651" t="s">
        <v>1957</v>
      </c>
      <c r="B1651">
        <v>9</v>
      </c>
      <c r="C1651" s="54">
        <v>43101</v>
      </c>
      <c r="D1651" s="3" t="str">
        <f>YEAR(Datos_Consumo[[#This Row],[FECHA]])&amp;"-"&amp;MONTH(Datos_Consumo[[#This Row],[FECHA]])</f>
        <v>2018-1</v>
      </c>
    </row>
    <row r="1652" spans="1:4" x14ac:dyDescent="0.25">
      <c r="A1652" t="s">
        <v>1957</v>
      </c>
      <c r="B1652">
        <v>30</v>
      </c>
      <c r="C1652" s="54">
        <v>43132</v>
      </c>
      <c r="D1652" s="3" t="str">
        <f>YEAR(Datos_Consumo[[#This Row],[FECHA]])&amp;"-"&amp;MONTH(Datos_Consumo[[#This Row],[FECHA]])</f>
        <v>2018-2</v>
      </c>
    </row>
    <row r="1653" spans="1:4" x14ac:dyDescent="0.25">
      <c r="A1653" t="s">
        <v>1957</v>
      </c>
      <c r="B1653">
        <v>35</v>
      </c>
      <c r="C1653" s="54">
        <v>43160</v>
      </c>
      <c r="D1653" s="3" t="str">
        <f>YEAR(Datos_Consumo[[#This Row],[FECHA]])&amp;"-"&amp;MONTH(Datos_Consumo[[#This Row],[FECHA]])</f>
        <v>2018-3</v>
      </c>
    </row>
    <row r="1654" spans="1:4" x14ac:dyDescent="0.25">
      <c r="A1654" t="s">
        <v>1957</v>
      </c>
      <c r="B1654">
        <v>206</v>
      </c>
      <c r="C1654" s="54">
        <v>43191</v>
      </c>
      <c r="D1654" s="3" t="str">
        <f>YEAR(Datos_Consumo[[#This Row],[FECHA]])&amp;"-"&amp;MONTH(Datos_Consumo[[#This Row],[FECHA]])</f>
        <v>2018-4</v>
      </c>
    </row>
    <row r="1655" spans="1:4" x14ac:dyDescent="0.25">
      <c r="A1655" t="s">
        <v>1957</v>
      </c>
      <c r="B1655">
        <v>4</v>
      </c>
      <c r="C1655" s="54">
        <v>43221</v>
      </c>
      <c r="D1655" s="3" t="str">
        <f>YEAR(Datos_Consumo[[#This Row],[FECHA]])&amp;"-"&amp;MONTH(Datos_Consumo[[#This Row],[FECHA]])</f>
        <v>2018-5</v>
      </c>
    </row>
    <row r="1656" spans="1:4" x14ac:dyDescent="0.25">
      <c r="A1656" t="s">
        <v>1958</v>
      </c>
      <c r="B1656">
        <v>1</v>
      </c>
      <c r="C1656" s="54">
        <v>43070</v>
      </c>
      <c r="D1656" s="3" t="str">
        <f>YEAR(Datos_Consumo[[#This Row],[FECHA]])&amp;"-"&amp;MONTH(Datos_Consumo[[#This Row],[FECHA]])</f>
        <v>2017-12</v>
      </c>
    </row>
    <row r="1657" spans="1:4" x14ac:dyDescent="0.25">
      <c r="A1657" t="s">
        <v>1958</v>
      </c>
      <c r="B1657">
        <v>22</v>
      </c>
      <c r="C1657" s="54">
        <v>43101</v>
      </c>
      <c r="D1657" s="3" t="str">
        <f>YEAR(Datos_Consumo[[#This Row],[FECHA]])&amp;"-"&amp;MONTH(Datos_Consumo[[#This Row],[FECHA]])</f>
        <v>2018-1</v>
      </c>
    </row>
    <row r="1658" spans="1:4" x14ac:dyDescent="0.25">
      <c r="A1658" t="s">
        <v>1958</v>
      </c>
      <c r="B1658">
        <v>1</v>
      </c>
      <c r="C1658" s="54">
        <v>43132</v>
      </c>
      <c r="D1658" s="3" t="str">
        <f>YEAR(Datos_Consumo[[#This Row],[FECHA]])&amp;"-"&amp;MONTH(Datos_Consumo[[#This Row],[FECHA]])</f>
        <v>2018-2</v>
      </c>
    </row>
    <row r="1659" spans="1:4" x14ac:dyDescent="0.25">
      <c r="A1659" t="s">
        <v>1958</v>
      </c>
      <c r="B1659">
        <v>27</v>
      </c>
      <c r="C1659" s="54">
        <v>43160</v>
      </c>
      <c r="D1659" s="3" t="str">
        <f>YEAR(Datos_Consumo[[#This Row],[FECHA]])&amp;"-"&amp;MONTH(Datos_Consumo[[#This Row],[FECHA]])</f>
        <v>2018-3</v>
      </c>
    </row>
    <row r="1660" spans="1:4" x14ac:dyDescent="0.25">
      <c r="A1660" t="s">
        <v>1958</v>
      </c>
      <c r="B1660">
        <v>8</v>
      </c>
      <c r="C1660" s="54">
        <v>43191</v>
      </c>
      <c r="D1660" s="3" t="str">
        <f>YEAR(Datos_Consumo[[#This Row],[FECHA]])&amp;"-"&amp;MONTH(Datos_Consumo[[#This Row],[FECHA]])</f>
        <v>2018-4</v>
      </c>
    </row>
    <row r="1661" spans="1:4" x14ac:dyDescent="0.25">
      <c r="A1661" t="s">
        <v>1958</v>
      </c>
      <c r="B1661">
        <v>10</v>
      </c>
      <c r="C1661" s="54">
        <v>43221</v>
      </c>
      <c r="D1661" s="3" t="str">
        <f>YEAR(Datos_Consumo[[#This Row],[FECHA]])&amp;"-"&amp;MONTH(Datos_Consumo[[#This Row],[FECHA]])</f>
        <v>2018-5</v>
      </c>
    </row>
    <row r="1662" spans="1:4" x14ac:dyDescent="0.25">
      <c r="A1662" t="s">
        <v>1959</v>
      </c>
      <c r="B1662">
        <v>12</v>
      </c>
      <c r="C1662" s="54">
        <v>43070</v>
      </c>
      <c r="D1662" s="3" t="str">
        <f>YEAR(Datos_Consumo[[#This Row],[FECHA]])&amp;"-"&amp;MONTH(Datos_Consumo[[#This Row],[FECHA]])</f>
        <v>2017-12</v>
      </c>
    </row>
    <row r="1663" spans="1:4" x14ac:dyDescent="0.25">
      <c r="A1663" t="s">
        <v>1959</v>
      </c>
      <c r="B1663">
        <v>8</v>
      </c>
      <c r="C1663" s="54">
        <v>43101</v>
      </c>
      <c r="D1663" s="3" t="str">
        <f>YEAR(Datos_Consumo[[#This Row],[FECHA]])&amp;"-"&amp;MONTH(Datos_Consumo[[#This Row],[FECHA]])</f>
        <v>2018-1</v>
      </c>
    </row>
    <row r="1664" spans="1:4" x14ac:dyDescent="0.25">
      <c r="A1664" t="s">
        <v>1959</v>
      </c>
      <c r="B1664">
        <v>10</v>
      </c>
      <c r="C1664" s="54">
        <v>43132</v>
      </c>
      <c r="D1664" s="3" t="str">
        <f>YEAR(Datos_Consumo[[#This Row],[FECHA]])&amp;"-"&amp;MONTH(Datos_Consumo[[#This Row],[FECHA]])</f>
        <v>2018-2</v>
      </c>
    </row>
    <row r="1665" spans="1:4" x14ac:dyDescent="0.25">
      <c r="A1665" t="s">
        <v>1959</v>
      </c>
      <c r="B1665">
        <v>11</v>
      </c>
      <c r="C1665" s="54">
        <v>43160</v>
      </c>
      <c r="D1665" s="3" t="str">
        <f>YEAR(Datos_Consumo[[#This Row],[FECHA]])&amp;"-"&amp;MONTH(Datos_Consumo[[#This Row],[FECHA]])</f>
        <v>2018-3</v>
      </c>
    </row>
    <row r="1666" spans="1:4" x14ac:dyDescent="0.25">
      <c r="A1666" t="s">
        <v>1959</v>
      </c>
      <c r="B1666">
        <v>4</v>
      </c>
      <c r="C1666" s="54">
        <v>43191</v>
      </c>
      <c r="D1666" s="3" t="str">
        <f>YEAR(Datos_Consumo[[#This Row],[FECHA]])&amp;"-"&amp;MONTH(Datos_Consumo[[#This Row],[FECHA]])</f>
        <v>2018-4</v>
      </c>
    </row>
    <row r="1667" spans="1:4" x14ac:dyDescent="0.25">
      <c r="A1667" t="s">
        <v>1960</v>
      </c>
      <c r="B1667">
        <v>18</v>
      </c>
      <c r="C1667" s="54">
        <v>43070</v>
      </c>
      <c r="D1667" s="3" t="str">
        <f>YEAR(Datos_Consumo[[#This Row],[FECHA]])&amp;"-"&amp;MONTH(Datos_Consumo[[#This Row],[FECHA]])</f>
        <v>2017-12</v>
      </c>
    </row>
    <row r="1668" spans="1:4" x14ac:dyDescent="0.25">
      <c r="A1668" t="s">
        <v>1960</v>
      </c>
      <c r="B1668">
        <v>24</v>
      </c>
      <c r="C1668" s="54">
        <v>43101</v>
      </c>
      <c r="D1668" s="3" t="str">
        <f>YEAR(Datos_Consumo[[#This Row],[FECHA]])&amp;"-"&amp;MONTH(Datos_Consumo[[#This Row],[FECHA]])</f>
        <v>2018-1</v>
      </c>
    </row>
    <row r="1669" spans="1:4" x14ac:dyDescent="0.25">
      <c r="A1669" t="s">
        <v>1960</v>
      </c>
      <c r="B1669">
        <v>17</v>
      </c>
      <c r="C1669" s="54">
        <v>43132</v>
      </c>
      <c r="D1669" s="3" t="str">
        <f>YEAR(Datos_Consumo[[#This Row],[FECHA]])&amp;"-"&amp;MONTH(Datos_Consumo[[#This Row],[FECHA]])</f>
        <v>2018-2</v>
      </c>
    </row>
    <row r="1670" spans="1:4" x14ac:dyDescent="0.25">
      <c r="A1670" t="s">
        <v>1960</v>
      </c>
      <c r="B1670">
        <v>50</v>
      </c>
      <c r="C1670" s="54">
        <v>43160</v>
      </c>
      <c r="D1670" s="3" t="str">
        <f>YEAR(Datos_Consumo[[#This Row],[FECHA]])&amp;"-"&amp;MONTH(Datos_Consumo[[#This Row],[FECHA]])</f>
        <v>2018-3</v>
      </c>
    </row>
    <row r="1671" spans="1:4" x14ac:dyDescent="0.25">
      <c r="A1671" t="s">
        <v>1960</v>
      </c>
      <c r="B1671">
        <v>15</v>
      </c>
      <c r="C1671" s="54">
        <v>43191</v>
      </c>
      <c r="D1671" s="3" t="str">
        <f>YEAR(Datos_Consumo[[#This Row],[FECHA]])&amp;"-"&amp;MONTH(Datos_Consumo[[#This Row],[FECHA]])</f>
        <v>2018-4</v>
      </c>
    </row>
    <row r="1672" spans="1:4" x14ac:dyDescent="0.25">
      <c r="A1672" t="s">
        <v>1960</v>
      </c>
      <c r="B1672">
        <v>22</v>
      </c>
      <c r="C1672" s="54">
        <v>43221</v>
      </c>
      <c r="D1672" s="3" t="str">
        <f>YEAR(Datos_Consumo[[#This Row],[FECHA]])&amp;"-"&amp;MONTH(Datos_Consumo[[#This Row],[FECHA]])</f>
        <v>2018-5</v>
      </c>
    </row>
    <row r="1673" spans="1:4" x14ac:dyDescent="0.25">
      <c r="A1673" t="s">
        <v>4057</v>
      </c>
      <c r="B1673">
        <v>3</v>
      </c>
      <c r="C1673" s="54">
        <v>43191</v>
      </c>
      <c r="D1673" s="3" t="str">
        <f>YEAR(Datos_Consumo[[#This Row],[FECHA]])&amp;"-"&amp;MONTH(Datos_Consumo[[#This Row],[FECHA]])</f>
        <v>2018-4</v>
      </c>
    </row>
    <row r="1674" spans="1:4" x14ac:dyDescent="0.25">
      <c r="A1674" t="s">
        <v>1961</v>
      </c>
      <c r="B1674">
        <v>21</v>
      </c>
      <c r="C1674" s="54">
        <v>43070</v>
      </c>
      <c r="D1674" s="3" t="str">
        <f>YEAR(Datos_Consumo[[#This Row],[FECHA]])&amp;"-"&amp;MONTH(Datos_Consumo[[#This Row],[FECHA]])</f>
        <v>2017-12</v>
      </c>
    </row>
    <row r="1675" spans="1:4" x14ac:dyDescent="0.25">
      <c r="A1675" t="s">
        <v>1961</v>
      </c>
      <c r="B1675">
        <v>14</v>
      </c>
      <c r="C1675" s="54">
        <v>43101</v>
      </c>
      <c r="D1675" s="3" t="str">
        <f>YEAR(Datos_Consumo[[#This Row],[FECHA]])&amp;"-"&amp;MONTH(Datos_Consumo[[#This Row],[FECHA]])</f>
        <v>2018-1</v>
      </c>
    </row>
    <row r="1676" spans="1:4" x14ac:dyDescent="0.25">
      <c r="A1676" t="s">
        <v>1961</v>
      </c>
      <c r="B1676">
        <v>18</v>
      </c>
      <c r="C1676" s="54">
        <v>43132</v>
      </c>
      <c r="D1676" s="3" t="str">
        <f>YEAR(Datos_Consumo[[#This Row],[FECHA]])&amp;"-"&amp;MONTH(Datos_Consumo[[#This Row],[FECHA]])</f>
        <v>2018-2</v>
      </c>
    </row>
    <row r="1677" spans="1:4" x14ac:dyDescent="0.25">
      <c r="A1677" t="s">
        <v>1961</v>
      </c>
      <c r="B1677">
        <v>13</v>
      </c>
      <c r="C1677" s="54">
        <v>43160</v>
      </c>
      <c r="D1677" s="3" t="str">
        <f>YEAR(Datos_Consumo[[#This Row],[FECHA]])&amp;"-"&amp;MONTH(Datos_Consumo[[#This Row],[FECHA]])</f>
        <v>2018-3</v>
      </c>
    </row>
    <row r="1678" spans="1:4" x14ac:dyDescent="0.25">
      <c r="A1678" t="s">
        <v>1961</v>
      </c>
      <c r="B1678">
        <v>51</v>
      </c>
      <c r="C1678" s="54">
        <v>43191</v>
      </c>
      <c r="D1678" s="3" t="str">
        <f>YEAR(Datos_Consumo[[#This Row],[FECHA]])&amp;"-"&amp;MONTH(Datos_Consumo[[#This Row],[FECHA]])</f>
        <v>2018-4</v>
      </c>
    </row>
    <row r="1679" spans="1:4" x14ac:dyDescent="0.25">
      <c r="A1679" t="s">
        <v>1961</v>
      </c>
      <c r="B1679">
        <v>16</v>
      </c>
      <c r="C1679" s="54">
        <v>43221</v>
      </c>
      <c r="D1679" s="3" t="str">
        <f>YEAR(Datos_Consumo[[#This Row],[FECHA]])&amp;"-"&amp;MONTH(Datos_Consumo[[#This Row],[FECHA]])</f>
        <v>2018-5</v>
      </c>
    </row>
    <row r="1680" spans="1:4" x14ac:dyDescent="0.25">
      <c r="A1680" t="s">
        <v>1962</v>
      </c>
      <c r="B1680">
        <v>2</v>
      </c>
      <c r="C1680" s="54">
        <v>43132</v>
      </c>
      <c r="D1680" s="3" t="str">
        <f>YEAR(Datos_Consumo[[#This Row],[FECHA]])&amp;"-"&amp;MONTH(Datos_Consumo[[#This Row],[FECHA]])</f>
        <v>2018-2</v>
      </c>
    </row>
    <row r="1681" spans="1:4" x14ac:dyDescent="0.25">
      <c r="A1681" t="s">
        <v>1963</v>
      </c>
      <c r="B1681">
        <v>8</v>
      </c>
      <c r="C1681" s="54">
        <v>43101</v>
      </c>
      <c r="D1681" s="3" t="str">
        <f>YEAR(Datos_Consumo[[#This Row],[FECHA]])&amp;"-"&amp;MONTH(Datos_Consumo[[#This Row],[FECHA]])</f>
        <v>2018-1</v>
      </c>
    </row>
    <row r="1682" spans="1:4" x14ac:dyDescent="0.25">
      <c r="A1682" t="s">
        <v>1963</v>
      </c>
      <c r="B1682">
        <v>3</v>
      </c>
      <c r="C1682" s="54">
        <v>43132</v>
      </c>
      <c r="D1682" s="3" t="str">
        <f>YEAR(Datos_Consumo[[#This Row],[FECHA]])&amp;"-"&amp;MONTH(Datos_Consumo[[#This Row],[FECHA]])</f>
        <v>2018-2</v>
      </c>
    </row>
    <row r="1683" spans="1:4" x14ac:dyDescent="0.25">
      <c r="A1683" t="s">
        <v>1963</v>
      </c>
      <c r="B1683">
        <v>9</v>
      </c>
      <c r="C1683" s="54">
        <v>43160</v>
      </c>
      <c r="D1683" s="3" t="str">
        <f>YEAR(Datos_Consumo[[#This Row],[FECHA]])&amp;"-"&amp;MONTH(Datos_Consumo[[#This Row],[FECHA]])</f>
        <v>2018-3</v>
      </c>
    </row>
    <row r="1684" spans="1:4" x14ac:dyDescent="0.25">
      <c r="A1684" t="s">
        <v>1963</v>
      </c>
      <c r="B1684">
        <v>2</v>
      </c>
      <c r="C1684" s="54">
        <v>43191</v>
      </c>
      <c r="D1684" s="3" t="str">
        <f>YEAR(Datos_Consumo[[#This Row],[FECHA]])&amp;"-"&amp;MONTH(Datos_Consumo[[#This Row],[FECHA]])</f>
        <v>2018-4</v>
      </c>
    </row>
    <row r="1685" spans="1:4" x14ac:dyDescent="0.25">
      <c r="A1685" t="s">
        <v>1964</v>
      </c>
      <c r="B1685">
        <v>1</v>
      </c>
      <c r="C1685" s="54">
        <v>43160</v>
      </c>
      <c r="D1685" s="3" t="str">
        <f>YEAR(Datos_Consumo[[#This Row],[FECHA]])&amp;"-"&amp;MONTH(Datos_Consumo[[#This Row],[FECHA]])</f>
        <v>2018-3</v>
      </c>
    </row>
    <row r="1686" spans="1:4" x14ac:dyDescent="0.25">
      <c r="A1686" t="s">
        <v>1964</v>
      </c>
      <c r="B1686">
        <v>2</v>
      </c>
      <c r="C1686" s="54">
        <v>43221</v>
      </c>
      <c r="D1686" s="3" t="str">
        <f>YEAR(Datos_Consumo[[#This Row],[FECHA]])&amp;"-"&amp;MONTH(Datos_Consumo[[#This Row],[FECHA]])</f>
        <v>2018-5</v>
      </c>
    </row>
    <row r="1687" spans="1:4" x14ac:dyDescent="0.25">
      <c r="A1687" t="s">
        <v>1965</v>
      </c>
      <c r="B1687">
        <v>4</v>
      </c>
      <c r="C1687" s="54">
        <v>43101</v>
      </c>
      <c r="D1687" s="3" t="str">
        <f>YEAR(Datos_Consumo[[#This Row],[FECHA]])&amp;"-"&amp;MONTH(Datos_Consumo[[#This Row],[FECHA]])</f>
        <v>2018-1</v>
      </c>
    </row>
    <row r="1688" spans="1:4" x14ac:dyDescent="0.25">
      <c r="A1688" t="s">
        <v>1965</v>
      </c>
      <c r="B1688">
        <v>11</v>
      </c>
      <c r="C1688" s="54">
        <v>43132</v>
      </c>
      <c r="D1688" s="3" t="str">
        <f>YEAR(Datos_Consumo[[#This Row],[FECHA]])&amp;"-"&amp;MONTH(Datos_Consumo[[#This Row],[FECHA]])</f>
        <v>2018-2</v>
      </c>
    </row>
    <row r="1689" spans="1:4" x14ac:dyDescent="0.25">
      <c r="A1689" t="s">
        <v>1965</v>
      </c>
      <c r="B1689">
        <v>6</v>
      </c>
      <c r="C1689" s="54">
        <v>43160</v>
      </c>
      <c r="D1689" s="3" t="str">
        <f>YEAR(Datos_Consumo[[#This Row],[FECHA]])&amp;"-"&amp;MONTH(Datos_Consumo[[#This Row],[FECHA]])</f>
        <v>2018-3</v>
      </c>
    </row>
    <row r="1690" spans="1:4" x14ac:dyDescent="0.25">
      <c r="A1690" t="s">
        <v>1966</v>
      </c>
      <c r="B1690">
        <v>1</v>
      </c>
      <c r="C1690" s="54">
        <v>43070</v>
      </c>
      <c r="D1690" s="3" t="str">
        <f>YEAR(Datos_Consumo[[#This Row],[FECHA]])&amp;"-"&amp;MONTH(Datos_Consumo[[#This Row],[FECHA]])</f>
        <v>2017-12</v>
      </c>
    </row>
    <row r="1691" spans="1:4" x14ac:dyDescent="0.25">
      <c r="A1691" t="s">
        <v>1966</v>
      </c>
      <c r="B1691">
        <v>5</v>
      </c>
      <c r="C1691" s="54">
        <v>43101</v>
      </c>
      <c r="D1691" s="3" t="str">
        <f>YEAR(Datos_Consumo[[#This Row],[FECHA]])&amp;"-"&amp;MONTH(Datos_Consumo[[#This Row],[FECHA]])</f>
        <v>2018-1</v>
      </c>
    </row>
    <row r="1692" spans="1:4" x14ac:dyDescent="0.25">
      <c r="A1692" t="s">
        <v>1966</v>
      </c>
      <c r="B1692">
        <v>5</v>
      </c>
      <c r="C1692" s="54">
        <v>43132</v>
      </c>
      <c r="D1692" s="3" t="str">
        <f>YEAR(Datos_Consumo[[#This Row],[FECHA]])&amp;"-"&amp;MONTH(Datos_Consumo[[#This Row],[FECHA]])</f>
        <v>2018-2</v>
      </c>
    </row>
    <row r="1693" spans="1:4" x14ac:dyDescent="0.25">
      <c r="A1693" t="s">
        <v>1966</v>
      </c>
      <c r="B1693">
        <v>6</v>
      </c>
      <c r="C1693" s="54">
        <v>43160</v>
      </c>
      <c r="D1693" s="3" t="str">
        <f>YEAR(Datos_Consumo[[#This Row],[FECHA]])&amp;"-"&amp;MONTH(Datos_Consumo[[#This Row],[FECHA]])</f>
        <v>2018-3</v>
      </c>
    </row>
    <row r="1694" spans="1:4" x14ac:dyDescent="0.25">
      <c r="A1694" t="s">
        <v>1966</v>
      </c>
      <c r="B1694">
        <v>7</v>
      </c>
      <c r="C1694" s="54">
        <v>43191</v>
      </c>
      <c r="D1694" s="3" t="str">
        <f>YEAR(Datos_Consumo[[#This Row],[FECHA]])&amp;"-"&amp;MONTH(Datos_Consumo[[#This Row],[FECHA]])</f>
        <v>2018-4</v>
      </c>
    </row>
    <row r="1695" spans="1:4" x14ac:dyDescent="0.25">
      <c r="A1695" t="s">
        <v>1966</v>
      </c>
      <c r="B1695">
        <v>2</v>
      </c>
      <c r="C1695" s="54">
        <v>43221</v>
      </c>
      <c r="D1695" s="3" t="str">
        <f>YEAR(Datos_Consumo[[#This Row],[FECHA]])&amp;"-"&amp;MONTH(Datos_Consumo[[#This Row],[FECHA]])</f>
        <v>2018-5</v>
      </c>
    </row>
    <row r="1696" spans="1:4" x14ac:dyDescent="0.25">
      <c r="A1696" t="s">
        <v>1967</v>
      </c>
      <c r="B1696">
        <v>4</v>
      </c>
      <c r="C1696" s="54">
        <v>43160</v>
      </c>
      <c r="D1696" s="3" t="str">
        <f>YEAR(Datos_Consumo[[#This Row],[FECHA]])&amp;"-"&amp;MONTH(Datos_Consumo[[#This Row],[FECHA]])</f>
        <v>2018-3</v>
      </c>
    </row>
    <row r="1697" spans="1:4" x14ac:dyDescent="0.25">
      <c r="A1697" t="s">
        <v>1968</v>
      </c>
      <c r="B1697">
        <v>38</v>
      </c>
      <c r="C1697" s="54">
        <v>43070</v>
      </c>
      <c r="D1697" s="3" t="str">
        <f>YEAR(Datos_Consumo[[#This Row],[FECHA]])&amp;"-"&amp;MONTH(Datos_Consumo[[#This Row],[FECHA]])</f>
        <v>2017-12</v>
      </c>
    </row>
    <row r="1698" spans="1:4" x14ac:dyDescent="0.25">
      <c r="A1698" t="s">
        <v>1968</v>
      </c>
      <c r="B1698">
        <v>37</v>
      </c>
      <c r="C1698" s="54">
        <v>43101</v>
      </c>
      <c r="D1698" s="3" t="str">
        <f>YEAR(Datos_Consumo[[#This Row],[FECHA]])&amp;"-"&amp;MONTH(Datos_Consumo[[#This Row],[FECHA]])</f>
        <v>2018-1</v>
      </c>
    </row>
    <row r="1699" spans="1:4" x14ac:dyDescent="0.25">
      <c r="A1699" t="s">
        <v>1968</v>
      </c>
      <c r="B1699">
        <v>13</v>
      </c>
      <c r="C1699" s="54">
        <v>43132</v>
      </c>
      <c r="D1699" s="3" t="str">
        <f>YEAR(Datos_Consumo[[#This Row],[FECHA]])&amp;"-"&amp;MONTH(Datos_Consumo[[#This Row],[FECHA]])</f>
        <v>2018-2</v>
      </c>
    </row>
    <row r="1700" spans="1:4" x14ac:dyDescent="0.25">
      <c r="A1700" t="s">
        <v>1968</v>
      </c>
      <c r="B1700">
        <v>49</v>
      </c>
      <c r="C1700" s="54">
        <v>43160</v>
      </c>
      <c r="D1700" s="3" t="str">
        <f>YEAR(Datos_Consumo[[#This Row],[FECHA]])&amp;"-"&amp;MONTH(Datos_Consumo[[#This Row],[FECHA]])</f>
        <v>2018-3</v>
      </c>
    </row>
    <row r="1701" spans="1:4" x14ac:dyDescent="0.25">
      <c r="A1701" t="s">
        <v>1968</v>
      </c>
      <c r="B1701">
        <v>16</v>
      </c>
      <c r="C1701" s="54">
        <v>43191</v>
      </c>
      <c r="D1701" s="3" t="str">
        <f>YEAR(Datos_Consumo[[#This Row],[FECHA]])&amp;"-"&amp;MONTH(Datos_Consumo[[#This Row],[FECHA]])</f>
        <v>2018-4</v>
      </c>
    </row>
    <row r="1702" spans="1:4" x14ac:dyDescent="0.25">
      <c r="A1702" t="s">
        <v>1968</v>
      </c>
      <c r="B1702">
        <v>6</v>
      </c>
      <c r="C1702" s="54">
        <v>43221</v>
      </c>
      <c r="D1702" s="3" t="str">
        <f>YEAR(Datos_Consumo[[#This Row],[FECHA]])&amp;"-"&amp;MONTH(Datos_Consumo[[#This Row],[FECHA]])</f>
        <v>2018-5</v>
      </c>
    </row>
    <row r="1703" spans="1:4" x14ac:dyDescent="0.25">
      <c r="A1703" t="s">
        <v>1969</v>
      </c>
      <c r="B1703">
        <v>28</v>
      </c>
      <c r="C1703" s="54">
        <v>43070</v>
      </c>
      <c r="D1703" s="3" t="str">
        <f>YEAR(Datos_Consumo[[#This Row],[FECHA]])&amp;"-"&amp;MONTH(Datos_Consumo[[#This Row],[FECHA]])</f>
        <v>2017-12</v>
      </c>
    </row>
    <row r="1704" spans="1:4" x14ac:dyDescent="0.25">
      <c r="A1704" t="s">
        <v>1969</v>
      </c>
      <c r="B1704">
        <v>119</v>
      </c>
      <c r="C1704" s="54">
        <v>43101</v>
      </c>
      <c r="D1704" s="3" t="str">
        <f>YEAR(Datos_Consumo[[#This Row],[FECHA]])&amp;"-"&amp;MONTH(Datos_Consumo[[#This Row],[FECHA]])</f>
        <v>2018-1</v>
      </c>
    </row>
    <row r="1705" spans="1:4" x14ac:dyDescent="0.25">
      <c r="A1705" t="s">
        <v>1969</v>
      </c>
      <c r="B1705">
        <v>12</v>
      </c>
      <c r="C1705" s="54">
        <v>43132</v>
      </c>
      <c r="D1705" s="3" t="str">
        <f>YEAR(Datos_Consumo[[#This Row],[FECHA]])&amp;"-"&amp;MONTH(Datos_Consumo[[#This Row],[FECHA]])</f>
        <v>2018-2</v>
      </c>
    </row>
    <row r="1706" spans="1:4" x14ac:dyDescent="0.25">
      <c r="A1706" t="s">
        <v>1969</v>
      </c>
      <c r="B1706">
        <v>86</v>
      </c>
      <c r="C1706" s="54">
        <v>43160</v>
      </c>
      <c r="D1706" s="3" t="str">
        <f>YEAR(Datos_Consumo[[#This Row],[FECHA]])&amp;"-"&amp;MONTH(Datos_Consumo[[#This Row],[FECHA]])</f>
        <v>2018-3</v>
      </c>
    </row>
    <row r="1707" spans="1:4" x14ac:dyDescent="0.25">
      <c r="A1707" t="s">
        <v>1969</v>
      </c>
      <c r="B1707">
        <v>40</v>
      </c>
      <c r="C1707" s="54">
        <v>43191</v>
      </c>
      <c r="D1707" s="3" t="str">
        <f>YEAR(Datos_Consumo[[#This Row],[FECHA]])&amp;"-"&amp;MONTH(Datos_Consumo[[#This Row],[FECHA]])</f>
        <v>2018-4</v>
      </c>
    </row>
    <row r="1708" spans="1:4" x14ac:dyDescent="0.25">
      <c r="A1708" t="s">
        <v>1969</v>
      </c>
      <c r="B1708">
        <v>28</v>
      </c>
      <c r="C1708" s="54">
        <v>43221</v>
      </c>
      <c r="D1708" s="3" t="str">
        <f>YEAR(Datos_Consumo[[#This Row],[FECHA]])&amp;"-"&amp;MONTH(Datos_Consumo[[#This Row],[FECHA]])</f>
        <v>2018-5</v>
      </c>
    </row>
    <row r="1709" spans="1:4" x14ac:dyDescent="0.25">
      <c r="A1709" t="s">
        <v>1970</v>
      </c>
      <c r="B1709">
        <v>9</v>
      </c>
      <c r="C1709" s="54">
        <v>43070</v>
      </c>
      <c r="D1709" s="3" t="str">
        <f>YEAR(Datos_Consumo[[#This Row],[FECHA]])&amp;"-"&amp;MONTH(Datos_Consumo[[#This Row],[FECHA]])</f>
        <v>2017-12</v>
      </c>
    </row>
    <row r="1710" spans="1:4" x14ac:dyDescent="0.25">
      <c r="A1710" t="s">
        <v>1970</v>
      </c>
      <c r="B1710">
        <v>2</v>
      </c>
      <c r="C1710" s="54">
        <v>43101</v>
      </c>
      <c r="D1710" s="3" t="str">
        <f>YEAR(Datos_Consumo[[#This Row],[FECHA]])&amp;"-"&amp;MONTH(Datos_Consumo[[#This Row],[FECHA]])</f>
        <v>2018-1</v>
      </c>
    </row>
    <row r="1711" spans="1:4" x14ac:dyDescent="0.25">
      <c r="A1711" t="s">
        <v>1970</v>
      </c>
      <c r="B1711">
        <v>6</v>
      </c>
      <c r="C1711" s="54">
        <v>43132</v>
      </c>
      <c r="D1711" s="3" t="str">
        <f>YEAR(Datos_Consumo[[#This Row],[FECHA]])&amp;"-"&amp;MONTH(Datos_Consumo[[#This Row],[FECHA]])</f>
        <v>2018-2</v>
      </c>
    </row>
    <row r="1712" spans="1:4" x14ac:dyDescent="0.25">
      <c r="A1712" t="s">
        <v>1970</v>
      </c>
      <c r="B1712">
        <v>24</v>
      </c>
      <c r="C1712" s="54">
        <v>43160</v>
      </c>
      <c r="D1712" s="3" t="str">
        <f>YEAR(Datos_Consumo[[#This Row],[FECHA]])&amp;"-"&amp;MONTH(Datos_Consumo[[#This Row],[FECHA]])</f>
        <v>2018-3</v>
      </c>
    </row>
    <row r="1713" spans="1:4" x14ac:dyDescent="0.25">
      <c r="A1713" t="s">
        <v>1970</v>
      </c>
      <c r="B1713">
        <v>12</v>
      </c>
      <c r="C1713" s="54">
        <v>43191</v>
      </c>
      <c r="D1713" s="3" t="str">
        <f>YEAR(Datos_Consumo[[#This Row],[FECHA]])&amp;"-"&amp;MONTH(Datos_Consumo[[#This Row],[FECHA]])</f>
        <v>2018-4</v>
      </c>
    </row>
    <row r="1714" spans="1:4" x14ac:dyDescent="0.25">
      <c r="A1714" t="s">
        <v>1970</v>
      </c>
      <c r="B1714">
        <v>1</v>
      </c>
      <c r="C1714" s="54">
        <v>43221</v>
      </c>
      <c r="D1714" s="3" t="str">
        <f>YEAR(Datos_Consumo[[#This Row],[FECHA]])&amp;"-"&amp;MONTH(Datos_Consumo[[#This Row],[FECHA]])</f>
        <v>2018-5</v>
      </c>
    </row>
    <row r="1715" spans="1:4" x14ac:dyDescent="0.25">
      <c r="A1715" t="s">
        <v>1971</v>
      </c>
      <c r="B1715">
        <v>1</v>
      </c>
      <c r="C1715" s="54">
        <v>43101</v>
      </c>
      <c r="D1715" s="3" t="str">
        <f>YEAR(Datos_Consumo[[#This Row],[FECHA]])&amp;"-"&amp;MONTH(Datos_Consumo[[#This Row],[FECHA]])</f>
        <v>2018-1</v>
      </c>
    </row>
    <row r="1716" spans="1:4" x14ac:dyDescent="0.25">
      <c r="A1716" t="s">
        <v>1971</v>
      </c>
      <c r="B1716">
        <v>1</v>
      </c>
      <c r="C1716" s="54">
        <v>43132</v>
      </c>
      <c r="D1716" s="3" t="str">
        <f>YEAR(Datos_Consumo[[#This Row],[FECHA]])&amp;"-"&amp;MONTH(Datos_Consumo[[#This Row],[FECHA]])</f>
        <v>2018-2</v>
      </c>
    </row>
    <row r="1717" spans="1:4" x14ac:dyDescent="0.25">
      <c r="A1717" t="s">
        <v>1972</v>
      </c>
      <c r="B1717">
        <v>11</v>
      </c>
      <c r="C1717" s="54">
        <v>43070</v>
      </c>
      <c r="D1717" s="3" t="str">
        <f>YEAR(Datos_Consumo[[#This Row],[FECHA]])&amp;"-"&amp;MONTH(Datos_Consumo[[#This Row],[FECHA]])</f>
        <v>2017-12</v>
      </c>
    </row>
    <row r="1718" spans="1:4" x14ac:dyDescent="0.25">
      <c r="A1718" t="s">
        <v>1972</v>
      </c>
      <c r="B1718">
        <v>1</v>
      </c>
      <c r="C1718" s="54">
        <v>43101</v>
      </c>
      <c r="D1718" s="3" t="str">
        <f>YEAR(Datos_Consumo[[#This Row],[FECHA]])&amp;"-"&amp;MONTH(Datos_Consumo[[#This Row],[FECHA]])</f>
        <v>2018-1</v>
      </c>
    </row>
    <row r="1719" spans="1:4" x14ac:dyDescent="0.25">
      <c r="A1719" t="s">
        <v>1972</v>
      </c>
      <c r="B1719">
        <v>9</v>
      </c>
      <c r="C1719" s="54">
        <v>43132</v>
      </c>
      <c r="D1719" s="3" t="str">
        <f>YEAR(Datos_Consumo[[#This Row],[FECHA]])&amp;"-"&amp;MONTH(Datos_Consumo[[#This Row],[FECHA]])</f>
        <v>2018-2</v>
      </c>
    </row>
    <row r="1720" spans="1:4" x14ac:dyDescent="0.25">
      <c r="A1720" t="s">
        <v>1972</v>
      </c>
      <c r="B1720">
        <v>2</v>
      </c>
      <c r="C1720" s="54">
        <v>43160</v>
      </c>
      <c r="D1720" s="3" t="str">
        <f>YEAR(Datos_Consumo[[#This Row],[FECHA]])&amp;"-"&amp;MONTH(Datos_Consumo[[#This Row],[FECHA]])</f>
        <v>2018-3</v>
      </c>
    </row>
    <row r="1721" spans="1:4" x14ac:dyDescent="0.25">
      <c r="A1721" t="s">
        <v>1972</v>
      </c>
      <c r="B1721">
        <v>28</v>
      </c>
      <c r="C1721" s="54">
        <v>43191</v>
      </c>
      <c r="D1721" s="3" t="str">
        <f>YEAR(Datos_Consumo[[#This Row],[FECHA]])&amp;"-"&amp;MONTH(Datos_Consumo[[#This Row],[FECHA]])</f>
        <v>2018-4</v>
      </c>
    </row>
    <row r="1722" spans="1:4" x14ac:dyDescent="0.25">
      <c r="A1722" t="s">
        <v>1972</v>
      </c>
      <c r="B1722">
        <v>21</v>
      </c>
      <c r="C1722" s="54">
        <v>43221</v>
      </c>
      <c r="D1722" s="3" t="str">
        <f>YEAR(Datos_Consumo[[#This Row],[FECHA]])&amp;"-"&amp;MONTH(Datos_Consumo[[#This Row],[FECHA]])</f>
        <v>2018-5</v>
      </c>
    </row>
    <row r="1723" spans="1:4" x14ac:dyDescent="0.25">
      <c r="A1723" t="s">
        <v>1973</v>
      </c>
      <c r="B1723">
        <v>8</v>
      </c>
      <c r="C1723" s="54">
        <v>43070</v>
      </c>
      <c r="D1723" s="3" t="str">
        <f>YEAR(Datos_Consumo[[#This Row],[FECHA]])&amp;"-"&amp;MONTH(Datos_Consumo[[#This Row],[FECHA]])</f>
        <v>2017-12</v>
      </c>
    </row>
    <row r="1724" spans="1:4" x14ac:dyDescent="0.25">
      <c r="A1724" t="s">
        <v>1973</v>
      </c>
      <c r="B1724">
        <v>2</v>
      </c>
      <c r="C1724" s="54">
        <v>43132</v>
      </c>
      <c r="D1724" s="3" t="str">
        <f>YEAR(Datos_Consumo[[#This Row],[FECHA]])&amp;"-"&amp;MONTH(Datos_Consumo[[#This Row],[FECHA]])</f>
        <v>2018-2</v>
      </c>
    </row>
    <row r="1725" spans="1:4" x14ac:dyDescent="0.25">
      <c r="A1725" t="s">
        <v>1973</v>
      </c>
      <c r="B1725">
        <v>4</v>
      </c>
      <c r="C1725" s="54">
        <v>43160</v>
      </c>
      <c r="D1725" s="3" t="str">
        <f>YEAR(Datos_Consumo[[#This Row],[FECHA]])&amp;"-"&amp;MONTH(Datos_Consumo[[#This Row],[FECHA]])</f>
        <v>2018-3</v>
      </c>
    </row>
    <row r="1726" spans="1:4" x14ac:dyDescent="0.25">
      <c r="A1726" t="s">
        <v>4058</v>
      </c>
      <c r="B1726">
        <v>4</v>
      </c>
      <c r="C1726" s="54">
        <v>43221</v>
      </c>
      <c r="D1726" s="3" t="str">
        <f>YEAR(Datos_Consumo[[#This Row],[FECHA]])&amp;"-"&amp;MONTH(Datos_Consumo[[#This Row],[FECHA]])</f>
        <v>2018-5</v>
      </c>
    </row>
    <row r="1727" spans="1:4" x14ac:dyDescent="0.25">
      <c r="A1727" t="s">
        <v>1974</v>
      </c>
      <c r="B1727">
        <v>9</v>
      </c>
      <c r="C1727" s="54">
        <v>43101</v>
      </c>
      <c r="D1727" s="3" t="str">
        <f>YEAR(Datos_Consumo[[#This Row],[FECHA]])&amp;"-"&amp;MONTH(Datos_Consumo[[#This Row],[FECHA]])</f>
        <v>2018-1</v>
      </c>
    </row>
    <row r="1728" spans="1:4" x14ac:dyDescent="0.25">
      <c r="A1728" t="s">
        <v>1974</v>
      </c>
      <c r="B1728">
        <v>2</v>
      </c>
      <c r="C1728" s="54">
        <v>43132</v>
      </c>
      <c r="D1728" s="3" t="str">
        <f>YEAR(Datos_Consumo[[#This Row],[FECHA]])&amp;"-"&amp;MONTH(Datos_Consumo[[#This Row],[FECHA]])</f>
        <v>2018-2</v>
      </c>
    </row>
    <row r="1729" spans="1:4" x14ac:dyDescent="0.25">
      <c r="A1729" t="s">
        <v>1974</v>
      </c>
      <c r="B1729">
        <v>1</v>
      </c>
      <c r="C1729" s="54">
        <v>43160</v>
      </c>
      <c r="D1729" s="3" t="str">
        <f>YEAR(Datos_Consumo[[#This Row],[FECHA]])&amp;"-"&amp;MONTH(Datos_Consumo[[#This Row],[FECHA]])</f>
        <v>2018-3</v>
      </c>
    </row>
    <row r="1730" spans="1:4" x14ac:dyDescent="0.25">
      <c r="A1730" t="s">
        <v>1974</v>
      </c>
      <c r="B1730">
        <v>11</v>
      </c>
      <c r="C1730" s="54">
        <v>43191</v>
      </c>
      <c r="D1730" s="3" t="str">
        <f>YEAR(Datos_Consumo[[#This Row],[FECHA]])&amp;"-"&amp;MONTH(Datos_Consumo[[#This Row],[FECHA]])</f>
        <v>2018-4</v>
      </c>
    </row>
    <row r="1731" spans="1:4" x14ac:dyDescent="0.25">
      <c r="A1731" t="s">
        <v>1974</v>
      </c>
      <c r="B1731">
        <v>4</v>
      </c>
      <c r="C1731" s="54">
        <v>43221</v>
      </c>
      <c r="D1731" s="3" t="str">
        <f>YEAR(Datos_Consumo[[#This Row],[FECHA]])&amp;"-"&amp;MONTH(Datos_Consumo[[#This Row],[FECHA]])</f>
        <v>2018-5</v>
      </c>
    </row>
    <row r="1732" spans="1:4" x14ac:dyDescent="0.25">
      <c r="A1732" t="s">
        <v>1975</v>
      </c>
      <c r="B1732">
        <v>1</v>
      </c>
      <c r="C1732" s="54">
        <v>43101</v>
      </c>
      <c r="D1732" s="3" t="str">
        <f>YEAR(Datos_Consumo[[#This Row],[FECHA]])&amp;"-"&amp;MONTH(Datos_Consumo[[#This Row],[FECHA]])</f>
        <v>2018-1</v>
      </c>
    </row>
    <row r="1733" spans="1:4" x14ac:dyDescent="0.25">
      <c r="A1733" t="s">
        <v>1975</v>
      </c>
      <c r="B1733">
        <v>2</v>
      </c>
      <c r="C1733" s="54">
        <v>43191</v>
      </c>
      <c r="D1733" s="3" t="str">
        <f>YEAR(Datos_Consumo[[#This Row],[FECHA]])&amp;"-"&amp;MONTH(Datos_Consumo[[#This Row],[FECHA]])</f>
        <v>2018-4</v>
      </c>
    </row>
    <row r="1734" spans="1:4" x14ac:dyDescent="0.25">
      <c r="A1734" t="s">
        <v>1976</v>
      </c>
      <c r="B1734">
        <v>5</v>
      </c>
      <c r="C1734" s="54">
        <v>43132</v>
      </c>
      <c r="D1734" s="3" t="str">
        <f>YEAR(Datos_Consumo[[#This Row],[FECHA]])&amp;"-"&amp;MONTH(Datos_Consumo[[#This Row],[FECHA]])</f>
        <v>2018-2</v>
      </c>
    </row>
    <row r="1735" spans="1:4" x14ac:dyDescent="0.25">
      <c r="A1735" t="s">
        <v>1976</v>
      </c>
      <c r="B1735">
        <v>6</v>
      </c>
      <c r="C1735" s="54">
        <v>43160</v>
      </c>
      <c r="D1735" s="3" t="str">
        <f>YEAR(Datos_Consumo[[#This Row],[FECHA]])&amp;"-"&amp;MONTH(Datos_Consumo[[#This Row],[FECHA]])</f>
        <v>2018-3</v>
      </c>
    </row>
    <row r="1736" spans="1:4" x14ac:dyDescent="0.25">
      <c r="A1736" t="s">
        <v>1976</v>
      </c>
      <c r="B1736">
        <v>3</v>
      </c>
      <c r="C1736" s="54">
        <v>43191</v>
      </c>
      <c r="D1736" s="3" t="str">
        <f>YEAR(Datos_Consumo[[#This Row],[FECHA]])&amp;"-"&amp;MONTH(Datos_Consumo[[#This Row],[FECHA]])</f>
        <v>2018-4</v>
      </c>
    </row>
    <row r="1737" spans="1:4" x14ac:dyDescent="0.25">
      <c r="A1737" t="s">
        <v>1976</v>
      </c>
      <c r="B1737">
        <v>1</v>
      </c>
      <c r="C1737" s="54">
        <v>43221</v>
      </c>
      <c r="D1737" s="3" t="str">
        <f>YEAR(Datos_Consumo[[#This Row],[FECHA]])&amp;"-"&amp;MONTH(Datos_Consumo[[#This Row],[FECHA]])</f>
        <v>2018-5</v>
      </c>
    </row>
    <row r="1738" spans="1:4" x14ac:dyDescent="0.25">
      <c r="A1738" t="s">
        <v>1977</v>
      </c>
      <c r="B1738">
        <v>2</v>
      </c>
      <c r="C1738" s="54">
        <v>43132</v>
      </c>
      <c r="D1738" s="3" t="str">
        <f>YEAR(Datos_Consumo[[#This Row],[FECHA]])&amp;"-"&amp;MONTH(Datos_Consumo[[#This Row],[FECHA]])</f>
        <v>2018-2</v>
      </c>
    </row>
    <row r="1739" spans="1:4" x14ac:dyDescent="0.25">
      <c r="A1739" t="s">
        <v>1977</v>
      </c>
      <c r="B1739">
        <v>2</v>
      </c>
      <c r="C1739" s="54">
        <v>43160</v>
      </c>
      <c r="D1739" s="3" t="str">
        <f>YEAR(Datos_Consumo[[#This Row],[FECHA]])&amp;"-"&amp;MONTH(Datos_Consumo[[#This Row],[FECHA]])</f>
        <v>2018-3</v>
      </c>
    </row>
    <row r="1740" spans="1:4" x14ac:dyDescent="0.25">
      <c r="A1740" t="s">
        <v>1977</v>
      </c>
      <c r="B1740">
        <v>4</v>
      </c>
      <c r="C1740" s="54">
        <v>43191</v>
      </c>
      <c r="D1740" s="3" t="str">
        <f>YEAR(Datos_Consumo[[#This Row],[FECHA]])&amp;"-"&amp;MONTH(Datos_Consumo[[#This Row],[FECHA]])</f>
        <v>2018-4</v>
      </c>
    </row>
    <row r="1741" spans="1:4" x14ac:dyDescent="0.25">
      <c r="A1741" t="s">
        <v>1978</v>
      </c>
      <c r="B1741">
        <v>1</v>
      </c>
      <c r="C1741" s="54">
        <v>43160</v>
      </c>
      <c r="D1741" s="3" t="str">
        <f>YEAR(Datos_Consumo[[#This Row],[FECHA]])&amp;"-"&amp;MONTH(Datos_Consumo[[#This Row],[FECHA]])</f>
        <v>2018-3</v>
      </c>
    </row>
    <row r="1742" spans="1:4" x14ac:dyDescent="0.25">
      <c r="A1742" t="s">
        <v>1979</v>
      </c>
      <c r="B1742">
        <v>8</v>
      </c>
      <c r="C1742" s="54">
        <v>43070</v>
      </c>
      <c r="D1742" s="3" t="str">
        <f>YEAR(Datos_Consumo[[#This Row],[FECHA]])&amp;"-"&amp;MONTH(Datos_Consumo[[#This Row],[FECHA]])</f>
        <v>2017-12</v>
      </c>
    </row>
    <row r="1743" spans="1:4" x14ac:dyDescent="0.25">
      <c r="A1743" t="s">
        <v>1979</v>
      </c>
      <c r="B1743">
        <v>4</v>
      </c>
      <c r="C1743" s="54">
        <v>43101</v>
      </c>
      <c r="D1743" s="3" t="str">
        <f>YEAR(Datos_Consumo[[#This Row],[FECHA]])&amp;"-"&amp;MONTH(Datos_Consumo[[#This Row],[FECHA]])</f>
        <v>2018-1</v>
      </c>
    </row>
    <row r="1744" spans="1:4" x14ac:dyDescent="0.25">
      <c r="A1744" t="s">
        <v>1979</v>
      </c>
      <c r="B1744">
        <v>2</v>
      </c>
      <c r="C1744" s="54">
        <v>43132</v>
      </c>
      <c r="D1744" s="3" t="str">
        <f>YEAR(Datos_Consumo[[#This Row],[FECHA]])&amp;"-"&amp;MONTH(Datos_Consumo[[#This Row],[FECHA]])</f>
        <v>2018-2</v>
      </c>
    </row>
    <row r="1745" spans="1:4" x14ac:dyDescent="0.25">
      <c r="A1745" t="s">
        <v>1979</v>
      </c>
      <c r="B1745">
        <v>4</v>
      </c>
      <c r="C1745" s="54">
        <v>43160</v>
      </c>
      <c r="D1745" s="3" t="str">
        <f>YEAR(Datos_Consumo[[#This Row],[FECHA]])&amp;"-"&amp;MONTH(Datos_Consumo[[#This Row],[FECHA]])</f>
        <v>2018-3</v>
      </c>
    </row>
    <row r="1746" spans="1:4" x14ac:dyDescent="0.25">
      <c r="A1746" t="s">
        <v>1979</v>
      </c>
      <c r="B1746">
        <v>1</v>
      </c>
      <c r="C1746" s="54">
        <v>43191</v>
      </c>
      <c r="D1746" s="3" t="str">
        <f>YEAR(Datos_Consumo[[#This Row],[FECHA]])&amp;"-"&amp;MONTH(Datos_Consumo[[#This Row],[FECHA]])</f>
        <v>2018-4</v>
      </c>
    </row>
    <row r="1747" spans="1:4" x14ac:dyDescent="0.25">
      <c r="A1747" t="s">
        <v>1979</v>
      </c>
      <c r="B1747">
        <v>3</v>
      </c>
      <c r="C1747" s="54">
        <v>43221</v>
      </c>
      <c r="D1747" s="3" t="str">
        <f>YEAR(Datos_Consumo[[#This Row],[FECHA]])&amp;"-"&amp;MONTH(Datos_Consumo[[#This Row],[FECHA]])</f>
        <v>2018-5</v>
      </c>
    </row>
    <row r="1748" spans="1:4" x14ac:dyDescent="0.25">
      <c r="A1748" t="s">
        <v>1980</v>
      </c>
      <c r="B1748">
        <v>2</v>
      </c>
      <c r="C1748" s="54">
        <v>43191</v>
      </c>
      <c r="D1748" s="3" t="str">
        <f>YEAR(Datos_Consumo[[#This Row],[FECHA]])&amp;"-"&amp;MONTH(Datos_Consumo[[#This Row],[FECHA]])</f>
        <v>2018-4</v>
      </c>
    </row>
    <row r="1749" spans="1:4" x14ac:dyDescent="0.25">
      <c r="A1749" t="s">
        <v>1981</v>
      </c>
      <c r="B1749">
        <v>1</v>
      </c>
      <c r="C1749" s="54">
        <v>43160</v>
      </c>
      <c r="D1749" s="3" t="str">
        <f>YEAR(Datos_Consumo[[#This Row],[FECHA]])&amp;"-"&amp;MONTH(Datos_Consumo[[#This Row],[FECHA]])</f>
        <v>2018-3</v>
      </c>
    </row>
    <row r="1750" spans="1:4" x14ac:dyDescent="0.25">
      <c r="A1750" t="s">
        <v>1982</v>
      </c>
      <c r="B1750">
        <v>1</v>
      </c>
      <c r="C1750" s="54">
        <v>43070</v>
      </c>
      <c r="D1750" s="3" t="str">
        <f>YEAR(Datos_Consumo[[#This Row],[FECHA]])&amp;"-"&amp;MONTH(Datos_Consumo[[#This Row],[FECHA]])</f>
        <v>2017-12</v>
      </c>
    </row>
    <row r="1751" spans="1:4" x14ac:dyDescent="0.25">
      <c r="A1751" t="s">
        <v>1982</v>
      </c>
      <c r="B1751">
        <v>12</v>
      </c>
      <c r="C1751" s="54">
        <v>43101</v>
      </c>
      <c r="D1751" s="3" t="str">
        <f>YEAR(Datos_Consumo[[#This Row],[FECHA]])&amp;"-"&amp;MONTH(Datos_Consumo[[#This Row],[FECHA]])</f>
        <v>2018-1</v>
      </c>
    </row>
    <row r="1752" spans="1:4" x14ac:dyDescent="0.25">
      <c r="A1752" t="s">
        <v>1982</v>
      </c>
      <c r="B1752">
        <v>16</v>
      </c>
      <c r="C1752" s="54">
        <v>43132</v>
      </c>
      <c r="D1752" s="3" t="str">
        <f>YEAR(Datos_Consumo[[#This Row],[FECHA]])&amp;"-"&amp;MONTH(Datos_Consumo[[#This Row],[FECHA]])</f>
        <v>2018-2</v>
      </c>
    </row>
    <row r="1753" spans="1:4" x14ac:dyDescent="0.25">
      <c r="A1753" t="s">
        <v>1982</v>
      </c>
      <c r="B1753">
        <v>5</v>
      </c>
      <c r="C1753" s="54">
        <v>43160</v>
      </c>
      <c r="D1753" s="3" t="str">
        <f>YEAR(Datos_Consumo[[#This Row],[FECHA]])&amp;"-"&amp;MONTH(Datos_Consumo[[#This Row],[FECHA]])</f>
        <v>2018-3</v>
      </c>
    </row>
    <row r="1754" spans="1:4" x14ac:dyDescent="0.25">
      <c r="A1754" t="s">
        <v>1982</v>
      </c>
      <c r="B1754">
        <v>3</v>
      </c>
      <c r="C1754" s="54">
        <v>43191</v>
      </c>
      <c r="D1754" s="3" t="str">
        <f>YEAR(Datos_Consumo[[#This Row],[FECHA]])&amp;"-"&amp;MONTH(Datos_Consumo[[#This Row],[FECHA]])</f>
        <v>2018-4</v>
      </c>
    </row>
    <row r="1755" spans="1:4" x14ac:dyDescent="0.25">
      <c r="A1755" t="s">
        <v>1982</v>
      </c>
      <c r="B1755">
        <v>1</v>
      </c>
      <c r="C1755" s="54">
        <v>43221</v>
      </c>
      <c r="D1755" s="3" t="str">
        <f>YEAR(Datos_Consumo[[#This Row],[FECHA]])&amp;"-"&amp;MONTH(Datos_Consumo[[#This Row],[FECHA]])</f>
        <v>2018-5</v>
      </c>
    </row>
    <row r="1756" spans="1:4" x14ac:dyDescent="0.25">
      <c r="A1756" t="s">
        <v>1983</v>
      </c>
      <c r="B1756">
        <v>1</v>
      </c>
      <c r="C1756" s="54">
        <v>43101</v>
      </c>
      <c r="D1756" s="3" t="str">
        <f>YEAR(Datos_Consumo[[#This Row],[FECHA]])&amp;"-"&amp;MONTH(Datos_Consumo[[#This Row],[FECHA]])</f>
        <v>2018-1</v>
      </c>
    </row>
    <row r="1757" spans="1:4" x14ac:dyDescent="0.25">
      <c r="A1757" t="s">
        <v>1984</v>
      </c>
      <c r="B1757">
        <v>11</v>
      </c>
      <c r="C1757" s="54">
        <v>43070</v>
      </c>
      <c r="D1757" s="3" t="str">
        <f>YEAR(Datos_Consumo[[#This Row],[FECHA]])&amp;"-"&amp;MONTH(Datos_Consumo[[#This Row],[FECHA]])</f>
        <v>2017-12</v>
      </c>
    </row>
    <row r="1758" spans="1:4" x14ac:dyDescent="0.25">
      <c r="A1758" t="s">
        <v>1984</v>
      </c>
      <c r="B1758">
        <v>25</v>
      </c>
      <c r="C1758" s="54">
        <v>43101</v>
      </c>
      <c r="D1758" s="3" t="str">
        <f>YEAR(Datos_Consumo[[#This Row],[FECHA]])&amp;"-"&amp;MONTH(Datos_Consumo[[#This Row],[FECHA]])</f>
        <v>2018-1</v>
      </c>
    </row>
    <row r="1759" spans="1:4" x14ac:dyDescent="0.25">
      <c r="A1759" t="s">
        <v>1984</v>
      </c>
      <c r="B1759">
        <v>20</v>
      </c>
      <c r="C1759" s="54">
        <v>43132</v>
      </c>
      <c r="D1759" s="3" t="str">
        <f>YEAR(Datos_Consumo[[#This Row],[FECHA]])&amp;"-"&amp;MONTH(Datos_Consumo[[#This Row],[FECHA]])</f>
        <v>2018-2</v>
      </c>
    </row>
    <row r="1760" spans="1:4" x14ac:dyDescent="0.25">
      <c r="A1760" t="s">
        <v>1984</v>
      </c>
      <c r="B1760">
        <v>8</v>
      </c>
      <c r="C1760" s="54">
        <v>43160</v>
      </c>
      <c r="D1760" s="3" t="str">
        <f>YEAR(Datos_Consumo[[#This Row],[FECHA]])&amp;"-"&amp;MONTH(Datos_Consumo[[#This Row],[FECHA]])</f>
        <v>2018-3</v>
      </c>
    </row>
    <row r="1761" spans="1:4" x14ac:dyDescent="0.25">
      <c r="A1761" t="s">
        <v>1984</v>
      </c>
      <c r="B1761">
        <v>17</v>
      </c>
      <c r="C1761" s="54">
        <v>43191</v>
      </c>
      <c r="D1761" s="3" t="str">
        <f>YEAR(Datos_Consumo[[#This Row],[FECHA]])&amp;"-"&amp;MONTH(Datos_Consumo[[#This Row],[FECHA]])</f>
        <v>2018-4</v>
      </c>
    </row>
    <row r="1762" spans="1:4" x14ac:dyDescent="0.25">
      <c r="A1762" t="s">
        <v>1984</v>
      </c>
      <c r="B1762">
        <v>10</v>
      </c>
      <c r="C1762" s="54">
        <v>43221</v>
      </c>
      <c r="D1762" s="3" t="str">
        <f>YEAR(Datos_Consumo[[#This Row],[FECHA]])&amp;"-"&amp;MONTH(Datos_Consumo[[#This Row],[FECHA]])</f>
        <v>2018-5</v>
      </c>
    </row>
    <row r="1763" spans="1:4" x14ac:dyDescent="0.25">
      <c r="A1763" t="s">
        <v>1985</v>
      </c>
      <c r="B1763">
        <v>36</v>
      </c>
      <c r="C1763" s="54">
        <v>43070</v>
      </c>
      <c r="D1763" s="3" t="str">
        <f>YEAR(Datos_Consumo[[#This Row],[FECHA]])&amp;"-"&amp;MONTH(Datos_Consumo[[#This Row],[FECHA]])</f>
        <v>2017-12</v>
      </c>
    </row>
    <row r="1764" spans="1:4" x14ac:dyDescent="0.25">
      <c r="A1764" t="s">
        <v>1985</v>
      </c>
      <c r="B1764">
        <v>2</v>
      </c>
      <c r="C1764" s="54">
        <v>43101</v>
      </c>
      <c r="D1764" s="3" t="str">
        <f>YEAR(Datos_Consumo[[#This Row],[FECHA]])&amp;"-"&amp;MONTH(Datos_Consumo[[#This Row],[FECHA]])</f>
        <v>2018-1</v>
      </c>
    </row>
    <row r="1765" spans="1:4" x14ac:dyDescent="0.25">
      <c r="A1765" t="s">
        <v>1985</v>
      </c>
      <c r="B1765">
        <v>8</v>
      </c>
      <c r="C1765" s="54">
        <v>43160</v>
      </c>
      <c r="D1765" s="3" t="str">
        <f>YEAR(Datos_Consumo[[#This Row],[FECHA]])&amp;"-"&amp;MONTH(Datos_Consumo[[#This Row],[FECHA]])</f>
        <v>2018-3</v>
      </c>
    </row>
    <row r="1766" spans="1:4" x14ac:dyDescent="0.25">
      <c r="A1766" t="s">
        <v>1985</v>
      </c>
      <c r="B1766">
        <v>8</v>
      </c>
      <c r="C1766" s="54">
        <v>43191</v>
      </c>
      <c r="D1766" s="3" t="str">
        <f>YEAR(Datos_Consumo[[#This Row],[FECHA]])&amp;"-"&amp;MONTH(Datos_Consumo[[#This Row],[FECHA]])</f>
        <v>2018-4</v>
      </c>
    </row>
    <row r="1767" spans="1:4" x14ac:dyDescent="0.25">
      <c r="A1767" t="s">
        <v>1986</v>
      </c>
      <c r="B1767">
        <v>10</v>
      </c>
      <c r="C1767" s="54">
        <v>43101</v>
      </c>
      <c r="D1767" s="3" t="str">
        <f>YEAR(Datos_Consumo[[#This Row],[FECHA]])&amp;"-"&amp;MONTH(Datos_Consumo[[#This Row],[FECHA]])</f>
        <v>2018-1</v>
      </c>
    </row>
    <row r="1768" spans="1:4" x14ac:dyDescent="0.25">
      <c r="A1768" t="s">
        <v>1986</v>
      </c>
      <c r="B1768">
        <v>10</v>
      </c>
      <c r="C1768" s="54">
        <v>43160</v>
      </c>
      <c r="D1768" s="3" t="str">
        <f>YEAR(Datos_Consumo[[#This Row],[FECHA]])&amp;"-"&amp;MONTH(Datos_Consumo[[#This Row],[FECHA]])</f>
        <v>2018-3</v>
      </c>
    </row>
    <row r="1769" spans="1:4" x14ac:dyDescent="0.25">
      <c r="A1769" t="s">
        <v>1986</v>
      </c>
      <c r="B1769">
        <v>4</v>
      </c>
      <c r="C1769" s="54">
        <v>43191</v>
      </c>
      <c r="D1769" s="3" t="str">
        <f>YEAR(Datos_Consumo[[#This Row],[FECHA]])&amp;"-"&amp;MONTH(Datos_Consumo[[#This Row],[FECHA]])</f>
        <v>2018-4</v>
      </c>
    </row>
    <row r="1770" spans="1:4" x14ac:dyDescent="0.25">
      <c r="A1770" t="s">
        <v>1987</v>
      </c>
      <c r="B1770">
        <v>4</v>
      </c>
      <c r="C1770" s="54">
        <v>43101</v>
      </c>
      <c r="D1770" s="3" t="str">
        <f>YEAR(Datos_Consumo[[#This Row],[FECHA]])&amp;"-"&amp;MONTH(Datos_Consumo[[#This Row],[FECHA]])</f>
        <v>2018-1</v>
      </c>
    </row>
    <row r="1771" spans="1:4" x14ac:dyDescent="0.25">
      <c r="A1771" t="s">
        <v>1987</v>
      </c>
      <c r="B1771">
        <v>2</v>
      </c>
      <c r="C1771" s="54">
        <v>43132</v>
      </c>
      <c r="D1771" s="3" t="str">
        <f>YEAR(Datos_Consumo[[#This Row],[FECHA]])&amp;"-"&amp;MONTH(Datos_Consumo[[#This Row],[FECHA]])</f>
        <v>2018-2</v>
      </c>
    </row>
    <row r="1772" spans="1:4" x14ac:dyDescent="0.25">
      <c r="A1772" t="s">
        <v>1988</v>
      </c>
      <c r="B1772">
        <v>4</v>
      </c>
      <c r="C1772" s="54">
        <v>43191</v>
      </c>
      <c r="D1772" s="3" t="str">
        <f>YEAR(Datos_Consumo[[#This Row],[FECHA]])&amp;"-"&amp;MONTH(Datos_Consumo[[#This Row],[FECHA]])</f>
        <v>2018-4</v>
      </c>
    </row>
    <row r="1773" spans="1:4" x14ac:dyDescent="0.25">
      <c r="A1773" t="s">
        <v>1989</v>
      </c>
      <c r="B1773">
        <v>3</v>
      </c>
      <c r="C1773" s="54">
        <v>43160</v>
      </c>
      <c r="D1773" s="3" t="str">
        <f>YEAR(Datos_Consumo[[#This Row],[FECHA]])&amp;"-"&amp;MONTH(Datos_Consumo[[#This Row],[FECHA]])</f>
        <v>2018-3</v>
      </c>
    </row>
    <row r="1774" spans="1:4" x14ac:dyDescent="0.25">
      <c r="A1774" t="s">
        <v>1989</v>
      </c>
      <c r="B1774">
        <v>2</v>
      </c>
      <c r="C1774" s="54">
        <v>43221</v>
      </c>
      <c r="D1774" s="3" t="str">
        <f>YEAR(Datos_Consumo[[#This Row],[FECHA]])&amp;"-"&amp;MONTH(Datos_Consumo[[#This Row],[FECHA]])</f>
        <v>2018-5</v>
      </c>
    </row>
    <row r="1775" spans="1:4" x14ac:dyDescent="0.25">
      <c r="A1775" t="s">
        <v>1990</v>
      </c>
      <c r="B1775">
        <v>1</v>
      </c>
      <c r="C1775" s="54">
        <v>43160</v>
      </c>
      <c r="D1775" s="3" t="str">
        <f>YEAR(Datos_Consumo[[#This Row],[FECHA]])&amp;"-"&amp;MONTH(Datos_Consumo[[#This Row],[FECHA]])</f>
        <v>2018-3</v>
      </c>
    </row>
    <row r="1776" spans="1:4" x14ac:dyDescent="0.25">
      <c r="A1776" t="s">
        <v>1991</v>
      </c>
      <c r="B1776">
        <v>3</v>
      </c>
      <c r="C1776" s="54">
        <v>43070</v>
      </c>
      <c r="D1776" s="3" t="str">
        <f>YEAR(Datos_Consumo[[#This Row],[FECHA]])&amp;"-"&amp;MONTH(Datos_Consumo[[#This Row],[FECHA]])</f>
        <v>2017-12</v>
      </c>
    </row>
    <row r="1777" spans="1:4" x14ac:dyDescent="0.25">
      <c r="A1777" t="s">
        <v>1991</v>
      </c>
      <c r="B1777">
        <v>3</v>
      </c>
      <c r="C1777" s="54">
        <v>43101</v>
      </c>
      <c r="D1777" s="3" t="str">
        <f>YEAR(Datos_Consumo[[#This Row],[FECHA]])&amp;"-"&amp;MONTH(Datos_Consumo[[#This Row],[FECHA]])</f>
        <v>2018-1</v>
      </c>
    </row>
    <row r="1778" spans="1:4" x14ac:dyDescent="0.25">
      <c r="A1778" t="s">
        <v>1991</v>
      </c>
      <c r="B1778">
        <v>2</v>
      </c>
      <c r="C1778" s="54">
        <v>43160</v>
      </c>
      <c r="D1778" s="3" t="str">
        <f>YEAR(Datos_Consumo[[#This Row],[FECHA]])&amp;"-"&amp;MONTH(Datos_Consumo[[#This Row],[FECHA]])</f>
        <v>2018-3</v>
      </c>
    </row>
    <row r="1779" spans="1:4" x14ac:dyDescent="0.25">
      <c r="A1779" t="s">
        <v>1991</v>
      </c>
      <c r="B1779">
        <v>1</v>
      </c>
      <c r="C1779" s="54">
        <v>43191</v>
      </c>
      <c r="D1779" s="3" t="str">
        <f>YEAR(Datos_Consumo[[#This Row],[FECHA]])&amp;"-"&amp;MONTH(Datos_Consumo[[#This Row],[FECHA]])</f>
        <v>2018-4</v>
      </c>
    </row>
    <row r="1780" spans="1:4" x14ac:dyDescent="0.25">
      <c r="A1780" t="s">
        <v>1992</v>
      </c>
      <c r="B1780">
        <v>4</v>
      </c>
      <c r="C1780" s="54">
        <v>43070</v>
      </c>
      <c r="D1780" s="3" t="str">
        <f>YEAR(Datos_Consumo[[#This Row],[FECHA]])&amp;"-"&amp;MONTH(Datos_Consumo[[#This Row],[FECHA]])</f>
        <v>2017-12</v>
      </c>
    </row>
    <row r="1781" spans="1:4" x14ac:dyDescent="0.25">
      <c r="A1781" t="s">
        <v>1993</v>
      </c>
      <c r="B1781">
        <v>4</v>
      </c>
      <c r="C1781" s="54">
        <v>43070</v>
      </c>
      <c r="D1781" s="3" t="str">
        <f>YEAR(Datos_Consumo[[#This Row],[FECHA]])&amp;"-"&amp;MONTH(Datos_Consumo[[#This Row],[FECHA]])</f>
        <v>2017-12</v>
      </c>
    </row>
    <row r="1782" spans="1:4" x14ac:dyDescent="0.25">
      <c r="A1782" t="s">
        <v>1993</v>
      </c>
      <c r="B1782">
        <v>2</v>
      </c>
      <c r="C1782" s="54">
        <v>43160</v>
      </c>
      <c r="D1782" s="3" t="str">
        <f>YEAR(Datos_Consumo[[#This Row],[FECHA]])&amp;"-"&amp;MONTH(Datos_Consumo[[#This Row],[FECHA]])</f>
        <v>2018-3</v>
      </c>
    </row>
    <row r="1783" spans="1:4" x14ac:dyDescent="0.25">
      <c r="A1783" t="s">
        <v>1993</v>
      </c>
      <c r="B1783">
        <v>1</v>
      </c>
      <c r="C1783" s="54">
        <v>43221</v>
      </c>
      <c r="D1783" s="3" t="str">
        <f>YEAR(Datos_Consumo[[#This Row],[FECHA]])&amp;"-"&amp;MONTH(Datos_Consumo[[#This Row],[FECHA]])</f>
        <v>2018-5</v>
      </c>
    </row>
    <row r="1784" spans="1:4" x14ac:dyDescent="0.25">
      <c r="A1784" t="s">
        <v>1994</v>
      </c>
      <c r="B1784">
        <v>5</v>
      </c>
      <c r="C1784" s="54">
        <v>43070</v>
      </c>
      <c r="D1784" s="3" t="str">
        <f>YEAR(Datos_Consumo[[#This Row],[FECHA]])&amp;"-"&amp;MONTH(Datos_Consumo[[#This Row],[FECHA]])</f>
        <v>2017-12</v>
      </c>
    </row>
    <row r="1785" spans="1:4" x14ac:dyDescent="0.25">
      <c r="A1785" t="s">
        <v>1994</v>
      </c>
      <c r="B1785">
        <v>2</v>
      </c>
      <c r="C1785" s="54">
        <v>43191</v>
      </c>
      <c r="D1785" s="3" t="str">
        <f>YEAR(Datos_Consumo[[#This Row],[FECHA]])&amp;"-"&amp;MONTH(Datos_Consumo[[#This Row],[FECHA]])</f>
        <v>2018-4</v>
      </c>
    </row>
    <row r="1786" spans="1:4" x14ac:dyDescent="0.25">
      <c r="A1786" t="s">
        <v>1995</v>
      </c>
      <c r="B1786">
        <v>64</v>
      </c>
      <c r="C1786" s="54">
        <v>43070</v>
      </c>
      <c r="D1786" s="3" t="str">
        <f>YEAR(Datos_Consumo[[#This Row],[FECHA]])&amp;"-"&amp;MONTH(Datos_Consumo[[#This Row],[FECHA]])</f>
        <v>2017-12</v>
      </c>
    </row>
    <row r="1787" spans="1:4" x14ac:dyDescent="0.25">
      <c r="A1787" t="s">
        <v>1995</v>
      </c>
      <c r="B1787">
        <v>47</v>
      </c>
      <c r="C1787" s="54">
        <v>43101</v>
      </c>
      <c r="D1787" s="3" t="str">
        <f>YEAR(Datos_Consumo[[#This Row],[FECHA]])&amp;"-"&amp;MONTH(Datos_Consumo[[#This Row],[FECHA]])</f>
        <v>2018-1</v>
      </c>
    </row>
    <row r="1788" spans="1:4" x14ac:dyDescent="0.25">
      <c r="A1788" t="s">
        <v>1995</v>
      </c>
      <c r="B1788">
        <v>61</v>
      </c>
      <c r="C1788" s="54">
        <v>43132</v>
      </c>
      <c r="D1788" s="3" t="str">
        <f>YEAR(Datos_Consumo[[#This Row],[FECHA]])&amp;"-"&amp;MONTH(Datos_Consumo[[#This Row],[FECHA]])</f>
        <v>2018-2</v>
      </c>
    </row>
    <row r="1789" spans="1:4" x14ac:dyDescent="0.25">
      <c r="A1789" t="s">
        <v>1995</v>
      </c>
      <c r="B1789">
        <v>61</v>
      </c>
      <c r="C1789" s="54">
        <v>43160</v>
      </c>
      <c r="D1789" s="3" t="str">
        <f>YEAR(Datos_Consumo[[#This Row],[FECHA]])&amp;"-"&amp;MONTH(Datos_Consumo[[#This Row],[FECHA]])</f>
        <v>2018-3</v>
      </c>
    </row>
    <row r="1790" spans="1:4" x14ac:dyDescent="0.25">
      <c r="A1790" t="s">
        <v>1995</v>
      </c>
      <c r="B1790">
        <v>40</v>
      </c>
      <c r="C1790" s="54">
        <v>43191</v>
      </c>
      <c r="D1790" s="3" t="str">
        <f>YEAR(Datos_Consumo[[#This Row],[FECHA]])&amp;"-"&amp;MONTH(Datos_Consumo[[#This Row],[FECHA]])</f>
        <v>2018-4</v>
      </c>
    </row>
    <row r="1791" spans="1:4" x14ac:dyDescent="0.25">
      <c r="A1791" t="s">
        <v>1995</v>
      </c>
      <c r="B1791">
        <v>20</v>
      </c>
      <c r="C1791" s="54">
        <v>43221</v>
      </c>
      <c r="D1791" s="3" t="str">
        <f>YEAR(Datos_Consumo[[#This Row],[FECHA]])&amp;"-"&amp;MONTH(Datos_Consumo[[#This Row],[FECHA]])</f>
        <v>2018-5</v>
      </c>
    </row>
    <row r="1792" spans="1:4" x14ac:dyDescent="0.25">
      <c r="A1792" t="s">
        <v>1996</v>
      </c>
      <c r="B1792">
        <v>3</v>
      </c>
      <c r="C1792" s="54">
        <v>43101</v>
      </c>
      <c r="D1792" s="3" t="str">
        <f>YEAR(Datos_Consumo[[#This Row],[FECHA]])&amp;"-"&amp;MONTH(Datos_Consumo[[#This Row],[FECHA]])</f>
        <v>2018-1</v>
      </c>
    </row>
    <row r="1793" spans="1:4" x14ac:dyDescent="0.25">
      <c r="A1793" t="s">
        <v>1997</v>
      </c>
      <c r="B1793">
        <v>8</v>
      </c>
      <c r="C1793" s="54">
        <v>43070</v>
      </c>
      <c r="D1793" s="3" t="str">
        <f>YEAR(Datos_Consumo[[#This Row],[FECHA]])&amp;"-"&amp;MONTH(Datos_Consumo[[#This Row],[FECHA]])</f>
        <v>2017-12</v>
      </c>
    </row>
    <row r="1794" spans="1:4" x14ac:dyDescent="0.25">
      <c r="A1794" t="s">
        <v>1997</v>
      </c>
      <c r="B1794">
        <v>2</v>
      </c>
      <c r="C1794" s="54">
        <v>43101</v>
      </c>
      <c r="D1794" s="3" t="str">
        <f>YEAR(Datos_Consumo[[#This Row],[FECHA]])&amp;"-"&amp;MONTH(Datos_Consumo[[#This Row],[FECHA]])</f>
        <v>2018-1</v>
      </c>
    </row>
    <row r="1795" spans="1:4" x14ac:dyDescent="0.25">
      <c r="A1795" t="s">
        <v>1997</v>
      </c>
      <c r="B1795">
        <v>6</v>
      </c>
      <c r="C1795" s="54">
        <v>43160</v>
      </c>
      <c r="D1795" s="3" t="str">
        <f>YEAR(Datos_Consumo[[#This Row],[FECHA]])&amp;"-"&amp;MONTH(Datos_Consumo[[#This Row],[FECHA]])</f>
        <v>2018-3</v>
      </c>
    </row>
    <row r="1796" spans="1:4" x14ac:dyDescent="0.25">
      <c r="A1796" t="s">
        <v>1997</v>
      </c>
      <c r="B1796">
        <v>1</v>
      </c>
      <c r="C1796" s="54">
        <v>43191</v>
      </c>
      <c r="D1796" s="3" t="str">
        <f>YEAR(Datos_Consumo[[#This Row],[FECHA]])&amp;"-"&amp;MONTH(Datos_Consumo[[#This Row],[FECHA]])</f>
        <v>2018-4</v>
      </c>
    </row>
    <row r="1797" spans="1:4" x14ac:dyDescent="0.25">
      <c r="A1797" t="s">
        <v>1998</v>
      </c>
      <c r="B1797">
        <v>1</v>
      </c>
      <c r="C1797" s="54">
        <v>43070</v>
      </c>
      <c r="D1797" s="3" t="str">
        <f>YEAR(Datos_Consumo[[#This Row],[FECHA]])&amp;"-"&amp;MONTH(Datos_Consumo[[#This Row],[FECHA]])</f>
        <v>2017-12</v>
      </c>
    </row>
    <row r="1798" spans="1:4" x14ac:dyDescent="0.25">
      <c r="A1798" t="s">
        <v>1998</v>
      </c>
      <c r="B1798">
        <v>1</v>
      </c>
      <c r="C1798" s="54">
        <v>43101</v>
      </c>
      <c r="D1798" s="3" t="str">
        <f>YEAR(Datos_Consumo[[#This Row],[FECHA]])&amp;"-"&amp;MONTH(Datos_Consumo[[#This Row],[FECHA]])</f>
        <v>2018-1</v>
      </c>
    </row>
    <row r="1799" spans="1:4" x14ac:dyDescent="0.25">
      <c r="A1799" t="s">
        <v>1999</v>
      </c>
      <c r="B1799">
        <v>1</v>
      </c>
      <c r="C1799" s="54">
        <v>43070</v>
      </c>
      <c r="D1799" s="3" t="str">
        <f>YEAR(Datos_Consumo[[#This Row],[FECHA]])&amp;"-"&amp;MONTH(Datos_Consumo[[#This Row],[FECHA]])</f>
        <v>2017-12</v>
      </c>
    </row>
    <row r="1800" spans="1:4" x14ac:dyDescent="0.25">
      <c r="A1800" t="s">
        <v>1999</v>
      </c>
      <c r="B1800">
        <v>1</v>
      </c>
      <c r="C1800" s="54">
        <v>43101</v>
      </c>
      <c r="D1800" s="3" t="str">
        <f>YEAR(Datos_Consumo[[#This Row],[FECHA]])&amp;"-"&amp;MONTH(Datos_Consumo[[#This Row],[FECHA]])</f>
        <v>2018-1</v>
      </c>
    </row>
    <row r="1801" spans="1:4" x14ac:dyDescent="0.25">
      <c r="A1801" t="s">
        <v>1999</v>
      </c>
      <c r="B1801">
        <v>2</v>
      </c>
      <c r="C1801" s="54">
        <v>43132</v>
      </c>
      <c r="D1801" s="3" t="str">
        <f>YEAR(Datos_Consumo[[#This Row],[FECHA]])&amp;"-"&amp;MONTH(Datos_Consumo[[#This Row],[FECHA]])</f>
        <v>2018-2</v>
      </c>
    </row>
    <row r="1802" spans="1:4" x14ac:dyDescent="0.25">
      <c r="A1802" t="s">
        <v>1999</v>
      </c>
      <c r="B1802">
        <v>1</v>
      </c>
      <c r="C1802" s="54">
        <v>43160</v>
      </c>
      <c r="D1802" s="3" t="str">
        <f>YEAR(Datos_Consumo[[#This Row],[FECHA]])&amp;"-"&amp;MONTH(Datos_Consumo[[#This Row],[FECHA]])</f>
        <v>2018-3</v>
      </c>
    </row>
    <row r="1803" spans="1:4" x14ac:dyDescent="0.25">
      <c r="A1803" t="s">
        <v>1999</v>
      </c>
      <c r="B1803">
        <v>2</v>
      </c>
      <c r="C1803" s="54">
        <v>43191</v>
      </c>
      <c r="D1803" s="3" t="str">
        <f>YEAR(Datos_Consumo[[#This Row],[FECHA]])&amp;"-"&amp;MONTH(Datos_Consumo[[#This Row],[FECHA]])</f>
        <v>2018-4</v>
      </c>
    </row>
    <row r="1804" spans="1:4" x14ac:dyDescent="0.25">
      <c r="A1804" t="s">
        <v>2000</v>
      </c>
      <c r="B1804">
        <v>6</v>
      </c>
      <c r="C1804" s="54">
        <v>43101</v>
      </c>
      <c r="D1804" s="3" t="str">
        <f>YEAR(Datos_Consumo[[#This Row],[FECHA]])&amp;"-"&amp;MONTH(Datos_Consumo[[#This Row],[FECHA]])</f>
        <v>2018-1</v>
      </c>
    </row>
    <row r="1805" spans="1:4" x14ac:dyDescent="0.25">
      <c r="A1805" t="s">
        <v>2000</v>
      </c>
      <c r="B1805">
        <v>8</v>
      </c>
      <c r="C1805" s="54">
        <v>43132</v>
      </c>
      <c r="D1805" s="3" t="str">
        <f>YEAR(Datos_Consumo[[#This Row],[FECHA]])&amp;"-"&amp;MONTH(Datos_Consumo[[#This Row],[FECHA]])</f>
        <v>2018-2</v>
      </c>
    </row>
    <row r="1806" spans="1:4" x14ac:dyDescent="0.25">
      <c r="A1806" t="s">
        <v>2000</v>
      </c>
      <c r="B1806">
        <v>3</v>
      </c>
      <c r="C1806" s="54">
        <v>43160</v>
      </c>
      <c r="D1806" s="3" t="str">
        <f>YEAR(Datos_Consumo[[#This Row],[FECHA]])&amp;"-"&amp;MONTH(Datos_Consumo[[#This Row],[FECHA]])</f>
        <v>2018-3</v>
      </c>
    </row>
    <row r="1807" spans="1:4" x14ac:dyDescent="0.25">
      <c r="A1807" t="s">
        <v>2000</v>
      </c>
      <c r="B1807">
        <v>5</v>
      </c>
      <c r="C1807" s="54">
        <v>43191</v>
      </c>
      <c r="D1807" s="3" t="str">
        <f>YEAR(Datos_Consumo[[#This Row],[FECHA]])&amp;"-"&amp;MONTH(Datos_Consumo[[#This Row],[FECHA]])</f>
        <v>2018-4</v>
      </c>
    </row>
    <row r="1808" spans="1:4" x14ac:dyDescent="0.25">
      <c r="A1808" t="s">
        <v>2001</v>
      </c>
      <c r="B1808">
        <v>7</v>
      </c>
      <c r="C1808" s="54">
        <v>43070</v>
      </c>
      <c r="D1808" s="3" t="str">
        <f>YEAR(Datos_Consumo[[#This Row],[FECHA]])&amp;"-"&amp;MONTH(Datos_Consumo[[#This Row],[FECHA]])</f>
        <v>2017-12</v>
      </c>
    </row>
    <row r="1809" spans="1:4" x14ac:dyDescent="0.25">
      <c r="A1809" t="s">
        <v>2001</v>
      </c>
      <c r="B1809">
        <v>18</v>
      </c>
      <c r="C1809" s="54">
        <v>43101</v>
      </c>
      <c r="D1809" s="3" t="str">
        <f>YEAR(Datos_Consumo[[#This Row],[FECHA]])&amp;"-"&amp;MONTH(Datos_Consumo[[#This Row],[FECHA]])</f>
        <v>2018-1</v>
      </c>
    </row>
    <row r="1810" spans="1:4" x14ac:dyDescent="0.25">
      <c r="A1810" t="s">
        <v>2001</v>
      </c>
      <c r="B1810">
        <v>7</v>
      </c>
      <c r="C1810" s="54">
        <v>43132</v>
      </c>
      <c r="D1810" s="3" t="str">
        <f>YEAR(Datos_Consumo[[#This Row],[FECHA]])&amp;"-"&amp;MONTH(Datos_Consumo[[#This Row],[FECHA]])</f>
        <v>2018-2</v>
      </c>
    </row>
    <row r="1811" spans="1:4" x14ac:dyDescent="0.25">
      <c r="A1811" t="s">
        <v>2001</v>
      </c>
      <c r="B1811">
        <v>16</v>
      </c>
      <c r="C1811" s="54">
        <v>43160</v>
      </c>
      <c r="D1811" s="3" t="str">
        <f>YEAR(Datos_Consumo[[#This Row],[FECHA]])&amp;"-"&amp;MONTH(Datos_Consumo[[#This Row],[FECHA]])</f>
        <v>2018-3</v>
      </c>
    </row>
    <row r="1812" spans="1:4" x14ac:dyDescent="0.25">
      <c r="A1812" t="s">
        <v>2001</v>
      </c>
      <c r="B1812">
        <v>28</v>
      </c>
      <c r="C1812" s="54">
        <v>43191</v>
      </c>
      <c r="D1812" s="3" t="str">
        <f>YEAR(Datos_Consumo[[#This Row],[FECHA]])&amp;"-"&amp;MONTH(Datos_Consumo[[#This Row],[FECHA]])</f>
        <v>2018-4</v>
      </c>
    </row>
    <row r="1813" spans="1:4" x14ac:dyDescent="0.25">
      <c r="A1813" t="s">
        <v>2001</v>
      </c>
      <c r="B1813">
        <v>7</v>
      </c>
      <c r="C1813" s="54">
        <v>43221</v>
      </c>
      <c r="D1813" s="3" t="str">
        <f>YEAR(Datos_Consumo[[#This Row],[FECHA]])&amp;"-"&amp;MONTH(Datos_Consumo[[#This Row],[FECHA]])</f>
        <v>2018-5</v>
      </c>
    </row>
    <row r="1814" spans="1:4" x14ac:dyDescent="0.25">
      <c r="A1814" t="s">
        <v>2002</v>
      </c>
      <c r="B1814">
        <v>10</v>
      </c>
      <c r="C1814" s="54">
        <v>43070</v>
      </c>
      <c r="D1814" s="3" t="str">
        <f>YEAR(Datos_Consumo[[#This Row],[FECHA]])&amp;"-"&amp;MONTH(Datos_Consumo[[#This Row],[FECHA]])</f>
        <v>2017-12</v>
      </c>
    </row>
    <row r="1815" spans="1:4" x14ac:dyDescent="0.25">
      <c r="A1815" t="s">
        <v>2002</v>
      </c>
      <c r="B1815">
        <v>21</v>
      </c>
      <c r="C1815" s="54">
        <v>43101</v>
      </c>
      <c r="D1815" s="3" t="str">
        <f>YEAR(Datos_Consumo[[#This Row],[FECHA]])&amp;"-"&amp;MONTH(Datos_Consumo[[#This Row],[FECHA]])</f>
        <v>2018-1</v>
      </c>
    </row>
    <row r="1816" spans="1:4" x14ac:dyDescent="0.25">
      <c r="A1816" t="s">
        <v>2002</v>
      </c>
      <c r="B1816">
        <v>48</v>
      </c>
      <c r="C1816" s="54">
        <v>43132</v>
      </c>
      <c r="D1816" s="3" t="str">
        <f>YEAR(Datos_Consumo[[#This Row],[FECHA]])&amp;"-"&amp;MONTH(Datos_Consumo[[#This Row],[FECHA]])</f>
        <v>2018-2</v>
      </c>
    </row>
    <row r="1817" spans="1:4" x14ac:dyDescent="0.25">
      <c r="A1817" t="s">
        <v>2002</v>
      </c>
      <c r="B1817">
        <v>12</v>
      </c>
      <c r="C1817" s="54">
        <v>43191</v>
      </c>
      <c r="D1817" s="3" t="str">
        <f>YEAR(Datos_Consumo[[#This Row],[FECHA]])&amp;"-"&amp;MONTH(Datos_Consumo[[#This Row],[FECHA]])</f>
        <v>2018-4</v>
      </c>
    </row>
    <row r="1818" spans="1:4" x14ac:dyDescent="0.25">
      <c r="A1818" t="s">
        <v>2002</v>
      </c>
      <c r="B1818">
        <v>16</v>
      </c>
      <c r="C1818" s="54">
        <v>43221</v>
      </c>
      <c r="D1818" s="3" t="str">
        <f>YEAR(Datos_Consumo[[#This Row],[FECHA]])&amp;"-"&amp;MONTH(Datos_Consumo[[#This Row],[FECHA]])</f>
        <v>2018-5</v>
      </c>
    </row>
    <row r="1819" spans="1:4" x14ac:dyDescent="0.25">
      <c r="A1819" t="s">
        <v>2003</v>
      </c>
      <c r="B1819">
        <v>1</v>
      </c>
      <c r="C1819" s="54">
        <v>43191</v>
      </c>
      <c r="D1819" s="3" t="str">
        <f>YEAR(Datos_Consumo[[#This Row],[FECHA]])&amp;"-"&amp;MONTH(Datos_Consumo[[#This Row],[FECHA]])</f>
        <v>2018-4</v>
      </c>
    </row>
    <row r="1820" spans="1:4" x14ac:dyDescent="0.25">
      <c r="A1820" t="s">
        <v>2004</v>
      </c>
      <c r="B1820">
        <v>4</v>
      </c>
      <c r="C1820" s="54">
        <v>43160</v>
      </c>
      <c r="D1820" s="3" t="str">
        <f>YEAR(Datos_Consumo[[#This Row],[FECHA]])&amp;"-"&amp;MONTH(Datos_Consumo[[#This Row],[FECHA]])</f>
        <v>2018-3</v>
      </c>
    </row>
    <row r="1821" spans="1:4" x14ac:dyDescent="0.25">
      <c r="A1821" t="s">
        <v>2005</v>
      </c>
      <c r="B1821">
        <v>42</v>
      </c>
      <c r="C1821" s="54">
        <v>43070</v>
      </c>
      <c r="D1821" s="3" t="str">
        <f>YEAR(Datos_Consumo[[#This Row],[FECHA]])&amp;"-"&amp;MONTH(Datos_Consumo[[#This Row],[FECHA]])</f>
        <v>2017-12</v>
      </c>
    </row>
    <row r="1822" spans="1:4" x14ac:dyDescent="0.25">
      <c r="A1822" t="s">
        <v>2005</v>
      </c>
      <c r="B1822">
        <v>28</v>
      </c>
      <c r="C1822" s="54">
        <v>43101</v>
      </c>
      <c r="D1822" s="3" t="str">
        <f>YEAR(Datos_Consumo[[#This Row],[FECHA]])&amp;"-"&amp;MONTH(Datos_Consumo[[#This Row],[FECHA]])</f>
        <v>2018-1</v>
      </c>
    </row>
    <row r="1823" spans="1:4" x14ac:dyDescent="0.25">
      <c r="A1823" t="s">
        <v>2005</v>
      </c>
      <c r="B1823">
        <v>5</v>
      </c>
      <c r="C1823" s="54">
        <v>43132</v>
      </c>
      <c r="D1823" s="3" t="str">
        <f>YEAR(Datos_Consumo[[#This Row],[FECHA]])&amp;"-"&amp;MONTH(Datos_Consumo[[#This Row],[FECHA]])</f>
        <v>2018-2</v>
      </c>
    </row>
    <row r="1824" spans="1:4" x14ac:dyDescent="0.25">
      <c r="A1824" t="s">
        <v>2005</v>
      </c>
      <c r="B1824">
        <v>22</v>
      </c>
      <c r="C1824" s="54">
        <v>43160</v>
      </c>
      <c r="D1824" s="3" t="str">
        <f>YEAR(Datos_Consumo[[#This Row],[FECHA]])&amp;"-"&amp;MONTH(Datos_Consumo[[#This Row],[FECHA]])</f>
        <v>2018-3</v>
      </c>
    </row>
    <row r="1825" spans="1:4" x14ac:dyDescent="0.25">
      <c r="A1825" t="s">
        <v>2005</v>
      </c>
      <c r="B1825">
        <v>45</v>
      </c>
      <c r="C1825" s="54">
        <v>43191</v>
      </c>
      <c r="D1825" s="3" t="str">
        <f>YEAR(Datos_Consumo[[#This Row],[FECHA]])&amp;"-"&amp;MONTH(Datos_Consumo[[#This Row],[FECHA]])</f>
        <v>2018-4</v>
      </c>
    </row>
    <row r="1826" spans="1:4" x14ac:dyDescent="0.25">
      <c r="A1826" t="s">
        <v>2005</v>
      </c>
      <c r="B1826">
        <v>3</v>
      </c>
      <c r="C1826" s="54">
        <v>43221</v>
      </c>
      <c r="D1826" s="3" t="str">
        <f>YEAR(Datos_Consumo[[#This Row],[FECHA]])&amp;"-"&amp;MONTH(Datos_Consumo[[#This Row],[FECHA]])</f>
        <v>2018-5</v>
      </c>
    </row>
    <row r="1827" spans="1:4" x14ac:dyDescent="0.25">
      <c r="A1827" t="s">
        <v>2006</v>
      </c>
      <c r="B1827">
        <v>18</v>
      </c>
      <c r="C1827" s="54">
        <v>43070</v>
      </c>
      <c r="D1827" s="3" t="str">
        <f>YEAR(Datos_Consumo[[#This Row],[FECHA]])&amp;"-"&amp;MONTH(Datos_Consumo[[#This Row],[FECHA]])</f>
        <v>2017-12</v>
      </c>
    </row>
    <row r="1828" spans="1:4" x14ac:dyDescent="0.25">
      <c r="A1828" t="s">
        <v>2006</v>
      </c>
      <c r="B1828">
        <v>38</v>
      </c>
      <c r="C1828" s="54">
        <v>43101</v>
      </c>
      <c r="D1828" s="3" t="str">
        <f>YEAR(Datos_Consumo[[#This Row],[FECHA]])&amp;"-"&amp;MONTH(Datos_Consumo[[#This Row],[FECHA]])</f>
        <v>2018-1</v>
      </c>
    </row>
    <row r="1829" spans="1:4" x14ac:dyDescent="0.25">
      <c r="A1829" t="s">
        <v>2006</v>
      </c>
      <c r="B1829">
        <v>22</v>
      </c>
      <c r="C1829" s="54">
        <v>43132</v>
      </c>
      <c r="D1829" s="3" t="str">
        <f>YEAR(Datos_Consumo[[#This Row],[FECHA]])&amp;"-"&amp;MONTH(Datos_Consumo[[#This Row],[FECHA]])</f>
        <v>2018-2</v>
      </c>
    </row>
    <row r="1830" spans="1:4" x14ac:dyDescent="0.25">
      <c r="A1830" t="s">
        <v>2006</v>
      </c>
      <c r="B1830">
        <v>30</v>
      </c>
      <c r="C1830" s="54">
        <v>43160</v>
      </c>
      <c r="D1830" s="3" t="str">
        <f>YEAR(Datos_Consumo[[#This Row],[FECHA]])&amp;"-"&amp;MONTH(Datos_Consumo[[#This Row],[FECHA]])</f>
        <v>2018-3</v>
      </c>
    </row>
    <row r="1831" spans="1:4" x14ac:dyDescent="0.25">
      <c r="A1831" t="s">
        <v>2006</v>
      </c>
      <c r="B1831">
        <v>22</v>
      </c>
      <c r="C1831" s="54">
        <v>43191</v>
      </c>
      <c r="D1831" s="3" t="str">
        <f>YEAR(Datos_Consumo[[#This Row],[FECHA]])&amp;"-"&amp;MONTH(Datos_Consumo[[#This Row],[FECHA]])</f>
        <v>2018-4</v>
      </c>
    </row>
    <row r="1832" spans="1:4" x14ac:dyDescent="0.25">
      <c r="A1832" t="s">
        <v>2006</v>
      </c>
      <c r="B1832">
        <v>13</v>
      </c>
      <c r="C1832" s="54">
        <v>43221</v>
      </c>
      <c r="D1832" s="3" t="str">
        <f>YEAR(Datos_Consumo[[#This Row],[FECHA]])&amp;"-"&amp;MONTH(Datos_Consumo[[#This Row],[FECHA]])</f>
        <v>2018-5</v>
      </c>
    </row>
    <row r="1833" spans="1:4" x14ac:dyDescent="0.25">
      <c r="A1833" t="s">
        <v>2007</v>
      </c>
      <c r="B1833">
        <v>51</v>
      </c>
      <c r="C1833" s="54">
        <v>43070</v>
      </c>
      <c r="D1833" s="3" t="str">
        <f>YEAR(Datos_Consumo[[#This Row],[FECHA]])&amp;"-"&amp;MONTH(Datos_Consumo[[#This Row],[FECHA]])</f>
        <v>2017-12</v>
      </c>
    </row>
    <row r="1834" spans="1:4" x14ac:dyDescent="0.25">
      <c r="A1834" t="s">
        <v>2007</v>
      </c>
      <c r="B1834">
        <v>140</v>
      </c>
      <c r="C1834" s="54">
        <v>43101</v>
      </c>
      <c r="D1834" s="3" t="str">
        <f>YEAR(Datos_Consumo[[#This Row],[FECHA]])&amp;"-"&amp;MONTH(Datos_Consumo[[#This Row],[FECHA]])</f>
        <v>2018-1</v>
      </c>
    </row>
    <row r="1835" spans="1:4" x14ac:dyDescent="0.25">
      <c r="A1835" t="s">
        <v>2007</v>
      </c>
      <c r="B1835">
        <v>35</v>
      </c>
      <c r="C1835" s="54">
        <v>43132</v>
      </c>
      <c r="D1835" s="3" t="str">
        <f>YEAR(Datos_Consumo[[#This Row],[FECHA]])&amp;"-"&amp;MONTH(Datos_Consumo[[#This Row],[FECHA]])</f>
        <v>2018-2</v>
      </c>
    </row>
    <row r="1836" spans="1:4" x14ac:dyDescent="0.25">
      <c r="A1836" t="s">
        <v>2007</v>
      </c>
      <c r="B1836">
        <v>102</v>
      </c>
      <c r="C1836" s="54">
        <v>43160</v>
      </c>
      <c r="D1836" s="3" t="str">
        <f>YEAR(Datos_Consumo[[#This Row],[FECHA]])&amp;"-"&amp;MONTH(Datos_Consumo[[#This Row],[FECHA]])</f>
        <v>2018-3</v>
      </c>
    </row>
    <row r="1837" spans="1:4" x14ac:dyDescent="0.25">
      <c r="A1837" t="s">
        <v>2007</v>
      </c>
      <c r="B1837">
        <v>85</v>
      </c>
      <c r="C1837" s="54">
        <v>43191</v>
      </c>
      <c r="D1837" s="3" t="str">
        <f>YEAR(Datos_Consumo[[#This Row],[FECHA]])&amp;"-"&amp;MONTH(Datos_Consumo[[#This Row],[FECHA]])</f>
        <v>2018-4</v>
      </c>
    </row>
    <row r="1838" spans="1:4" x14ac:dyDescent="0.25">
      <c r="A1838" t="s">
        <v>2007</v>
      </c>
      <c r="B1838">
        <v>19</v>
      </c>
      <c r="C1838" s="54">
        <v>43221</v>
      </c>
      <c r="D1838" s="3" t="str">
        <f>YEAR(Datos_Consumo[[#This Row],[FECHA]])&amp;"-"&amp;MONTH(Datos_Consumo[[#This Row],[FECHA]])</f>
        <v>2018-5</v>
      </c>
    </row>
    <row r="1839" spans="1:4" x14ac:dyDescent="0.25">
      <c r="A1839" t="s">
        <v>2008</v>
      </c>
      <c r="B1839">
        <v>66</v>
      </c>
      <c r="C1839" s="54">
        <v>43070</v>
      </c>
      <c r="D1839" s="3" t="str">
        <f>YEAR(Datos_Consumo[[#This Row],[FECHA]])&amp;"-"&amp;MONTH(Datos_Consumo[[#This Row],[FECHA]])</f>
        <v>2017-12</v>
      </c>
    </row>
    <row r="1840" spans="1:4" x14ac:dyDescent="0.25">
      <c r="A1840" t="s">
        <v>2008</v>
      </c>
      <c r="B1840">
        <v>77</v>
      </c>
      <c r="C1840" s="54">
        <v>43101</v>
      </c>
      <c r="D1840" s="3" t="str">
        <f>YEAR(Datos_Consumo[[#This Row],[FECHA]])&amp;"-"&amp;MONTH(Datos_Consumo[[#This Row],[FECHA]])</f>
        <v>2018-1</v>
      </c>
    </row>
    <row r="1841" spans="1:4" x14ac:dyDescent="0.25">
      <c r="A1841" t="s">
        <v>2008</v>
      </c>
      <c r="B1841">
        <v>1</v>
      </c>
      <c r="C1841" s="54">
        <v>43132</v>
      </c>
      <c r="D1841" s="3" t="str">
        <f>YEAR(Datos_Consumo[[#This Row],[FECHA]])&amp;"-"&amp;MONTH(Datos_Consumo[[#This Row],[FECHA]])</f>
        <v>2018-2</v>
      </c>
    </row>
    <row r="1842" spans="1:4" x14ac:dyDescent="0.25">
      <c r="A1842" t="s">
        <v>2008</v>
      </c>
      <c r="B1842">
        <v>362</v>
      </c>
      <c r="C1842" s="54">
        <v>43191</v>
      </c>
      <c r="D1842" s="3" t="str">
        <f>YEAR(Datos_Consumo[[#This Row],[FECHA]])&amp;"-"&amp;MONTH(Datos_Consumo[[#This Row],[FECHA]])</f>
        <v>2018-4</v>
      </c>
    </row>
    <row r="1843" spans="1:4" x14ac:dyDescent="0.25">
      <c r="A1843" t="s">
        <v>2008</v>
      </c>
      <c r="B1843">
        <v>100</v>
      </c>
      <c r="C1843" s="54">
        <v>43221</v>
      </c>
      <c r="D1843" s="3" t="str">
        <f>YEAR(Datos_Consumo[[#This Row],[FECHA]])&amp;"-"&amp;MONTH(Datos_Consumo[[#This Row],[FECHA]])</f>
        <v>2018-5</v>
      </c>
    </row>
    <row r="1844" spans="1:4" x14ac:dyDescent="0.25">
      <c r="A1844" t="s">
        <v>2009</v>
      </c>
      <c r="B1844">
        <v>39</v>
      </c>
      <c r="C1844" s="54">
        <v>43070</v>
      </c>
      <c r="D1844" s="3" t="str">
        <f>YEAR(Datos_Consumo[[#This Row],[FECHA]])&amp;"-"&amp;MONTH(Datos_Consumo[[#This Row],[FECHA]])</f>
        <v>2017-12</v>
      </c>
    </row>
    <row r="1845" spans="1:4" x14ac:dyDescent="0.25">
      <c r="A1845" t="s">
        <v>2009</v>
      </c>
      <c r="B1845">
        <v>27</v>
      </c>
      <c r="C1845" s="54">
        <v>43101</v>
      </c>
      <c r="D1845" s="3" t="str">
        <f>YEAR(Datos_Consumo[[#This Row],[FECHA]])&amp;"-"&amp;MONTH(Datos_Consumo[[#This Row],[FECHA]])</f>
        <v>2018-1</v>
      </c>
    </row>
    <row r="1846" spans="1:4" x14ac:dyDescent="0.25">
      <c r="A1846" t="s">
        <v>2009</v>
      </c>
      <c r="B1846">
        <v>16</v>
      </c>
      <c r="C1846" s="54">
        <v>43132</v>
      </c>
      <c r="D1846" s="3" t="str">
        <f>YEAR(Datos_Consumo[[#This Row],[FECHA]])&amp;"-"&amp;MONTH(Datos_Consumo[[#This Row],[FECHA]])</f>
        <v>2018-2</v>
      </c>
    </row>
    <row r="1847" spans="1:4" x14ac:dyDescent="0.25">
      <c r="A1847" t="s">
        <v>2009</v>
      </c>
      <c r="B1847">
        <v>42</v>
      </c>
      <c r="C1847" s="54">
        <v>43160</v>
      </c>
      <c r="D1847" s="3" t="str">
        <f>YEAR(Datos_Consumo[[#This Row],[FECHA]])&amp;"-"&amp;MONTH(Datos_Consumo[[#This Row],[FECHA]])</f>
        <v>2018-3</v>
      </c>
    </row>
    <row r="1848" spans="1:4" x14ac:dyDescent="0.25">
      <c r="A1848" t="s">
        <v>2009</v>
      </c>
      <c r="B1848">
        <v>28</v>
      </c>
      <c r="C1848" s="54">
        <v>43191</v>
      </c>
      <c r="D1848" s="3" t="str">
        <f>YEAR(Datos_Consumo[[#This Row],[FECHA]])&amp;"-"&amp;MONTH(Datos_Consumo[[#This Row],[FECHA]])</f>
        <v>2018-4</v>
      </c>
    </row>
    <row r="1849" spans="1:4" x14ac:dyDescent="0.25">
      <c r="A1849" t="s">
        <v>2009</v>
      </c>
      <c r="B1849">
        <v>4</v>
      </c>
      <c r="C1849" s="54">
        <v>43221</v>
      </c>
      <c r="D1849" s="3" t="str">
        <f>YEAR(Datos_Consumo[[#This Row],[FECHA]])&amp;"-"&amp;MONTH(Datos_Consumo[[#This Row],[FECHA]])</f>
        <v>2018-5</v>
      </c>
    </row>
    <row r="1850" spans="1:4" x14ac:dyDescent="0.25">
      <c r="A1850" t="s">
        <v>2010</v>
      </c>
      <c r="B1850">
        <v>15</v>
      </c>
      <c r="C1850" s="54">
        <v>43070</v>
      </c>
      <c r="D1850" s="3" t="str">
        <f>YEAR(Datos_Consumo[[#This Row],[FECHA]])&amp;"-"&amp;MONTH(Datos_Consumo[[#This Row],[FECHA]])</f>
        <v>2017-12</v>
      </c>
    </row>
    <row r="1851" spans="1:4" x14ac:dyDescent="0.25">
      <c r="A1851" t="s">
        <v>2010</v>
      </c>
      <c r="B1851">
        <v>45</v>
      </c>
      <c r="C1851" s="54">
        <v>43101</v>
      </c>
      <c r="D1851" s="3" t="str">
        <f>YEAR(Datos_Consumo[[#This Row],[FECHA]])&amp;"-"&amp;MONTH(Datos_Consumo[[#This Row],[FECHA]])</f>
        <v>2018-1</v>
      </c>
    </row>
    <row r="1852" spans="1:4" x14ac:dyDescent="0.25">
      <c r="A1852" t="s">
        <v>2010</v>
      </c>
      <c r="B1852">
        <v>11</v>
      </c>
      <c r="C1852" s="54">
        <v>43132</v>
      </c>
      <c r="D1852" s="3" t="str">
        <f>YEAR(Datos_Consumo[[#This Row],[FECHA]])&amp;"-"&amp;MONTH(Datos_Consumo[[#This Row],[FECHA]])</f>
        <v>2018-2</v>
      </c>
    </row>
    <row r="1853" spans="1:4" x14ac:dyDescent="0.25">
      <c r="A1853" t="s">
        <v>2010</v>
      </c>
      <c r="B1853">
        <v>22</v>
      </c>
      <c r="C1853" s="54">
        <v>43160</v>
      </c>
      <c r="D1853" s="3" t="str">
        <f>YEAR(Datos_Consumo[[#This Row],[FECHA]])&amp;"-"&amp;MONTH(Datos_Consumo[[#This Row],[FECHA]])</f>
        <v>2018-3</v>
      </c>
    </row>
    <row r="1854" spans="1:4" x14ac:dyDescent="0.25">
      <c r="A1854" t="s">
        <v>2010</v>
      </c>
      <c r="B1854">
        <v>27</v>
      </c>
      <c r="C1854" s="54">
        <v>43191</v>
      </c>
      <c r="D1854" s="3" t="str">
        <f>YEAR(Datos_Consumo[[#This Row],[FECHA]])&amp;"-"&amp;MONTH(Datos_Consumo[[#This Row],[FECHA]])</f>
        <v>2018-4</v>
      </c>
    </row>
    <row r="1855" spans="1:4" x14ac:dyDescent="0.25">
      <c r="A1855" t="s">
        <v>2010</v>
      </c>
      <c r="B1855">
        <v>2</v>
      </c>
      <c r="C1855" s="54">
        <v>43221</v>
      </c>
      <c r="D1855" s="3" t="str">
        <f>YEAR(Datos_Consumo[[#This Row],[FECHA]])&amp;"-"&amp;MONTH(Datos_Consumo[[#This Row],[FECHA]])</f>
        <v>2018-5</v>
      </c>
    </row>
    <row r="1856" spans="1:4" x14ac:dyDescent="0.25">
      <c r="A1856" t="s">
        <v>2011</v>
      </c>
      <c r="B1856">
        <v>1</v>
      </c>
      <c r="C1856" s="54">
        <v>43070</v>
      </c>
      <c r="D1856" s="3" t="str">
        <f>YEAR(Datos_Consumo[[#This Row],[FECHA]])&amp;"-"&amp;MONTH(Datos_Consumo[[#This Row],[FECHA]])</f>
        <v>2017-12</v>
      </c>
    </row>
    <row r="1857" spans="1:4" x14ac:dyDescent="0.25">
      <c r="A1857" t="s">
        <v>2011</v>
      </c>
      <c r="B1857">
        <v>14</v>
      </c>
      <c r="C1857" s="54">
        <v>43101</v>
      </c>
      <c r="D1857" s="3" t="str">
        <f>YEAR(Datos_Consumo[[#This Row],[FECHA]])&amp;"-"&amp;MONTH(Datos_Consumo[[#This Row],[FECHA]])</f>
        <v>2018-1</v>
      </c>
    </row>
    <row r="1858" spans="1:4" x14ac:dyDescent="0.25">
      <c r="A1858" t="s">
        <v>2011</v>
      </c>
      <c r="B1858">
        <v>2</v>
      </c>
      <c r="C1858" s="54">
        <v>43132</v>
      </c>
      <c r="D1858" s="3" t="str">
        <f>YEAR(Datos_Consumo[[#This Row],[FECHA]])&amp;"-"&amp;MONTH(Datos_Consumo[[#This Row],[FECHA]])</f>
        <v>2018-2</v>
      </c>
    </row>
    <row r="1859" spans="1:4" x14ac:dyDescent="0.25">
      <c r="A1859" t="s">
        <v>2011</v>
      </c>
      <c r="B1859">
        <v>5</v>
      </c>
      <c r="C1859" s="54">
        <v>43160</v>
      </c>
      <c r="D1859" s="3" t="str">
        <f>YEAR(Datos_Consumo[[#This Row],[FECHA]])&amp;"-"&amp;MONTH(Datos_Consumo[[#This Row],[FECHA]])</f>
        <v>2018-3</v>
      </c>
    </row>
    <row r="1860" spans="1:4" x14ac:dyDescent="0.25">
      <c r="A1860" t="s">
        <v>2011</v>
      </c>
      <c r="B1860">
        <v>7</v>
      </c>
      <c r="C1860" s="54">
        <v>43191</v>
      </c>
      <c r="D1860" s="3" t="str">
        <f>YEAR(Datos_Consumo[[#This Row],[FECHA]])&amp;"-"&amp;MONTH(Datos_Consumo[[#This Row],[FECHA]])</f>
        <v>2018-4</v>
      </c>
    </row>
    <row r="1861" spans="1:4" x14ac:dyDescent="0.25">
      <c r="A1861" t="s">
        <v>2012</v>
      </c>
      <c r="B1861">
        <v>3</v>
      </c>
      <c r="C1861" s="54">
        <v>43101</v>
      </c>
      <c r="D1861" s="3" t="str">
        <f>YEAR(Datos_Consumo[[#This Row],[FECHA]])&amp;"-"&amp;MONTH(Datos_Consumo[[#This Row],[FECHA]])</f>
        <v>2018-1</v>
      </c>
    </row>
    <row r="1862" spans="1:4" x14ac:dyDescent="0.25">
      <c r="A1862" t="s">
        <v>2012</v>
      </c>
      <c r="B1862">
        <v>1</v>
      </c>
      <c r="C1862" s="54">
        <v>43132</v>
      </c>
      <c r="D1862" s="3" t="str">
        <f>YEAR(Datos_Consumo[[#This Row],[FECHA]])&amp;"-"&amp;MONTH(Datos_Consumo[[#This Row],[FECHA]])</f>
        <v>2018-2</v>
      </c>
    </row>
    <row r="1863" spans="1:4" x14ac:dyDescent="0.25">
      <c r="A1863" t="s">
        <v>2012</v>
      </c>
      <c r="B1863">
        <v>1</v>
      </c>
      <c r="C1863" s="54">
        <v>43160</v>
      </c>
      <c r="D1863" s="3" t="str">
        <f>YEAR(Datos_Consumo[[#This Row],[FECHA]])&amp;"-"&amp;MONTH(Datos_Consumo[[#This Row],[FECHA]])</f>
        <v>2018-3</v>
      </c>
    </row>
    <row r="1864" spans="1:4" x14ac:dyDescent="0.25">
      <c r="A1864" t="s">
        <v>2013</v>
      </c>
      <c r="B1864">
        <v>3</v>
      </c>
      <c r="C1864" s="54">
        <v>43070</v>
      </c>
      <c r="D1864" s="3" t="str">
        <f>YEAR(Datos_Consumo[[#This Row],[FECHA]])&amp;"-"&amp;MONTH(Datos_Consumo[[#This Row],[FECHA]])</f>
        <v>2017-12</v>
      </c>
    </row>
    <row r="1865" spans="1:4" x14ac:dyDescent="0.25">
      <c r="A1865" t="s">
        <v>2013</v>
      </c>
      <c r="B1865">
        <v>2</v>
      </c>
      <c r="C1865" s="54">
        <v>43101</v>
      </c>
      <c r="D1865" s="3" t="str">
        <f>YEAR(Datos_Consumo[[#This Row],[FECHA]])&amp;"-"&amp;MONTH(Datos_Consumo[[#This Row],[FECHA]])</f>
        <v>2018-1</v>
      </c>
    </row>
    <row r="1866" spans="1:4" x14ac:dyDescent="0.25">
      <c r="A1866" t="s">
        <v>2013</v>
      </c>
      <c r="B1866">
        <v>1</v>
      </c>
      <c r="C1866" s="54">
        <v>43160</v>
      </c>
      <c r="D1866" s="3" t="str">
        <f>YEAR(Datos_Consumo[[#This Row],[FECHA]])&amp;"-"&amp;MONTH(Datos_Consumo[[#This Row],[FECHA]])</f>
        <v>2018-3</v>
      </c>
    </row>
    <row r="1867" spans="1:4" x14ac:dyDescent="0.25">
      <c r="A1867" t="s">
        <v>2013</v>
      </c>
      <c r="B1867">
        <v>2</v>
      </c>
      <c r="C1867" s="54">
        <v>43191</v>
      </c>
      <c r="D1867" s="3" t="str">
        <f>YEAR(Datos_Consumo[[#This Row],[FECHA]])&amp;"-"&amp;MONTH(Datos_Consumo[[#This Row],[FECHA]])</f>
        <v>2018-4</v>
      </c>
    </row>
    <row r="1868" spans="1:4" x14ac:dyDescent="0.25">
      <c r="A1868" t="s">
        <v>2014</v>
      </c>
      <c r="B1868">
        <v>2</v>
      </c>
      <c r="C1868" s="54">
        <v>43101</v>
      </c>
      <c r="D1868" s="3" t="str">
        <f>YEAR(Datos_Consumo[[#This Row],[FECHA]])&amp;"-"&amp;MONTH(Datos_Consumo[[#This Row],[FECHA]])</f>
        <v>2018-1</v>
      </c>
    </row>
    <row r="1869" spans="1:4" x14ac:dyDescent="0.25">
      <c r="A1869" t="s">
        <v>2014</v>
      </c>
      <c r="B1869">
        <v>2</v>
      </c>
      <c r="C1869" s="54">
        <v>43132</v>
      </c>
      <c r="D1869" s="3" t="str">
        <f>YEAR(Datos_Consumo[[#This Row],[FECHA]])&amp;"-"&amp;MONTH(Datos_Consumo[[#This Row],[FECHA]])</f>
        <v>2018-2</v>
      </c>
    </row>
    <row r="1870" spans="1:4" x14ac:dyDescent="0.25">
      <c r="A1870" t="s">
        <v>2014</v>
      </c>
      <c r="B1870">
        <v>1</v>
      </c>
      <c r="C1870" s="54">
        <v>43191</v>
      </c>
      <c r="D1870" s="3" t="str">
        <f>YEAR(Datos_Consumo[[#This Row],[FECHA]])&amp;"-"&amp;MONTH(Datos_Consumo[[#This Row],[FECHA]])</f>
        <v>2018-4</v>
      </c>
    </row>
    <row r="1871" spans="1:4" x14ac:dyDescent="0.25">
      <c r="A1871" t="s">
        <v>2015</v>
      </c>
      <c r="B1871">
        <v>2</v>
      </c>
      <c r="C1871" s="54">
        <v>43070</v>
      </c>
      <c r="D1871" s="3" t="str">
        <f>YEAR(Datos_Consumo[[#This Row],[FECHA]])&amp;"-"&amp;MONTH(Datos_Consumo[[#This Row],[FECHA]])</f>
        <v>2017-12</v>
      </c>
    </row>
    <row r="1872" spans="1:4" x14ac:dyDescent="0.25">
      <c r="A1872" t="s">
        <v>2015</v>
      </c>
      <c r="B1872">
        <v>7</v>
      </c>
      <c r="C1872" s="54">
        <v>43101</v>
      </c>
      <c r="D1872" s="3" t="str">
        <f>YEAR(Datos_Consumo[[#This Row],[FECHA]])&amp;"-"&amp;MONTH(Datos_Consumo[[#This Row],[FECHA]])</f>
        <v>2018-1</v>
      </c>
    </row>
    <row r="1873" spans="1:4" x14ac:dyDescent="0.25">
      <c r="A1873" t="s">
        <v>2015</v>
      </c>
      <c r="B1873">
        <v>3</v>
      </c>
      <c r="C1873" s="54">
        <v>43160</v>
      </c>
      <c r="D1873" s="3" t="str">
        <f>YEAR(Datos_Consumo[[#This Row],[FECHA]])&amp;"-"&amp;MONTH(Datos_Consumo[[#This Row],[FECHA]])</f>
        <v>2018-3</v>
      </c>
    </row>
    <row r="1874" spans="1:4" x14ac:dyDescent="0.25">
      <c r="A1874" t="s">
        <v>2015</v>
      </c>
      <c r="B1874">
        <v>2</v>
      </c>
      <c r="C1874" s="54">
        <v>43191</v>
      </c>
      <c r="D1874" s="3" t="str">
        <f>YEAR(Datos_Consumo[[#This Row],[FECHA]])&amp;"-"&amp;MONTH(Datos_Consumo[[#This Row],[FECHA]])</f>
        <v>2018-4</v>
      </c>
    </row>
    <row r="1875" spans="1:4" x14ac:dyDescent="0.25">
      <c r="A1875" t="s">
        <v>2016</v>
      </c>
      <c r="B1875">
        <v>4</v>
      </c>
      <c r="C1875" s="54">
        <v>43070</v>
      </c>
      <c r="D1875" s="3" t="str">
        <f>YEAR(Datos_Consumo[[#This Row],[FECHA]])&amp;"-"&amp;MONTH(Datos_Consumo[[#This Row],[FECHA]])</f>
        <v>2017-12</v>
      </c>
    </row>
    <row r="1876" spans="1:4" x14ac:dyDescent="0.25">
      <c r="A1876" t="s">
        <v>2016</v>
      </c>
      <c r="B1876">
        <v>7</v>
      </c>
      <c r="C1876" s="54">
        <v>43101</v>
      </c>
      <c r="D1876" s="3" t="str">
        <f>YEAR(Datos_Consumo[[#This Row],[FECHA]])&amp;"-"&amp;MONTH(Datos_Consumo[[#This Row],[FECHA]])</f>
        <v>2018-1</v>
      </c>
    </row>
    <row r="1877" spans="1:4" x14ac:dyDescent="0.25">
      <c r="A1877" t="s">
        <v>2016</v>
      </c>
      <c r="B1877">
        <v>2</v>
      </c>
      <c r="C1877" s="54">
        <v>43132</v>
      </c>
      <c r="D1877" s="3" t="str">
        <f>YEAR(Datos_Consumo[[#This Row],[FECHA]])&amp;"-"&amp;MONTH(Datos_Consumo[[#This Row],[FECHA]])</f>
        <v>2018-2</v>
      </c>
    </row>
    <row r="1878" spans="1:4" x14ac:dyDescent="0.25">
      <c r="A1878" t="s">
        <v>2016</v>
      </c>
      <c r="B1878">
        <v>3</v>
      </c>
      <c r="C1878" s="54">
        <v>43160</v>
      </c>
      <c r="D1878" s="3" t="str">
        <f>YEAR(Datos_Consumo[[#This Row],[FECHA]])&amp;"-"&amp;MONTH(Datos_Consumo[[#This Row],[FECHA]])</f>
        <v>2018-3</v>
      </c>
    </row>
    <row r="1879" spans="1:4" x14ac:dyDescent="0.25">
      <c r="A1879" t="s">
        <v>2016</v>
      </c>
      <c r="B1879">
        <v>2</v>
      </c>
      <c r="C1879" s="54">
        <v>43191</v>
      </c>
      <c r="D1879" s="3" t="str">
        <f>YEAR(Datos_Consumo[[#This Row],[FECHA]])&amp;"-"&amp;MONTH(Datos_Consumo[[#This Row],[FECHA]])</f>
        <v>2018-4</v>
      </c>
    </row>
    <row r="1880" spans="1:4" x14ac:dyDescent="0.25">
      <c r="A1880" t="s">
        <v>2016</v>
      </c>
      <c r="B1880">
        <v>3</v>
      </c>
      <c r="C1880" s="54">
        <v>43221</v>
      </c>
      <c r="D1880" s="3" t="str">
        <f>YEAR(Datos_Consumo[[#This Row],[FECHA]])&amp;"-"&amp;MONTH(Datos_Consumo[[#This Row],[FECHA]])</f>
        <v>2018-5</v>
      </c>
    </row>
    <row r="1881" spans="1:4" x14ac:dyDescent="0.25">
      <c r="A1881" t="s">
        <v>2017</v>
      </c>
      <c r="B1881">
        <v>34</v>
      </c>
      <c r="C1881" s="54">
        <v>43070</v>
      </c>
      <c r="D1881" s="3" t="str">
        <f>YEAR(Datos_Consumo[[#This Row],[FECHA]])&amp;"-"&amp;MONTH(Datos_Consumo[[#This Row],[FECHA]])</f>
        <v>2017-12</v>
      </c>
    </row>
    <row r="1882" spans="1:4" x14ac:dyDescent="0.25">
      <c r="A1882" t="s">
        <v>2017</v>
      </c>
      <c r="B1882">
        <v>35</v>
      </c>
      <c r="C1882" s="54">
        <v>43101</v>
      </c>
      <c r="D1882" s="3" t="str">
        <f>YEAR(Datos_Consumo[[#This Row],[FECHA]])&amp;"-"&amp;MONTH(Datos_Consumo[[#This Row],[FECHA]])</f>
        <v>2018-1</v>
      </c>
    </row>
    <row r="1883" spans="1:4" x14ac:dyDescent="0.25">
      <c r="A1883" t="s">
        <v>2017</v>
      </c>
      <c r="B1883">
        <v>24</v>
      </c>
      <c r="C1883" s="54">
        <v>43132</v>
      </c>
      <c r="D1883" s="3" t="str">
        <f>YEAR(Datos_Consumo[[#This Row],[FECHA]])&amp;"-"&amp;MONTH(Datos_Consumo[[#This Row],[FECHA]])</f>
        <v>2018-2</v>
      </c>
    </row>
    <row r="1884" spans="1:4" x14ac:dyDescent="0.25">
      <c r="A1884" t="s">
        <v>2017</v>
      </c>
      <c r="B1884">
        <v>51</v>
      </c>
      <c r="C1884" s="54">
        <v>43160</v>
      </c>
      <c r="D1884" s="3" t="str">
        <f>YEAR(Datos_Consumo[[#This Row],[FECHA]])&amp;"-"&amp;MONTH(Datos_Consumo[[#This Row],[FECHA]])</f>
        <v>2018-3</v>
      </c>
    </row>
    <row r="1885" spans="1:4" x14ac:dyDescent="0.25">
      <c r="A1885" t="s">
        <v>2017</v>
      </c>
      <c r="B1885">
        <v>42</v>
      </c>
      <c r="C1885" s="54">
        <v>43191</v>
      </c>
      <c r="D1885" s="3" t="str">
        <f>YEAR(Datos_Consumo[[#This Row],[FECHA]])&amp;"-"&amp;MONTH(Datos_Consumo[[#This Row],[FECHA]])</f>
        <v>2018-4</v>
      </c>
    </row>
    <row r="1886" spans="1:4" x14ac:dyDescent="0.25">
      <c r="A1886" t="s">
        <v>2017</v>
      </c>
      <c r="B1886">
        <v>12</v>
      </c>
      <c r="C1886" s="54">
        <v>43221</v>
      </c>
      <c r="D1886" s="3" t="str">
        <f>YEAR(Datos_Consumo[[#This Row],[FECHA]])&amp;"-"&amp;MONTH(Datos_Consumo[[#This Row],[FECHA]])</f>
        <v>2018-5</v>
      </c>
    </row>
    <row r="1887" spans="1:4" x14ac:dyDescent="0.25">
      <c r="A1887" t="s">
        <v>2018</v>
      </c>
      <c r="B1887">
        <v>2</v>
      </c>
      <c r="C1887" s="54">
        <v>43070</v>
      </c>
      <c r="D1887" s="3" t="str">
        <f>YEAR(Datos_Consumo[[#This Row],[FECHA]])&amp;"-"&amp;MONTH(Datos_Consumo[[#This Row],[FECHA]])</f>
        <v>2017-12</v>
      </c>
    </row>
    <row r="1888" spans="1:4" x14ac:dyDescent="0.25">
      <c r="A1888" t="s">
        <v>2018</v>
      </c>
      <c r="B1888">
        <v>4</v>
      </c>
      <c r="C1888" s="54">
        <v>43101</v>
      </c>
      <c r="D1888" s="3" t="str">
        <f>YEAR(Datos_Consumo[[#This Row],[FECHA]])&amp;"-"&amp;MONTH(Datos_Consumo[[#This Row],[FECHA]])</f>
        <v>2018-1</v>
      </c>
    </row>
    <row r="1889" spans="1:4" x14ac:dyDescent="0.25">
      <c r="A1889" t="s">
        <v>2018</v>
      </c>
      <c r="B1889">
        <v>9</v>
      </c>
      <c r="C1889" s="54">
        <v>43132</v>
      </c>
      <c r="D1889" s="3" t="str">
        <f>YEAR(Datos_Consumo[[#This Row],[FECHA]])&amp;"-"&amp;MONTH(Datos_Consumo[[#This Row],[FECHA]])</f>
        <v>2018-2</v>
      </c>
    </row>
    <row r="1890" spans="1:4" x14ac:dyDescent="0.25">
      <c r="A1890" t="s">
        <v>2018</v>
      </c>
      <c r="B1890">
        <v>3</v>
      </c>
      <c r="C1890" s="54">
        <v>43160</v>
      </c>
      <c r="D1890" s="3" t="str">
        <f>YEAR(Datos_Consumo[[#This Row],[FECHA]])&amp;"-"&amp;MONTH(Datos_Consumo[[#This Row],[FECHA]])</f>
        <v>2018-3</v>
      </c>
    </row>
    <row r="1891" spans="1:4" x14ac:dyDescent="0.25">
      <c r="A1891" t="s">
        <v>2018</v>
      </c>
      <c r="B1891">
        <v>9</v>
      </c>
      <c r="C1891" s="54">
        <v>43191</v>
      </c>
      <c r="D1891" s="3" t="str">
        <f>YEAR(Datos_Consumo[[#This Row],[FECHA]])&amp;"-"&amp;MONTH(Datos_Consumo[[#This Row],[FECHA]])</f>
        <v>2018-4</v>
      </c>
    </row>
    <row r="1892" spans="1:4" x14ac:dyDescent="0.25">
      <c r="A1892" t="s">
        <v>2018</v>
      </c>
      <c r="B1892">
        <v>1</v>
      </c>
      <c r="C1892" s="54">
        <v>43221</v>
      </c>
      <c r="D1892" s="3" t="str">
        <f>YEAR(Datos_Consumo[[#This Row],[FECHA]])&amp;"-"&amp;MONTH(Datos_Consumo[[#This Row],[FECHA]])</f>
        <v>2018-5</v>
      </c>
    </row>
    <row r="1893" spans="1:4" x14ac:dyDescent="0.25">
      <c r="A1893" t="s">
        <v>2019</v>
      </c>
      <c r="B1893">
        <v>3</v>
      </c>
      <c r="C1893" s="54">
        <v>43070</v>
      </c>
      <c r="D1893" s="3" t="str">
        <f>YEAR(Datos_Consumo[[#This Row],[FECHA]])&amp;"-"&amp;MONTH(Datos_Consumo[[#This Row],[FECHA]])</f>
        <v>2017-12</v>
      </c>
    </row>
    <row r="1894" spans="1:4" x14ac:dyDescent="0.25">
      <c r="A1894" t="s">
        <v>2019</v>
      </c>
      <c r="B1894">
        <v>29</v>
      </c>
      <c r="C1894" s="54">
        <v>43101</v>
      </c>
      <c r="D1894" s="3" t="str">
        <f>YEAR(Datos_Consumo[[#This Row],[FECHA]])&amp;"-"&amp;MONTH(Datos_Consumo[[#This Row],[FECHA]])</f>
        <v>2018-1</v>
      </c>
    </row>
    <row r="1895" spans="1:4" x14ac:dyDescent="0.25">
      <c r="A1895" t="s">
        <v>2019</v>
      </c>
      <c r="B1895">
        <v>28</v>
      </c>
      <c r="C1895" s="54">
        <v>43132</v>
      </c>
      <c r="D1895" s="3" t="str">
        <f>YEAR(Datos_Consumo[[#This Row],[FECHA]])&amp;"-"&amp;MONTH(Datos_Consumo[[#This Row],[FECHA]])</f>
        <v>2018-2</v>
      </c>
    </row>
    <row r="1896" spans="1:4" x14ac:dyDescent="0.25">
      <c r="A1896" t="s">
        <v>2019</v>
      </c>
      <c r="B1896">
        <v>5</v>
      </c>
      <c r="C1896" s="54">
        <v>43160</v>
      </c>
      <c r="D1896" s="3" t="str">
        <f>YEAR(Datos_Consumo[[#This Row],[FECHA]])&amp;"-"&amp;MONTH(Datos_Consumo[[#This Row],[FECHA]])</f>
        <v>2018-3</v>
      </c>
    </row>
    <row r="1897" spans="1:4" x14ac:dyDescent="0.25">
      <c r="A1897" t="s">
        <v>2019</v>
      </c>
      <c r="B1897">
        <v>18</v>
      </c>
      <c r="C1897" s="54">
        <v>43191</v>
      </c>
      <c r="D1897" s="3" t="str">
        <f>YEAR(Datos_Consumo[[#This Row],[FECHA]])&amp;"-"&amp;MONTH(Datos_Consumo[[#This Row],[FECHA]])</f>
        <v>2018-4</v>
      </c>
    </row>
    <row r="1898" spans="1:4" x14ac:dyDescent="0.25">
      <c r="A1898" t="s">
        <v>2020</v>
      </c>
      <c r="B1898">
        <v>19</v>
      </c>
      <c r="C1898" s="54">
        <v>43070</v>
      </c>
      <c r="D1898" s="3" t="str">
        <f>YEAR(Datos_Consumo[[#This Row],[FECHA]])&amp;"-"&amp;MONTH(Datos_Consumo[[#This Row],[FECHA]])</f>
        <v>2017-12</v>
      </c>
    </row>
    <row r="1899" spans="1:4" x14ac:dyDescent="0.25">
      <c r="A1899" t="s">
        <v>2020</v>
      </c>
      <c r="B1899">
        <v>15</v>
      </c>
      <c r="C1899" s="54">
        <v>43101</v>
      </c>
      <c r="D1899" s="3" t="str">
        <f>YEAR(Datos_Consumo[[#This Row],[FECHA]])&amp;"-"&amp;MONTH(Datos_Consumo[[#This Row],[FECHA]])</f>
        <v>2018-1</v>
      </c>
    </row>
    <row r="1900" spans="1:4" x14ac:dyDescent="0.25">
      <c r="A1900" t="s">
        <v>2020</v>
      </c>
      <c r="B1900">
        <v>9</v>
      </c>
      <c r="C1900" s="54">
        <v>43132</v>
      </c>
      <c r="D1900" s="3" t="str">
        <f>YEAR(Datos_Consumo[[#This Row],[FECHA]])&amp;"-"&amp;MONTH(Datos_Consumo[[#This Row],[FECHA]])</f>
        <v>2018-2</v>
      </c>
    </row>
    <row r="1901" spans="1:4" x14ac:dyDescent="0.25">
      <c r="A1901" t="s">
        <v>2020</v>
      </c>
      <c r="B1901">
        <v>13</v>
      </c>
      <c r="C1901" s="54">
        <v>43160</v>
      </c>
      <c r="D1901" s="3" t="str">
        <f>YEAR(Datos_Consumo[[#This Row],[FECHA]])&amp;"-"&amp;MONTH(Datos_Consumo[[#This Row],[FECHA]])</f>
        <v>2018-3</v>
      </c>
    </row>
    <row r="1902" spans="1:4" x14ac:dyDescent="0.25">
      <c r="A1902" t="s">
        <v>2020</v>
      </c>
      <c r="B1902">
        <v>17</v>
      </c>
      <c r="C1902" s="54">
        <v>43191</v>
      </c>
      <c r="D1902" s="3" t="str">
        <f>YEAR(Datos_Consumo[[#This Row],[FECHA]])&amp;"-"&amp;MONTH(Datos_Consumo[[#This Row],[FECHA]])</f>
        <v>2018-4</v>
      </c>
    </row>
    <row r="1903" spans="1:4" x14ac:dyDescent="0.25">
      <c r="A1903" t="s">
        <v>2020</v>
      </c>
      <c r="B1903">
        <v>5</v>
      </c>
      <c r="C1903" s="54">
        <v>43221</v>
      </c>
      <c r="D1903" s="3" t="str">
        <f>YEAR(Datos_Consumo[[#This Row],[FECHA]])&amp;"-"&amp;MONTH(Datos_Consumo[[#This Row],[FECHA]])</f>
        <v>2018-5</v>
      </c>
    </row>
    <row r="1904" spans="1:4" x14ac:dyDescent="0.25">
      <c r="A1904" t="s">
        <v>2021</v>
      </c>
      <c r="B1904">
        <v>2</v>
      </c>
      <c r="C1904" s="54">
        <v>43101</v>
      </c>
      <c r="D1904" s="3" t="str">
        <f>YEAR(Datos_Consumo[[#This Row],[FECHA]])&amp;"-"&amp;MONTH(Datos_Consumo[[#This Row],[FECHA]])</f>
        <v>2018-1</v>
      </c>
    </row>
    <row r="1905" spans="1:4" x14ac:dyDescent="0.25">
      <c r="A1905" t="s">
        <v>2021</v>
      </c>
      <c r="B1905">
        <v>1</v>
      </c>
      <c r="C1905" s="54">
        <v>43132</v>
      </c>
      <c r="D1905" s="3" t="str">
        <f>YEAR(Datos_Consumo[[#This Row],[FECHA]])&amp;"-"&amp;MONTH(Datos_Consumo[[#This Row],[FECHA]])</f>
        <v>2018-2</v>
      </c>
    </row>
    <row r="1906" spans="1:4" x14ac:dyDescent="0.25">
      <c r="A1906" t="s">
        <v>2021</v>
      </c>
      <c r="B1906">
        <v>2</v>
      </c>
      <c r="C1906" s="54">
        <v>43191</v>
      </c>
      <c r="D1906" s="3" t="str">
        <f>YEAR(Datos_Consumo[[#This Row],[FECHA]])&amp;"-"&amp;MONTH(Datos_Consumo[[#This Row],[FECHA]])</f>
        <v>2018-4</v>
      </c>
    </row>
    <row r="1907" spans="1:4" x14ac:dyDescent="0.25">
      <c r="A1907" t="s">
        <v>2022</v>
      </c>
      <c r="B1907">
        <v>3</v>
      </c>
      <c r="C1907" s="54">
        <v>43101</v>
      </c>
      <c r="D1907" s="3" t="str">
        <f>YEAR(Datos_Consumo[[#This Row],[FECHA]])&amp;"-"&amp;MONTH(Datos_Consumo[[#This Row],[FECHA]])</f>
        <v>2018-1</v>
      </c>
    </row>
    <row r="1908" spans="1:4" x14ac:dyDescent="0.25">
      <c r="A1908" t="s">
        <v>2022</v>
      </c>
      <c r="B1908">
        <v>9</v>
      </c>
      <c r="C1908" s="54">
        <v>43132</v>
      </c>
      <c r="D1908" s="3" t="str">
        <f>YEAR(Datos_Consumo[[#This Row],[FECHA]])&amp;"-"&amp;MONTH(Datos_Consumo[[#This Row],[FECHA]])</f>
        <v>2018-2</v>
      </c>
    </row>
    <row r="1909" spans="1:4" x14ac:dyDescent="0.25">
      <c r="A1909" t="s">
        <v>2022</v>
      </c>
      <c r="B1909">
        <v>8</v>
      </c>
      <c r="C1909" s="54">
        <v>43160</v>
      </c>
      <c r="D1909" s="3" t="str">
        <f>YEAR(Datos_Consumo[[#This Row],[FECHA]])&amp;"-"&amp;MONTH(Datos_Consumo[[#This Row],[FECHA]])</f>
        <v>2018-3</v>
      </c>
    </row>
    <row r="1910" spans="1:4" x14ac:dyDescent="0.25">
      <c r="A1910" t="s">
        <v>2022</v>
      </c>
      <c r="B1910">
        <v>2</v>
      </c>
      <c r="C1910" s="54">
        <v>43221</v>
      </c>
      <c r="D1910" s="3" t="str">
        <f>YEAR(Datos_Consumo[[#This Row],[FECHA]])&amp;"-"&amp;MONTH(Datos_Consumo[[#This Row],[FECHA]])</f>
        <v>2018-5</v>
      </c>
    </row>
    <row r="1911" spans="1:4" x14ac:dyDescent="0.25">
      <c r="A1911" t="s">
        <v>2023</v>
      </c>
      <c r="B1911">
        <v>2</v>
      </c>
      <c r="C1911" s="54">
        <v>43070</v>
      </c>
      <c r="D1911" s="3" t="str">
        <f>YEAR(Datos_Consumo[[#This Row],[FECHA]])&amp;"-"&amp;MONTH(Datos_Consumo[[#This Row],[FECHA]])</f>
        <v>2017-12</v>
      </c>
    </row>
    <row r="1912" spans="1:4" x14ac:dyDescent="0.25">
      <c r="A1912" t="s">
        <v>2023</v>
      </c>
      <c r="B1912">
        <v>4</v>
      </c>
      <c r="C1912" s="54">
        <v>43101</v>
      </c>
      <c r="D1912" s="3" t="str">
        <f>YEAR(Datos_Consumo[[#This Row],[FECHA]])&amp;"-"&amp;MONTH(Datos_Consumo[[#This Row],[FECHA]])</f>
        <v>2018-1</v>
      </c>
    </row>
    <row r="1913" spans="1:4" x14ac:dyDescent="0.25">
      <c r="A1913" t="s">
        <v>2023</v>
      </c>
      <c r="B1913">
        <v>3</v>
      </c>
      <c r="C1913" s="54">
        <v>43132</v>
      </c>
      <c r="D1913" s="3" t="str">
        <f>YEAR(Datos_Consumo[[#This Row],[FECHA]])&amp;"-"&amp;MONTH(Datos_Consumo[[#This Row],[FECHA]])</f>
        <v>2018-2</v>
      </c>
    </row>
    <row r="1914" spans="1:4" x14ac:dyDescent="0.25">
      <c r="A1914" t="s">
        <v>2023</v>
      </c>
      <c r="B1914">
        <v>4</v>
      </c>
      <c r="C1914" s="54">
        <v>43160</v>
      </c>
      <c r="D1914" s="3" t="str">
        <f>YEAR(Datos_Consumo[[#This Row],[FECHA]])&amp;"-"&amp;MONTH(Datos_Consumo[[#This Row],[FECHA]])</f>
        <v>2018-3</v>
      </c>
    </row>
    <row r="1915" spans="1:4" x14ac:dyDescent="0.25">
      <c r="A1915" t="s">
        <v>2023</v>
      </c>
      <c r="B1915">
        <v>7</v>
      </c>
      <c r="C1915" s="54">
        <v>43191</v>
      </c>
      <c r="D1915" s="3" t="str">
        <f>YEAR(Datos_Consumo[[#This Row],[FECHA]])&amp;"-"&amp;MONTH(Datos_Consumo[[#This Row],[FECHA]])</f>
        <v>2018-4</v>
      </c>
    </row>
    <row r="1916" spans="1:4" x14ac:dyDescent="0.25">
      <c r="A1916" t="s">
        <v>2024</v>
      </c>
      <c r="B1916">
        <v>3</v>
      </c>
      <c r="C1916" s="54">
        <v>43101</v>
      </c>
      <c r="D1916" s="3" t="str">
        <f>YEAR(Datos_Consumo[[#This Row],[FECHA]])&amp;"-"&amp;MONTH(Datos_Consumo[[#This Row],[FECHA]])</f>
        <v>2018-1</v>
      </c>
    </row>
    <row r="1917" spans="1:4" x14ac:dyDescent="0.25">
      <c r="A1917" t="s">
        <v>2024</v>
      </c>
      <c r="B1917">
        <v>8</v>
      </c>
      <c r="C1917" s="54">
        <v>43132</v>
      </c>
      <c r="D1917" s="3" t="str">
        <f>YEAR(Datos_Consumo[[#This Row],[FECHA]])&amp;"-"&amp;MONTH(Datos_Consumo[[#This Row],[FECHA]])</f>
        <v>2018-2</v>
      </c>
    </row>
    <row r="1918" spans="1:4" x14ac:dyDescent="0.25">
      <c r="A1918" t="s">
        <v>2024</v>
      </c>
      <c r="B1918">
        <v>10</v>
      </c>
      <c r="C1918" s="54">
        <v>43160</v>
      </c>
      <c r="D1918" s="3" t="str">
        <f>YEAR(Datos_Consumo[[#This Row],[FECHA]])&amp;"-"&amp;MONTH(Datos_Consumo[[#This Row],[FECHA]])</f>
        <v>2018-3</v>
      </c>
    </row>
    <row r="1919" spans="1:4" x14ac:dyDescent="0.25">
      <c r="A1919" t="s">
        <v>2024</v>
      </c>
      <c r="B1919">
        <v>4</v>
      </c>
      <c r="C1919" s="54">
        <v>43191</v>
      </c>
      <c r="D1919" s="3" t="str">
        <f>YEAR(Datos_Consumo[[#This Row],[FECHA]])&amp;"-"&amp;MONTH(Datos_Consumo[[#This Row],[FECHA]])</f>
        <v>2018-4</v>
      </c>
    </row>
    <row r="1920" spans="1:4" x14ac:dyDescent="0.25">
      <c r="A1920" t="s">
        <v>2024</v>
      </c>
      <c r="B1920">
        <v>6</v>
      </c>
      <c r="C1920" s="54">
        <v>43221</v>
      </c>
      <c r="D1920" s="3" t="str">
        <f>YEAR(Datos_Consumo[[#This Row],[FECHA]])&amp;"-"&amp;MONTH(Datos_Consumo[[#This Row],[FECHA]])</f>
        <v>2018-5</v>
      </c>
    </row>
    <row r="1921" spans="1:4" x14ac:dyDescent="0.25">
      <c r="A1921" t="s">
        <v>2025</v>
      </c>
      <c r="B1921">
        <v>2</v>
      </c>
      <c r="C1921" s="54">
        <v>43101</v>
      </c>
      <c r="D1921" s="3" t="str">
        <f>YEAR(Datos_Consumo[[#This Row],[FECHA]])&amp;"-"&amp;MONTH(Datos_Consumo[[#This Row],[FECHA]])</f>
        <v>2018-1</v>
      </c>
    </row>
    <row r="1922" spans="1:4" x14ac:dyDescent="0.25">
      <c r="A1922" t="s">
        <v>2025</v>
      </c>
      <c r="B1922">
        <v>3</v>
      </c>
      <c r="C1922" s="54">
        <v>43160</v>
      </c>
      <c r="D1922" s="3" t="str">
        <f>YEAR(Datos_Consumo[[#This Row],[FECHA]])&amp;"-"&amp;MONTH(Datos_Consumo[[#This Row],[FECHA]])</f>
        <v>2018-3</v>
      </c>
    </row>
    <row r="1923" spans="1:4" x14ac:dyDescent="0.25">
      <c r="A1923" t="s">
        <v>2026</v>
      </c>
      <c r="B1923">
        <v>45</v>
      </c>
      <c r="C1923" s="54">
        <v>43070</v>
      </c>
      <c r="D1923" s="3" t="str">
        <f>YEAR(Datos_Consumo[[#This Row],[FECHA]])&amp;"-"&amp;MONTH(Datos_Consumo[[#This Row],[FECHA]])</f>
        <v>2017-12</v>
      </c>
    </row>
    <row r="1924" spans="1:4" x14ac:dyDescent="0.25">
      <c r="A1924" t="s">
        <v>2026</v>
      </c>
      <c r="B1924">
        <v>56</v>
      </c>
      <c r="C1924" s="54">
        <v>43101</v>
      </c>
      <c r="D1924" s="3" t="str">
        <f>YEAR(Datos_Consumo[[#This Row],[FECHA]])&amp;"-"&amp;MONTH(Datos_Consumo[[#This Row],[FECHA]])</f>
        <v>2018-1</v>
      </c>
    </row>
    <row r="1925" spans="1:4" x14ac:dyDescent="0.25">
      <c r="A1925" t="s">
        <v>2026</v>
      </c>
      <c r="B1925">
        <v>116</v>
      </c>
      <c r="C1925" s="54">
        <v>43132</v>
      </c>
      <c r="D1925" s="3" t="str">
        <f>YEAR(Datos_Consumo[[#This Row],[FECHA]])&amp;"-"&amp;MONTH(Datos_Consumo[[#This Row],[FECHA]])</f>
        <v>2018-2</v>
      </c>
    </row>
    <row r="1926" spans="1:4" x14ac:dyDescent="0.25">
      <c r="A1926" t="s">
        <v>2026</v>
      </c>
      <c r="B1926">
        <v>60</v>
      </c>
      <c r="C1926" s="54">
        <v>43160</v>
      </c>
      <c r="D1926" s="3" t="str">
        <f>YEAR(Datos_Consumo[[#This Row],[FECHA]])&amp;"-"&amp;MONTH(Datos_Consumo[[#This Row],[FECHA]])</f>
        <v>2018-3</v>
      </c>
    </row>
    <row r="1927" spans="1:4" x14ac:dyDescent="0.25">
      <c r="A1927" t="s">
        <v>2026</v>
      </c>
      <c r="B1927">
        <v>51</v>
      </c>
      <c r="C1927" s="54">
        <v>43191</v>
      </c>
      <c r="D1927" s="3" t="str">
        <f>YEAR(Datos_Consumo[[#This Row],[FECHA]])&amp;"-"&amp;MONTH(Datos_Consumo[[#This Row],[FECHA]])</f>
        <v>2018-4</v>
      </c>
    </row>
    <row r="1928" spans="1:4" x14ac:dyDescent="0.25">
      <c r="A1928" t="s">
        <v>2026</v>
      </c>
      <c r="B1928">
        <v>8</v>
      </c>
      <c r="C1928" s="54">
        <v>43221</v>
      </c>
      <c r="D1928" s="3" t="str">
        <f>YEAR(Datos_Consumo[[#This Row],[FECHA]])&amp;"-"&amp;MONTH(Datos_Consumo[[#This Row],[FECHA]])</f>
        <v>2018-5</v>
      </c>
    </row>
    <row r="1929" spans="1:4" x14ac:dyDescent="0.25">
      <c r="A1929" t="s">
        <v>2027</v>
      </c>
      <c r="B1929">
        <v>72</v>
      </c>
      <c r="C1929" s="54">
        <v>43101</v>
      </c>
      <c r="D1929" s="3" t="str">
        <f>YEAR(Datos_Consumo[[#This Row],[FECHA]])&amp;"-"&amp;MONTH(Datos_Consumo[[#This Row],[FECHA]])</f>
        <v>2018-1</v>
      </c>
    </row>
    <row r="1930" spans="1:4" x14ac:dyDescent="0.25">
      <c r="A1930" t="s">
        <v>2027</v>
      </c>
      <c r="B1930">
        <v>35</v>
      </c>
      <c r="C1930" s="54">
        <v>43132</v>
      </c>
      <c r="D1930" s="3" t="str">
        <f>YEAR(Datos_Consumo[[#This Row],[FECHA]])&amp;"-"&amp;MONTH(Datos_Consumo[[#This Row],[FECHA]])</f>
        <v>2018-2</v>
      </c>
    </row>
    <row r="1931" spans="1:4" x14ac:dyDescent="0.25">
      <c r="A1931" t="s">
        <v>2027</v>
      </c>
      <c r="B1931">
        <v>17</v>
      </c>
      <c r="C1931" s="54">
        <v>43160</v>
      </c>
      <c r="D1931" s="3" t="str">
        <f>YEAR(Datos_Consumo[[#This Row],[FECHA]])&amp;"-"&amp;MONTH(Datos_Consumo[[#This Row],[FECHA]])</f>
        <v>2018-3</v>
      </c>
    </row>
    <row r="1932" spans="1:4" x14ac:dyDescent="0.25">
      <c r="A1932" t="s">
        <v>2027</v>
      </c>
      <c r="B1932">
        <v>43</v>
      </c>
      <c r="C1932" s="54">
        <v>43191</v>
      </c>
      <c r="D1932" s="3" t="str">
        <f>YEAR(Datos_Consumo[[#This Row],[FECHA]])&amp;"-"&amp;MONTH(Datos_Consumo[[#This Row],[FECHA]])</f>
        <v>2018-4</v>
      </c>
    </row>
    <row r="1933" spans="1:4" x14ac:dyDescent="0.25">
      <c r="A1933" t="s">
        <v>2027</v>
      </c>
      <c r="B1933">
        <v>18</v>
      </c>
      <c r="C1933" s="54">
        <v>43221</v>
      </c>
      <c r="D1933" s="3" t="str">
        <f>YEAR(Datos_Consumo[[#This Row],[FECHA]])&amp;"-"&amp;MONTH(Datos_Consumo[[#This Row],[FECHA]])</f>
        <v>2018-5</v>
      </c>
    </row>
    <row r="1934" spans="1:4" x14ac:dyDescent="0.25">
      <c r="A1934" t="s">
        <v>2028</v>
      </c>
      <c r="B1934">
        <v>84</v>
      </c>
      <c r="C1934" s="54">
        <v>43070</v>
      </c>
      <c r="D1934" s="3" t="str">
        <f>YEAR(Datos_Consumo[[#This Row],[FECHA]])&amp;"-"&amp;MONTH(Datos_Consumo[[#This Row],[FECHA]])</f>
        <v>2017-12</v>
      </c>
    </row>
    <row r="1935" spans="1:4" x14ac:dyDescent="0.25">
      <c r="A1935" t="s">
        <v>2028</v>
      </c>
      <c r="B1935">
        <v>129</v>
      </c>
      <c r="C1935" s="54">
        <v>43101</v>
      </c>
      <c r="D1935" s="3" t="str">
        <f>YEAR(Datos_Consumo[[#This Row],[FECHA]])&amp;"-"&amp;MONTH(Datos_Consumo[[#This Row],[FECHA]])</f>
        <v>2018-1</v>
      </c>
    </row>
    <row r="1936" spans="1:4" x14ac:dyDescent="0.25">
      <c r="A1936" t="s">
        <v>2028</v>
      </c>
      <c r="B1936">
        <v>48</v>
      </c>
      <c r="C1936" s="54">
        <v>43132</v>
      </c>
      <c r="D1936" s="3" t="str">
        <f>YEAR(Datos_Consumo[[#This Row],[FECHA]])&amp;"-"&amp;MONTH(Datos_Consumo[[#This Row],[FECHA]])</f>
        <v>2018-2</v>
      </c>
    </row>
    <row r="1937" spans="1:4" x14ac:dyDescent="0.25">
      <c r="A1937" t="s">
        <v>2028</v>
      </c>
      <c r="B1937">
        <v>25</v>
      </c>
      <c r="C1937" s="54">
        <v>43160</v>
      </c>
      <c r="D1937" s="3" t="str">
        <f>YEAR(Datos_Consumo[[#This Row],[FECHA]])&amp;"-"&amp;MONTH(Datos_Consumo[[#This Row],[FECHA]])</f>
        <v>2018-3</v>
      </c>
    </row>
    <row r="1938" spans="1:4" x14ac:dyDescent="0.25">
      <c r="A1938" t="s">
        <v>2028</v>
      </c>
      <c r="B1938">
        <v>104</v>
      </c>
      <c r="C1938" s="54">
        <v>43191</v>
      </c>
      <c r="D1938" s="3" t="str">
        <f>YEAR(Datos_Consumo[[#This Row],[FECHA]])&amp;"-"&amp;MONTH(Datos_Consumo[[#This Row],[FECHA]])</f>
        <v>2018-4</v>
      </c>
    </row>
    <row r="1939" spans="1:4" x14ac:dyDescent="0.25">
      <c r="A1939" t="s">
        <v>2028</v>
      </c>
      <c r="B1939">
        <v>1</v>
      </c>
      <c r="C1939" s="54">
        <v>43221</v>
      </c>
      <c r="D1939" s="3" t="str">
        <f>YEAR(Datos_Consumo[[#This Row],[FECHA]])&amp;"-"&amp;MONTH(Datos_Consumo[[#This Row],[FECHA]])</f>
        <v>2018-5</v>
      </c>
    </row>
    <row r="1940" spans="1:4" x14ac:dyDescent="0.25">
      <c r="A1940" t="s">
        <v>2029</v>
      </c>
      <c r="B1940">
        <v>20</v>
      </c>
      <c r="C1940" s="54">
        <v>43070</v>
      </c>
      <c r="D1940" s="3" t="str">
        <f>YEAR(Datos_Consumo[[#This Row],[FECHA]])&amp;"-"&amp;MONTH(Datos_Consumo[[#This Row],[FECHA]])</f>
        <v>2017-12</v>
      </c>
    </row>
    <row r="1941" spans="1:4" x14ac:dyDescent="0.25">
      <c r="A1941" t="s">
        <v>2029</v>
      </c>
      <c r="B1941">
        <v>1</v>
      </c>
      <c r="C1941" s="54">
        <v>43191</v>
      </c>
      <c r="D1941" s="3" t="str">
        <f>YEAR(Datos_Consumo[[#This Row],[FECHA]])&amp;"-"&amp;MONTH(Datos_Consumo[[#This Row],[FECHA]])</f>
        <v>2018-4</v>
      </c>
    </row>
    <row r="1942" spans="1:4" x14ac:dyDescent="0.25">
      <c r="A1942" t="s">
        <v>2030</v>
      </c>
      <c r="B1942">
        <v>4</v>
      </c>
      <c r="C1942" s="54">
        <v>43070</v>
      </c>
      <c r="D1942" s="3" t="str">
        <f>YEAR(Datos_Consumo[[#This Row],[FECHA]])&amp;"-"&amp;MONTH(Datos_Consumo[[#This Row],[FECHA]])</f>
        <v>2017-12</v>
      </c>
    </row>
    <row r="1943" spans="1:4" x14ac:dyDescent="0.25">
      <c r="A1943" t="s">
        <v>2030</v>
      </c>
      <c r="B1943">
        <v>1</v>
      </c>
      <c r="C1943" s="54">
        <v>43101</v>
      </c>
      <c r="D1943" s="3" t="str">
        <f>YEAR(Datos_Consumo[[#This Row],[FECHA]])&amp;"-"&amp;MONTH(Datos_Consumo[[#This Row],[FECHA]])</f>
        <v>2018-1</v>
      </c>
    </row>
    <row r="1944" spans="1:4" x14ac:dyDescent="0.25">
      <c r="A1944" t="s">
        <v>2030</v>
      </c>
      <c r="B1944">
        <v>3</v>
      </c>
      <c r="C1944" s="54">
        <v>43160</v>
      </c>
      <c r="D1944" s="3" t="str">
        <f>YEAR(Datos_Consumo[[#This Row],[FECHA]])&amp;"-"&amp;MONTH(Datos_Consumo[[#This Row],[FECHA]])</f>
        <v>2018-3</v>
      </c>
    </row>
    <row r="1945" spans="1:4" x14ac:dyDescent="0.25">
      <c r="A1945" t="s">
        <v>2031</v>
      </c>
      <c r="B1945">
        <v>18</v>
      </c>
      <c r="C1945" s="54">
        <v>43070</v>
      </c>
      <c r="D1945" s="3" t="str">
        <f>YEAR(Datos_Consumo[[#This Row],[FECHA]])&amp;"-"&amp;MONTH(Datos_Consumo[[#This Row],[FECHA]])</f>
        <v>2017-12</v>
      </c>
    </row>
    <row r="1946" spans="1:4" x14ac:dyDescent="0.25">
      <c r="A1946" t="s">
        <v>2031</v>
      </c>
      <c r="B1946">
        <v>43</v>
      </c>
      <c r="C1946" s="54">
        <v>43101</v>
      </c>
      <c r="D1946" s="3" t="str">
        <f>YEAR(Datos_Consumo[[#This Row],[FECHA]])&amp;"-"&amp;MONTH(Datos_Consumo[[#This Row],[FECHA]])</f>
        <v>2018-1</v>
      </c>
    </row>
    <row r="1947" spans="1:4" x14ac:dyDescent="0.25">
      <c r="A1947" t="s">
        <v>2031</v>
      </c>
      <c r="B1947">
        <v>12</v>
      </c>
      <c r="C1947" s="54">
        <v>43132</v>
      </c>
      <c r="D1947" s="3" t="str">
        <f>YEAR(Datos_Consumo[[#This Row],[FECHA]])&amp;"-"&amp;MONTH(Datos_Consumo[[#This Row],[FECHA]])</f>
        <v>2018-2</v>
      </c>
    </row>
    <row r="1948" spans="1:4" x14ac:dyDescent="0.25">
      <c r="A1948" t="s">
        <v>2031</v>
      </c>
      <c r="B1948">
        <v>31</v>
      </c>
      <c r="C1948" s="54">
        <v>43160</v>
      </c>
      <c r="D1948" s="3" t="str">
        <f>YEAR(Datos_Consumo[[#This Row],[FECHA]])&amp;"-"&amp;MONTH(Datos_Consumo[[#This Row],[FECHA]])</f>
        <v>2018-3</v>
      </c>
    </row>
    <row r="1949" spans="1:4" x14ac:dyDescent="0.25">
      <c r="A1949" t="s">
        <v>2031</v>
      </c>
      <c r="B1949">
        <v>60</v>
      </c>
      <c r="C1949" s="54">
        <v>43191</v>
      </c>
      <c r="D1949" s="3" t="str">
        <f>YEAR(Datos_Consumo[[#This Row],[FECHA]])&amp;"-"&amp;MONTH(Datos_Consumo[[#This Row],[FECHA]])</f>
        <v>2018-4</v>
      </c>
    </row>
    <row r="1950" spans="1:4" x14ac:dyDescent="0.25">
      <c r="A1950" t="s">
        <v>2032</v>
      </c>
      <c r="B1950">
        <v>1</v>
      </c>
      <c r="C1950" s="54">
        <v>43070</v>
      </c>
      <c r="D1950" s="3" t="str">
        <f>YEAR(Datos_Consumo[[#This Row],[FECHA]])&amp;"-"&amp;MONTH(Datos_Consumo[[#This Row],[FECHA]])</f>
        <v>2017-12</v>
      </c>
    </row>
    <row r="1951" spans="1:4" x14ac:dyDescent="0.25">
      <c r="A1951" t="s">
        <v>2032</v>
      </c>
      <c r="B1951">
        <v>2</v>
      </c>
      <c r="C1951" s="54">
        <v>43160</v>
      </c>
      <c r="D1951" s="3" t="str">
        <f>YEAR(Datos_Consumo[[#This Row],[FECHA]])&amp;"-"&amp;MONTH(Datos_Consumo[[#This Row],[FECHA]])</f>
        <v>2018-3</v>
      </c>
    </row>
    <row r="1952" spans="1:4" x14ac:dyDescent="0.25">
      <c r="A1952" t="s">
        <v>2033</v>
      </c>
      <c r="B1952">
        <v>7</v>
      </c>
      <c r="C1952" s="54">
        <v>43101</v>
      </c>
      <c r="D1952" s="3" t="str">
        <f>YEAR(Datos_Consumo[[#This Row],[FECHA]])&amp;"-"&amp;MONTH(Datos_Consumo[[#This Row],[FECHA]])</f>
        <v>2018-1</v>
      </c>
    </row>
    <row r="1953" spans="1:4" x14ac:dyDescent="0.25">
      <c r="A1953" t="s">
        <v>2033</v>
      </c>
      <c r="B1953">
        <v>4</v>
      </c>
      <c r="C1953" s="54">
        <v>43132</v>
      </c>
      <c r="D1953" s="3" t="str">
        <f>YEAR(Datos_Consumo[[#This Row],[FECHA]])&amp;"-"&amp;MONTH(Datos_Consumo[[#This Row],[FECHA]])</f>
        <v>2018-2</v>
      </c>
    </row>
    <row r="1954" spans="1:4" x14ac:dyDescent="0.25">
      <c r="A1954" t="s">
        <v>2033</v>
      </c>
      <c r="B1954">
        <v>2</v>
      </c>
      <c r="C1954" s="54">
        <v>43160</v>
      </c>
      <c r="D1954" s="3" t="str">
        <f>YEAR(Datos_Consumo[[#This Row],[FECHA]])&amp;"-"&amp;MONTH(Datos_Consumo[[#This Row],[FECHA]])</f>
        <v>2018-3</v>
      </c>
    </row>
    <row r="1955" spans="1:4" x14ac:dyDescent="0.25">
      <c r="A1955" t="s">
        <v>2033</v>
      </c>
      <c r="B1955">
        <v>1</v>
      </c>
      <c r="C1955" s="54">
        <v>43191</v>
      </c>
      <c r="D1955" s="3" t="str">
        <f>YEAR(Datos_Consumo[[#This Row],[FECHA]])&amp;"-"&amp;MONTH(Datos_Consumo[[#This Row],[FECHA]])</f>
        <v>2018-4</v>
      </c>
    </row>
    <row r="1956" spans="1:4" x14ac:dyDescent="0.25">
      <c r="A1956" t="s">
        <v>2034</v>
      </c>
      <c r="B1956">
        <v>4</v>
      </c>
      <c r="C1956" s="54">
        <v>43070</v>
      </c>
      <c r="D1956" s="3" t="str">
        <f>YEAR(Datos_Consumo[[#This Row],[FECHA]])&amp;"-"&amp;MONTH(Datos_Consumo[[#This Row],[FECHA]])</f>
        <v>2017-12</v>
      </c>
    </row>
    <row r="1957" spans="1:4" x14ac:dyDescent="0.25">
      <c r="A1957" t="s">
        <v>2034</v>
      </c>
      <c r="B1957">
        <v>5</v>
      </c>
      <c r="C1957" s="54">
        <v>43101</v>
      </c>
      <c r="D1957" s="3" t="str">
        <f>YEAR(Datos_Consumo[[#This Row],[FECHA]])&amp;"-"&amp;MONTH(Datos_Consumo[[#This Row],[FECHA]])</f>
        <v>2018-1</v>
      </c>
    </row>
    <row r="1958" spans="1:4" x14ac:dyDescent="0.25">
      <c r="A1958" t="s">
        <v>2034</v>
      </c>
      <c r="B1958">
        <v>22</v>
      </c>
      <c r="C1958" s="54">
        <v>43160</v>
      </c>
      <c r="D1958" s="3" t="str">
        <f>YEAR(Datos_Consumo[[#This Row],[FECHA]])&amp;"-"&amp;MONTH(Datos_Consumo[[#This Row],[FECHA]])</f>
        <v>2018-3</v>
      </c>
    </row>
    <row r="1959" spans="1:4" x14ac:dyDescent="0.25">
      <c r="A1959" t="s">
        <v>2035</v>
      </c>
      <c r="B1959">
        <v>2</v>
      </c>
      <c r="C1959" s="54">
        <v>43070</v>
      </c>
      <c r="D1959" s="3" t="str">
        <f>YEAR(Datos_Consumo[[#This Row],[FECHA]])&amp;"-"&amp;MONTH(Datos_Consumo[[#This Row],[FECHA]])</f>
        <v>2017-12</v>
      </c>
    </row>
    <row r="1960" spans="1:4" x14ac:dyDescent="0.25">
      <c r="A1960" t="s">
        <v>2035</v>
      </c>
      <c r="B1960">
        <v>1</v>
      </c>
      <c r="C1960" s="54">
        <v>43160</v>
      </c>
      <c r="D1960" s="3" t="str">
        <f>YEAR(Datos_Consumo[[#This Row],[FECHA]])&amp;"-"&amp;MONTH(Datos_Consumo[[#This Row],[FECHA]])</f>
        <v>2018-3</v>
      </c>
    </row>
    <row r="1961" spans="1:4" x14ac:dyDescent="0.25">
      <c r="A1961" t="s">
        <v>2036</v>
      </c>
      <c r="B1961">
        <v>2</v>
      </c>
      <c r="C1961" s="54">
        <v>43160</v>
      </c>
      <c r="D1961" s="3" t="str">
        <f>YEAR(Datos_Consumo[[#This Row],[FECHA]])&amp;"-"&amp;MONTH(Datos_Consumo[[#This Row],[FECHA]])</f>
        <v>2018-3</v>
      </c>
    </row>
    <row r="1962" spans="1:4" x14ac:dyDescent="0.25">
      <c r="A1962" t="s">
        <v>2037</v>
      </c>
      <c r="B1962">
        <v>84</v>
      </c>
      <c r="C1962" s="54">
        <v>43070</v>
      </c>
      <c r="D1962" s="3" t="str">
        <f>YEAR(Datos_Consumo[[#This Row],[FECHA]])&amp;"-"&amp;MONTH(Datos_Consumo[[#This Row],[FECHA]])</f>
        <v>2017-12</v>
      </c>
    </row>
    <row r="1963" spans="1:4" x14ac:dyDescent="0.25">
      <c r="A1963" t="s">
        <v>2037</v>
      </c>
      <c r="B1963">
        <v>220</v>
      </c>
      <c r="C1963" s="54">
        <v>43101</v>
      </c>
      <c r="D1963" s="3" t="str">
        <f>YEAR(Datos_Consumo[[#This Row],[FECHA]])&amp;"-"&amp;MONTH(Datos_Consumo[[#This Row],[FECHA]])</f>
        <v>2018-1</v>
      </c>
    </row>
    <row r="1964" spans="1:4" x14ac:dyDescent="0.25">
      <c r="A1964" t="s">
        <v>2037</v>
      </c>
      <c r="B1964">
        <v>93</v>
      </c>
      <c r="C1964" s="54">
        <v>43132</v>
      </c>
      <c r="D1964" s="3" t="str">
        <f>YEAR(Datos_Consumo[[#This Row],[FECHA]])&amp;"-"&amp;MONTH(Datos_Consumo[[#This Row],[FECHA]])</f>
        <v>2018-2</v>
      </c>
    </row>
    <row r="1965" spans="1:4" x14ac:dyDescent="0.25">
      <c r="A1965" t="s">
        <v>2037</v>
      </c>
      <c r="B1965">
        <v>158</v>
      </c>
      <c r="C1965" s="54">
        <v>43160</v>
      </c>
      <c r="D1965" s="3" t="str">
        <f>YEAR(Datos_Consumo[[#This Row],[FECHA]])&amp;"-"&amp;MONTH(Datos_Consumo[[#This Row],[FECHA]])</f>
        <v>2018-3</v>
      </c>
    </row>
    <row r="1966" spans="1:4" x14ac:dyDescent="0.25">
      <c r="A1966" t="s">
        <v>2037</v>
      </c>
      <c r="B1966">
        <v>235</v>
      </c>
      <c r="C1966" s="54">
        <v>43191</v>
      </c>
      <c r="D1966" s="3" t="str">
        <f>YEAR(Datos_Consumo[[#This Row],[FECHA]])&amp;"-"&amp;MONTH(Datos_Consumo[[#This Row],[FECHA]])</f>
        <v>2018-4</v>
      </c>
    </row>
    <row r="1967" spans="1:4" x14ac:dyDescent="0.25">
      <c r="A1967" t="s">
        <v>2037</v>
      </c>
      <c r="B1967">
        <v>40</v>
      </c>
      <c r="C1967" s="54">
        <v>43221</v>
      </c>
      <c r="D1967" s="3" t="str">
        <f>YEAR(Datos_Consumo[[#This Row],[FECHA]])&amp;"-"&amp;MONTH(Datos_Consumo[[#This Row],[FECHA]])</f>
        <v>2018-5</v>
      </c>
    </row>
    <row r="1968" spans="1:4" x14ac:dyDescent="0.25">
      <c r="A1968" t="s">
        <v>2038</v>
      </c>
      <c r="B1968">
        <v>3</v>
      </c>
      <c r="C1968" s="54">
        <v>43101</v>
      </c>
      <c r="D1968" s="3" t="str">
        <f>YEAR(Datos_Consumo[[#This Row],[FECHA]])&amp;"-"&amp;MONTH(Datos_Consumo[[#This Row],[FECHA]])</f>
        <v>2018-1</v>
      </c>
    </row>
    <row r="1969" spans="1:4" x14ac:dyDescent="0.25">
      <c r="A1969" t="s">
        <v>2038</v>
      </c>
      <c r="B1969">
        <v>1</v>
      </c>
      <c r="C1969" s="54">
        <v>43132</v>
      </c>
      <c r="D1969" s="3" t="str">
        <f>YEAR(Datos_Consumo[[#This Row],[FECHA]])&amp;"-"&amp;MONTH(Datos_Consumo[[#This Row],[FECHA]])</f>
        <v>2018-2</v>
      </c>
    </row>
    <row r="1970" spans="1:4" x14ac:dyDescent="0.25">
      <c r="A1970" t="s">
        <v>2038</v>
      </c>
      <c r="B1970">
        <v>1</v>
      </c>
      <c r="C1970" s="54">
        <v>43160</v>
      </c>
      <c r="D1970" s="3" t="str">
        <f>YEAR(Datos_Consumo[[#This Row],[FECHA]])&amp;"-"&amp;MONTH(Datos_Consumo[[#This Row],[FECHA]])</f>
        <v>2018-3</v>
      </c>
    </row>
    <row r="1971" spans="1:4" x14ac:dyDescent="0.25">
      <c r="A1971" t="s">
        <v>2038</v>
      </c>
      <c r="B1971">
        <v>1</v>
      </c>
      <c r="C1971" s="54">
        <v>43191</v>
      </c>
      <c r="D1971" s="3" t="str">
        <f>YEAR(Datos_Consumo[[#This Row],[FECHA]])&amp;"-"&amp;MONTH(Datos_Consumo[[#This Row],[FECHA]])</f>
        <v>2018-4</v>
      </c>
    </row>
    <row r="1972" spans="1:4" x14ac:dyDescent="0.25">
      <c r="A1972" t="s">
        <v>2038</v>
      </c>
      <c r="B1972">
        <v>2</v>
      </c>
      <c r="C1972" s="54">
        <v>43221</v>
      </c>
      <c r="D1972" s="3" t="str">
        <f>YEAR(Datos_Consumo[[#This Row],[FECHA]])&amp;"-"&amp;MONTH(Datos_Consumo[[#This Row],[FECHA]])</f>
        <v>2018-5</v>
      </c>
    </row>
    <row r="1973" spans="1:4" x14ac:dyDescent="0.25">
      <c r="A1973" t="s">
        <v>2039</v>
      </c>
      <c r="B1973">
        <v>7</v>
      </c>
      <c r="C1973" s="54">
        <v>43101</v>
      </c>
      <c r="D1973" s="3" t="str">
        <f>YEAR(Datos_Consumo[[#This Row],[FECHA]])&amp;"-"&amp;MONTH(Datos_Consumo[[#This Row],[FECHA]])</f>
        <v>2018-1</v>
      </c>
    </row>
    <row r="1974" spans="1:4" x14ac:dyDescent="0.25">
      <c r="A1974" t="s">
        <v>2039</v>
      </c>
      <c r="B1974">
        <v>3</v>
      </c>
      <c r="C1974" s="54">
        <v>43132</v>
      </c>
      <c r="D1974" s="3" t="str">
        <f>YEAR(Datos_Consumo[[#This Row],[FECHA]])&amp;"-"&amp;MONTH(Datos_Consumo[[#This Row],[FECHA]])</f>
        <v>2018-2</v>
      </c>
    </row>
    <row r="1975" spans="1:4" x14ac:dyDescent="0.25">
      <c r="A1975" t="s">
        <v>2039</v>
      </c>
      <c r="B1975">
        <v>3</v>
      </c>
      <c r="C1975" s="54">
        <v>43160</v>
      </c>
      <c r="D1975" s="3" t="str">
        <f>YEAR(Datos_Consumo[[#This Row],[FECHA]])&amp;"-"&amp;MONTH(Datos_Consumo[[#This Row],[FECHA]])</f>
        <v>2018-3</v>
      </c>
    </row>
    <row r="1976" spans="1:4" x14ac:dyDescent="0.25">
      <c r="A1976" t="s">
        <v>2039</v>
      </c>
      <c r="B1976">
        <v>1</v>
      </c>
      <c r="C1976" s="54">
        <v>43191</v>
      </c>
      <c r="D1976" s="3" t="str">
        <f>YEAR(Datos_Consumo[[#This Row],[FECHA]])&amp;"-"&amp;MONTH(Datos_Consumo[[#This Row],[FECHA]])</f>
        <v>2018-4</v>
      </c>
    </row>
    <row r="1977" spans="1:4" x14ac:dyDescent="0.25">
      <c r="A1977" t="s">
        <v>2040</v>
      </c>
      <c r="B1977">
        <v>18</v>
      </c>
      <c r="C1977" s="54">
        <v>43070</v>
      </c>
      <c r="D1977" s="3" t="str">
        <f>YEAR(Datos_Consumo[[#This Row],[FECHA]])&amp;"-"&amp;MONTH(Datos_Consumo[[#This Row],[FECHA]])</f>
        <v>2017-12</v>
      </c>
    </row>
    <row r="1978" spans="1:4" x14ac:dyDescent="0.25">
      <c r="A1978" t="s">
        <v>2040</v>
      </c>
      <c r="B1978">
        <v>29</v>
      </c>
      <c r="C1978" s="54">
        <v>43101</v>
      </c>
      <c r="D1978" s="3" t="str">
        <f>YEAR(Datos_Consumo[[#This Row],[FECHA]])&amp;"-"&amp;MONTH(Datos_Consumo[[#This Row],[FECHA]])</f>
        <v>2018-1</v>
      </c>
    </row>
    <row r="1979" spans="1:4" x14ac:dyDescent="0.25">
      <c r="A1979" t="s">
        <v>2040</v>
      </c>
      <c r="B1979">
        <v>20</v>
      </c>
      <c r="C1979" s="54">
        <v>43132</v>
      </c>
      <c r="D1979" s="3" t="str">
        <f>YEAR(Datos_Consumo[[#This Row],[FECHA]])&amp;"-"&amp;MONTH(Datos_Consumo[[#This Row],[FECHA]])</f>
        <v>2018-2</v>
      </c>
    </row>
    <row r="1980" spans="1:4" x14ac:dyDescent="0.25">
      <c r="A1980" t="s">
        <v>2040</v>
      </c>
      <c r="B1980">
        <v>19</v>
      </c>
      <c r="C1980" s="54">
        <v>43160</v>
      </c>
      <c r="D1980" s="3" t="str">
        <f>YEAR(Datos_Consumo[[#This Row],[FECHA]])&amp;"-"&amp;MONTH(Datos_Consumo[[#This Row],[FECHA]])</f>
        <v>2018-3</v>
      </c>
    </row>
    <row r="1981" spans="1:4" x14ac:dyDescent="0.25">
      <c r="A1981" t="s">
        <v>2040</v>
      </c>
      <c r="B1981">
        <v>26</v>
      </c>
      <c r="C1981" s="54">
        <v>43191</v>
      </c>
      <c r="D1981" s="3" t="str">
        <f>YEAR(Datos_Consumo[[#This Row],[FECHA]])&amp;"-"&amp;MONTH(Datos_Consumo[[#This Row],[FECHA]])</f>
        <v>2018-4</v>
      </c>
    </row>
    <row r="1982" spans="1:4" x14ac:dyDescent="0.25">
      <c r="A1982" t="s">
        <v>2040</v>
      </c>
      <c r="B1982">
        <v>10</v>
      </c>
      <c r="C1982" s="54">
        <v>43221</v>
      </c>
      <c r="D1982" s="3" t="str">
        <f>YEAR(Datos_Consumo[[#This Row],[FECHA]])&amp;"-"&amp;MONTH(Datos_Consumo[[#This Row],[FECHA]])</f>
        <v>2018-5</v>
      </c>
    </row>
    <row r="1983" spans="1:4" x14ac:dyDescent="0.25">
      <c r="A1983" t="s">
        <v>2041</v>
      </c>
      <c r="B1983">
        <v>4</v>
      </c>
      <c r="C1983" s="54">
        <v>43101</v>
      </c>
      <c r="D1983" s="3" t="str">
        <f>YEAR(Datos_Consumo[[#This Row],[FECHA]])&amp;"-"&amp;MONTH(Datos_Consumo[[#This Row],[FECHA]])</f>
        <v>2018-1</v>
      </c>
    </row>
    <row r="1984" spans="1:4" x14ac:dyDescent="0.25">
      <c r="A1984" t="s">
        <v>2041</v>
      </c>
      <c r="B1984">
        <v>1</v>
      </c>
      <c r="C1984" s="54">
        <v>43160</v>
      </c>
      <c r="D1984" s="3" t="str">
        <f>YEAR(Datos_Consumo[[#This Row],[FECHA]])&amp;"-"&amp;MONTH(Datos_Consumo[[#This Row],[FECHA]])</f>
        <v>2018-3</v>
      </c>
    </row>
    <row r="1985" spans="1:4" x14ac:dyDescent="0.25">
      <c r="A1985" t="s">
        <v>2041</v>
      </c>
      <c r="B1985">
        <v>1</v>
      </c>
      <c r="C1985" s="54">
        <v>43191</v>
      </c>
      <c r="D1985" s="3" t="str">
        <f>YEAR(Datos_Consumo[[#This Row],[FECHA]])&amp;"-"&amp;MONTH(Datos_Consumo[[#This Row],[FECHA]])</f>
        <v>2018-4</v>
      </c>
    </row>
    <row r="1986" spans="1:4" x14ac:dyDescent="0.25">
      <c r="A1986" t="s">
        <v>2042</v>
      </c>
      <c r="B1986">
        <v>1</v>
      </c>
      <c r="C1986" s="54">
        <v>43101</v>
      </c>
      <c r="D1986" s="3" t="str">
        <f>YEAR(Datos_Consumo[[#This Row],[FECHA]])&amp;"-"&amp;MONTH(Datos_Consumo[[#This Row],[FECHA]])</f>
        <v>2018-1</v>
      </c>
    </row>
    <row r="1987" spans="1:4" x14ac:dyDescent="0.25">
      <c r="A1987" t="s">
        <v>2042</v>
      </c>
      <c r="B1987">
        <v>2</v>
      </c>
      <c r="C1987" s="54">
        <v>43191</v>
      </c>
      <c r="D1987" s="3" t="str">
        <f>YEAR(Datos_Consumo[[#This Row],[FECHA]])&amp;"-"&amp;MONTH(Datos_Consumo[[#This Row],[FECHA]])</f>
        <v>2018-4</v>
      </c>
    </row>
    <row r="1988" spans="1:4" x14ac:dyDescent="0.25">
      <c r="A1988" t="s">
        <v>2042</v>
      </c>
      <c r="B1988">
        <v>1</v>
      </c>
      <c r="C1988" s="54">
        <v>43221</v>
      </c>
      <c r="D1988" s="3" t="str">
        <f>YEAR(Datos_Consumo[[#This Row],[FECHA]])&amp;"-"&amp;MONTH(Datos_Consumo[[#This Row],[FECHA]])</f>
        <v>2018-5</v>
      </c>
    </row>
    <row r="1989" spans="1:4" x14ac:dyDescent="0.25">
      <c r="A1989" t="s">
        <v>2043</v>
      </c>
      <c r="B1989">
        <v>4</v>
      </c>
      <c r="C1989" s="54">
        <v>43070</v>
      </c>
      <c r="D1989" s="3" t="str">
        <f>YEAR(Datos_Consumo[[#This Row],[FECHA]])&amp;"-"&amp;MONTH(Datos_Consumo[[#This Row],[FECHA]])</f>
        <v>2017-12</v>
      </c>
    </row>
    <row r="1990" spans="1:4" x14ac:dyDescent="0.25">
      <c r="A1990" t="s">
        <v>2043</v>
      </c>
      <c r="B1990">
        <v>7</v>
      </c>
      <c r="C1990" s="54">
        <v>43101</v>
      </c>
      <c r="D1990" s="3" t="str">
        <f>YEAR(Datos_Consumo[[#This Row],[FECHA]])&amp;"-"&amp;MONTH(Datos_Consumo[[#This Row],[FECHA]])</f>
        <v>2018-1</v>
      </c>
    </row>
    <row r="1991" spans="1:4" x14ac:dyDescent="0.25">
      <c r="A1991" t="s">
        <v>2043</v>
      </c>
      <c r="B1991">
        <v>6</v>
      </c>
      <c r="C1991" s="54">
        <v>43132</v>
      </c>
      <c r="D1991" s="3" t="str">
        <f>YEAR(Datos_Consumo[[#This Row],[FECHA]])&amp;"-"&amp;MONTH(Datos_Consumo[[#This Row],[FECHA]])</f>
        <v>2018-2</v>
      </c>
    </row>
    <row r="1992" spans="1:4" x14ac:dyDescent="0.25">
      <c r="A1992" t="s">
        <v>2044</v>
      </c>
      <c r="B1992">
        <v>3</v>
      </c>
      <c r="C1992" s="54">
        <v>43070</v>
      </c>
      <c r="D1992" s="3" t="str">
        <f>YEAR(Datos_Consumo[[#This Row],[FECHA]])&amp;"-"&amp;MONTH(Datos_Consumo[[#This Row],[FECHA]])</f>
        <v>2017-12</v>
      </c>
    </row>
    <row r="1993" spans="1:4" x14ac:dyDescent="0.25">
      <c r="A1993" t="s">
        <v>2044</v>
      </c>
      <c r="B1993">
        <v>1</v>
      </c>
      <c r="C1993" s="54">
        <v>43101</v>
      </c>
      <c r="D1993" s="3" t="str">
        <f>YEAR(Datos_Consumo[[#This Row],[FECHA]])&amp;"-"&amp;MONTH(Datos_Consumo[[#This Row],[FECHA]])</f>
        <v>2018-1</v>
      </c>
    </row>
    <row r="1994" spans="1:4" x14ac:dyDescent="0.25">
      <c r="A1994" t="s">
        <v>2044</v>
      </c>
      <c r="B1994">
        <v>1</v>
      </c>
      <c r="C1994" s="54">
        <v>43132</v>
      </c>
      <c r="D1994" s="3" t="str">
        <f>YEAR(Datos_Consumo[[#This Row],[FECHA]])&amp;"-"&amp;MONTH(Datos_Consumo[[#This Row],[FECHA]])</f>
        <v>2018-2</v>
      </c>
    </row>
    <row r="1995" spans="1:4" x14ac:dyDescent="0.25">
      <c r="A1995" t="s">
        <v>2044</v>
      </c>
      <c r="B1995">
        <v>2</v>
      </c>
      <c r="C1995" s="54">
        <v>43191</v>
      </c>
      <c r="D1995" s="3" t="str">
        <f>YEAR(Datos_Consumo[[#This Row],[FECHA]])&amp;"-"&amp;MONTH(Datos_Consumo[[#This Row],[FECHA]])</f>
        <v>2018-4</v>
      </c>
    </row>
    <row r="1996" spans="1:4" x14ac:dyDescent="0.25">
      <c r="A1996" t="s">
        <v>2044</v>
      </c>
      <c r="B1996">
        <v>1</v>
      </c>
      <c r="C1996" s="54">
        <v>43221</v>
      </c>
      <c r="D1996" s="3" t="str">
        <f>YEAR(Datos_Consumo[[#This Row],[FECHA]])&amp;"-"&amp;MONTH(Datos_Consumo[[#This Row],[FECHA]])</f>
        <v>2018-5</v>
      </c>
    </row>
    <row r="1997" spans="1:4" x14ac:dyDescent="0.25">
      <c r="A1997" t="s">
        <v>2045</v>
      </c>
      <c r="B1997">
        <v>5</v>
      </c>
      <c r="C1997" s="54">
        <v>43070</v>
      </c>
      <c r="D1997" s="3" t="str">
        <f>YEAR(Datos_Consumo[[#This Row],[FECHA]])&amp;"-"&amp;MONTH(Datos_Consumo[[#This Row],[FECHA]])</f>
        <v>2017-12</v>
      </c>
    </row>
    <row r="1998" spans="1:4" x14ac:dyDescent="0.25">
      <c r="A1998" t="s">
        <v>2045</v>
      </c>
      <c r="B1998">
        <v>1</v>
      </c>
      <c r="C1998" s="54">
        <v>43101</v>
      </c>
      <c r="D1998" s="3" t="str">
        <f>YEAR(Datos_Consumo[[#This Row],[FECHA]])&amp;"-"&amp;MONTH(Datos_Consumo[[#This Row],[FECHA]])</f>
        <v>2018-1</v>
      </c>
    </row>
    <row r="1999" spans="1:4" x14ac:dyDescent="0.25">
      <c r="A1999" t="s">
        <v>2046</v>
      </c>
      <c r="B1999">
        <v>10</v>
      </c>
      <c r="C1999" s="54">
        <v>43132</v>
      </c>
      <c r="D1999" s="3" t="str">
        <f>YEAR(Datos_Consumo[[#This Row],[FECHA]])&amp;"-"&amp;MONTH(Datos_Consumo[[#This Row],[FECHA]])</f>
        <v>2018-2</v>
      </c>
    </row>
    <row r="2000" spans="1:4" x14ac:dyDescent="0.25">
      <c r="A2000" t="s">
        <v>2046</v>
      </c>
      <c r="B2000">
        <v>6</v>
      </c>
      <c r="C2000" s="54">
        <v>43160</v>
      </c>
      <c r="D2000" s="3" t="str">
        <f>YEAR(Datos_Consumo[[#This Row],[FECHA]])&amp;"-"&amp;MONTH(Datos_Consumo[[#This Row],[FECHA]])</f>
        <v>2018-3</v>
      </c>
    </row>
    <row r="2001" spans="1:4" x14ac:dyDescent="0.25">
      <c r="A2001" t="s">
        <v>2047</v>
      </c>
      <c r="B2001">
        <v>3</v>
      </c>
      <c r="C2001" s="54">
        <v>43101</v>
      </c>
      <c r="D2001" s="3" t="str">
        <f>YEAR(Datos_Consumo[[#This Row],[FECHA]])&amp;"-"&amp;MONTH(Datos_Consumo[[#This Row],[FECHA]])</f>
        <v>2018-1</v>
      </c>
    </row>
    <row r="2002" spans="1:4" x14ac:dyDescent="0.25">
      <c r="A2002" t="s">
        <v>2047</v>
      </c>
      <c r="B2002">
        <v>50</v>
      </c>
      <c r="C2002" s="54">
        <v>43132</v>
      </c>
      <c r="D2002" s="3" t="str">
        <f>YEAR(Datos_Consumo[[#This Row],[FECHA]])&amp;"-"&amp;MONTH(Datos_Consumo[[#This Row],[FECHA]])</f>
        <v>2018-2</v>
      </c>
    </row>
    <row r="2003" spans="1:4" x14ac:dyDescent="0.25">
      <c r="A2003" t="s">
        <v>2047</v>
      </c>
      <c r="B2003">
        <v>53</v>
      </c>
      <c r="C2003" s="54">
        <v>43191</v>
      </c>
      <c r="D2003" s="3" t="str">
        <f>YEAR(Datos_Consumo[[#This Row],[FECHA]])&amp;"-"&amp;MONTH(Datos_Consumo[[#This Row],[FECHA]])</f>
        <v>2018-4</v>
      </c>
    </row>
    <row r="2004" spans="1:4" x14ac:dyDescent="0.25">
      <c r="A2004" t="s">
        <v>2048</v>
      </c>
      <c r="B2004">
        <v>1</v>
      </c>
      <c r="C2004" s="54">
        <v>43101</v>
      </c>
      <c r="D2004" s="3" t="str">
        <f>YEAR(Datos_Consumo[[#This Row],[FECHA]])&amp;"-"&amp;MONTH(Datos_Consumo[[#This Row],[FECHA]])</f>
        <v>2018-1</v>
      </c>
    </row>
    <row r="2005" spans="1:4" x14ac:dyDescent="0.25">
      <c r="A2005" t="s">
        <v>2049</v>
      </c>
      <c r="B2005">
        <v>2</v>
      </c>
      <c r="C2005" s="54">
        <v>43101</v>
      </c>
      <c r="D2005" s="3" t="str">
        <f>YEAR(Datos_Consumo[[#This Row],[FECHA]])&amp;"-"&amp;MONTH(Datos_Consumo[[#This Row],[FECHA]])</f>
        <v>2018-1</v>
      </c>
    </row>
    <row r="2006" spans="1:4" x14ac:dyDescent="0.25">
      <c r="A2006" t="s">
        <v>2049</v>
      </c>
      <c r="B2006">
        <v>2</v>
      </c>
      <c r="C2006" s="54">
        <v>43191</v>
      </c>
      <c r="D2006" s="3" t="str">
        <f>YEAR(Datos_Consumo[[#This Row],[FECHA]])&amp;"-"&amp;MONTH(Datos_Consumo[[#This Row],[FECHA]])</f>
        <v>2018-4</v>
      </c>
    </row>
    <row r="2007" spans="1:4" x14ac:dyDescent="0.25">
      <c r="A2007" t="s">
        <v>2050</v>
      </c>
      <c r="B2007">
        <v>6</v>
      </c>
      <c r="C2007" s="54">
        <v>43070</v>
      </c>
      <c r="D2007" s="3" t="str">
        <f>YEAR(Datos_Consumo[[#This Row],[FECHA]])&amp;"-"&amp;MONTH(Datos_Consumo[[#This Row],[FECHA]])</f>
        <v>2017-12</v>
      </c>
    </row>
    <row r="2008" spans="1:4" x14ac:dyDescent="0.25">
      <c r="A2008" t="s">
        <v>2050</v>
      </c>
      <c r="B2008">
        <v>3</v>
      </c>
      <c r="C2008" s="54">
        <v>43101</v>
      </c>
      <c r="D2008" s="3" t="str">
        <f>YEAR(Datos_Consumo[[#This Row],[FECHA]])&amp;"-"&amp;MONTH(Datos_Consumo[[#This Row],[FECHA]])</f>
        <v>2018-1</v>
      </c>
    </row>
    <row r="2009" spans="1:4" x14ac:dyDescent="0.25">
      <c r="A2009" t="s">
        <v>2050</v>
      </c>
      <c r="B2009">
        <v>4</v>
      </c>
      <c r="C2009" s="54">
        <v>43160</v>
      </c>
      <c r="D2009" s="3" t="str">
        <f>YEAR(Datos_Consumo[[#This Row],[FECHA]])&amp;"-"&amp;MONTH(Datos_Consumo[[#This Row],[FECHA]])</f>
        <v>2018-3</v>
      </c>
    </row>
    <row r="2010" spans="1:4" x14ac:dyDescent="0.25">
      <c r="A2010" t="s">
        <v>2050</v>
      </c>
      <c r="B2010">
        <v>3</v>
      </c>
      <c r="C2010" s="54">
        <v>43191</v>
      </c>
      <c r="D2010" s="3" t="str">
        <f>YEAR(Datos_Consumo[[#This Row],[FECHA]])&amp;"-"&amp;MONTH(Datos_Consumo[[#This Row],[FECHA]])</f>
        <v>2018-4</v>
      </c>
    </row>
    <row r="2011" spans="1:4" x14ac:dyDescent="0.25">
      <c r="A2011" t="s">
        <v>2051</v>
      </c>
      <c r="B2011">
        <v>2</v>
      </c>
      <c r="C2011" s="54">
        <v>43132</v>
      </c>
      <c r="D2011" s="3" t="str">
        <f>YEAR(Datos_Consumo[[#This Row],[FECHA]])&amp;"-"&amp;MONTH(Datos_Consumo[[#This Row],[FECHA]])</f>
        <v>2018-2</v>
      </c>
    </row>
    <row r="2012" spans="1:4" x14ac:dyDescent="0.25">
      <c r="A2012" t="s">
        <v>2051</v>
      </c>
      <c r="B2012">
        <v>5</v>
      </c>
      <c r="C2012" s="54">
        <v>43191</v>
      </c>
      <c r="D2012" s="3" t="str">
        <f>YEAR(Datos_Consumo[[#This Row],[FECHA]])&amp;"-"&amp;MONTH(Datos_Consumo[[#This Row],[FECHA]])</f>
        <v>2018-4</v>
      </c>
    </row>
    <row r="2013" spans="1:4" x14ac:dyDescent="0.25">
      <c r="A2013" t="s">
        <v>2052</v>
      </c>
      <c r="B2013">
        <v>2</v>
      </c>
      <c r="C2013" s="54">
        <v>43132</v>
      </c>
      <c r="D2013" s="3" t="str">
        <f>YEAR(Datos_Consumo[[#This Row],[FECHA]])&amp;"-"&amp;MONTH(Datos_Consumo[[#This Row],[FECHA]])</f>
        <v>2018-2</v>
      </c>
    </row>
    <row r="2014" spans="1:4" x14ac:dyDescent="0.25">
      <c r="A2014" t="s">
        <v>2052</v>
      </c>
      <c r="B2014">
        <v>1</v>
      </c>
      <c r="C2014" s="54">
        <v>43160</v>
      </c>
      <c r="D2014" s="3" t="str">
        <f>YEAR(Datos_Consumo[[#This Row],[FECHA]])&amp;"-"&amp;MONTH(Datos_Consumo[[#This Row],[FECHA]])</f>
        <v>2018-3</v>
      </c>
    </row>
    <row r="2015" spans="1:4" x14ac:dyDescent="0.25">
      <c r="A2015" t="s">
        <v>2052</v>
      </c>
      <c r="B2015">
        <v>2</v>
      </c>
      <c r="C2015" s="54">
        <v>43191</v>
      </c>
      <c r="D2015" s="3" t="str">
        <f>YEAR(Datos_Consumo[[#This Row],[FECHA]])&amp;"-"&amp;MONTH(Datos_Consumo[[#This Row],[FECHA]])</f>
        <v>2018-4</v>
      </c>
    </row>
    <row r="2016" spans="1:4" x14ac:dyDescent="0.25">
      <c r="A2016" t="s">
        <v>2052</v>
      </c>
      <c r="B2016">
        <v>20</v>
      </c>
      <c r="C2016" s="54">
        <v>43221</v>
      </c>
      <c r="D2016" s="3" t="str">
        <f>YEAR(Datos_Consumo[[#This Row],[FECHA]])&amp;"-"&amp;MONTH(Datos_Consumo[[#This Row],[FECHA]])</f>
        <v>2018-5</v>
      </c>
    </row>
    <row r="2017" spans="1:4" x14ac:dyDescent="0.25">
      <c r="A2017" t="s">
        <v>4059</v>
      </c>
      <c r="B2017">
        <v>3</v>
      </c>
      <c r="C2017" s="54">
        <v>43191</v>
      </c>
      <c r="D2017" s="3" t="str">
        <f>YEAR(Datos_Consumo[[#This Row],[FECHA]])&amp;"-"&amp;MONTH(Datos_Consumo[[#This Row],[FECHA]])</f>
        <v>2018-4</v>
      </c>
    </row>
    <row r="2018" spans="1:4" x14ac:dyDescent="0.25">
      <c r="A2018" t="s">
        <v>2053</v>
      </c>
      <c r="B2018">
        <v>1</v>
      </c>
      <c r="C2018" s="54">
        <v>43101</v>
      </c>
      <c r="D2018" s="3" t="str">
        <f>YEAR(Datos_Consumo[[#This Row],[FECHA]])&amp;"-"&amp;MONTH(Datos_Consumo[[#This Row],[FECHA]])</f>
        <v>2018-1</v>
      </c>
    </row>
    <row r="2019" spans="1:4" x14ac:dyDescent="0.25">
      <c r="A2019" t="s">
        <v>2053</v>
      </c>
      <c r="B2019">
        <v>3</v>
      </c>
      <c r="C2019" s="54">
        <v>43132</v>
      </c>
      <c r="D2019" s="3" t="str">
        <f>YEAR(Datos_Consumo[[#This Row],[FECHA]])&amp;"-"&amp;MONTH(Datos_Consumo[[#This Row],[FECHA]])</f>
        <v>2018-2</v>
      </c>
    </row>
    <row r="2020" spans="1:4" x14ac:dyDescent="0.25">
      <c r="A2020" t="s">
        <v>2054</v>
      </c>
      <c r="B2020">
        <v>1</v>
      </c>
      <c r="C2020" s="54">
        <v>43191</v>
      </c>
      <c r="D2020" s="3" t="str">
        <f>YEAR(Datos_Consumo[[#This Row],[FECHA]])&amp;"-"&amp;MONTH(Datos_Consumo[[#This Row],[FECHA]])</f>
        <v>2018-4</v>
      </c>
    </row>
    <row r="2021" spans="1:4" x14ac:dyDescent="0.25">
      <c r="A2021" t="s">
        <v>2055</v>
      </c>
      <c r="B2021">
        <v>4</v>
      </c>
      <c r="C2021" s="54">
        <v>43070</v>
      </c>
      <c r="D2021" s="3" t="str">
        <f>YEAR(Datos_Consumo[[#This Row],[FECHA]])&amp;"-"&amp;MONTH(Datos_Consumo[[#This Row],[FECHA]])</f>
        <v>2017-12</v>
      </c>
    </row>
    <row r="2022" spans="1:4" x14ac:dyDescent="0.25">
      <c r="A2022" t="s">
        <v>2055</v>
      </c>
      <c r="B2022">
        <v>11</v>
      </c>
      <c r="C2022" s="54">
        <v>43101</v>
      </c>
      <c r="D2022" s="3" t="str">
        <f>YEAR(Datos_Consumo[[#This Row],[FECHA]])&amp;"-"&amp;MONTH(Datos_Consumo[[#This Row],[FECHA]])</f>
        <v>2018-1</v>
      </c>
    </row>
    <row r="2023" spans="1:4" x14ac:dyDescent="0.25">
      <c r="A2023" t="s">
        <v>2055</v>
      </c>
      <c r="B2023">
        <v>6</v>
      </c>
      <c r="C2023" s="54">
        <v>43132</v>
      </c>
      <c r="D2023" s="3" t="str">
        <f>YEAR(Datos_Consumo[[#This Row],[FECHA]])&amp;"-"&amp;MONTH(Datos_Consumo[[#This Row],[FECHA]])</f>
        <v>2018-2</v>
      </c>
    </row>
    <row r="2024" spans="1:4" x14ac:dyDescent="0.25">
      <c r="A2024" t="s">
        <v>2055</v>
      </c>
      <c r="B2024">
        <v>12</v>
      </c>
      <c r="C2024" s="54">
        <v>43160</v>
      </c>
      <c r="D2024" s="3" t="str">
        <f>YEAR(Datos_Consumo[[#This Row],[FECHA]])&amp;"-"&amp;MONTH(Datos_Consumo[[#This Row],[FECHA]])</f>
        <v>2018-3</v>
      </c>
    </row>
    <row r="2025" spans="1:4" x14ac:dyDescent="0.25">
      <c r="A2025" t="s">
        <v>2056</v>
      </c>
      <c r="B2025">
        <v>15</v>
      </c>
      <c r="C2025" s="54">
        <v>43132</v>
      </c>
      <c r="D2025" s="3" t="str">
        <f>YEAR(Datos_Consumo[[#This Row],[FECHA]])&amp;"-"&amp;MONTH(Datos_Consumo[[#This Row],[FECHA]])</f>
        <v>2018-2</v>
      </c>
    </row>
    <row r="2026" spans="1:4" x14ac:dyDescent="0.25">
      <c r="A2026" t="s">
        <v>2056</v>
      </c>
      <c r="B2026">
        <v>3</v>
      </c>
      <c r="C2026" s="54">
        <v>43191</v>
      </c>
      <c r="D2026" s="3" t="str">
        <f>YEAR(Datos_Consumo[[#This Row],[FECHA]])&amp;"-"&amp;MONTH(Datos_Consumo[[#This Row],[FECHA]])</f>
        <v>2018-4</v>
      </c>
    </row>
    <row r="2027" spans="1:4" x14ac:dyDescent="0.25">
      <c r="A2027" t="s">
        <v>2056</v>
      </c>
      <c r="B2027">
        <v>1</v>
      </c>
      <c r="C2027" s="54">
        <v>43221</v>
      </c>
      <c r="D2027" s="3" t="str">
        <f>YEAR(Datos_Consumo[[#This Row],[FECHA]])&amp;"-"&amp;MONTH(Datos_Consumo[[#This Row],[FECHA]])</f>
        <v>2018-5</v>
      </c>
    </row>
    <row r="2028" spans="1:4" x14ac:dyDescent="0.25">
      <c r="A2028" t="s">
        <v>2057</v>
      </c>
      <c r="B2028">
        <v>3</v>
      </c>
      <c r="C2028" s="54">
        <v>43101</v>
      </c>
      <c r="D2028" s="3" t="str">
        <f>YEAR(Datos_Consumo[[#This Row],[FECHA]])&amp;"-"&amp;MONTH(Datos_Consumo[[#This Row],[FECHA]])</f>
        <v>2018-1</v>
      </c>
    </row>
    <row r="2029" spans="1:4" x14ac:dyDescent="0.25">
      <c r="A2029" t="s">
        <v>2057</v>
      </c>
      <c r="B2029">
        <v>2</v>
      </c>
      <c r="C2029" s="54">
        <v>43191</v>
      </c>
      <c r="D2029" s="3" t="str">
        <f>YEAR(Datos_Consumo[[#This Row],[FECHA]])&amp;"-"&amp;MONTH(Datos_Consumo[[#This Row],[FECHA]])</f>
        <v>2018-4</v>
      </c>
    </row>
    <row r="2030" spans="1:4" x14ac:dyDescent="0.25">
      <c r="A2030" t="s">
        <v>2058</v>
      </c>
      <c r="B2030">
        <v>1</v>
      </c>
      <c r="C2030" s="54">
        <v>43160</v>
      </c>
      <c r="D2030" s="3" t="str">
        <f>YEAR(Datos_Consumo[[#This Row],[FECHA]])&amp;"-"&amp;MONTH(Datos_Consumo[[#This Row],[FECHA]])</f>
        <v>2018-3</v>
      </c>
    </row>
    <row r="2031" spans="1:4" x14ac:dyDescent="0.25">
      <c r="A2031" t="s">
        <v>2059</v>
      </c>
      <c r="B2031">
        <v>1</v>
      </c>
      <c r="C2031" s="54">
        <v>43070</v>
      </c>
      <c r="D2031" s="3" t="str">
        <f>YEAR(Datos_Consumo[[#This Row],[FECHA]])&amp;"-"&amp;MONTH(Datos_Consumo[[#This Row],[FECHA]])</f>
        <v>2017-12</v>
      </c>
    </row>
    <row r="2032" spans="1:4" x14ac:dyDescent="0.25">
      <c r="A2032" t="s">
        <v>2059</v>
      </c>
      <c r="B2032">
        <v>4</v>
      </c>
      <c r="C2032" s="54">
        <v>43160</v>
      </c>
      <c r="D2032" s="3" t="str">
        <f>YEAR(Datos_Consumo[[#This Row],[FECHA]])&amp;"-"&amp;MONTH(Datos_Consumo[[#This Row],[FECHA]])</f>
        <v>2018-3</v>
      </c>
    </row>
    <row r="2033" spans="1:4" x14ac:dyDescent="0.25">
      <c r="A2033" t="s">
        <v>2059</v>
      </c>
      <c r="B2033">
        <v>2</v>
      </c>
      <c r="C2033" s="54">
        <v>43191</v>
      </c>
      <c r="D2033" s="3" t="str">
        <f>YEAR(Datos_Consumo[[#This Row],[FECHA]])&amp;"-"&amp;MONTH(Datos_Consumo[[#This Row],[FECHA]])</f>
        <v>2018-4</v>
      </c>
    </row>
    <row r="2034" spans="1:4" x14ac:dyDescent="0.25">
      <c r="A2034" t="s">
        <v>4060</v>
      </c>
      <c r="B2034">
        <v>1</v>
      </c>
      <c r="C2034" s="54">
        <v>43191</v>
      </c>
      <c r="D2034" s="3" t="str">
        <f>YEAR(Datos_Consumo[[#This Row],[FECHA]])&amp;"-"&amp;MONTH(Datos_Consumo[[#This Row],[FECHA]])</f>
        <v>2018-4</v>
      </c>
    </row>
    <row r="2035" spans="1:4" x14ac:dyDescent="0.25">
      <c r="A2035" t="s">
        <v>2060</v>
      </c>
      <c r="B2035">
        <v>10</v>
      </c>
      <c r="C2035" s="54">
        <v>43070</v>
      </c>
      <c r="D2035" s="3" t="str">
        <f>YEAR(Datos_Consumo[[#This Row],[FECHA]])&amp;"-"&amp;MONTH(Datos_Consumo[[#This Row],[FECHA]])</f>
        <v>2017-12</v>
      </c>
    </row>
    <row r="2036" spans="1:4" x14ac:dyDescent="0.25">
      <c r="A2036" t="s">
        <v>2060</v>
      </c>
      <c r="B2036">
        <v>11</v>
      </c>
      <c r="C2036" s="54">
        <v>43101</v>
      </c>
      <c r="D2036" s="3" t="str">
        <f>YEAR(Datos_Consumo[[#This Row],[FECHA]])&amp;"-"&amp;MONTH(Datos_Consumo[[#This Row],[FECHA]])</f>
        <v>2018-1</v>
      </c>
    </row>
    <row r="2037" spans="1:4" x14ac:dyDescent="0.25">
      <c r="A2037" t="s">
        <v>2060</v>
      </c>
      <c r="B2037">
        <v>2</v>
      </c>
      <c r="C2037" s="54">
        <v>43132</v>
      </c>
      <c r="D2037" s="3" t="str">
        <f>YEAR(Datos_Consumo[[#This Row],[FECHA]])&amp;"-"&amp;MONTH(Datos_Consumo[[#This Row],[FECHA]])</f>
        <v>2018-2</v>
      </c>
    </row>
    <row r="2038" spans="1:4" x14ac:dyDescent="0.25">
      <c r="A2038" t="s">
        <v>2060</v>
      </c>
      <c r="B2038">
        <v>3</v>
      </c>
      <c r="C2038" s="54">
        <v>43160</v>
      </c>
      <c r="D2038" s="3" t="str">
        <f>YEAR(Datos_Consumo[[#This Row],[FECHA]])&amp;"-"&amp;MONTH(Datos_Consumo[[#This Row],[FECHA]])</f>
        <v>2018-3</v>
      </c>
    </row>
    <row r="2039" spans="1:4" x14ac:dyDescent="0.25">
      <c r="A2039" t="s">
        <v>2060</v>
      </c>
      <c r="B2039">
        <v>7</v>
      </c>
      <c r="C2039" s="54">
        <v>43191</v>
      </c>
      <c r="D2039" s="3" t="str">
        <f>YEAR(Datos_Consumo[[#This Row],[FECHA]])&amp;"-"&amp;MONTH(Datos_Consumo[[#This Row],[FECHA]])</f>
        <v>2018-4</v>
      </c>
    </row>
    <row r="2040" spans="1:4" x14ac:dyDescent="0.25">
      <c r="A2040" t="s">
        <v>2061</v>
      </c>
      <c r="B2040">
        <v>27</v>
      </c>
      <c r="C2040" s="54">
        <v>43070</v>
      </c>
      <c r="D2040" s="3" t="str">
        <f>YEAR(Datos_Consumo[[#This Row],[FECHA]])&amp;"-"&amp;MONTH(Datos_Consumo[[#This Row],[FECHA]])</f>
        <v>2017-12</v>
      </c>
    </row>
    <row r="2041" spans="1:4" x14ac:dyDescent="0.25">
      <c r="A2041" t="s">
        <v>2061</v>
      </c>
      <c r="B2041">
        <v>8</v>
      </c>
      <c r="C2041" s="54">
        <v>43101</v>
      </c>
      <c r="D2041" s="3" t="str">
        <f>YEAR(Datos_Consumo[[#This Row],[FECHA]])&amp;"-"&amp;MONTH(Datos_Consumo[[#This Row],[FECHA]])</f>
        <v>2018-1</v>
      </c>
    </row>
    <row r="2042" spans="1:4" x14ac:dyDescent="0.25">
      <c r="A2042" t="s">
        <v>2061</v>
      </c>
      <c r="B2042">
        <v>10</v>
      </c>
      <c r="C2042" s="54">
        <v>43132</v>
      </c>
      <c r="D2042" s="3" t="str">
        <f>YEAR(Datos_Consumo[[#This Row],[FECHA]])&amp;"-"&amp;MONTH(Datos_Consumo[[#This Row],[FECHA]])</f>
        <v>2018-2</v>
      </c>
    </row>
    <row r="2043" spans="1:4" x14ac:dyDescent="0.25">
      <c r="A2043" t="s">
        <v>2061</v>
      </c>
      <c r="B2043">
        <v>38</v>
      </c>
      <c r="C2043" s="54">
        <v>43160</v>
      </c>
      <c r="D2043" s="3" t="str">
        <f>YEAR(Datos_Consumo[[#This Row],[FECHA]])&amp;"-"&amp;MONTH(Datos_Consumo[[#This Row],[FECHA]])</f>
        <v>2018-3</v>
      </c>
    </row>
    <row r="2044" spans="1:4" x14ac:dyDescent="0.25">
      <c r="A2044" t="s">
        <v>2061</v>
      </c>
      <c r="B2044">
        <v>32</v>
      </c>
      <c r="C2044" s="54">
        <v>43191</v>
      </c>
      <c r="D2044" s="3" t="str">
        <f>YEAR(Datos_Consumo[[#This Row],[FECHA]])&amp;"-"&amp;MONTH(Datos_Consumo[[#This Row],[FECHA]])</f>
        <v>2018-4</v>
      </c>
    </row>
    <row r="2045" spans="1:4" x14ac:dyDescent="0.25">
      <c r="A2045" t="s">
        <v>2061</v>
      </c>
      <c r="B2045">
        <v>3</v>
      </c>
      <c r="C2045" s="54">
        <v>43221</v>
      </c>
      <c r="D2045" s="3" t="str">
        <f>YEAR(Datos_Consumo[[#This Row],[FECHA]])&amp;"-"&amp;MONTH(Datos_Consumo[[#This Row],[FECHA]])</f>
        <v>2018-5</v>
      </c>
    </row>
    <row r="2046" spans="1:4" x14ac:dyDescent="0.25">
      <c r="A2046" t="s">
        <v>2062</v>
      </c>
      <c r="B2046">
        <v>30</v>
      </c>
      <c r="C2046" s="54">
        <v>43070</v>
      </c>
      <c r="D2046" s="3" t="str">
        <f>YEAR(Datos_Consumo[[#This Row],[FECHA]])&amp;"-"&amp;MONTH(Datos_Consumo[[#This Row],[FECHA]])</f>
        <v>2017-12</v>
      </c>
    </row>
    <row r="2047" spans="1:4" x14ac:dyDescent="0.25">
      <c r="A2047" t="s">
        <v>2062</v>
      </c>
      <c r="B2047">
        <v>94</v>
      </c>
      <c r="C2047" s="54">
        <v>43101</v>
      </c>
      <c r="D2047" s="3" t="str">
        <f>YEAR(Datos_Consumo[[#This Row],[FECHA]])&amp;"-"&amp;MONTH(Datos_Consumo[[#This Row],[FECHA]])</f>
        <v>2018-1</v>
      </c>
    </row>
    <row r="2048" spans="1:4" x14ac:dyDescent="0.25">
      <c r="A2048" t="s">
        <v>2062</v>
      </c>
      <c r="B2048">
        <v>105</v>
      </c>
      <c r="C2048" s="54">
        <v>43132</v>
      </c>
      <c r="D2048" s="3" t="str">
        <f>YEAR(Datos_Consumo[[#This Row],[FECHA]])&amp;"-"&amp;MONTH(Datos_Consumo[[#This Row],[FECHA]])</f>
        <v>2018-2</v>
      </c>
    </row>
    <row r="2049" spans="1:4" x14ac:dyDescent="0.25">
      <c r="A2049" t="s">
        <v>2062</v>
      </c>
      <c r="B2049">
        <v>3</v>
      </c>
      <c r="C2049" s="54">
        <v>43160</v>
      </c>
      <c r="D2049" s="3" t="str">
        <f>YEAR(Datos_Consumo[[#This Row],[FECHA]])&amp;"-"&amp;MONTH(Datos_Consumo[[#This Row],[FECHA]])</f>
        <v>2018-3</v>
      </c>
    </row>
    <row r="2050" spans="1:4" x14ac:dyDescent="0.25">
      <c r="A2050" t="s">
        <v>2062</v>
      </c>
      <c r="B2050">
        <v>164</v>
      </c>
      <c r="C2050" s="54">
        <v>43191</v>
      </c>
      <c r="D2050" s="3" t="str">
        <f>YEAR(Datos_Consumo[[#This Row],[FECHA]])&amp;"-"&amp;MONTH(Datos_Consumo[[#This Row],[FECHA]])</f>
        <v>2018-4</v>
      </c>
    </row>
    <row r="2051" spans="1:4" x14ac:dyDescent="0.25">
      <c r="A2051" t="s">
        <v>2062</v>
      </c>
      <c r="B2051">
        <v>36</v>
      </c>
      <c r="C2051" s="54">
        <v>43221</v>
      </c>
      <c r="D2051" s="3" t="str">
        <f>YEAR(Datos_Consumo[[#This Row],[FECHA]])&amp;"-"&amp;MONTH(Datos_Consumo[[#This Row],[FECHA]])</f>
        <v>2018-5</v>
      </c>
    </row>
    <row r="2052" spans="1:4" x14ac:dyDescent="0.25">
      <c r="A2052" t="s">
        <v>2063</v>
      </c>
      <c r="B2052">
        <v>6</v>
      </c>
      <c r="C2052" s="54">
        <v>43070</v>
      </c>
      <c r="D2052" s="3" t="str">
        <f>YEAR(Datos_Consumo[[#This Row],[FECHA]])&amp;"-"&amp;MONTH(Datos_Consumo[[#This Row],[FECHA]])</f>
        <v>2017-12</v>
      </c>
    </row>
    <row r="2053" spans="1:4" x14ac:dyDescent="0.25">
      <c r="A2053" t="s">
        <v>2063</v>
      </c>
      <c r="B2053">
        <v>1</v>
      </c>
      <c r="C2053" s="54">
        <v>43101</v>
      </c>
      <c r="D2053" s="3" t="str">
        <f>YEAR(Datos_Consumo[[#This Row],[FECHA]])&amp;"-"&amp;MONTH(Datos_Consumo[[#This Row],[FECHA]])</f>
        <v>2018-1</v>
      </c>
    </row>
    <row r="2054" spans="1:4" x14ac:dyDescent="0.25">
      <c r="A2054" t="s">
        <v>2063</v>
      </c>
      <c r="B2054">
        <v>4</v>
      </c>
      <c r="C2054" s="54">
        <v>43132</v>
      </c>
      <c r="D2054" s="3" t="str">
        <f>YEAR(Datos_Consumo[[#This Row],[FECHA]])&amp;"-"&amp;MONTH(Datos_Consumo[[#This Row],[FECHA]])</f>
        <v>2018-2</v>
      </c>
    </row>
    <row r="2055" spans="1:4" x14ac:dyDescent="0.25">
      <c r="A2055" t="s">
        <v>2064</v>
      </c>
      <c r="B2055">
        <v>1</v>
      </c>
      <c r="C2055" s="54">
        <v>43070</v>
      </c>
      <c r="D2055" s="3" t="str">
        <f>YEAR(Datos_Consumo[[#This Row],[FECHA]])&amp;"-"&amp;MONTH(Datos_Consumo[[#This Row],[FECHA]])</f>
        <v>2017-12</v>
      </c>
    </row>
    <row r="2056" spans="1:4" x14ac:dyDescent="0.25">
      <c r="A2056" t="s">
        <v>2064</v>
      </c>
      <c r="B2056">
        <v>12</v>
      </c>
      <c r="C2056" s="54">
        <v>43101</v>
      </c>
      <c r="D2056" s="3" t="str">
        <f>YEAR(Datos_Consumo[[#This Row],[FECHA]])&amp;"-"&amp;MONTH(Datos_Consumo[[#This Row],[FECHA]])</f>
        <v>2018-1</v>
      </c>
    </row>
    <row r="2057" spans="1:4" x14ac:dyDescent="0.25">
      <c r="A2057" t="s">
        <v>2064</v>
      </c>
      <c r="B2057">
        <v>28</v>
      </c>
      <c r="C2057" s="54">
        <v>43132</v>
      </c>
      <c r="D2057" s="3" t="str">
        <f>YEAR(Datos_Consumo[[#This Row],[FECHA]])&amp;"-"&amp;MONTH(Datos_Consumo[[#This Row],[FECHA]])</f>
        <v>2018-2</v>
      </c>
    </row>
    <row r="2058" spans="1:4" x14ac:dyDescent="0.25">
      <c r="A2058" t="s">
        <v>2064</v>
      </c>
      <c r="B2058">
        <v>6</v>
      </c>
      <c r="C2058" s="54">
        <v>43160</v>
      </c>
      <c r="D2058" s="3" t="str">
        <f>YEAR(Datos_Consumo[[#This Row],[FECHA]])&amp;"-"&amp;MONTH(Datos_Consumo[[#This Row],[FECHA]])</f>
        <v>2018-3</v>
      </c>
    </row>
    <row r="2059" spans="1:4" x14ac:dyDescent="0.25">
      <c r="A2059" t="s">
        <v>2064</v>
      </c>
      <c r="B2059">
        <v>22</v>
      </c>
      <c r="C2059" s="54">
        <v>43191</v>
      </c>
      <c r="D2059" s="3" t="str">
        <f>YEAR(Datos_Consumo[[#This Row],[FECHA]])&amp;"-"&amp;MONTH(Datos_Consumo[[#This Row],[FECHA]])</f>
        <v>2018-4</v>
      </c>
    </row>
    <row r="2060" spans="1:4" x14ac:dyDescent="0.25">
      <c r="A2060" t="s">
        <v>2064</v>
      </c>
      <c r="B2060">
        <v>1</v>
      </c>
      <c r="C2060" s="54">
        <v>43221</v>
      </c>
      <c r="D2060" s="3" t="str">
        <f>YEAR(Datos_Consumo[[#This Row],[FECHA]])&amp;"-"&amp;MONTH(Datos_Consumo[[#This Row],[FECHA]])</f>
        <v>2018-5</v>
      </c>
    </row>
    <row r="2061" spans="1:4" x14ac:dyDescent="0.25">
      <c r="A2061" t="s">
        <v>2065</v>
      </c>
      <c r="B2061">
        <v>2</v>
      </c>
      <c r="C2061" s="54">
        <v>43070</v>
      </c>
      <c r="D2061" s="3" t="str">
        <f>YEAR(Datos_Consumo[[#This Row],[FECHA]])&amp;"-"&amp;MONTH(Datos_Consumo[[#This Row],[FECHA]])</f>
        <v>2017-12</v>
      </c>
    </row>
    <row r="2062" spans="1:4" x14ac:dyDescent="0.25">
      <c r="A2062" t="s">
        <v>2065</v>
      </c>
      <c r="B2062">
        <v>2</v>
      </c>
      <c r="C2062" s="54">
        <v>43160</v>
      </c>
      <c r="D2062" s="3" t="str">
        <f>YEAR(Datos_Consumo[[#This Row],[FECHA]])&amp;"-"&amp;MONTH(Datos_Consumo[[#This Row],[FECHA]])</f>
        <v>2018-3</v>
      </c>
    </row>
    <row r="2063" spans="1:4" x14ac:dyDescent="0.25">
      <c r="A2063" t="s">
        <v>2065</v>
      </c>
      <c r="B2063">
        <v>1</v>
      </c>
      <c r="C2063" s="54">
        <v>43191</v>
      </c>
      <c r="D2063" s="3" t="str">
        <f>YEAR(Datos_Consumo[[#This Row],[FECHA]])&amp;"-"&amp;MONTH(Datos_Consumo[[#This Row],[FECHA]])</f>
        <v>2018-4</v>
      </c>
    </row>
    <row r="2064" spans="1:4" x14ac:dyDescent="0.25">
      <c r="A2064" t="s">
        <v>2065</v>
      </c>
      <c r="B2064">
        <v>1</v>
      </c>
      <c r="C2064" s="54">
        <v>43221</v>
      </c>
      <c r="D2064" s="3" t="str">
        <f>YEAR(Datos_Consumo[[#This Row],[FECHA]])&amp;"-"&amp;MONTH(Datos_Consumo[[#This Row],[FECHA]])</f>
        <v>2018-5</v>
      </c>
    </row>
    <row r="2065" spans="1:4" x14ac:dyDescent="0.25">
      <c r="A2065" t="s">
        <v>2066</v>
      </c>
      <c r="B2065">
        <v>10</v>
      </c>
      <c r="C2065" s="54">
        <v>43070</v>
      </c>
      <c r="D2065" s="3" t="str">
        <f>YEAR(Datos_Consumo[[#This Row],[FECHA]])&amp;"-"&amp;MONTH(Datos_Consumo[[#This Row],[FECHA]])</f>
        <v>2017-12</v>
      </c>
    </row>
    <row r="2066" spans="1:4" x14ac:dyDescent="0.25">
      <c r="A2066" t="s">
        <v>2066</v>
      </c>
      <c r="B2066">
        <v>1</v>
      </c>
      <c r="C2066" s="54">
        <v>43132</v>
      </c>
      <c r="D2066" s="3" t="str">
        <f>YEAR(Datos_Consumo[[#This Row],[FECHA]])&amp;"-"&amp;MONTH(Datos_Consumo[[#This Row],[FECHA]])</f>
        <v>2018-2</v>
      </c>
    </row>
    <row r="2067" spans="1:4" x14ac:dyDescent="0.25">
      <c r="A2067" t="s">
        <v>2066</v>
      </c>
      <c r="B2067">
        <v>10</v>
      </c>
      <c r="C2067" s="54">
        <v>43191</v>
      </c>
      <c r="D2067" s="3" t="str">
        <f>YEAR(Datos_Consumo[[#This Row],[FECHA]])&amp;"-"&amp;MONTH(Datos_Consumo[[#This Row],[FECHA]])</f>
        <v>2018-4</v>
      </c>
    </row>
    <row r="2068" spans="1:4" x14ac:dyDescent="0.25">
      <c r="A2068" t="s">
        <v>2066</v>
      </c>
      <c r="B2068">
        <v>3</v>
      </c>
      <c r="C2068" s="54">
        <v>43221</v>
      </c>
      <c r="D2068" s="3" t="str">
        <f>YEAR(Datos_Consumo[[#This Row],[FECHA]])&amp;"-"&amp;MONTH(Datos_Consumo[[#This Row],[FECHA]])</f>
        <v>2018-5</v>
      </c>
    </row>
    <row r="2069" spans="1:4" x14ac:dyDescent="0.25">
      <c r="A2069" t="s">
        <v>2067</v>
      </c>
      <c r="B2069">
        <v>5</v>
      </c>
      <c r="C2069" s="54">
        <v>43070</v>
      </c>
      <c r="D2069" s="3" t="str">
        <f>YEAR(Datos_Consumo[[#This Row],[FECHA]])&amp;"-"&amp;MONTH(Datos_Consumo[[#This Row],[FECHA]])</f>
        <v>2017-12</v>
      </c>
    </row>
    <row r="2070" spans="1:4" x14ac:dyDescent="0.25">
      <c r="A2070" t="s">
        <v>2067</v>
      </c>
      <c r="B2070">
        <v>3</v>
      </c>
      <c r="C2070" s="54">
        <v>43101</v>
      </c>
      <c r="D2070" s="3" t="str">
        <f>YEAR(Datos_Consumo[[#This Row],[FECHA]])&amp;"-"&amp;MONTH(Datos_Consumo[[#This Row],[FECHA]])</f>
        <v>2018-1</v>
      </c>
    </row>
    <row r="2071" spans="1:4" x14ac:dyDescent="0.25">
      <c r="A2071" t="s">
        <v>2067</v>
      </c>
      <c r="B2071">
        <v>24</v>
      </c>
      <c r="C2071" s="54">
        <v>43191</v>
      </c>
      <c r="D2071" s="3" t="str">
        <f>YEAR(Datos_Consumo[[#This Row],[FECHA]])&amp;"-"&amp;MONTH(Datos_Consumo[[#This Row],[FECHA]])</f>
        <v>2018-4</v>
      </c>
    </row>
    <row r="2072" spans="1:4" x14ac:dyDescent="0.25">
      <c r="A2072" t="s">
        <v>2067</v>
      </c>
      <c r="B2072">
        <v>9</v>
      </c>
      <c r="C2072" s="54">
        <v>43221</v>
      </c>
      <c r="D2072" s="3" t="str">
        <f>YEAR(Datos_Consumo[[#This Row],[FECHA]])&amp;"-"&amp;MONTH(Datos_Consumo[[#This Row],[FECHA]])</f>
        <v>2018-5</v>
      </c>
    </row>
    <row r="2073" spans="1:4" x14ac:dyDescent="0.25">
      <c r="A2073" t="s">
        <v>2068</v>
      </c>
      <c r="B2073">
        <v>28</v>
      </c>
      <c r="C2073" s="54">
        <v>43070</v>
      </c>
      <c r="D2073" s="3" t="str">
        <f>YEAR(Datos_Consumo[[#This Row],[FECHA]])&amp;"-"&amp;MONTH(Datos_Consumo[[#This Row],[FECHA]])</f>
        <v>2017-12</v>
      </c>
    </row>
    <row r="2074" spans="1:4" x14ac:dyDescent="0.25">
      <c r="A2074" t="s">
        <v>2068</v>
      </c>
      <c r="B2074">
        <v>83</v>
      </c>
      <c r="C2074" s="54">
        <v>43101</v>
      </c>
      <c r="D2074" s="3" t="str">
        <f>YEAR(Datos_Consumo[[#This Row],[FECHA]])&amp;"-"&amp;MONTH(Datos_Consumo[[#This Row],[FECHA]])</f>
        <v>2018-1</v>
      </c>
    </row>
    <row r="2075" spans="1:4" x14ac:dyDescent="0.25">
      <c r="A2075" t="s">
        <v>2068</v>
      </c>
      <c r="B2075">
        <v>20</v>
      </c>
      <c r="C2075" s="54">
        <v>43132</v>
      </c>
      <c r="D2075" s="3" t="str">
        <f>YEAR(Datos_Consumo[[#This Row],[FECHA]])&amp;"-"&amp;MONTH(Datos_Consumo[[#This Row],[FECHA]])</f>
        <v>2018-2</v>
      </c>
    </row>
    <row r="2076" spans="1:4" x14ac:dyDescent="0.25">
      <c r="A2076" t="s">
        <v>2068</v>
      </c>
      <c r="B2076">
        <v>20</v>
      </c>
      <c r="C2076" s="54">
        <v>43160</v>
      </c>
      <c r="D2076" s="3" t="str">
        <f>YEAR(Datos_Consumo[[#This Row],[FECHA]])&amp;"-"&amp;MONTH(Datos_Consumo[[#This Row],[FECHA]])</f>
        <v>2018-3</v>
      </c>
    </row>
    <row r="2077" spans="1:4" x14ac:dyDescent="0.25">
      <c r="A2077" t="s">
        <v>2068</v>
      </c>
      <c r="B2077">
        <v>70</v>
      </c>
      <c r="C2077" s="54">
        <v>43191</v>
      </c>
      <c r="D2077" s="3" t="str">
        <f>YEAR(Datos_Consumo[[#This Row],[FECHA]])&amp;"-"&amp;MONTH(Datos_Consumo[[#This Row],[FECHA]])</f>
        <v>2018-4</v>
      </c>
    </row>
    <row r="2078" spans="1:4" x14ac:dyDescent="0.25">
      <c r="A2078" t="s">
        <v>2069</v>
      </c>
      <c r="B2078">
        <v>3</v>
      </c>
      <c r="C2078" s="54">
        <v>43070</v>
      </c>
      <c r="D2078" s="3" t="str">
        <f>YEAR(Datos_Consumo[[#This Row],[FECHA]])&amp;"-"&amp;MONTH(Datos_Consumo[[#This Row],[FECHA]])</f>
        <v>2017-12</v>
      </c>
    </row>
    <row r="2079" spans="1:4" x14ac:dyDescent="0.25">
      <c r="A2079" t="s">
        <v>2069</v>
      </c>
      <c r="B2079">
        <v>11</v>
      </c>
      <c r="C2079" s="54">
        <v>43101</v>
      </c>
      <c r="D2079" s="3" t="str">
        <f>YEAR(Datos_Consumo[[#This Row],[FECHA]])&amp;"-"&amp;MONTH(Datos_Consumo[[#This Row],[FECHA]])</f>
        <v>2018-1</v>
      </c>
    </row>
    <row r="2080" spans="1:4" x14ac:dyDescent="0.25">
      <c r="A2080" t="s">
        <v>2069</v>
      </c>
      <c r="B2080">
        <v>2</v>
      </c>
      <c r="C2080" s="54">
        <v>43132</v>
      </c>
      <c r="D2080" s="3" t="str">
        <f>YEAR(Datos_Consumo[[#This Row],[FECHA]])&amp;"-"&amp;MONTH(Datos_Consumo[[#This Row],[FECHA]])</f>
        <v>2018-2</v>
      </c>
    </row>
    <row r="2081" spans="1:4" x14ac:dyDescent="0.25">
      <c r="A2081" t="s">
        <v>2069</v>
      </c>
      <c r="B2081">
        <v>12</v>
      </c>
      <c r="C2081" s="54">
        <v>43160</v>
      </c>
      <c r="D2081" s="3" t="str">
        <f>YEAR(Datos_Consumo[[#This Row],[FECHA]])&amp;"-"&amp;MONTH(Datos_Consumo[[#This Row],[FECHA]])</f>
        <v>2018-3</v>
      </c>
    </row>
    <row r="2082" spans="1:4" x14ac:dyDescent="0.25">
      <c r="A2082" t="s">
        <v>2069</v>
      </c>
      <c r="B2082">
        <v>11</v>
      </c>
      <c r="C2082" s="54">
        <v>43191</v>
      </c>
      <c r="D2082" s="3" t="str">
        <f>YEAR(Datos_Consumo[[#This Row],[FECHA]])&amp;"-"&amp;MONTH(Datos_Consumo[[#This Row],[FECHA]])</f>
        <v>2018-4</v>
      </c>
    </row>
    <row r="2083" spans="1:4" x14ac:dyDescent="0.25">
      <c r="A2083" t="s">
        <v>2069</v>
      </c>
      <c r="B2083">
        <v>10</v>
      </c>
      <c r="C2083" s="54">
        <v>43221</v>
      </c>
      <c r="D2083" s="3" t="str">
        <f>YEAR(Datos_Consumo[[#This Row],[FECHA]])&amp;"-"&amp;MONTH(Datos_Consumo[[#This Row],[FECHA]])</f>
        <v>2018-5</v>
      </c>
    </row>
    <row r="2084" spans="1:4" x14ac:dyDescent="0.25">
      <c r="A2084" t="s">
        <v>2070</v>
      </c>
      <c r="B2084">
        <v>47</v>
      </c>
      <c r="C2084" s="54">
        <v>43070</v>
      </c>
      <c r="D2084" s="3" t="str">
        <f>YEAR(Datos_Consumo[[#This Row],[FECHA]])&amp;"-"&amp;MONTH(Datos_Consumo[[#This Row],[FECHA]])</f>
        <v>2017-12</v>
      </c>
    </row>
    <row r="2085" spans="1:4" x14ac:dyDescent="0.25">
      <c r="A2085" t="s">
        <v>2070</v>
      </c>
      <c r="B2085">
        <v>26</v>
      </c>
      <c r="C2085" s="54">
        <v>43101</v>
      </c>
      <c r="D2085" s="3" t="str">
        <f>YEAR(Datos_Consumo[[#This Row],[FECHA]])&amp;"-"&amp;MONTH(Datos_Consumo[[#This Row],[FECHA]])</f>
        <v>2018-1</v>
      </c>
    </row>
    <row r="2086" spans="1:4" x14ac:dyDescent="0.25">
      <c r="A2086" t="s">
        <v>2070</v>
      </c>
      <c r="B2086">
        <v>42</v>
      </c>
      <c r="C2086" s="54">
        <v>43160</v>
      </c>
      <c r="D2086" s="3" t="str">
        <f>YEAR(Datos_Consumo[[#This Row],[FECHA]])&amp;"-"&amp;MONTH(Datos_Consumo[[#This Row],[FECHA]])</f>
        <v>2018-3</v>
      </c>
    </row>
    <row r="2087" spans="1:4" x14ac:dyDescent="0.25">
      <c r="A2087" t="s">
        <v>2070</v>
      </c>
      <c r="B2087">
        <v>1</v>
      </c>
      <c r="C2087" s="54">
        <v>43191</v>
      </c>
      <c r="D2087" s="3" t="str">
        <f>YEAR(Datos_Consumo[[#This Row],[FECHA]])&amp;"-"&amp;MONTH(Datos_Consumo[[#This Row],[FECHA]])</f>
        <v>2018-4</v>
      </c>
    </row>
    <row r="2088" spans="1:4" x14ac:dyDescent="0.25">
      <c r="A2088" t="s">
        <v>2071</v>
      </c>
      <c r="B2088">
        <v>3</v>
      </c>
      <c r="C2088" s="54">
        <v>43070</v>
      </c>
      <c r="D2088" s="3" t="str">
        <f>YEAR(Datos_Consumo[[#This Row],[FECHA]])&amp;"-"&amp;MONTH(Datos_Consumo[[#This Row],[FECHA]])</f>
        <v>2017-12</v>
      </c>
    </row>
    <row r="2089" spans="1:4" x14ac:dyDescent="0.25">
      <c r="A2089" t="s">
        <v>2071</v>
      </c>
      <c r="B2089">
        <v>6</v>
      </c>
      <c r="C2089" s="54">
        <v>43101</v>
      </c>
      <c r="D2089" s="3" t="str">
        <f>YEAR(Datos_Consumo[[#This Row],[FECHA]])&amp;"-"&amp;MONTH(Datos_Consumo[[#This Row],[FECHA]])</f>
        <v>2018-1</v>
      </c>
    </row>
    <row r="2090" spans="1:4" x14ac:dyDescent="0.25">
      <c r="A2090" t="s">
        <v>2071</v>
      </c>
      <c r="B2090">
        <v>2</v>
      </c>
      <c r="C2090" s="54">
        <v>43160</v>
      </c>
      <c r="D2090" s="3" t="str">
        <f>YEAR(Datos_Consumo[[#This Row],[FECHA]])&amp;"-"&amp;MONTH(Datos_Consumo[[#This Row],[FECHA]])</f>
        <v>2018-3</v>
      </c>
    </row>
    <row r="2091" spans="1:4" x14ac:dyDescent="0.25">
      <c r="A2091" t="s">
        <v>2071</v>
      </c>
      <c r="B2091">
        <v>1</v>
      </c>
      <c r="C2091" s="54">
        <v>43191</v>
      </c>
      <c r="D2091" s="3" t="str">
        <f>YEAR(Datos_Consumo[[#This Row],[FECHA]])&amp;"-"&amp;MONTH(Datos_Consumo[[#This Row],[FECHA]])</f>
        <v>2018-4</v>
      </c>
    </row>
    <row r="2092" spans="1:4" x14ac:dyDescent="0.25">
      <c r="A2092" t="s">
        <v>2072</v>
      </c>
      <c r="B2092">
        <v>1</v>
      </c>
      <c r="C2092" s="54">
        <v>43070</v>
      </c>
      <c r="D2092" s="3" t="str">
        <f>YEAR(Datos_Consumo[[#This Row],[FECHA]])&amp;"-"&amp;MONTH(Datos_Consumo[[#This Row],[FECHA]])</f>
        <v>2017-12</v>
      </c>
    </row>
    <row r="2093" spans="1:4" x14ac:dyDescent="0.25">
      <c r="A2093" t="s">
        <v>2072</v>
      </c>
      <c r="B2093">
        <v>5</v>
      </c>
      <c r="C2093" s="54">
        <v>43101</v>
      </c>
      <c r="D2093" s="3" t="str">
        <f>YEAR(Datos_Consumo[[#This Row],[FECHA]])&amp;"-"&amp;MONTH(Datos_Consumo[[#This Row],[FECHA]])</f>
        <v>2018-1</v>
      </c>
    </row>
    <row r="2094" spans="1:4" x14ac:dyDescent="0.25">
      <c r="A2094" t="s">
        <v>2072</v>
      </c>
      <c r="B2094">
        <v>6</v>
      </c>
      <c r="C2094" s="54">
        <v>43132</v>
      </c>
      <c r="D2094" s="3" t="str">
        <f>YEAR(Datos_Consumo[[#This Row],[FECHA]])&amp;"-"&amp;MONTH(Datos_Consumo[[#This Row],[FECHA]])</f>
        <v>2018-2</v>
      </c>
    </row>
    <row r="2095" spans="1:4" x14ac:dyDescent="0.25">
      <c r="A2095" t="s">
        <v>2072</v>
      </c>
      <c r="B2095">
        <v>4</v>
      </c>
      <c r="C2095" s="54">
        <v>43160</v>
      </c>
      <c r="D2095" s="3" t="str">
        <f>YEAR(Datos_Consumo[[#This Row],[FECHA]])&amp;"-"&amp;MONTH(Datos_Consumo[[#This Row],[FECHA]])</f>
        <v>2018-3</v>
      </c>
    </row>
    <row r="2096" spans="1:4" x14ac:dyDescent="0.25">
      <c r="A2096" t="s">
        <v>2072</v>
      </c>
      <c r="B2096">
        <v>11</v>
      </c>
      <c r="C2096" s="54">
        <v>43191</v>
      </c>
      <c r="D2096" s="3" t="str">
        <f>YEAR(Datos_Consumo[[#This Row],[FECHA]])&amp;"-"&amp;MONTH(Datos_Consumo[[#This Row],[FECHA]])</f>
        <v>2018-4</v>
      </c>
    </row>
    <row r="2097" spans="1:4" x14ac:dyDescent="0.25">
      <c r="A2097" t="s">
        <v>2072</v>
      </c>
      <c r="B2097">
        <v>4</v>
      </c>
      <c r="C2097" s="54">
        <v>43221</v>
      </c>
      <c r="D2097" s="3" t="str">
        <f>YEAR(Datos_Consumo[[#This Row],[FECHA]])&amp;"-"&amp;MONTH(Datos_Consumo[[#This Row],[FECHA]])</f>
        <v>2018-5</v>
      </c>
    </row>
    <row r="2098" spans="1:4" x14ac:dyDescent="0.25">
      <c r="A2098" t="s">
        <v>2073</v>
      </c>
      <c r="B2098">
        <v>3</v>
      </c>
      <c r="C2098" s="54">
        <v>43070</v>
      </c>
      <c r="D2098" s="3" t="str">
        <f>YEAR(Datos_Consumo[[#This Row],[FECHA]])&amp;"-"&amp;MONTH(Datos_Consumo[[#This Row],[FECHA]])</f>
        <v>2017-12</v>
      </c>
    </row>
    <row r="2099" spans="1:4" x14ac:dyDescent="0.25">
      <c r="A2099" t="s">
        <v>2073</v>
      </c>
      <c r="B2099">
        <v>3</v>
      </c>
      <c r="C2099" s="54">
        <v>43101</v>
      </c>
      <c r="D2099" s="3" t="str">
        <f>YEAR(Datos_Consumo[[#This Row],[FECHA]])&amp;"-"&amp;MONTH(Datos_Consumo[[#This Row],[FECHA]])</f>
        <v>2018-1</v>
      </c>
    </row>
    <row r="2100" spans="1:4" x14ac:dyDescent="0.25">
      <c r="A2100" t="s">
        <v>2073</v>
      </c>
      <c r="B2100">
        <v>10</v>
      </c>
      <c r="C2100" s="54">
        <v>43132</v>
      </c>
      <c r="D2100" s="3" t="str">
        <f>YEAR(Datos_Consumo[[#This Row],[FECHA]])&amp;"-"&amp;MONTH(Datos_Consumo[[#This Row],[FECHA]])</f>
        <v>2018-2</v>
      </c>
    </row>
    <row r="2101" spans="1:4" x14ac:dyDescent="0.25">
      <c r="A2101" t="s">
        <v>2073</v>
      </c>
      <c r="B2101">
        <v>1</v>
      </c>
      <c r="C2101" s="54">
        <v>43160</v>
      </c>
      <c r="D2101" s="3" t="str">
        <f>YEAR(Datos_Consumo[[#This Row],[FECHA]])&amp;"-"&amp;MONTH(Datos_Consumo[[#This Row],[FECHA]])</f>
        <v>2018-3</v>
      </c>
    </row>
    <row r="2102" spans="1:4" x14ac:dyDescent="0.25">
      <c r="A2102" t="s">
        <v>2073</v>
      </c>
      <c r="B2102">
        <v>1</v>
      </c>
      <c r="C2102" s="54">
        <v>43191</v>
      </c>
      <c r="D2102" s="3" t="str">
        <f>YEAR(Datos_Consumo[[#This Row],[FECHA]])&amp;"-"&amp;MONTH(Datos_Consumo[[#This Row],[FECHA]])</f>
        <v>2018-4</v>
      </c>
    </row>
    <row r="2103" spans="1:4" x14ac:dyDescent="0.25">
      <c r="A2103" t="s">
        <v>2074</v>
      </c>
      <c r="B2103">
        <v>10</v>
      </c>
      <c r="C2103" s="54">
        <v>43070</v>
      </c>
      <c r="D2103" s="3" t="str">
        <f>YEAR(Datos_Consumo[[#This Row],[FECHA]])&amp;"-"&amp;MONTH(Datos_Consumo[[#This Row],[FECHA]])</f>
        <v>2017-12</v>
      </c>
    </row>
    <row r="2104" spans="1:4" x14ac:dyDescent="0.25">
      <c r="A2104" t="s">
        <v>2074</v>
      </c>
      <c r="B2104">
        <v>27</v>
      </c>
      <c r="C2104" s="54">
        <v>43101</v>
      </c>
      <c r="D2104" s="3" t="str">
        <f>YEAR(Datos_Consumo[[#This Row],[FECHA]])&amp;"-"&amp;MONTH(Datos_Consumo[[#This Row],[FECHA]])</f>
        <v>2018-1</v>
      </c>
    </row>
    <row r="2105" spans="1:4" x14ac:dyDescent="0.25">
      <c r="A2105" t="s">
        <v>2074</v>
      </c>
      <c r="B2105">
        <v>1</v>
      </c>
      <c r="C2105" s="54">
        <v>43132</v>
      </c>
      <c r="D2105" s="3" t="str">
        <f>YEAR(Datos_Consumo[[#This Row],[FECHA]])&amp;"-"&amp;MONTH(Datos_Consumo[[#This Row],[FECHA]])</f>
        <v>2018-2</v>
      </c>
    </row>
    <row r="2106" spans="1:4" x14ac:dyDescent="0.25">
      <c r="A2106" t="s">
        <v>2074</v>
      </c>
      <c r="B2106">
        <v>22</v>
      </c>
      <c r="C2106" s="54">
        <v>43160</v>
      </c>
      <c r="D2106" s="3" t="str">
        <f>YEAR(Datos_Consumo[[#This Row],[FECHA]])&amp;"-"&amp;MONTH(Datos_Consumo[[#This Row],[FECHA]])</f>
        <v>2018-3</v>
      </c>
    </row>
    <row r="2107" spans="1:4" x14ac:dyDescent="0.25">
      <c r="A2107" t="s">
        <v>2074</v>
      </c>
      <c r="B2107">
        <v>10</v>
      </c>
      <c r="C2107" s="54">
        <v>43191</v>
      </c>
      <c r="D2107" s="3" t="str">
        <f>YEAR(Datos_Consumo[[#This Row],[FECHA]])&amp;"-"&amp;MONTH(Datos_Consumo[[#This Row],[FECHA]])</f>
        <v>2018-4</v>
      </c>
    </row>
    <row r="2108" spans="1:4" x14ac:dyDescent="0.25">
      <c r="A2108" t="s">
        <v>2074</v>
      </c>
      <c r="B2108">
        <v>6</v>
      </c>
      <c r="C2108" s="54">
        <v>43221</v>
      </c>
      <c r="D2108" s="3" t="str">
        <f>YEAR(Datos_Consumo[[#This Row],[FECHA]])&amp;"-"&amp;MONTH(Datos_Consumo[[#This Row],[FECHA]])</f>
        <v>2018-5</v>
      </c>
    </row>
    <row r="2109" spans="1:4" x14ac:dyDescent="0.25">
      <c r="A2109" t="s">
        <v>2075</v>
      </c>
      <c r="B2109">
        <v>1</v>
      </c>
      <c r="C2109" s="54">
        <v>43070</v>
      </c>
      <c r="D2109" s="3" t="str">
        <f>YEAR(Datos_Consumo[[#This Row],[FECHA]])&amp;"-"&amp;MONTH(Datos_Consumo[[#This Row],[FECHA]])</f>
        <v>2017-12</v>
      </c>
    </row>
    <row r="2110" spans="1:4" x14ac:dyDescent="0.25">
      <c r="A2110" t="s">
        <v>2075</v>
      </c>
      <c r="B2110">
        <v>1</v>
      </c>
      <c r="C2110" s="54">
        <v>43132</v>
      </c>
      <c r="D2110" s="3" t="str">
        <f>YEAR(Datos_Consumo[[#This Row],[FECHA]])&amp;"-"&amp;MONTH(Datos_Consumo[[#This Row],[FECHA]])</f>
        <v>2018-2</v>
      </c>
    </row>
    <row r="2111" spans="1:4" x14ac:dyDescent="0.25">
      <c r="A2111" t="s">
        <v>2075</v>
      </c>
      <c r="B2111">
        <v>3</v>
      </c>
      <c r="C2111" s="54">
        <v>43160</v>
      </c>
      <c r="D2111" s="3" t="str">
        <f>YEAR(Datos_Consumo[[#This Row],[FECHA]])&amp;"-"&amp;MONTH(Datos_Consumo[[#This Row],[FECHA]])</f>
        <v>2018-3</v>
      </c>
    </row>
    <row r="2112" spans="1:4" x14ac:dyDescent="0.25">
      <c r="A2112" t="s">
        <v>2075</v>
      </c>
      <c r="B2112">
        <v>1</v>
      </c>
      <c r="C2112" s="54">
        <v>43191</v>
      </c>
      <c r="D2112" s="3" t="str">
        <f>YEAR(Datos_Consumo[[#This Row],[FECHA]])&amp;"-"&amp;MONTH(Datos_Consumo[[#This Row],[FECHA]])</f>
        <v>2018-4</v>
      </c>
    </row>
    <row r="2113" spans="1:4" x14ac:dyDescent="0.25">
      <c r="A2113" t="s">
        <v>2076</v>
      </c>
      <c r="B2113">
        <v>3</v>
      </c>
      <c r="C2113" s="54">
        <v>43070</v>
      </c>
      <c r="D2113" s="3" t="str">
        <f>YEAR(Datos_Consumo[[#This Row],[FECHA]])&amp;"-"&amp;MONTH(Datos_Consumo[[#This Row],[FECHA]])</f>
        <v>2017-12</v>
      </c>
    </row>
    <row r="2114" spans="1:4" x14ac:dyDescent="0.25">
      <c r="A2114" t="s">
        <v>2076</v>
      </c>
      <c r="B2114">
        <v>9</v>
      </c>
      <c r="C2114" s="54">
        <v>43101</v>
      </c>
      <c r="D2114" s="3" t="str">
        <f>YEAR(Datos_Consumo[[#This Row],[FECHA]])&amp;"-"&amp;MONTH(Datos_Consumo[[#This Row],[FECHA]])</f>
        <v>2018-1</v>
      </c>
    </row>
    <row r="2115" spans="1:4" x14ac:dyDescent="0.25">
      <c r="A2115" t="s">
        <v>2076</v>
      </c>
      <c r="B2115">
        <v>17</v>
      </c>
      <c r="C2115" s="54">
        <v>43132</v>
      </c>
      <c r="D2115" s="3" t="str">
        <f>YEAR(Datos_Consumo[[#This Row],[FECHA]])&amp;"-"&amp;MONTH(Datos_Consumo[[#This Row],[FECHA]])</f>
        <v>2018-2</v>
      </c>
    </row>
    <row r="2116" spans="1:4" x14ac:dyDescent="0.25">
      <c r="A2116" t="s">
        <v>2076</v>
      </c>
      <c r="B2116">
        <v>8</v>
      </c>
      <c r="C2116" s="54">
        <v>43160</v>
      </c>
      <c r="D2116" s="3" t="str">
        <f>YEAR(Datos_Consumo[[#This Row],[FECHA]])&amp;"-"&amp;MONTH(Datos_Consumo[[#This Row],[FECHA]])</f>
        <v>2018-3</v>
      </c>
    </row>
    <row r="2117" spans="1:4" x14ac:dyDescent="0.25">
      <c r="A2117" t="s">
        <v>2076</v>
      </c>
      <c r="B2117">
        <v>10</v>
      </c>
      <c r="C2117" s="54">
        <v>43191</v>
      </c>
      <c r="D2117" s="3" t="str">
        <f>YEAR(Datos_Consumo[[#This Row],[FECHA]])&amp;"-"&amp;MONTH(Datos_Consumo[[#This Row],[FECHA]])</f>
        <v>2018-4</v>
      </c>
    </row>
    <row r="2118" spans="1:4" x14ac:dyDescent="0.25">
      <c r="A2118" t="s">
        <v>2076</v>
      </c>
      <c r="B2118">
        <v>2</v>
      </c>
      <c r="C2118" s="54">
        <v>43221</v>
      </c>
      <c r="D2118" s="3" t="str">
        <f>YEAR(Datos_Consumo[[#This Row],[FECHA]])&amp;"-"&amp;MONTH(Datos_Consumo[[#This Row],[FECHA]])</f>
        <v>2018-5</v>
      </c>
    </row>
    <row r="2119" spans="1:4" x14ac:dyDescent="0.25">
      <c r="A2119" t="s">
        <v>2077</v>
      </c>
      <c r="B2119">
        <v>1</v>
      </c>
      <c r="C2119" s="54">
        <v>43070</v>
      </c>
      <c r="D2119" s="3" t="str">
        <f>YEAR(Datos_Consumo[[#This Row],[FECHA]])&amp;"-"&amp;MONTH(Datos_Consumo[[#This Row],[FECHA]])</f>
        <v>2017-12</v>
      </c>
    </row>
    <row r="2120" spans="1:4" x14ac:dyDescent="0.25">
      <c r="A2120" t="s">
        <v>2077</v>
      </c>
      <c r="B2120">
        <v>2</v>
      </c>
      <c r="C2120" s="54">
        <v>43160</v>
      </c>
      <c r="D2120" s="3" t="str">
        <f>YEAR(Datos_Consumo[[#This Row],[FECHA]])&amp;"-"&amp;MONTH(Datos_Consumo[[#This Row],[FECHA]])</f>
        <v>2018-3</v>
      </c>
    </row>
    <row r="2121" spans="1:4" x14ac:dyDescent="0.25">
      <c r="A2121" t="s">
        <v>2078</v>
      </c>
      <c r="B2121">
        <v>6</v>
      </c>
      <c r="C2121" s="54">
        <v>43070</v>
      </c>
      <c r="D2121" s="3" t="str">
        <f>YEAR(Datos_Consumo[[#This Row],[FECHA]])&amp;"-"&amp;MONTH(Datos_Consumo[[#This Row],[FECHA]])</f>
        <v>2017-12</v>
      </c>
    </row>
    <row r="2122" spans="1:4" x14ac:dyDescent="0.25">
      <c r="A2122" t="s">
        <v>2078</v>
      </c>
      <c r="B2122">
        <v>13</v>
      </c>
      <c r="C2122" s="54">
        <v>43101</v>
      </c>
      <c r="D2122" s="3" t="str">
        <f>YEAR(Datos_Consumo[[#This Row],[FECHA]])&amp;"-"&amp;MONTH(Datos_Consumo[[#This Row],[FECHA]])</f>
        <v>2018-1</v>
      </c>
    </row>
    <row r="2123" spans="1:4" x14ac:dyDescent="0.25">
      <c r="A2123" t="s">
        <v>2078</v>
      </c>
      <c r="B2123">
        <v>4</v>
      </c>
      <c r="C2123" s="54">
        <v>43132</v>
      </c>
      <c r="D2123" s="3" t="str">
        <f>YEAR(Datos_Consumo[[#This Row],[FECHA]])&amp;"-"&amp;MONTH(Datos_Consumo[[#This Row],[FECHA]])</f>
        <v>2018-2</v>
      </c>
    </row>
    <row r="2124" spans="1:4" x14ac:dyDescent="0.25">
      <c r="A2124" t="s">
        <v>2078</v>
      </c>
      <c r="B2124">
        <v>3</v>
      </c>
      <c r="C2124" s="54">
        <v>43191</v>
      </c>
      <c r="D2124" s="3" t="str">
        <f>YEAR(Datos_Consumo[[#This Row],[FECHA]])&amp;"-"&amp;MONTH(Datos_Consumo[[#This Row],[FECHA]])</f>
        <v>2018-4</v>
      </c>
    </row>
    <row r="2125" spans="1:4" x14ac:dyDescent="0.25">
      <c r="A2125" t="s">
        <v>2079</v>
      </c>
      <c r="B2125">
        <v>1</v>
      </c>
      <c r="C2125" s="54">
        <v>43160</v>
      </c>
      <c r="D2125" s="3" t="str">
        <f>YEAR(Datos_Consumo[[#This Row],[FECHA]])&amp;"-"&amp;MONTH(Datos_Consumo[[#This Row],[FECHA]])</f>
        <v>2018-3</v>
      </c>
    </row>
    <row r="2126" spans="1:4" x14ac:dyDescent="0.25">
      <c r="A2126" t="s">
        <v>2079</v>
      </c>
      <c r="B2126">
        <v>2</v>
      </c>
      <c r="C2126" s="54">
        <v>43221</v>
      </c>
      <c r="D2126" s="3" t="str">
        <f>YEAR(Datos_Consumo[[#This Row],[FECHA]])&amp;"-"&amp;MONTH(Datos_Consumo[[#This Row],[FECHA]])</f>
        <v>2018-5</v>
      </c>
    </row>
    <row r="2127" spans="1:4" x14ac:dyDescent="0.25">
      <c r="A2127" t="s">
        <v>2080</v>
      </c>
      <c r="B2127">
        <v>2</v>
      </c>
      <c r="C2127" s="54">
        <v>43070</v>
      </c>
      <c r="D2127" s="3" t="str">
        <f>YEAR(Datos_Consumo[[#This Row],[FECHA]])&amp;"-"&amp;MONTH(Datos_Consumo[[#This Row],[FECHA]])</f>
        <v>2017-12</v>
      </c>
    </row>
    <row r="2128" spans="1:4" x14ac:dyDescent="0.25">
      <c r="A2128" t="s">
        <v>2080</v>
      </c>
      <c r="B2128">
        <v>5</v>
      </c>
      <c r="C2128" s="54">
        <v>43101</v>
      </c>
      <c r="D2128" s="3" t="str">
        <f>YEAR(Datos_Consumo[[#This Row],[FECHA]])&amp;"-"&amp;MONTH(Datos_Consumo[[#This Row],[FECHA]])</f>
        <v>2018-1</v>
      </c>
    </row>
    <row r="2129" spans="1:4" x14ac:dyDescent="0.25">
      <c r="A2129" t="s">
        <v>2080</v>
      </c>
      <c r="B2129">
        <v>4</v>
      </c>
      <c r="C2129" s="54">
        <v>43132</v>
      </c>
      <c r="D2129" s="3" t="str">
        <f>YEAR(Datos_Consumo[[#This Row],[FECHA]])&amp;"-"&amp;MONTH(Datos_Consumo[[#This Row],[FECHA]])</f>
        <v>2018-2</v>
      </c>
    </row>
    <row r="2130" spans="1:4" x14ac:dyDescent="0.25">
      <c r="A2130" t="s">
        <v>2080</v>
      </c>
      <c r="B2130">
        <v>11</v>
      </c>
      <c r="C2130" s="54">
        <v>43191</v>
      </c>
      <c r="D2130" s="3" t="str">
        <f>YEAR(Datos_Consumo[[#This Row],[FECHA]])&amp;"-"&amp;MONTH(Datos_Consumo[[#This Row],[FECHA]])</f>
        <v>2018-4</v>
      </c>
    </row>
    <row r="2131" spans="1:4" x14ac:dyDescent="0.25">
      <c r="A2131" t="s">
        <v>2080</v>
      </c>
      <c r="B2131">
        <v>3</v>
      </c>
      <c r="C2131" s="54">
        <v>43221</v>
      </c>
      <c r="D2131" s="3" t="str">
        <f>YEAR(Datos_Consumo[[#This Row],[FECHA]])&amp;"-"&amp;MONTH(Datos_Consumo[[#This Row],[FECHA]])</f>
        <v>2018-5</v>
      </c>
    </row>
    <row r="2132" spans="1:4" x14ac:dyDescent="0.25">
      <c r="A2132" t="s">
        <v>2081</v>
      </c>
      <c r="B2132">
        <v>9</v>
      </c>
      <c r="C2132" s="54">
        <v>43070</v>
      </c>
      <c r="D2132" s="3" t="str">
        <f>YEAR(Datos_Consumo[[#This Row],[FECHA]])&amp;"-"&amp;MONTH(Datos_Consumo[[#This Row],[FECHA]])</f>
        <v>2017-12</v>
      </c>
    </row>
    <row r="2133" spans="1:4" x14ac:dyDescent="0.25">
      <c r="A2133" t="s">
        <v>2081</v>
      </c>
      <c r="B2133">
        <v>8</v>
      </c>
      <c r="C2133" s="54">
        <v>43101</v>
      </c>
      <c r="D2133" s="3" t="str">
        <f>YEAR(Datos_Consumo[[#This Row],[FECHA]])&amp;"-"&amp;MONTH(Datos_Consumo[[#This Row],[FECHA]])</f>
        <v>2018-1</v>
      </c>
    </row>
    <row r="2134" spans="1:4" x14ac:dyDescent="0.25">
      <c r="A2134" t="s">
        <v>2081</v>
      </c>
      <c r="B2134">
        <v>3</v>
      </c>
      <c r="C2134" s="54">
        <v>43132</v>
      </c>
      <c r="D2134" s="3" t="str">
        <f>YEAR(Datos_Consumo[[#This Row],[FECHA]])&amp;"-"&amp;MONTH(Datos_Consumo[[#This Row],[FECHA]])</f>
        <v>2018-2</v>
      </c>
    </row>
    <row r="2135" spans="1:4" x14ac:dyDescent="0.25">
      <c r="A2135" t="s">
        <v>2081</v>
      </c>
      <c r="B2135">
        <v>24</v>
      </c>
      <c r="C2135" s="54">
        <v>43160</v>
      </c>
      <c r="D2135" s="3" t="str">
        <f>YEAR(Datos_Consumo[[#This Row],[FECHA]])&amp;"-"&amp;MONTH(Datos_Consumo[[#This Row],[FECHA]])</f>
        <v>2018-3</v>
      </c>
    </row>
    <row r="2136" spans="1:4" x14ac:dyDescent="0.25">
      <c r="A2136" t="s">
        <v>2081</v>
      </c>
      <c r="B2136">
        <v>11</v>
      </c>
      <c r="C2136" s="54">
        <v>43191</v>
      </c>
      <c r="D2136" s="3" t="str">
        <f>YEAR(Datos_Consumo[[#This Row],[FECHA]])&amp;"-"&amp;MONTH(Datos_Consumo[[#This Row],[FECHA]])</f>
        <v>2018-4</v>
      </c>
    </row>
    <row r="2137" spans="1:4" x14ac:dyDescent="0.25">
      <c r="A2137" t="s">
        <v>2081</v>
      </c>
      <c r="B2137">
        <v>4</v>
      </c>
      <c r="C2137" s="54">
        <v>43221</v>
      </c>
      <c r="D2137" s="3" t="str">
        <f>YEAR(Datos_Consumo[[#This Row],[FECHA]])&amp;"-"&amp;MONTH(Datos_Consumo[[#This Row],[FECHA]])</f>
        <v>2018-5</v>
      </c>
    </row>
    <row r="2138" spans="1:4" x14ac:dyDescent="0.25">
      <c r="A2138" t="s">
        <v>2082</v>
      </c>
      <c r="B2138">
        <v>1</v>
      </c>
      <c r="C2138" s="54">
        <v>43070</v>
      </c>
      <c r="D2138" s="3" t="str">
        <f>YEAR(Datos_Consumo[[#This Row],[FECHA]])&amp;"-"&amp;MONTH(Datos_Consumo[[#This Row],[FECHA]])</f>
        <v>2017-12</v>
      </c>
    </row>
    <row r="2139" spans="1:4" x14ac:dyDescent="0.25">
      <c r="A2139" t="s">
        <v>2082</v>
      </c>
      <c r="B2139">
        <v>2</v>
      </c>
      <c r="C2139" s="54">
        <v>43101</v>
      </c>
      <c r="D2139" s="3" t="str">
        <f>YEAR(Datos_Consumo[[#This Row],[FECHA]])&amp;"-"&amp;MONTH(Datos_Consumo[[#This Row],[FECHA]])</f>
        <v>2018-1</v>
      </c>
    </row>
    <row r="2140" spans="1:4" x14ac:dyDescent="0.25">
      <c r="A2140" t="s">
        <v>2082</v>
      </c>
      <c r="B2140">
        <v>1</v>
      </c>
      <c r="C2140" s="54">
        <v>43132</v>
      </c>
      <c r="D2140" s="3" t="str">
        <f>YEAR(Datos_Consumo[[#This Row],[FECHA]])&amp;"-"&amp;MONTH(Datos_Consumo[[#This Row],[FECHA]])</f>
        <v>2018-2</v>
      </c>
    </row>
    <row r="2141" spans="1:4" x14ac:dyDescent="0.25">
      <c r="A2141" t="s">
        <v>2082</v>
      </c>
      <c r="B2141">
        <v>1</v>
      </c>
      <c r="C2141" s="54">
        <v>43160</v>
      </c>
      <c r="D2141" s="3" t="str">
        <f>YEAR(Datos_Consumo[[#This Row],[FECHA]])&amp;"-"&amp;MONTH(Datos_Consumo[[#This Row],[FECHA]])</f>
        <v>2018-3</v>
      </c>
    </row>
    <row r="2142" spans="1:4" x14ac:dyDescent="0.25">
      <c r="A2142" t="s">
        <v>2083</v>
      </c>
      <c r="B2142">
        <v>2</v>
      </c>
      <c r="C2142" s="54">
        <v>43070</v>
      </c>
      <c r="D2142" s="3" t="str">
        <f>YEAR(Datos_Consumo[[#This Row],[FECHA]])&amp;"-"&amp;MONTH(Datos_Consumo[[#This Row],[FECHA]])</f>
        <v>2017-12</v>
      </c>
    </row>
    <row r="2143" spans="1:4" x14ac:dyDescent="0.25">
      <c r="A2143" t="s">
        <v>2083</v>
      </c>
      <c r="B2143">
        <v>2</v>
      </c>
      <c r="C2143" s="54">
        <v>43101</v>
      </c>
      <c r="D2143" s="3" t="str">
        <f>YEAR(Datos_Consumo[[#This Row],[FECHA]])&amp;"-"&amp;MONTH(Datos_Consumo[[#This Row],[FECHA]])</f>
        <v>2018-1</v>
      </c>
    </row>
    <row r="2144" spans="1:4" x14ac:dyDescent="0.25">
      <c r="A2144" t="s">
        <v>2084</v>
      </c>
      <c r="B2144">
        <v>5</v>
      </c>
      <c r="C2144" s="54">
        <v>43101</v>
      </c>
      <c r="D2144" s="3" t="str">
        <f>YEAR(Datos_Consumo[[#This Row],[FECHA]])&amp;"-"&amp;MONTH(Datos_Consumo[[#This Row],[FECHA]])</f>
        <v>2018-1</v>
      </c>
    </row>
    <row r="2145" spans="1:4" x14ac:dyDescent="0.25">
      <c r="A2145" t="s">
        <v>2085</v>
      </c>
      <c r="B2145">
        <v>1</v>
      </c>
      <c r="C2145" s="54">
        <v>43070</v>
      </c>
      <c r="D2145" s="3" t="str">
        <f>YEAR(Datos_Consumo[[#This Row],[FECHA]])&amp;"-"&amp;MONTH(Datos_Consumo[[#This Row],[FECHA]])</f>
        <v>2017-12</v>
      </c>
    </row>
    <row r="2146" spans="1:4" x14ac:dyDescent="0.25">
      <c r="A2146" t="s">
        <v>2085</v>
      </c>
      <c r="B2146">
        <v>1</v>
      </c>
      <c r="C2146" s="54">
        <v>43191</v>
      </c>
      <c r="D2146" s="3" t="str">
        <f>YEAR(Datos_Consumo[[#This Row],[FECHA]])&amp;"-"&amp;MONTH(Datos_Consumo[[#This Row],[FECHA]])</f>
        <v>2018-4</v>
      </c>
    </row>
    <row r="2147" spans="1:4" x14ac:dyDescent="0.25">
      <c r="A2147" t="s">
        <v>2086</v>
      </c>
      <c r="B2147">
        <v>2</v>
      </c>
      <c r="C2147" s="54">
        <v>43101</v>
      </c>
      <c r="D2147" s="3" t="str">
        <f>YEAR(Datos_Consumo[[#This Row],[FECHA]])&amp;"-"&amp;MONTH(Datos_Consumo[[#This Row],[FECHA]])</f>
        <v>2018-1</v>
      </c>
    </row>
    <row r="2148" spans="1:4" x14ac:dyDescent="0.25">
      <c r="A2148" t="s">
        <v>2087</v>
      </c>
      <c r="B2148">
        <v>4</v>
      </c>
      <c r="C2148" s="54">
        <v>43101</v>
      </c>
      <c r="D2148" s="3" t="str">
        <f>YEAR(Datos_Consumo[[#This Row],[FECHA]])&amp;"-"&amp;MONTH(Datos_Consumo[[#This Row],[FECHA]])</f>
        <v>2018-1</v>
      </c>
    </row>
    <row r="2149" spans="1:4" x14ac:dyDescent="0.25">
      <c r="A2149" t="s">
        <v>2087</v>
      </c>
      <c r="B2149">
        <v>3</v>
      </c>
      <c r="C2149" s="54">
        <v>43221</v>
      </c>
      <c r="D2149" s="3" t="str">
        <f>YEAR(Datos_Consumo[[#This Row],[FECHA]])&amp;"-"&amp;MONTH(Datos_Consumo[[#This Row],[FECHA]])</f>
        <v>2018-5</v>
      </c>
    </row>
    <row r="2150" spans="1:4" x14ac:dyDescent="0.25">
      <c r="A2150" t="s">
        <v>2088</v>
      </c>
      <c r="B2150">
        <v>1</v>
      </c>
      <c r="C2150" s="54">
        <v>43101</v>
      </c>
      <c r="D2150" s="3" t="str">
        <f>YEAR(Datos_Consumo[[#This Row],[FECHA]])&amp;"-"&amp;MONTH(Datos_Consumo[[#This Row],[FECHA]])</f>
        <v>2018-1</v>
      </c>
    </row>
    <row r="2151" spans="1:4" x14ac:dyDescent="0.25">
      <c r="A2151" t="s">
        <v>2088</v>
      </c>
      <c r="B2151">
        <v>1</v>
      </c>
      <c r="C2151" s="54">
        <v>43160</v>
      </c>
      <c r="D2151" s="3" t="str">
        <f>YEAR(Datos_Consumo[[#This Row],[FECHA]])&amp;"-"&amp;MONTH(Datos_Consumo[[#This Row],[FECHA]])</f>
        <v>2018-3</v>
      </c>
    </row>
    <row r="2152" spans="1:4" x14ac:dyDescent="0.25">
      <c r="A2152" t="s">
        <v>2089</v>
      </c>
      <c r="B2152">
        <v>1</v>
      </c>
      <c r="C2152" s="54">
        <v>43101</v>
      </c>
      <c r="D2152" s="3" t="str">
        <f>YEAR(Datos_Consumo[[#This Row],[FECHA]])&amp;"-"&amp;MONTH(Datos_Consumo[[#This Row],[FECHA]])</f>
        <v>2018-1</v>
      </c>
    </row>
    <row r="2153" spans="1:4" x14ac:dyDescent="0.25">
      <c r="A2153" t="s">
        <v>2089</v>
      </c>
      <c r="B2153">
        <v>2</v>
      </c>
      <c r="C2153" s="54">
        <v>43160</v>
      </c>
      <c r="D2153" s="3" t="str">
        <f>YEAR(Datos_Consumo[[#This Row],[FECHA]])&amp;"-"&amp;MONTH(Datos_Consumo[[#This Row],[FECHA]])</f>
        <v>2018-3</v>
      </c>
    </row>
    <row r="2154" spans="1:4" x14ac:dyDescent="0.25">
      <c r="A2154" t="s">
        <v>2090</v>
      </c>
      <c r="B2154">
        <v>6</v>
      </c>
      <c r="C2154" s="54">
        <v>43101</v>
      </c>
      <c r="D2154" s="3" t="str">
        <f>YEAR(Datos_Consumo[[#This Row],[FECHA]])&amp;"-"&amp;MONTH(Datos_Consumo[[#This Row],[FECHA]])</f>
        <v>2018-1</v>
      </c>
    </row>
    <row r="2155" spans="1:4" x14ac:dyDescent="0.25">
      <c r="A2155" t="s">
        <v>2090</v>
      </c>
      <c r="B2155">
        <v>7</v>
      </c>
      <c r="C2155" s="54">
        <v>43132</v>
      </c>
      <c r="D2155" s="3" t="str">
        <f>YEAR(Datos_Consumo[[#This Row],[FECHA]])&amp;"-"&amp;MONTH(Datos_Consumo[[#This Row],[FECHA]])</f>
        <v>2018-2</v>
      </c>
    </row>
    <row r="2156" spans="1:4" x14ac:dyDescent="0.25">
      <c r="A2156" t="s">
        <v>2090</v>
      </c>
      <c r="B2156">
        <v>10</v>
      </c>
      <c r="C2156" s="54">
        <v>43160</v>
      </c>
      <c r="D2156" s="3" t="str">
        <f>YEAR(Datos_Consumo[[#This Row],[FECHA]])&amp;"-"&amp;MONTH(Datos_Consumo[[#This Row],[FECHA]])</f>
        <v>2018-3</v>
      </c>
    </row>
    <row r="2157" spans="1:4" x14ac:dyDescent="0.25">
      <c r="A2157" t="s">
        <v>2090</v>
      </c>
      <c r="B2157">
        <v>3</v>
      </c>
      <c r="C2157" s="54">
        <v>43191</v>
      </c>
      <c r="D2157" s="3" t="str">
        <f>YEAR(Datos_Consumo[[#This Row],[FECHA]])&amp;"-"&amp;MONTH(Datos_Consumo[[#This Row],[FECHA]])</f>
        <v>2018-4</v>
      </c>
    </row>
    <row r="2158" spans="1:4" x14ac:dyDescent="0.25">
      <c r="A2158" t="s">
        <v>2091</v>
      </c>
      <c r="B2158">
        <v>8</v>
      </c>
      <c r="C2158" s="54">
        <v>43070</v>
      </c>
      <c r="D2158" s="3" t="str">
        <f>YEAR(Datos_Consumo[[#This Row],[FECHA]])&amp;"-"&amp;MONTH(Datos_Consumo[[#This Row],[FECHA]])</f>
        <v>2017-12</v>
      </c>
    </row>
    <row r="2159" spans="1:4" x14ac:dyDescent="0.25">
      <c r="A2159" t="s">
        <v>2091</v>
      </c>
      <c r="B2159">
        <v>5</v>
      </c>
      <c r="C2159" s="54">
        <v>43101</v>
      </c>
      <c r="D2159" s="3" t="str">
        <f>YEAR(Datos_Consumo[[#This Row],[FECHA]])&amp;"-"&amp;MONTH(Datos_Consumo[[#This Row],[FECHA]])</f>
        <v>2018-1</v>
      </c>
    </row>
    <row r="2160" spans="1:4" x14ac:dyDescent="0.25">
      <c r="A2160" t="s">
        <v>2091</v>
      </c>
      <c r="B2160">
        <v>2</v>
      </c>
      <c r="C2160" s="54">
        <v>43132</v>
      </c>
      <c r="D2160" s="3" t="str">
        <f>YEAR(Datos_Consumo[[#This Row],[FECHA]])&amp;"-"&amp;MONTH(Datos_Consumo[[#This Row],[FECHA]])</f>
        <v>2018-2</v>
      </c>
    </row>
    <row r="2161" spans="1:4" x14ac:dyDescent="0.25">
      <c r="A2161" t="s">
        <v>2091</v>
      </c>
      <c r="B2161">
        <v>6</v>
      </c>
      <c r="C2161" s="54">
        <v>43160</v>
      </c>
      <c r="D2161" s="3" t="str">
        <f>YEAR(Datos_Consumo[[#This Row],[FECHA]])&amp;"-"&amp;MONTH(Datos_Consumo[[#This Row],[FECHA]])</f>
        <v>2018-3</v>
      </c>
    </row>
    <row r="2162" spans="1:4" x14ac:dyDescent="0.25">
      <c r="A2162" t="s">
        <v>2091</v>
      </c>
      <c r="B2162">
        <v>21</v>
      </c>
      <c r="C2162" s="54">
        <v>43191</v>
      </c>
      <c r="D2162" s="3" t="str">
        <f>YEAR(Datos_Consumo[[#This Row],[FECHA]])&amp;"-"&amp;MONTH(Datos_Consumo[[#This Row],[FECHA]])</f>
        <v>2018-4</v>
      </c>
    </row>
    <row r="2163" spans="1:4" x14ac:dyDescent="0.25">
      <c r="A2163" t="s">
        <v>2092</v>
      </c>
      <c r="B2163">
        <v>1</v>
      </c>
      <c r="C2163" s="54">
        <v>43132</v>
      </c>
      <c r="D2163" s="3" t="str">
        <f>YEAR(Datos_Consumo[[#This Row],[FECHA]])&amp;"-"&amp;MONTH(Datos_Consumo[[#This Row],[FECHA]])</f>
        <v>2018-2</v>
      </c>
    </row>
    <row r="2164" spans="1:4" x14ac:dyDescent="0.25">
      <c r="A2164" t="s">
        <v>2092</v>
      </c>
      <c r="B2164">
        <v>1</v>
      </c>
      <c r="C2164" s="54">
        <v>43191</v>
      </c>
      <c r="D2164" s="3" t="str">
        <f>YEAR(Datos_Consumo[[#This Row],[FECHA]])&amp;"-"&amp;MONTH(Datos_Consumo[[#This Row],[FECHA]])</f>
        <v>2018-4</v>
      </c>
    </row>
    <row r="2165" spans="1:4" x14ac:dyDescent="0.25">
      <c r="A2165" t="s">
        <v>2093</v>
      </c>
      <c r="B2165">
        <v>1</v>
      </c>
      <c r="C2165" s="54">
        <v>43101</v>
      </c>
      <c r="D2165" s="3" t="str">
        <f>YEAR(Datos_Consumo[[#This Row],[FECHA]])&amp;"-"&amp;MONTH(Datos_Consumo[[#This Row],[FECHA]])</f>
        <v>2018-1</v>
      </c>
    </row>
    <row r="2166" spans="1:4" x14ac:dyDescent="0.25">
      <c r="A2166" t="s">
        <v>2094</v>
      </c>
      <c r="B2166">
        <v>14</v>
      </c>
      <c r="C2166" s="54">
        <v>43070</v>
      </c>
      <c r="D2166" s="3" t="str">
        <f>YEAR(Datos_Consumo[[#This Row],[FECHA]])&amp;"-"&amp;MONTH(Datos_Consumo[[#This Row],[FECHA]])</f>
        <v>2017-12</v>
      </c>
    </row>
    <row r="2167" spans="1:4" x14ac:dyDescent="0.25">
      <c r="A2167" t="s">
        <v>2094</v>
      </c>
      <c r="B2167">
        <v>2</v>
      </c>
      <c r="C2167" s="54">
        <v>43101</v>
      </c>
      <c r="D2167" s="3" t="str">
        <f>YEAR(Datos_Consumo[[#This Row],[FECHA]])&amp;"-"&amp;MONTH(Datos_Consumo[[#This Row],[FECHA]])</f>
        <v>2018-1</v>
      </c>
    </row>
    <row r="2168" spans="1:4" x14ac:dyDescent="0.25">
      <c r="A2168" t="s">
        <v>2094</v>
      </c>
      <c r="B2168">
        <v>2</v>
      </c>
      <c r="C2168" s="54">
        <v>43132</v>
      </c>
      <c r="D2168" s="3" t="str">
        <f>YEAR(Datos_Consumo[[#This Row],[FECHA]])&amp;"-"&amp;MONTH(Datos_Consumo[[#This Row],[FECHA]])</f>
        <v>2018-2</v>
      </c>
    </row>
    <row r="2169" spans="1:4" x14ac:dyDescent="0.25">
      <c r="A2169" t="s">
        <v>2094</v>
      </c>
      <c r="B2169">
        <v>8</v>
      </c>
      <c r="C2169" s="54">
        <v>43160</v>
      </c>
      <c r="D2169" s="3" t="str">
        <f>YEAR(Datos_Consumo[[#This Row],[FECHA]])&amp;"-"&amp;MONTH(Datos_Consumo[[#This Row],[FECHA]])</f>
        <v>2018-3</v>
      </c>
    </row>
    <row r="2170" spans="1:4" x14ac:dyDescent="0.25">
      <c r="A2170" t="s">
        <v>2094</v>
      </c>
      <c r="B2170">
        <v>10</v>
      </c>
      <c r="C2170" s="54">
        <v>43191</v>
      </c>
      <c r="D2170" s="3" t="str">
        <f>YEAR(Datos_Consumo[[#This Row],[FECHA]])&amp;"-"&amp;MONTH(Datos_Consumo[[#This Row],[FECHA]])</f>
        <v>2018-4</v>
      </c>
    </row>
    <row r="2171" spans="1:4" x14ac:dyDescent="0.25">
      <c r="A2171" t="s">
        <v>2094</v>
      </c>
      <c r="B2171">
        <v>2</v>
      </c>
      <c r="C2171" s="54">
        <v>43221</v>
      </c>
      <c r="D2171" s="3" t="str">
        <f>YEAR(Datos_Consumo[[#This Row],[FECHA]])&amp;"-"&amp;MONTH(Datos_Consumo[[#This Row],[FECHA]])</f>
        <v>2018-5</v>
      </c>
    </row>
    <row r="2172" spans="1:4" x14ac:dyDescent="0.25">
      <c r="A2172" t="s">
        <v>2095</v>
      </c>
      <c r="B2172">
        <v>2</v>
      </c>
      <c r="C2172" s="54">
        <v>43070</v>
      </c>
      <c r="D2172" s="3" t="str">
        <f>YEAR(Datos_Consumo[[#This Row],[FECHA]])&amp;"-"&amp;MONTH(Datos_Consumo[[#This Row],[FECHA]])</f>
        <v>2017-12</v>
      </c>
    </row>
    <row r="2173" spans="1:4" x14ac:dyDescent="0.25">
      <c r="A2173" t="s">
        <v>2095</v>
      </c>
      <c r="B2173">
        <v>3</v>
      </c>
      <c r="C2173" s="54">
        <v>43101</v>
      </c>
      <c r="D2173" s="3" t="str">
        <f>YEAR(Datos_Consumo[[#This Row],[FECHA]])&amp;"-"&amp;MONTH(Datos_Consumo[[#This Row],[FECHA]])</f>
        <v>2018-1</v>
      </c>
    </row>
    <row r="2174" spans="1:4" x14ac:dyDescent="0.25">
      <c r="A2174" t="s">
        <v>2095</v>
      </c>
      <c r="B2174">
        <v>3</v>
      </c>
      <c r="C2174" s="54">
        <v>43191</v>
      </c>
      <c r="D2174" s="3" t="str">
        <f>YEAR(Datos_Consumo[[#This Row],[FECHA]])&amp;"-"&amp;MONTH(Datos_Consumo[[#This Row],[FECHA]])</f>
        <v>2018-4</v>
      </c>
    </row>
    <row r="2175" spans="1:4" x14ac:dyDescent="0.25">
      <c r="A2175" t="s">
        <v>2096</v>
      </c>
      <c r="B2175">
        <v>1</v>
      </c>
      <c r="C2175" s="54">
        <v>43101</v>
      </c>
      <c r="D2175" s="3" t="str">
        <f>YEAR(Datos_Consumo[[#This Row],[FECHA]])&amp;"-"&amp;MONTH(Datos_Consumo[[#This Row],[FECHA]])</f>
        <v>2018-1</v>
      </c>
    </row>
    <row r="2176" spans="1:4" x14ac:dyDescent="0.25">
      <c r="A2176" t="s">
        <v>2096</v>
      </c>
      <c r="B2176">
        <v>2</v>
      </c>
      <c r="C2176" s="54">
        <v>43191</v>
      </c>
      <c r="D2176" s="3" t="str">
        <f>YEAR(Datos_Consumo[[#This Row],[FECHA]])&amp;"-"&amp;MONTH(Datos_Consumo[[#This Row],[FECHA]])</f>
        <v>2018-4</v>
      </c>
    </row>
    <row r="2177" spans="1:4" x14ac:dyDescent="0.25">
      <c r="A2177" t="s">
        <v>2097</v>
      </c>
      <c r="B2177">
        <v>1</v>
      </c>
      <c r="C2177" s="54">
        <v>43101</v>
      </c>
      <c r="D2177" s="3" t="str">
        <f>YEAR(Datos_Consumo[[#This Row],[FECHA]])&amp;"-"&amp;MONTH(Datos_Consumo[[#This Row],[FECHA]])</f>
        <v>2018-1</v>
      </c>
    </row>
    <row r="2178" spans="1:4" x14ac:dyDescent="0.25">
      <c r="A2178" t="s">
        <v>2097</v>
      </c>
      <c r="B2178">
        <v>2</v>
      </c>
      <c r="C2178" s="54">
        <v>43132</v>
      </c>
      <c r="D2178" s="3" t="str">
        <f>YEAR(Datos_Consumo[[#This Row],[FECHA]])&amp;"-"&amp;MONTH(Datos_Consumo[[#This Row],[FECHA]])</f>
        <v>2018-2</v>
      </c>
    </row>
    <row r="2179" spans="1:4" x14ac:dyDescent="0.25">
      <c r="A2179" t="s">
        <v>2097</v>
      </c>
      <c r="B2179">
        <v>1</v>
      </c>
      <c r="C2179" s="54">
        <v>43160</v>
      </c>
      <c r="D2179" s="3" t="str">
        <f>YEAR(Datos_Consumo[[#This Row],[FECHA]])&amp;"-"&amp;MONTH(Datos_Consumo[[#This Row],[FECHA]])</f>
        <v>2018-3</v>
      </c>
    </row>
    <row r="2180" spans="1:4" x14ac:dyDescent="0.25">
      <c r="A2180" t="s">
        <v>2097</v>
      </c>
      <c r="B2180">
        <v>2</v>
      </c>
      <c r="C2180" s="54">
        <v>43191</v>
      </c>
      <c r="D2180" s="3" t="str">
        <f>YEAR(Datos_Consumo[[#This Row],[FECHA]])&amp;"-"&amp;MONTH(Datos_Consumo[[#This Row],[FECHA]])</f>
        <v>2018-4</v>
      </c>
    </row>
    <row r="2181" spans="1:4" x14ac:dyDescent="0.25">
      <c r="A2181" t="s">
        <v>2098</v>
      </c>
      <c r="B2181">
        <v>10</v>
      </c>
      <c r="C2181" s="54">
        <v>43070</v>
      </c>
      <c r="D2181" s="3" t="str">
        <f>YEAR(Datos_Consumo[[#This Row],[FECHA]])&amp;"-"&amp;MONTH(Datos_Consumo[[#This Row],[FECHA]])</f>
        <v>2017-12</v>
      </c>
    </row>
    <row r="2182" spans="1:4" x14ac:dyDescent="0.25">
      <c r="A2182" t="s">
        <v>2098</v>
      </c>
      <c r="B2182">
        <v>15</v>
      </c>
      <c r="C2182" s="54">
        <v>43101</v>
      </c>
      <c r="D2182" s="3" t="str">
        <f>YEAR(Datos_Consumo[[#This Row],[FECHA]])&amp;"-"&amp;MONTH(Datos_Consumo[[#This Row],[FECHA]])</f>
        <v>2018-1</v>
      </c>
    </row>
    <row r="2183" spans="1:4" x14ac:dyDescent="0.25">
      <c r="A2183" t="s">
        <v>2098</v>
      </c>
      <c r="B2183">
        <v>8</v>
      </c>
      <c r="C2183" s="54">
        <v>43160</v>
      </c>
      <c r="D2183" s="3" t="str">
        <f>YEAR(Datos_Consumo[[#This Row],[FECHA]])&amp;"-"&amp;MONTH(Datos_Consumo[[#This Row],[FECHA]])</f>
        <v>2018-3</v>
      </c>
    </row>
    <row r="2184" spans="1:4" x14ac:dyDescent="0.25">
      <c r="A2184" t="s">
        <v>2098</v>
      </c>
      <c r="B2184">
        <v>6</v>
      </c>
      <c r="C2184" s="54">
        <v>43191</v>
      </c>
      <c r="D2184" s="3" t="str">
        <f>YEAR(Datos_Consumo[[#This Row],[FECHA]])&amp;"-"&amp;MONTH(Datos_Consumo[[#This Row],[FECHA]])</f>
        <v>2018-4</v>
      </c>
    </row>
    <row r="2185" spans="1:4" x14ac:dyDescent="0.25">
      <c r="A2185" t="s">
        <v>2099</v>
      </c>
      <c r="B2185">
        <v>27</v>
      </c>
      <c r="C2185" s="54">
        <v>43070</v>
      </c>
      <c r="D2185" s="3" t="str">
        <f>YEAR(Datos_Consumo[[#This Row],[FECHA]])&amp;"-"&amp;MONTH(Datos_Consumo[[#This Row],[FECHA]])</f>
        <v>2017-12</v>
      </c>
    </row>
    <row r="2186" spans="1:4" x14ac:dyDescent="0.25">
      <c r="A2186" t="s">
        <v>2099</v>
      </c>
      <c r="B2186">
        <v>18</v>
      </c>
      <c r="C2186" s="54">
        <v>43101</v>
      </c>
      <c r="D2186" s="3" t="str">
        <f>YEAR(Datos_Consumo[[#This Row],[FECHA]])&amp;"-"&amp;MONTH(Datos_Consumo[[#This Row],[FECHA]])</f>
        <v>2018-1</v>
      </c>
    </row>
    <row r="2187" spans="1:4" x14ac:dyDescent="0.25">
      <c r="A2187" t="s">
        <v>2099</v>
      </c>
      <c r="B2187">
        <v>20</v>
      </c>
      <c r="C2187" s="54">
        <v>43132</v>
      </c>
      <c r="D2187" s="3" t="str">
        <f>YEAR(Datos_Consumo[[#This Row],[FECHA]])&amp;"-"&amp;MONTH(Datos_Consumo[[#This Row],[FECHA]])</f>
        <v>2018-2</v>
      </c>
    </row>
    <row r="2188" spans="1:4" x14ac:dyDescent="0.25">
      <c r="A2188" t="s">
        <v>2099</v>
      </c>
      <c r="B2188">
        <v>17</v>
      </c>
      <c r="C2188" s="54">
        <v>43160</v>
      </c>
      <c r="D2188" s="3" t="str">
        <f>YEAR(Datos_Consumo[[#This Row],[FECHA]])&amp;"-"&amp;MONTH(Datos_Consumo[[#This Row],[FECHA]])</f>
        <v>2018-3</v>
      </c>
    </row>
    <row r="2189" spans="1:4" x14ac:dyDescent="0.25">
      <c r="A2189" t="s">
        <v>2099</v>
      </c>
      <c r="B2189">
        <v>30</v>
      </c>
      <c r="C2189" s="54">
        <v>43191</v>
      </c>
      <c r="D2189" s="3" t="str">
        <f>YEAR(Datos_Consumo[[#This Row],[FECHA]])&amp;"-"&amp;MONTH(Datos_Consumo[[#This Row],[FECHA]])</f>
        <v>2018-4</v>
      </c>
    </row>
    <row r="2190" spans="1:4" x14ac:dyDescent="0.25">
      <c r="A2190" t="s">
        <v>2099</v>
      </c>
      <c r="B2190">
        <v>10</v>
      </c>
      <c r="C2190" s="54">
        <v>43221</v>
      </c>
      <c r="D2190" s="3" t="str">
        <f>YEAR(Datos_Consumo[[#This Row],[FECHA]])&amp;"-"&amp;MONTH(Datos_Consumo[[#This Row],[FECHA]])</f>
        <v>2018-5</v>
      </c>
    </row>
    <row r="2191" spans="1:4" x14ac:dyDescent="0.25">
      <c r="A2191" t="s">
        <v>2100</v>
      </c>
      <c r="B2191">
        <v>1</v>
      </c>
      <c r="C2191" s="54">
        <v>43191</v>
      </c>
      <c r="D2191" s="3" t="str">
        <f>YEAR(Datos_Consumo[[#This Row],[FECHA]])&amp;"-"&amp;MONTH(Datos_Consumo[[#This Row],[FECHA]])</f>
        <v>2018-4</v>
      </c>
    </row>
    <row r="2192" spans="1:4" x14ac:dyDescent="0.25">
      <c r="A2192" t="s">
        <v>2101</v>
      </c>
      <c r="B2192">
        <v>1</v>
      </c>
      <c r="C2192" s="54">
        <v>43101</v>
      </c>
      <c r="D2192" s="3" t="str">
        <f>YEAR(Datos_Consumo[[#This Row],[FECHA]])&amp;"-"&amp;MONTH(Datos_Consumo[[#This Row],[FECHA]])</f>
        <v>2018-1</v>
      </c>
    </row>
    <row r="2193" spans="1:4" x14ac:dyDescent="0.25">
      <c r="A2193" t="s">
        <v>2101</v>
      </c>
      <c r="B2193">
        <v>2</v>
      </c>
      <c r="C2193" s="54">
        <v>43132</v>
      </c>
      <c r="D2193" s="3" t="str">
        <f>YEAR(Datos_Consumo[[#This Row],[FECHA]])&amp;"-"&amp;MONTH(Datos_Consumo[[#This Row],[FECHA]])</f>
        <v>2018-2</v>
      </c>
    </row>
    <row r="2194" spans="1:4" x14ac:dyDescent="0.25">
      <c r="A2194" t="s">
        <v>2101</v>
      </c>
      <c r="B2194">
        <v>4</v>
      </c>
      <c r="C2194" s="54">
        <v>43160</v>
      </c>
      <c r="D2194" s="3" t="str">
        <f>YEAR(Datos_Consumo[[#This Row],[FECHA]])&amp;"-"&amp;MONTH(Datos_Consumo[[#This Row],[FECHA]])</f>
        <v>2018-3</v>
      </c>
    </row>
    <row r="2195" spans="1:4" x14ac:dyDescent="0.25">
      <c r="A2195" t="s">
        <v>2101</v>
      </c>
      <c r="B2195">
        <v>2</v>
      </c>
      <c r="C2195" s="54">
        <v>43191</v>
      </c>
      <c r="D2195" s="3" t="str">
        <f>YEAR(Datos_Consumo[[#This Row],[FECHA]])&amp;"-"&amp;MONTH(Datos_Consumo[[#This Row],[FECHA]])</f>
        <v>2018-4</v>
      </c>
    </row>
    <row r="2196" spans="1:4" x14ac:dyDescent="0.25">
      <c r="A2196" t="s">
        <v>2102</v>
      </c>
      <c r="B2196">
        <v>39</v>
      </c>
      <c r="C2196" s="54">
        <v>43070</v>
      </c>
      <c r="D2196" s="3" t="str">
        <f>YEAR(Datos_Consumo[[#This Row],[FECHA]])&amp;"-"&amp;MONTH(Datos_Consumo[[#This Row],[FECHA]])</f>
        <v>2017-12</v>
      </c>
    </row>
    <row r="2197" spans="1:4" x14ac:dyDescent="0.25">
      <c r="A2197" t="s">
        <v>2102</v>
      </c>
      <c r="B2197">
        <v>99</v>
      </c>
      <c r="C2197" s="54">
        <v>43101</v>
      </c>
      <c r="D2197" s="3" t="str">
        <f>YEAR(Datos_Consumo[[#This Row],[FECHA]])&amp;"-"&amp;MONTH(Datos_Consumo[[#This Row],[FECHA]])</f>
        <v>2018-1</v>
      </c>
    </row>
    <row r="2198" spans="1:4" x14ac:dyDescent="0.25">
      <c r="A2198" t="s">
        <v>2102</v>
      </c>
      <c r="B2198">
        <v>72</v>
      </c>
      <c r="C2198" s="54">
        <v>43132</v>
      </c>
      <c r="D2198" s="3" t="str">
        <f>YEAR(Datos_Consumo[[#This Row],[FECHA]])&amp;"-"&amp;MONTH(Datos_Consumo[[#This Row],[FECHA]])</f>
        <v>2018-2</v>
      </c>
    </row>
    <row r="2199" spans="1:4" x14ac:dyDescent="0.25">
      <c r="A2199" t="s">
        <v>2102</v>
      </c>
      <c r="B2199">
        <v>141</v>
      </c>
      <c r="C2199" s="54">
        <v>43160</v>
      </c>
      <c r="D2199" s="3" t="str">
        <f>YEAR(Datos_Consumo[[#This Row],[FECHA]])&amp;"-"&amp;MONTH(Datos_Consumo[[#This Row],[FECHA]])</f>
        <v>2018-3</v>
      </c>
    </row>
    <row r="2200" spans="1:4" x14ac:dyDescent="0.25">
      <c r="A2200" t="s">
        <v>2102</v>
      </c>
      <c r="B2200">
        <v>127</v>
      </c>
      <c r="C2200" s="54">
        <v>43191</v>
      </c>
      <c r="D2200" s="3" t="str">
        <f>YEAR(Datos_Consumo[[#This Row],[FECHA]])&amp;"-"&amp;MONTH(Datos_Consumo[[#This Row],[FECHA]])</f>
        <v>2018-4</v>
      </c>
    </row>
    <row r="2201" spans="1:4" x14ac:dyDescent="0.25">
      <c r="A2201" t="s">
        <v>2102</v>
      </c>
      <c r="B2201">
        <v>8</v>
      </c>
      <c r="C2201" s="54">
        <v>43221</v>
      </c>
      <c r="D2201" s="3" t="str">
        <f>YEAR(Datos_Consumo[[#This Row],[FECHA]])&amp;"-"&amp;MONTH(Datos_Consumo[[#This Row],[FECHA]])</f>
        <v>2018-5</v>
      </c>
    </row>
    <row r="2202" spans="1:4" x14ac:dyDescent="0.25">
      <c r="A2202" t="s">
        <v>2103</v>
      </c>
      <c r="B2202">
        <v>1</v>
      </c>
      <c r="C2202" s="54">
        <v>43132</v>
      </c>
      <c r="D2202" s="3" t="str">
        <f>YEAR(Datos_Consumo[[#This Row],[FECHA]])&amp;"-"&amp;MONTH(Datos_Consumo[[#This Row],[FECHA]])</f>
        <v>2018-2</v>
      </c>
    </row>
    <row r="2203" spans="1:4" x14ac:dyDescent="0.25">
      <c r="A2203" t="s">
        <v>2104</v>
      </c>
      <c r="B2203">
        <v>1</v>
      </c>
      <c r="C2203" s="54">
        <v>43191</v>
      </c>
      <c r="D2203" s="3" t="str">
        <f>YEAR(Datos_Consumo[[#This Row],[FECHA]])&amp;"-"&amp;MONTH(Datos_Consumo[[#This Row],[FECHA]])</f>
        <v>2018-4</v>
      </c>
    </row>
    <row r="2204" spans="1:4" x14ac:dyDescent="0.25">
      <c r="A2204" t="s">
        <v>2105</v>
      </c>
      <c r="B2204">
        <v>7</v>
      </c>
      <c r="C2204" s="54">
        <v>43070</v>
      </c>
      <c r="D2204" s="3" t="str">
        <f>YEAR(Datos_Consumo[[#This Row],[FECHA]])&amp;"-"&amp;MONTH(Datos_Consumo[[#This Row],[FECHA]])</f>
        <v>2017-12</v>
      </c>
    </row>
    <row r="2205" spans="1:4" x14ac:dyDescent="0.25">
      <c r="A2205" t="s">
        <v>2105</v>
      </c>
      <c r="B2205">
        <v>5</v>
      </c>
      <c r="C2205" s="54">
        <v>43101</v>
      </c>
      <c r="D2205" s="3" t="str">
        <f>YEAR(Datos_Consumo[[#This Row],[FECHA]])&amp;"-"&amp;MONTH(Datos_Consumo[[#This Row],[FECHA]])</f>
        <v>2018-1</v>
      </c>
    </row>
    <row r="2206" spans="1:4" x14ac:dyDescent="0.25">
      <c r="A2206" t="s">
        <v>2105</v>
      </c>
      <c r="B2206">
        <v>9</v>
      </c>
      <c r="C2206" s="54">
        <v>43132</v>
      </c>
      <c r="D2206" s="3" t="str">
        <f>YEAR(Datos_Consumo[[#This Row],[FECHA]])&amp;"-"&amp;MONTH(Datos_Consumo[[#This Row],[FECHA]])</f>
        <v>2018-2</v>
      </c>
    </row>
    <row r="2207" spans="1:4" x14ac:dyDescent="0.25">
      <c r="A2207" t="s">
        <v>2105</v>
      </c>
      <c r="B2207">
        <v>11</v>
      </c>
      <c r="C2207" s="54">
        <v>43160</v>
      </c>
      <c r="D2207" s="3" t="str">
        <f>YEAR(Datos_Consumo[[#This Row],[FECHA]])&amp;"-"&amp;MONTH(Datos_Consumo[[#This Row],[FECHA]])</f>
        <v>2018-3</v>
      </c>
    </row>
    <row r="2208" spans="1:4" x14ac:dyDescent="0.25">
      <c r="A2208" t="s">
        <v>2105</v>
      </c>
      <c r="B2208">
        <v>8</v>
      </c>
      <c r="C2208" s="54">
        <v>43191</v>
      </c>
      <c r="D2208" s="3" t="str">
        <f>YEAR(Datos_Consumo[[#This Row],[FECHA]])&amp;"-"&amp;MONTH(Datos_Consumo[[#This Row],[FECHA]])</f>
        <v>2018-4</v>
      </c>
    </row>
    <row r="2209" spans="1:4" x14ac:dyDescent="0.25">
      <c r="A2209" t="s">
        <v>2105</v>
      </c>
      <c r="B2209">
        <v>2</v>
      </c>
      <c r="C2209" s="54">
        <v>43221</v>
      </c>
      <c r="D2209" s="3" t="str">
        <f>YEAR(Datos_Consumo[[#This Row],[FECHA]])&amp;"-"&amp;MONTH(Datos_Consumo[[#This Row],[FECHA]])</f>
        <v>2018-5</v>
      </c>
    </row>
    <row r="2210" spans="1:4" x14ac:dyDescent="0.25">
      <c r="A2210" t="s">
        <v>2106</v>
      </c>
      <c r="B2210">
        <v>31</v>
      </c>
      <c r="C2210" s="54">
        <v>43070</v>
      </c>
      <c r="D2210" s="3" t="str">
        <f>YEAR(Datos_Consumo[[#This Row],[FECHA]])&amp;"-"&amp;MONTH(Datos_Consumo[[#This Row],[FECHA]])</f>
        <v>2017-12</v>
      </c>
    </row>
    <row r="2211" spans="1:4" x14ac:dyDescent="0.25">
      <c r="A2211" t="s">
        <v>2106</v>
      </c>
      <c r="B2211">
        <v>32</v>
      </c>
      <c r="C2211" s="54">
        <v>43101</v>
      </c>
      <c r="D2211" s="3" t="str">
        <f>YEAR(Datos_Consumo[[#This Row],[FECHA]])&amp;"-"&amp;MONTH(Datos_Consumo[[#This Row],[FECHA]])</f>
        <v>2018-1</v>
      </c>
    </row>
    <row r="2212" spans="1:4" x14ac:dyDescent="0.25">
      <c r="A2212" t="s">
        <v>2106</v>
      </c>
      <c r="B2212">
        <v>35</v>
      </c>
      <c r="C2212" s="54">
        <v>43132</v>
      </c>
      <c r="D2212" s="3" t="str">
        <f>YEAR(Datos_Consumo[[#This Row],[FECHA]])&amp;"-"&amp;MONTH(Datos_Consumo[[#This Row],[FECHA]])</f>
        <v>2018-2</v>
      </c>
    </row>
    <row r="2213" spans="1:4" x14ac:dyDescent="0.25">
      <c r="A2213" t="s">
        <v>2106</v>
      </c>
      <c r="B2213">
        <v>50</v>
      </c>
      <c r="C2213" s="54">
        <v>43160</v>
      </c>
      <c r="D2213" s="3" t="str">
        <f>YEAR(Datos_Consumo[[#This Row],[FECHA]])&amp;"-"&amp;MONTH(Datos_Consumo[[#This Row],[FECHA]])</f>
        <v>2018-3</v>
      </c>
    </row>
    <row r="2214" spans="1:4" x14ac:dyDescent="0.25">
      <c r="A2214" t="s">
        <v>2106</v>
      </c>
      <c r="B2214">
        <v>31</v>
      </c>
      <c r="C2214" s="54">
        <v>43191</v>
      </c>
      <c r="D2214" s="3" t="str">
        <f>YEAR(Datos_Consumo[[#This Row],[FECHA]])&amp;"-"&amp;MONTH(Datos_Consumo[[#This Row],[FECHA]])</f>
        <v>2018-4</v>
      </c>
    </row>
    <row r="2215" spans="1:4" x14ac:dyDescent="0.25">
      <c r="A2215" t="s">
        <v>2106</v>
      </c>
      <c r="B2215">
        <v>6</v>
      </c>
      <c r="C2215" s="54">
        <v>43221</v>
      </c>
      <c r="D2215" s="3" t="str">
        <f>YEAR(Datos_Consumo[[#This Row],[FECHA]])&amp;"-"&amp;MONTH(Datos_Consumo[[#This Row],[FECHA]])</f>
        <v>2018-5</v>
      </c>
    </row>
    <row r="2216" spans="1:4" x14ac:dyDescent="0.25">
      <c r="A2216" t="s">
        <v>2107</v>
      </c>
      <c r="B2216">
        <v>3</v>
      </c>
      <c r="C2216" s="54">
        <v>43160</v>
      </c>
      <c r="D2216" s="3" t="str">
        <f>YEAR(Datos_Consumo[[#This Row],[FECHA]])&amp;"-"&amp;MONTH(Datos_Consumo[[#This Row],[FECHA]])</f>
        <v>2018-3</v>
      </c>
    </row>
    <row r="2217" spans="1:4" x14ac:dyDescent="0.25">
      <c r="A2217" t="s">
        <v>2108</v>
      </c>
      <c r="B2217">
        <v>2</v>
      </c>
      <c r="C2217" s="54">
        <v>43070</v>
      </c>
      <c r="D2217" s="3" t="str">
        <f>YEAR(Datos_Consumo[[#This Row],[FECHA]])&amp;"-"&amp;MONTH(Datos_Consumo[[#This Row],[FECHA]])</f>
        <v>2017-12</v>
      </c>
    </row>
    <row r="2218" spans="1:4" x14ac:dyDescent="0.25">
      <c r="A2218" t="s">
        <v>2108</v>
      </c>
      <c r="B2218">
        <v>2</v>
      </c>
      <c r="C2218" s="54">
        <v>43101</v>
      </c>
      <c r="D2218" s="3" t="str">
        <f>YEAR(Datos_Consumo[[#This Row],[FECHA]])&amp;"-"&amp;MONTH(Datos_Consumo[[#This Row],[FECHA]])</f>
        <v>2018-1</v>
      </c>
    </row>
    <row r="2219" spans="1:4" x14ac:dyDescent="0.25">
      <c r="A2219" t="s">
        <v>2108</v>
      </c>
      <c r="B2219">
        <v>3</v>
      </c>
      <c r="C2219" s="54">
        <v>43160</v>
      </c>
      <c r="D2219" s="3" t="str">
        <f>YEAR(Datos_Consumo[[#This Row],[FECHA]])&amp;"-"&amp;MONTH(Datos_Consumo[[#This Row],[FECHA]])</f>
        <v>2018-3</v>
      </c>
    </row>
    <row r="2220" spans="1:4" x14ac:dyDescent="0.25">
      <c r="A2220" t="s">
        <v>2108</v>
      </c>
      <c r="B2220">
        <v>3</v>
      </c>
      <c r="C2220" s="54">
        <v>43191</v>
      </c>
      <c r="D2220" s="3" t="str">
        <f>YEAR(Datos_Consumo[[#This Row],[FECHA]])&amp;"-"&amp;MONTH(Datos_Consumo[[#This Row],[FECHA]])</f>
        <v>2018-4</v>
      </c>
    </row>
    <row r="2221" spans="1:4" x14ac:dyDescent="0.25">
      <c r="A2221" t="s">
        <v>2108</v>
      </c>
      <c r="B2221">
        <v>1</v>
      </c>
      <c r="C2221" s="54">
        <v>43221</v>
      </c>
      <c r="D2221" s="3" t="str">
        <f>YEAR(Datos_Consumo[[#This Row],[FECHA]])&amp;"-"&amp;MONTH(Datos_Consumo[[#This Row],[FECHA]])</f>
        <v>2018-5</v>
      </c>
    </row>
    <row r="2222" spans="1:4" x14ac:dyDescent="0.25">
      <c r="A2222" t="s">
        <v>2109</v>
      </c>
      <c r="B2222">
        <v>6</v>
      </c>
      <c r="C2222" s="54">
        <v>43070</v>
      </c>
      <c r="D2222" s="3" t="str">
        <f>YEAR(Datos_Consumo[[#This Row],[FECHA]])&amp;"-"&amp;MONTH(Datos_Consumo[[#This Row],[FECHA]])</f>
        <v>2017-12</v>
      </c>
    </row>
    <row r="2223" spans="1:4" x14ac:dyDescent="0.25">
      <c r="A2223" t="s">
        <v>2109</v>
      </c>
      <c r="B2223">
        <v>6</v>
      </c>
      <c r="C2223" s="54">
        <v>43101</v>
      </c>
      <c r="D2223" s="3" t="str">
        <f>YEAR(Datos_Consumo[[#This Row],[FECHA]])&amp;"-"&amp;MONTH(Datos_Consumo[[#This Row],[FECHA]])</f>
        <v>2018-1</v>
      </c>
    </row>
    <row r="2224" spans="1:4" x14ac:dyDescent="0.25">
      <c r="A2224" t="s">
        <v>2109</v>
      </c>
      <c r="B2224">
        <v>15</v>
      </c>
      <c r="C2224" s="54">
        <v>43160</v>
      </c>
      <c r="D2224" s="3" t="str">
        <f>YEAR(Datos_Consumo[[#This Row],[FECHA]])&amp;"-"&amp;MONTH(Datos_Consumo[[#This Row],[FECHA]])</f>
        <v>2018-3</v>
      </c>
    </row>
    <row r="2225" spans="1:4" x14ac:dyDescent="0.25">
      <c r="A2225" t="s">
        <v>2109</v>
      </c>
      <c r="B2225">
        <v>6</v>
      </c>
      <c r="C2225" s="54">
        <v>43191</v>
      </c>
      <c r="D2225" s="3" t="str">
        <f>YEAR(Datos_Consumo[[#This Row],[FECHA]])&amp;"-"&amp;MONTH(Datos_Consumo[[#This Row],[FECHA]])</f>
        <v>2018-4</v>
      </c>
    </row>
    <row r="2226" spans="1:4" x14ac:dyDescent="0.25">
      <c r="A2226" t="s">
        <v>2109</v>
      </c>
      <c r="B2226">
        <v>1</v>
      </c>
      <c r="C2226" s="54">
        <v>43221</v>
      </c>
      <c r="D2226" s="3" t="str">
        <f>YEAR(Datos_Consumo[[#This Row],[FECHA]])&amp;"-"&amp;MONTH(Datos_Consumo[[#This Row],[FECHA]])</f>
        <v>2018-5</v>
      </c>
    </row>
    <row r="2227" spans="1:4" x14ac:dyDescent="0.25">
      <c r="A2227" t="s">
        <v>2110</v>
      </c>
      <c r="B2227">
        <v>16</v>
      </c>
      <c r="C2227" s="54">
        <v>43070</v>
      </c>
      <c r="D2227" s="3" t="str">
        <f>YEAR(Datos_Consumo[[#This Row],[FECHA]])&amp;"-"&amp;MONTH(Datos_Consumo[[#This Row],[FECHA]])</f>
        <v>2017-12</v>
      </c>
    </row>
    <row r="2228" spans="1:4" x14ac:dyDescent="0.25">
      <c r="A2228" t="s">
        <v>2110</v>
      </c>
      <c r="B2228">
        <v>12</v>
      </c>
      <c r="C2228" s="54">
        <v>43101</v>
      </c>
      <c r="D2228" s="3" t="str">
        <f>YEAR(Datos_Consumo[[#This Row],[FECHA]])&amp;"-"&amp;MONTH(Datos_Consumo[[#This Row],[FECHA]])</f>
        <v>2018-1</v>
      </c>
    </row>
    <row r="2229" spans="1:4" x14ac:dyDescent="0.25">
      <c r="A2229" t="s">
        <v>2110</v>
      </c>
      <c r="B2229">
        <v>4</v>
      </c>
      <c r="C2229" s="54">
        <v>43132</v>
      </c>
      <c r="D2229" s="3" t="str">
        <f>YEAR(Datos_Consumo[[#This Row],[FECHA]])&amp;"-"&amp;MONTH(Datos_Consumo[[#This Row],[FECHA]])</f>
        <v>2018-2</v>
      </c>
    </row>
    <row r="2230" spans="1:4" x14ac:dyDescent="0.25">
      <c r="A2230" t="s">
        <v>2110</v>
      </c>
      <c r="B2230">
        <v>17</v>
      </c>
      <c r="C2230" s="54">
        <v>43160</v>
      </c>
      <c r="D2230" s="3" t="str">
        <f>YEAR(Datos_Consumo[[#This Row],[FECHA]])&amp;"-"&amp;MONTH(Datos_Consumo[[#This Row],[FECHA]])</f>
        <v>2018-3</v>
      </c>
    </row>
    <row r="2231" spans="1:4" x14ac:dyDescent="0.25">
      <c r="A2231" t="s">
        <v>2110</v>
      </c>
      <c r="B2231">
        <v>5</v>
      </c>
      <c r="C2231" s="54">
        <v>43191</v>
      </c>
      <c r="D2231" s="3" t="str">
        <f>YEAR(Datos_Consumo[[#This Row],[FECHA]])&amp;"-"&amp;MONTH(Datos_Consumo[[#This Row],[FECHA]])</f>
        <v>2018-4</v>
      </c>
    </row>
    <row r="2232" spans="1:4" x14ac:dyDescent="0.25">
      <c r="A2232" t="s">
        <v>2110</v>
      </c>
      <c r="B2232">
        <v>8</v>
      </c>
      <c r="C2232" s="54">
        <v>43221</v>
      </c>
      <c r="D2232" s="3" t="str">
        <f>YEAR(Datos_Consumo[[#This Row],[FECHA]])&amp;"-"&amp;MONTH(Datos_Consumo[[#This Row],[FECHA]])</f>
        <v>2018-5</v>
      </c>
    </row>
    <row r="2233" spans="1:4" x14ac:dyDescent="0.25">
      <c r="A2233" t="s">
        <v>2111</v>
      </c>
      <c r="B2233">
        <v>10</v>
      </c>
      <c r="C2233" s="54">
        <v>43070</v>
      </c>
      <c r="D2233" s="3" t="str">
        <f>YEAR(Datos_Consumo[[#This Row],[FECHA]])&amp;"-"&amp;MONTH(Datos_Consumo[[#This Row],[FECHA]])</f>
        <v>2017-12</v>
      </c>
    </row>
    <row r="2234" spans="1:4" x14ac:dyDescent="0.25">
      <c r="A2234" t="s">
        <v>2111</v>
      </c>
      <c r="B2234">
        <v>3</v>
      </c>
      <c r="C2234" s="54">
        <v>43101</v>
      </c>
      <c r="D2234" s="3" t="str">
        <f>YEAR(Datos_Consumo[[#This Row],[FECHA]])&amp;"-"&amp;MONTH(Datos_Consumo[[#This Row],[FECHA]])</f>
        <v>2018-1</v>
      </c>
    </row>
    <row r="2235" spans="1:4" x14ac:dyDescent="0.25">
      <c r="A2235" t="s">
        <v>2111</v>
      </c>
      <c r="B2235">
        <v>7</v>
      </c>
      <c r="C2235" s="54">
        <v>43132</v>
      </c>
      <c r="D2235" s="3" t="str">
        <f>YEAR(Datos_Consumo[[#This Row],[FECHA]])&amp;"-"&amp;MONTH(Datos_Consumo[[#This Row],[FECHA]])</f>
        <v>2018-2</v>
      </c>
    </row>
    <row r="2236" spans="1:4" x14ac:dyDescent="0.25">
      <c r="A2236" t="s">
        <v>2111</v>
      </c>
      <c r="B2236">
        <v>10</v>
      </c>
      <c r="C2236" s="54">
        <v>43160</v>
      </c>
      <c r="D2236" s="3" t="str">
        <f>YEAR(Datos_Consumo[[#This Row],[FECHA]])&amp;"-"&amp;MONTH(Datos_Consumo[[#This Row],[FECHA]])</f>
        <v>2018-3</v>
      </c>
    </row>
    <row r="2237" spans="1:4" x14ac:dyDescent="0.25">
      <c r="A2237" t="s">
        <v>2111</v>
      </c>
      <c r="B2237">
        <v>22</v>
      </c>
      <c r="C2237" s="54">
        <v>43191</v>
      </c>
      <c r="D2237" s="3" t="str">
        <f>YEAR(Datos_Consumo[[#This Row],[FECHA]])&amp;"-"&amp;MONTH(Datos_Consumo[[#This Row],[FECHA]])</f>
        <v>2018-4</v>
      </c>
    </row>
    <row r="2238" spans="1:4" x14ac:dyDescent="0.25">
      <c r="A2238" t="s">
        <v>2112</v>
      </c>
      <c r="B2238">
        <v>10</v>
      </c>
      <c r="C2238" s="54">
        <v>43070</v>
      </c>
      <c r="D2238" s="3" t="str">
        <f>YEAR(Datos_Consumo[[#This Row],[FECHA]])&amp;"-"&amp;MONTH(Datos_Consumo[[#This Row],[FECHA]])</f>
        <v>2017-12</v>
      </c>
    </row>
    <row r="2239" spans="1:4" x14ac:dyDescent="0.25">
      <c r="A2239" t="s">
        <v>2112</v>
      </c>
      <c r="B2239">
        <v>15</v>
      </c>
      <c r="C2239" s="54">
        <v>43132</v>
      </c>
      <c r="D2239" s="3" t="str">
        <f>YEAR(Datos_Consumo[[#This Row],[FECHA]])&amp;"-"&amp;MONTH(Datos_Consumo[[#This Row],[FECHA]])</f>
        <v>2018-2</v>
      </c>
    </row>
    <row r="2240" spans="1:4" x14ac:dyDescent="0.25">
      <c r="A2240" t="s">
        <v>2112</v>
      </c>
      <c r="B2240">
        <v>21</v>
      </c>
      <c r="C2240" s="54">
        <v>43160</v>
      </c>
      <c r="D2240" s="3" t="str">
        <f>YEAR(Datos_Consumo[[#This Row],[FECHA]])&amp;"-"&amp;MONTH(Datos_Consumo[[#This Row],[FECHA]])</f>
        <v>2018-3</v>
      </c>
    </row>
    <row r="2241" spans="1:4" x14ac:dyDescent="0.25">
      <c r="A2241" t="s">
        <v>2112</v>
      </c>
      <c r="B2241">
        <v>10</v>
      </c>
      <c r="C2241" s="54">
        <v>43191</v>
      </c>
      <c r="D2241" s="3" t="str">
        <f>YEAR(Datos_Consumo[[#This Row],[FECHA]])&amp;"-"&amp;MONTH(Datos_Consumo[[#This Row],[FECHA]])</f>
        <v>2018-4</v>
      </c>
    </row>
    <row r="2242" spans="1:4" x14ac:dyDescent="0.25">
      <c r="A2242" t="s">
        <v>2113</v>
      </c>
      <c r="B2242">
        <v>1</v>
      </c>
      <c r="C2242" s="54">
        <v>43101</v>
      </c>
      <c r="D2242" s="3" t="str">
        <f>YEAR(Datos_Consumo[[#This Row],[FECHA]])&amp;"-"&amp;MONTH(Datos_Consumo[[#This Row],[FECHA]])</f>
        <v>2018-1</v>
      </c>
    </row>
    <row r="2243" spans="1:4" x14ac:dyDescent="0.25">
      <c r="A2243" t="s">
        <v>2113</v>
      </c>
      <c r="B2243">
        <v>3</v>
      </c>
      <c r="C2243" s="54">
        <v>43132</v>
      </c>
      <c r="D2243" s="3" t="str">
        <f>YEAR(Datos_Consumo[[#This Row],[FECHA]])&amp;"-"&amp;MONTH(Datos_Consumo[[#This Row],[FECHA]])</f>
        <v>2018-2</v>
      </c>
    </row>
    <row r="2244" spans="1:4" x14ac:dyDescent="0.25">
      <c r="A2244" t="s">
        <v>2114</v>
      </c>
      <c r="B2244">
        <v>6</v>
      </c>
      <c r="C2244" s="54">
        <v>43070</v>
      </c>
      <c r="D2244" s="3" t="str">
        <f>YEAR(Datos_Consumo[[#This Row],[FECHA]])&amp;"-"&amp;MONTH(Datos_Consumo[[#This Row],[FECHA]])</f>
        <v>2017-12</v>
      </c>
    </row>
    <row r="2245" spans="1:4" x14ac:dyDescent="0.25">
      <c r="A2245" t="s">
        <v>2114</v>
      </c>
      <c r="B2245">
        <v>3</v>
      </c>
      <c r="C2245" s="54">
        <v>43101</v>
      </c>
      <c r="D2245" s="3" t="str">
        <f>YEAR(Datos_Consumo[[#This Row],[FECHA]])&amp;"-"&amp;MONTH(Datos_Consumo[[#This Row],[FECHA]])</f>
        <v>2018-1</v>
      </c>
    </row>
    <row r="2246" spans="1:4" x14ac:dyDescent="0.25">
      <c r="A2246" t="s">
        <v>2114</v>
      </c>
      <c r="B2246">
        <v>9</v>
      </c>
      <c r="C2246" s="54">
        <v>43132</v>
      </c>
      <c r="D2246" s="3" t="str">
        <f>YEAR(Datos_Consumo[[#This Row],[FECHA]])&amp;"-"&amp;MONTH(Datos_Consumo[[#This Row],[FECHA]])</f>
        <v>2018-2</v>
      </c>
    </row>
    <row r="2247" spans="1:4" x14ac:dyDescent="0.25">
      <c r="A2247" t="s">
        <v>2114</v>
      </c>
      <c r="B2247">
        <v>2</v>
      </c>
      <c r="C2247" s="54">
        <v>43191</v>
      </c>
      <c r="D2247" s="3" t="str">
        <f>YEAR(Datos_Consumo[[#This Row],[FECHA]])&amp;"-"&amp;MONTH(Datos_Consumo[[#This Row],[FECHA]])</f>
        <v>2018-4</v>
      </c>
    </row>
    <row r="2248" spans="1:4" x14ac:dyDescent="0.25">
      <c r="A2248" t="s">
        <v>2115</v>
      </c>
      <c r="B2248">
        <v>20</v>
      </c>
      <c r="C2248" s="54">
        <v>43070</v>
      </c>
      <c r="D2248" s="3" t="str">
        <f>YEAR(Datos_Consumo[[#This Row],[FECHA]])&amp;"-"&amp;MONTH(Datos_Consumo[[#This Row],[FECHA]])</f>
        <v>2017-12</v>
      </c>
    </row>
    <row r="2249" spans="1:4" x14ac:dyDescent="0.25">
      <c r="A2249" t="s">
        <v>2115</v>
      </c>
      <c r="B2249">
        <v>2</v>
      </c>
      <c r="C2249" s="54">
        <v>43101</v>
      </c>
      <c r="D2249" s="3" t="str">
        <f>YEAR(Datos_Consumo[[#This Row],[FECHA]])&amp;"-"&amp;MONTH(Datos_Consumo[[#This Row],[FECHA]])</f>
        <v>2018-1</v>
      </c>
    </row>
    <row r="2250" spans="1:4" x14ac:dyDescent="0.25">
      <c r="A2250" t="s">
        <v>2115</v>
      </c>
      <c r="B2250">
        <v>2</v>
      </c>
      <c r="C2250" s="54">
        <v>43132</v>
      </c>
      <c r="D2250" s="3" t="str">
        <f>YEAR(Datos_Consumo[[#This Row],[FECHA]])&amp;"-"&amp;MONTH(Datos_Consumo[[#This Row],[FECHA]])</f>
        <v>2018-2</v>
      </c>
    </row>
    <row r="2251" spans="1:4" x14ac:dyDescent="0.25">
      <c r="A2251" t="s">
        <v>2115</v>
      </c>
      <c r="B2251">
        <v>2</v>
      </c>
      <c r="C2251" s="54">
        <v>43221</v>
      </c>
      <c r="D2251" s="3" t="str">
        <f>YEAR(Datos_Consumo[[#This Row],[FECHA]])&amp;"-"&amp;MONTH(Datos_Consumo[[#This Row],[FECHA]])</f>
        <v>2018-5</v>
      </c>
    </row>
    <row r="2252" spans="1:4" x14ac:dyDescent="0.25">
      <c r="A2252" t="s">
        <v>2116</v>
      </c>
      <c r="B2252">
        <v>5</v>
      </c>
      <c r="C2252" s="54">
        <v>43101</v>
      </c>
      <c r="D2252" s="3" t="str">
        <f>YEAR(Datos_Consumo[[#This Row],[FECHA]])&amp;"-"&amp;MONTH(Datos_Consumo[[#This Row],[FECHA]])</f>
        <v>2018-1</v>
      </c>
    </row>
    <row r="2253" spans="1:4" x14ac:dyDescent="0.25">
      <c r="A2253" t="s">
        <v>2117</v>
      </c>
      <c r="B2253">
        <v>20</v>
      </c>
      <c r="C2253" s="54">
        <v>43070</v>
      </c>
      <c r="D2253" s="3" t="str">
        <f>YEAR(Datos_Consumo[[#This Row],[FECHA]])&amp;"-"&amp;MONTH(Datos_Consumo[[#This Row],[FECHA]])</f>
        <v>2017-12</v>
      </c>
    </row>
    <row r="2254" spans="1:4" x14ac:dyDescent="0.25">
      <c r="A2254" t="s">
        <v>2117</v>
      </c>
      <c r="B2254">
        <v>37</v>
      </c>
      <c r="C2254" s="54">
        <v>43101</v>
      </c>
      <c r="D2254" s="3" t="str">
        <f>YEAR(Datos_Consumo[[#This Row],[FECHA]])&amp;"-"&amp;MONTH(Datos_Consumo[[#This Row],[FECHA]])</f>
        <v>2018-1</v>
      </c>
    </row>
    <row r="2255" spans="1:4" x14ac:dyDescent="0.25">
      <c r="A2255" t="s">
        <v>2117</v>
      </c>
      <c r="B2255">
        <v>23</v>
      </c>
      <c r="C2255" s="54">
        <v>43132</v>
      </c>
      <c r="D2255" s="3" t="str">
        <f>YEAR(Datos_Consumo[[#This Row],[FECHA]])&amp;"-"&amp;MONTH(Datos_Consumo[[#This Row],[FECHA]])</f>
        <v>2018-2</v>
      </c>
    </row>
    <row r="2256" spans="1:4" x14ac:dyDescent="0.25">
      <c r="A2256" t="s">
        <v>2117</v>
      </c>
      <c r="B2256">
        <v>19</v>
      </c>
      <c r="C2256" s="54">
        <v>43160</v>
      </c>
      <c r="D2256" s="3" t="str">
        <f>YEAR(Datos_Consumo[[#This Row],[FECHA]])&amp;"-"&amp;MONTH(Datos_Consumo[[#This Row],[FECHA]])</f>
        <v>2018-3</v>
      </c>
    </row>
    <row r="2257" spans="1:4" x14ac:dyDescent="0.25">
      <c r="A2257" t="s">
        <v>2117</v>
      </c>
      <c r="B2257">
        <v>20</v>
      </c>
      <c r="C2257" s="54">
        <v>43191</v>
      </c>
      <c r="D2257" s="3" t="str">
        <f>YEAR(Datos_Consumo[[#This Row],[FECHA]])&amp;"-"&amp;MONTH(Datos_Consumo[[#This Row],[FECHA]])</f>
        <v>2018-4</v>
      </c>
    </row>
    <row r="2258" spans="1:4" x14ac:dyDescent="0.25">
      <c r="A2258" t="s">
        <v>2117</v>
      </c>
      <c r="B2258">
        <v>13</v>
      </c>
      <c r="C2258" s="54">
        <v>43221</v>
      </c>
      <c r="D2258" s="3" t="str">
        <f>YEAR(Datos_Consumo[[#This Row],[FECHA]])&amp;"-"&amp;MONTH(Datos_Consumo[[#This Row],[FECHA]])</f>
        <v>2018-5</v>
      </c>
    </row>
    <row r="2259" spans="1:4" x14ac:dyDescent="0.25">
      <c r="A2259" t="s">
        <v>2118</v>
      </c>
      <c r="B2259">
        <v>5</v>
      </c>
      <c r="C2259" s="54">
        <v>43070</v>
      </c>
      <c r="D2259" s="3" t="str">
        <f>YEAR(Datos_Consumo[[#This Row],[FECHA]])&amp;"-"&amp;MONTH(Datos_Consumo[[#This Row],[FECHA]])</f>
        <v>2017-12</v>
      </c>
    </row>
    <row r="2260" spans="1:4" x14ac:dyDescent="0.25">
      <c r="A2260" t="s">
        <v>2118</v>
      </c>
      <c r="B2260">
        <v>15</v>
      </c>
      <c r="C2260" s="54">
        <v>43132</v>
      </c>
      <c r="D2260" s="3" t="str">
        <f>YEAR(Datos_Consumo[[#This Row],[FECHA]])&amp;"-"&amp;MONTH(Datos_Consumo[[#This Row],[FECHA]])</f>
        <v>2018-2</v>
      </c>
    </row>
    <row r="2261" spans="1:4" x14ac:dyDescent="0.25">
      <c r="A2261" t="s">
        <v>2118</v>
      </c>
      <c r="B2261">
        <v>10</v>
      </c>
      <c r="C2261" s="54">
        <v>43191</v>
      </c>
      <c r="D2261" s="3" t="str">
        <f>YEAR(Datos_Consumo[[#This Row],[FECHA]])&amp;"-"&amp;MONTH(Datos_Consumo[[#This Row],[FECHA]])</f>
        <v>2018-4</v>
      </c>
    </row>
    <row r="2262" spans="1:4" x14ac:dyDescent="0.25">
      <c r="A2262" t="s">
        <v>2118</v>
      </c>
      <c r="B2262">
        <v>2</v>
      </c>
      <c r="C2262" s="54">
        <v>43221</v>
      </c>
      <c r="D2262" s="3" t="str">
        <f>YEAR(Datos_Consumo[[#This Row],[FECHA]])&amp;"-"&amp;MONTH(Datos_Consumo[[#This Row],[FECHA]])</f>
        <v>2018-5</v>
      </c>
    </row>
    <row r="2263" spans="1:4" x14ac:dyDescent="0.25">
      <c r="A2263" t="s">
        <v>2119</v>
      </c>
      <c r="B2263">
        <v>305</v>
      </c>
      <c r="C2263" s="54">
        <v>43070</v>
      </c>
      <c r="D2263" s="3" t="str">
        <f>YEAR(Datos_Consumo[[#This Row],[FECHA]])&amp;"-"&amp;MONTH(Datos_Consumo[[#This Row],[FECHA]])</f>
        <v>2017-12</v>
      </c>
    </row>
    <row r="2264" spans="1:4" x14ac:dyDescent="0.25">
      <c r="A2264" t="s">
        <v>2119</v>
      </c>
      <c r="B2264">
        <v>399</v>
      </c>
      <c r="C2264" s="54">
        <v>43101</v>
      </c>
      <c r="D2264" s="3" t="str">
        <f>YEAR(Datos_Consumo[[#This Row],[FECHA]])&amp;"-"&amp;MONTH(Datos_Consumo[[#This Row],[FECHA]])</f>
        <v>2018-1</v>
      </c>
    </row>
    <row r="2265" spans="1:4" x14ac:dyDescent="0.25">
      <c r="A2265" t="s">
        <v>2119</v>
      </c>
      <c r="B2265">
        <v>189</v>
      </c>
      <c r="C2265" s="54">
        <v>43132</v>
      </c>
      <c r="D2265" s="3" t="str">
        <f>YEAR(Datos_Consumo[[#This Row],[FECHA]])&amp;"-"&amp;MONTH(Datos_Consumo[[#This Row],[FECHA]])</f>
        <v>2018-2</v>
      </c>
    </row>
    <row r="2266" spans="1:4" x14ac:dyDescent="0.25">
      <c r="A2266" t="s">
        <v>2119</v>
      </c>
      <c r="B2266">
        <v>190</v>
      </c>
      <c r="C2266" s="54">
        <v>43160</v>
      </c>
      <c r="D2266" s="3" t="str">
        <f>YEAR(Datos_Consumo[[#This Row],[FECHA]])&amp;"-"&amp;MONTH(Datos_Consumo[[#This Row],[FECHA]])</f>
        <v>2018-3</v>
      </c>
    </row>
    <row r="2267" spans="1:4" x14ac:dyDescent="0.25">
      <c r="A2267" t="s">
        <v>2119</v>
      </c>
      <c r="B2267">
        <v>23</v>
      </c>
      <c r="C2267" s="54">
        <v>43191</v>
      </c>
      <c r="D2267" s="3" t="str">
        <f>YEAR(Datos_Consumo[[#This Row],[FECHA]])&amp;"-"&amp;MONTH(Datos_Consumo[[#This Row],[FECHA]])</f>
        <v>2018-4</v>
      </c>
    </row>
    <row r="2268" spans="1:4" x14ac:dyDescent="0.25">
      <c r="A2268" t="s">
        <v>2120</v>
      </c>
      <c r="B2268">
        <v>711</v>
      </c>
      <c r="C2268" s="54">
        <v>43070</v>
      </c>
      <c r="D2268" s="3" t="str">
        <f>YEAR(Datos_Consumo[[#This Row],[FECHA]])&amp;"-"&amp;MONTH(Datos_Consumo[[#This Row],[FECHA]])</f>
        <v>2017-12</v>
      </c>
    </row>
    <row r="2269" spans="1:4" x14ac:dyDescent="0.25">
      <c r="A2269" t="s">
        <v>2120</v>
      </c>
      <c r="B2269">
        <v>434</v>
      </c>
      <c r="C2269" s="54">
        <v>43101</v>
      </c>
      <c r="D2269" s="3" t="str">
        <f>YEAR(Datos_Consumo[[#This Row],[FECHA]])&amp;"-"&amp;MONTH(Datos_Consumo[[#This Row],[FECHA]])</f>
        <v>2018-1</v>
      </c>
    </row>
    <row r="2270" spans="1:4" x14ac:dyDescent="0.25">
      <c r="A2270" t="s">
        <v>2120</v>
      </c>
      <c r="B2270">
        <v>415</v>
      </c>
      <c r="C2270" s="54">
        <v>43132</v>
      </c>
      <c r="D2270" s="3" t="str">
        <f>YEAR(Datos_Consumo[[#This Row],[FECHA]])&amp;"-"&amp;MONTH(Datos_Consumo[[#This Row],[FECHA]])</f>
        <v>2018-2</v>
      </c>
    </row>
    <row r="2271" spans="1:4" x14ac:dyDescent="0.25">
      <c r="A2271" t="s">
        <v>2120</v>
      </c>
      <c r="B2271">
        <v>737</v>
      </c>
      <c r="C2271" s="54">
        <v>43160</v>
      </c>
      <c r="D2271" s="3" t="str">
        <f>YEAR(Datos_Consumo[[#This Row],[FECHA]])&amp;"-"&amp;MONTH(Datos_Consumo[[#This Row],[FECHA]])</f>
        <v>2018-3</v>
      </c>
    </row>
    <row r="2272" spans="1:4" x14ac:dyDescent="0.25">
      <c r="A2272" t="s">
        <v>2120</v>
      </c>
      <c r="B2272">
        <v>440</v>
      </c>
      <c r="C2272" s="54">
        <v>43191</v>
      </c>
      <c r="D2272" s="3" t="str">
        <f>YEAR(Datos_Consumo[[#This Row],[FECHA]])&amp;"-"&amp;MONTH(Datos_Consumo[[#This Row],[FECHA]])</f>
        <v>2018-4</v>
      </c>
    </row>
    <row r="2273" spans="1:4" x14ac:dyDescent="0.25">
      <c r="A2273" t="s">
        <v>2120</v>
      </c>
      <c r="B2273">
        <v>151</v>
      </c>
      <c r="C2273" s="54">
        <v>43221</v>
      </c>
      <c r="D2273" s="3" t="str">
        <f>YEAR(Datos_Consumo[[#This Row],[FECHA]])&amp;"-"&amp;MONTH(Datos_Consumo[[#This Row],[FECHA]])</f>
        <v>2018-5</v>
      </c>
    </row>
    <row r="2274" spans="1:4" x14ac:dyDescent="0.25">
      <c r="A2274" t="s">
        <v>2121</v>
      </c>
      <c r="B2274">
        <v>3</v>
      </c>
      <c r="C2274" s="54">
        <v>43070</v>
      </c>
      <c r="D2274" s="3" t="str">
        <f>YEAR(Datos_Consumo[[#This Row],[FECHA]])&amp;"-"&amp;MONTH(Datos_Consumo[[#This Row],[FECHA]])</f>
        <v>2017-12</v>
      </c>
    </row>
    <row r="2275" spans="1:4" x14ac:dyDescent="0.25">
      <c r="A2275" t="s">
        <v>2121</v>
      </c>
      <c r="B2275">
        <v>3</v>
      </c>
      <c r="C2275" s="54">
        <v>43132</v>
      </c>
      <c r="D2275" s="3" t="str">
        <f>YEAR(Datos_Consumo[[#This Row],[FECHA]])&amp;"-"&amp;MONTH(Datos_Consumo[[#This Row],[FECHA]])</f>
        <v>2018-2</v>
      </c>
    </row>
    <row r="2276" spans="1:4" x14ac:dyDescent="0.25">
      <c r="A2276" t="s">
        <v>2121</v>
      </c>
      <c r="B2276">
        <v>1</v>
      </c>
      <c r="C2276" s="54">
        <v>43191</v>
      </c>
      <c r="D2276" s="3" t="str">
        <f>YEAR(Datos_Consumo[[#This Row],[FECHA]])&amp;"-"&amp;MONTH(Datos_Consumo[[#This Row],[FECHA]])</f>
        <v>2018-4</v>
      </c>
    </row>
    <row r="2277" spans="1:4" x14ac:dyDescent="0.25">
      <c r="A2277" t="s">
        <v>2122</v>
      </c>
      <c r="B2277">
        <v>3</v>
      </c>
      <c r="C2277" s="54">
        <v>43101</v>
      </c>
      <c r="D2277" s="3" t="str">
        <f>YEAR(Datos_Consumo[[#This Row],[FECHA]])&amp;"-"&amp;MONTH(Datos_Consumo[[#This Row],[FECHA]])</f>
        <v>2018-1</v>
      </c>
    </row>
    <row r="2278" spans="1:4" x14ac:dyDescent="0.25">
      <c r="A2278" t="s">
        <v>2122</v>
      </c>
      <c r="B2278">
        <v>3</v>
      </c>
      <c r="C2278" s="54">
        <v>43132</v>
      </c>
      <c r="D2278" s="3" t="str">
        <f>YEAR(Datos_Consumo[[#This Row],[FECHA]])&amp;"-"&amp;MONTH(Datos_Consumo[[#This Row],[FECHA]])</f>
        <v>2018-2</v>
      </c>
    </row>
    <row r="2279" spans="1:4" x14ac:dyDescent="0.25">
      <c r="A2279" t="s">
        <v>2122</v>
      </c>
      <c r="B2279">
        <v>21</v>
      </c>
      <c r="C2279" s="54">
        <v>43160</v>
      </c>
      <c r="D2279" s="3" t="str">
        <f>YEAR(Datos_Consumo[[#This Row],[FECHA]])&amp;"-"&amp;MONTH(Datos_Consumo[[#This Row],[FECHA]])</f>
        <v>2018-3</v>
      </c>
    </row>
    <row r="2280" spans="1:4" x14ac:dyDescent="0.25">
      <c r="A2280" t="s">
        <v>2123</v>
      </c>
      <c r="B2280">
        <v>2</v>
      </c>
      <c r="C2280" s="54">
        <v>43132</v>
      </c>
      <c r="D2280" s="3" t="str">
        <f>YEAR(Datos_Consumo[[#This Row],[FECHA]])&amp;"-"&amp;MONTH(Datos_Consumo[[#This Row],[FECHA]])</f>
        <v>2018-2</v>
      </c>
    </row>
    <row r="2281" spans="1:4" x14ac:dyDescent="0.25">
      <c r="A2281" t="s">
        <v>2124</v>
      </c>
      <c r="B2281">
        <v>1</v>
      </c>
      <c r="C2281" s="54">
        <v>43070</v>
      </c>
      <c r="D2281" s="3" t="str">
        <f>YEAR(Datos_Consumo[[#This Row],[FECHA]])&amp;"-"&amp;MONTH(Datos_Consumo[[#This Row],[FECHA]])</f>
        <v>2017-12</v>
      </c>
    </row>
    <row r="2282" spans="1:4" x14ac:dyDescent="0.25">
      <c r="A2282" t="s">
        <v>2124</v>
      </c>
      <c r="B2282">
        <v>4</v>
      </c>
      <c r="C2282" s="54">
        <v>43191</v>
      </c>
      <c r="D2282" s="3" t="str">
        <f>YEAR(Datos_Consumo[[#This Row],[FECHA]])&amp;"-"&amp;MONTH(Datos_Consumo[[#This Row],[FECHA]])</f>
        <v>2018-4</v>
      </c>
    </row>
    <row r="2283" spans="1:4" x14ac:dyDescent="0.25">
      <c r="A2283" t="s">
        <v>2125</v>
      </c>
      <c r="B2283">
        <v>18</v>
      </c>
      <c r="C2283" s="54">
        <v>43070</v>
      </c>
      <c r="D2283" s="3" t="str">
        <f>YEAR(Datos_Consumo[[#This Row],[FECHA]])&amp;"-"&amp;MONTH(Datos_Consumo[[#This Row],[FECHA]])</f>
        <v>2017-12</v>
      </c>
    </row>
    <row r="2284" spans="1:4" x14ac:dyDescent="0.25">
      <c r="A2284" t="s">
        <v>2125</v>
      </c>
      <c r="B2284">
        <v>8</v>
      </c>
      <c r="C2284" s="54">
        <v>43101</v>
      </c>
      <c r="D2284" s="3" t="str">
        <f>YEAR(Datos_Consumo[[#This Row],[FECHA]])&amp;"-"&amp;MONTH(Datos_Consumo[[#This Row],[FECHA]])</f>
        <v>2018-1</v>
      </c>
    </row>
    <row r="2285" spans="1:4" x14ac:dyDescent="0.25">
      <c r="A2285" t="s">
        <v>2125</v>
      </c>
      <c r="B2285">
        <v>9</v>
      </c>
      <c r="C2285" s="54">
        <v>43132</v>
      </c>
      <c r="D2285" s="3" t="str">
        <f>YEAR(Datos_Consumo[[#This Row],[FECHA]])&amp;"-"&amp;MONTH(Datos_Consumo[[#This Row],[FECHA]])</f>
        <v>2018-2</v>
      </c>
    </row>
    <row r="2286" spans="1:4" x14ac:dyDescent="0.25">
      <c r="A2286" t="s">
        <v>2125</v>
      </c>
      <c r="B2286">
        <v>16</v>
      </c>
      <c r="C2286" s="54">
        <v>43160</v>
      </c>
      <c r="D2286" s="3" t="str">
        <f>YEAR(Datos_Consumo[[#This Row],[FECHA]])&amp;"-"&amp;MONTH(Datos_Consumo[[#This Row],[FECHA]])</f>
        <v>2018-3</v>
      </c>
    </row>
    <row r="2287" spans="1:4" x14ac:dyDescent="0.25">
      <c r="A2287" t="s">
        <v>2125</v>
      </c>
      <c r="B2287">
        <v>14</v>
      </c>
      <c r="C2287" s="54">
        <v>43191</v>
      </c>
      <c r="D2287" s="3" t="str">
        <f>YEAR(Datos_Consumo[[#This Row],[FECHA]])&amp;"-"&amp;MONTH(Datos_Consumo[[#This Row],[FECHA]])</f>
        <v>2018-4</v>
      </c>
    </row>
    <row r="2288" spans="1:4" x14ac:dyDescent="0.25">
      <c r="A2288" t="s">
        <v>2125</v>
      </c>
      <c r="B2288">
        <v>16</v>
      </c>
      <c r="C2288" s="54">
        <v>43221</v>
      </c>
      <c r="D2288" s="3" t="str">
        <f>YEAR(Datos_Consumo[[#This Row],[FECHA]])&amp;"-"&amp;MONTH(Datos_Consumo[[#This Row],[FECHA]])</f>
        <v>2018-5</v>
      </c>
    </row>
    <row r="2289" spans="1:4" x14ac:dyDescent="0.25">
      <c r="A2289" t="s">
        <v>2126</v>
      </c>
      <c r="B2289">
        <v>44</v>
      </c>
      <c r="C2289" s="54">
        <v>43070</v>
      </c>
      <c r="D2289" s="3" t="str">
        <f>YEAR(Datos_Consumo[[#This Row],[FECHA]])&amp;"-"&amp;MONTH(Datos_Consumo[[#This Row],[FECHA]])</f>
        <v>2017-12</v>
      </c>
    </row>
    <row r="2290" spans="1:4" x14ac:dyDescent="0.25">
      <c r="A2290" t="s">
        <v>2126</v>
      </c>
      <c r="B2290">
        <v>51</v>
      </c>
      <c r="C2290" s="54">
        <v>43101</v>
      </c>
      <c r="D2290" s="3" t="str">
        <f>YEAR(Datos_Consumo[[#This Row],[FECHA]])&amp;"-"&amp;MONTH(Datos_Consumo[[#This Row],[FECHA]])</f>
        <v>2018-1</v>
      </c>
    </row>
    <row r="2291" spans="1:4" x14ac:dyDescent="0.25">
      <c r="A2291" t="s">
        <v>2126</v>
      </c>
      <c r="B2291">
        <v>53</v>
      </c>
      <c r="C2291" s="54">
        <v>43132</v>
      </c>
      <c r="D2291" s="3" t="str">
        <f>YEAR(Datos_Consumo[[#This Row],[FECHA]])&amp;"-"&amp;MONTH(Datos_Consumo[[#This Row],[FECHA]])</f>
        <v>2018-2</v>
      </c>
    </row>
    <row r="2292" spans="1:4" x14ac:dyDescent="0.25">
      <c r="A2292" t="s">
        <v>2126</v>
      </c>
      <c r="B2292">
        <v>59</v>
      </c>
      <c r="C2292" s="54">
        <v>43160</v>
      </c>
      <c r="D2292" s="3" t="str">
        <f>YEAR(Datos_Consumo[[#This Row],[FECHA]])&amp;"-"&amp;MONTH(Datos_Consumo[[#This Row],[FECHA]])</f>
        <v>2018-3</v>
      </c>
    </row>
    <row r="2293" spans="1:4" x14ac:dyDescent="0.25">
      <c r="A2293" t="s">
        <v>2126</v>
      </c>
      <c r="B2293">
        <v>57</v>
      </c>
      <c r="C2293" s="54">
        <v>43191</v>
      </c>
      <c r="D2293" s="3" t="str">
        <f>YEAR(Datos_Consumo[[#This Row],[FECHA]])&amp;"-"&amp;MONTH(Datos_Consumo[[#This Row],[FECHA]])</f>
        <v>2018-4</v>
      </c>
    </row>
    <row r="2294" spans="1:4" x14ac:dyDescent="0.25">
      <c r="A2294" t="s">
        <v>2126</v>
      </c>
      <c r="B2294">
        <v>13</v>
      </c>
      <c r="C2294" s="54">
        <v>43221</v>
      </c>
      <c r="D2294" s="3" t="str">
        <f>YEAR(Datos_Consumo[[#This Row],[FECHA]])&amp;"-"&amp;MONTH(Datos_Consumo[[#This Row],[FECHA]])</f>
        <v>2018-5</v>
      </c>
    </row>
    <row r="2295" spans="1:4" x14ac:dyDescent="0.25">
      <c r="A2295" t="s">
        <v>2127</v>
      </c>
      <c r="B2295">
        <v>8</v>
      </c>
      <c r="C2295" s="54">
        <v>43132</v>
      </c>
      <c r="D2295" s="3" t="str">
        <f>YEAR(Datos_Consumo[[#This Row],[FECHA]])&amp;"-"&amp;MONTH(Datos_Consumo[[#This Row],[FECHA]])</f>
        <v>2018-2</v>
      </c>
    </row>
    <row r="2296" spans="1:4" x14ac:dyDescent="0.25">
      <c r="A2296" t="s">
        <v>2128</v>
      </c>
      <c r="B2296">
        <v>2</v>
      </c>
      <c r="C2296" s="54">
        <v>43191</v>
      </c>
      <c r="D2296" s="3" t="str">
        <f>YEAR(Datos_Consumo[[#This Row],[FECHA]])&amp;"-"&amp;MONTH(Datos_Consumo[[#This Row],[FECHA]])</f>
        <v>2018-4</v>
      </c>
    </row>
    <row r="2297" spans="1:4" x14ac:dyDescent="0.25">
      <c r="A2297" t="s">
        <v>2129</v>
      </c>
      <c r="B2297">
        <v>42</v>
      </c>
      <c r="C2297" s="54">
        <v>43070</v>
      </c>
      <c r="D2297" s="3" t="str">
        <f>YEAR(Datos_Consumo[[#This Row],[FECHA]])&amp;"-"&amp;MONTH(Datos_Consumo[[#This Row],[FECHA]])</f>
        <v>2017-12</v>
      </c>
    </row>
    <row r="2298" spans="1:4" x14ac:dyDescent="0.25">
      <c r="A2298" t="s">
        <v>2129</v>
      </c>
      <c r="B2298">
        <v>154</v>
      </c>
      <c r="C2298" s="54">
        <v>43101</v>
      </c>
      <c r="D2298" s="3" t="str">
        <f>YEAR(Datos_Consumo[[#This Row],[FECHA]])&amp;"-"&amp;MONTH(Datos_Consumo[[#This Row],[FECHA]])</f>
        <v>2018-1</v>
      </c>
    </row>
    <row r="2299" spans="1:4" x14ac:dyDescent="0.25">
      <c r="A2299" t="s">
        <v>2129</v>
      </c>
      <c r="B2299">
        <v>56</v>
      </c>
      <c r="C2299" s="54">
        <v>43132</v>
      </c>
      <c r="D2299" s="3" t="str">
        <f>YEAR(Datos_Consumo[[#This Row],[FECHA]])&amp;"-"&amp;MONTH(Datos_Consumo[[#This Row],[FECHA]])</f>
        <v>2018-2</v>
      </c>
    </row>
    <row r="2300" spans="1:4" x14ac:dyDescent="0.25">
      <c r="A2300" t="s">
        <v>2129</v>
      </c>
      <c r="B2300">
        <v>107</v>
      </c>
      <c r="C2300" s="54">
        <v>43160</v>
      </c>
      <c r="D2300" s="3" t="str">
        <f>YEAR(Datos_Consumo[[#This Row],[FECHA]])&amp;"-"&amp;MONTH(Datos_Consumo[[#This Row],[FECHA]])</f>
        <v>2018-3</v>
      </c>
    </row>
    <row r="2301" spans="1:4" x14ac:dyDescent="0.25">
      <c r="A2301" t="s">
        <v>2129</v>
      </c>
      <c r="B2301">
        <v>43</v>
      </c>
      <c r="C2301" s="54">
        <v>43191</v>
      </c>
      <c r="D2301" s="3" t="str">
        <f>YEAR(Datos_Consumo[[#This Row],[FECHA]])&amp;"-"&amp;MONTH(Datos_Consumo[[#This Row],[FECHA]])</f>
        <v>2018-4</v>
      </c>
    </row>
    <row r="2302" spans="1:4" x14ac:dyDescent="0.25">
      <c r="A2302" t="s">
        <v>2129</v>
      </c>
      <c r="B2302">
        <v>12</v>
      </c>
      <c r="C2302" s="54">
        <v>43221</v>
      </c>
      <c r="D2302" s="3" t="str">
        <f>YEAR(Datos_Consumo[[#This Row],[FECHA]])&amp;"-"&amp;MONTH(Datos_Consumo[[#This Row],[FECHA]])</f>
        <v>2018-5</v>
      </c>
    </row>
    <row r="2303" spans="1:4" x14ac:dyDescent="0.25">
      <c r="A2303" t="s">
        <v>2130</v>
      </c>
      <c r="B2303">
        <v>5</v>
      </c>
      <c r="C2303" s="54">
        <v>43070</v>
      </c>
      <c r="D2303" s="3" t="str">
        <f>YEAR(Datos_Consumo[[#This Row],[FECHA]])&amp;"-"&amp;MONTH(Datos_Consumo[[#This Row],[FECHA]])</f>
        <v>2017-12</v>
      </c>
    </row>
    <row r="2304" spans="1:4" x14ac:dyDescent="0.25">
      <c r="A2304" t="s">
        <v>2130</v>
      </c>
      <c r="B2304">
        <v>42</v>
      </c>
      <c r="C2304" s="54">
        <v>43101</v>
      </c>
      <c r="D2304" s="3" t="str">
        <f>YEAR(Datos_Consumo[[#This Row],[FECHA]])&amp;"-"&amp;MONTH(Datos_Consumo[[#This Row],[FECHA]])</f>
        <v>2018-1</v>
      </c>
    </row>
    <row r="2305" spans="1:4" x14ac:dyDescent="0.25">
      <c r="A2305" t="s">
        <v>2130</v>
      </c>
      <c r="B2305">
        <v>5</v>
      </c>
      <c r="C2305" s="54">
        <v>43160</v>
      </c>
      <c r="D2305" s="3" t="str">
        <f>YEAR(Datos_Consumo[[#This Row],[FECHA]])&amp;"-"&amp;MONTH(Datos_Consumo[[#This Row],[FECHA]])</f>
        <v>2018-3</v>
      </c>
    </row>
    <row r="2306" spans="1:4" x14ac:dyDescent="0.25">
      <c r="A2306" t="s">
        <v>2130</v>
      </c>
      <c r="B2306">
        <v>15</v>
      </c>
      <c r="C2306" s="54">
        <v>43191</v>
      </c>
      <c r="D2306" s="3" t="str">
        <f>YEAR(Datos_Consumo[[#This Row],[FECHA]])&amp;"-"&amp;MONTH(Datos_Consumo[[#This Row],[FECHA]])</f>
        <v>2018-4</v>
      </c>
    </row>
    <row r="2307" spans="1:4" x14ac:dyDescent="0.25">
      <c r="A2307" t="s">
        <v>2131</v>
      </c>
      <c r="B2307">
        <v>12</v>
      </c>
      <c r="C2307" s="54">
        <v>43101</v>
      </c>
      <c r="D2307" s="3" t="str">
        <f>YEAR(Datos_Consumo[[#This Row],[FECHA]])&amp;"-"&amp;MONTH(Datos_Consumo[[#This Row],[FECHA]])</f>
        <v>2018-1</v>
      </c>
    </row>
    <row r="2308" spans="1:4" x14ac:dyDescent="0.25">
      <c r="A2308" t="s">
        <v>2132</v>
      </c>
      <c r="B2308">
        <v>4</v>
      </c>
      <c r="C2308" s="54">
        <v>43160</v>
      </c>
      <c r="D2308" s="3" t="str">
        <f>YEAR(Datos_Consumo[[#This Row],[FECHA]])&amp;"-"&amp;MONTH(Datos_Consumo[[#This Row],[FECHA]])</f>
        <v>2018-3</v>
      </c>
    </row>
    <row r="2309" spans="1:4" x14ac:dyDescent="0.25">
      <c r="A2309" t="s">
        <v>2132</v>
      </c>
      <c r="B2309">
        <v>1</v>
      </c>
      <c r="C2309" s="54">
        <v>43191</v>
      </c>
      <c r="D2309" s="3" t="str">
        <f>YEAR(Datos_Consumo[[#This Row],[FECHA]])&amp;"-"&amp;MONTH(Datos_Consumo[[#This Row],[FECHA]])</f>
        <v>2018-4</v>
      </c>
    </row>
    <row r="2310" spans="1:4" x14ac:dyDescent="0.25">
      <c r="A2310" t="s">
        <v>2133</v>
      </c>
      <c r="B2310">
        <v>1</v>
      </c>
      <c r="C2310" s="54">
        <v>43101</v>
      </c>
      <c r="D2310" s="3" t="str">
        <f>YEAR(Datos_Consumo[[#This Row],[FECHA]])&amp;"-"&amp;MONTH(Datos_Consumo[[#This Row],[FECHA]])</f>
        <v>2018-1</v>
      </c>
    </row>
    <row r="2311" spans="1:4" x14ac:dyDescent="0.25">
      <c r="A2311" t="s">
        <v>2133</v>
      </c>
      <c r="B2311">
        <v>1</v>
      </c>
      <c r="C2311" s="54">
        <v>43191</v>
      </c>
      <c r="D2311" s="3" t="str">
        <f>YEAR(Datos_Consumo[[#This Row],[FECHA]])&amp;"-"&amp;MONTH(Datos_Consumo[[#This Row],[FECHA]])</f>
        <v>2018-4</v>
      </c>
    </row>
    <row r="2312" spans="1:4" x14ac:dyDescent="0.25">
      <c r="A2312" t="s">
        <v>2134</v>
      </c>
      <c r="B2312">
        <v>2</v>
      </c>
      <c r="C2312" s="54">
        <v>43070</v>
      </c>
      <c r="D2312" s="3" t="str">
        <f>YEAR(Datos_Consumo[[#This Row],[FECHA]])&amp;"-"&amp;MONTH(Datos_Consumo[[#This Row],[FECHA]])</f>
        <v>2017-12</v>
      </c>
    </row>
    <row r="2313" spans="1:4" x14ac:dyDescent="0.25">
      <c r="A2313" t="s">
        <v>2134</v>
      </c>
      <c r="B2313">
        <v>3</v>
      </c>
      <c r="C2313" s="54">
        <v>43101</v>
      </c>
      <c r="D2313" s="3" t="str">
        <f>YEAR(Datos_Consumo[[#This Row],[FECHA]])&amp;"-"&amp;MONTH(Datos_Consumo[[#This Row],[FECHA]])</f>
        <v>2018-1</v>
      </c>
    </row>
    <row r="2314" spans="1:4" x14ac:dyDescent="0.25">
      <c r="A2314" t="s">
        <v>2134</v>
      </c>
      <c r="B2314">
        <v>1</v>
      </c>
      <c r="C2314" s="54">
        <v>43191</v>
      </c>
      <c r="D2314" s="3" t="str">
        <f>YEAR(Datos_Consumo[[#This Row],[FECHA]])&amp;"-"&amp;MONTH(Datos_Consumo[[#This Row],[FECHA]])</f>
        <v>2018-4</v>
      </c>
    </row>
    <row r="2315" spans="1:4" x14ac:dyDescent="0.25">
      <c r="A2315" t="s">
        <v>2135</v>
      </c>
      <c r="B2315">
        <v>1</v>
      </c>
      <c r="C2315" s="54">
        <v>43101</v>
      </c>
      <c r="D2315" s="3" t="str">
        <f>YEAR(Datos_Consumo[[#This Row],[FECHA]])&amp;"-"&amp;MONTH(Datos_Consumo[[#This Row],[FECHA]])</f>
        <v>2018-1</v>
      </c>
    </row>
    <row r="2316" spans="1:4" x14ac:dyDescent="0.25">
      <c r="A2316" t="s">
        <v>2135</v>
      </c>
      <c r="B2316">
        <v>1</v>
      </c>
      <c r="C2316" s="54">
        <v>43221</v>
      </c>
      <c r="D2316" s="3" t="str">
        <f>YEAR(Datos_Consumo[[#This Row],[FECHA]])&amp;"-"&amp;MONTH(Datos_Consumo[[#This Row],[FECHA]])</f>
        <v>2018-5</v>
      </c>
    </row>
    <row r="2317" spans="1:4" x14ac:dyDescent="0.25">
      <c r="A2317" t="s">
        <v>2136</v>
      </c>
      <c r="B2317">
        <v>1</v>
      </c>
      <c r="C2317" s="54">
        <v>43070</v>
      </c>
      <c r="D2317" s="3" t="str">
        <f>YEAR(Datos_Consumo[[#This Row],[FECHA]])&amp;"-"&amp;MONTH(Datos_Consumo[[#This Row],[FECHA]])</f>
        <v>2017-12</v>
      </c>
    </row>
    <row r="2318" spans="1:4" x14ac:dyDescent="0.25">
      <c r="A2318" t="s">
        <v>2136</v>
      </c>
      <c r="B2318">
        <v>3</v>
      </c>
      <c r="C2318" s="54">
        <v>43101</v>
      </c>
      <c r="D2318" s="3" t="str">
        <f>YEAR(Datos_Consumo[[#This Row],[FECHA]])&amp;"-"&amp;MONTH(Datos_Consumo[[#This Row],[FECHA]])</f>
        <v>2018-1</v>
      </c>
    </row>
    <row r="2319" spans="1:4" x14ac:dyDescent="0.25">
      <c r="A2319" t="s">
        <v>2136</v>
      </c>
      <c r="B2319">
        <v>5</v>
      </c>
      <c r="C2319" s="54">
        <v>43160</v>
      </c>
      <c r="D2319" s="3" t="str">
        <f>YEAR(Datos_Consumo[[#This Row],[FECHA]])&amp;"-"&amp;MONTH(Datos_Consumo[[#This Row],[FECHA]])</f>
        <v>2018-3</v>
      </c>
    </row>
    <row r="2320" spans="1:4" x14ac:dyDescent="0.25">
      <c r="A2320" t="s">
        <v>2136</v>
      </c>
      <c r="B2320">
        <v>1</v>
      </c>
      <c r="C2320" s="54">
        <v>43191</v>
      </c>
      <c r="D2320" s="3" t="str">
        <f>YEAR(Datos_Consumo[[#This Row],[FECHA]])&amp;"-"&amp;MONTH(Datos_Consumo[[#This Row],[FECHA]])</f>
        <v>2018-4</v>
      </c>
    </row>
    <row r="2321" spans="1:4" x14ac:dyDescent="0.25">
      <c r="A2321" t="s">
        <v>2137</v>
      </c>
      <c r="B2321">
        <v>26</v>
      </c>
      <c r="C2321" s="54">
        <v>43070</v>
      </c>
      <c r="D2321" s="3" t="str">
        <f>YEAR(Datos_Consumo[[#This Row],[FECHA]])&amp;"-"&amp;MONTH(Datos_Consumo[[#This Row],[FECHA]])</f>
        <v>2017-12</v>
      </c>
    </row>
    <row r="2322" spans="1:4" x14ac:dyDescent="0.25">
      <c r="A2322" t="s">
        <v>2137</v>
      </c>
      <c r="B2322">
        <v>15</v>
      </c>
      <c r="C2322" s="54">
        <v>43101</v>
      </c>
      <c r="D2322" s="3" t="str">
        <f>YEAR(Datos_Consumo[[#This Row],[FECHA]])&amp;"-"&amp;MONTH(Datos_Consumo[[#This Row],[FECHA]])</f>
        <v>2018-1</v>
      </c>
    </row>
    <row r="2323" spans="1:4" x14ac:dyDescent="0.25">
      <c r="A2323" t="s">
        <v>2137</v>
      </c>
      <c r="B2323">
        <v>7</v>
      </c>
      <c r="C2323" s="54">
        <v>43132</v>
      </c>
      <c r="D2323" s="3" t="str">
        <f>YEAR(Datos_Consumo[[#This Row],[FECHA]])&amp;"-"&amp;MONTH(Datos_Consumo[[#This Row],[FECHA]])</f>
        <v>2018-2</v>
      </c>
    </row>
    <row r="2324" spans="1:4" x14ac:dyDescent="0.25">
      <c r="A2324" t="s">
        <v>2137</v>
      </c>
      <c r="B2324">
        <v>5</v>
      </c>
      <c r="C2324" s="54">
        <v>43191</v>
      </c>
      <c r="D2324" s="3" t="str">
        <f>YEAR(Datos_Consumo[[#This Row],[FECHA]])&amp;"-"&amp;MONTH(Datos_Consumo[[#This Row],[FECHA]])</f>
        <v>2018-4</v>
      </c>
    </row>
    <row r="2325" spans="1:4" x14ac:dyDescent="0.25">
      <c r="A2325" t="s">
        <v>2138</v>
      </c>
      <c r="B2325">
        <v>4</v>
      </c>
      <c r="C2325" s="54">
        <v>43070</v>
      </c>
      <c r="D2325" s="3" t="str">
        <f>YEAR(Datos_Consumo[[#This Row],[FECHA]])&amp;"-"&amp;MONTH(Datos_Consumo[[#This Row],[FECHA]])</f>
        <v>2017-12</v>
      </c>
    </row>
    <row r="2326" spans="1:4" x14ac:dyDescent="0.25">
      <c r="A2326" t="s">
        <v>2138</v>
      </c>
      <c r="B2326">
        <v>12</v>
      </c>
      <c r="C2326" s="54">
        <v>43101</v>
      </c>
      <c r="D2326" s="3" t="str">
        <f>YEAR(Datos_Consumo[[#This Row],[FECHA]])&amp;"-"&amp;MONTH(Datos_Consumo[[#This Row],[FECHA]])</f>
        <v>2018-1</v>
      </c>
    </row>
    <row r="2327" spans="1:4" x14ac:dyDescent="0.25">
      <c r="A2327" t="s">
        <v>2138</v>
      </c>
      <c r="B2327">
        <v>8</v>
      </c>
      <c r="C2327" s="54">
        <v>43132</v>
      </c>
      <c r="D2327" s="3" t="str">
        <f>YEAR(Datos_Consumo[[#This Row],[FECHA]])&amp;"-"&amp;MONTH(Datos_Consumo[[#This Row],[FECHA]])</f>
        <v>2018-2</v>
      </c>
    </row>
    <row r="2328" spans="1:4" x14ac:dyDescent="0.25">
      <c r="A2328" t="s">
        <v>2138</v>
      </c>
      <c r="B2328">
        <v>8</v>
      </c>
      <c r="C2328" s="54">
        <v>43191</v>
      </c>
      <c r="D2328" s="3" t="str">
        <f>YEAR(Datos_Consumo[[#This Row],[FECHA]])&amp;"-"&amp;MONTH(Datos_Consumo[[#This Row],[FECHA]])</f>
        <v>2018-4</v>
      </c>
    </row>
    <row r="2329" spans="1:4" x14ac:dyDescent="0.25">
      <c r="A2329" t="s">
        <v>2138</v>
      </c>
      <c r="B2329">
        <v>1</v>
      </c>
      <c r="C2329" s="54">
        <v>43221</v>
      </c>
      <c r="D2329" s="3" t="str">
        <f>YEAR(Datos_Consumo[[#This Row],[FECHA]])&amp;"-"&amp;MONTH(Datos_Consumo[[#This Row],[FECHA]])</f>
        <v>2018-5</v>
      </c>
    </row>
    <row r="2330" spans="1:4" x14ac:dyDescent="0.25">
      <c r="A2330" t="s">
        <v>2139</v>
      </c>
      <c r="B2330">
        <v>2</v>
      </c>
      <c r="C2330" s="54">
        <v>43070</v>
      </c>
      <c r="D2330" s="3" t="str">
        <f>YEAR(Datos_Consumo[[#This Row],[FECHA]])&amp;"-"&amp;MONTH(Datos_Consumo[[#This Row],[FECHA]])</f>
        <v>2017-12</v>
      </c>
    </row>
    <row r="2331" spans="1:4" x14ac:dyDescent="0.25">
      <c r="A2331" t="s">
        <v>2139</v>
      </c>
      <c r="B2331">
        <v>1</v>
      </c>
      <c r="C2331" s="54">
        <v>43101</v>
      </c>
      <c r="D2331" s="3" t="str">
        <f>YEAR(Datos_Consumo[[#This Row],[FECHA]])&amp;"-"&amp;MONTH(Datos_Consumo[[#This Row],[FECHA]])</f>
        <v>2018-1</v>
      </c>
    </row>
    <row r="2332" spans="1:4" x14ac:dyDescent="0.25">
      <c r="A2332" t="s">
        <v>2139</v>
      </c>
      <c r="B2332">
        <v>1</v>
      </c>
      <c r="C2332" s="54">
        <v>43160</v>
      </c>
      <c r="D2332" s="3" t="str">
        <f>YEAR(Datos_Consumo[[#This Row],[FECHA]])&amp;"-"&amp;MONTH(Datos_Consumo[[#This Row],[FECHA]])</f>
        <v>2018-3</v>
      </c>
    </row>
    <row r="2333" spans="1:4" x14ac:dyDescent="0.25">
      <c r="A2333" t="s">
        <v>2139</v>
      </c>
      <c r="B2333">
        <v>4</v>
      </c>
      <c r="C2333" s="54">
        <v>43191</v>
      </c>
      <c r="D2333" s="3" t="str">
        <f>YEAR(Datos_Consumo[[#This Row],[FECHA]])&amp;"-"&amp;MONTH(Datos_Consumo[[#This Row],[FECHA]])</f>
        <v>2018-4</v>
      </c>
    </row>
    <row r="2334" spans="1:4" x14ac:dyDescent="0.25">
      <c r="A2334" t="s">
        <v>2140</v>
      </c>
      <c r="B2334">
        <v>8</v>
      </c>
      <c r="C2334" s="54">
        <v>43070</v>
      </c>
      <c r="D2334" s="3" t="str">
        <f>YEAR(Datos_Consumo[[#This Row],[FECHA]])&amp;"-"&amp;MONTH(Datos_Consumo[[#This Row],[FECHA]])</f>
        <v>2017-12</v>
      </c>
    </row>
    <row r="2335" spans="1:4" x14ac:dyDescent="0.25">
      <c r="A2335" t="s">
        <v>2140</v>
      </c>
      <c r="B2335">
        <v>12</v>
      </c>
      <c r="C2335" s="54">
        <v>43101</v>
      </c>
      <c r="D2335" s="3" t="str">
        <f>YEAR(Datos_Consumo[[#This Row],[FECHA]])&amp;"-"&amp;MONTH(Datos_Consumo[[#This Row],[FECHA]])</f>
        <v>2018-1</v>
      </c>
    </row>
    <row r="2336" spans="1:4" x14ac:dyDescent="0.25">
      <c r="A2336" t="s">
        <v>2140</v>
      </c>
      <c r="B2336">
        <v>7</v>
      </c>
      <c r="C2336" s="54">
        <v>43132</v>
      </c>
      <c r="D2336" s="3" t="str">
        <f>YEAR(Datos_Consumo[[#This Row],[FECHA]])&amp;"-"&amp;MONTH(Datos_Consumo[[#This Row],[FECHA]])</f>
        <v>2018-2</v>
      </c>
    </row>
    <row r="2337" spans="1:4" x14ac:dyDescent="0.25">
      <c r="A2337" t="s">
        <v>2140</v>
      </c>
      <c r="B2337">
        <v>17</v>
      </c>
      <c r="C2337" s="54">
        <v>43160</v>
      </c>
      <c r="D2337" s="3" t="str">
        <f>YEAR(Datos_Consumo[[#This Row],[FECHA]])&amp;"-"&amp;MONTH(Datos_Consumo[[#This Row],[FECHA]])</f>
        <v>2018-3</v>
      </c>
    </row>
    <row r="2338" spans="1:4" x14ac:dyDescent="0.25">
      <c r="A2338" t="s">
        <v>2140</v>
      </c>
      <c r="B2338">
        <v>10</v>
      </c>
      <c r="C2338" s="54">
        <v>43191</v>
      </c>
      <c r="D2338" s="3" t="str">
        <f>YEAR(Datos_Consumo[[#This Row],[FECHA]])&amp;"-"&amp;MONTH(Datos_Consumo[[#This Row],[FECHA]])</f>
        <v>2018-4</v>
      </c>
    </row>
    <row r="2339" spans="1:4" x14ac:dyDescent="0.25">
      <c r="A2339" t="s">
        <v>2140</v>
      </c>
      <c r="B2339">
        <v>7</v>
      </c>
      <c r="C2339" s="54">
        <v>43221</v>
      </c>
      <c r="D2339" s="3" t="str">
        <f>YEAR(Datos_Consumo[[#This Row],[FECHA]])&amp;"-"&amp;MONTH(Datos_Consumo[[#This Row],[FECHA]])</f>
        <v>2018-5</v>
      </c>
    </row>
    <row r="2340" spans="1:4" x14ac:dyDescent="0.25">
      <c r="A2340" t="s">
        <v>4061</v>
      </c>
      <c r="B2340">
        <v>1</v>
      </c>
      <c r="C2340" s="54">
        <v>43221</v>
      </c>
      <c r="D2340" s="3" t="str">
        <f>YEAR(Datos_Consumo[[#This Row],[FECHA]])&amp;"-"&amp;MONTH(Datos_Consumo[[#This Row],[FECHA]])</f>
        <v>2018-5</v>
      </c>
    </row>
    <row r="2341" spans="1:4" x14ac:dyDescent="0.25">
      <c r="A2341" t="s">
        <v>2141</v>
      </c>
      <c r="B2341">
        <v>6</v>
      </c>
      <c r="C2341" s="54">
        <v>43070</v>
      </c>
      <c r="D2341" s="3" t="str">
        <f>YEAR(Datos_Consumo[[#This Row],[FECHA]])&amp;"-"&amp;MONTH(Datos_Consumo[[#This Row],[FECHA]])</f>
        <v>2017-12</v>
      </c>
    </row>
    <row r="2342" spans="1:4" x14ac:dyDescent="0.25">
      <c r="A2342" t="s">
        <v>2141</v>
      </c>
      <c r="B2342">
        <v>22</v>
      </c>
      <c r="C2342" s="54">
        <v>43101</v>
      </c>
      <c r="D2342" s="3" t="str">
        <f>YEAR(Datos_Consumo[[#This Row],[FECHA]])&amp;"-"&amp;MONTH(Datos_Consumo[[#This Row],[FECHA]])</f>
        <v>2018-1</v>
      </c>
    </row>
    <row r="2343" spans="1:4" x14ac:dyDescent="0.25">
      <c r="A2343" t="s">
        <v>2141</v>
      </c>
      <c r="B2343">
        <v>11</v>
      </c>
      <c r="C2343" s="54">
        <v>43132</v>
      </c>
      <c r="D2343" s="3" t="str">
        <f>YEAR(Datos_Consumo[[#This Row],[FECHA]])&amp;"-"&amp;MONTH(Datos_Consumo[[#This Row],[FECHA]])</f>
        <v>2018-2</v>
      </c>
    </row>
    <row r="2344" spans="1:4" x14ac:dyDescent="0.25">
      <c r="A2344" t="s">
        <v>2141</v>
      </c>
      <c r="B2344">
        <v>7</v>
      </c>
      <c r="C2344" s="54">
        <v>43160</v>
      </c>
      <c r="D2344" s="3" t="str">
        <f>YEAR(Datos_Consumo[[#This Row],[FECHA]])&amp;"-"&amp;MONTH(Datos_Consumo[[#This Row],[FECHA]])</f>
        <v>2018-3</v>
      </c>
    </row>
    <row r="2345" spans="1:4" x14ac:dyDescent="0.25">
      <c r="A2345" t="s">
        <v>2141</v>
      </c>
      <c r="B2345">
        <v>9</v>
      </c>
      <c r="C2345" s="54">
        <v>43191</v>
      </c>
      <c r="D2345" s="3" t="str">
        <f>YEAR(Datos_Consumo[[#This Row],[FECHA]])&amp;"-"&amp;MONTH(Datos_Consumo[[#This Row],[FECHA]])</f>
        <v>2018-4</v>
      </c>
    </row>
    <row r="2346" spans="1:4" x14ac:dyDescent="0.25">
      <c r="A2346" t="s">
        <v>2141</v>
      </c>
      <c r="B2346">
        <v>13</v>
      </c>
      <c r="C2346" s="54">
        <v>43221</v>
      </c>
      <c r="D2346" s="3" t="str">
        <f>YEAR(Datos_Consumo[[#This Row],[FECHA]])&amp;"-"&amp;MONTH(Datos_Consumo[[#This Row],[FECHA]])</f>
        <v>2018-5</v>
      </c>
    </row>
    <row r="2347" spans="1:4" x14ac:dyDescent="0.25">
      <c r="A2347" t="s">
        <v>2142</v>
      </c>
      <c r="B2347">
        <v>1</v>
      </c>
      <c r="C2347" s="54">
        <v>43070</v>
      </c>
      <c r="D2347" s="3" t="str">
        <f>YEAR(Datos_Consumo[[#This Row],[FECHA]])&amp;"-"&amp;MONTH(Datos_Consumo[[#This Row],[FECHA]])</f>
        <v>2017-12</v>
      </c>
    </row>
    <row r="2348" spans="1:4" x14ac:dyDescent="0.25">
      <c r="A2348" t="s">
        <v>2143</v>
      </c>
      <c r="B2348">
        <v>1</v>
      </c>
      <c r="C2348" s="54">
        <v>43101</v>
      </c>
      <c r="D2348" s="3" t="str">
        <f>YEAR(Datos_Consumo[[#This Row],[FECHA]])&amp;"-"&amp;MONTH(Datos_Consumo[[#This Row],[FECHA]])</f>
        <v>2018-1</v>
      </c>
    </row>
    <row r="2349" spans="1:4" x14ac:dyDescent="0.25">
      <c r="A2349" t="s">
        <v>2144</v>
      </c>
      <c r="B2349">
        <v>1</v>
      </c>
      <c r="C2349" s="54">
        <v>43160</v>
      </c>
      <c r="D2349" s="3" t="str">
        <f>YEAR(Datos_Consumo[[#This Row],[FECHA]])&amp;"-"&amp;MONTH(Datos_Consumo[[#This Row],[FECHA]])</f>
        <v>2018-3</v>
      </c>
    </row>
    <row r="2350" spans="1:4" x14ac:dyDescent="0.25">
      <c r="A2350" t="s">
        <v>2145</v>
      </c>
      <c r="B2350">
        <v>2</v>
      </c>
      <c r="C2350" s="54">
        <v>43160</v>
      </c>
      <c r="D2350" s="3" t="str">
        <f>YEAR(Datos_Consumo[[#This Row],[FECHA]])&amp;"-"&amp;MONTH(Datos_Consumo[[#This Row],[FECHA]])</f>
        <v>2018-3</v>
      </c>
    </row>
    <row r="2351" spans="1:4" x14ac:dyDescent="0.25">
      <c r="A2351" t="s">
        <v>2146</v>
      </c>
      <c r="B2351">
        <v>2</v>
      </c>
      <c r="C2351" s="54">
        <v>43132</v>
      </c>
      <c r="D2351" s="3" t="str">
        <f>YEAR(Datos_Consumo[[#This Row],[FECHA]])&amp;"-"&amp;MONTH(Datos_Consumo[[#This Row],[FECHA]])</f>
        <v>2018-2</v>
      </c>
    </row>
    <row r="2352" spans="1:4" x14ac:dyDescent="0.25">
      <c r="A2352" t="s">
        <v>2147</v>
      </c>
      <c r="B2352">
        <v>8</v>
      </c>
      <c r="C2352" s="54">
        <v>43070</v>
      </c>
      <c r="D2352" s="3" t="str">
        <f>YEAR(Datos_Consumo[[#This Row],[FECHA]])&amp;"-"&amp;MONTH(Datos_Consumo[[#This Row],[FECHA]])</f>
        <v>2017-12</v>
      </c>
    </row>
    <row r="2353" spans="1:4" x14ac:dyDescent="0.25">
      <c r="A2353" t="s">
        <v>2147</v>
      </c>
      <c r="B2353">
        <v>8</v>
      </c>
      <c r="C2353" s="54">
        <v>43101</v>
      </c>
      <c r="D2353" s="3" t="str">
        <f>YEAR(Datos_Consumo[[#This Row],[FECHA]])&amp;"-"&amp;MONTH(Datos_Consumo[[#This Row],[FECHA]])</f>
        <v>2018-1</v>
      </c>
    </row>
    <row r="2354" spans="1:4" x14ac:dyDescent="0.25">
      <c r="A2354" t="s">
        <v>2147</v>
      </c>
      <c r="B2354">
        <v>5</v>
      </c>
      <c r="C2354" s="54">
        <v>43160</v>
      </c>
      <c r="D2354" s="3" t="str">
        <f>YEAR(Datos_Consumo[[#This Row],[FECHA]])&amp;"-"&amp;MONTH(Datos_Consumo[[#This Row],[FECHA]])</f>
        <v>2018-3</v>
      </c>
    </row>
    <row r="2355" spans="1:4" x14ac:dyDescent="0.25">
      <c r="A2355" t="s">
        <v>2148</v>
      </c>
      <c r="B2355">
        <v>11</v>
      </c>
      <c r="C2355" s="54">
        <v>43070</v>
      </c>
      <c r="D2355" s="3" t="str">
        <f>YEAR(Datos_Consumo[[#This Row],[FECHA]])&amp;"-"&amp;MONTH(Datos_Consumo[[#This Row],[FECHA]])</f>
        <v>2017-12</v>
      </c>
    </row>
    <row r="2356" spans="1:4" x14ac:dyDescent="0.25">
      <c r="A2356" t="s">
        <v>2148</v>
      </c>
      <c r="B2356">
        <v>7</v>
      </c>
      <c r="C2356" s="54">
        <v>43101</v>
      </c>
      <c r="D2356" s="3" t="str">
        <f>YEAR(Datos_Consumo[[#This Row],[FECHA]])&amp;"-"&amp;MONTH(Datos_Consumo[[#This Row],[FECHA]])</f>
        <v>2018-1</v>
      </c>
    </row>
    <row r="2357" spans="1:4" x14ac:dyDescent="0.25">
      <c r="A2357" t="s">
        <v>2148</v>
      </c>
      <c r="B2357">
        <v>4</v>
      </c>
      <c r="C2357" s="54">
        <v>43132</v>
      </c>
      <c r="D2357" s="3" t="str">
        <f>YEAR(Datos_Consumo[[#This Row],[FECHA]])&amp;"-"&amp;MONTH(Datos_Consumo[[#This Row],[FECHA]])</f>
        <v>2018-2</v>
      </c>
    </row>
    <row r="2358" spans="1:4" x14ac:dyDescent="0.25">
      <c r="A2358" t="s">
        <v>2148</v>
      </c>
      <c r="B2358">
        <v>5</v>
      </c>
      <c r="C2358" s="54">
        <v>43160</v>
      </c>
      <c r="D2358" s="3" t="str">
        <f>YEAR(Datos_Consumo[[#This Row],[FECHA]])&amp;"-"&amp;MONTH(Datos_Consumo[[#This Row],[FECHA]])</f>
        <v>2018-3</v>
      </c>
    </row>
    <row r="2359" spans="1:4" x14ac:dyDescent="0.25">
      <c r="A2359" t="s">
        <v>2148</v>
      </c>
      <c r="B2359">
        <v>4</v>
      </c>
      <c r="C2359" s="54">
        <v>43191</v>
      </c>
      <c r="D2359" s="3" t="str">
        <f>YEAR(Datos_Consumo[[#This Row],[FECHA]])&amp;"-"&amp;MONTH(Datos_Consumo[[#This Row],[FECHA]])</f>
        <v>2018-4</v>
      </c>
    </row>
    <row r="2360" spans="1:4" x14ac:dyDescent="0.25">
      <c r="A2360" t="s">
        <v>2149</v>
      </c>
      <c r="B2360">
        <v>2</v>
      </c>
      <c r="C2360" s="54">
        <v>43070</v>
      </c>
      <c r="D2360" s="3" t="str">
        <f>YEAR(Datos_Consumo[[#This Row],[FECHA]])&amp;"-"&amp;MONTH(Datos_Consumo[[#This Row],[FECHA]])</f>
        <v>2017-12</v>
      </c>
    </row>
    <row r="2361" spans="1:4" x14ac:dyDescent="0.25">
      <c r="A2361" t="s">
        <v>2149</v>
      </c>
      <c r="B2361">
        <v>2</v>
      </c>
      <c r="C2361" s="54">
        <v>43132</v>
      </c>
      <c r="D2361" s="3" t="str">
        <f>YEAR(Datos_Consumo[[#This Row],[FECHA]])&amp;"-"&amp;MONTH(Datos_Consumo[[#This Row],[FECHA]])</f>
        <v>2018-2</v>
      </c>
    </row>
    <row r="2362" spans="1:4" x14ac:dyDescent="0.25">
      <c r="A2362" t="s">
        <v>2149</v>
      </c>
      <c r="B2362">
        <v>1</v>
      </c>
      <c r="C2362" s="54">
        <v>43160</v>
      </c>
      <c r="D2362" s="3" t="str">
        <f>YEAR(Datos_Consumo[[#This Row],[FECHA]])&amp;"-"&amp;MONTH(Datos_Consumo[[#This Row],[FECHA]])</f>
        <v>2018-3</v>
      </c>
    </row>
    <row r="2363" spans="1:4" x14ac:dyDescent="0.25">
      <c r="A2363" t="s">
        <v>4062</v>
      </c>
      <c r="B2363">
        <v>1</v>
      </c>
      <c r="C2363" s="54">
        <v>43191</v>
      </c>
      <c r="D2363" s="3" t="str">
        <f>YEAR(Datos_Consumo[[#This Row],[FECHA]])&amp;"-"&amp;MONTH(Datos_Consumo[[#This Row],[FECHA]])</f>
        <v>2018-4</v>
      </c>
    </row>
    <row r="2364" spans="1:4" x14ac:dyDescent="0.25">
      <c r="A2364" t="s">
        <v>2150</v>
      </c>
      <c r="B2364">
        <v>4</v>
      </c>
      <c r="C2364" s="54">
        <v>43070</v>
      </c>
      <c r="D2364" s="3" t="str">
        <f>YEAR(Datos_Consumo[[#This Row],[FECHA]])&amp;"-"&amp;MONTH(Datos_Consumo[[#This Row],[FECHA]])</f>
        <v>2017-12</v>
      </c>
    </row>
    <row r="2365" spans="1:4" x14ac:dyDescent="0.25">
      <c r="A2365" t="s">
        <v>2150</v>
      </c>
      <c r="B2365">
        <v>17</v>
      </c>
      <c r="C2365" s="54">
        <v>43101</v>
      </c>
      <c r="D2365" s="3" t="str">
        <f>YEAR(Datos_Consumo[[#This Row],[FECHA]])&amp;"-"&amp;MONTH(Datos_Consumo[[#This Row],[FECHA]])</f>
        <v>2018-1</v>
      </c>
    </row>
    <row r="2366" spans="1:4" x14ac:dyDescent="0.25">
      <c r="A2366" t="s">
        <v>2150</v>
      </c>
      <c r="B2366">
        <v>2</v>
      </c>
      <c r="C2366" s="54">
        <v>43132</v>
      </c>
      <c r="D2366" s="3" t="str">
        <f>YEAR(Datos_Consumo[[#This Row],[FECHA]])&amp;"-"&amp;MONTH(Datos_Consumo[[#This Row],[FECHA]])</f>
        <v>2018-2</v>
      </c>
    </row>
    <row r="2367" spans="1:4" x14ac:dyDescent="0.25">
      <c r="A2367" t="s">
        <v>2150</v>
      </c>
      <c r="B2367">
        <v>13</v>
      </c>
      <c r="C2367" s="54">
        <v>43191</v>
      </c>
      <c r="D2367" s="3" t="str">
        <f>YEAR(Datos_Consumo[[#This Row],[FECHA]])&amp;"-"&amp;MONTH(Datos_Consumo[[#This Row],[FECHA]])</f>
        <v>2018-4</v>
      </c>
    </row>
    <row r="2368" spans="1:4" x14ac:dyDescent="0.25">
      <c r="A2368" t="s">
        <v>2151</v>
      </c>
      <c r="B2368">
        <v>6</v>
      </c>
      <c r="C2368" s="54">
        <v>43101</v>
      </c>
      <c r="D2368" s="3" t="str">
        <f>YEAR(Datos_Consumo[[#This Row],[FECHA]])&amp;"-"&amp;MONTH(Datos_Consumo[[#This Row],[FECHA]])</f>
        <v>2018-1</v>
      </c>
    </row>
    <row r="2369" spans="1:4" x14ac:dyDescent="0.25">
      <c r="A2369" t="s">
        <v>2152</v>
      </c>
      <c r="B2369">
        <v>3</v>
      </c>
      <c r="C2369" s="54">
        <v>43070</v>
      </c>
      <c r="D2369" s="3" t="str">
        <f>YEAR(Datos_Consumo[[#This Row],[FECHA]])&amp;"-"&amp;MONTH(Datos_Consumo[[#This Row],[FECHA]])</f>
        <v>2017-12</v>
      </c>
    </row>
    <row r="2370" spans="1:4" x14ac:dyDescent="0.25">
      <c r="A2370" t="s">
        <v>2152</v>
      </c>
      <c r="B2370">
        <v>3</v>
      </c>
      <c r="C2370" s="54">
        <v>43101</v>
      </c>
      <c r="D2370" s="3" t="str">
        <f>YEAR(Datos_Consumo[[#This Row],[FECHA]])&amp;"-"&amp;MONTH(Datos_Consumo[[#This Row],[FECHA]])</f>
        <v>2018-1</v>
      </c>
    </row>
    <row r="2371" spans="1:4" x14ac:dyDescent="0.25">
      <c r="A2371" t="s">
        <v>2152</v>
      </c>
      <c r="B2371">
        <v>15</v>
      </c>
      <c r="C2371" s="54">
        <v>43132</v>
      </c>
      <c r="D2371" s="3" t="str">
        <f>YEAR(Datos_Consumo[[#This Row],[FECHA]])&amp;"-"&amp;MONTH(Datos_Consumo[[#This Row],[FECHA]])</f>
        <v>2018-2</v>
      </c>
    </row>
    <row r="2372" spans="1:4" x14ac:dyDescent="0.25">
      <c r="A2372" t="s">
        <v>2152</v>
      </c>
      <c r="B2372">
        <v>12</v>
      </c>
      <c r="C2372" s="54">
        <v>43160</v>
      </c>
      <c r="D2372" s="3" t="str">
        <f>YEAR(Datos_Consumo[[#This Row],[FECHA]])&amp;"-"&amp;MONTH(Datos_Consumo[[#This Row],[FECHA]])</f>
        <v>2018-3</v>
      </c>
    </row>
    <row r="2373" spans="1:4" x14ac:dyDescent="0.25">
      <c r="A2373" t="s">
        <v>2152</v>
      </c>
      <c r="B2373">
        <v>22</v>
      </c>
      <c r="C2373" s="54">
        <v>43191</v>
      </c>
      <c r="D2373" s="3" t="str">
        <f>YEAR(Datos_Consumo[[#This Row],[FECHA]])&amp;"-"&amp;MONTH(Datos_Consumo[[#This Row],[FECHA]])</f>
        <v>2018-4</v>
      </c>
    </row>
    <row r="2374" spans="1:4" x14ac:dyDescent="0.25">
      <c r="A2374" t="s">
        <v>2153</v>
      </c>
      <c r="B2374">
        <v>2</v>
      </c>
      <c r="C2374" s="54">
        <v>43101</v>
      </c>
      <c r="D2374" s="3" t="str">
        <f>YEAR(Datos_Consumo[[#This Row],[FECHA]])&amp;"-"&amp;MONTH(Datos_Consumo[[#This Row],[FECHA]])</f>
        <v>2018-1</v>
      </c>
    </row>
    <row r="2375" spans="1:4" x14ac:dyDescent="0.25">
      <c r="A2375" t="s">
        <v>2154</v>
      </c>
      <c r="B2375">
        <v>5</v>
      </c>
      <c r="C2375" s="54">
        <v>43132</v>
      </c>
      <c r="D2375" s="3" t="str">
        <f>YEAR(Datos_Consumo[[#This Row],[FECHA]])&amp;"-"&amp;MONTH(Datos_Consumo[[#This Row],[FECHA]])</f>
        <v>2018-2</v>
      </c>
    </row>
    <row r="2376" spans="1:4" x14ac:dyDescent="0.25">
      <c r="A2376" t="s">
        <v>2154</v>
      </c>
      <c r="B2376">
        <v>4</v>
      </c>
      <c r="C2376" s="54">
        <v>43160</v>
      </c>
      <c r="D2376" s="3" t="str">
        <f>YEAR(Datos_Consumo[[#This Row],[FECHA]])&amp;"-"&amp;MONTH(Datos_Consumo[[#This Row],[FECHA]])</f>
        <v>2018-3</v>
      </c>
    </row>
    <row r="2377" spans="1:4" x14ac:dyDescent="0.25">
      <c r="A2377" t="s">
        <v>2154</v>
      </c>
      <c r="B2377">
        <v>5</v>
      </c>
      <c r="C2377" s="54">
        <v>43191</v>
      </c>
      <c r="D2377" s="3" t="str">
        <f>YEAR(Datos_Consumo[[#This Row],[FECHA]])&amp;"-"&amp;MONTH(Datos_Consumo[[#This Row],[FECHA]])</f>
        <v>2018-4</v>
      </c>
    </row>
    <row r="2378" spans="1:4" x14ac:dyDescent="0.25">
      <c r="A2378" t="s">
        <v>2154</v>
      </c>
      <c r="B2378">
        <v>1</v>
      </c>
      <c r="C2378" s="54">
        <v>43221</v>
      </c>
      <c r="D2378" s="3" t="str">
        <f>YEAR(Datos_Consumo[[#This Row],[FECHA]])&amp;"-"&amp;MONTH(Datos_Consumo[[#This Row],[FECHA]])</f>
        <v>2018-5</v>
      </c>
    </row>
    <row r="2379" spans="1:4" x14ac:dyDescent="0.25">
      <c r="A2379" t="s">
        <v>2155</v>
      </c>
      <c r="B2379">
        <v>7</v>
      </c>
      <c r="C2379" s="54">
        <v>43070</v>
      </c>
      <c r="D2379" s="3" t="str">
        <f>YEAR(Datos_Consumo[[#This Row],[FECHA]])&amp;"-"&amp;MONTH(Datos_Consumo[[#This Row],[FECHA]])</f>
        <v>2017-12</v>
      </c>
    </row>
    <row r="2380" spans="1:4" x14ac:dyDescent="0.25">
      <c r="A2380" t="s">
        <v>2155</v>
      </c>
      <c r="B2380">
        <v>11</v>
      </c>
      <c r="C2380" s="54">
        <v>43101</v>
      </c>
      <c r="D2380" s="3" t="str">
        <f>YEAR(Datos_Consumo[[#This Row],[FECHA]])&amp;"-"&amp;MONTH(Datos_Consumo[[#This Row],[FECHA]])</f>
        <v>2018-1</v>
      </c>
    </row>
    <row r="2381" spans="1:4" x14ac:dyDescent="0.25">
      <c r="A2381" t="s">
        <v>2155</v>
      </c>
      <c r="B2381">
        <v>7</v>
      </c>
      <c r="C2381" s="54">
        <v>43160</v>
      </c>
      <c r="D2381" s="3" t="str">
        <f>YEAR(Datos_Consumo[[#This Row],[FECHA]])&amp;"-"&amp;MONTH(Datos_Consumo[[#This Row],[FECHA]])</f>
        <v>2018-3</v>
      </c>
    </row>
    <row r="2382" spans="1:4" x14ac:dyDescent="0.25">
      <c r="A2382" t="s">
        <v>2155</v>
      </c>
      <c r="B2382">
        <v>5</v>
      </c>
      <c r="C2382" s="54">
        <v>43191</v>
      </c>
      <c r="D2382" s="3" t="str">
        <f>YEAR(Datos_Consumo[[#This Row],[FECHA]])&amp;"-"&amp;MONTH(Datos_Consumo[[#This Row],[FECHA]])</f>
        <v>2018-4</v>
      </c>
    </row>
    <row r="2383" spans="1:4" x14ac:dyDescent="0.25">
      <c r="A2383" t="s">
        <v>2156</v>
      </c>
      <c r="B2383">
        <v>1</v>
      </c>
      <c r="C2383" s="54">
        <v>43070</v>
      </c>
      <c r="D2383" s="3" t="str">
        <f>YEAR(Datos_Consumo[[#This Row],[FECHA]])&amp;"-"&amp;MONTH(Datos_Consumo[[#This Row],[FECHA]])</f>
        <v>2017-12</v>
      </c>
    </row>
    <row r="2384" spans="1:4" x14ac:dyDescent="0.25">
      <c r="A2384" t="s">
        <v>2156</v>
      </c>
      <c r="B2384">
        <v>6</v>
      </c>
      <c r="C2384" s="54">
        <v>43101</v>
      </c>
      <c r="D2384" s="3" t="str">
        <f>YEAR(Datos_Consumo[[#This Row],[FECHA]])&amp;"-"&amp;MONTH(Datos_Consumo[[#This Row],[FECHA]])</f>
        <v>2018-1</v>
      </c>
    </row>
    <row r="2385" spans="1:4" x14ac:dyDescent="0.25">
      <c r="A2385" t="s">
        <v>2156</v>
      </c>
      <c r="B2385">
        <v>10</v>
      </c>
      <c r="C2385" s="54">
        <v>43132</v>
      </c>
      <c r="D2385" s="3" t="str">
        <f>YEAR(Datos_Consumo[[#This Row],[FECHA]])&amp;"-"&amp;MONTH(Datos_Consumo[[#This Row],[FECHA]])</f>
        <v>2018-2</v>
      </c>
    </row>
    <row r="2386" spans="1:4" x14ac:dyDescent="0.25">
      <c r="A2386" t="s">
        <v>2156</v>
      </c>
      <c r="B2386">
        <v>31</v>
      </c>
      <c r="C2386" s="54">
        <v>43160</v>
      </c>
      <c r="D2386" s="3" t="str">
        <f>YEAR(Datos_Consumo[[#This Row],[FECHA]])&amp;"-"&amp;MONTH(Datos_Consumo[[#This Row],[FECHA]])</f>
        <v>2018-3</v>
      </c>
    </row>
    <row r="2387" spans="1:4" x14ac:dyDescent="0.25">
      <c r="A2387" t="s">
        <v>2156</v>
      </c>
      <c r="B2387">
        <v>14</v>
      </c>
      <c r="C2387" s="54">
        <v>43191</v>
      </c>
      <c r="D2387" s="3" t="str">
        <f>YEAR(Datos_Consumo[[#This Row],[FECHA]])&amp;"-"&amp;MONTH(Datos_Consumo[[#This Row],[FECHA]])</f>
        <v>2018-4</v>
      </c>
    </row>
    <row r="2388" spans="1:4" x14ac:dyDescent="0.25">
      <c r="A2388" t="s">
        <v>2156</v>
      </c>
      <c r="B2388">
        <v>5</v>
      </c>
      <c r="C2388" s="54">
        <v>43221</v>
      </c>
      <c r="D2388" s="3" t="str">
        <f>YEAR(Datos_Consumo[[#This Row],[FECHA]])&amp;"-"&amp;MONTH(Datos_Consumo[[#This Row],[FECHA]])</f>
        <v>2018-5</v>
      </c>
    </row>
    <row r="2389" spans="1:4" x14ac:dyDescent="0.25">
      <c r="A2389" t="s">
        <v>2157</v>
      </c>
      <c r="B2389">
        <v>5</v>
      </c>
      <c r="C2389" s="54">
        <v>43070</v>
      </c>
      <c r="D2389" s="3" t="str">
        <f>YEAR(Datos_Consumo[[#This Row],[FECHA]])&amp;"-"&amp;MONTH(Datos_Consumo[[#This Row],[FECHA]])</f>
        <v>2017-12</v>
      </c>
    </row>
    <row r="2390" spans="1:4" x14ac:dyDescent="0.25">
      <c r="A2390" t="s">
        <v>2157</v>
      </c>
      <c r="B2390">
        <v>2</v>
      </c>
      <c r="C2390" s="54">
        <v>43101</v>
      </c>
      <c r="D2390" s="3" t="str">
        <f>YEAR(Datos_Consumo[[#This Row],[FECHA]])&amp;"-"&amp;MONTH(Datos_Consumo[[#This Row],[FECHA]])</f>
        <v>2018-1</v>
      </c>
    </row>
    <row r="2391" spans="1:4" x14ac:dyDescent="0.25">
      <c r="A2391" t="s">
        <v>2157</v>
      </c>
      <c r="B2391">
        <v>1</v>
      </c>
      <c r="C2391" s="54">
        <v>43160</v>
      </c>
      <c r="D2391" s="3" t="str">
        <f>YEAR(Datos_Consumo[[#This Row],[FECHA]])&amp;"-"&amp;MONTH(Datos_Consumo[[#This Row],[FECHA]])</f>
        <v>2018-3</v>
      </c>
    </row>
    <row r="2392" spans="1:4" x14ac:dyDescent="0.25">
      <c r="A2392" t="s">
        <v>2157</v>
      </c>
      <c r="B2392">
        <v>2</v>
      </c>
      <c r="C2392" s="54">
        <v>43191</v>
      </c>
      <c r="D2392" s="3" t="str">
        <f>YEAR(Datos_Consumo[[#This Row],[FECHA]])&amp;"-"&amp;MONTH(Datos_Consumo[[#This Row],[FECHA]])</f>
        <v>2018-4</v>
      </c>
    </row>
    <row r="2393" spans="1:4" x14ac:dyDescent="0.25">
      <c r="A2393" t="s">
        <v>2158</v>
      </c>
      <c r="B2393">
        <v>1</v>
      </c>
      <c r="C2393" s="54">
        <v>43101</v>
      </c>
      <c r="D2393" s="3" t="str">
        <f>YEAR(Datos_Consumo[[#This Row],[FECHA]])&amp;"-"&amp;MONTH(Datos_Consumo[[#This Row],[FECHA]])</f>
        <v>2018-1</v>
      </c>
    </row>
    <row r="2394" spans="1:4" x14ac:dyDescent="0.25">
      <c r="A2394" t="s">
        <v>2159</v>
      </c>
      <c r="B2394">
        <v>6</v>
      </c>
      <c r="C2394" s="54">
        <v>43070</v>
      </c>
      <c r="D2394" s="3" t="str">
        <f>YEAR(Datos_Consumo[[#This Row],[FECHA]])&amp;"-"&amp;MONTH(Datos_Consumo[[#This Row],[FECHA]])</f>
        <v>2017-12</v>
      </c>
    </row>
    <row r="2395" spans="1:4" x14ac:dyDescent="0.25">
      <c r="A2395" t="s">
        <v>2159</v>
      </c>
      <c r="B2395">
        <v>12</v>
      </c>
      <c r="C2395" s="54">
        <v>43101</v>
      </c>
      <c r="D2395" s="3" t="str">
        <f>YEAR(Datos_Consumo[[#This Row],[FECHA]])&amp;"-"&amp;MONTH(Datos_Consumo[[#This Row],[FECHA]])</f>
        <v>2018-1</v>
      </c>
    </row>
    <row r="2396" spans="1:4" x14ac:dyDescent="0.25">
      <c r="A2396" t="s">
        <v>2160</v>
      </c>
      <c r="B2396">
        <v>2</v>
      </c>
      <c r="C2396" s="54">
        <v>43070</v>
      </c>
      <c r="D2396" s="3" t="str">
        <f>YEAR(Datos_Consumo[[#This Row],[FECHA]])&amp;"-"&amp;MONTH(Datos_Consumo[[#This Row],[FECHA]])</f>
        <v>2017-12</v>
      </c>
    </row>
    <row r="2397" spans="1:4" x14ac:dyDescent="0.25">
      <c r="A2397" t="s">
        <v>2160</v>
      </c>
      <c r="B2397">
        <v>6</v>
      </c>
      <c r="C2397" s="54">
        <v>43101</v>
      </c>
      <c r="D2397" s="3" t="str">
        <f>YEAR(Datos_Consumo[[#This Row],[FECHA]])&amp;"-"&amp;MONTH(Datos_Consumo[[#This Row],[FECHA]])</f>
        <v>2018-1</v>
      </c>
    </row>
    <row r="2398" spans="1:4" x14ac:dyDescent="0.25">
      <c r="A2398" t="s">
        <v>2160</v>
      </c>
      <c r="B2398">
        <v>1</v>
      </c>
      <c r="C2398" s="54">
        <v>43132</v>
      </c>
      <c r="D2398" s="3" t="str">
        <f>YEAR(Datos_Consumo[[#This Row],[FECHA]])&amp;"-"&amp;MONTH(Datos_Consumo[[#This Row],[FECHA]])</f>
        <v>2018-2</v>
      </c>
    </row>
    <row r="2399" spans="1:4" x14ac:dyDescent="0.25">
      <c r="A2399" t="s">
        <v>2160</v>
      </c>
      <c r="B2399">
        <v>1</v>
      </c>
      <c r="C2399" s="54">
        <v>43160</v>
      </c>
      <c r="D2399" s="3" t="str">
        <f>YEAR(Datos_Consumo[[#This Row],[FECHA]])&amp;"-"&amp;MONTH(Datos_Consumo[[#This Row],[FECHA]])</f>
        <v>2018-3</v>
      </c>
    </row>
    <row r="2400" spans="1:4" x14ac:dyDescent="0.25">
      <c r="A2400" t="s">
        <v>2160</v>
      </c>
      <c r="B2400">
        <v>5</v>
      </c>
      <c r="C2400" s="54">
        <v>43191</v>
      </c>
      <c r="D2400" s="3" t="str">
        <f>YEAR(Datos_Consumo[[#This Row],[FECHA]])&amp;"-"&amp;MONTH(Datos_Consumo[[#This Row],[FECHA]])</f>
        <v>2018-4</v>
      </c>
    </row>
    <row r="2401" spans="1:4" x14ac:dyDescent="0.25">
      <c r="A2401" t="s">
        <v>2160</v>
      </c>
      <c r="B2401">
        <v>8</v>
      </c>
      <c r="C2401" s="54">
        <v>43221</v>
      </c>
      <c r="D2401" s="3" t="str">
        <f>YEAR(Datos_Consumo[[#This Row],[FECHA]])&amp;"-"&amp;MONTH(Datos_Consumo[[#This Row],[FECHA]])</f>
        <v>2018-5</v>
      </c>
    </row>
    <row r="2402" spans="1:4" x14ac:dyDescent="0.25">
      <c r="A2402" t="s">
        <v>2161</v>
      </c>
      <c r="B2402">
        <v>16</v>
      </c>
      <c r="C2402" s="54">
        <v>43070</v>
      </c>
      <c r="D2402" s="3" t="str">
        <f>YEAR(Datos_Consumo[[#This Row],[FECHA]])&amp;"-"&amp;MONTH(Datos_Consumo[[#This Row],[FECHA]])</f>
        <v>2017-12</v>
      </c>
    </row>
    <row r="2403" spans="1:4" x14ac:dyDescent="0.25">
      <c r="A2403" t="s">
        <v>2161</v>
      </c>
      <c r="B2403">
        <v>17</v>
      </c>
      <c r="C2403" s="54">
        <v>43101</v>
      </c>
      <c r="D2403" s="3" t="str">
        <f>YEAR(Datos_Consumo[[#This Row],[FECHA]])&amp;"-"&amp;MONTH(Datos_Consumo[[#This Row],[FECHA]])</f>
        <v>2018-1</v>
      </c>
    </row>
    <row r="2404" spans="1:4" x14ac:dyDescent="0.25">
      <c r="A2404" t="s">
        <v>2161</v>
      </c>
      <c r="B2404">
        <v>10</v>
      </c>
      <c r="C2404" s="54">
        <v>43132</v>
      </c>
      <c r="D2404" s="3" t="str">
        <f>YEAR(Datos_Consumo[[#This Row],[FECHA]])&amp;"-"&amp;MONTH(Datos_Consumo[[#This Row],[FECHA]])</f>
        <v>2018-2</v>
      </c>
    </row>
    <row r="2405" spans="1:4" x14ac:dyDescent="0.25">
      <c r="A2405" t="s">
        <v>2161</v>
      </c>
      <c r="B2405">
        <v>18</v>
      </c>
      <c r="C2405" s="54">
        <v>43160</v>
      </c>
      <c r="D2405" s="3" t="str">
        <f>YEAR(Datos_Consumo[[#This Row],[FECHA]])&amp;"-"&amp;MONTH(Datos_Consumo[[#This Row],[FECHA]])</f>
        <v>2018-3</v>
      </c>
    </row>
    <row r="2406" spans="1:4" x14ac:dyDescent="0.25">
      <c r="A2406" t="s">
        <v>2161</v>
      </c>
      <c r="B2406">
        <v>22</v>
      </c>
      <c r="C2406" s="54">
        <v>43191</v>
      </c>
      <c r="D2406" s="3" t="str">
        <f>YEAR(Datos_Consumo[[#This Row],[FECHA]])&amp;"-"&amp;MONTH(Datos_Consumo[[#This Row],[FECHA]])</f>
        <v>2018-4</v>
      </c>
    </row>
    <row r="2407" spans="1:4" x14ac:dyDescent="0.25">
      <c r="A2407" t="s">
        <v>2161</v>
      </c>
      <c r="B2407">
        <v>1</v>
      </c>
      <c r="C2407" s="54">
        <v>43221</v>
      </c>
      <c r="D2407" s="3" t="str">
        <f>YEAR(Datos_Consumo[[#This Row],[FECHA]])&amp;"-"&amp;MONTH(Datos_Consumo[[#This Row],[FECHA]])</f>
        <v>2018-5</v>
      </c>
    </row>
    <row r="2408" spans="1:4" x14ac:dyDescent="0.25">
      <c r="A2408" t="s">
        <v>2162</v>
      </c>
      <c r="B2408">
        <v>5</v>
      </c>
      <c r="C2408" s="54">
        <v>43101</v>
      </c>
      <c r="D2408" s="3" t="str">
        <f>YEAR(Datos_Consumo[[#This Row],[FECHA]])&amp;"-"&amp;MONTH(Datos_Consumo[[#This Row],[FECHA]])</f>
        <v>2018-1</v>
      </c>
    </row>
    <row r="2409" spans="1:4" x14ac:dyDescent="0.25">
      <c r="A2409" t="s">
        <v>2162</v>
      </c>
      <c r="B2409">
        <v>1</v>
      </c>
      <c r="C2409" s="54">
        <v>43160</v>
      </c>
      <c r="D2409" s="3" t="str">
        <f>YEAR(Datos_Consumo[[#This Row],[FECHA]])&amp;"-"&amp;MONTH(Datos_Consumo[[#This Row],[FECHA]])</f>
        <v>2018-3</v>
      </c>
    </row>
    <row r="2410" spans="1:4" x14ac:dyDescent="0.25">
      <c r="A2410" t="s">
        <v>2163</v>
      </c>
      <c r="B2410">
        <v>1</v>
      </c>
      <c r="C2410" s="54">
        <v>43070</v>
      </c>
      <c r="D2410" s="3" t="str">
        <f>YEAR(Datos_Consumo[[#This Row],[FECHA]])&amp;"-"&amp;MONTH(Datos_Consumo[[#This Row],[FECHA]])</f>
        <v>2017-12</v>
      </c>
    </row>
    <row r="2411" spans="1:4" x14ac:dyDescent="0.25">
      <c r="A2411" t="s">
        <v>4063</v>
      </c>
      <c r="B2411">
        <v>1</v>
      </c>
      <c r="C2411" s="54">
        <v>43191</v>
      </c>
      <c r="D2411" s="3" t="str">
        <f>YEAR(Datos_Consumo[[#This Row],[FECHA]])&amp;"-"&amp;MONTH(Datos_Consumo[[#This Row],[FECHA]])</f>
        <v>2018-4</v>
      </c>
    </row>
    <row r="2412" spans="1:4" x14ac:dyDescent="0.25">
      <c r="A2412" t="s">
        <v>2164</v>
      </c>
      <c r="B2412">
        <v>2</v>
      </c>
      <c r="C2412" s="54">
        <v>43132</v>
      </c>
      <c r="D2412" s="3" t="str">
        <f>YEAR(Datos_Consumo[[#This Row],[FECHA]])&amp;"-"&amp;MONTH(Datos_Consumo[[#This Row],[FECHA]])</f>
        <v>2018-2</v>
      </c>
    </row>
    <row r="2413" spans="1:4" x14ac:dyDescent="0.25">
      <c r="A2413" t="s">
        <v>2165</v>
      </c>
      <c r="B2413">
        <v>1</v>
      </c>
      <c r="C2413" s="54">
        <v>43191</v>
      </c>
      <c r="D2413" s="3" t="str">
        <f>YEAR(Datos_Consumo[[#This Row],[FECHA]])&amp;"-"&amp;MONTH(Datos_Consumo[[#This Row],[FECHA]])</f>
        <v>2018-4</v>
      </c>
    </row>
    <row r="2414" spans="1:4" x14ac:dyDescent="0.25">
      <c r="A2414" t="s">
        <v>2166</v>
      </c>
      <c r="B2414">
        <v>10</v>
      </c>
      <c r="C2414" s="54">
        <v>43070</v>
      </c>
      <c r="D2414" s="3" t="str">
        <f>YEAR(Datos_Consumo[[#This Row],[FECHA]])&amp;"-"&amp;MONTH(Datos_Consumo[[#This Row],[FECHA]])</f>
        <v>2017-12</v>
      </c>
    </row>
    <row r="2415" spans="1:4" x14ac:dyDescent="0.25">
      <c r="A2415" t="s">
        <v>2166</v>
      </c>
      <c r="B2415">
        <v>36</v>
      </c>
      <c r="C2415" s="54">
        <v>43101</v>
      </c>
      <c r="D2415" s="3" t="str">
        <f>YEAR(Datos_Consumo[[#This Row],[FECHA]])&amp;"-"&amp;MONTH(Datos_Consumo[[#This Row],[FECHA]])</f>
        <v>2018-1</v>
      </c>
    </row>
    <row r="2416" spans="1:4" x14ac:dyDescent="0.25">
      <c r="A2416" t="s">
        <v>2166</v>
      </c>
      <c r="B2416">
        <v>52</v>
      </c>
      <c r="C2416" s="54">
        <v>43132</v>
      </c>
      <c r="D2416" s="3" t="str">
        <f>YEAR(Datos_Consumo[[#This Row],[FECHA]])&amp;"-"&amp;MONTH(Datos_Consumo[[#This Row],[FECHA]])</f>
        <v>2018-2</v>
      </c>
    </row>
    <row r="2417" spans="1:4" x14ac:dyDescent="0.25">
      <c r="A2417" t="s">
        <v>2166</v>
      </c>
      <c r="B2417">
        <v>28</v>
      </c>
      <c r="C2417" s="54">
        <v>43160</v>
      </c>
      <c r="D2417" s="3" t="str">
        <f>YEAR(Datos_Consumo[[#This Row],[FECHA]])&amp;"-"&amp;MONTH(Datos_Consumo[[#This Row],[FECHA]])</f>
        <v>2018-3</v>
      </c>
    </row>
    <row r="2418" spans="1:4" x14ac:dyDescent="0.25">
      <c r="A2418" t="s">
        <v>2166</v>
      </c>
      <c r="B2418">
        <v>32</v>
      </c>
      <c r="C2418" s="54">
        <v>43191</v>
      </c>
      <c r="D2418" s="3" t="str">
        <f>YEAR(Datos_Consumo[[#This Row],[FECHA]])&amp;"-"&amp;MONTH(Datos_Consumo[[#This Row],[FECHA]])</f>
        <v>2018-4</v>
      </c>
    </row>
    <row r="2419" spans="1:4" x14ac:dyDescent="0.25">
      <c r="A2419" t="s">
        <v>2166</v>
      </c>
      <c r="B2419">
        <v>7</v>
      </c>
      <c r="C2419" s="54">
        <v>43221</v>
      </c>
      <c r="D2419" s="3" t="str">
        <f>YEAR(Datos_Consumo[[#This Row],[FECHA]])&amp;"-"&amp;MONTH(Datos_Consumo[[#This Row],[FECHA]])</f>
        <v>2018-5</v>
      </c>
    </row>
    <row r="2420" spans="1:4" x14ac:dyDescent="0.25">
      <c r="A2420" t="s">
        <v>2167</v>
      </c>
      <c r="B2420">
        <v>9</v>
      </c>
      <c r="C2420" s="54">
        <v>43070</v>
      </c>
      <c r="D2420" s="3" t="str">
        <f>YEAR(Datos_Consumo[[#This Row],[FECHA]])&amp;"-"&amp;MONTH(Datos_Consumo[[#This Row],[FECHA]])</f>
        <v>2017-12</v>
      </c>
    </row>
    <row r="2421" spans="1:4" x14ac:dyDescent="0.25">
      <c r="A2421" t="s">
        <v>2167</v>
      </c>
      <c r="B2421">
        <v>6</v>
      </c>
      <c r="C2421" s="54">
        <v>43101</v>
      </c>
      <c r="D2421" s="3" t="str">
        <f>YEAR(Datos_Consumo[[#This Row],[FECHA]])&amp;"-"&amp;MONTH(Datos_Consumo[[#This Row],[FECHA]])</f>
        <v>2018-1</v>
      </c>
    </row>
    <row r="2422" spans="1:4" x14ac:dyDescent="0.25">
      <c r="A2422" t="s">
        <v>2167</v>
      </c>
      <c r="B2422">
        <v>4</v>
      </c>
      <c r="C2422" s="54">
        <v>43132</v>
      </c>
      <c r="D2422" s="3" t="str">
        <f>YEAR(Datos_Consumo[[#This Row],[FECHA]])&amp;"-"&amp;MONTH(Datos_Consumo[[#This Row],[FECHA]])</f>
        <v>2018-2</v>
      </c>
    </row>
    <row r="2423" spans="1:4" x14ac:dyDescent="0.25">
      <c r="A2423" t="s">
        <v>2167</v>
      </c>
      <c r="B2423">
        <v>8</v>
      </c>
      <c r="C2423" s="54">
        <v>43160</v>
      </c>
      <c r="D2423" s="3" t="str">
        <f>YEAR(Datos_Consumo[[#This Row],[FECHA]])&amp;"-"&amp;MONTH(Datos_Consumo[[#This Row],[FECHA]])</f>
        <v>2018-3</v>
      </c>
    </row>
    <row r="2424" spans="1:4" x14ac:dyDescent="0.25">
      <c r="A2424" t="s">
        <v>2167</v>
      </c>
      <c r="B2424">
        <v>8</v>
      </c>
      <c r="C2424" s="54">
        <v>43191</v>
      </c>
      <c r="D2424" s="3" t="str">
        <f>YEAR(Datos_Consumo[[#This Row],[FECHA]])&amp;"-"&amp;MONTH(Datos_Consumo[[#This Row],[FECHA]])</f>
        <v>2018-4</v>
      </c>
    </row>
    <row r="2425" spans="1:4" x14ac:dyDescent="0.25">
      <c r="A2425" t="s">
        <v>2167</v>
      </c>
      <c r="B2425">
        <v>2</v>
      </c>
      <c r="C2425" s="54">
        <v>43221</v>
      </c>
      <c r="D2425" s="3" t="str">
        <f>YEAR(Datos_Consumo[[#This Row],[FECHA]])&amp;"-"&amp;MONTH(Datos_Consumo[[#This Row],[FECHA]])</f>
        <v>2018-5</v>
      </c>
    </row>
    <row r="2426" spans="1:4" x14ac:dyDescent="0.25">
      <c r="A2426" t="s">
        <v>2168</v>
      </c>
      <c r="B2426">
        <v>17</v>
      </c>
      <c r="C2426" s="54">
        <v>43070</v>
      </c>
      <c r="D2426" s="3" t="str">
        <f>YEAR(Datos_Consumo[[#This Row],[FECHA]])&amp;"-"&amp;MONTH(Datos_Consumo[[#This Row],[FECHA]])</f>
        <v>2017-12</v>
      </c>
    </row>
    <row r="2427" spans="1:4" x14ac:dyDescent="0.25">
      <c r="A2427" t="s">
        <v>2168</v>
      </c>
      <c r="B2427">
        <v>15</v>
      </c>
      <c r="C2427" s="54">
        <v>43101</v>
      </c>
      <c r="D2427" s="3" t="str">
        <f>YEAR(Datos_Consumo[[#This Row],[FECHA]])&amp;"-"&amp;MONTH(Datos_Consumo[[#This Row],[FECHA]])</f>
        <v>2018-1</v>
      </c>
    </row>
    <row r="2428" spans="1:4" x14ac:dyDescent="0.25">
      <c r="A2428" t="s">
        <v>2168</v>
      </c>
      <c r="B2428">
        <v>11</v>
      </c>
      <c r="C2428" s="54">
        <v>43132</v>
      </c>
      <c r="D2428" s="3" t="str">
        <f>YEAR(Datos_Consumo[[#This Row],[FECHA]])&amp;"-"&amp;MONTH(Datos_Consumo[[#This Row],[FECHA]])</f>
        <v>2018-2</v>
      </c>
    </row>
    <row r="2429" spans="1:4" x14ac:dyDescent="0.25">
      <c r="A2429" t="s">
        <v>2168</v>
      </c>
      <c r="B2429">
        <v>13</v>
      </c>
      <c r="C2429" s="54">
        <v>43160</v>
      </c>
      <c r="D2429" s="3" t="str">
        <f>YEAR(Datos_Consumo[[#This Row],[FECHA]])&amp;"-"&amp;MONTH(Datos_Consumo[[#This Row],[FECHA]])</f>
        <v>2018-3</v>
      </c>
    </row>
    <row r="2430" spans="1:4" x14ac:dyDescent="0.25">
      <c r="A2430" t="s">
        <v>2168</v>
      </c>
      <c r="B2430">
        <v>11</v>
      </c>
      <c r="C2430" s="54">
        <v>43191</v>
      </c>
      <c r="D2430" s="3" t="str">
        <f>YEAR(Datos_Consumo[[#This Row],[FECHA]])&amp;"-"&amp;MONTH(Datos_Consumo[[#This Row],[FECHA]])</f>
        <v>2018-4</v>
      </c>
    </row>
    <row r="2431" spans="1:4" x14ac:dyDescent="0.25">
      <c r="A2431" t="s">
        <v>2168</v>
      </c>
      <c r="B2431">
        <v>9</v>
      </c>
      <c r="C2431" s="54">
        <v>43221</v>
      </c>
      <c r="D2431" s="3" t="str">
        <f>YEAR(Datos_Consumo[[#This Row],[FECHA]])&amp;"-"&amp;MONTH(Datos_Consumo[[#This Row],[FECHA]])</f>
        <v>2018-5</v>
      </c>
    </row>
    <row r="2432" spans="1:4" x14ac:dyDescent="0.25">
      <c r="A2432" t="s">
        <v>2169</v>
      </c>
      <c r="B2432">
        <v>3</v>
      </c>
      <c r="C2432" s="54">
        <v>43070</v>
      </c>
      <c r="D2432" s="3" t="str">
        <f>YEAR(Datos_Consumo[[#This Row],[FECHA]])&amp;"-"&amp;MONTH(Datos_Consumo[[#This Row],[FECHA]])</f>
        <v>2017-12</v>
      </c>
    </row>
    <row r="2433" spans="1:4" x14ac:dyDescent="0.25">
      <c r="A2433" t="s">
        <v>2169</v>
      </c>
      <c r="B2433">
        <v>2</v>
      </c>
      <c r="C2433" s="54">
        <v>43101</v>
      </c>
      <c r="D2433" s="3" t="str">
        <f>YEAR(Datos_Consumo[[#This Row],[FECHA]])&amp;"-"&amp;MONTH(Datos_Consumo[[#This Row],[FECHA]])</f>
        <v>2018-1</v>
      </c>
    </row>
    <row r="2434" spans="1:4" x14ac:dyDescent="0.25">
      <c r="A2434" t="s">
        <v>2169</v>
      </c>
      <c r="B2434">
        <v>2</v>
      </c>
      <c r="C2434" s="54">
        <v>43132</v>
      </c>
      <c r="D2434" s="3" t="str">
        <f>YEAR(Datos_Consumo[[#This Row],[FECHA]])&amp;"-"&amp;MONTH(Datos_Consumo[[#This Row],[FECHA]])</f>
        <v>2018-2</v>
      </c>
    </row>
    <row r="2435" spans="1:4" x14ac:dyDescent="0.25">
      <c r="A2435" t="s">
        <v>2169</v>
      </c>
      <c r="B2435">
        <v>3</v>
      </c>
      <c r="C2435" s="54">
        <v>43160</v>
      </c>
      <c r="D2435" s="3" t="str">
        <f>YEAR(Datos_Consumo[[#This Row],[FECHA]])&amp;"-"&amp;MONTH(Datos_Consumo[[#This Row],[FECHA]])</f>
        <v>2018-3</v>
      </c>
    </row>
    <row r="2436" spans="1:4" x14ac:dyDescent="0.25">
      <c r="A2436" t="s">
        <v>2169</v>
      </c>
      <c r="B2436">
        <v>1</v>
      </c>
      <c r="C2436" s="54">
        <v>43191</v>
      </c>
      <c r="D2436" s="3" t="str">
        <f>YEAR(Datos_Consumo[[#This Row],[FECHA]])&amp;"-"&amp;MONTH(Datos_Consumo[[#This Row],[FECHA]])</f>
        <v>2018-4</v>
      </c>
    </row>
    <row r="2437" spans="1:4" x14ac:dyDescent="0.25">
      <c r="A2437" t="s">
        <v>2170</v>
      </c>
      <c r="B2437">
        <v>1</v>
      </c>
      <c r="C2437" s="54">
        <v>43070</v>
      </c>
      <c r="D2437" s="3" t="str">
        <f>YEAR(Datos_Consumo[[#This Row],[FECHA]])&amp;"-"&amp;MONTH(Datos_Consumo[[#This Row],[FECHA]])</f>
        <v>2017-12</v>
      </c>
    </row>
    <row r="2438" spans="1:4" x14ac:dyDescent="0.25">
      <c r="A2438" t="s">
        <v>2170</v>
      </c>
      <c r="B2438">
        <v>4</v>
      </c>
      <c r="C2438" s="54">
        <v>43101</v>
      </c>
      <c r="D2438" s="3" t="str">
        <f>YEAR(Datos_Consumo[[#This Row],[FECHA]])&amp;"-"&amp;MONTH(Datos_Consumo[[#This Row],[FECHA]])</f>
        <v>2018-1</v>
      </c>
    </row>
    <row r="2439" spans="1:4" x14ac:dyDescent="0.25">
      <c r="A2439" t="s">
        <v>2170</v>
      </c>
      <c r="B2439">
        <v>2</v>
      </c>
      <c r="C2439" s="54">
        <v>43132</v>
      </c>
      <c r="D2439" s="3" t="str">
        <f>YEAR(Datos_Consumo[[#This Row],[FECHA]])&amp;"-"&amp;MONTH(Datos_Consumo[[#This Row],[FECHA]])</f>
        <v>2018-2</v>
      </c>
    </row>
    <row r="2440" spans="1:4" x14ac:dyDescent="0.25">
      <c r="A2440" t="s">
        <v>2171</v>
      </c>
      <c r="B2440">
        <v>7</v>
      </c>
      <c r="C2440" s="54">
        <v>43070</v>
      </c>
      <c r="D2440" s="3" t="str">
        <f>YEAR(Datos_Consumo[[#This Row],[FECHA]])&amp;"-"&amp;MONTH(Datos_Consumo[[#This Row],[FECHA]])</f>
        <v>2017-12</v>
      </c>
    </row>
    <row r="2441" spans="1:4" x14ac:dyDescent="0.25">
      <c r="A2441" t="s">
        <v>2172</v>
      </c>
      <c r="B2441">
        <v>1</v>
      </c>
      <c r="C2441" s="54">
        <v>43070</v>
      </c>
      <c r="D2441" s="3" t="str">
        <f>YEAR(Datos_Consumo[[#This Row],[FECHA]])&amp;"-"&amp;MONTH(Datos_Consumo[[#This Row],[FECHA]])</f>
        <v>2017-12</v>
      </c>
    </row>
    <row r="2442" spans="1:4" x14ac:dyDescent="0.25">
      <c r="A2442" t="s">
        <v>2172</v>
      </c>
      <c r="B2442">
        <v>1</v>
      </c>
      <c r="C2442" s="54">
        <v>43160</v>
      </c>
      <c r="D2442" s="3" t="str">
        <f>YEAR(Datos_Consumo[[#This Row],[FECHA]])&amp;"-"&amp;MONTH(Datos_Consumo[[#This Row],[FECHA]])</f>
        <v>2018-3</v>
      </c>
    </row>
    <row r="2443" spans="1:4" x14ac:dyDescent="0.25">
      <c r="A2443" t="s">
        <v>2172</v>
      </c>
      <c r="B2443">
        <v>1</v>
      </c>
      <c r="C2443" s="54">
        <v>43221</v>
      </c>
      <c r="D2443" s="3" t="str">
        <f>YEAR(Datos_Consumo[[#This Row],[FECHA]])&amp;"-"&amp;MONTH(Datos_Consumo[[#This Row],[FECHA]])</f>
        <v>2018-5</v>
      </c>
    </row>
    <row r="2444" spans="1:4" x14ac:dyDescent="0.25">
      <c r="A2444" t="s">
        <v>2173</v>
      </c>
      <c r="B2444">
        <v>5</v>
      </c>
      <c r="C2444" s="54">
        <v>43132</v>
      </c>
      <c r="D2444" s="3" t="str">
        <f>YEAR(Datos_Consumo[[#This Row],[FECHA]])&amp;"-"&amp;MONTH(Datos_Consumo[[#This Row],[FECHA]])</f>
        <v>2018-2</v>
      </c>
    </row>
    <row r="2445" spans="1:4" x14ac:dyDescent="0.25">
      <c r="A2445" t="s">
        <v>2173</v>
      </c>
      <c r="B2445">
        <v>5</v>
      </c>
      <c r="C2445" s="54">
        <v>43160</v>
      </c>
      <c r="D2445" s="3" t="str">
        <f>YEAR(Datos_Consumo[[#This Row],[FECHA]])&amp;"-"&amp;MONTH(Datos_Consumo[[#This Row],[FECHA]])</f>
        <v>2018-3</v>
      </c>
    </row>
    <row r="2446" spans="1:4" x14ac:dyDescent="0.25">
      <c r="A2446" t="s">
        <v>2173</v>
      </c>
      <c r="B2446">
        <v>1</v>
      </c>
      <c r="C2446" s="54">
        <v>43191</v>
      </c>
      <c r="D2446" s="3" t="str">
        <f>YEAR(Datos_Consumo[[#This Row],[FECHA]])&amp;"-"&amp;MONTH(Datos_Consumo[[#This Row],[FECHA]])</f>
        <v>2018-4</v>
      </c>
    </row>
    <row r="2447" spans="1:4" x14ac:dyDescent="0.25">
      <c r="A2447" t="s">
        <v>2173</v>
      </c>
      <c r="B2447">
        <v>1</v>
      </c>
      <c r="C2447" s="54">
        <v>43221</v>
      </c>
      <c r="D2447" s="3" t="str">
        <f>YEAR(Datos_Consumo[[#This Row],[FECHA]])&amp;"-"&amp;MONTH(Datos_Consumo[[#This Row],[FECHA]])</f>
        <v>2018-5</v>
      </c>
    </row>
    <row r="2448" spans="1:4" x14ac:dyDescent="0.25">
      <c r="A2448" t="s">
        <v>2174</v>
      </c>
      <c r="B2448">
        <v>2</v>
      </c>
      <c r="C2448" s="54">
        <v>43070</v>
      </c>
      <c r="D2448" s="3" t="str">
        <f>YEAR(Datos_Consumo[[#This Row],[FECHA]])&amp;"-"&amp;MONTH(Datos_Consumo[[#This Row],[FECHA]])</f>
        <v>2017-12</v>
      </c>
    </row>
    <row r="2449" spans="1:4" x14ac:dyDescent="0.25">
      <c r="A2449" t="s">
        <v>2174</v>
      </c>
      <c r="B2449">
        <v>9</v>
      </c>
      <c r="C2449" s="54">
        <v>43101</v>
      </c>
      <c r="D2449" s="3" t="str">
        <f>YEAR(Datos_Consumo[[#This Row],[FECHA]])&amp;"-"&amp;MONTH(Datos_Consumo[[#This Row],[FECHA]])</f>
        <v>2018-1</v>
      </c>
    </row>
    <row r="2450" spans="1:4" x14ac:dyDescent="0.25">
      <c r="A2450" t="s">
        <v>2174</v>
      </c>
      <c r="B2450">
        <v>5</v>
      </c>
      <c r="C2450" s="54">
        <v>43132</v>
      </c>
      <c r="D2450" s="3" t="str">
        <f>YEAR(Datos_Consumo[[#This Row],[FECHA]])&amp;"-"&amp;MONTH(Datos_Consumo[[#This Row],[FECHA]])</f>
        <v>2018-2</v>
      </c>
    </row>
    <row r="2451" spans="1:4" x14ac:dyDescent="0.25">
      <c r="A2451" t="s">
        <v>2174</v>
      </c>
      <c r="B2451">
        <v>17</v>
      </c>
      <c r="C2451" s="54">
        <v>43160</v>
      </c>
      <c r="D2451" s="3" t="str">
        <f>YEAR(Datos_Consumo[[#This Row],[FECHA]])&amp;"-"&amp;MONTH(Datos_Consumo[[#This Row],[FECHA]])</f>
        <v>2018-3</v>
      </c>
    </row>
    <row r="2452" spans="1:4" x14ac:dyDescent="0.25">
      <c r="A2452" t="s">
        <v>2174</v>
      </c>
      <c r="B2452">
        <v>5</v>
      </c>
      <c r="C2452" s="54">
        <v>43191</v>
      </c>
      <c r="D2452" s="3" t="str">
        <f>YEAR(Datos_Consumo[[#This Row],[FECHA]])&amp;"-"&amp;MONTH(Datos_Consumo[[#This Row],[FECHA]])</f>
        <v>2018-4</v>
      </c>
    </row>
    <row r="2453" spans="1:4" x14ac:dyDescent="0.25">
      <c r="A2453" t="s">
        <v>2174</v>
      </c>
      <c r="B2453">
        <v>1</v>
      </c>
      <c r="C2453" s="54">
        <v>43221</v>
      </c>
      <c r="D2453" s="3" t="str">
        <f>YEAR(Datos_Consumo[[#This Row],[FECHA]])&amp;"-"&amp;MONTH(Datos_Consumo[[#This Row],[FECHA]])</f>
        <v>2018-5</v>
      </c>
    </row>
    <row r="2454" spans="1:4" x14ac:dyDescent="0.25">
      <c r="A2454" t="s">
        <v>2175</v>
      </c>
      <c r="B2454">
        <v>3</v>
      </c>
      <c r="C2454" s="54">
        <v>43132</v>
      </c>
      <c r="D2454" s="3" t="str">
        <f>YEAR(Datos_Consumo[[#This Row],[FECHA]])&amp;"-"&amp;MONTH(Datos_Consumo[[#This Row],[FECHA]])</f>
        <v>2018-2</v>
      </c>
    </row>
    <row r="2455" spans="1:4" x14ac:dyDescent="0.25">
      <c r="A2455" t="s">
        <v>2175</v>
      </c>
      <c r="B2455">
        <v>11</v>
      </c>
      <c r="C2455" s="54">
        <v>43160</v>
      </c>
      <c r="D2455" s="3" t="str">
        <f>YEAR(Datos_Consumo[[#This Row],[FECHA]])&amp;"-"&amp;MONTH(Datos_Consumo[[#This Row],[FECHA]])</f>
        <v>2018-3</v>
      </c>
    </row>
    <row r="2456" spans="1:4" x14ac:dyDescent="0.25">
      <c r="A2456" t="s">
        <v>2175</v>
      </c>
      <c r="B2456">
        <v>2</v>
      </c>
      <c r="C2456" s="54">
        <v>43221</v>
      </c>
      <c r="D2456" s="3" t="str">
        <f>YEAR(Datos_Consumo[[#This Row],[FECHA]])&amp;"-"&amp;MONTH(Datos_Consumo[[#This Row],[FECHA]])</f>
        <v>2018-5</v>
      </c>
    </row>
    <row r="2457" spans="1:4" x14ac:dyDescent="0.25">
      <c r="A2457" t="s">
        <v>2176</v>
      </c>
      <c r="B2457">
        <v>3</v>
      </c>
      <c r="C2457" s="54">
        <v>43070</v>
      </c>
      <c r="D2457" s="3" t="str">
        <f>YEAR(Datos_Consumo[[#This Row],[FECHA]])&amp;"-"&amp;MONTH(Datos_Consumo[[#This Row],[FECHA]])</f>
        <v>2017-12</v>
      </c>
    </row>
    <row r="2458" spans="1:4" x14ac:dyDescent="0.25">
      <c r="A2458" t="s">
        <v>2176</v>
      </c>
      <c r="B2458">
        <v>43</v>
      </c>
      <c r="C2458" s="54">
        <v>43101</v>
      </c>
      <c r="D2458" s="3" t="str">
        <f>YEAR(Datos_Consumo[[#This Row],[FECHA]])&amp;"-"&amp;MONTH(Datos_Consumo[[#This Row],[FECHA]])</f>
        <v>2018-1</v>
      </c>
    </row>
    <row r="2459" spans="1:4" x14ac:dyDescent="0.25">
      <c r="A2459" t="s">
        <v>2176</v>
      </c>
      <c r="B2459">
        <v>1</v>
      </c>
      <c r="C2459" s="54">
        <v>43160</v>
      </c>
      <c r="D2459" s="3" t="str">
        <f>YEAR(Datos_Consumo[[#This Row],[FECHA]])&amp;"-"&amp;MONTH(Datos_Consumo[[#This Row],[FECHA]])</f>
        <v>2018-3</v>
      </c>
    </row>
    <row r="2460" spans="1:4" x14ac:dyDescent="0.25">
      <c r="A2460" t="s">
        <v>2176</v>
      </c>
      <c r="B2460">
        <v>2</v>
      </c>
      <c r="C2460" s="54">
        <v>43191</v>
      </c>
      <c r="D2460" s="3" t="str">
        <f>YEAR(Datos_Consumo[[#This Row],[FECHA]])&amp;"-"&amp;MONTH(Datos_Consumo[[#This Row],[FECHA]])</f>
        <v>2018-4</v>
      </c>
    </row>
    <row r="2461" spans="1:4" x14ac:dyDescent="0.25">
      <c r="A2461" t="s">
        <v>2176</v>
      </c>
      <c r="B2461">
        <v>1</v>
      </c>
      <c r="C2461" s="54">
        <v>43221</v>
      </c>
      <c r="D2461" s="3" t="str">
        <f>YEAR(Datos_Consumo[[#This Row],[FECHA]])&amp;"-"&amp;MONTH(Datos_Consumo[[#This Row],[FECHA]])</f>
        <v>2018-5</v>
      </c>
    </row>
    <row r="2462" spans="1:4" x14ac:dyDescent="0.25">
      <c r="A2462" t="s">
        <v>2177</v>
      </c>
      <c r="B2462">
        <v>1</v>
      </c>
      <c r="C2462" s="54">
        <v>43132</v>
      </c>
      <c r="D2462" s="3" t="str">
        <f>YEAR(Datos_Consumo[[#This Row],[FECHA]])&amp;"-"&amp;MONTH(Datos_Consumo[[#This Row],[FECHA]])</f>
        <v>2018-2</v>
      </c>
    </row>
    <row r="2463" spans="1:4" x14ac:dyDescent="0.25">
      <c r="A2463" t="s">
        <v>2178</v>
      </c>
      <c r="B2463">
        <v>1</v>
      </c>
      <c r="C2463" s="54">
        <v>43070</v>
      </c>
      <c r="D2463" s="3" t="str">
        <f>YEAR(Datos_Consumo[[#This Row],[FECHA]])&amp;"-"&amp;MONTH(Datos_Consumo[[#This Row],[FECHA]])</f>
        <v>2017-12</v>
      </c>
    </row>
    <row r="2464" spans="1:4" x14ac:dyDescent="0.25">
      <c r="A2464" t="s">
        <v>2178</v>
      </c>
      <c r="B2464">
        <v>1</v>
      </c>
      <c r="C2464" s="54">
        <v>43132</v>
      </c>
      <c r="D2464" s="3" t="str">
        <f>YEAR(Datos_Consumo[[#This Row],[FECHA]])&amp;"-"&amp;MONTH(Datos_Consumo[[#This Row],[FECHA]])</f>
        <v>2018-2</v>
      </c>
    </row>
    <row r="2465" spans="1:4" x14ac:dyDescent="0.25">
      <c r="A2465" t="s">
        <v>2179</v>
      </c>
      <c r="B2465">
        <v>1</v>
      </c>
      <c r="C2465" s="54">
        <v>43132</v>
      </c>
      <c r="D2465" s="3" t="str">
        <f>YEAR(Datos_Consumo[[#This Row],[FECHA]])&amp;"-"&amp;MONTH(Datos_Consumo[[#This Row],[FECHA]])</f>
        <v>2018-2</v>
      </c>
    </row>
    <row r="2466" spans="1:4" x14ac:dyDescent="0.25">
      <c r="A2466" t="s">
        <v>2179</v>
      </c>
      <c r="B2466">
        <v>1</v>
      </c>
      <c r="C2466" s="54">
        <v>43191</v>
      </c>
      <c r="D2466" s="3" t="str">
        <f>YEAR(Datos_Consumo[[#This Row],[FECHA]])&amp;"-"&amp;MONTH(Datos_Consumo[[#This Row],[FECHA]])</f>
        <v>2018-4</v>
      </c>
    </row>
    <row r="2467" spans="1:4" x14ac:dyDescent="0.25">
      <c r="A2467" t="s">
        <v>2180</v>
      </c>
      <c r="B2467">
        <v>4</v>
      </c>
      <c r="C2467" s="54">
        <v>43101</v>
      </c>
      <c r="D2467" s="3" t="str">
        <f>YEAR(Datos_Consumo[[#This Row],[FECHA]])&amp;"-"&amp;MONTH(Datos_Consumo[[#This Row],[FECHA]])</f>
        <v>2018-1</v>
      </c>
    </row>
    <row r="2468" spans="1:4" x14ac:dyDescent="0.25">
      <c r="A2468" t="s">
        <v>2181</v>
      </c>
      <c r="B2468">
        <v>6</v>
      </c>
      <c r="C2468" s="54">
        <v>43101</v>
      </c>
      <c r="D2468" s="3" t="str">
        <f>YEAR(Datos_Consumo[[#This Row],[FECHA]])&amp;"-"&amp;MONTH(Datos_Consumo[[#This Row],[FECHA]])</f>
        <v>2018-1</v>
      </c>
    </row>
    <row r="2469" spans="1:4" x14ac:dyDescent="0.25">
      <c r="A2469" t="s">
        <v>2182</v>
      </c>
      <c r="B2469">
        <v>1</v>
      </c>
      <c r="C2469" s="54">
        <v>43132</v>
      </c>
      <c r="D2469" s="3" t="str">
        <f>YEAR(Datos_Consumo[[#This Row],[FECHA]])&amp;"-"&amp;MONTH(Datos_Consumo[[#This Row],[FECHA]])</f>
        <v>2018-2</v>
      </c>
    </row>
    <row r="2470" spans="1:4" x14ac:dyDescent="0.25">
      <c r="A2470" t="s">
        <v>2183</v>
      </c>
      <c r="B2470">
        <v>3</v>
      </c>
      <c r="C2470" s="54">
        <v>43070</v>
      </c>
      <c r="D2470" s="3" t="str">
        <f>YEAR(Datos_Consumo[[#This Row],[FECHA]])&amp;"-"&amp;MONTH(Datos_Consumo[[#This Row],[FECHA]])</f>
        <v>2017-12</v>
      </c>
    </row>
    <row r="2471" spans="1:4" x14ac:dyDescent="0.25">
      <c r="A2471" t="s">
        <v>2183</v>
      </c>
      <c r="B2471">
        <v>2</v>
      </c>
      <c r="C2471" s="54">
        <v>43101</v>
      </c>
      <c r="D2471" s="3" t="str">
        <f>YEAR(Datos_Consumo[[#This Row],[FECHA]])&amp;"-"&amp;MONTH(Datos_Consumo[[#This Row],[FECHA]])</f>
        <v>2018-1</v>
      </c>
    </row>
    <row r="2472" spans="1:4" x14ac:dyDescent="0.25">
      <c r="A2472" t="s">
        <v>2183</v>
      </c>
      <c r="B2472">
        <v>2</v>
      </c>
      <c r="C2472" s="54">
        <v>43160</v>
      </c>
      <c r="D2472" s="3" t="str">
        <f>YEAR(Datos_Consumo[[#This Row],[FECHA]])&amp;"-"&amp;MONTH(Datos_Consumo[[#This Row],[FECHA]])</f>
        <v>2018-3</v>
      </c>
    </row>
    <row r="2473" spans="1:4" x14ac:dyDescent="0.25">
      <c r="A2473" t="s">
        <v>2184</v>
      </c>
      <c r="B2473">
        <v>2</v>
      </c>
      <c r="C2473" s="54">
        <v>43160</v>
      </c>
      <c r="D2473" s="3" t="str">
        <f>YEAR(Datos_Consumo[[#This Row],[FECHA]])&amp;"-"&amp;MONTH(Datos_Consumo[[#This Row],[FECHA]])</f>
        <v>2018-3</v>
      </c>
    </row>
    <row r="2474" spans="1:4" x14ac:dyDescent="0.25">
      <c r="A2474" t="s">
        <v>2185</v>
      </c>
      <c r="B2474">
        <v>2</v>
      </c>
      <c r="C2474" s="54">
        <v>43070</v>
      </c>
      <c r="D2474" s="3" t="str">
        <f>YEAR(Datos_Consumo[[#This Row],[FECHA]])&amp;"-"&amp;MONTH(Datos_Consumo[[#This Row],[FECHA]])</f>
        <v>2017-12</v>
      </c>
    </row>
    <row r="2475" spans="1:4" x14ac:dyDescent="0.25">
      <c r="A2475" t="s">
        <v>2185</v>
      </c>
      <c r="B2475">
        <v>5</v>
      </c>
      <c r="C2475" s="54">
        <v>43101</v>
      </c>
      <c r="D2475" s="3" t="str">
        <f>YEAR(Datos_Consumo[[#This Row],[FECHA]])&amp;"-"&amp;MONTH(Datos_Consumo[[#This Row],[FECHA]])</f>
        <v>2018-1</v>
      </c>
    </row>
    <row r="2476" spans="1:4" x14ac:dyDescent="0.25">
      <c r="A2476" t="s">
        <v>2185</v>
      </c>
      <c r="B2476">
        <v>7</v>
      </c>
      <c r="C2476" s="54">
        <v>43160</v>
      </c>
      <c r="D2476" s="3" t="str">
        <f>YEAR(Datos_Consumo[[#This Row],[FECHA]])&amp;"-"&amp;MONTH(Datos_Consumo[[#This Row],[FECHA]])</f>
        <v>2018-3</v>
      </c>
    </row>
    <row r="2477" spans="1:4" x14ac:dyDescent="0.25">
      <c r="A2477" t="s">
        <v>2186</v>
      </c>
      <c r="B2477">
        <v>1</v>
      </c>
      <c r="C2477" s="54">
        <v>43160</v>
      </c>
      <c r="D2477" s="3" t="str">
        <f>YEAR(Datos_Consumo[[#This Row],[FECHA]])&amp;"-"&amp;MONTH(Datos_Consumo[[#This Row],[FECHA]])</f>
        <v>2018-3</v>
      </c>
    </row>
    <row r="2478" spans="1:4" x14ac:dyDescent="0.25">
      <c r="A2478" t="s">
        <v>2186</v>
      </c>
      <c r="B2478">
        <v>2</v>
      </c>
      <c r="C2478" s="54">
        <v>43221</v>
      </c>
      <c r="D2478" s="3" t="str">
        <f>YEAR(Datos_Consumo[[#This Row],[FECHA]])&amp;"-"&amp;MONTH(Datos_Consumo[[#This Row],[FECHA]])</f>
        <v>2018-5</v>
      </c>
    </row>
    <row r="2479" spans="1:4" x14ac:dyDescent="0.25">
      <c r="A2479" t="s">
        <v>2187</v>
      </c>
      <c r="B2479">
        <v>2</v>
      </c>
      <c r="C2479" s="54">
        <v>43070</v>
      </c>
      <c r="D2479" s="3" t="str">
        <f>YEAR(Datos_Consumo[[#This Row],[FECHA]])&amp;"-"&amp;MONTH(Datos_Consumo[[#This Row],[FECHA]])</f>
        <v>2017-12</v>
      </c>
    </row>
    <row r="2480" spans="1:4" x14ac:dyDescent="0.25">
      <c r="A2480" t="s">
        <v>2188</v>
      </c>
      <c r="B2480">
        <v>4</v>
      </c>
      <c r="C2480" s="54">
        <v>43070</v>
      </c>
      <c r="D2480" s="3" t="str">
        <f>YEAR(Datos_Consumo[[#This Row],[FECHA]])&amp;"-"&amp;MONTH(Datos_Consumo[[#This Row],[FECHA]])</f>
        <v>2017-12</v>
      </c>
    </row>
    <row r="2481" spans="1:4" x14ac:dyDescent="0.25">
      <c r="A2481" t="s">
        <v>2188</v>
      </c>
      <c r="B2481">
        <v>3</v>
      </c>
      <c r="C2481" s="54">
        <v>43101</v>
      </c>
      <c r="D2481" s="3" t="str">
        <f>YEAR(Datos_Consumo[[#This Row],[FECHA]])&amp;"-"&amp;MONTH(Datos_Consumo[[#This Row],[FECHA]])</f>
        <v>2018-1</v>
      </c>
    </row>
    <row r="2482" spans="1:4" x14ac:dyDescent="0.25">
      <c r="A2482" t="s">
        <v>2188</v>
      </c>
      <c r="B2482">
        <v>5</v>
      </c>
      <c r="C2482" s="54">
        <v>43160</v>
      </c>
      <c r="D2482" s="3" t="str">
        <f>YEAR(Datos_Consumo[[#This Row],[FECHA]])&amp;"-"&amp;MONTH(Datos_Consumo[[#This Row],[FECHA]])</f>
        <v>2018-3</v>
      </c>
    </row>
    <row r="2483" spans="1:4" x14ac:dyDescent="0.25">
      <c r="A2483" t="s">
        <v>2188</v>
      </c>
      <c r="B2483">
        <v>10</v>
      </c>
      <c r="C2483" s="54">
        <v>43191</v>
      </c>
      <c r="D2483" s="3" t="str">
        <f>YEAR(Datos_Consumo[[#This Row],[FECHA]])&amp;"-"&amp;MONTH(Datos_Consumo[[#This Row],[FECHA]])</f>
        <v>2018-4</v>
      </c>
    </row>
    <row r="2484" spans="1:4" x14ac:dyDescent="0.25">
      <c r="A2484" t="s">
        <v>2189</v>
      </c>
      <c r="B2484">
        <v>2</v>
      </c>
      <c r="C2484" s="54">
        <v>43101</v>
      </c>
      <c r="D2484" s="3" t="str">
        <f>YEAR(Datos_Consumo[[#This Row],[FECHA]])&amp;"-"&amp;MONTH(Datos_Consumo[[#This Row],[FECHA]])</f>
        <v>2018-1</v>
      </c>
    </row>
    <row r="2485" spans="1:4" x14ac:dyDescent="0.25">
      <c r="A2485" t="s">
        <v>2189</v>
      </c>
      <c r="B2485">
        <v>7</v>
      </c>
      <c r="C2485" s="54">
        <v>43160</v>
      </c>
      <c r="D2485" s="3" t="str">
        <f>YEAR(Datos_Consumo[[#This Row],[FECHA]])&amp;"-"&amp;MONTH(Datos_Consumo[[#This Row],[FECHA]])</f>
        <v>2018-3</v>
      </c>
    </row>
    <row r="2486" spans="1:4" x14ac:dyDescent="0.25">
      <c r="A2486" t="s">
        <v>2189</v>
      </c>
      <c r="B2486">
        <v>1</v>
      </c>
      <c r="C2486" s="54">
        <v>43191</v>
      </c>
      <c r="D2486" s="3" t="str">
        <f>YEAR(Datos_Consumo[[#This Row],[FECHA]])&amp;"-"&amp;MONTH(Datos_Consumo[[#This Row],[FECHA]])</f>
        <v>2018-4</v>
      </c>
    </row>
    <row r="2487" spans="1:4" x14ac:dyDescent="0.25">
      <c r="A2487" t="s">
        <v>2190</v>
      </c>
      <c r="B2487">
        <v>35</v>
      </c>
      <c r="C2487" s="54">
        <v>43070</v>
      </c>
      <c r="D2487" s="3" t="str">
        <f>YEAR(Datos_Consumo[[#This Row],[FECHA]])&amp;"-"&amp;MONTH(Datos_Consumo[[#This Row],[FECHA]])</f>
        <v>2017-12</v>
      </c>
    </row>
    <row r="2488" spans="1:4" x14ac:dyDescent="0.25">
      <c r="A2488" t="s">
        <v>2190</v>
      </c>
      <c r="B2488">
        <v>8</v>
      </c>
      <c r="C2488" s="54">
        <v>43101</v>
      </c>
      <c r="D2488" s="3" t="str">
        <f>YEAR(Datos_Consumo[[#This Row],[FECHA]])&amp;"-"&amp;MONTH(Datos_Consumo[[#This Row],[FECHA]])</f>
        <v>2018-1</v>
      </c>
    </row>
    <row r="2489" spans="1:4" x14ac:dyDescent="0.25">
      <c r="A2489" t="s">
        <v>2190</v>
      </c>
      <c r="B2489">
        <v>10</v>
      </c>
      <c r="C2489" s="54">
        <v>43132</v>
      </c>
      <c r="D2489" s="3" t="str">
        <f>YEAR(Datos_Consumo[[#This Row],[FECHA]])&amp;"-"&amp;MONTH(Datos_Consumo[[#This Row],[FECHA]])</f>
        <v>2018-2</v>
      </c>
    </row>
    <row r="2490" spans="1:4" x14ac:dyDescent="0.25">
      <c r="A2490" t="s">
        <v>2190</v>
      </c>
      <c r="B2490">
        <v>31</v>
      </c>
      <c r="C2490" s="54">
        <v>43160</v>
      </c>
      <c r="D2490" s="3" t="str">
        <f>YEAR(Datos_Consumo[[#This Row],[FECHA]])&amp;"-"&amp;MONTH(Datos_Consumo[[#This Row],[FECHA]])</f>
        <v>2018-3</v>
      </c>
    </row>
    <row r="2491" spans="1:4" x14ac:dyDescent="0.25">
      <c r="A2491" t="s">
        <v>2190</v>
      </c>
      <c r="B2491">
        <v>24</v>
      </c>
      <c r="C2491" s="54">
        <v>43191</v>
      </c>
      <c r="D2491" s="3" t="str">
        <f>YEAR(Datos_Consumo[[#This Row],[FECHA]])&amp;"-"&amp;MONTH(Datos_Consumo[[#This Row],[FECHA]])</f>
        <v>2018-4</v>
      </c>
    </row>
    <row r="2492" spans="1:4" x14ac:dyDescent="0.25">
      <c r="A2492" t="s">
        <v>2190</v>
      </c>
      <c r="B2492">
        <v>11</v>
      </c>
      <c r="C2492" s="54">
        <v>43221</v>
      </c>
      <c r="D2492" s="3" t="str">
        <f>YEAR(Datos_Consumo[[#This Row],[FECHA]])&amp;"-"&amp;MONTH(Datos_Consumo[[#This Row],[FECHA]])</f>
        <v>2018-5</v>
      </c>
    </row>
    <row r="2493" spans="1:4" x14ac:dyDescent="0.25">
      <c r="A2493" t="s">
        <v>2191</v>
      </c>
      <c r="B2493">
        <v>12</v>
      </c>
      <c r="C2493" s="54">
        <v>43070</v>
      </c>
      <c r="D2493" s="3" t="str">
        <f>YEAR(Datos_Consumo[[#This Row],[FECHA]])&amp;"-"&amp;MONTH(Datos_Consumo[[#This Row],[FECHA]])</f>
        <v>2017-12</v>
      </c>
    </row>
    <row r="2494" spans="1:4" x14ac:dyDescent="0.25">
      <c r="A2494" t="s">
        <v>2191</v>
      </c>
      <c r="B2494">
        <v>2</v>
      </c>
      <c r="C2494" s="54">
        <v>43101</v>
      </c>
      <c r="D2494" s="3" t="str">
        <f>YEAR(Datos_Consumo[[#This Row],[FECHA]])&amp;"-"&amp;MONTH(Datos_Consumo[[#This Row],[FECHA]])</f>
        <v>2018-1</v>
      </c>
    </row>
    <row r="2495" spans="1:4" x14ac:dyDescent="0.25">
      <c r="A2495" t="s">
        <v>2191</v>
      </c>
      <c r="B2495">
        <v>13</v>
      </c>
      <c r="C2495" s="54">
        <v>43160</v>
      </c>
      <c r="D2495" s="3" t="str">
        <f>YEAR(Datos_Consumo[[#This Row],[FECHA]])&amp;"-"&amp;MONTH(Datos_Consumo[[#This Row],[FECHA]])</f>
        <v>2018-3</v>
      </c>
    </row>
    <row r="2496" spans="1:4" x14ac:dyDescent="0.25">
      <c r="A2496" t="s">
        <v>2191</v>
      </c>
      <c r="B2496">
        <v>4</v>
      </c>
      <c r="C2496" s="54">
        <v>43191</v>
      </c>
      <c r="D2496" s="3" t="str">
        <f>YEAR(Datos_Consumo[[#This Row],[FECHA]])&amp;"-"&amp;MONTH(Datos_Consumo[[#This Row],[FECHA]])</f>
        <v>2018-4</v>
      </c>
    </row>
    <row r="2497" spans="1:4" x14ac:dyDescent="0.25">
      <c r="A2497" t="s">
        <v>2192</v>
      </c>
      <c r="B2497">
        <v>2</v>
      </c>
      <c r="C2497" s="54">
        <v>43070</v>
      </c>
      <c r="D2497" s="3" t="str">
        <f>YEAR(Datos_Consumo[[#This Row],[FECHA]])&amp;"-"&amp;MONTH(Datos_Consumo[[#This Row],[FECHA]])</f>
        <v>2017-12</v>
      </c>
    </row>
    <row r="2498" spans="1:4" x14ac:dyDescent="0.25">
      <c r="A2498" t="s">
        <v>2192</v>
      </c>
      <c r="B2498">
        <v>1</v>
      </c>
      <c r="C2498" s="54">
        <v>43160</v>
      </c>
      <c r="D2498" s="3" t="str">
        <f>YEAR(Datos_Consumo[[#This Row],[FECHA]])&amp;"-"&amp;MONTH(Datos_Consumo[[#This Row],[FECHA]])</f>
        <v>2018-3</v>
      </c>
    </row>
    <row r="2499" spans="1:4" x14ac:dyDescent="0.25">
      <c r="A2499" t="s">
        <v>2193</v>
      </c>
      <c r="B2499">
        <v>2</v>
      </c>
      <c r="C2499" s="54">
        <v>43101</v>
      </c>
      <c r="D2499" s="3" t="str">
        <f>YEAR(Datos_Consumo[[#This Row],[FECHA]])&amp;"-"&amp;MONTH(Datos_Consumo[[#This Row],[FECHA]])</f>
        <v>2018-1</v>
      </c>
    </row>
    <row r="2500" spans="1:4" x14ac:dyDescent="0.25">
      <c r="A2500" t="s">
        <v>2193</v>
      </c>
      <c r="B2500">
        <v>5</v>
      </c>
      <c r="C2500" s="54">
        <v>43160</v>
      </c>
      <c r="D2500" s="3" t="str">
        <f>YEAR(Datos_Consumo[[#This Row],[FECHA]])&amp;"-"&amp;MONTH(Datos_Consumo[[#This Row],[FECHA]])</f>
        <v>2018-3</v>
      </c>
    </row>
    <row r="2501" spans="1:4" x14ac:dyDescent="0.25">
      <c r="A2501" t="s">
        <v>2193</v>
      </c>
      <c r="B2501">
        <v>2</v>
      </c>
      <c r="C2501" s="54">
        <v>43191</v>
      </c>
      <c r="D2501" s="3" t="str">
        <f>YEAR(Datos_Consumo[[#This Row],[FECHA]])&amp;"-"&amp;MONTH(Datos_Consumo[[#This Row],[FECHA]])</f>
        <v>2018-4</v>
      </c>
    </row>
    <row r="2502" spans="1:4" x14ac:dyDescent="0.25">
      <c r="A2502" t="s">
        <v>2194</v>
      </c>
      <c r="B2502">
        <v>1</v>
      </c>
      <c r="C2502" s="54">
        <v>43101</v>
      </c>
      <c r="D2502" s="3" t="str">
        <f>YEAR(Datos_Consumo[[#This Row],[FECHA]])&amp;"-"&amp;MONTH(Datos_Consumo[[#This Row],[FECHA]])</f>
        <v>2018-1</v>
      </c>
    </row>
    <row r="2503" spans="1:4" x14ac:dyDescent="0.25">
      <c r="A2503" t="s">
        <v>2194</v>
      </c>
      <c r="B2503">
        <v>2</v>
      </c>
      <c r="C2503" s="54">
        <v>43160</v>
      </c>
      <c r="D2503" s="3" t="str">
        <f>YEAR(Datos_Consumo[[#This Row],[FECHA]])&amp;"-"&amp;MONTH(Datos_Consumo[[#This Row],[FECHA]])</f>
        <v>2018-3</v>
      </c>
    </row>
    <row r="2504" spans="1:4" x14ac:dyDescent="0.25">
      <c r="A2504" t="s">
        <v>2194</v>
      </c>
      <c r="B2504">
        <v>3</v>
      </c>
      <c r="C2504" s="54">
        <v>43191</v>
      </c>
      <c r="D2504" s="3" t="str">
        <f>YEAR(Datos_Consumo[[#This Row],[FECHA]])&amp;"-"&amp;MONTH(Datos_Consumo[[#This Row],[FECHA]])</f>
        <v>2018-4</v>
      </c>
    </row>
    <row r="2505" spans="1:4" x14ac:dyDescent="0.25">
      <c r="A2505" t="s">
        <v>2195</v>
      </c>
      <c r="B2505">
        <v>1</v>
      </c>
      <c r="C2505" s="54">
        <v>43160</v>
      </c>
      <c r="D2505" s="3" t="str">
        <f>YEAR(Datos_Consumo[[#This Row],[FECHA]])&amp;"-"&amp;MONTH(Datos_Consumo[[#This Row],[FECHA]])</f>
        <v>2018-3</v>
      </c>
    </row>
    <row r="2506" spans="1:4" x14ac:dyDescent="0.25">
      <c r="A2506" t="s">
        <v>2196</v>
      </c>
      <c r="B2506">
        <v>2</v>
      </c>
      <c r="C2506" s="54">
        <v>43132</v>
      </c>
      <c r="D2506" s="3" t="str">
        <f>YEAR(Datos_Consumo[[#This Row],[FECHA]])&amp;"-"&amp;MONTH(Datos_Consumo[[#This Row],[FECHA]])</f>
        <v>2018-2</v>
      </c>
    </row>
    <row r="2507" spans="1:4" x14ac:dyDescent="0.25">
      <c r="A2507" t="s">
        <v>2197</v>
      </c>
      <c r="B2507">
        <v>6</v>
      </c>
      <c r="C2507" s="54">
        <v>43070</v>
      </c>
      <c r="D2507" s="3" t="str">
        <f>YEAR(Datos_Consumo[[#This Row],[FECHA]])&amp;"-"&amp;MONTH(Datos_Consumo[[#This Row],[FECHA]])</f>
        <v>2017-12</v>
      </c>
    </row>
    <row r="2508" spans="1:4" x14ac:dyDescent="0.25">
      <c r="A2508" t="s">
        <v>2197</v>
      </c>
      <c r="B2508">
        <v>1</v>
      </c>
      <c r="C2508" s="54">
        <v>43132</v>
      </c>
      <c r="D2508" s="3" t="str">
        <f>YEAR(Datos_Consumo[[#This Row],[FECHA]])&amp;"-"&amp;MONTH(Datos_Consumo[[#This Row],[FECHA]])</f>
        <v>2018-2</v>
      </c>
    </row>
    <row r="2509" spans="1:4" x14ac:dyDescent="0.25">
      <c r="A2509" t="s">
        <v>2197</v>
      </c>
      <c r="B2509">
        <v>4</v>
      </c>
      <c r="C2509" s="54">
        <v>43160</v>
      </c>
      <c r="D2509" s="3" t="str">
        <f>YEAR(Datos_Consumo[[#This Row],[FECHA]])&amp;"-"&amp;MONTH(Datos_Consumo[[#This Row],[FECHA]])</f>
        <v>2018-3</v>
      </c>
    </row>
    <row r="2510" spans="1:4" x14ac:dyDescent="0.25">
      <c r="A2510" t="s">
        <v>2197</v>
      </c>
      <c r="B2510">
        <v>2</v>
      </c>
      <c r="C2510" s="54">
        <v>43191</v>
      </c>
      <c r="D2510" s="3" t="str">
        <f>YEAR(Datos_Consumo[[#This Row],[FECHA]])&amp;"-"&amp;MONTH(Datos_Consumo[[#This Row],[FECHA]])</f>
        <v>2018-4</v>
      </c>
    </row>
    <row r="2511" spans="1:4" x14ac:dyDescent="0.25">
      <c r="A2511" t="s">
        <v>2198</v>
      </c>
      <c r="B2511">
        <v>3</v>
      </c>
      <c r="C2511" s="54">
        <v>43101</v>
      </c>
      <c r="D2511" s="3" t="str">
        <f>YEAR(Datos_Consumo[[#This Row],[FECHA]])&amp;"-"&amp;MONTH(Datos_Consumo[[#This Row],[FECHA]])</f>
        <v>2018-1</v>
      </c>
    </row>
    <row r="2512" spans="1:4" x14ac:dyDescent="0.25">
      <c r="A2512" t="s">
        <v>2199</v>
      </c>
      <c r="B2512">
        <v>2</v>
      </c>
      <c r="C2512" s="54">
        <v>43070</v>
      </c>
      <c r="D2512" s="3" t="str">
        <f>YEAR(Datos_Consumo[[#This Row],[FECHA]])&amp;"-"&amp;MONTH(Datos_Consumo[[#This Row],[FECHA]])</f>
        <v>2017-12</v>
      </c>
    </row>
    <row r="2513" spans="1:4" x14ac:dyDescent="0.25">
      <c r="A2513" t="s">
        <v>2200</v>
      </c>
      <c r="B2513">
        <v>3</v>
      </c>
      <c r="C2513" s="54">
        <v>43070</v>
      </c>
      <c r="D2513" s="3" t="str">
        <f>YEAR(Datos_Consumo[[#This Row],[FECHA]])&amp;"-"&amp;MONTH(Datos_Consumo[[#This Row],[FECHA]])</f>
        <v>2017-12</v>
      </c>
    </row>
    <row r="2514" spans="1:4" x14ac:dyDescent="0.25">
      <c r="A2514" t="s">
        <v>2201</v>
      </c>
      <c r="B2514">
        <v>2</v>
      </c>
      <c r="C2514" s="54">
        <v>43070</v>
      </c>
      <c r="D2514" s="3" t="str">
        <f>YEAR(Datos_Consumo[[#This Row],[FECHA]])&amp;"-"&amp;MONTH(Datos_Consumo[[#This Row],[FECHA]])</f>
        <v>2017-12</v>
      </c>
    </row>
    <row r="2515" spans="1:4" x14ac:dyDescent="0.25">
      <c r="A2515" t="s">
        <v>2202</v>
      </c>
      <c r="B2515">
        <v>3</v>
      </c>
      <c r="C2515" s="54">
        <v>43070</v>
      </c>
      <c r="D2515" s="3" t="str">
        <f>YEAR(Datos_Consumo[[#This Row],[FECHA]])&amp;"-"&amp;MONTH(Datos_Consumo[[#This Row],[FECHA]])</f>
        <v>2017-12</v>
      </c>
    </row>
    <row r="2516" spans="1:4" x14ac:dyDescent="0.25">
      <c r="A2516" t="s">
        <v>2202</v>
      </c>
      <c r="B2516">
        <v>1</v>
      </c>
      <c r="C2516" s="54">
        <v>43132</v>
      </c>
      <c r="D2516" s="3" t="str">
        <f>YEAR(Datos_Consumo[[#This Row],[FECHA]])&amp;"-"&amp;MONTH(Datos_Consumo[[#This Row],[FECHA]])</f>
        <v>2018-2</v>
      </c>
    </row>
    <row r="2517" spans="1:4" x14ac:dyDescent="0.25">
      <c r="A2517" t="s">
        <v>2203</v>
      </c>
      <c r="B2517">
        <v>1</v>
      </c>
      <c r="C2517" s="54">
        <v>43070</v>
      </c>
      <c r="D2517" s="3" t="str">
        <f>YEAR(Datos_Consumo[[#This Row],[FECHA]])&amp;"-"&amp;MONTH(Datos_Consumo[[#This Row],[FECHA]])</f>
        <v>2017-12</v>
      </c>
    </row>
    <row r="2518" spans="1:4" x14ac:dyDescent="0.25">
      <c r="A2518" t="s">
        <v>2204</v>
      </c>
      <c r="B2518">
        <v>2</v>
      </c>
      <c r="C2518" s="54">
        <v>43070</v>
      </c>
      <c r="D2518" s="3" t="str">
        <f>YEAR(Datos_Consumo[[#This Row],[FECHA]])&amp;"-"&amp;MONTH(Datos_Consumo[[#This Row],[FECHA]])</f>
        <v>2017-12</v>
      </c>
    </row>
    <row r="2519" spans="1:4" x14ac:dyDescent="0.25">
      <c r="A2519" t="s">
        <v>2204</v>
      </c>
      <c r="B2519">
        <v>4</v>
      </c>
      <c r="C2519" s="54">
        <v>43101</v>
      </c>
      <c r="D2519" s="3" t="str">
        <f>YEAR(Datos_Consumo[[#This Row],[FECHA]])&amp;"-"&amp;MONTH(Datos_Consumo[[#This Row],[FECHA]])</f>
        <v>2018-1</v>
      </c>
    </row>
    <row r="2520" spans="1:4" x14ac:dyDescent="0.25">
      <c r="A2520" t="s">
        <v>2204</v>
      </c>
      <c r="B2520">
        <v>1</v>
      </c>
      <c r="C2520" s="54">
        <v>43160</v>
      </c>
      <c r="D2520" s="3" t="str">
        <f>YEAR(Datos_Consumo[[#This Row],[FECHA]])&amp;"-"&amp;MONTH(Datos_Consumo[[#This Row],[FECHA]])</f>
        <v>2018-3</v>
      </c>
    </row>
    <row r="2521" spans="1:4" x14ac:dyDescent="0.25">
      <c r="A2521" t="s">
        <v>2205</v>
      </c>
      <c r="B2521">
        <v>1</v>
      </c>
      <c r="C2521" s="54">
        <v>43160</v>
      </c>
      <c r="D2521" s="3" t="str">
        <f>YEAR(Datos_Consumo[[#This Row],[FECHA]])&amp;"-"&amp;MONTH(Datos_Consumo[[#This Row],[FECHA]])</f>
        <v>2018-3</v>
      </c>
    </row>
    <row r="2522" spans="1:4" x14ac:dyDescent="0.25">
      <c r="A2522" t="s">
        <v>2206</v>
      </c>
      <c r="B2522">
        <v>3</v>
      </c>
      <c r="C2522" s="54">
        <v>43101</v>
      </c>
      <c r="D2522" s="3" t="str">
        <f>YEAR(Datos_Consumo[[#This Row],[FECHA]])&amp;"-"&amp;MONTH(Datos_Consumo[[#This Row],[FECHA]])</f>
        <v>2018-1</v>
      </c>
    </row>
    <row r="2523" spans="1:4" x14ac:dyDescent="0.25">
      <c r="A2523" t="s">
        <v>2207</v>
      </c>
      <c r="B2523">
        <v>1</v>
      </c>
      <c r="C2523" s="54">
        <v>43070</v>
      </c>
      <c r="D2523" s="3" t="str">
        <f>YEAR(Datos_Consumo[[#This Row],[FECHA]])&amp;"-"&amp;MONTH(Datos_Consumo[[#This Row],[FECHA]])</f>
        <v>2017-12</v>
      </c>
    </row>
    <row r="2524" spans="1:4" x14ac:dyDescent="0.25">
      <c r="A2524" t="s">
        <v>2208</v>
      </c>
      <c r="B2524">
        <v>2</v>
      </c>
      <c r="C2524" s="54">
        <v>43070</v>
      </c>
      <c r="D2524" s="3" t="str">
        <f>YEAR(Datos_Consumo[[#This Row],[FECHA]])&amp;"-"&amp;MONTH(Datos_Consumo[[#This Row],[FECHA]])</f>
        <v>2017-12</v>
      </c>
    </row>
    <row r="2525" spans="1:4" x14ac:dyDescent="0.25">
      <c r="A2525" t="s">
        <v>2208</v>
      </c>
      <c r="B2525">
        <v>2</v>
      </c>
      <c r="C2525" s="54">
        <v>43101</v>
      </c>
      <c r="D2525" s="3" t="str">
        <f>YEAR(Datos_Consumo[[#This Row],[FECHA]])&amp;"-"&amp;MONTH(Datos_Consumo[[#This Row],[FECHA]])</f>
        <v>2018-1</v>
      </c>
    </row>
    <row r="2526" spans="1:4" x14ac:dyDescent="0.25">
      <c r="A2526" t="s">
        <v>2208</v>
      </c>
      <c r="B2526">
        <v>2</v>
      </c>
      <c r="C2526" s="54">
        <v>43132</v>
      </c>
      <c r="D2526" s="3" t="str">
        <f>YEAR(Datos_Consumo[[#This Row],[FECHA]])&amp;"-"&amp;MONTH(Datos_Consumo[[#This Row],[FECHA]])</f>
        <v>2018-2</v>
      </c>
    </row>
    <row r="2527" spans="1:4" x14ac:dyDescent="0.25">
      <c r="A2527" t="s">
        <v>2209</v>
      </c>
      <c r="B2527">
        <v>11</v>
      </c>
      <c r="C2527" s="54">
        <v>43070</v>
      </c>
      <c r="D2527" s="3" t="str">
        <f>YEAR(Datos_Consumo[[#This Row],[FECHA]])&amp;"-"&amp;MONTH(Datos_Consumo[[#This Row],[FECHA]])</f>
        <v>2017-12</v>
      </c>
    </row>
    <row r="2528" spans="1:4" x14ac:dyDescent="0.25">
      <c r="A2528" t="s">
        <v>2209</v>
      </c>
      <c r="B2528">
        <v>61</v>
      </c>
      <c r="C2528" s="54">
        <v>43101</v>
      </c>
      <c r="D2528" s="3" t="str">
        <f>YEAR(Datos_Consumo[[#This Row],[FECHA]])&amp;"-"&amp;MONTH(Datos_Consumo[[#This Row],[FECHA]])</f>
        <v>2018-1</v>
      </c>
    </row>
    <row r="2529" spans="1:4" x14ac:dyDescent="0.25">
      <c r="A2529" t="s">
        <v>2209</v>
      </c>
      <c r="B2529">
        <v>6</v>
      </c>
      <c r="C2529" s="54">
        <v>43132</v>
      </c>
      <c r="D2529" s="3" t="str">
        <f>YEAR(Datos_Consumo[[#This Row],[FECHA]])&amp;"-"&amp;MONTH(Datos_Consumo[[#This Row],[FECHA]])</f>
        <v>2018-2</v>
      </c>
    </row>
    <row r="2530" spans="1:4" x14ac:dyDescent="0.25">
      <c r="A2530" t="s">
        <v>2209</v>
      </c>
      <c r="B2530">
        <v>5</v>
      </c>
      <c r="C2530" s="54">
        <v>43160</v>
      </c>
      <c r="D2530" s="3" t="str">
        <f>YEAR(Datos_Consumo[[#This Row],[FECHA]])&amp;"-"&amp;MONTH(Datos_Consumo[[#This Row],[FECHA]])</f>
        <v>2018-3</v>
      </c>
    </row>
    <row r="2531" spans="1:4" x14ac:dyDescent="0.25">
      <c r="A2531" t="s">
        <v>2209</v>
      </c>
      <c r="B2531">
        <v>32</v>
      </c>
      <c r="C2531" s="54">
        <v>43191</v>
      </c>
      <c r="D2531" s="3" t="str">
        <f>YEAR(Datos_Consumo[[#This Row],[FECHA]])&amp;"-"&amp;MONTH(Datos_Consumo[[#This Row],[FECHA]])</f>
        <v>2018-4</v>
      </c>
    </row>
    <row r="2532" spans="1:4" x14ac:dyDescent="0.25">
      <c r="A2532" t="s">
        <v>2209</v>
      </c>
      <c r="B2532">
        <v>10</v>
      </c>
      <c r="C2532" s="54">
        <v>43221</v>
      </c>
      <c r="D2532" s="3" t="str">
        <f>YEAR(Datos_Consumo[[#This Row],[FECHA]])&amp;"-"&amp;MONTH(Datos_Consumo[[#This Row],[FECHA]])</f>
        <v>2018-5</v>
      </c>
    </row>
    <row r="2533" spans="1:4" x14ac:dyDescent="0.25">
      <c r="A2533" t="s">
        <v>2210</v>
      </c>
      <c r="B2533">
        <v>1</v>
      </c>
      <c r="C2533" s="54">
        <v>43101</v>
      </c>
      <c r="D2533" s="3" t="str">
        <f>YEAR(Datos_Consumo[[#This Row],[FECHA]])&amp;"-"&amp;MONTH(Datos_Consumo[[#This Row],[FECHA]])</f>
        <v>2018-1</v>
      </c>
    </row>
    <row r="2534" spans="1:4" x14ac:dyDescent="0.25">
      <c r="A2534" t="s">
        <v>2211</v>
      </c>
      <c r="B2534">
        <v>7</v>
      </c>
      <c r="C2534" s="54">
        <v>43070</v>
      </c>
      <c r="D2534" s="3" t="str">
        <f>YEAR(Datos_Consumo[[#This Row],[FECHA]])&amp;"-"&amp;MONTH(Datos_Consumo[[#This Row],[FECHA]])</f>
        <v>2017-12</v>
      </c>
    </row>
    <row r="2535" spans="1:4" x14ac:dyDescent="0.25">
      <c r="A2535" t="s">
        <v>2211</v>
      </c>
      <c r="B2535">
        <v>27</v>
      </c>
      <c r="C2535" s="54">
        <v>43101</v>
      </c>
      <c r="D2535" s="3" t="str">
        <f>YEAR(Datos_Consumo[[#This Row],[FECHA]])&amp;"-"&amp;MONTH(Datos_Consumo[[#This Row],[FECHA]])</f>
        <v>2018-1</v>
      </c>
    </row>
    <row r="2536" spans="1:4" x14ac:dyDescent="0.25">
      <c r="A2536" t="s">
        <v>2211</v>
      </c>
      <c r="B2536">
        <v>2</v>
      </c>
      <c r="C2536" s="54">
        <v>43132</v>
      </c>
      <c r="D2536" s="3" t="str">
        <f>YEAR(Datos_Consumo[[#This Row],[FECHA]])&amp;"-"&amp;MONTH(Datos_Consumo[[#This Row],[FECHA]])</f>
        <v>2018-2</v>
      </c>
    </row>
    <row r="2537" spans="1:4" x14ac:dyDescent="0.25">
      <c r="A2537" t="s">
        <v>2211</v>
      </c>
      <c r="B2537">
        <v>5</v>
      </c>
      <c r="C2537" s="54">
        <v>43160</v>
      </c>
      <c r="D2537" s="3" t="str">
        <f>YEAR(Datos_Consumo[[#This Row],[FECHA]])&amp;"-"&amp;MONTH(Datos_Consumo[[#This Row],[FECHA]])</f>
        <v>2018-3</v>
      </c>
    </row>
    <row r="2538" spans="1:4" x14ac:dyDescent="0.25">
      <c r="A2538" t="s">
        <v>2211</v>
      </c>
      <c r="B2538">
        <v>12</v>
      </c>
      <c r="C2538" s="54">
        <v>43191</v>
      </c>
      <c r="D2538" s="3" t="str">
        <f>YEAR(Datos_Consumo[[#This Row],[FECHA]])&amp;"-"&amp;MONTH(Datos_Consumo[[#This Row],[FECHA]])</f>
        <v>2018-4</v>
      </c>
    </row>
    <row r="2539" spans="1:4" x14ac:dyDescent="0.25">
      <c r="A2539" t="s">
        <v>2212</v>
      </c>
      <c r="B2539">
        <v>1</v>
      </c>
      <c r="C2539" s="54">
        <v>43101</v>
      </c>
      <c r="D2539" s="3" t="str">
        <f>YEAR(Datos_Consumo[[#This Row],[FECHA]])&amp;"-"&amp;MONTH(Datos_Consumo[[#This Row],[FECHA]])</f>
        <v>2018-1</v>
      </c>
    </row>
    <row r="2540" spans="1:4" x14ac:dyDescent="0.25">
      <c r="A2540" t="s">
        <v>2213</v>
      </c>
      <c r="B2540">
        <v>15</v>
      </c>
      <c r="C2540" s="54">
        <v>43132</v>
      </c>
      <c r="D2540" s="3" t="str">
        <f>YEAR(Datos_Consumo[[#This Row],[FECHA]])&amp;"-"&amp;MONTH(Datos_Consumo[[#This Row],[FECHA]])</f>
        <v>2018-2</v>
      </c>
    </row>
    <row r="2541" spans="1:4" x14ac:dyDescent="0.25">
      <c r="A2541" t="s">
        <v>2213</v>
      </c>
      <c r="B2541">
        <v>16</v>
      </c>
      <c r="C2541" s="54">
        <v>43191</v>
      </c>
      <c r="D2541" s="3" t="str">
        <f>YEAR(Datos_Consumo[[#This Row],[FECHA]])&amp;"-"&amp;MONTH(Datos_Consumo[[#This Row],[FECHA]])</f>
        <v>2018-4</v>
      </c>
    </row>
    <row r="2542" spans="1:4" x14ac:dyDescent="0.25">
      <c r="A2542" t="s">
        <v>2213</v>
      </c>
      <c r="B2542">
        <v>11</v>
      </c>
      <c r="C2542" s="54">
        <v>43221</v>
      </c>
      <c r="D2542" s="3" t="str">
        <f>YEAR(Datos_Consumo[[#This Row],[FECHA]])&amp;"-"&amp;MONTH(Datos_Consumo[[#This Row],[FECHA]])</f>
        <v>2018-5</v>
      </c>
    </row>
    <row r="2543" spans="1:4" x14ac:dyDescent="0.25">
      <c r="A2543" t="s">
        <v>2214</v>
      </c>
      <c r="B2543">
        <v>1</v>
      </c>
      <c r="C2543" s="54">
        <v>43160</v>
      </c>
      <c r="D2543" s="3" t="str">
        <f>YEAR(Datos_Consumo[[#This Row],[FECHA]])&amp;"-"&amp;MONTH(Datos_Consumo[[#This Row],[FECHA]])</f>
        <v>2018-3</v>
      </c>
    </row>
    <row r="2544" spans="1:4" x14ac:dyDescent="0.25">
      <c r="A2544" t="s">
        <v>2215</v>
      </c>
      <c r="B2544">
        <v>1</v>
      </c>
      <c r="C2544" s="54">
        <v>43101</v>
      </c>
      <c r="D2544" s="3" t="str">
        <f>YEAR(Datos_Consumo[[#This Row],[FECHA]])&amp;"-"&amp;MONTH(Datos_Consumo[[#This Row],[FECHA]])</f>
        <v>2018-1</v>
      </c>
    </row>
    <row r="2545" spans="1:4" x14ac:dyDescent="0.25">
      <c r="A2545" t="s">
        <v>2216</v>
      </c>
      <c r="B2545">
        <v>1</v>
      </c>
      <c r="C2545" s="54">
        <v>43160</v>
      </c>
      <c r="D2545" s="3" t="str">
        <f>YEAR(Datos_Consumo[[#This Row],[FECHA]])&amp;"-"&amp;MONTH(Datos_Consumo[[#This Row],[FECHA]])</f>
        <v>2018-3</v>
      </c>
    </row>
    <row r="2546" spans="1:4" x14ac:dyDescent="0.25">
      <c r="A2546" t="s">
        <v>2217</v>
      </c>
      <c r="B2546">
        <v>18</v>
      </c>
      <c r="C2546" s="54">
        <v>43101</v>
      </c>
      <c r="D2546" s="3" t="str">
        <f>YEAR(Datos_Consumo[[#This Row],[FECHA]])&amp;"-"&amp;MONTH(Datos_Consumo[[#This Row],[FECHA]])</f>
        <v>2018-1</v>
      </c>
    </row>
    <row r="2547" spans="1:4" x14ac:dyDescent="0.25">
      <c r="A2547" t="s">
        <v>2217</v>
      </c>
      <c r="B2547">
        <v>3</v>
      </c>
      <c r="C2547" s="54">
        <v>43191</v>
      </c>
      <c r="D2547" s="3" t="str">
        <f>YEAR(Datos_Consumo[[#This Row],[FECHA]])&amp;"-"&amp;MONTH(Datos_Consumo[[#This Row],[FECHA]])</f>
        <v>2018-4</v>
      </c>
    </row>
    <row r="2548" spans="1:4" x14ac:dyDescent="0.25">
      <c r="A2548" t="s">
        <v>2217</v>
      </c>
      <c r="B2548">
        <v>1</v>
      </c>
      <c r="C2548" s="54">
        <v>43221</v>
      </c>
      <c r="D2548" s="3" t="str">
        <f>YEAR(Datos_Consumo[[#This Row],[FECHA]])&amp;"-"&amp;MONTH(Datos_Consumo[[#This Row],[FECHA]])</f>
        <v>2018-5</v>
      </c>
    </row>
    <row r="2549" spans="1:4" x14ac:dyDescent="0.25">
      <c r="A2549" t="s">
        <v>2218</v>
      </c>
      <c r="B2549">
        <v>2</v>
      </c>
      <c r="C2549" s="54">
        <v>43101</v>
      </c>
      <c r="D2549" s="3" t="str">
        <f>YEAR(Datos_Consumo[[#This Row],[FECHA]])&amp;"-"&amp;MONTH(Datos_Consumo[[#This Row],[FECHA]])</f>
        <v>2018-1</v>
      </c>
    </row>
    <row r="2550" spans="1:4" x14ac:dyDescent="0.25">
      <c r="A2550" t="s">
        <v>2219</v>
      </c>
      <c r="B2550">
        <v>2</v>
      </c>
      <c r="C2550" s="54">
        <v>43101</v>
      </c>
      <c r="D2550" s="3" t="str">
        <f>YEAR(Datos_Consumo[[#This Row],[FECHA]])&amp;"-"&amp;MONTH(Datos_Consumo[[#This Row],[FECHA]])</f>
        <v>2018-1</v>
      </c>
    </row>
    <row r="2551" spans="1:4" x14ac:dyDescent="0.25">
      <c r="A2551" t="s">
        <v>2220</v>
      </c>
      <c r="B2551">
        <v>1</v>
      </c>
      <c r="C2551" s="54">
        <v>43070</v>
      </c>
      <c r="D2551" s="3" t="str">
        <f>YEAR(Datos_Consumo[[#This Row],[FECHA]])&amp;"-"&amp;MONTH(Datos_Consumo[[#This Row],[FECHA]])</f>
        <v>2017-12</v>
      </c>
    </row>
    <row r="2552" spans="1:4" x14ac:dyDescent="0.25">
      <c r="A2552" t="s">
        <v>2220</v>
      </c>
      <c r="B2552">
        <v>2</v>
      </c>
      <c r="C2552" s="54">
        <v>43101</v>
      </c>
      <c r="D2552" s="3" t="str">
        <f>YEAR(Datos_Consumo[[#This Row],[FECHA]])&amp;"-"&amp;MONTH(Datos_Consumo[[#This Row],[FECHA]])</f>
        <v>2018-1</v>
      </c>
    </row>
    <row r="2553" spans="1:4" x14ac:dyDescent="0.25">
      <c r="A2553" t="s">
        <v>2220</v>
      </c>
      <c r="B2553">
        <v>1</v>
      </c>
      <c r="C2553" s="54">
        <v>43160</v>
      </c>
      <c r="D2553" s="3" t="str">
        <f>YEAR(Datos_Consumo[[#This Row],[FECHA]])&amp;"-"&amp;MONTH(Datos_Consumo[[#This Row],[FECHA]])</f>
        <v>2018-3</v>
      </c>
    </row>
    <row r="2554" spans="1:4" x14ac:dyDescent="0.25">
      <c r="A2554" t="s">
        <v>2220</v>
      </c>
      <c r="B2554">
        <v>1</v>
      </c>
      <c r="C2554" s="54">
        <v>43191</v>
      </c>
      <c r="D2554" s="3" t="str">
        <f>YEAR(Datos_Consumo[[#This Row],[FECHA]])&amp;"-"&amp;MONTH(Datos_Consumo[[#This Row],[FECHA]])</f>
        <v>2018-4</v>
      </c>
    </row>
    <row r="2555" spans="1:4" x14ac:dyDescent="0.25">
      <c r="A2555" t="s">
        <v>2221</v>
      </c>
      <c r="B2555">
        <v>1</v>
      </c>
      <c r="C2555" s="54">
        <v>43070</v>
      </c>
      <c r="D2555" s="3" t="str">
        <f>YEAR(Datos_Consumo[[#This Row],[FECHA]])&amp;"-"&amp;MONTH(Datos_Consumo[[#This Row],[FECHA]])</f>
        <v>2017-12</v>
      </c>
    </row>
    <row r="2556" spans="1:4" x14ac:dyDescent="0.25">
      <c r="A2556" t="s">
        <v>2221</v>
      </c>
      <c r="B2556">
        <v>1</v>
      </c>
      <c r="C2556" s="54">
        <v>43101</v>
      </c>
      <c r="D2556" s="3" t="str">
        <f>YEAR(Datos_Consumo[[#This Row],[FECHA]])&amp;"-"&amp;MONTH(Datos_Consumo[[#This Row],[FECHA]])</f>
        <v>2018-1</v>
      </c>
    </row>
    <row r="2557" spans="1:4" x14ac:dyDescent="0.25">
      <c r="A2557" t="s">
        <v>2221</v>
      </c>
      <c r="B2557">
        <v>1</v>
      </c>
      <c r="C2557" s="54">
        <v>43160</v>
      </c>
      <c r="D2557" s="3" t="str">
        <f>YEAR(Datos_Consumo[[#This Row],[FECHA]])&amp;"-"&amp;MONTH(Datos_Consumo[[#This Row],[FECHA]])</f>
        <v>2018-3</v>
      </c>
    </row>
    <row r="2558" spans="1:4" x14ac:dyDescent="0.25">
      <c r="A2558" t="s">
        <v>2222</v>
      </c>
      <c r="B2558">
        <v>1</v>
      </c>
      <c r="C2558" s="54">
        <v>43101</v>
      </c>
      <c r="D2558" s="3" t="str">
        <f>YEAR(Datos_Consumo[[#This Row],[FECHA]])&amp;"-"&amp;MONTH(Datos_Consumo[[#This Row],[FECHA]])</f>
        <v>2018-1</v>
      </c>
    </row>
    <row r="2559" spans="1:4" x14ac:dyDescent="0.25">
      <c r="A2559" t="s">
        <v>2222</v>
      </c>
      <c r="B2559">
        <v>1</v>
      </c>
      <c r="C2559" s="54">
        <v>43160</v>
      </c>
      <c r="D2559" s="3" t="str">
        <f>YEAR(Datos_Consumo[[#This Row],[FECHA]])&amp;"-"&amp;MONTH(Datos_Consumo[[#This Row],[FECHA]])</f>
        <v>2018-3</v>
      </c>
    </row>
    <row r="2560" spans="1:4" x14ac:dyDescent="0.25">
      <c r="A2560" t="s">
        <v>2223</v>
      </c>
      <c r="B2560">
        <v>4</v>
      </c>
      <c r="C2560" s="54">
        <v>43101</v>
      </c>
      <c r="D2560" s="3" t="str">
        <f>YEAR(Datos_Consumo[[#This Row],[FECHA]])&amp;"-"&amp;MONTH(Datos_Consumo[[#This Row],[FECHA]])</f>
        <v>2018-1</v>
      </c>
    </row>
    <row r="2561" spans="1:4" x14ac:dyDescent="0.25">
      <c r="A2561" t="s">
        <v>2223</v>
      </c>
      <c r="B2561">
        <v>1</v>
      </c>
      <c r="C2561" s="54">
        <v>43191</v>
      </c>
      <c r="D2561" s="3" t="str">
        <f>YEAR(Datos_Consumo[[#This Row],[FECHA]])&amp;"-"&amp;MONTH(Datos_Consumo[[#This Row],[FECHA]])</f>
        <v>2018-4</v>
      </c>
    </row>
    <row r="2562" spans="1:4" x14ac:dyDescent="0.25">
      <c r="A2562" t="s">
        <v>2224</v>
      </c>
      <c r="B2562">
        <v>1</v>
      </c>
      <c r="C2562" s="54">
        <v>43101</v>
      </c>
      <c r="D2562" s="3" t="str">
        <f>YEAR(Datos_Consumo[[#This Row],[FECHA]])&amp;"-"&amp;MONTH(Datos_Consumo[[#This Row],[FECHA]])</f>
        <v>2018-1</v>
      </c>
    </row>
    <row r="2563" spans="1:4" x14ac:dyDescent="0.25">
      <c r="A2563" t="s">
        <v>2224</v>
      </c>
      <c r="B2563">
        <v>1</v>
      </c>
      <c r="C2563" s="54">
        <v>43191</v>
      </c>
      <c r="D2563" s="3" t="str">
        <f>YEAR(Datos_Consumo[[#This Row],[FECHA]])&amp;"-"&amp;MONTH(Datos_Consumo[[#This Row],[FECHA]])</f>
        <v>2018-4</v>
      </c>
    </row>
    <row r="2564" spans="1:4" x14ac:dyDescent="0.25">
      <c r="A2564" t="s">
        <v>2225</v>
      </c>
      <c r="B2564">
        <v>2</v>
      </c>
      <c r="C2564" s="54">
        <v>43101</v>
      </c>
      <c r="D2564" s="3" t="str">
        <f>YEAR(Datos_Consumo[[#This Row],[FECHA]])&amp;"-"&amp;MONTH(Datos_Consumo[[#This Row],[FECHA]])</f>
        <v>2018-1</v>
      </c>
    </row>
    <row r="2565" spans="1:4" x14ac:dyDescent="0.25">
      <c r="A2565" t="s">
        <v>2225</v>
      </c>
      <c r="B2565">
        <v>1</v>
      </c>
      <c r="C2565" s="54">
        <v>43191</v>
      </c>
      <c r="D2565" s="3" t="str">
        <f>YEAR(Datos_Consumo[[#This Row],[FECHA]])&amp;"-"&amp;MONTH(Datos_Consumo[[#This Row],[FECHA]])</f>
        <v>2018-4</v>
      </c>
    </row>
    <row r="2566" spans="1:4" x14ac:dyDescent="0.25">
      <c r="A2566" t="s">
        <v>2226</v>
      </c>
      <c r="B2566">
        <v>1</v>
      </c>
      <c r="C2566" s="54">
        <v>43160</v>
      </c>
      <c r="D2566" s="3" t="str">
        <f>YEAR(Datos_Consumo[[#This Row],[FECHA]])&amp;"-"&amp;MONTH(Datos_Consumo[[#This Row],[FECHA]])</f>
        <v>2018-3</v>
      </c>
    </row>
    <row r="2567" spans="1:4" x14ac:dyDescent="0.25">
      <c r="A2567" t="s">
        <v>2226</v>
      </c>
      <c r="B2567">
        <v>1</v>
      </c>
      <c r="C2567" s="54">
        <v>43191</v>
      </c>
      <c r="D2567" s="3" t="str">
        <f>YEAR(Datos_Consumo[[#This Row],[FECHA]])&amp;"-"&amp;MONTH(Datos_Consumo[[#This Row],[FECHA]])</f>
        <v>2018-4</v>
      </c>
    </row>
    <row r="2568" spans="1:4" x14ac:dyDescent="0.25">
      <c r="A2568" t="s">
        <v>2227</v>
      </c>
      <c r="B2568">
        <v>7</v>
      </c>
      <c r="C2568" s="54">
        <v>43101</v>
      </c>
      <c r="D2568" s="3" t="str">
        <f>YEAR(Datos_Consumo[[#This Row],[FECHA]])&amp;"-"&amp;MONTH(Datos_Consumo[[#This Row],[FECHA]])</f>
        <v>2018-1</v>
      </c>
    </row>
    <row r="2569" spans="1:4" x14ac:dyDescent="0.25">
      <c r="A2569" t="s">
        <v>2227</v>
      </c>
      <c r="B2569">
        <v>4</v>
      </c>
      <c r="C2569" s="54">
        <v>43132</v>
      </c>
      <c r="D2569" s="3" t="str">
        <f>YEAR(Datos_Consumo[[#This Row],[FECHA]])&amp;"-"&amp;MONTH(Datos_Consumo[[#This Row],[FECHA]])</f>
        <v>2018-2</v>
      </c>
    </row>
    <row r="2570" spans="1:4" x14ac:dyDescent="0.25">
      <c r="A2570" t="s">
        <v>2227</v>
      </c>
      <c r="B2570">
        <v>1</v>
      </c>
      <c r="C2570" s="54">
        <v>43191</v>
      </c>
      <c r="D2570" s="3" t="str">
        <f>YEAR(Datos_Consumo[[#This Row],[FECHA]])&amp;"-"&amp;MONTH(Datos_Consumo[[#This Row],[FECHA]])</f>
        <v>2018-4</v>
      </c>
    </row>
    <row r="2571" spans="1:4" x14ac:dyDescent="0.25">
      <c r="A2571" t="s">
        <v>2228</v>
      </c>
      <c r="B2571">
        <v>1</v>
      </c>
      <c r="C2571" s="54">
        <v>43101</v>
      </c>
      <c r="D2571" s="3" t="str">
        <f>YEAR(Datos_Consumo[[#This Row],[FECHA]])&amp;"-"&amp;MONTH(Datos_Consumo[[#This Row],[FECHA]])</f>
        <v>2018-1</v>
      </c>
    </row>
    <row r="2572" spans="1:4" x14ac:dyDescent="0.25">
      <c r="A2572" t="s">
        <v>2229</v>
      </c>
      <c r="B2572">
        <v>2</v>
      </c>
      <c r="C2572" s="54">
        <v>43132</v>
      </c>
      <c r="D2572" s="3" t="str">
        <f>YEAR(Datos_Consumo[[#This Row],[FECHA]])&amp;"-"&amp;MONTH(Datos_Consumo[[#This Row],[FECHA]])</f>
        <v>2018-2</v>
      </c>
    </row>
    <row r="2573" spans="1:4" x14ac:dyDescent="0.25">
      <c r="A2573" t="s">
        <v>2230</v>
      </c>
      <c r="B2573">
        <v>1</v>
      </c>
      <c r="C2573" s="54">
        <v>43132</v>
      </c>
      <c r="D2573" s="3" t="str">
        <f>YEAR(Datos_Consumo[[#This Row],[FECHA]])&amp;"-"&amp;MONTH(Datos_Consumo[[#This Row],[FECHA]])</f>
        <v>2018-2</v>
      </c>
    </row>
    <row r="2574" spans="1:4" x14ac:dyDescent="0.25">
      <c r="A2574" t="s">
        <v>2230</v>
      </c>
      <c r="B2574">
        <v>1</v>
      </c>
      <c r="C2574" s="54">
        <v>43160</v>
      </c>
      <c r="D2574" s="3" t="str">
        <f>YEAR(Datos_Consumo[[#This Row],[FECHA]])&amp;"-"&amp;MONTH(Datos_Consumo[[#This Row],[FECHA]])</f>
        <v>2018-3</v>
      </c>
    </row>
    <row r="2575" spans="1:4" x14ac:dyDescent="0.25">
      <c r="A2575" t="s">
        <v>2231</v>
      </c>
      <c r="B2575">
        <v>11</v>
      </c>
      <c r="C2575" s="54">
        <v>43070</v>
      </c>
      <c r="D2575" s="3" t="str">
        <f>YEAR(Datos_Consumo[[#This Row],[FECHA]])&amp;"-"&amp;MONTH(Datos_Consumo[[#This Row],[FECHA]])</f>
        <v>2017-12</v>
      </c>
    </row>
    <row r="2576" spans="1:4" x14ac:dyDescent="0.25">
      <c r="A2576" t="s">
        <v>2231</v>
      </c>
      <c r="B2576">
        <v>23</v>
      </c>
      <c r="C2576" s="54">
        <v>43101</v>
      </c>
      <c r="D2576" s="3" t="str">
        <f>YEAR(Datos_Consumo[[#This Row],[FECHA]])&amp;"-"&amp;MONTH(Datos_Consumo[[#This Row],[FECHA]])</f>
        <v>2018-1</v>
      </c>
    </row>
    <row r="2577" spans="1:4" x14ac:dyDescent="0.25">
      <c r="A2577" t="s">
        <v>2231</v>
      </c>
      <c r="B2577">
        <v>27</v>
      </c>
      <c r="C2577" s="54">
        <v>43132</v>
      </c>
      <c r="D2577" s="3" t="str">
        <f>YEAR(Datos_Consumo[[#This Row],[FECHA]])&amp;"-"&amp;MONTH(Datos_Consumo[[#This Row],[FECHA]])</f>
        <v>2018-2</v>
      </c>
    </row>
    <row r="2578" spans="1:4" x14ac:dyDescent="0.25">
      <c r="A2578" t="s">
        <v>2231</v>
      </c>
      <c r="B2578">
        <v>10</v>
      </c>
      <c r="C2578" s="54">
        <v>43160</v>
      </c>
      <c r="D2578" s="3" t="str">
        <f>YEAR(Datos_Consumo[[#This Row],[FECHA]])&amp;"-"&amp;MONTH(Datos_Consumo[[#This Row],[FECHA]])</f>
        <v>2018-3</v>
      </c>
    </row>
    <row r="2579" spans="1:4" x14ac:dyDescent="0.25">
      <c r="A2579" t="s">
        <v>2231</v>
      </c>
      <c r="B2579">
        <v>16</v>
      </c>
      <c r="C2579" s="54">
        <v>43191</v>
      </c>
      <c r="D2579" s="3" t="str">
        <f>YEAR(Datos_Consumo[[#This Row],[FECHA]])&amp;"-"&amp;MONTH(Datos_Consumo[[#This Row],[FECHA]])</f>
        <v>2018-4</v>
      </c>
    </row>
    <row r="2580" spans="1:4" x14ac:dyDescent="0.25">
      <c r="A2580" t="s">
        <v>2231</v>
      </c>
      <c r="B2580">
        <v>3</v>
      </c>
      <c r="C2580" s="54">
        <v>43221</v>
      </c>
      <c r="D2580" s="3" t="str">
        <f>YEAR(Datos_Consumo[[#This Row],[FECHA]])&amp;"-"&amp;MONTH(Datos_Consumo[[#This Row],[FECHA]])</f>
        <v>2018-5</v>
      </c>
    </row>
    <row r="2581" spans="1:4" x14ac:dyDescent="0.25">
      <c r="A2581" t="s">
        <v>2232</v>
      </c>
      <c r="B2581">
        <v>6</v>
      </c>
      <c r="C2581" s="54">
        <v>43070</v>
      </c>
      <c r="D2581" s="3" t="str">
        <f>YEAR(Datos_Consumo[[#This Row],[FECHA]])&amp;"-"&amp;MONTH(Datos_Consumo[[#This Row],[FECHA]])</f>
        <v>2017-12</v>
      </c>
    </row>
    <row r="2582" spans="1:4" x14ac:dyDescent="0.25">
      <c r="A2582" t="s">
        <v>2232</v>
      </c>
      <c r="B2582">
        <v>1</v>
      </c>
      <c r="C2582" s="54">
        <v>43160</v>
      </c>
      <c r="D2582" s="3" t="str">
        <f>YEAR(Datos_Consumo[[#This Row],[FECHA]])&amp;"-"&amp;MONTH(Datos_Consumo[[#This Row],[FECHA]])</f>
        <v>2018-3</v>
      </c>
    </row>
    <row r="2583" spans="1:4" x14ac:dyDescent="0.25">
      <c r="A2583" t="s">
        <v>2232</v>
      </c>
      <c r="B2583">
        <v>3</v>
      </c>
      <c r="C2583" s="54">
        <v>43191</v>
      </c>
      <c r="D2583" s="3" t="str">
        <f>YEAR(Datos_Consumo[[#This Row],[FECHA]])&amp;"-"&amp;MONTH(Datos_Consumo[[#This Row],[FECHA]])</f>
        <v>2018-4</v>
      </c>
    </row>
    <row r="2584" spans="1:4" x14ac:dyDescent="0.25">
      <c r="A2584" t="s">
        <v>2233</v>
      </c>
      <c r="B2584">
        <v>1</v>
      </c>
      <c r="C2584" s="54">
        <v>43070</v>
      </c>
      <c r="D2584" s="3" t="str">
        <f>YEAR(Datos_Consumo[[#This Row],[FECHA]])&amp;"-"&amp;MONTH(Datos_Consumo[[#This Row],[FECHA]])</f>
        <v>2017-12</v>
      </c>
    </row>
    <row r="2585" spans="1:4" x14ac:dyDescent="0.25">
      <c r="A2585" t="s">
        <v>2233</v>
      </c>
      <c r="B2585">
        <v>2</v>
      </c>
      <c r="C2585" s="54">
        <v>43132</v>
      </c>
      <c r="D2585" s="3" t="str">
        <f>YEAR(Datos_Consumo[[#This Row],[FECHA]])&amp;"-"&amp;MONTH(Datos_Consumo[[#This Row],[FECHA]])</f>
        <v>2018-2</v>
      </c>
    </row>
    <row r="2586" spans="1:4" x14ac:dyDescent="0.25">
      <c r="A2586" t="s">
        <v>2233</v>
      </c>
      <c r="B2586">
        <v>3</v>
      </c>
      <c r="C2586" s="54">
        <v>43160</v>
      </c>
      <c r="D2586" s="3" t="str">
        <f>YEAR(Datos_Consumo[[#This Row],[FECHA]])&amp;"-"&amp;MONTH(Datos_Consumo[[#This Row],[FECHA]])</f>
        <v>2018-3</v>
      </c>
    </row>
    <row r="2587" spans="1:4" x14ac:dyDescent="0.25">
      <c r="A2587" t="s">
        <v>2234</v>
      </c>
      <c r="B2587">
        <v>10</v>
      </c>
      <c r="C2587" s="54">
        <v>43160</v>
      </c>
      <c r="D2587" s="3" t="str">
        <f>YEAR(Datos_Consumo[[#This Row],[FECHA]])&amp;"-"&amp;MONTH(Datos_Consumo[[#This Row],[FECHA]])</f>
        <v>2018-3</v>
      </c>
    </row>
    <row r="2588" spans="1:4" x14ac:dyDescent="0.25">
      <c r="A2588" t="s">
        <v>2235</v>
      </c>
      <c r="B2588">
        <v>2</v>
      </c>
      <c r="C2588" s="54">
        <v>43160</v>
      </c>
      <c r="D2588" s="3" t="str">
        <f>YEAR(Datos_Consumo[[#This Row],[FECHA]])&amp;"-"&amp;MONTH(Datos_Consumo[[#This Row],[FECHA]])</f>
        <v>2018-3</v>
      </c>
    </row>
    <row r="2589" spans="1:4" x14ac:dyDescent="0.25">
      <c r="A2589" t="s">
        <v>2235</v>
      </c>
      <c r="B2589">
        <v>1</v>
      </c>
      <c r="C2589" s="54">
        <v>43221</v>
      </c>
      <c r="D2589" s="3" t="str">
        <f>YEAR(Datos_Consumo[[#This Row],[FECHA]])&amp;"-"&amp;MONTH(Datos_Consumo[[#This Row],[FECHA]])</f>
        <v>2018-5</v>
      </c>
    </row>
    <row r="2590" spans="1:4" x14ac:dyDescent="0.25">
      <c r="A2590" t="s">
        <v>2236</v>
      </c>
      <c r="B2590">
        <v>2</v>
      </c>
      <c r="C2590" s="54">
        <v>43070</v>
      </c>
      <c r="D2590" s="3" t="str">
        <f>YEAR(Datos_Consumo[[#This Row],[FECHA]])&amp;"-"&amp;MONTH(Datos_Consumo[[#This Row],[FECHA]])</f>
        <v>2017-12</v>
      </c>
    </row>
    <row r="2591" spans="1:4" x14ac:dyDescent="0.25">
      <c r="A2591" t="s">
        <v>2236</v>
      </c>
      <c r="B2591">
        <v>10</v>
      </c>
      <c r="C2591" s="54">
        <v>43191</v>
      </c>
      <c r="D2591" s="3" t="str">
        <f>YEAR(Datos_Consumo[[#This Row],[FECHA]])&amp;"-"&amp;MONTH(Datos_Consumo[[#This Row],[FECHA]])</f>
        <v>2018-4</v>
      </c>
    </row>
    <row r="2592" spans="1:4" x14ac:dyDescent="0.25">
      <c r="A2592" t="s">
        <v>2237</v>
      </c>
      <c r="B2592">
        <v>2</v>
      </c>
      <c r="C2592" s="54">
        <v>43070</v>
      </c>
      <c r="D2592" s="3" t="str">
        <f>YEAR(Datos_Consumo[[#This Row],[FECHA]])&amp;"-"&amp;MONTH(Datos_Consumo[[#This Row],[FECHA]])</f>
        <v>2017-12</v>
      </c>
    </row>
    <row r="2593" spans="1:4" x14ac:dyDescent="0.25">
      <c r="A2593" t="s">
        <v>2238</v>
      </c>
      <c r="B2593">
        <v>1</v>
      </c>
      <c r="C2593" s="54">
        <v>43160</v>
      </c>
      <c r="D2593" s="3" t="str">
        <f>YEAR(Datos_Consumo[[#This Row],[FECHA]])&amp;"-"&amp;MONTH(Datos_Consumo[[#This Row],[FECHA]])</f>
        <v>2018-3</v>
      </c>
    </row>
    <row r="2594" spans="1:4" x14ac:dyDescent="0.25">
      <c r="A2594" t="s">
        <v>2239</v>
      </c>
      <c r="B2594">
        <v>3</v>
      </c>
      <c r="C2594" s="54">
        <v>43070</v>
      </c>
      <c r="D2594" s="3" t="str">
        <f>YEAR(Datos_Consumo[[#This Row],[FECHA]])&amp;"-"&amp;MONTH(Datos_Consumo[[#This Row],[FECHA]])</f>
        <v>2017-12</v>
      </c>
    </row>
    <row r="2595" spans="1:4" x14ac:dyDescent="0.25">
      <c r="A2595" t="s">
        <v>2240</v>
      </c>
      <c r="B2595">
        <v>1</v>
      </c>
      <c r="C2595" s="54">
        <v>43101</v>
      </c>
      <c r="D2595" s="3" t="str">
        <f>YEAR(Datos_Consumo[[#This Row],[FECHA]])&amp;"-"&amp;MONTH(Datos_Consumo[[#This Row],[FECHA]])</f>
        <v>2018-1</v>
      </c>
    </row>
    <row r="2596" spans="1:4" x14ac:dyDescent="0.25">
      <c r="A2596" t="s">
        <v>2241</v>
      </c>
      <c r="B2596">
        <v>1</v>
      </c>
      <c r="C2596" s="54">
        <v>43070</v>
      </c>
      <c r="D2596" s="3" t="str">
        <f>YEAR(Datos_Consumo[[#This Row],[FECHA]])&amp;"-"&amp;MONTH(Datos_Consumo[[#This Row],[FECHA]])</f>
        <v>2017-12</v>
      </c>
    </row>
    <row r="2597" spans="1:4" x14ac:dyDescent="0.25">
      <c r="A2597" t="s">
        <v>2241</v>
      </c>
      <c r="B2597">
        <v>6</v>
      </c>
      <c r="C2597" s="54">
        <v>43101</v>
      </c>
      <c r="D2597" s="3" t="str">
        <f>YEAR(Datos_Consumo[[#This Row],[FECHA]])&amp;"-"&amp;MONTH(Datos_Consumo[[#This Row],[FECHA]])</f>
        <v>2018-1</v>
      </c>
    </row>
    <row r="2598" spans="1:4" x14ac:dyDescent="0.25">
      <c r="A2598" t="s">
        <v>2241</v>
      </c>
      <c r="B2598">
        <v>16</v>
      </c>
      <c r="C2598" s="54">
        <v>43132</v>
      </c>
      <c r="D2598" s="3" t="str">
        <f>YEAR(Datos_Consumo[[#This Row],[FECHA]])&amp;"-"&amp;MONTH(Datos_Consumo[[#This Row],[FECHA]])</f>
        <v>2018-2</v>
      </c>
    </row>
    <row r="2599" spans="1:4" x14ac:dyDescent="0.25">
      <c r="A2599" t="s">
        <v>2241</v>
      </c>
      <c r="B2599">
        <v>19</v>
      </c>
      <c r="C2599" s="54">
        <v>43160</v>
      </c>
      <c r="D2599" s="3" t="str">
        <f>YEAR(Datos_Consumo[[#This Row],[FECHA]])&amp;"-"&amp;MONTH(Datos_Consumo[[#This Row],[FECHA]])</f>
        <v>2018-3</v>
      </c>
    </row>
    <row r="2600" spans="1:4" x14ac:dyDescent="0.25">
      <c r="A2600" t="s">
        <v>2241</v>
      </c>
      <c r="B2600">
        <v>13</v>
      </c>
      <c r="C2600" s="54">
        <v>43191</v>
      </c>
      <c r="D2600" s="3" t="str">
        <f>YEAR(Datos_Consumo[[#This Row],[FECHA]])&amp;"-"&amp;MONTH(Datos_Consumo[[#This Row],[FECHA]])</f>
        <v>2018-4</v>
      </c>
    </row>
    <row r="2601" spans="1:4" x14ac:dyDescent="0.25">
      <c r="A2601" t="s">
        <v>2241</v>
      </c>
      <c r="B2601">
        <v>3</v>
      </c>
      <c r="C2601" s="54">
        <v>43221</v>
      </c>
      <c r="D2601" s="3" t="str">
        <f>YEAR(Datos_Consumo[[#This Row],[FECHA]])&amp;"-"&amp;MONTH(Datos_Consumo[[#This Row],[FECHA]])</f>
        <v>2018-5</v>
      </c>
    </row>
    <row r="2602" spans="1:4" x14ac:dyDescent="0.25">
      <c r="A2602" t="s">
        <v>2242</v>
      </c>
      <c r="B2602">
        <v>3</v>
      </c>
      <c r="C2602" s="54">
        <v>43070</v>
      </c>
      <c r="D2602" s="3" t="str">
        <f>YEAR(Datos_Consumo[[#This Row],[FECHA]])&amp;"-"&amp;MONTH(Datos_Consumo[[#This Row],[FECHA]])</f>
        <v>2017-12</v>
      </c>
    </row>
    <row r="2603" spans="1:4" x14ac:dyDescent="0.25">
      <c r="A2603" t="s">
        <v>2242</v>
      </c>
      <c r="B2603">
        <v>1</v>
      </c>
      <c r="C2603" s="54">
        <v>43160</v>
      </c>
      <c r="D2603" s="3" t="str">
        <f>YEAR(Datos_Consumo[[#This Row],[FECHA]])&amp;"-"&amp;MONTH(Datos_Consumo[[#This Row],[FECHA]])</f>
        <v>2018-3</v>
      </c>
    </row>
    <row r="2604" spans="1:4" x14ac:dyDescent="0.25">
      <c r="A2604" t="s">
        <v>2243</v>
      </c>
      <c r="B2604">
        <v>1</v>
      </c>
      <c r="C2604" s="54">
        <v>43070</v>
      </c>
      <c r="D2604" s="3" t="str">
        <f>YEAR(Datos_Consumo[[#This Row],[FECHA]])&amp;"-"&amp;MONTH(Datos_Consumo[[#This Row],[FECHA]])</f>
        <v>2017-12</v>
      </c>
    </row>
    <row r="2605" spans="1:4" x14ac:dyDescent="0.25">
      <c r="A2605" t="s">
        <v>2244</v>
      </c>
      <c r="B2605">
        <v>8</v>
      </c>
      <c r="C2605" s="54">
        <v>43070</v>
      </c>
      <c r="D2605" s="3" t="str">
        <f>YEAR(Datos_Consumo[[#This Row],[FECHA]])&amp;"-"&amp;MONTH(Datos_Consumo[[#This Row],[FECHA]])</f>
        <v>2017-12</v>
      </c>
    </row>
    <row r="2606" spans="1:4" x14ac:dyDescent="0.25">
      <c r="A2606" t="s">
        <v>2244</v>
      </c>
      <c r="B2606">
        <v>1</v>
      </c>
      <c r="C2606" s="54">
        <v>43101</v>
      </c>
      <c r="D2606" s="3" t="str">
        <f>YEAR(Datos_Consumo[[#This Row],[FECHA]])&amp;"-"&amp;MONTH(Datos_Consumo[[#This Row],[FECHA]])</f>
        <v>2018-1</v>
      </c>
    </row>
    <row r="2607" spans="1:4" x14ac:dyDescent="0.25">
      <c r="A2607" t="s">
        <v>2244</v>
      </c>
      <c r="B2607">
        <v>2</v>
      </c>
      <c r="C2607" s="54">
        <v>43132</v>
      </c>
      <c r="D2607" s="3" t="str">
        <f>YEAR(Datos_Consumo[[#This Row],[FECHA]])&amp;"-"&amp;MONTH(Datos_Consumo[[#This Row],[FECHA]])</f>
        <v>2018-2</v>
      </c>
    </row>
    <row r="2608" spans="1:4" x14ac:dyDescent="0.25">
      <c r="A2608" t="s">
        <v>2244</v>
      </c>
      <c r="B2608">
        <v>3</v>
      </c>
      <c r="C2608" s="54">
        <v>43160</v>
      </c>
      <c r="D2608" s="3" t="str">
        <f>YEAR(Datos_Consumo[[#This Row],[FECHA]])&amp;"-"&amp;MONTH(Datos_Consumo[[#This Row],[FECHA]])</f>
        <v>2018-3</v>
      </c>
    </row>
    <row r="2609" spans="1:4" x14ac:dyDescent="0.25">
      <c r="A2609" t="s">
        <v>2244</v>
      </c>
      <c r="B2609">
        <v>2</v>
      </c>
      <c r="C2609" s="54">
        <v>43191</v>
      </c>
      <c r="D2609" s="3" t="str">
        <f>YEAR(Datos_Consumo[[#This Row],[FECHA]])&amp;"-"&amp;MONTH(Datos_Consumo[[#This Row],[FECHA]])</f>
        <v>2018-4</v>
      </c>
    </row>
    <row r="2610" spans="1:4" x14ac:dyDescent="0.25">
      <c r="A2610" t="s">
        <v>2245</v>
      </c>
      <c r="B2610">
        <v>5</v>
      </c>
      <c r="C2610" s="54">
        <v>43070</v>
      </c>
      <c r="D2610" s="3" t="str">
        <f>YEAR(Datos_Consumo[[#This Row],[FECHA]])&amp;"-"&amp;MONTH(Datos_Consumo[[#This Row],[FECHA]])</f>
        <v>2017-12</v>
      </c>
    </row>
    <row r="2611" spans="1:4" x14ac:dyDescent="0.25">
      <c r="A2611" t="s">
        <v>2245</v>
      </c>
      <c r="B2611">
        <v>1</v>
      </c>
      <c r="C2611" s="54">
        <v>43160</v>
      </c>
      <c r="D2611" s="3" t="str">
        <f>YEAR(Datos_Consumo[[#This Row],[FECHA]])&amp;"-"&amp;MONTH(Datos_Consumo[[#This Row],[FECHA]])</f>
        <v>2018-3</v>
      </c>
    </row>
    <row r="2612" spans="1:4" x14ac:dyDescent="0.25">
      <c r="A2612" t="s">
        <v>2245</v>
      </c>
      <c r="B2612">
        <v>2</v>
      </c>
      <c r="C2612" s="54">
        <v>43191</v>
      </c>
      <c r="D2612" s="3" t="str">
        <f>YEAR(Datos_Consumo[[#This Row],[FECHA]])&amp;"-"&amp;MONTH(Datos_Consumo[[#This Row],[FECHA]])</f>
        <v>2018-4</v>
      </c>
    </row>
    <row r="2613" spans="1:4" x14ac:dyDescent="0.25">
      <c r="A2613" t="s">
        <v>2246</v>
      </c>
      <c r="B2613">
        <v>2</v>
      </c>
      <c r="C2613" s="54">
        <v>43070</v>
      </c>
      <c r="D2613" s="3" t="str">
        <f>YEAR(Datos_Consumo[[#This Row],[FECHA]])&amp;"-"&amp;MONTH(Datos_Consumo[[#This Row],[FECHA]])</f>
        <v>2017-12</v>
      </c>
    </row>
    <row r="2614" spans="1:4" x14ac:dyDescent="0.25">
      <c r="A2614" t="s">
        <v>2247</v>
      </c>
      <c r="B2614">
        <v>1</v>
      </c>
      <c r="C2614" s="54">
        <v>43070</v>
      </c>
      <c r="D2614" s="3" t="str">
        <f>YEAR(Datos_Consumo[[#This Row],[FECHA]])&amp;"-"&amp;MONTH(Datos_Consumo[[#This Row],[FECHA]])</f>
        <v>2017-12</v>
      </c>
    </row>
    <row r="2615" spans="1:4" x14ac:dyDescent="0.25">
      <c r="A2615" t="s">
        <v>2247</v>
      </c>
      <c r="B2615">
        <v>5</v>
      </c>
      <c r="C2615" s="54">
        <v>43101</v>
      </c>
      <c r="D2615" s="3" t="str">
        <f>YEAR(Datos_Consumo[[#This Row],[FECHA]])&amp;"-"&amp;MONTH(Datos_Consumo[[#This Row],[FECHA]])</f>
        <v>2018-1</v>
      </c>
    </row>
    <row r="2616" spans="1:4" x14ac:dyDescent="0.25">
      <c r="A2616" t="s">
        <v>2247</v>
      </c>
      <c r="B2616">
        <v>3</v>
      </c>
      <c r="C2616" s="54">
        <v>43132</v>
      </c>
      <c r="D2616" s="3" t="str">
        <f>YEAR(Datos_Consumo[[#This Row],[FECHA]])&amp;"-"&amp;MONTH(Datos_Consumo[[#This Row],[FECHA]])</f>
        <v>2018-2</v>
      </c>
    </row>
    <row r="2617" spans="1:4" x14ac:dyDescent="0.25">
      <c r="A2617" t="s">
        <v>2247</v>
      </c>
      <c r="B2617">
        <v>1</v>
      </c>
      <c r="C2617" s="54">
        <v>43160</v>
      </c>
      <c r="D2617" s="3" t="str">
        <f>YEAR(Datos_Consumo[[#This Row],[FECHA]])&amp;"-"&amp;MONTH(Datos_Consumo[[#This Row],[FECHA]])</f>
        <v>2018-3</v>
      </c>
    </row>
    <row r="2618" spans="1:4" x14ac:dyDescent="0.25">
      <c r="A2618" t="s">
        <v>2247</v>
      </c>
      <c r="B2618">
        <v>1</v>
      </c>
      <c r="C2618" s="54">
        <v>43221</v>
      </c>
      <c r="D2618" s="3" t="str">
        <f>YEAR(Datos_Consumo[[#This Row],[FECHA]])&amp;"-"&amp;MONTH(Datos_Consumo[[#This Row],[FECHA]])</f>
        <v>2018-5</v>
      </c>
    </row>
    <row r="2619" spans="1:4" x14ac:dyDescent="0.25">
      <c r="A2619" t="s">
        <v>2248</v>
      </c>
      <c r="B2619">
        <v>5</v>
      </c>
      <c r="C2619" s="54">
        <v>43070</v>
      </c>
      <c r="D2619" s="3" t="str">
        <f>YEAR(Datos_Consumo[[#This Row],[FECHA]])&amp;"-"&amp;MONTH(Datos_Consumo[[#This Row],[FECHA]])</f>
        <v>2017-12</v>
      </c>
    </row>
    <row r="2620" spans="1:4" x14ac:dyDescent="0.25">
      <c r="A2620" t="s">
        <v>2248</v>
      </c>
      <c r="B2620">
        <v>2</v>
      </c>
      <c r="C2620" s="54">
        <v>43101</v>
      </c>
      <c r="D2620" s="3" t="str">
        <f>YEAR(Datos_Consumo[[#This Row],[FECHA]])&amp;"-"&amp;MONTH(Datos_Consumo[[#This Row],[FECHA]])</f>
        <v>2018-1</v>
      </c>
    </row>
    <row r="2621" spans="1:4" x14ac:dyDescent="0.25">
      <c r="A2621" t="s">
        <v>2248</v>
      </c>
      <c r="B2621">
        <v>3</v>
      </c>
      <c r="C2621" s="54">
        <v>43132</v>
      </c>
      <c r="D2621" s="3" t="str">
        <f>YEAR(Datos_Consumo[[#This Row],[FECHA]])&amp;"-"&amp;MONTH(Datos_Consumo[[#This Row],[FECHA]])</f>
        <v>2018-2</v>
      </c>
    </row>
    <row r="2622" spans="1:4" x14ac:dyDescent="0.25">
      <c r="A2622" t="s">
        <v>2248</v>
      </c>
      <c r="B2622">
        <v>3</v>
      </c>
      <c r="C2622" s="54">
        <v>43160</v>
      </c>
      <c r="D2622" s="3" t="str">
        <f>YEAR(Datos_Consumo[[#This Row],[FECHA]])&amp;"-"&amp;MONTH(Datos_Consumo[[#This Row],[FECHA]])</f>
        <v>2018-3</v>
      </c>
    </row>
    <row r="2623" spans="1:4" x14ac:dyDescent="0.25">
      <c r="A2623" t="s">
        <v>2248</v>
      </c>
      <c r="B2623">
        <v>1</v>
      </c>
      <c r="C2623" s="54">
        <v>43191</v>
      </c>
      <c r="D2623" s="3" t="str">
        <f>YEAR(Datos_Consumo[[#This Row],[FECHA]])&amp;"-"&amp;MONTH(Datos_Consumo[[#This Row],[FECHA]])</f>
        <v>2018-4</v>
      </c>
    </row>
    <row r="2624" spans="1:4" x14ac:dyDescent="0.25">
      <c r="A2624" t="s">
        <v>2249</v>
      </c>
      <c r="B2624">
        <v>1</v>
      </c>
      <c r="C2624" s="54">
        <v>43101</v>
      </c>
      <c r="D2624" s="3" t="str">
        <f>YEAR(Datos_Consumo[[#This Row],[FECHA]])&amp;"-"&amp;MONTH(Datos_Consumo[[#This Row],[FECHA]])</f>
        <v>2018-1</v>
      </c>
    </row>
    <row r="2625" spans="1:4" x14ac:dyDescent="0.25">
      <c r="A2625" t="s">
        <v>2250</v>
      </c>
      <c r="B2625">
        <v>1</v>
      </c>
      <c r="C2625" s="54">
        <v>43070</v>
      </c>
      <c r="D2625" s="3" t="str">
        <f>YEAR(Datos_Consumo[[#This Row],[FECHA]])&amp;"-"&amp;MONTH(Datos_Consumo[[#This Row],[FECHA]])</f>
        <v>2017-12</v>
      </c>
    </row>
    <row r="2626" spans="1:4" x14ac:dyDescent="0.25">
      <c r="A2626" t="s">
        <v>2250</v>
      </c>
      <c r="B2626">
        <v>3</v>
      </c>
      <c r="C2626" s="54">
        <v>43132</v>
      </c>
      <c r="D2626" s="3" t="str">
        <f>YEAR(Datos_Consumo[[#This Row],[FECHA]])&amp;"-"&amp;MONTH(Datos_Consumo[[#This Row],[FECHA]])</f>
        <v>2018-2</v>
      </c>
    </row>
    <row r="2627" spans="1:4" x14ac:dyDescent="0.25">
      <c r="A2627" t="s">
        <v>2250</v>
      </c>
      <c r="B2627">
        <v>15</v>
      </c>
      <c r="C2627" s="54">
        <v>43160</v>
      </c>
      <c r="D2627" s="3" t="str">
        <f>YEAR(Datos_Consumo[[#This Row],[FECHA]])&amp;"-"&amp;MONTH(Datos_Consumo[[#This Row],[FECHA]])</f>
        <v>2018-3</v>
      </c>
    </row>
    <row r="2628" spans="1:4" x14ac:dyDescent="0.25">
      <c r="A2628" t="s">
        <v>2250</v>
      </c>
      <c r="B2628">
        <v>1</v>
      </c>
      <c r="C2628" s="54">
        <v>43191</v>
      </c>
      <c r="D2628" s="3" t="str">
        <f>YEAR(Datos_Consumo[[#This Row],[FECHA]])&amp;"-"&amp;MONTH(Datos_Consumo[[#This Row],[FECHA]])</f>
        <v>2018-4</v>
      </c>
    </row>
    <row r="2629" spans="1:4" x14ac:dyDescent="0.25">
      <c r="A2629" t="s">
        <v>2250</v>
      </c>
      <c r="B2629">
        <v>7</v>
      </c>
      <c r="C2629" s="54">
        <v>43221</v>
      </c>
      <c r="D2629" s="3" t="str">
        <f>YEAR(Datos_Consumo[[#This Row],[FECHA]])&amp;"-"&amp;MONTH(Datos_Consumo[[#This Row],[FECHA]])</f>
        <v>2018-5</v>
      </c>
    </row>
    <row r="2630" spans="1:4" x14ac:dyDescent="0.25">
      <c r="A2630" t="s">
        <v>2251</v>
      </c>
      <c r="B2630">
        <v>10</v>
      </c>
      <c r="C2630" s="54">
        <v>43070</v>
      </c>
      <c r="D2630" s="3" t="str">
        <f>YEAR(Datos_Consumo[[#This Row],[FECHA]])&amp;"-"&amp;MONTH(Datos_Consumo[[#This Row],[FECHA]])</f>
        <v>2017-12</v>
      </c>
    </row>
    <row r="2631" spans="1:4" x14ac:dyDescent="0.25">
      <c r="A2631" t="s">
        <v>2251</v>
      </c>
      <c r="B2631">
        <v>9</v>
      </c>
      <c r="C2631" s="54">
        <v>43132</v>
      </c>
      <c r="D2631" s="3" t="str">
        <f>YEAR(Datos_Consumo[[#This Row],[FECHA]])&amp;"-"&amp;MONTH(Datos_Consumo[[#This Row],[FECHA]])</f>
        <v>2018-2</v>
      </c>
    </row>
    <row r="2632" spans="1:4" x14ac:dyDescent="0.25">
      <c r="A2632" t="s">
        <v>2251</v>
      </c>
      <c r="B2632">
        <v>10</v>
      </c>
      <c r="C2632" s="54">
        <v>43160</v>
      </c>
      <c r="D2632" s="3" t="str">
        <f>YEAR(Datos_Consumo[[#This Row],[FECHA]])&amp;"-"&amp;MONTH(Datos_Consumo[[#This Row],[FECHA]])</f>
        <v>2018-3</v>
      </c>
    </row>
    <row r="2633" spans="1:4" x14ac:dyDescent="0.25">
      <c r="A2633" t="s">
        <v>2251</v>
      </c>
      <c r="B2633">
        <v>4</v>
      </c>
      <c r="C2633" s="54">
        <v>43191</v>
      </c>
      <c r="D2633" s="3" t="str">
        <f>YEAR(Datos_Consumo[[#This Row],[FECHA]])&amp;"-"&amp;MONTH(Datos_Consumo[[#This Row],[FECHA]])</f>
        <v>2018-4</v>
      </c>
    </row>
    <row r="2634" spans="1:4" x14ac:dyDescent="0.25">
      <c r="A2634" t="s">
        <v>2252</v>
      </c>
      <c r="B2634">
        <v>2</v>
      </c>
      <c r="C2634" s="54">
        <v>43132</v>
      </c>
      <c r="D2634" s="3" t="str">
        <f>YEAR(Datos_Consumo[[#This Row],[FECHA]])&amp;"-"&amp;MONTH(Datos_Consumo[[#This Row],[FECHA]])</f>
        <v>2018-2</v>
      </c>
    </row>
    <row r="2635" spans="1:4" x14ac:dyDescent="0.25">
      <c r="A2635" t="s">
        <v>2253</v>
      </c>
      <c r="B2635">
        <v>1</v>
      </c>
      <c r="C2635" s="54">
        <v>43191</v>
      </c>
      <c r="D2635" s="3" t="str">
        <f>YEAR(Datos_Consumo[[#This Row],[FECHA]])&amp;"-"&amp;MONTH(Datos_Consumo[[#This Row],[FECHA]])</f>
        <v>2018-4</v>
      </c>
    </row>
    <row r="2636" spans="1:4" x14ac:dyDescent="0.25">
      <c r="A2636" t="s">
        <v>2254</v>
      </c>
      <c r="B2636">
        <v>3</v>
      </c>
      <c r="C2636" s="54">
        <v>43070</v>
      </c>
      <c r="D2636" s="3" t="str">
        <f>YEAR(Datos_Consumo[[#This Row],[FECHA]])&amp;"-"&amp;MONTH(Datos_Consumo[[#This Row],[FECHA]])</f>
        <v>2017-12</v>
      </c>
    </row>
    <row r="2637" spans="1:4" x14ac:dyDescent="0.25">
      <c r="A2637" t="s">
        <v>2254</v>
      </c>
      <c r="B2637">
        <v>4</v>
      </c>
      <c r="C2637" s="54">
        <v>43101</v>
      </c>
      <c r="D2637" s="3" t="str">
        <f>YEAR(Datos_Consumo[[#This Row],[FECHA]])&amp;"-"&amp;MONTH(Datos_Consumo[[#This Row],[FECHA]])</f>
        <v>2018-1</v>
      </c>
    </row>
    <row r="2638" spans="1:4" x14ac:dyDescent="0.25">
      <c r="A2638" t="s">
        <v>2254</v>
      </c>
      <c r="B2638">
        <v>11</v>
      </c>
      <c r="C2638" s="54">
        <v>43132</v>
      </c>
      <c r="D2638" s="3" t="str">
        <f>YEAR(Datos_Consumo[[#This Row],[FECHA]])&amp;"-"&amp;MONTH(Datos_Consumo[[#This Row],[FECHA]])</f>
        <v>2018-2</v>
      </c>
    </row>
    <row r="2639" spans="1:4" x14ac:dyDescent="0.25">
      <c r="A2639" t="s">
        <v>2254</v>
      </c>
      <c r="B2639">
        <v>10</v>
      </c>
      <c r="C2639" s="54">
        <v>43160</v>
      </c>
      <c r="D2639" s="3" t="str">
        <f>YEAR(Datos_Consumo[[#This Row],[FECHA]])&amp;"-"&amp;MONTH(Datos_Consumo[[#This Row],[FECHA]])</f>
        <v>2018-3</v>
      </c>
    </row>
    <row r="2640" spans="1:4" x14ac:dyDescent="0.25">
      <c r="A2640" t="s">
        <v>2254</v>
      </c>
      <c r="B2640">
        <v>6</v>
      </c>
      <c r="C2640" s="54">
        <v>43191</v>
      </c>
      <c r="D2640" s="3" t="str">
        <f>YEAR(Datos_Consumo[[#This Row],[FECHA]])&amp;"-"&amp;MONTH(Datos_Consumo[[#This Row],[FECHA]])</f>
        <v>2018-4</v>
      </c>
    </row>
    <row r="2641" spans="1:4" x14ac:dyDescent="0.25">
      <c r="A2641" t="s">
        <v>2254</v>
      </c>
      <c r="B2641">
        <v>1</v>
      </c>
      <c r="C2641" s="54">
        <v>43221</v>
      </c>
      <c r="D2641" s="3" t="str">
        <f>YEAR(Datos_Consumo[[#This Row],[FECHA]])&amp;"-"&amp;MONTH(Datos_Consumo[[#This Row],[FECHA]])</f>
        <v>2018-5</v>
      </c>
    </row>
    <row r="2642" spans="1:4" x14ac:dyDescent="0.25">
      <c r="A2642" t="s">
        <v>2255</v>
      </c>
      <c r="B2642">
        <v>2</v>
      </c>
      <c r="C2642" s="54">
        <v>43101</v>
      </c>
      <c r="D2642" s="3" t="str">
        <f>YEAR(Datos_Consumo[[#This Row],[FECHA]])&amp;"-"&amp;MONTH(Datos_Consumo[[#This Row],[FECHA]])</f>
        <v>2018-1</v>
      </c>
    </row>
    <row r="2643" spans="1:4" x14ac:dyDescent="0.25">
      <c r="A2643" t="s">
        <v>2255</v>
      </c>
      <c r="B2643">
        <v>3</v>
      </c>
      <c r="C2643" s="54">
        <v>43132</v>
      </c>
      <c r="D2643" s="3" t="str">
        <f>YEAR(Datos_Consumo[[#This Row],[FECHA]])&amp;"-"&amp;MONTH(Datos_Consumo[[#This Row],[FECHA]])</f>
        <v>2018-2</v>
      </c>
    </row>
    <row r="2644" spans="1:4" x14ac:dyDescent="0.25">
      <c r="A2644" t="s">
        <v>2255</v>
      </c>
      <c r="B2644">
        <v>2</v>
      </c>
      <c r="C2644" s="54">
        <v>43160</v>
      </c>
      <c r="D2644" s="3" t="str">
        <f>YEAR(Datos_Consumo[[#This Row],[FECHA]])&amp;"-"&amp;MONTH(Datos_Consumo[[#This Row],[FECHA]])</f>
        <v>2018-3</v>
      </c>
    </row>
    <row r="2645" spans="1:4" x14ac:dyDescent="0.25">
      <c r="A2645" t="s">
        <v>2256</v>
      </c>
      <c r="B2645">
        <v>2</v>
      </c>
      <c r="C2645" s="54">
        <v>43101</v>
      </c>
      <c r="D2645" s="3" t="str">
        <f>YEAR(Datos_Consumo[[#This Row],[FECHA]])&amp;"-"&amp;MONTH(Datos_Consumo[[#This Row],[FECHA]])</f>
        <v>2018-1</v>
      </c>
    </row>
    <row r="2646" spans="1:4" x14ac:dyDescent="0.25">
      <c r="A2646" t="s">
        <v>2256</v>
      </c>
      <c r="B2646">
        <v>1</v>
      </c>
      <c r="C2646" s="54">
        <v>43160</v>
      </c>
      <c r="D2646" s="3" t="str">
        <f>YEAR(Datos_Consumo[[#This Row],[FECHA]])&amp;"-"&amp;MONTH(Datos_Consumo[[#This Row],[FECHA]])</f>
        <v>2018-3</v>
      </c>
    </row>
    <row r="2647" spans="1:4" x14ac:dyDescent="0.25">
      <c r="A2647" t="s">
        <v>2257</v>
      </c>
      <c r="B2647">
        <v>2</v>
      </c>
      <c r="C2647" s="54">
        <v>43070</v>
      </c>
      <c r="D2647" s="3" t="str">
        <f>YEAR(Datos_Consumo[[#This Row],[FECHA]])&amp;"-"&amp;MONTH(Datos_Consumo[[#This Row],[FECHA]])</f>
        <v>2017-12</v>
      </c>
    </row>
    <row r="2648" spans="1:4" x14ac:dyDescent="0.25">
      <c r="A2648" t="s">
        <v>2258</v>
      </c>
      <c r="B2648">
        <v>6</v>
      </c>
      <c r="C2648" s="54">
        <v>43070</v>
      </c>
      <c r="D2648" s="3" t="str">
        <f>YEAR(Datos_Consumo[[#This Row],[FECHA]])&amp;"-"&amp;MONTH(Datos_Consumo[[#This Row],[FECHA]])</f>
        <v>2017-12</v>
      </c>
    </row>
    <row r="2649" spans="1:4" x14ac:dyDescent="0.25">
      <c r="A2649" t="s">
        <v>2258</v>
      </c>
      <c r="B2649">
        <v>2</v>
      </c>
      <c r="C2649" s="54">
        <v>43132</v>
      </c>
      <c r="D2649" s="3" t="str">
        <f>YEAR(Datos_Consumo[[#This Row],[FECHA]])&amp;"-"&amp;MONTH(Datos_Consumo[[#This Row],[FECHA]])</f>
        <v>2018-2</v>
      </c>
    </row>
    <row r="2650" spans="1:4" x14ac:dyDescent="0.25">
      <c r="A2650" t="s">
        <v>2258</v>
      </c>
      <c r="B2650">
        <v>1</v>
      </c>
      <c r="C2650" s="54">
        <v>43191</v>
      </c>
      <c r="D2650" s="3" t="str">
        <f>YEAR(Datos_Consumo[[#This Row],[FECHA]])&amp;"-"&amp;MONTH(Datos_Consumo[[#This Row],[FECHA]])</f>
        <v>2018-4</v>
      </c>
    </row>
    <row r="2651" spans="1:4" x14ac:dyDescent="0.25">
      <c r="A2651" t="s">
        <v>2259</v>
      </c>
      <c r="B2651">
        <v>2</v>
      </c>
      <c r="C2651" s="54">
        <v>43132</v>
      </c>
      <c r="D2651" s="3" t="str">
        <f>YEAR(Datos_Consumo[[#This Row],[FECHA]])&amp;"-"&amp;MONTH(Datos_Consumo[[#This Row],[FECHA]])</f>
        <v>2018-2</v>
      </c>
    </row>
    <row r="2652" spans="1:4" x14ac:dyDescent="0.25">
      <c r="A2652" t="s">
        <v>2259</v>
      </c>
      <c r="B2652">
        <v>1</v>
      </c>
      <c r="C2652" s="54">
        <v>43160</v>
      </c>
      <c r="D2652" s="3" t="str">
        <f>YEAR(Datos_Consumo[[#This Row],[FECHA]])&amp;"-"&amp;MONTH(Datos_Consumo[[#This Row],[FECHA]])</f>
        <v>2018-3</v>
      </c>
    </row>
    <row r="2653" spans="1:4" x14ac:dyDescent="0.25">
      <c r="A2653" t="s">
        <v>2259</v>
      </c>
      <c r="B2653">
        <v>8</v>
      </c>
      <c r="C2653" s="54">
        <v>43191</v>
      </c>
      <c r="D2653" s="3" t="str">
        <f>YEAR(Datos_Consumo[[#This Row],[FECHA]])&amp;"-"&amp;MONTH(Datos_Consumo[[#This Row],[FECHA]])</f>
        <v>2018-4</v>
      </c>
    </row>
    <row r="2654" spans="1:4" x14ac:dyDescent="0.25">
      <c r="A2654" t="s">
        <v>2260</v>
      </c>
      <c r="B2654">
        <v>7</v>
      </c>
      <c r="C2654" s="54">
        <v>43070</v>
      </c>
      <c r="D2654" s="3" t="str">
        <f>YEAR(Datos_Consumo[[#This Row],[FECHA]])&amp;"-"&amp;MONTH(Datos_Consumo[[#This Row],[FECHA]])</f>
        <v>2017-12</v>
      </c>
    </row>
    <row r="2655" spans="1:4" x14ac:dyDescent="0.25">
      <c r="A2655" t="s">
        <v>2260</v>
      </c>
      <c r="B2655">
        <v>2</v>
      </c>
      <c r="C2655" s="54">
        <v>43132</v>
      </c>
      <c r="D2655" s="3" t="str">
        <f>YEAR(Datos_Consumo[[#This Row],[FECHA]])&amp;"-"&amp;MONTH(Datos_Consumo[[#This Row],[FECHA]])</f>
        <v>2018-2</v>
      </c>
    </row>
    <row r="2656" spans="1:4" x14ac:dyDescent="0.25">
      <c r="A2656" t="s">
        <v>2260</v>
      </c>
      <c r="B2656">
        <v>1</v>
      </c>
      <c r="C2656" s="54">
        <v>43160</v>
      </c>
      <c r="D2656" s="3" t="str">
        <f>YEAR(Datos_Consumo[[#This Row],[FECHA]])&amp;"-"&amp;MONTH(Datos_Consumo[[#This Row],[FECHA]])</f>
        <v>2018-3</v>
      </c>
    </row>
    <row r="2657" spans="1:4" x14ac:dyDescent="0.25">
      <c r="A2657" t="s">
        <v>2260</v>
      </c>
      <c r="B2657">
        <v>4</v>
      </c>
      <c r="C2657" s="54">
        <v>43191</v>
      </c>
      <c r="D2657" s="3" t="str">
        <f>YEAR(Datos_Consumo[[#This Row],[FECHA]])&amp;"-"&amp;MONTH(Datos_Consumo[[#This Row],[FECHA]])</f>
        <v>2018-4</v>
      </c>
    </row>
    <row r="2658" spans="1:4" x14ac:dyDescent="0.25">
      <c r="A2658" t="s">
        <v>2261</v>
      </c>
      <c r="B2658">
        <v>2</v>
      </c>
      <c r="C2658" s="54">
        <v>43160</v>
      </c>
      <c r="D2658" s="3" t="str">
        <f>YEAR(Datos_Consumo[[#This Row],[FECHA]])&amp;"-"&amp;MONTH(Datos_Consumo[[#This Row],[FECHA]])</f>
        <v>2018-3</v>
      </c>
    </row>
    <row r="2659" spans="1:4" x14ac:dyDescent="0.25">
      <c r="A2659" t="s">
        <v>2262</v>
      </c>
      <c r="B2659">
        <v>2</v>
      </c>
      <c r="C2659" s="54">
        <v>43132</v>
      </c>
      <c r="D2659" s="3" t="str">
        <f>YEAR(Datos_Consumo[[#This Row],[FECHA]])&amp;"-"&amp;MONTH(Datos_Consumo[[#This Row],[FECHA]])</f>
        <v>2018-2</v>
      </c>
    </row>
    <row r="2660" spans="1:4" x14ac:dyDescent="0.25">
      <c r="A2660" t="s">
        <v>2263</v>
      </c>
      <c r="B2660">
        <v>1</v>
      </c>
      <c r="C2660" s="54">
        <v>43070</v>
      </c>
      <c r="D2660" s="3" t="str">
        <f>YEAR(Datos_Consumo[[#This Row],[FECHA]])&amp;"-"&amp;MONTH(Datos_Consumo[[#This Row],[FECHA]])</f>
        <v>2017-12</v>
      </c>
    </row>
    <row r="2661" spans="1:4" x14ac:dyDescent="0.25">
      <c r="A2661" t="s">
        <v>2263</v>
      </c>
      <c r="B2661">
        <v>1</v>
      </c>
      <c r="C2661" s="54">
        <v>43132</v>
      </c>
      <c r="D2661" s="3" t="str">
        <f>YEAR(Datos_Consumo[[#This Row],[FECHA]])&amp;"-"&amp;MONTH(Datos_Consumo[[#This Row],[FECHA]])</f>
        <v>2018-2</v>
      </c>
    </row>
    <row r="2662" spans="1:4" x14ac:dyDescent="0.25">
      <c r="A2662" t="s">
        <v>2263</v>
      </c>
      <c r="B2662">
        <v>2</v>
      </c>
      <c r="C2662" s="54">
        <v>43160</v>
      </c>
      <c r="D2662" s="3" t="str">
        <f>YEAR(Datos_Consumo[[#This Row],[FECHA]])&amp;"-"&amp;MONTH(Datos_Consumo[[#This Row],[FECHA]])</f>
        <v>2018-3</v>
      </c>
    </row>
    <row r="2663" spans="1:4" x14ac:dyDescent="0.25">
      <c r="A2663" t="s">
        <v>2263</v>
      </c>
      <c r="B2663">
        <v>1</v>
      </c>
      <c r="C2663" s="54">
        <v>43221</v>
      </c>
      <c r="D2663" s="3" t="str">
        <f>YEAR(Datos_Consumo[[#This Row],[FECHA]])&amp;"-"&amp;MONTH(Datos_Consumo[[#This Row],[FECHA]])</f>
        <v>2018-5</v>
      </c>
    </row>
    <row r="2664" spans="1:4" x14ac:dyDescent="0.25">
      <c r="A2664" t="s">
        <v>2264</v>
      </c>
      <c r="B2664">
        <v>1</v>
      </c>
      <c r="C2664" s="54">
        <v>43070</v>
      </c>
      <c r="D2664" s="3" t="str">
        <f>YEAR(Datos_Consumo[[#This Row],[FECHA]])&amp;"-"&amp;MONTH(Datos_Consumo[[#This Row],[FECHA]])</f>
        <v>2017-12</v>
      </c>
    </row>
    <row r="2665" spans="1:4" x14ac:dyDescent="0.25">
      <c r="A2665" t="s">
        <v>2264</v>
      </c>
      <c r="B2665">
        <v>5</v>
      </c>
      <c r="C2665" s="54">
        <v>43101</v>
      </c>
      <c r="D2665" s="3" t="str">
        <f>YEAR(Datos_Consumo[[#This Row],[FECHA]])&amp;"-"&amp;MONTH(Datos_Consumo[[#This Row],[FECHA]])</f>
        <v>2018-1</v>
      </c>
    </row>
    <row r="2666" spans="1:4" x14ac:dyDescent="0.25">
      <c r="A2666" t="s">
        <v>2264</v>
      </c>
      <c r="B2666">
        <v>2</v>
      </c>
      <c r="C2666" s="54">
        <v>43132</v>
      </c>
      <c r="D2666" s="3" t="str">
        <f>YEAR(Datos_Consumo[[#This Row],[FECHA]])&amp;"-"&amp;MONTH(Datos_Consumo[[#This Row],[FECHA]])</f>
        <v>2018-2</v>
      </c>
    </row>
    <row r="2667" spans="1:4" x14ac:dyDescent="0.25">
      <c r="A2667" t="s">
        <v>2264</v>
      </c>
      <c r="B2667">
        <v>2</v>
      </c>
      <c r="C2667" s="54">
        <v>43160</v>
      </c>
      <c r="D2667" s="3" t="str">
        <f>YEAR(Datos_Consumo[[#This Row],[FECHA]])&amp;"-"&amp;MONTH(Datos_Consumo[[#This Row],[FECHA]])</f>
        <v>2018-3</v>
      </c>
    </row>
    <row r="2668" spans="1:4" x14ac:dyDescent="0.25">
      <c r="A2668" t="s">
        <v>2264</v>
      </c>
      <c r="B2668">
        <v>2</v>
      </c>
      <c r="C2668" s="54">
        <v>43191</v>
      </c>
      <c r="D2668" s="3" t="str">
        <f>YEAR(Datos_Consumo[[#This Row],[FECHA]])&amp;"-"&amp;MONTH(Datos_Consumo[[#This Row],[FECHA]])</f>
        <v>2018-4</v>
      </c>
    </row>
    <row r="2669" spans="1:4" x14ac:dyDescent="0.25">
      <c r="A2669" t="s">
        <v>2265</v>
      </c>
      <c r="B2669">
        <v>1</v>
      </c>
      <c r="C2669" s="54">
        <v>43160</v>
      </c>
      <c r="D2669" s="3" t="str">
        <f>YEAR(Datos_Consumo[[#This Row],[FECHA]])&amp;"-"&amp;MONTH(Datos_Consumo[[#This Row],[FECHA]])</f>
        <v>2018-3</v>
      </c>
    </row>
    <row r="2670" spans="1:4" x14ac:dyDescent="0.25">
      <c r="A2670" t="s">
        <v>2265</v>
      </c>
      <c r="B2670">
        <v>7</v>
      </c>
      <c r="C2670" s="54">
        <v>43191</v>
      </c>
      <c r="D2670" s="3" t="str">
        <f>YEAR(Datos_Consumo[[#This Row],[FECHA]])&amp;"-"&amp;MONTH(Datos_Consumo[[#This Row],[FECHA]])</f>
        <v>2018-4</v>
      </c>
    </row>
    <row r="2671" spans="1:4" x14ac:dyDescent="0.25">
      <c r="A2671" t="s">
        <v>2266</v>
      </c>
      <c r="B2671">
        <v>43</v>
      </c>
      <c r="C2671" s="54">
        <v>43101</v>
      </c>
      <c r="D2671" s="3" t="str">
        <f>YEAR(Datos_Consumo[[#This Row],[FECHA]])&amp;"-"&amp;MONTH(Datos_Consumo[[#This Row],[FECHA]])</f>
        <v>2018-1</v>
      </c>
    </row>
    <row r="2672" spans="1:4" x14ac:dyDescent="0.25">
      <c r="A2672" t="s">
        <v>2267</v>
      </c>
      <c r="B2672">
        <v>52</v>
      </c>
      <c r="C2672" s="54">
        <v>43070</v>
      </c>
      <c r="D2672" s="3" t="str">
        <f>YEAR(Datos_Consumo[[#This Row],[FECHA]])&amp;"-"&amp;MONTH(Datos_Consumo[[#This Row],[FECHA]])</f>
        <v>2017-12</v>
      </c>
    </row>
    <row r="2673" spans="1:4" x14ac:dyDescent="0.25">
      <c r="A2673" t="s">
        <v>2267</v>
      </c>
      <c r="B2673">
        <v>147</v>
      </c>
      <c r="C2673" s="54">
        <v>43101</v>
      </c>
      <c r="D2673" s="3" t="str">
        <f>YEAR(Datos_Consumo[[#This Row],[FECHA]])&amp;"-"&amp;MONTH(Datos_Consumo[[#This Row],[FECHA]])</f>
        <v>2018-1</v>
      </c>
    </row>
    <row r="2674" spans="1:4" x14ac:dyDescent="0.25">
      <c r="A2674" t="s">
        <v>2267</v>
      </c>
      <c r="B2674">
        <v>52</v>
      </c>
      <c r="C2674" s="54">
        <v>43132</v>
      </c>
      <c r="D2674" s="3" t="str">
        <f>YEAR(Datos_Consumo[[#This Row],[FECHA]])&amp;"-"&amp;MONTH(Datos_Consumo[[#This Row],[FECHA]])</f>
        <v>2018-2</v>
      </c>
    </row>
    <row r="2675" spans="1:4" x14ac:dyDescent="0.25">
      <c r="A2675" t="s">
        <v>2267</v>
      </c>
      <c r="B2675">
        <v>10</v>
      </c>
      <c r="C2675" s="54">
        <v>43160</v>
      </c>
      <c r="D2675" s="3" t="str">
        <f>YEAR(Datos_Consumo[[#This Row],[FECHA]])&amp;"-"&amp;MONTH(Datos_Consumo[[#This Row],[FECHA]])</f>
        <v>2018-3</v>
      </c>
    </row>
    <row r="2676" spans="1:4" x14ac:dyDescent="0.25">
      <c r="A2676" t="s">
        <v>2267</v>
      </c>
      <c r="B2676">
        <v>30</v>
      </c>
      <c r="C2676" s="54">
        <v>43191</v>
      </c>
      <c r="D2676" s="3" t="str">
        <f>YEAR(Datos_Consumo[[#This Row],[FECHA]])&amp;"-"&amp;MONTH(Datos_Consumo[[#This Row],[FECHA]])</f>
        <v>2018-4</v>
      </c>
    </row>
    <row r="2677" spans="1:4" x14ac:dyDescent="0.25">
      <c r="A2677" t="s">
        <v>2267</v>
      </c>
      <c r="B2677">
        <v>1</v>
      </c>
      <c r="C2677" s="54">
        <v>43221</v>
      </c>
      <c r="D2677" s="3" t="str">
        <f>YEAR(Datos_Consumo[[#This Row],[FECHA]])&amp;"-"&amp;MONTH(Datos_Consumo[[#This Row],[FECHA]])</f>
        <v>2018-5</v>
      </c>
    </row>
    <row r="2678" spans="1:4" x14ac:dyDescent="0.25">
      <c r="A2678" t="s">
        <v>2268</v>
      </c>
      <c r="B2678">
        <v>4</v>
      </c>
      <c r="C2678" s="54">
        <v>43160</v>
      </c>
      <c r="D2678" s="3" t="str">
        <f>YEAR(Datos_Consumo[[#This Row],[FECHA]])&amp;"-"&amp;MONTH(Datos_Consumo[[#This Row],[FECHA]])</f>
        <v>2018-3</v>
      </c>
    </row>
    <row r="2679" spans="1:4" x14ac:dyDescent="0.25">
      <c r="A2679" t="s">
        <v>2269</v>
      </c>
      <c r="B2679">
        <v>7</v>
      </c>
      <c r="C2679" s="54">
        <v>43160</v>
      </c>
      <c r="D2679" s="3" t="str">
        <f>YEAR(Datos_Consumo[[#This Row],[FECHA]])&amp;"-"&amp;MONTH(Datos_Consumo[[#This Row],[FECHA]])</f>
        <v>2018-3</v>
      </c>
    </row>
    <row r="2680" spans="1:4" x14ac:dyDescent="0.25">
      <c r="A2680" t="s">
        <v>2269</v>
      </c>
      <c r="B2680">
        <v>7</v>
      </c>
      <c r="C2680" s="54">
        <v>43191</v>
      </c>
      <c r="D2680" s="3" t="str">
        <f>YEAR(Datos_Consumo[[#This Row],[FECHA]])&amp;"-"&amp;MONTH(Datos_Consumo[[#This Row],[FECHA]])</f>
        <v>2018-4</v>
      </c>
    </row>
    <row r="2681" spans="1:4" x14ac:dyDescent="0.25">
      <c r="A2681" t="s">
        <v>2270</v>
      </c>
      <c r="B2681">
        <v>1</v>
      </c>
      <c r="C2681" s="54">
        <v>43101</v>
      </c>
      <c r="D2681" s="3" t="str">
        <f>YEAR(Datos_Consumo[[#This Row],[FECHA]])&amp;"-"&amp;MONTH(Datos_Consumo[[#This Row],[FECHA]])</f>
        <v>2018-1</v>
      </c>
    </row>
    <row r="2682" spans="1:4" x14ac:dyDescent="0.25">
      <c r="A2682" t="s">
        <v>2271</v>
      </c>
      <c r="B2682">
        <v>1</v>
      </c>
      <c r="C2682" s="54">
        <v>43101</v>
      </c>
      <c r="D2682" s="3" t="str">
        <f>YEAR(Datos_Consumo[[#This Row],[FECHA]])&amp;"-"&amp;MONTH(Datos_Consumo[[#This Row],[FECHA]])</f>
        <v>2018-1</v>
      </c>
    </row>
    <row r="2683" spans="1:4" x14ac:dyDescent="0.25">
      <c r="A2683" t="s">
        <v>2272</v>
      </c>
      <c r="B2683">
        <v>1</v>
      </c>
      <c r="C2683" s="54">
        <v>43101</v>
      </c>
      <c r="D2683" s="3" t="str">
        <f>YEAR(Datos_Consumo[[#This Row],[FECHA]])&amp;"-"&amp;MONTH(Datos_Consumo[[#This Row],[FECHA]])</f>
        <v>2018-1</v>
      </c>
    </row>
    <row r="2684" spans="1:4" x14ac:dyDescent="0.25">
      <c r="A2684" t="s">
        <v>2273</v>
      </c>
      <c r="B2684">
        <v>1</v>
      </c>
      <c r="C2684" s="54">
        <v>43070</v>
      </c>
      <c r="D2684" s="3" t="str">
        <f>YEAR(Datos_Consumo[[#This Row],[FECHA]])&amp;"-"&amp;MONTH(Datos_Consumo[[#This Row],[FECHA]])</f>
        <v>2017-12</v>
      </c>
    </row>
    <row r="2685" spans="1:4" x14ac:dyDescent="0.25">
      <c r="A2685" t="s">
        <v>2274</v>
      </c>
      <c r="B2685">
        <v>2</v>
      </c>
      <c r="C2685" s="54">
        <v>43070</v>
      </c>
      <c r="D2685" s="3" t="str">
        <f>YEAR(Datos_Consumo[[#This Row],[FECHA]])&amp;"-"&amp;MONTH(Datos_Consumo[[#This Row],[FECHA]])</f>
        <v>2017-12</v>
      </c>
    </row>
    <row r="2686" spans="1:4" x14ac:dyDescent="0.25">
      <c r="A2686" t="s">
        <v>2275</v>
      </c>
      <c r="B2686">
        <v>13</v>
      </c>
      <c r="C2686" s="54">
        <v>43070</v>
      </c>
      <c r="D2686" s="3" t="str">
        <f>YEAR(Datos_Consumo[[#This Row],[FECHA]])&amp;"-"&amp;MONTH(Datos_Consumo[[#This Row],[FECHA]])</f>
        <v>2017-12</v>
      </c>
    </row>
    <row r="2687" spans="1:4" x14ac:dyDescent="0.25">
      <c r="A2687" t="s">
        <v>2275</v>
      </c>
      <c r="B2687">
        <v>25</v>
      </c>
      <c r="C2687" s="54">
        <v>43101</v>
      </c>
      <c r="D2687" s="3" t="str">
        <f>YEAR(Datos_Consumo[[#This Row],[FECHA]])&amp;"-"&amp;MONTH(Datos_Consumo[[#This Row],[FECHA]])</f>
        <v>2018-1</v>
      </c>
    </row>
    <row r="2688" spans="1:4" x14ac:dyDescent="0.25">
      <c r="A2688" t="s">
        <v>2275</v>
      </c>
      <c r="B2688">
        <v>13</v>
      </c>
      <c r="C2688" s="54">
        <v>43132</v>
      </c>
      <c r="D2688" s="3" t="str">
        <f>YEAR(Datos_Consumo[[#This Row],[FECHA]])&amp;"-"&amp;MONTH(Datos_Consumo[[#This Row],[FECHA]])</f>
        <v>2018-2</v>
      </c>
    </row>
    <row r="2689" spans="1:4" x14ac:dyDescent="0.25">
      <c r="A2689" t="s">
        <v>2275</v>
      </c>
      <c r="B2689">
        <v>14</v>
      </c>
      <c r="C2689" s="54">
        <v>43160</v>
      </c>
      <c r="D2689" s="3" t="str">
        <f>YEAR(Datos_Consumo[[#This Row],[FECHA]])&amp;"-"&amp;MONTH(Datos_Consumo[[#This Row],[FECHA]])</f>
        <v>2018-3</v>
      </c>
    </row>
    <row r="2690" spans="1:4" x14ac:dyDescent="0.25">
      <c r="A2690" t="s">
        <v>2275</v>
      </c>
      <c r="B2690">
        <v>15</v>
      </c>
      <c r="C2690" s="54">
        <v>43191</v>
      </c>
      <c r="D2690" s="3" t="str">
        <f>YEAR(Datos_Consumo[[#This Row],[FECHA]])&amp;"-"&amp;MONTH(Datos_Consumo[[#This Row],[FECHA]])</f>
        <v>2018-4</v>
      </c>
    </row>
    <row r="2691" spans="1:4" x14ac:dyDescent="0.25">
      <c r="A2691" t="s">
        <v>2275</v>
      </c>
      <c r="B2691">
        <v>15</v>
      </c>
      <c r="C2691" s="54">
        <v>43221</v>
      </c>
      <c r="D2691" s="3" t="str">
        <f>YEAR(Datos_Consumo[[#This Row],[FECHA]])&amp;"-"&amp;MONTH(Datos_Consumo[[#This Row],[FECHA]])</f>
        <v>2018-5</v>
      </c>
    </row>
    <row r="2692" spans="1:4" x14ac:dyDescent="0.25">
      <c r="A2692" t="s">
        <v>2276</v>
      </c>
      <c r="B2692">
        <v>20</v>
      </c>
      <c r="C2692" s="54">
        <v>43101</v>
      </c>
      <c r="D2692" s="3" t="str">
        <f>YEAR(Datos_Consumo[[#This Row],[FECHA]])&amp;"-"&amp;MONTH(Datos_Consumo[[#This Row],[FECHA]])</f>
        <v>2018-1</v>
      </c>
    </row>
    <row r="2693" spans="1:4" x14ac:dyDescent="0.25">
      <c r="A2693" t="s">
        <v>2276</v>
      </c>
      <c r="B2693">
        <v>1</v>
      </c>
      <c r="C2693" s="54">
        <v>43132</v>
      </c>
      <c r="D2693" s="3" t="str">
        <f>YEAR(Datos_Consumo[[#This Row],[FECHA]])&amp;"-"&amp;MONTH(Datos_Consumo[[#This Row],[FECHA]])</f>
        <v>2018-2</v>
      </c>
    </row>
    <row r="2694" spans="1:4" x14ac:dyDescent="0.25">
      <c r="A2694" t="s">
        <v>2276</v>
      </c>
      <c r="B2694">
        <v>10</v>
      </c>
      <c r="C2694" s="54">
        <v>43191</v>
      </c>
      <c r="D2694" s="3" t="str">
        <f>YEAR(Datos_Consumo[[#This Row],[FECHA]])&amp;"-"&amp;MONTH(Datos_Consumo[[#This Row],[FECHA]])</f>
        <v>2018-4</v>
      </c>
    </row>
    <row r="2695" spans="1:4" x14ac:dyDescent="0.25">
      <c r="A2695" t="s">
        <v>2277</v>
      </c>
      <c r="B2695">
        <v>1</v>
      </c>
      <c r="C2695" s="54">
        <v>43132</v>
      </c>
      <c r="D2695" s="3" t="str">
        <f>YEAR(Datos_Consumo[[#This Row],[FECHA]])&amp;"-"&amp;MONTH(Datos_Consumo[[#This Row],[FECHA]])</f>
        <v>2018-2</v>
      </c>
    </row>
    <row r="2696" spans="1:4" x14ac:dyDescent="0.25">
      <c r="A2696" t="s">
        <v>2277</v>
      </c>
      <c r="B2696">
        <v>2</v>
      </c>
      <c r="C2696" s="54">
        <v>43160</v>
      </c>
      <c r="D2696" s="3" t="str">
        <f>YEAR(Datos_Consumo[[#This Row],[FECHA]])&amp;"-"&amp;MONTH(Datos_Consumo[[#This Row],[FECHA]])</f>
        <v>2018-3</v>
      </c>
    </row>
    <row r="2697" spans="1:4" x14ac:dyDescent="0.25">
      <c r="A2697" t="s">
        <v>2277</v>
      </c>
      <c r="B2697">
        <v>10</v>
      </c>
      <c r="C2697" s="54">
        <v>43191</v>
      </c>
      <c r="D2697" s="3" t="str">
        <f>YEAR(Datos_Consumo[[#This Row],[FECHA]])&amp;"-"&amp;MONTH(Datos_Consumo[[#This Row],[FECHA]])</f>
        <v>2018-4</v>
      </c>
    </row>
    <row r="2698" spans="1:4" x14ac:dyDescent="0.25">
      <c r="A2698" t="s">
        <v>2278</v>
      </c>
      <c r="B2698">
        <v>5</v>
      </c>
      <c r="C2698" s="54">
        <v>43070</v>
      </c>
      <c r="D2698" s="3" t="str">
        <f>YEAR(Datos_Consumo[[#This Row],[FECHA]])&amp;"-"&amp;MONTH(Datos_Consumo[[#This Row],[FECHA]])</f>
        <v>2017-12</v>
      </c>
    </row>
    <row r="2699" spans="1:4" x14ac:dyDescent="0.25">
      <c r="A2699" t="s">
        <v>2278</v>
      </c>
      <c r="B2699">
        <v>4</v>
      </c>
      <c r="C2699" s="54">
        <v>43101</v>
      </c>
      <c r="D2699" s="3" t="str">
        <f>YEAR(Datos_Consumo[[#This Row],[FECHA]])&amp;"-"&amp;MONTH(Datos_Consumo[[#This Row],[FECHA]])</f>
        <v>2018-1</v>
      </c>
    </row>
    <row r="2700" spans="1:4" x14ac:dyDescent="0.25">
      <c r="A2700" t="s">
        <v>2278</v>
      </c>
      <c r="B2700">
        <v>6</v>
      </c>
      <c r="C2700" s="54">
        <v>43132</v>
      </c>
      <c r="D2700" s="3" t="str">
        <f>YEAR(Datos_Consumo[[#This Row],[FECHA]])&amp;"-"&amp;MONTH(Datos_Consumo[[#This Row],[FECHA]])</f>
        <v>2018-2</v>
      </c>
    </row>
    <row r="2701" spans="1:4" x14ac:dyDescent="0.25">
      <c r="A2701" t="s">
        <v>2278</v>
      </c>
      <c r="B2701">
        <v>4</v>
      </c>
      <c r="C2701" s="54">
        <v>43160</v>
      </c>
      <c r="D2701" s="3" t="str">
        <f>YEAR(Datos_Consumo[[#This Row],[FECHA]])&amp;"-"&amp;MONTH(Datos_Consumo[[#This Row],[FECHA]])</f>
        <v>2018-3</v>
      </c>
    </row>
    <row r="2702" spans="1:4" x14ac:dyDescent="0.25">
      <c r="A2702" t="s">
        <v>2278</v>
      </c>
      <c r="B2702">
        <v>1</v>
      </c>
      <c r="C2702" s="54">
        <v>43191</v>
      </c>
      <c r="D2702" s="3" t="str">
        <f>YEAR(Datos_Consumo[[#This Row],[FECHA]])&amp;"-"&amp;MONTH(Datos_Consumo[[#This Row],[FECHA]])</f>
        <v>2018-4</v>
      </c>
    </row>
    <row r="2703" spans="1:4" x14ac:dyDescent="0.25">
      <c r="A2703" t="s">
        <v>2278</v>
      </c>
      <c r="B2703">
        <v>2</v>
      </c>
      <c r="C2703" s="54">
        <v>43221</v>
      </c>
      <c r="D2703" s="3" t="str">
        <f>YEAR(Datos_Consumo[[#This Row],[FECHA]])&amp;"-"&amp;MONTH(Datos_Consumo[[#This Row],[FECHA]])</f>
        <v>2018-5</v>
      </c>
    </row>
    <row r="2704" spans="1:4" x14ac:dyDescent="0.25">
      <c r="A2704" t="s">
        <v>4064</v>
      </c>
      <c r="B2704">
        <v>1</v>
      </c>
      <c r="C2704" s="54">
        <v>43221</v>
      </c>
      <c r="D2704" s="3" t="str">
        <f>YEAR(Datos_Consumo[[#This Row],[FECHA]])&amp;"-"&amp;MONTH(Datos_Consumo[[#This Row],[FECHA]])</f>
        <v>2018-5</v>
      </c>
    </row>
    <row r="2705" spans="1:4" x14ac:dyDescent="0.25">
      <c r="A2705" t="s">
        <v>2279</v>
      </c>
      <c r="B2705">
        <v>5</v>
      </c>
      <c r="C2705" s="54">
        <v>43070</v>
      </c>
      <c r="D2705" s="3" t="str">
        <f>YEAR(Datos_Consumo[[#This Row],[FECHA]])&amp;"-"&amp;MONTH(Datos_Consumo[[#This Row],[FECHA]])</f>
        <v>2017-12</v>
      </c>
    </row>
    <row r="2706" spans="1:4" x14ac:dyDescent="0.25">
      <c r="A2706" t="s">
        <v>2279</v>
      </c>
      <c r="B2706">
        <v>5</v>
      </c>
      <c r="C2706" s="54">
        <v>43101</v>
      </c>
      <c r="D2706" s="3" t="str">
        <f>YEAR(Datos_Consumo[[#This Row],[FECHA]])&amp;"-"&amp;MONTH(Datos_Consumo[[#This Row],[FECHA]])</f>
        <v>2018-1</v>
      </c>
    </row>
    <row r="2707" spans="1:4" x14ac:dyDescent="0.25">
      <c r="A2707" t="s">
        <v>2279</v>
      </c>
      <c r="B2707">
        <v>3</v>
      </c>
      <c r="C2707" s="54">
        <v>43132</v>
      </c>
      <c r="D2707" s="3" t="str">
        <f>YEAR(Datos_Consumo[[#This Row],[FECHA]])&amp;"-"&amp;MONTH(Datos_Consumo[[#This Row],[FECHA]])</f>
        <v>2018-2</v>
      </c>
    </row>
    <row r="2708" spans="1:4" x14ac:dyDescent="0.25">
      <c r="A2708" t="s">
        <v>2279</v>
      </c>
      <c r="B2708">
        <v>1</v>
      </c>
      <c r="C2708" s="54">
        <v>43160</v>
      </c>
      <c r="D2708" s="3" t="str">
        <f>YEAR(Datos_Consumo[[#This Row],[FECHA]])&amp;"-"&amp;MONTH(Datos_Consumo[[#This Row],[FECHA]])</f>
        <v>2018-3</v>
      </c>
    </row>
    <row r="2709" spans="1:4" x14ac:dyDescent="0.25">
      <c r="A2709" t="s">
        <v>2280</v>
      </c>
      <c r="B2709">
        <v>4</v>
      </c>
      <c r="C2709" s="54">
        <v>43101</v>
      </c>
      <c r="D2709" s="3" t="str">
        <f>YEAR(Datos_Consumo[[#This Row],[FECHA]])&amp;"-"&amp;MONTH(Datos_Consumo[[#This Row],[FECHA]])</f>
        <v>2018-1</v>
      </c>
    </row>
    <row r="2710" spans="1:4" x14ac:dyDescent="0.25">
      <c r="A2710" t="s">
        <v>2280</v>
      </c>
      <c r="B2710">
        <v>2</v>
      </c>
      <c r="C2710" s="54">
        <v>43160</v>
      </c>
      <c r="D2710" s="3" t="str">
        <f>YEAR(Datos_Consumo[[#This Row],[FECHA]])&amp;"-"&amp;MONTH(Datos_Consumo[[#This Row],[FECHA]])</f>
        <v>2018-3</v>
      </c>
    </row>
    <row r="2711" spans="1:4" x14ac:dyDescent="0.25">
      <c r="A2711" t="s">
        <v>2280</v>
      </c>
      <c r="B2711">
        <v>2</v>
      </c>
      <c r="C2711" s="54">
        <v>43191</v>
      </c>
      <c r="D2711" s="3" t="str">
        <f>YEAR(Datos_Consumo[[#This Row],[FECHA]])&amp;"-"&amp;MONTH(Datos_Consumo[[#This Row],[FECHA]])</f>
        <v>2018-4</v>
      </c>
    </row>
    <row r="2712" spans="1:4" x14ac:dyDescent="0.25">
      <c r="A2712" t="s">
        <v>2281</v>
      </c>
      <c r="B2712">
        <v>1</v>
      </c>
      <c r="C2712" s="54">
        <v>43160</v>
      </c>
      <c r="D2712" s="3" t="str">
        <f>YEAR(Datos_Consumo[[#This Row],[FECHA]])&amp;"-"&amp;MONTH(Datos_Consumo[[#This Row],[FECHA]])</f>
        <v>2018-3</v>
      </c>
    </row>
    <row r="2713" spans="1:4" x14ac:dyDescent="0.25">
      <c r="A2713" t="s">
        <v>2281</v>
      </c>
      <c r="B2713">
        <v>2</v>
      </c>
      <c r="C2713" s="54">
        <v>43191</v>
      </c>
      <c r="D2713" s="3" t="str">
        <f>YEAR(Datos_Consumo[[#This Row],[FECHA]])&amp;"-"&amp;MONTH(Datos_Consumo[[#This Row],[FECHA]])</f>
        <v>2018-4</v>
      </c>
    </row>
    <row r="2714" spans="1:4" x14ac:dyDescent="0.25">
      <c r="A2714" t="s">
        <v>2282</v>
      </c>
      <c r="B2714">
        <v>2</v>
      </c>
      <c r="C2714" s="54">
        <v>43160</v>
      </c>
      <c r="D2714" s="3" t="str">
        <f>YEAR(Datos_Consumo[[#This Row],[FECHA]])&amp;"-"&amp;MONTH(Datos_Consumo[[#This Row],[FECHA]])</f>
        <v>2018-3</v>
      </c>
    </row>
    <row r="2715" spans="1:4" x14ac:dyDescent="0.25">
      <c r="A2715" t="s">
        <v>2283</v>
      </c>
      <c r="B2715">
        <v>7</v>
      </c>
      <c r="C2715" s="54">
        <v>43070</v>
      </c>
      <c r="D2715" s="3" t="str">
        <f>YEAR(Datos_Consumo[[#This Row],[FECHA]])&amp;"-"&amp;MONTH(Datos_Consumo[[#This Row],[FECHA]])</f>
        <v>2017-12</v>
      </c>
    </row>
    <row r="2716" spans="1:4" x14ac:dyDescent="0.25">
      <c r="A2716" t="s">
        <v>2283</v>
      </c>
      <c r="B2716">
        <v>6</v>
      </c>
      <c r="C2716" s="54">
        <v>43101</v>
      </c>
      <c r="D2716" s="3" t="str">
        <f>YEAR(Datos_Consumo[[#This Row],[FECHA]])&amp;"-"&amp;MONTH(Datos_Consumo[[#This Row],[FECHA]])</f>
        <v>2018-1</v>
      </c>
    </row>
    <row r="2717" spans="1:4" x14ac:dyDescent="0.25">
      <c r="A2717" t="s">
        <v>2283</v>
      </c>
      <c r="B2717">
        <v>4</v>
      </c>
      <c r="C2717" s="54">
        <v>43132</v>
      </c>
      <c r="D2717" s="3" t="str">
        <f>YEAR(Datos_Consumo[[#This Row],[FECHA]])&amp;"-"&amp;MONTH(Datos_Consumo[[#This Row],[FECHA]])</f>
        <v>2018-2</v>
      </c>
    </row>
    <row r="2718" spans="1:4" x14ac:dyDescent="0.25">
      <c r="A2718" t="s">
        <v>2283</v>
      </c>
      <c r="B2718">
        <v>5</v>
      </c>
      <c r="C2718" s="54">
        <v>43160</v>
      </c>
      <c r="D2718" s="3" t="str">
        <f>YEAR(Datos_Consumo[[#This Row],[FECHA]])&amp;"-"&amp;MONTH(Datos_Consumo[[#This Row],[FECHA]])</f>
        <v>2018-3</v>
      </c>
    </row>
    <row r="2719" spans="1:4" x14ac:dyDescent="0.25">
      <c r="A2719" t="s">
        <v>2283</v>
      </c>
      <c r="B2719">
        <v>3</v>
      </c>
      <c r="C2719" s="54">
        <v>43191</v>
      </c>
      <c r="D2719" s="3" t="str">
        <f>YEAR(Datos_Consumo[[#This Row],[FECHA]])&amp;"-"&amp;MONTH(Datos_Consumo[[#This Row],[FECHA]])</f>
        <v>2018-4</v>
      </c>
    </row>
    <row r="2720" spans="1:4" x14ac:dyDescent="0.25">
      <c r="A2720" t="s">
        <v>2283</v>
      </c>
      <c r="B2720">
        <v>1</v>
      </c>
      <c r="C2720" s="54">
        <v>43221</v>
      </c>
      <c r="D2720" s="3" t="str">
        <f>YEAR(Datos_Consumo[[#This Row],[FECHA]])&amp;"-"&amp;MONTH(Datos_Consumo[[#This Row],[FECHA]])</f>
        <v>2018-5</v>
      </c>
    </row>
    <row r="2721" spans="1:4" x14ac:dyDescent="0.25">
      <c r="A2721" t="s">
        <v>2284</v>
      </c>
      <c r="B2721">
        <v>2</v>
      </c>
      <c r="C2721" s="54">
        <v>43070</v>
      </c>
      <c r="D2721" s="3" t="str">
        <f>YEAR(Datos_Consumo[[#This Row],[FECHA]])&amp;"-"&amp;MONTH(Datos_Consumo[[#This Row],[FECHA]])</f>
        <v>2017-12</v>
      </c>
    </row>
    <row r="2722" spans="1:4" x14ac:dyDescent="0.25">
      <c r="A2722" t="s">
        <v>2284</v>
      </c>
      <c r="B2722">
        <v>2</v>
      </c>
      <c r="C2722" s="54">
        <v>43101</v>
      </c>
      <c r="D2722" s="3" t="str">
        <f>YEAR(Datos_Consumo[[#This Row],[FECHA]])&amp;"-"&amp;MONTH(Datos_Consumo[[#This Row],[FECHA]])</f>
        <v>2018-1</v>
      </c>
    </row>
    <row r="2723" spans="1:4" x14ac:dyDescent="0.25">
      <c r="A2723" t="s">
        <v>2284</v>
      </c>
      <c r="B2723">
        <v>3</v>
      </c>
      <c r="C2723" s="54">
        <v>43132</v>
      </c>
      <c r="D2723" s="3" t="str">
        <f>YEAR(Datos_Consumo[[#This Row],[FECHA]])&amp;"-"&amp;MONTH(Datos_Consumo[[#This Row],[FECHA]])</f>
        <v>2018-2</v>
      </c>
    </row>
    <row r="2724" spans="1:4" x14ac:dyDescent="0.25">
      <c r="A2724" t="s">
        <v>2284</v>
      </c>
      <c r="B2724">
        <v>1</v>
      </c>
      <c r="C2724" s="54">
        <v>43160</v>
      </c>
      <c r="D2724" s="3" t="str">
        <f>YEAR(Datos_Consumo[[#This Row],[FECHA]])&amp;"-"&amp;MONTH(Datos_Consumo[[#This Row],[FECHA]])</f>
        <v>2018-3</v>
      </c>
    </row>
    <row r="2725" spans="1:4" x14ac:dyDescent="0.25">
      <c r="A2725" t="s">
        <v>2284</v>
      </c>
      <c r="B2725">
        <v>1</v>
      </c>
      <c r="C2725" s="54">
        <v>43221</v>
      </c>
      <c r="D2725" s="3" t="str">
        <f>YEAR(Datos_Consumo[[#This Row],[FECHA]])&amp;"-"&amp;MONTH(Datos_Consumo[[#This Row],[FECHA]])</f>
        <v>2018-5</v>
      </c>
    </row>
    <row r="2726" spans="1:4" x14ac:dyDescent="0.25">
      <c r="A2726" t="s">
        <v>2285</v>
      </c>
      <c r="B2726">
        <v>10</v>
      </c>
      <c r="C2726" s="54">
        <v>43070</v>
      </c>
      <c r="D2726" s="3" t="str">
        <f>YEAR(Datos_Consumo[[#This Row],[FECHA]])&amp;"-"&amp;MONTH(Datos_Consumo[[#This Row],[FECHA]])</f>
        <v>2017-12</v>
      </c>
    </row>
    <row r="2727" spans="1:4" x14ac:dyDescent="0.25">
      <c r="A2727" t="s">
        <v>2286</v>
      </c>
      <c r="B2727">
        <v>2</v>
      </c>
      <c r="C2727" s="54">
        <v>43101</v>
      </c>
      <c r="D2727" s="3" t="str">
        <f>YEAR(Datos_Consumo[[#This Row],[FECHA]])&amp;"-"&amp;MONTH(Datos_Consumo[[#This Row],[FECHA]])</f>
        <v>2018-1</v>
      </c>
    </row>
    <row r="2728" spans="1:4" x14ac:dyDescent="0.25">
      <c r="A2728" t="s">
        <v>2286</v>
      </c>
      <c r="B2728">
        <v>10</v>
      </c>
      <c r="C2728" s="54">
        <v>43132</v>
      </c>
      <c r="D2728" s="3" t="str">
        <f>YEAR(Datos_Consumo[[#This Row],[FECHA]])&amp;"-"&amp;MONTH(Datos_Consumo[[#This Row],[FECHA]])</f>
        <v>2018-2</v>
      </c>
    </row>
    <row r="2729" spans="1:4" x14ac:dyDescent="0.25">
      <c r="A2729" t="s">
        <v>2286</v>
      </c>
      <c r="B2729">
        <v>1</v>
      </c>
      <c r="C2729" s="54">
        <v>43160</v>
      </c>
      <c r="D2729" s="3" t="str">
        <f>YEAR(Datos_Consumo[[#This Row],[FECHA]])&amp;"-"&amp;MONTH(Datos_Consumo[[#This Row],[FECHA]])</f>
        <v>2018-3</v>
      </c>
    </row>
    <row r="2730" spans="1:4" x14ac:dyDescent="0.25">
      <c r="A2730" t="s">
        <v>2287</v>
      </c>
      <c r="B2730">
        <v>1</v>
      </c>
      <c r="C2730" s="54">
        <v>43160</v>
      </c>
      <c r="D2730" s="3" t="str">
        <f>YEAR(Datos_Consumo[[#This Row],[FECHA]])&amp;"-"&amp;MONTH(Datos_Consumo[[#This Row],[FECHA]])</f>
        <v>2018-3</v>
      </c>
    </row>
    <row r="2731" spans="1:4" x14ac:dyDescent="0.25">
      <c r="A2731" t="s">
        <v>2288</v>
      </c>
      <c r="B2731">
        <v>2</v>
      </c>
      <c r="C2731" s="54">
        <v>43221</v>
      </c>
      <c r="D2731" s="3" t="str">
        <f>YEAR(Datos_Consumo[[#This Row],[FECHA]])&amp;"-"&amp;MONTH(Datos_Consumo[[#This Row],[FECHA]])</f>
        <v>2018-5</v>
      </c>
    </row>
    <row r="2732" spans="1:4" x14ac:dyDescent="0.25">
      <c r="A2732" t="s">
        <v>2289</v>
      </c>
      <c r="B2732">
        <v>1</v>
      </c>
      <c r="C2732" s="54">
        <v>43070</v>
      </c>
      <c r="D2732" s="3" t="str">
        <f>YEAR(Datos_Consumo[[#This Row],[FECHA]])&amp;"-"&amp;MONTH(Datos_Consumo[[#This Row],[FECHA]])</f>
        <v>2017-12</v>
      </c>
    </row>
    <row r="2733" spans="1:4" x14ac:dyDescent="0.25">
      <c r="A2733" t="s">
        <v>2290</v>
      </c>
      <c r="B2733">
        <v>5</v>
      </c>
      <c r="C2733" s="54">
        <v>43070</v>
      </c>
      <c r="D2733" s="3" t="str">
        <f>YEAR(Datos_Consumo[[#This Row],[FECHA]])&amp;"-"&amp;MONTH(Datos_Consumo[[#This Row],[FECHA]])</f>
        <v>2017-12</v>
      </c>
    </row>
    <row r="2734" spans="1:4" x14ac:dyDescent="0.25">
      <c r="A2734" t="s">
        <v>2290</v>
      </c>
      <c r="B2734">
        <v>9</v>
      </c>
      <c r="C2734" s="54">
        <v>43101</v>
      </c>
      <c r="D2734" s="3" t="str">
        <f>YEAR(Datos_Consumo[[#This Row],[FECHA]])&amp;"-"&amp;MONTH(Datos_Consumo[[#This Row],[FECHA]])</f>
        <v>2018-1</v>
      </c>
    </row>
    <row r="2735" spans="1:4" x14ac:dyDescent="0.25">
      <c r="A2735" t="s">
        <v>2290</v>
      </c>
      <c r="B2735">
        <v>11</v>
      </c>
      <c r="C2735" s="54">
        <v>43132</v>
      </c>
      <c r="D2735" s="3" t="str">
        <f>YEAR(Datos_Consumo[[#This Row],[FECHA]])&amp;"-"&amp;MONTH(Datos_Consumo[[#This Row],[FECHA]])</f>
        <v>2018-2</v>
      </c>
    </row>
    <row r="2736" spans="1:4" x14ac:dyDescent="0.25">
      <c r="A2736" t="s">
        <v>2290</v>
      </c>
      <c r="B2736">
        <v>6</v>
      </c>
      <c r="C2736" s="54">
        <v>43160</v>
      </c>
      <c r="D2736" s="3" t="str">
        <f>YEAR(Datos_Consumo[[#This Row],[FECHA]])&amp;"-"&amp;MONTH(Datos_Consumo[[#This Row],[FECHA]])</f>
        <v>2018-3</v>
      </c>
    </row>
    <row r="2737" spans="1:4" x14ac:dyDescent="0.25">
      <c r="A2737" t="s">
        <v>2290</v>
      </c>
      <c r="B2737">
        <v>11</v>
      </c>
      <c r="C2737" s="54">
        <v>43191</v>
      </c>
      <c r="D2737" s="3" t="str">
        <f>YEAR(Datos_Consumo[[#This Row],[FECHA]])&amp;"-"&amp;MONTH(Datos_Consumo[[#This Row],[FECHA]])</f>
        <v>2018-4</v>
      </c>
    </row>
    <row r="2738" spans="1:4" x14ac:dyDescent="0.25">
      <c r="A2738" t="s">
        <v>2290</v>
      </c>
      <c r="B2738">
        <v>6</v>
      </c>
      <c r="C2738" s="54">
        <v>43221</v>
      </c>
      <c r="D2738" s="3" t="str">
        <f>YEAR(Datos_Consumo[[#This Row],[FECHA]])&amp;"-"&amp;MONTH(Datos_Consumo[[#This Row],[FECHA]])</f>
        <v>2018-5</v>
      </c>
    </row>
    <row r="2739" spans="1:4" x14ac:dyDescent="0.25">
      <c r="A2739" t="s">
        <v>2291</v>
      </c>
      <c r="B2739">
        <v>3</v>
      </c>
      <c r="C2739" s="54">
        <v>43070</v>
      </c>
      <c r="D2739" s="3" t="str">
        <f>YEAR(Datos_Consumo[[#This Row],[FECHA]])&amp;"-"&amp;MONTH(Datos_Consumo[[#This Row],[FECHA]])</f>
        <v>2017-12</v>
      </c>
    </row>
    <row r="2740" spans="1:4" x14ac:dyDescent="0.25">
      <c r="A2740" t="s">
        <v>2291</v>
      </c>
      <c r="B2740">
        <v>7</v>
      </c>
      <c r="C2740" s="54">
        <v>43132</v>
      </c>
      <c r="D2740" s="3" t="str">
        <f>YEAR(Datos_Consumo[[#This Row],[FECHA]])&amp;"-"&amp;MONTH(Datos_Consumo[[#This Row],[FECHA]])</f>
        <v>2018-2</v>
      </c>
    </row>
    <row r="2741" spans="1:4" x14ac:dyDescent="0.25">
      <c r="A2741" t="s">
        <v>2291</v>
      </c>
      <c r="B2741">
        <v>11</v>
      </c>
      <c r="C2741" s="54">
        <v>43191</v>
      </c>
      <c r="D2741" s="3" t="str">
        <f>YEAR(Datos_Consumo[[#This Row],[FECHA]])&amp;"-"&amp;MONTH(Datos_Consumo[[#This Row],[FECHA]])</f>
        <v>2018-4</v>
      </c>
    </row>
    <row r="2742" spans="1:4" x14ac:dyDescent="0.25">
      <c r="A2742" t="s">
        <v>2291</v>
      </c>
      <c r="B2742">
        <v>9</v>
      </c>
      <c r="C2742" s="54">
        <v>43221</v>
      </c>
      <c r="D2742" s="3" t="str">
        <f>YEAR(Datos_Consumo[[#This Row],[FECHA]])&amp;"-"&amp;MONTH(Datos_Consumo[[#This Row],[FECHA]])</f>
        <v>2018-5</v>
      </c>
    </row>
    <row r="2743" spans="1:4" x14ac:dyDescent="0.25">
      <c r="A2743" t="s">
        <v>2292</v>
      </c>
      <c r="B2743">
        <v>3</v>
      </c>
      <c r="C2743" s="54">
        <v>43191</v>
      </c>
      <c r="D2743" s="3" t="str">
        <f>YEAR(Datos_Consumo[[#This Row],[FECHA]])&amp;"-"&amp;MONTH(Datos_Consumo[[#This Row],[FECHA]])</f>
        <v>2018-4</v>
      </c>
    </row>
    <row r="2744" spans="1:4" x14ac:dyDescent="0.25">
      <c r="A2744" t="s">
        <v>2293</v>
      </c>
      <c r="B2744">
        <v>2</v>
      </c>
      <c r="C2744" s="54">
        <v>43070</v>
      </c>
      <c r="D2744" s="3" t="str">
        <f>YEAR(Datos_Consumo[[#This Row],[FECHA]])&amp;"-"&amp;MONTH(Datos_Consumo[[#This Row],[FECHA]])</f>
        <v>2017-12</v>
      </c>
    </row>
    <row r="2745" spans="1:4" x14ac:dyDescent="0.25">
      <c r="A2745" t="s">
        <v>2294</v>
      </c>
      <c r="B2745">
        <v>6</v>
      </c>
      <c r="C2745" s="54">
        <v>43070</v>
      </c>
      <c r="D2745" s="3" t="str">
        <f>YEAR(Datos_Consumo[[#This Row],[FECHA]])&amp;"-"&amp;MONTH(Datos_Consumo[[#This Row],[FECHA]])</f>
        <v>2017-12</v>
      </c>
    </row>
    <row r="2746" spans="1:4" x14ac:dyDescent="0.25">
      <c r="A2746" t="s">
        <v>2295</v>
      </c>
      <c r="B2746">
        <v>2</v>
      </c>
      <c r="C2746" s="54">
        <v>43132</v>
      </c>
      <c r="D2746" s="3" t="str">
        <f>YEAR(Datos_Consumo[[#This Row],[FECHA]])&amp;"-"&amp;MONTH(Datos_Consumo[[#This Row],[FECHA]])</f>
        <v>2018-2</v>
      </c>
    </row>
    <row r="2747" spans="1:4" x14ac:dyDescent="0.25">
      <c r="A2747" t="s">
        <v>2296</v>
      </c>
      <c r="B2747">
        <v>1</v>
      </c>
      <c r="C2747" s="54">
        <v>43132</v>
      </c>
      <c r="D2747" s="3" t="str">
        <f>YEAR(Datos_Consumo[[#This Row],[FECHA]])&amp;"-"&amp;MONTH(Datos_Consumo[[#This Row],[FECHA]])</f>
        <v>2018-2</v>
      </c>
    </row>
    <row r="2748" spans="1:4" x14ac:dyDescent="0.25">
      <c r="A2748" t="s">
        <v>2297</v>
      </c>
      <c r="B2748">
        <v>4</v>
      </c>
      <c r="C2748" s="54">
        <v>43070</v>
      </c>
      <c r="D2748" s="3" t="str">
        <f>YEAR(Datos_Consumo[[#This Row],[FECHA]])&amp;"-"&amp;MONTH(Datos_Consumo[[#This Row],[FECHA]])</f>
        <v>2017-12</v>
      </c>
    </row>
    <row r="2749" spans="1:4" x14ac:dyDescent="0.25">
      <c r="A2749" t="s">
        <v>2297</v>
      </c>
      <c r="B2749">
        <v>16</v>
      </c>
      <c r="C2749" s="54">
        <v>43101</v>
      </c>
      <c r="D2749" s="3" t="str">
        <f>YEAR(Datos_Consumo[[#This Row],[FECHA]])&amp;"-"&amp;MONTH(Datos_Consumo[[#This Row],[FECHA]])</f>
        <v>2018-1</v>
      </c>
    </row>
    <row r="2750" spans="1:4" x14ac:dyDescent="0.25">
      <c r="A2750" t="s">
        <v>2297</v>
      </c>
      <c r="B2750">
        <v>6</v>
      </c>
      <c r="C2750" s="54">
        <v>43132</v>
      </c>
      <c r="D2750" s="3" t="str">
        <f>YEAR(Datos_Consumo[[#This Row],[FECHA]])&amp;"-"&amp;MONTH(Datos_Consumo[[#This Row],[FECHA]])</f>
        <v>2018-2</v>
      </c>
    </row>
    <row r="2751" spans="1:4" x14ac:dyDescent="0.25">
      <c r="A2751" t="s">
        <v>2297</v>
      </c>
      <c r="B2751">
        <v>14</v>
      </c>
      <c r="C2751" s="54">
        <v>43160</v>
      </c>
      <c r="D2751" s="3" t="str">
        <f>YEAR(Datos_Consumo[[#This Row],[FECHA]])&amp;"-"&amp;MONTH(Datos_Consumo[[#This Row],[FECHA]])</f>
        <v>2018-3</v>
      </c>
    </row>
    <row r="2752" spans="1:4" x14ac:dyDescent="0.25">
      <c r="A2752" t="s">
        <v>2297</v>
      </c>
      <c r="B2752">
        <v>9</v>
      </c>
      <c r="C2752" s="54">
        <v>43191</v>
      </c>
      <c r="D2752" s="3" t="str">
        <f>YEAR(Datos_Consumo[[#This Row],[FECHA]])&amp;"-"&amp;MONTH(Datos_Consumo[[#This Row],[FECHA]])</f>
        <v>2018-4</v>
      </c>
    </row>
    <row r="2753" spans="1:4" x14ac:dyDescent="0.25">
      <c r="A2753" t="s">
        <v>2298</v>
      </c>
      <c r="B2753">
        <v>8</v>
      </c>
      <c r="C2753" s="54">
        <v>43070</v>
      </c>
      <c r="D2753" s="3" t="str">
        <f>YEAR(Datos_Consumo[[#This Row],[FECHA]])&amp;"-"&amp;MONTH(Datos_Consumo[[#This Row],[FECHA]])</f>
        <v>2017-12</v>
      </c>
    </row>
    <row r="2754" spans="1:4" x14ac:dyDescent="0.25">
      <c r="A2754" t="s">
        <v>2298</v>
      </c>
      <c r="B2754">
        <v>5</v>
      </c>
      <c r="C2754" s="54">
        <v>43132</v>
      </c>
      <c r="D2754" s="3" t="str">
        <f>YEAR(Datos_Consumo[[#This Row],[FECHA]])&amp;"-"&amp;MONTH(Datos_Consumo[[#This Row],[FECHA]])</f>
        <v>2018-2</v>
      </c>
    </row>
    <row r="2755" spans="1:4" x14ac:dyDescent="0.25">
      <c r="A2755" t="s">
        <v>2298</v>
      </c>
      <c r="B2755">
        <v>10</v>
      </c>
      <c r="C2755" s="54">
        <v>43160</v>
      </c>
      <c r="D2755" s="3" t="str">
        <f>YEAR(Datos_Consumo[[#This Row],[FECHA]])&amp;"-"&amp;MONTH(Datos_Consumo[[#This Row],[FECHA]])</f>
        <v>2018-3</v>
      </c>
    </row>
    <row r="2756" spans="1:4" x14ac:dyDescent="0.25">
      <c r="A2756" t="s">
        <v>2298</v>
      </c>
      <c r="B2756">
        <v>10</v>
      </c>
      <c r="C2756" s="54">
        <v>43191</v>
      </c>
      <c r="D2756" s="3" t="str">
        <f>YEAR(Datos_Consumo[[#This Row],[FECHA]])&amp;"-"&amp;MONTH(Datos_Consumo[[#This Row],[FECHA]])</f>
        <v>2018-4</v>
      </c>
    </row>
    <row r="2757" spans="1:4" x14ac:dyDescent="0.25">
      <c r="A2757" t="s">
        <v>2299</v>
      </c>
      <c r="B2757">
        <v>2</v>
      </c>
      <c r="C2757" s="54">
        <v>43070</v>
      </c>
      <c r="D2757" s="3" t="str">
        <f>YEAR(Datos_Consumo[[#This Row],[FECHA]])&amp;"-"&amp;MONTH(Datos_Consumo[[#This Row],[FECHA]])</f>
        <v>2017-12</v>
      </c>
    </row>
    <row r="2758" spans="1:4" x14ac:dyDescent="0.25">
      <c r="A2758" t="s">
        <v>2299</v>
      </c>
      <c r="B2758">
        <v>6</v>
      </c>
      <c r="C2758" s="54">
        <v>43101</v>
      </c>
      <c r="D2758" s="3" t="str">
        <f>YEAR(Datos_Consumo[[#This Row],[FECHA]])&amp;"-"&amp;MONTH(Datos_Consumo[[#This Row],[FECHA]])</f>
        <v>2018-1</v>
      </c>
    </row>
    <row r="2759" spans="1:4" x14ac:dyDescent="0.25">
      <c r="A2759" t="s">
        <v>2299</v>
      </c>
      <c r="B2759">
        <v>4</v>
      </c>
      <c r="C2759" s="54">
        <v>43132</v>
      </c>
      <c r="D2759" s="3" t="str">
        <f>YEAR(Datos_Consumo[[#This Row],[FECHA]])&amp;"-"&amp;MONTH(Datos_Consumo[[#This Row],[FECHA]])</f>
        <v>2018-2</v>
      </c>
    </row>
    <row r="2760" spans="1:4" x14ac:dyDescent="0.25">
      <c r="A2760" t="s">
        <v>2299</v>
      </c>
      <c r="B2760">
        <v>1</v>
      </c>
      <c r="C2760" s="54">
        <v>43160</v>
      </c>
      <c r="D2760" s="3" t="str">
        <f>YEAR(Datos_Consumo[[#This Row],[FECHA]])&amp;"-"&amp;MONTH(Datos_Consumo[[#This Row],[FECHA]])</f>
        <v>2018-3</v>
      </c>
    </row>
    <row r="2761" spans="1:4" x14ac:dyDescent="0.25">
      <c r="A2761" t="s">
        <v>2299</v>
      </c>
      <c r="B2761">
        <v>3</v>
      </c>
      <c r="C2761" s="54">
        <v>43191</v>
      </c>
      <c r="D2761" s="3" t="str">
        <f>YEAR(Datos_Consumo[[#This Row],[FECHA]])&amp;"-"&amp;MONTH(Datos_Consumo[[#This Row],[FECHA]])</f>
        <v>2018-4</v>
      </c>
    </row>
    <row r="2762" spans="1:4" x14ac:dyDescent="0.25">
      <c r="A2762" t="s">
        <v>2299</v>
      </c>
      <c r="B2762">
        <v>2</v>
      </c>
      <c r="C2762" s="54">
        <v>43221</v>
      </c>
      <c r="D2762" s="3" t="str">
        <f>YEAR(Datos_Consumo[[#This Row],[FECHA]])&amp;"-"&amp;MONTH(Datos_Consumo[[#This Row],[FECHA]])</f>
        <v>2018-5</v>
      </c>
    </row>
    <row r="2763" spans="1:4" x14ac:dyDescent="0.25">
      <c r="A2763" t="s">
        <v>2300</v>
      </c>
      <c r="B2763">
        <v>2</v>
      </c>
      <c r="C2763" s="54">
        <v>43070</v>
      </c>
      <c r="D2763" s="3" t="str">
        <f>YEAR(Datos_Consumo[[#This Row],[FECHA]])&amp;"-"&amp;MONTH(Datos_Consumo[[#This Row],[FECHA]])</f>
        <v>2017-12</v>
      </c>
    </row>
    <row r="2764" spans="1:4" x14ac:dyDescent="0.25">
      <c r="A2764" t="s">
        <v>2300</v>
      </c>
      <c r="B2764">
        <v>2</v>
      </c>
      <c r="C2764" s="54">
        <v>43101</v>
      </c>
      <c r="D2764" s="3" t="str">
        <f>YEAR(Datos_Consumo[[#This Row],[FECHA]])&amp;"-"&amp;MONTH(Datos_Consumo[[#This Row],[FECHA]])</f>
        <v>2018-1</v>
      </c>
    </row>
    <row r="2765" spans="1:4" x14ac:dyDescent="0.25">
      <c r="A2765" t="s">
        <v>2300</v>
      </c>
      <c r="B2765">
        <v>6</v>
      </c>
      <c r="C2765" s="54">
        <v>43132</v>
      </c>
      <c r="D2765" s="3" t="str">
        <f>YEAR(Datos_Consumo[[#This Row],[FECHA]])&amp;"-"&amp;MONTH(Datos_Consumo[[#This Row],[FECHA]])</f>
        <v>2018-2</v>
      </c>
    </row>
    <row r="2766" spans="1:4" x14ac:dyDescent="0.25">
      <c r="A2766" t="s">
        <v>2300</v>
      </c>
      <c r="B2766">
        <v>13</v>
      </c>
      <c r="C2766" s="54">
        <v>43191</v>
      </c>
      <c r="D2766" s="3" t="str">
        <f>YEAR(Datos_Consumo[[#This Row],[FECHA]])&amp;"-"&amp;MONTH(Datos_Consumo[[#This Row],[FECHA]])</f>
        <v>2018-4</v>
      </c>
    </row>
    <row r="2767" spans="1:4" x14ac:dyDescent="0.25">
      <c r="A2767" t="s">
        <v>2301</v>
      </c>
      <c r="B2767">
        <v>42</v>
      </c>
      <c r="C2767" s="54">
        <v>43070</v>
      </c>
      <c r="D2767" s="3" t="str">
        <f>YEAR(Datos_Consumo[[#This Row],[FECHA]])&amp;"-"&amp;MONTH(Datos_Consumo[[#This Row],[FECHA]])</f>
        <v>2017-12</v>
      </c>
    </row>
    <row r="2768" spans="1:4" x14ac:dyDescent="0.25">
      <c r="A2768" t="s">
        <v>2301</v>
      </c>
      <c r="B2768">
        <v>69</v>
      </c>
      <c r="C2768" s="54">
        <v>43101</v>
      </c>
      <c r="D2768" s="3" t="str">
        <f>YEAR(Datos_Consumo[[#This Row],[FECHA]])&amp;"-"&amp;MONTH(Datos_Consumo[[#This Row],[FECHA]])</f>
        <v>2018-1</v>
      </c>
    </row>
    <row r="2769" spans="1:4" x14ac:dyDescent="0.25">
      <c r="A2769" t="s">
        <v>2301</v>
      </c>
      <c r="B2769">
        <v>9</v>
      </c>
      <c r="C2769" s="54">
        <v>43132</v>
      </c>
      <c r="D2769" s="3" t="str">
        <f>YEAR(Datos_Consumo[[#This Row],[FECHA]])&amp;"-"&amp;MONTH(Datos_Consumo[[#This Row],[FECHA]])</f>
        <v>2018-2</v>
      </c>
    </row>
    <row r="2770" spans="1:4" x14ac:dyDescent="0.25">
      <c r="A2770" t="s">
        <v>2301</v>
      </c>
      <c r="B2770">
        <v>4</v>
      </c>
      <c r="C2770" s="54">
        <v>43160</v>
      </c>
      <c r="D2770" s="3" t="str">
        <f>YEAR(Datos_Consumo[[#This Row],[FECHA]])&amp;"-"&amp;MONTH(Datos_Consumo[[#This Row],[FECHA]])</f>
        <v>2018-3</v>
      </c>
    </row>
    <row r="2771" spans="1:4" x14ac:dyDescent="0.25">
      <c r="A2771" t="s">
        <v>2301</v>
      </c>
      <c r="B2771">
        <v>80</v>
      </c>
      <c r="C2771" s="54">
        <v>43191</v>
      </c>
      <c r="D2771" s="3" t="str">
        <f>YEAR(Datos_Consumo[[#This Row],[FECHA]])&amp;"-"&amp;MONTH(Datos_Consumo[[#This Row],[FECHA]])</f>
        <v>2018-4</v>
      </c>
    </row>
    <row r="2772" spans="1:4" x14ac:dyDescent="0.25">
      <c r="A2772" t="s">
        <v>2301</v>
      </c>
      <c r="B2772">
        <v>2</v>
      </c>
      <c r="C2772" s="54">
        <v>43221</v>
      </c>
      <c r="D2772" s="3" t="str">
        <f>YEAR(Datos_Consumo[[#This Row],[FECHA]])&amp;"-"&amp;MONTH(Datos_Consumo[[#This Row],[FECHA]])</f>
        <v>2018-5</v>
      </c>
    </row>
    <row r="2773" spans="1:4" x14ac:dyDescent="0.25">
      <c r="A2773" t="s">
        <v>2302</v>
      </c>
      <c r="B2773">
        <v>11</v>
      </c>
      <c r="C2773" s="54">
        <v>43101</v>
      </c>
      <c r="D2773" s="3" t="str">
        <f>YEAR(Datos_Consumo[[#This Row],[FECHA]])&amp;"-"&amp;MONTH(Datos_Consumo[[#This Row],[FECHA]])</f>
        <v>2018-1</v>
      </c>
    </row>
    <row r="2774" spans="1:4" x14ac:dyDescent="0.25">
      <c r="A2774" t="s">
        <v>2302</v>
      </c>
      <c r="B2774">
        <v>7</v>
      </c>
      <c r="C2774" s="54">
        <v>43160</v>
      </c>
      <c r="D2774" s="3" t="str">
        <f>YEAR(Datos_Consumo[[#This Row],[FECHA]])&amp;"-"&amp;MONTH(Datos_Consumo[[#This Row],[FECHA]])</f>
        <v>2018-3</v>
      </c>
    </row>
    <row r="2775" spans="1:4" x14ac:dyDescent="0.25">
      <c r="A2775" t="s">
        <v>2302</v>
      </c>
      <c r="B2775">
        <v>12</v>
      </c>
      <c r="C2775" s="54">
        <v>43191</v>
      </c>
      <c r="D2775" s="3" t="str">
        <f>YEAR(Datos_Consumo[[#This Row],[FECHA]])&amp;"-"&amp;MONTH(Datos_Consumo[[#This Row],[FECHA]])</f>
        <v>2018-4</v>
      </c>
    </row>
    <row r="2776" spans="1:4" x14ac:dyDescent="0.25">
      <c r="A2776" t="s">
        <v>2303</v>
      </c>
      <c r="B2776">
        <v>1</v>
      </c>
      <c r="C2776" s="54">
        <v>43070</v>
      </c>
      <c r="D2776" s="3" t="str">
        <f>YEAR(Datos_Consumo[[#This Row],[FECHA]])&amp;"-"&amp;MONTH(Datos_Consumo[[#This Row],[FECHA]])</f>
        <v>2017-12</v>
      </c>
    </row>
    <row r="2777" spans="1:4" x14ac:dyDescent="0.25">
      <c r="A2777" t="s">
        <v>2303</v>
      </c>
      <c r="B2777">
        <v>7</v>
      </c>
      <c r="C2777" s="54">
        <v>43101</v>
      </c>
      <c r="D2777" s="3" t="str">
        <f>YEAR(Datos_Consumo[[#This Row],[FECHA]])&amp;"-"&amp;MONTH(Datos_Consumo[[#This Row],[FECHA]])</f>
        <v>2018-1</v>
      </c>
    </row>
    <row r="2778" spans="1:4" x14ac:dyDescent="0.25">
      <c r="A2778" t="s">
        <v>2303</v>
      </c>
      <c r="B2778">
        <v>12</v>
      </c>
      <c r="C2778" s="54">
        <v>43132</v>
      </c>
      <c r="D2778" s="3" t="str">
        <f>YEAR(Datos_Consumo[[#This Row],[FECHA]])&amp;"-"&amp;MONTH(Datos_Consumo[[#This Row],[FECHA]])</f>
        <v>2018-2</v>
      </c>
    </row>
    <row r="2779" spans="1:4" x14ac:dyDescent="0.25">
      <c r="A2779" t="s">
        <v>2303</v>
      </c>
      <c r="B2779">
        <v>8</v>
      </c>
      <c r="C2779" s="54">
        <v>43160</v>
      </c>
      <c r="D2779" s="3" t="str">
        <f>YEAR(Datos_Consumo[[#This Row],[FECHA]])&amp;"-"&amp;MONTH(Datos_Consumo[[#This Row],[FECHA]])</f>
        <v>2018-3</v>
      </c>
    </row>
    <row r="2780" spans="1:4" x14ac:dyDescent="0.25">
      <c r="A2780" t="s">
        <v>2303</v>
      </c>
      <c r="B2780">
        <v>1</v>
      </c>
      <c r="C2780" s="54">
        <v>43221</v>
      </c>
      <c r="D2780" s="3" t="str">
        <f>YEAR(Datos_Consumo[[#This Row],[FECHA]])&amp;"-"&amp;MONTH(Datos_Consumo[[#This Row],[FECHA]])</f>
        <v>2018-5</v>
      </c>
    </row>
    <row r="2781" spans="1:4" x14ac:dyDescent="0.25">
      <c r="A2781" t="s">
        <v>2304</v>
      </c>
      <c r="B2781">
        <v>4</v>
      </c>
      <c r="C2781" s="54">
        <v>43070</v>
      </c>
      <c r="D2781" s="3" t="str">
        <f>YEAR(Datos_Consumo[[#This Row],[FECHA]])&amp;"-"&amp;MONTH(Datos_Consumo[[#This Row],[FECHA]])</f>
        <v>2017-12</v>
      </c>
    </row>
    <row r="2782" spans="1:4" x14ac:dyDescent="0.25">
      <c r="A2782" t="s">
        <v>2304</v>
      </c>
      <c r="B2782">
        <v>1</v>
      </c>
      <c r="C2782" s="54">
        <v>43132</v>
      </c>
      <c r="D2782" s="3" t="str">
        <f>YEAR(Datos_Consumo[[#This Row],[FECHA]])&amp;"-"&amp;MONTH(Datos_Consumo[[#This Row],[FECHA]])</f>
        <v>2018-2</v>
      </c>
    </row>
    <row r="2783" spans="1:4" x14ac:dyDescent="0.25">
      <c r="A2783" t="s">
        <v>2304</v>
      </c>
      <c r="B2783">
        <v>3</v>
      </c>
      <c r="C2783" s="54">
        <v>43191</v>
      </c>
      <c r="D2783" s="3" t="str">
        <f>YEAR(Datos_Consumo[[#This Row],[FECHA]])&amp;"-"&amp;MONTH(Datos_Consumo[[#This Row],[FECHA]])</f>
        <v>2018-4</v>
      </c>
    </row>
    <row r="2784" spans="1:4" x14ac:dyDescent="0.25">
      <c r="A2784" t="s">
        <v>2304</v>
      </c>
      <c r="B2784">
        <v>1</v>
      </c>
      <c r="C2784" s="54">
        <v>43221</v>
      </c>
      <c r="D2784" s="3" t="str">
        <f>YEAR(Datos_Consumo[[#This Row],[FECHA]])&amp;"-"&amp;MONTH(Datos_Consumo[[#This Row],[FECHA]])</f>
        <v>2018-5</v>
      </c>
    </row>
    <row r="2785" spans="1:4" x14ac:dyDescent="0.25">
      <c r="A2785" t="s">
        <v>2305</v>
      </c>
      <c r="B2785">
        <v>2</v>
      </c>
      <c r="C2785" s="54">
        <v>43101</v>
      </c>
      <c r="D2785" s="3" t="str">
        <f>YEAR(Datos_Consumo[[#This Row],[FECHA]])&amp;"-"&amp;MONTH(Datos_Consumo[[#This Row],[FECHA]])</f>
        <v>2018-1</v>
      </c>
    </row>
    <row r="2786" spans="1:4" x14ac:dyDescent="0.25">
      <c r="A2786" t="s">
        <v>2305</v>
      </c>
      <c r="B2786">
        <v>6</v>
      </c>
      <c r="C2786" s="54">
        <v>43160</v>
      </c>
      <c r="D2786" s="3" t="str">
        <f>YEAR(Datos_Consumo[[#This Row],[FECHA]])&amp;"-"&amp;MONTH(Datos_Consumo[[#This Row],[FECHA]])</f>
        <v>2018-3</v>
      </c>
    </row>
    <row r="2787" spans="1:4" x14ac:dyDescent="0.25">
      <c r="A2787" t="s">
        <v>2305</v>
      </c>
      <c r="B2787">
        <v>2</v>
      </c>
      <c r="C2787" s="54">
        <v>43191</v>
      </c>
      <c r="D2787" s="3" t="str">
        <f>YEAR(Datos_Consumo[[#This Row],[FECHA]])&amp;"-"&amp;MONTH(Datos_Consumo[[#This Row],[FECHA]])</f>
        <v>2018-4</v>
      </c>
    </row>
    <row r="2788" spans="1:4" x14ac:dyDescent="0.25">
      <c r="A2788" t="s">
        <v>2306</v>
      </c>
      <c r="B2788">
        <v>1</v>
      </c>
      <c r="C2788" s="54">
        <v>43070</v>
      </c>
      <c r="D2788" s="3" t="str">
        <f>YEAR(Datos_Consumo[[#This Row],[FECHA]])&amp;"-"&amp;MONTH(Datos_Consumo[[#This Row],[FECHA]])</f>
        <v>2017-12</v>
      </c>
    </row>
    <row r="2789" spans="1:4" x14ac:dyDescent="0.25">
      <c r="A2789" t="s">
        <v>2307</v>
      </c>
      <c r="B2789">
        <v>1</v>
      </c>
      <c r="C2789" s="54">
        <v>43070</v>
      </c>
      <c r="D2789" s="3" t="str">
        <f>YEAR(Datos_Consumo[[#This Row],[FECHA]])&amp;"-"&amp;MONTH(Datos_Consumo[[#This Row],[FECHA]])</f>
        <v>2017-12</v>
      </c>
    </row>
    <row r="2790" spans="1:4" x14ac:dyDescent="0.25">
      <c r="A2790" t="s">
        <v>2307</v>
      </c>
      <c r="B2790">
        <v>8</v>
      </c>
      <c r="C2790" s="54">
        <v>43101</v>
      </c>
      <c r="D2790" s="3" t="str">
        <f>YEAR(Datos_Consumo[[#This Row],[FECHA]])&amp;"-"&amp;MONTH(Datos_Consumo[[#This Row],[FECHA]])</f>
        <v>2018-1</v>
      </c>
    </row>
    <row r="2791" spans="1:4" x14ac:dyDescent="0.25">
      <c r="A2791" t="s">
        <v>2307</v>
      </c>
      <c r="B2791">
        <v>18</v>
      </c>
      <c r="C2791" s="54">
        <v>43132</v>
      </c>
      <c r="D2791" s="3" t="str">
        <f>YEAR(Datos_Consumo[[#This Row],[FECHA]])&amp;"-"&amp;MONTH(Datos_Consumo[[#This Row],[FECHA]])</f>
        <v>2018-2</v>
      </c>
    </row>
    <row r="2792" spans="1:4" x14ac:dyDescent="0.25">
      <c r="A2792" t="s">
        <v>2307</v>
      </c>
      <c r="B2792">
        <v>21</v>
      </c>
      <c r="C2792" s="54">
        <v>43160</v>
      </c>
      <c r="D2792" s="3" t="str">
        <f>YEAR(Datos_Consumo[[#This Row],[FECHA]])&amp;"-"&amp;MONTH(Datos_Consumo[[#This Row],[FECHA]])</f>
        <v>2018-3</v>
      </c>
    </row>
    <row r="2793" spans="1:4" x14ac:dyDescent="0.25">
      <c r="A2793" t="s">
        <v>2307</v>
      </c>
      <c r="B2793">
        <v>1</v>
      </c>
      <c r="C2793" s="54">
        <v>43191</v>
      </c>
      <c r="D2793" s="3" t="str">
        <f>YEAR(Datos_Consumo[[#This Row],[FECHA]])&amp;"-"&amp;MONTH(Datos_Consumo[[#This Row],[FECHA]])</f>
        <v>2018-4</v>
      </c>
    </row>
    <row r="2794" spans="1:4" x14ac:dyDescent="0.25">
      <c r="A2794" t="s">
        <v>2308</v>
      </c>
      <c r="B2794">
        <v>1419</v>
      </c>
      <c r="C2794" s="54">
        <v>43070</v>
      </c>
      <c r="D2794" s="3" t="str">
        <f>YEAR(Datos_Consumo[[#This Row],[FECHA]])&amp;"-"&amp;MONTH(Datos_Consumo[[#This Row],[FECHA]])</f>
        <v>2017-12</v>
      </c>
    </row>
    <row r="2795" spans="1:4" x14ac:dyDescent="0.25">
      <c r="A2795" t="s">
        <v>2308</v>
      </c>
      <c r="B2795">
        <v>726</v>
      </c>
      <c r="C2795" s="54">
        <v>43101</v>
      </c>
      <c r="D2795" s="3" t="str">
        <f>YEAR(Datos_Consumo[[#This Row],[FECHA]])&amp;"-"&amp;MONTH(Datos_Consumo[[#This Row],[FECHA]])</f>
        <v>2018-1</v>
      </c>
    </row>
    <row r="2796" spans="1:4" x14ac:dyDescent="0.25">
      <c r="A2796" t="s">
        <v>2308</v>
      </c>
      <c r="B2796">
        <v>1288</v>
      </c>
      <c r="C2796" s="54">
        <v>43132</v>
      </c>
      <c r="D2796" s="3" t="str">
        <f>YEAR(Datos_Consumo[[#This Row],[FECHA]])&amp;"-"&amp;MONTH(Datos_Consumo[[#This Row],[FECHA]])</f>
        <v>2018-2</v>
      </c>
    </row>
    <row r="2797" spans="1:4" x14ac:dyDescent="0.25">
      <c r="A2797" t="s">
        <v>2308</v>
      </c>
      <c r="B2797">
        <v>387</v>
      </c>
      <c r="C2797" s="54">
        <v>43160</v>
      </c>
      <c r="D2797" s="3" t="str">
        <f>YEAR(Datos_Consumo[[#This Row],[FECHA]])&amp;"-"&amp;MONTH(Datos_Consumo[[#This Row],[FECHA]])</f>
        <v>2018-3</v>
      </c>
    </row>
    <row r="2798" spans="1:4" x14ac:dyDescent="0.25">
      <c r="A2798" t="s">
        <v>2308</v>
      </c>
      <c r="B2798">
        <v>1055</v>
      </c>
      <c r="C2798" s="54">
        <v>43191</v>
      </c>
      <c r="D2798" s="3" t="str">
        <f>YEAR(Datos_Consumo[[#This Row],[FECHA]])&amp;"-"&amp;MONTH(Datos_Consumo[[#This Row],[FECHA]])</f>
        <v>2018-4</v>
      </c>
    </row>
    <row r="2799" spans="1:4" x14ac:dyDescent="0.25">
      <c r="A2799" t="s">
        <v>2308</v>
      </c>
      <c r="B2799">
        <v>127</v>
      </c>
      <c r="C2799" s="54">
        <v>43221</v>
      </c>
      <c r="D2799" s="3" t="str">
        <f>YEAR(Datos_Consumo[[#This Row],[FECHA]])&amp;"-"&amp;MONTH(Datos_Consumo[[#This Row],[FECHA]])</f>
        <v>2018-5</v>
      </c>
    </row>
    <row r="2800" spans="1:4" x14ac:dyDescent="0.25">
      <c r="A2800" t="s">
        <v>2309</v>
      </c>
      <c r="B2800">
        <v>194</v>
      </c>
      <c r="C2800" s="54">
        <v>43070</v>
      </c>
      <c r="D2800" s="3" t="str">
        <f>YEAR(Datos_Consumo[[#This Row],[FECHA]])&amp;"-"&amp;MONTH(Datos_Consumo[[#This Row],[FECHA]])</f>
        <v>2017-12</v>
      </c>
    </row>
    <row r="2801" spans="1:4" x14ac:dyDescent="0.25">
      <c r="A2801" t="s">
        <v>2309</v>
      </c>
      <c r="B2801">
        <v>48</v>
      </c>
      <c r="C2801" s="54">
        <v>43101</v>
      </c>
      <c r="D2801" s="3" t="str">
        <f>YEAR(Datos_Consumo[[#This Row],[FECHA]])&amp;"-"&amp;MONTH(Datos_Consumo[[#This Row],[FECHA]])</f>
        <v>2018-1</v>
      </c>
    </row>
    <row r="2802" spans="1:4" x14ac:dyDescent="0.25">
      <c r="A2802" t="s">
        <v>2309</v>
      </c>
      <c r="B2802">
        <v>273</v>
      </c>
      <c r="C2802" s="54">
        <v>43132</v>
      </c>
      <c r="D2802" s="3" t="str">
        <f>YEAR(Datos_Consumo[[#This Row],[FECHA]])&amp;"-"&amp;MONTH(Datos_Consumo[[#This Row],[FECHA]])</f>
        <v>2018-2</v>
      </c>
    </row>
    <row r="2803" spans="1:4" x14ac:dyDescent="0.25">
      <c r="A2803" t="s">
        <v>2309</v>
      </c>
      <c r="B2803">
        <v>61</v>
      </c>
      <c r="C2803" s="54">
        <v>43160</v>
      </c>
      <c r="D2803" s="3" t="str">
        <f>YEAR(Datos_Consumo[[#This Row],[FECHA]])&amp;"-"&amp;MONTH(Datos_Consumo[[#This Row],[FECHA]])</f>
        <v>2018-3</v>
      </c>
    </row>
    <row r="2804" spans="1:4" x14ac:dyDescent="0.25">
      <c r="A2804" t="s">
        <v>2309</v>
      </c>
      <c r="B2804">
        <v>48</v>
      </c>
      <c r="C2804" s="54">
        <v>43191</v>
      </c>
      <c r="D2804" s="3" t="str">
        <f>YEAR(Datos_Consumo[[#This Row],[FECHA]])&amp;"-"&amp;MONTH(Datos_Consumo[[#This Row],[FECHA]])</f>
        <v>2018-4</v>
      </c>
    </row>
    <row r="2805" spans="1:4" x14ac:dyDescent="0.25">
      <c r="A2805" t="s">
        <v>2309</v>
      </c>
      <c r="B2805">
        <v>6</v>
      </c>
      <c r="C2805" s="54">
        <v>43221</v>
      </c>
      <c r="D2805" s="3" t="str">
        <f>YEAR(Datos_Consumo[[#This Row],[FECHA]])&amp;"-"&amp;MONTH(Datos_Consumo[[#This Row],[FECHA]])</f>
        <v>2018-5</v>
      </c>
    </row>
    <row r="2806" spans="1:4" x14ac:dyDescent="0.25">
      <c r="A2806" t="s">
        <v>2310</v>
      </c>
      <c r="B2806">
        <v>4</v>
      </c>
      <c r="C2806" s="54">
        <v>43070</v>
      </c>
      <c r="D2806" s="3" t="str">
        <f>YEAR(Datos_Consumo[[#This Row],[FECHA]])&amp;"-"&amp;MONTH(Datos_Consumo[[#This Row],[FECHA]])</f>
        <v>2017-12</v>
      </c>
    </row>
    <row r="2807" spans="1:4" x14ac:dyDescent="0.25">
      <c r="A2807" t="s">
        <v>2310</v>
      </c>
      <c r="B2807">
        <v>2</v>
      </c>
      <c r="C2807" s="54">
        <v>43101</v>
      </c>
      <c r="D2807" s="3" t="str">
        <f>YEAR(Datos_Consumo[[#This Row],[FECHA]])&amp;"-"&amp;MONTH(Datos_Consumo[[#This Row],[FECHA]])</f>
        <v>2018-1</v>
      </c>
    </row>
    <row r="2808" spans="1:4" x14ac:dyDescent="0.25">
      <c r="A2808" t="s">
        <v>2310</v>
      </c>
      <c r="B2808">
        <v>2</v>
      </c>
      <c r="C2808" s="54">
        <v>43160</v>
      </c>
      <c r="D2808" s="3" t="str">
        <f>YEAR(Datos_Consumo[[#This Row],[FECHA]])&amp;"-"&amp;MONTH(Datos_Consumo[[#This Row],[FECHA]])</f>
        <v>2018-3</v>
      </c>
    </row>
    <row r="2809" spans="1:4" x14ac:dyDescent="0.25">
      <c r="A2809" t="s">
        <v>2311</v>
      </c>
      <c r="B2809">
        <v>7</v>
      </c>
      <c r="C2809" s="54">
        <v>43070</v>
      </c>
      <c r="D2809" s="3" t="str">
        <f>YEAR(Datos_Consumo[[#This Row],[FECHA]])&amp;"-"&amp;MONTH(Datos_Consumo[[#This Row],[FECHA]])</f>
        <v>2017-12</v>
      </c>
    </row>
    <row r="2810" spans="1:4" x14ac:dyDescent="0.25">
      <c r="A2810" t="s">
        <v>2311</v>
      </c>
      <c r="B2810">
        <v>4</v>
      </c>
      <c r="C2810" s="54">
        <v>43191</v>
      </c>
      <c r="D2810" s="3" t="str">
        <f>YEAR(Datos_Consumo[[#This Row],[FECHA]])&amp;"-"&amp;MONTH(Datos_Consumo[[#This Row],[FECHA]])</f>
        <v>2018-4</v>
      </c>
    </row>
    <row r="2811" spans="1:4" x14ac:dyDescent="0.25">
      <c r="A2811" t="s">
        <v>2311</v>
      </c>
      <c r="B2811">
        <v>4</v>
      </c>
      <c r="C2811" s="54">
        <v>43221</v>
      </c>
      <c r="D2811" s="3" t="str">
        <f>YEAR(Datos_Consumo[[#This Row],[FECHA]])&amp;"-"&amp;MONTH(Datos_Consumo[[#This Row],[FECHA]])</f>
        <v>2018-5</v>
      </c>
    </row>
    <row r="2812" spans="1:4" x14ac:dyDescent="0.25">
      <c r="A2812" t="s">
        <v>2312</v>
      </c>
      <c r="B2812">
        <v>10</v>
      </c>
      <c r="C2812" s="54">
        <v>43070</v>
      </c>
      <c r="D2812" s="3" t="str">
        <f>YEAR(Datos_Consumo[[#This Row],[FECHA]])&amp;"-"&amp;MONTH(Datos_Consumo[[#This Row],[FECHA]])</f>
        <v>2017-12</v>
      </c>
    </row>
    <row r="2813" spans="1:4" x14ac:dyDescent="0.25">
      <c r="A2813" t="s">
        <v>2312</v>
      </c>
      <c r="B2813">
        <v>7</v>
      </c>
      <c r="C2813" s="54">
        <v>43101</v>
      </c>
      <c r="D2813" s="3" t="str">
        <f>YEAR(Datos_Consumo[[#This Row],[FECHA]])&amp;"-"&amp;MONTH(Datos_Consumo[[#This Row],[FECHA]])</f>
        <v>2018-1</v>
      </c>
    </row>
    <row r="2814" spans="1:4" x14ac:dyDescent="0.25">
      <c r="A2814" t="s">
        <v>2312</v>
      </c>
      <c r="B2814">
        <v>9</v>
      </c>
      <c r="C2814" s="54">
        <v>43132</v>
      </c>
      <c r="D2814" s="3" t="str">
        <f>YEAR(Datos_Consumo[[#This Row],[FECHA]])&amp;"-"&amp;MONTH(Datos_Consumo[[#This Row],[FECHA]])</f>
        <v>2018-2</v>
      </c>
    </row>
    <row r="2815" spans="1:4" x14ac:dyDescent="0.25">
      <c r="A2815" t="s">
        <v>2312</v>
      </c>
      <c r="B2815">
        <v>23</v>
      </c>
      <c r="C2815" s="54">
        <v>43160</v>
      </c>
      <c r="D2815" s="3" t="str">
        <f>YEAR(Datos_Consumo[[#This Row],[FECHA]])&amp;"-"&amp;MONTH(Datos_Consumo[[#This Row],[FECHA]])</f>
        <v>2018-3</v>
      </c>
    </row>
    <row r="2816" spans="1:4" x14ac:dyDescent="0.25">
      <c r="A2816" t="s">
        <v>2312</v>
      </c>
      <c r="B2816">
        <v>15</v>
      </c>
      <c r="C2816" s="54">
        <v>43191</v>
      </c>
      <c r="D2816" s="3" t="str">
        <f>YEAR(Datos_Consumo[[#This Row],[FECHA]])&amp;"-"&amp;MONTH(Datos_Consumo[[#This Row],[FECHA]])</f>
        <v>2018-4</v>
      </c>
    </row>
    <row r="2817" spans="1:4" x14ac:dyDescent="0.25">
      <c r="A2817" t="s">
        <v>2312</v>
      </c>
      <c r="B2817">
        <v>1</v>
      </c>
      <c r="C2817" s="54">
        <v>43221</v>
      </c>
      <c r="D2817" s="3" t="str">
        <f>YEAR(Datos_Consumo[[#This Row],[FECHA]])&amp;"-"&amp;MONTH(Datos_Consumo[[#This Row],[FECHA]])</f>
        <v>2018-5</v>
      </c>
    </row>
    <row r="2818" spans="1:4" x14ac:dyDescent="0.25">
      <c r="A2818" t="s">
        <v>2313</v>
      </c>
      <c r="B2818">
        <v>10</v>
      </c>
      <c r="C2818" s="54">
        <v>43070</v>
      </c>
      <c r="D2818" s="3" t="str">
        <f>YEAR(Datos_Consumo[[#This Row],[FECHA]])&amp;"-"&amp;MONTH(Datos_Consumo[[#This Row],[FECHA]])</f>
        <v>2017-12</v>
      </c>
    </row>
    <row r="2819" spans="1:4" x14ac:dyDescent="0.25">
      <c r="A2819" t="s">
        <v>2313</v>
      </c>
      <c r="B2819">
        <v>30</v>
      </c>
      <c r="C2819" s="54">
        <v>43101</v>
      </c>
      <c r="D2819" s="3" t="str">
        <f>YEAR(Datos_Consumo[[#This Row],[FECHA]])&amp;"-"&amp;MONTH(Datos_Consumo[[#This Row],[FECHA]])</f>
        <v>2018-1</v>
      </c>
    </row>
    <row r="2820" spans="1:4" x14ac:dyDescent="0.25">
      <c r="A2820" t="s">
        <v>2313</v>
      </c>
      <c r="B2820">
        <v>14</v>
      </c>
      <c r="C2820" s="54">
        <v>43132</v>
      </c>
      <c r="D2820" s="3" t="str">
        <f>YEAR(Datos_Consumo[[#This Row],[FECHA]])&amp;"-"&amp;MONTH(Datos_Consumo[[#This Row],[FECHA]])</f>
        <v>2018-2</v>
      </c>
    </row>
    <row r="2821" spans="1:4" x14ac:dyDescent="0.25">
      <c r="A2821" t="s">
        <v>2313</v>
      </c>
      <c r="B2821">
        <v>20</v>
      </c>
      <c r="C2821" s="54">
        <v>43160</v>
      </c>
      <c r="D2821" s="3" t="str">
        <f>YEAR(Datos_Consumo[[#This Row],[FECHA]])&amp;"-"&amp;MONTH(Datos_Consumo[[#This Row],[FECHA]])</f>
        <v>2018-3</v>
      </c>
    </row>
    <row r="2822" spans="1:4" x14ac:dyDescent="0.25">
      <c r="A2822" t="s">
        <v>2313</v>
      </c>
      <c r="B2822">
        <v>5</v>
      </c>
      <c r="C2822" s="54">
        <v>43191</v>
      </c>
      <c r="D2822" s="3" t="str">
        <f>YEAR(Datos_Consumo[[#This Row],[FECHA]])&amp;"-"&amp;MONTH(Datos_Consumo[[#This Row],[FECHA]])</f>
        <v>2018-4</v>
      </c>
    </row>
    <row r="2823" spans="1:4" x14ac:dyDescent="0.25">
      <c r="A2823" t="s">
        <v>2314</v>
      </c>
      <c r="B2823">
        <v>16</v>
      </c>
      <c r="C2823" s="54">
        <v>43070</v>
      </c>
      <c r="D2823" s="3" t="str">
        <f>YEAR(Datos_Consumo[[#This Row],[FECHA]])&amp;"-"&amp;MONTH(Datos_Consumo[[#This Row],[FECHA]])</f>
        <v>2017-12</v>
      </c>
    </row>
    <row r="2824" spans="1:4" x14ac:dyDescent="0.25">
      <c r="A2824" t="s">
        <v>2314</v>
      </c>
      <c r="B2824">
        <v>69</v>
      </c>
      <c r="C2824" s="54">
        <v>43101</v>
      </c>
      <c r="D2824" s="3" t="str">
        <f>YEAR(Datos_Consumo[[#This Row],[FECHA]])&amp;"-"&amp;MONTH(Datos_Consumo[[#This Row],[FECHA]])</f>
        <v>2018-1</v>
      </c>
    </row>
    <row r="2825" spans="1:4" x14ac:dyDescent="0.25">
      <c r="A2825" t="s">
        <v>2314</v>
      </c>
      <c r="B2825">
        <v>23</v>
      </c>
      <c r="C2825" s="54">
        <v>43132</v>
      </c>
      <c r="D2825" s="3" t="str">
        <f>YEAR(Datos_Consumo[[#This Row],[FECHA]])&amp;"-"&amp;MONTH(Datos_Consumo[[#This Row],[FECHA]])</f>
        <v>2018-2</v>
      </c>
    </row>
    <row r="2826" spans="1:4" x14ac:dyDescent="0.25">
      <c r="A2826" t="s">
        <v>2314</v>
      </c>
      <c r="B2826">
        <v>2</v>
      </c>
      <c r="C2826" s="54">
        <v>43160</v>
      </c>
      <c r="D2826" s="3" t="str">
        <f>YEAR(Datos_Consumo[[#This Row],[FECHA]])&amp;"-"&amp;MONTH(Datos_Consumo[[#This Row],[FECHA]])</f>
        <v>2018-3</v>
      </c>
    </row>
    <row r="2827" spans="1:4" x14ac:dyDescent="0.25">
      <c r="A2827" t="s">
        <v>2314</v>
      </c>
      <c r="B2827">
        <v>17</v>
      </c>
      <c r="C2827" s="54">
        <v>43191</v>
      </c>
      <c r="D2827" s="3" t="str">
        <f>YEAR(Datos_Consumo[[#This Row],[FECHA]])&amp;"-"&amp;MONTH(Datos_Consumo[[#This Row],[FECHA]])</f>
        <v>2018-4</v>
      </c>
    </row>
    <row r="2828" spans="1:4" x14ac:dyDescent="0.25">
      <c r="A2828" t="s">
        <v>2314</v>
      </c>
      <c r="B2828">
        <v>1</v>
      </c>
      <c r="C2828" s="54">
        <v>43221</v>
      </c>
      <c r="D2828" s="3" t="str">
        <f>YEAR(Datos_Consumo[[#This Row],[FECHA]])&amp;"-"&amp;MONTH(Datos_Consumo[[#This Row],[FECHA]])</f>
        <v>2018-5</v>
      </c>
    </row>
    <row r="2829" spans="1:4" x14ac:dyDescent="0.25">
      <c r="A2829" t="s">
        <v>2315</v>
      </c>
      <c r="B2829">
        <v>1</v>
      </c>
      <c r="C2829" s="54">
        <v>43070</v>
      </c>
      <c r="D2829" s="3" t="str">
        <f>YEAR(Datos_Consumo[[#This Row],[FECHA]])&amp;"-"&amp;MONTH(Datos_Consumo[[#This Row],[FECHA]])</f>
        <v>2017-12</v>
      </c>
    </row>
    <row r="2830" spans="1:4" x14ac:dyDescent="0.25">
      <c r="A2830" t="s">
        <v>2315</v>
      </c>
      <c r="B2830">
        <v>1</v>
      </c>
      <c r="C2830" s="54">
        <v>43132</v>
      </c>
      <c r="D2830" s="3" t="str">
        <f>YEAR(Datos_Consumo[[#This Row],[FECHA]])&amp;"-"&amp;MONTH(Datos_Consumo[[#This Row],[FECHA]])</f>
        <v>2018-2</v>
      </c>
    </row>
    <row r="2831" spans="1:4" x14ac:dyDescent="0.25">
      <c r="A2831" t="s">
        <v>2316</v>
      </c>
      <c r="B2831">
        <v>11</v>
      </c>
      <c r="C2831" s="54">
        <v>43101</v>
      </c>
      <c r="D2831" s="3" t="str">
        <f>YEAR(Datos_Consumo[[#This Row],[FECHA]])&amp;"-"&amp;MONTH(Datos_Consumo[[#This Row],[FECHA]])</f>
        <v>2018-1</v>
      </c>
    </row>
    <row r="2832" spans="1:4" x14ac:dyDescent="0.25">
      <c r="A2832" t="s">
        <v>2316</v>
      </c>
      <c r="B2832">
        <v>2</v>
      </c>
      <c r="C2832" s="54">
        <v>43132</v>
      </c>
      <c r="D2832" s="3" t="str">
        <f>YEAR(Datos_Consumo[[#This Row],[FECHA]])&amp;"-"&amp;MONTH(Datos_Consumo[[#This Row],[FECHA]])</f>
        <v>2018-2</v>
      </c>
    </row>
    <row r="2833" spans="1:4" x14ac:dyDescent="0.25">
      <c r="A2833" t="s">
        <v>2316</v>
      </c>
      <c r="B2833">
        <v>3</v>
      </c>
      <c r="C2833" s="54">
        <v>43160</v>
      </c>
      <c r="D2833" s="3" t="str">
        <f>YEAR(Datos_Consumo[[#This Row],[FECHA]])&amp;"-"&amp;MONTH(Datos_Consumo[[#This Row],[FECHA]])</f>
        <v>2018-3</v>
      </c>
    </row>
    <row r="2834" spans="1:4" x14ac:dyDescent="0.25">
      <c r="A2834" t="s">
        <v>2316</v>
      </c>
      <c r="B2834">
        <v>13</v>
      </c>
      <c r="C2834" s="54">
        <v>43191</v>
      </c>
      <c r="D2834" s="3" t="str">
        <f>YEAR(Datos_Consumo[[#This Row],[FECHA]])&amp;"-"&amp;MONTH(Datos_Consumo[[#This Row],[FECHA]])</f>
        <v>2018-4</v>
      </c>
    </row>
    <row r="2835" spans="1:4" x14ac:dyDescent="0.25">
      <c r="A2835" t="s">
        <v>2317</v>
      </c>
      <c r="B2835">
        <v>13</v>
      </c>
      <c r="C2835" s="54">
        <v>43070</v>
      </c>
      <c r="D2835" s="3" t="str">
        <f>YEAR(Datos_Consumo[[#This Row],[FECHA]])&amp;"-"&amp;MONTH(Datos_Consumo[[#This Row],[FECHA]])</f>
        <v>2017-12</v>
      </c>
    </row>
    <row r="2836" spans="1:4" x14ac:dyDescent="0.25">
      <c r="A2836" t="s">
        <v>2317</v>
      </c>
      <c r="B2836">
        <v>5</v>
      </c>
      <c r="C2836" s="54">
        <v>43101</v>
      </c>
      <c r="D2836" s="3" t="str">
        <f>YEAR(Datos_Consumo[[#This Row],[FECHA]])&amp;"-"&amp;MONTH(Datos_Consumo[[#This Row],[FECHA]])</f>
        <v>2018-1</v>
      </c>
    </row>
    <row r="2837" spans="1:4" x14ac:dyDescent="0.25">
      <c r="A2837" t="s">
        <v>2317</v>
      </c>
      <c r="B2837">
        <v>1</v>
      </c>
      <c r="C2837" s="54">
        <v>43132</v>
      </c>
      <c r="D2837" s="3" t="str">
        <f>YEAR(Datos_Consumo[[#This Row],[FECHA]])&amp;"-"&amp;MONTH(Datos_Consumo[[#This Row],[FECHA]])</f>
        <v>2018-2</v>
      </c>
    </row>
    <row r="2838" spans="1:4" x14ac:dyDescent="0.25">
      <c r="A2838" t="s">
        <v>2317</v>
      </c>
      <c r="B2838">
        <v>2</v>
      </c>
      <c r="C2838" s="54">
        <v>43160</v>
      </c>
      <c r="D2838" s="3" t="str">
        <f>YEAR(Datos_Consumo[[#This Row],[FECHA]])&amp;"-"&amp;MONTH(Datos_Consumo[[#This Row],[FECHA]])</f>
        <v>2018-3</v>
      </c>
    </row>
    <row r="2839" spans="1:4" x14ac:dyDescent="0.25">
      <c r="A2839" t="s">
        <v>2317</v>
      </c>
      <c r="B2839">
        <v>3</v>
      </c>
      <c r="C2839" s="54">
        <v>43191</v>
      </c>
      <c r="D2839" s="3" t="str">
        <f>YEAR(Datos_Consumo[[#This Row],[FECHA]])&amp;"-"&amp;MONTH(Datos_Consumo[[#This Row],[FECHA]])</f>
        <v>2018-4</v>
      </c>
    </row>
    <row r="2840" spans="1:4" x14ac:dyDescent="0.25">
      <c r="A2840" t="s">
        <v>2318</v>
      </c>
      <c r="B2840">
        <v>2</v>
      </c>
      <c r="C2840" s="54">
        <v>43070</v>
      </c>
      <c r="D2840" s="3" t="str">
        <f>YEAR(Datos_Consumo[[#This Row],[FECHA]])&amp;"-"&amp;MONTH(Datos_Consumo[[#This Row],[FECHA]])</f>
        <v>2017-12</v>
      </c>
    </row>
    <row r="2841" spans="1:4" x14ac:dyDescent="0.25">
      <c r="A2841" t="s">
        <v>2319</v>
      </c>
      <c r="B2841">
        <v>2</v>
      </c>
      <c r="C2841" s="54">
        <v>43070</v>
      </c>
      <c r="D2841" s="3" t="str">
        <f>YEAR(Datos_Consumo[[#This Row],[FECHA]])&amp;"-"&amp;MONTH(Datos_Consumo[[#This Row],[FECHA]])</f>
        <v>2017-12</v>
      </c>
    </row>
    <row r="2842" spans="1:4" x14ac:dyDescent="0.25">
      <c r="A2842" t="s">
        <v>2320</v>
      </c>
      <c r="B2842">
        <v>10</v>
      </c>
      <c r="C2842" s="54">
        <v>43101</v>
      </c>
      <c r="D2842" s="3" t="str">
        <f>YEAR(Datos_Consumo[[#This Row],[FECHA]])&amp;"-"&amp;MONTH(Datos_Consumo[[#This Row],[FECHA]])</f>
        <v>2018-1</v>
      </c>
    </row>
    <row r="2843" spans="1:4" x14ac:dyDescent="0.25">
      <c r="A2843" t="s">
        <v>2320</v>
      </c>
      <c r="B2843">
        <v>10</v>
      </c>
      <c r="C2843" s="54">
        <v>43132</v>
      </c>
      <c r="D2843" s="3" t="str">
        <f>YEAR(Datos_Consumo[[#This Row],[FECHA]])&amp;"-"&amp;MONTH(Datos_Consumo[[#This Row],[FECHA]])</f>
        <v>2018-2</v>
      </c>
    </row>
    <row r="2844" spans="1:4" x14ac:dyDescent="0.25">
      <c r="A2844" t="s">
        <v>2320</v>
      </c>
      <c r="B2844">
        <v>5</v>
      </c>
      <c r="C2844" s="54">
        <v>43191</v>
      </c>
      <c r="D2844" s="3" t="str">
        <f>YEAR(Datos_Consumo[[#This Row],[FECHA]])&amp;"-"&amp;MONTH(Datos_Consumo[[#This Row],[FECHA]])</f>
        <v>2018-4</v>
      </c>
    </row>
    <row r="2845" spans="1:4" x14ac:dyDescent="0.25">
      <c r="A2845" t="s">
        <v>2321</v>
      </c>
      <c r="B2845">
        <v>2</v>
      </c>
      <c r="C2845" s="54">
        <v>43191</v>
      </c>
      <c r="D2845" s="3" t="str">
        <f>YEAR(Datos_Consumo[[#This Row],[FECHA]])&amp;"-"&amp;MONTH(Datos_Consumo[[#This Row],[FECHA]])</f>
        <v>2018-4</v>
      </c>
    </row>
    <row r="2846" spans="1:4" x14ac:dyDescent="0.25">
      <c r="A2846" t="s">
        <v>2322</v>
      </c>
      <c r="B2846">
        <v>1</v>
      </c>
      <c r="C2846" s="54">
        <v>43101</v>
      </c>
      <c r="D2846" s="3" t="str">
        <f>YEAR(Datos_Consumo[[#This Row],[FECHA]])&amp;"-"&amp;MONTH(Datos_Consumo[[#This Row],[FECHA]])</f>
        <v>2018-1</v>
      </c>
    </row>
    <row r="2847" spans="1:4" x14ac:dyDescent="0.25">
      <c r="A2847" t="s">
        <v>2323</v>
      </c>
      <c r="B2847">
        <v>1</v>
      </c>
      <c r="C2847" s="54">
        <v>43191</v>
      </c>
      <c r="D2847" s="3" t="str">
        <f>YEAR(Datos_Consumo[[#This Row],[FECHA]])&amp;"-"&amp;MONTH(Datos_Consumo[[#This Row],[FECHA]])</f>
        <v>2018-4</v>
      </c>
    </row>
    <row r="2848" spans="1:4" x14ac:dyDescent="0.25">
      <c r="A2848" t="s">
        <v>2324</v>
      </c>
      <c r="B2848">
        <v>1</v>
      </c>
      <c r="C2848" s="54">
        <v>43070</v>
      </c>
      <c r="D2848" s="3" t="str">
        <f>YEAR(Datos_Consumo[[#This Row],[FECHA]])&amp;"-"&amp;MONTH(Datos_Consumo[[#This Row],[FECHA]])</f>
        <v>2017-12</v>
      </c>
    </row>
    <row r="2849" spans="1:4" x14ac:dyDescent="0.25">
      <c r="A2849" t="s">
        <v>2324</v>
      </c>
      <c r="B2849">
        <v>1</v>
      </c>
      <c r="C2849" s="54">
        <v>43132</v>
      </c>
      <c r="D2849" s="3" t="str">
        <f>YEAR(Datos_Consumo[[#This Row],[FECHA]])&amp;"-"&amp;MONTH(Datos_Consumo[[#This Row],[FECHA]])</f>
        <v>2018-2</v>
      </c>
    </row>
    <row r="2850" spans="1:4" x14ac:dyDescent="0.25">
      <c r="A2850" t="s">
        <v>2325</v>
      </c>
      <c r="B2850">
        <v>2</v>
      </c>
      <c r="C2850" s="54">
        <v>43070</v>
      </c>
      <c r="D2850" s="3" t="str">
        <f>YEAR(Datos_Consumo[[#This Row],[FECHA]])&amp;"-"&amp;MONTH(Datos_Consumo[[#This Row],[FECHA]])</f>
        <v>2017-12</v>
      </c>
    </row>
    <row r="2851" spans="1:4" x14ac:dyDescent="0.25">
      <c r="A2851" t="s">
        <v>2325</v>
      </c>
      <c r="B2851">
        <v>1</v>
      </c>
      <c r="C2851" s="54">
        <v>43101</v>
      </c>
      <c r="D2851" s="3" t="str">
        <f>YEAR(Datos_Consumo[[#This Row],[FECHA]])&amp;"-"&amp;MONTH(Datos_Consumo[[#This Row],[FECHA]])</f>
        <v>2018-1</v>
      </c>
    </row>
    <row r="2852" spans="1:4" x14ac:dyDescent="0.25">
      <c r="A2852" t="s">
        <v>2325</v>
      </c>
      <c r="B2852">
        <v>1</v>
      </c>
      <c r="C2852" s="54">
        <v>43132</v>
      </c>
      <c r="D2852" s="3" t="str">
        <f>YEAR(Datos_Consumo[[#This Row],[FECHA]])&amp;"-"&amp;MONTH(Datos_Consumo[[#This Row],[FECHA]])</f>
        <v>2018-2</v>
      </c>
    </row>
    <row r="2853" spans="1:4" x14ac:dyDescent="0.25">
      <c r="A2853" t="s">
        <v>2325</v>
      </c>
      <c r="B2853">
        <v>3</v>
      </c>
      <c r="C2853" s="54">
        <v>43160</v>
      </c>
      <c r="D2853" s="3" t="str">
        <f>YEAR(Datos_Consumo[[#This Row],[FECHA]])&amp;"-"&amp;MONTH(Datos_Consumo[[#This Row],[FECHA]])</f>
        <v>2018-3</v>
      </c>
    </row>
    <row r="2854" spans="1:4" x14ac:dyDescent="0.25">
      <c r="A2854" t="s">
        <v>2325</v>
      </c>
      <c r="B2854">
        <v>6</v>
      </c>
      <c r="C2854" s="54">
        <v>43191</v>
      </c>
      <c r="D2854" s="3" t="str">
        <f>YEAR(Datos_Consumo[[#This Row],[FECHA]])&amp;"-"&amp;MONTH(Datos_Consumo[[#This Row],[FECHA]])</f>
        <v>2018-4</v>
      </c>
    </row>
    <row r="2855" spans="1:4" x14ac:dyDescent="0.25">
      <c r="A2855" t="s">
        <v>2325</v>
      </c>
      <c r="B2855">
        <v>1</v>
      </c>
      <c r="C2855" s="54">
        <v>43221</v>
      </c>
      <c r="D2855" s="3" t="str">
        <f>YEAR(Datos_Consumo[[#This Row],[FECHA]])&amp;"-"&amp;MONTH(Datos_Consumo[[#This Row],[FECHA]])</f>
        <v>2018-5</v>
      </c>
    </row>
    <row r="2856" spans="1:4" x14ac:dyDescent="0.25">
      <c r="A2856" t="s">
        <v>2326</v>
      </c>
      <c r="B2856">
        <v>2</v>
      </c>
      <c r="C2856" s="54">
        <v>43132</v>
      </c>
      <c r="D2856" s="3" t="str">
        <f>YEAR(Datos_Consumo[[#This Row],[FECHA]])&amp;"-"&amp;MONTH(Datos_Consumo[[#This Row],[FECHA]])</f>
        <v>2018-2</v>
      </c>
    </row>
    <row r="2857" spans="1:4" x14ac:dyDescent="0.25">
      <c r="A2857" t="s">
        <v>2326</v>
      </c>
      <c r="B2857">
        <v>1</v>
      </c>
      <c r="C2857" s="54">
        <v>43160</v>
      </c>
      <c r="D2857" s="3" t="str">
        <f>YEAR(Datos_Consumo[[#This Row],[FECHA]])&amp;"-"&amp;MONTH(Datos_Consumo[[#This Row],[FECHA]])</f>
        <v>2018-3</v>
      </c>
    </row>
    <row r="2858" spans="1:4" x14ac:dyDescent="0.25">
      <c r="A2858" t="s">
        <v>2326</v>
      </c>
      <c r="B2858">
        <v>2</v>
      </c>
      <c r="C2858" s="54">
        <v>43191</v>
      </c>
      <c r="D2858" s="3" t="str">
        <f>YEAR(Datos_Consumo[[#This Row],[FECHA]])&amp;"-"&amp;MONTH(Datos_Consumo[[#This Row],[FECHA]])</f>
        <v>2018-4</v>
      </c>
    </row>
    <row r="2859" spans="1:4" x14ac:dyDescent="0.25">
      <c r="A2859" t="s">
        <v>2327</v>
      </c>
      <c r="B2859">
        <v>10</v>
      </c>
      <c r="C2859" s="54">
        <v>43160</v>
      </c>
      <c r="D2859" s="3" t="str">
        <f>YEAR(Datos_Consumo[[#This Row],[FECHA]])&amp;"-"&amp;MONTH(Datos_Consumo[[#This Row],[FECHA]])</f>
        <v>2018-3</v>
      </c>
    </row>
    <row r="2860" spans="1:4" x14ac:dyDescent="0.25">
      <c r="A2860" t="s">
        <v>2328</v>
      </c>
      <c r="B2860">
        <v>20</v>
      </c>
      <c r="C2860" s="54">
        <v>43070</v>
      </c>
      <c r="D2860" s="3" t="str">
        <f>YEAR(Datos_Consumo[[#This Row],[FECHA]])&amp;"-"&amp;MONTH(Datos_Consumo[[#This Row],[FECHA]])</f>
        <v>2017-12</v>
      </c>
    </row>
    <row r="2861" spans="1:4" x14ac:dyDescent="0.25">
      <c r="A2861" t="s">
        <v>2328</v>
      </c>
      <c r="B2861">
        <v>56</v>
      </c>
      <c r="C2861" s="54">
        <v>43101</v>
      </c>
      <c r="D2861" s="3" t="str">
        <f>YEAR(Datos_Consumo[[#This Row],[FECHA]])&amp;"-"&amp;MONTH(Datos_Consumo[[#This Row],[FECHA]])</f>
        <v>2018-1</v>
      </c>
    </row>
    <row r="2862" spans="1:4" x14ac:dyDescent="0.25">
      <c r="A2862" t="s">
        <v>2328</v>
      </c>
      <c r="B2862">
        <v>10</v>
      </c>
      <c r="C2862" s="54">
        <v>43191</v>
      </c>
      <c r="D2862" s="3" t="str">
        <f>YEAR(Datos_Consumo[[#This Row],[FECHA]])&amp;"-"&amp;MONTH(Datos_Consumo[[#This Row],[FECHA]])</f>
        <v>2018-4</v>
      </c>
    </row>
    <row r="2863" spans="1:4" x14ac:dyDescent="0.25">
      <c r="A2863" t="s">
        <v>2328</v>
      </c>
      <c r="B2863">
        <v>12</v>
      </c>
      <c r="C2863" s="54">
        <v>43221</v>
      </c>
      <c r="D2863" s="3" t="str">
        <f>YEAR(Datos_Consumo[[#This Row],[FECHA]])&amp;"-"&amp;MONTH(Datos_Consumo[[#This Row],[FECHA]])</f>
        <v>2018-5</v>
      </c>
    </row>
    <row r="2864" spans="1:4" x14ac:dyDescent="0.25">
      <c r="A2864" t="s">
        <v>2329</v>
      </c>
      <c r="B2864">
        <v>2</v>
      </c>
      <c r="C2864" s="54">
        <v>43070</v>
      </c>
      <c r="D2864" s="3" t="str">
        <f>YEAR(Datos_Consumo[[#This Row],[FECHA]])&amp;"-"&amp;MONTH(Datos_Consumo[[#This Row],[FECHA]])</f>
        <v>2017-12</v>
      </c>
    </row>
    <row r="2865" spans="1:4" x14ac:dyDescent="0.25">
      <c r="A2865" t="s">
        <v>2329</v>
      </c>
      <c r="B2865">
        <v>1</v>
      </c>
      <c r="C2865" s="54">
        <v>43101</v>
      </c>
      <c r="D2865" s="3" t="str">
        <f>YEAR(Datos_Consumo[[#This Row],[FECHA]])&amp;"-"&amp;MONTH(Datos_Consumo[[#This Row],[FECHA]])</f>
        <v>2018-1</v>
      </c>
    </row>
    <row r="2866" spans="1:4" x14ac:dyDescent="0.25">
      <c r="A2866" t="s">
        <v>2329</v>
      </c>
      <c r="B2866">
        <v>2</v>
      </c>
      <c r="C2866" s="54">
        <v>43132</v>
      </c>
      <c r="D2866" s="3" t="str">
        <f>YEAR(Datos_Consumo[[#This Row],[FECHA]])&amp;"-"&amp;MONTH(Datos_Consumo[[#This Row],[FECHA]])</f>
        <v>2018-2</v>
      </c>
    </row>
    <row r="2867" spans="1:4" x14ac:dyDescent="0.25">
      <c r="A2867" t="s">
        <v>2329</v>
      </c>
      <c r="B2867">
        <v>1</v>
      </c>
      <c r="C2867" s="54">
        <v>43160</v>
      </c>
      <c r="D2867" s="3" t="str">
        <f>YEAR(Datos_Consumo[[#This Row],[FECHA]])&amp;"-"&amp;MONTH(Datos_Consumo[[#This Row],[FECHA]])</f>
        <v>2018-3</v>
      </c>
    </row>
    <row r="2868" spans="1:4" x14ac:dyDescent="0.25">
      <c r="A2868" t="s">
        <v>2329</v>
      </c>
      <c r="B2868">
        <v>14</v>
      </c>
      <c r="C2868" s="54">
        <v>43191</v>
      </c>
      <c r="D2868" s="3" t="str">
        <f>YEAR(Datos_Consumo[[#This Row],[FECHA]])&amp;"-"&amp;MONTH(Datos_Consumo[[#This Row],[FECHA]])</f>
        <v>2018-4</v>
      </c>
    </row>
    <row r="2869" spans="1:4" x14ac:dyDescent="0.25">
      <c r="A2869" t="s">
        <v>2329</v>
      </c>
      <c r="B2869">
        <v>2</v>
      </c>
      <c r="C2869" s="54">
        <v>43221</v>
      </c>
      <c r="D2869" s="3" t="str">
        <f>YEAR(Datos_Consumo[[#This Row],[FECHA]])&amp;"-"&amp;MONTH(Datos_Consumo[[#This Row],[FECHA]])</f>
        <v>2018-5</v>
      </c>
    </row>
    <row r="2870" spans="1:4" x14ac:dyDescent="0.25">
      <c r="A2870" t="s">
        <v>2330</v>
      </c>
      <c r="B2870">
        <v>1</v>
      </c>
      <c r="C2870" s="54">
        <v>43132</v>
      </c>
      <c r="D2870" s="3" t="str">
        <f>YEAR(Datos_Consumo[[#This Row],[FECHA]])&amp;"-"&amp;MONTH(Datos_Consumo[[#This Row],[FECHA]])</f>
        <v>2018-2</v>
      </c>
    </row>
    <row r="2871" spans="1:4" x14ac:dyDescent="0.25">
      <c r="A2871" t="s">
        <v>2330</v>
      </c>
      <c r="B2871">
        <v>6</v>
      </c>
      <c r="C2871" s="54">
        <v>43191</v>
      </c>
      <c r="D2871" s="3" t="str">
        <f>YEAR(Datos_Consumo[[#This Row],[FECHA]])&amp;"-"&amp;MONTH(Datos_Consumo[[#This Row],[FECHA]])</f>
        <v>2018-4</v>
      </c>
    </row>
    <row r="2872" spans="1:4" x14ac:dyDescent="0.25">
      <c r="A2872" t="s">
        <v>2331</v>
      </c>
      <c r="B2872">
        <v>10</v>
      </c>
      <c r="C2872" s="54">
        <v>43132</v>
      </c>
      <c r="D2872" s="3" t="str">
        <f>YEAR(Datos_Consumo[[#This Row],[FECHA]])&amp;"-"&amp;MONTH(Datos_Consumo[[#This Row],[FECHA]])</f>
        <v>2018-2</v>
      </c>
    </row>
    <row r="2873" spans="1:4" x14ac:dyDescent="0.25">
      <c r="A2873" t="s">
        <v>2332</v>
      </c>
      <c r="B2873">
        <v>10</v>
      </c>
      <c r="C2873" s="54">
        <v>43070</v>
      </c>
      <c r="D2873" s="3" t="str">
        <f>YEAR(Datos_Consumo[[#This Row],[FECHA]])&amp;"-"&amp;MONTH(Datos_Consumo[[#This Row],[FECHA]])</f>
        <v>2017-12</v>
      </c>
    </row>
    <row r="2874" spans="1:4" x14ac:dyDescent="0.25">
      <c r="A2874" t="s">
        <v>2332</v>
      </c>
      <c r="B2874">
        <v>1</v>
      </c>
      <c r="C2874" s="54">
        <v>43132</v>
      </c>
      <c r="D2874" s="3" t="str">
        <f>YEAR(Datos_Consumo[[#This Row],[FECHA]])&amp;"-"&amp;MONTH(Datos_Consumo[[#This Row],[FECHA]])</f>
        <v>2018-2</v>
      </c>
    </row>
    <row r="2875" spans="1:4" x14ac:dyDescent="0.25">
      <c r="A2875" t="s">
        <v>2332</v>
      </c>
      <c r="B2875">
        <v>5</v>
      </c>
      <c r="C2875" s="54">
        <v>43160</v>
      </c>
      <c r="D2875" s="3" t="str">
        <f>YEAR(Datos_Consumo[[#This Row],[FECHA]])&amp;"-"&amp;MONTH(Datos_Consumo[[#This Row],[FECHA]])</f>
        <v>2018-3</v>
      </c>
    </row>
    <row r="2876" spans="1:4" x14ac:dyDescent="0.25">
      <c r="A2876" t="s">
        <v>2332</v>
      </c>
      <c r="B2876">
        <v>17</v>
      </c>
      <c r="C2876" s="54">
        <v>43191</v>
      </c>
      <c r="D2876" s="3" t="str">
        <f>YEAR(Datos_Consumo[[#This Row],[FECHA]])&amp;"-"&amp;MONTH(Datos_Consumo[[#This Row],[FECHA]])</f>
        <v>2018-4</v>
      </c>
    </row>
    <row r="2877" spans="1:4" x14ac:dyDescent="0.25">
      <c r="A2877" t="s">
        <v>2332</v>
      </c>
      <c r="B2877">
        <v>5</v>
      </c>
      <c r="C2877" s="54">
        <v>43221</v>
      </c>
      <c r="D2877" s="3" t="str">
        <f>YEAR(Datos_Consumo[[#This Row],[FECHA]])&amp;"-"&amp;MONTH(Datos_Consumo[[#This Row],[FECHA]])</f>
        <v>2018-5</v>
      </c>
    </row>
    <row r="2878" spans="1:4" x14ac:dyDescent="0.25">
      <c r="A2878" t="s">
        <v>2333</v>
      </c>
      <c r="B2878">
        <v>3</v>
      </c>
      <c r="C2878" s="54">
        <v>43070</v>
      </c>
      <c r="D2878" s="3" t="str">
        <f>YEAR(Datos_Consumo[[#This Row],[FECHA]])&amp;"-"&amp;MONTH(Datos_Consumo[[#This Row],[FECHA]])</f>
        <v>2017-12</v>
      </c>
    </row>
    <row r="2879" spans="1:4" x14ac:dyDescent="0.25">
      <c r="A2879" t="s">
        <v>2333</v>
      </c>
      <c r="B2879">
        <v>1</v>
      </c>
      <c r="C2879" s="54">
        <v>43132</v>
      </c>
      <c r="D2879" s="3" t="str">
        <f>YEAR(Datos_Consumo[[#This Row],[FECHA]])&amp;"-"&amp;MONTH(Datos_Consumo[[#This Row],[FECHA]])</f>
        <v>2018-2</v>
      </c>
    </row>
    <row r="2880" spans="1:4" x14ac:dyDescent="0.25">
      <c r="A2880" t="s">
        <v>2333</v>
      </c>
      <c r="B2880">
        <v>3</v>
      </c>
      <c r="C2880" s="54">
        <v>43160</v>
      </c>
      <c r="D2880" s="3" t="str">
        <f>YEAR(Datos_Consumo[[#This Row],[FECHA]])&amp;"-"&amp;MONTH(Datos_Consumo[[#This Row],[FECHA]])</f>
        <v>2018-3</v>
      </c>
    </row>
    <row r="2881" spans="1:4" x14ac:dyDescent="0.25">
      <c r="A2881" t="s">
        <v>2333</v>
      </c>
      <c r="B2881">
        <v>9</v>
      </c>
      <c r="C2881" s="54">
        <v>43191</v>
      </c>
      <c r="D2881" s="3" t="str">
        <f>YEAR(Datos_Consumo[[#This Row],[FECHA]])&amp;"-"&amp;MONTH(Datos_Consumo[[#This Row],[FECHA]])</f>
        <v>2018-4</v>
      </c>
    </row>
    <row r="2882" spans="1:4" x14ac:dyDescent="0.25">
      <c r="A2882" t="s">
        <v>2334</v>
      </c>
      <c r="B2882">
        <v>6</v>
      </c>
      <c r="C2882" s="54">
        <v>43101</v>
      </c>
      <c r="D2882" s="3" t="str">
        <f>YEAR(Datos_Consumo[[#This Row],[FECHA]])&amp;"-"&amp;MONTH(Datos_Consumo[[#This Row],[FECHA]])</f>
        <v>2018-1</v>
      </c>
    </row>
    <row r="2883" spans="1:4" x14ac:dyDescent="0.25">
      <c r="A2883" t="s">
        <v>2334</v>
      </c>
      <c r="B2883">
        <v>5</v>
      </c>
      <c r="C2883" s="54">
        <v>43132</v>
      </c>
      <c r="D2883" s="3" t="str">
        <f>YEAR(Datos_Consumo[[#This Row],[FECHA]])&amp;"-"&amp;MONTH(Datos_Consumo[[#This Row],[FECHA]])</f>
        <v>2018-2</v>
      </c>
    </row>
    <row r="2884" spans="1:4" x14ac:dyDescent="0.25">
      <c r="A2884" t="s">
        <v>2334</v>
      </c>
      <c r="B2884">
        <v>10</v>
      </c>
      <c r="C2884" s="54">
        <v>43191</v>
      </c>
      <c r="D2884" s="3" t="str">
        <f>YEAR(Datos_Consumo[[#This Row],[FECHA]])&amp;"-"&amp;MONTH(Datos_Consumo[[#This Row],[FECHA]])</f>
        <v>2018-4</v>
      </c>
    </row>
    <row r="2885" spans="1:4" x14ac:dyDescent="0.25">
      <c r="A2885" t="s">
        <v>2334</v>
      </c>
      <c r="B2885">
        <v>4</v>
      </c>
      <c r="C2885" s="54">
        <v>43221</v>
      </c>
      <c r="D2885" s="3" t="str">
        <f>YEAR(Datos_Consumo[[#This Row],[FECHA]])&amp;"-"&amp;MONTH(Datos_Consumo[[#This Row],[FECHA]])</f>
        <v>2018-5</v>
      </c>
    </row>
    <row r="2886" spans="1:4" x14ac:dyDescent="0.25">
      <c r="A2886" t="s">
        <v>2335</v>
      </c>
      <c r="B2886">
        <v>2</v>
      </c>
      <c r="C2886" s="54">
        <v>43101</v>
      </c>
      <c r="D2886" s="3" t="str">
        <f>YEAR(Datos_Consumo[[#This Row],[FECHA]])&amp;"-"&amp;MONTH(Datos_Consumo[[#This Row],[FECHA]])</f>
        <v>2018-1</v>
      </c>
    </row>
    <row r="2887" spans="1:4" x14ac:dyDescent="0.25">
      <c r="A2887" t="s">
        <v>2335</v>
      </c>
      <c r="B2887">
        <v>3</v>
      </c>
      <c r="C2887" s="54">
        <v>43132</v>
      </c>
      <c r="D2887" s="3" t="str">
        <f>YEAR(Datos_Consumo[[#This Row],[FECHA]])&amp;"-"&amp;MONTH(Datos_Consumo[[#This Row],[FECHA]])</f>
        <v>2018-2</v>
      </c>
    </row>
    <row r="2888" spans="1:4" x14ac:dyDescent="0.25">
      <c r="A2888" t="s">
        <v>2335</v>
      </c>
      <c r="B2888">
        <v>1</v>
      </c>
      <c r="C2888" s="54">
        <v>43160</v>
      </c>
      <c r="D2888" s="3" t="str">
        <f>YEAR(Datos_Consumo[[#This Row],[FECHA]])&amp;"-"&amp;MONTH(Datos_Consumo[[#This Row],[FECHA]])</f>
        <v>2018-3</v>
      </c>
    </row>
    <row r="2889" spans="1:4" x14ac:dyDescent="0.25">
      <c r="A2889" t="s">
        <v>2336</v>
      </c>
      <c r="B2889">
        <v>8</v>
      </c>
      <c r="C2889" s="54">
        <v>43132</v>
      </c>
      <c r="D2889" s="3" t="str">
        <f>YEAR(Datos_Consumo[[#This Row],[FECHA]])&amp;"-"&amp;MONTH(Datos_Consumo[[#This Row],[FECHA]])</f>
        <v>2018-2</v>
      </c>
    </row>
    <row r="2890" spans="1:4" x14ac:dyDescent="0.25">
      <c r="A2890" t="s">
        <v>2336</v>
      </c>
      <c r="B2890">
        <v>1</v>
      </c>
      <c r="C2890" s="54">
        <v>43160</v>
      </c>
      <c r="D2890" s="3" t="str">
        <f>YEAR(Datos_Consumo[[#This Row],[FECHA]])&amp;"-"&amp;MONTH(Datos_Consumo[[#This Row],[FECHA]])</f>
        <v>2018-3</v>
      </c>
    </row>
    <row r="2891" spans="1:4" x14ac:dyDescent="0.25">
      <c r="A2891" t="s">
        <v>2337</v>
      </c>
      <c r="B2891">
        <v>26</v>
      </c>
      <c r="C2891" s="54">
        <v>43101</v>
      </c>
      <c r="D2891" s="3" t="str">
        <f>YEAR(Datos_Consumo[[#This Row],[FECHA]])&amp;"-"&amp;MONTH(Datos_Consumo[[#This Row],[FECHA]])</f>
        <v>2018-1</v>
      </c>
    </row>
    <row r="2892" spans="1:4" x14ac:dyDescent="0.25">
      <c r="A2892" t="s">
        <v>2337</v>
      </c>
      <c r="B2892">
        <v>22</v>
      </c>
      <c r="C2892" s="54">
        <v>43132</v>
      </c>
      <c r="D2892" s="3" t="str">
        <f>YEAR(Datos_Consumo[[#This Row],[FECHA]])&amp;"-"&amp;MONTH(Datos_Consumo[[#This Row],[FECHA]])</f>
        <v>2018-2</v>
      </c>
    </row>
    <row r="2893" spans="1:4" x14ac:dyDescent="0.25">
      <c r="A2893" t="s">
        <v>2337</v>
      </c>
      <c r="B2893">
        <v>20</v>
      </c>
      <c r="C2893" s="54">
        <v>43160</v>
      </c>
      <c r="D2893" s="3" t="str">
        <f>YEAR(Datos_Consumo[[#This Row],[FECHA]])&amp;"-"&amp;MONTH(Datos_Consumo[[#This Row],[FECHA]])</f>
        <v>2018-3</v>
      </c>
    </row>
    <row r="2894" spans="1:4" x14ac:dyDescent="0.25">
      <c r="A2894" t="s">
        <v>2337</v>
      </c>
      <c r="B2894">
        <v>54</v>
      </c>
      <c r="C2894" s="54">
        <v>43191</v>
      </c>
      <c r="D2894" s="3" t="str">
        <f>YEAR(Datos_Consumo[[#This Row],[FECHA]])&amp;"-"&amp;MONTH(Datos_Consumo[[#This Row],[FECHA]])</f>
        <v>2018-4</v>
      </c>
    </row>
    <row r="2895" spans="1:4" x14ac:dyDescent="0.25">
      <c r="A2895" t="s">
        <v>2337</v>
      </c>
      <c r="B2895">
        <v>26</v>
      </c>
      <c r="C2895" s="54">
        <v>43221</v>
      </c>
      <c r="D2895" s="3" t="str">
        <f>YEAR(Datos_Consumo[[#This Row],[FECHA]])&amp;"-"&amp;MONTH(Datos_Consumo[[#This Row],[FECHA]])</f>
        <v>2018-5</v>
      </c>
    </row>
    <row r="2896" spans="1:4" x14ac:dyDescent="0.25">
      <c r="A2896" t="s">
        <v>2338</v>
      </c>
      <c r="B2896">
        <v>1</v>
      </c>
      <c r="C2896" s="54">
        <v>43070</v>
      </c>
      <c r="D2896" s="3" t="str">
        <f>YEAR(Datos_Consumo[[#This Row],[FECHA]])&amp;"-"&amp;MONTH(Datos_Consumo[[#This Row],[FECHA]])</f>
        <v>2017-12</v>
      </c>
    </row>
    <row r="2897" spans="1:4" x14ac:dyDescent="0.25">
      <c r="A2897" t="s">
        <v>2338</v>
      </c>
      <c r="B2897">
        <v>1</v>
      </c>
      <c r="C2897" s="54">
        <v>43101</v>
      </c>
      <c r="D2897" s="3" t="str">
        <f>YEAR(Datos_Consumo[[#This Row],[FECHA]])&amp;"-"&amp;MONTH(Datos_Consumo[[#This Row],[FECHA]])</f>
        <v>2018-1</v>
      </c>
    </row>
    <row r="2898" spans="1:4" x14ac:dyDescent="0.25">
      <c r="A2898" t="s">
        <v>2338</v>
      </c>
      <c r="B2898">
        <v>1</v>
      </c>
      <c r="C2898" s="54">
        <v>43132</v>
      </c>
      <c r="D2898" s="3" t="str">
        <f>YEAR(Datos_Consumo[[#This Row],[FECHA]])&amp;"-"&amp;MONTH(Datos_Consumo[[#This Row],[FECHA]])</f>
        <v>2018-2</v>
      </c>
    </row>
    <row r="2899" spans="1:4" x14ac:dyDescent="0.25">
      <c r="A2899" t="s">
        <v>2338</v>
      </c>
      <c r="B2899">
        <v>12</v>
      </c>
      <c r="C2899" s="54">
        <v>43191</v>
      </c>
      <c r="D2899" s="3" t="str">
        <f>YEAR(Datos_Consumo[[#This Row],[FECHA]])&amp;"-"&amp;MONTH(Datos_Consumo[[#This Row],[FECHA]])</f>
        <v>2018-4</v>
      </c>
    </row>
    <row r="2900" spans="1:4" x14ac:dyDescent="0.25">
      <c r="A2900" t="s">
        <v>2339</v>
      </c>
      <c r="B2900">
        <v>4</v>
      </c>
      <c r="C2900" s="54">
        <v>43070</v>
      </c>
      <c r="D2900" s="3" t="str">
        <f>YEAR(Datos_Consumo[[#This Row],[FECHA]])&amp;"-"&amp;MONTH(Datos_Consumo[[#This Row],[FECHA]])</f>
        <v>2017-12</v>
      </c>
    </row>
    <row r="2901" spans="1:4" x14ac:dyDescent="0.25">
      <c r="A2901" t="s">
        <v>2339</v>
      </c>
      <c r="B2901">
        <v>2</v>
      </c>
      <c r="C2901" s="54">
        <v>43101</v>
      </c>
      <c r="D2901" s="3" t="str">
        <f>YEAR(Datos_Consumo[[#This Row],[FECHA]])&amp;"-"&amp;MONTH(Datos_Consumo[[#This Row],[FECHA]])</f>
        <v>2018-1</v>
      </c>
    </row>
    <row r="2902" spans="1:4" x14ac:dyDescent="0.25">
      <c r="A2902" t="s">
        <v>2339</v>
      </c>
      <c r="B2902">
        <v>1</v>
      </c>
      <c r="C2902" s="54">
        <v>43132</v>
      </c>
      <c r="D2902" s="3" t="str">
        <f>YEAR(Datos_Consumo[[#This Row],[FECHA]])&amp;"-"&amp;MONTH(Datos_Consumo[[#This Row],[FECHA]])</f>
        <v>2018-2</v>
      </c>
    </row>
    <row r="2903" spans="1:4" x14ac:dyDescent="0.25">
      <c r="A2903" t="s">
        <v>2339</v>
      </c>
      <c r="B2903">
        <v>5</v>
      </c>
      <c r="C2903" s="54">
        <v>43191</v>
      </c>
      <c r="D2903" s="3" t="str">
        <f>YEAR(Datos_Consumo[[#This Row],[FECHA]])&amp;"-"&amp;MONTH(Datos_Consumo[[#This Row],[FECHA]])</f>
        <v>2018-4</v>
      </c>
    </row>
    <row r="2904" spans="1:4" x14ac:dyDescent="0.25">
      <c r="A2904" t="s">
        <v>2340</v>
      </c>
      <c r="B2904">
        <v>1</v>
      </c>
      <c r="C2904" s="54">
        <v>43132</v>
      </c>
      <c r="D2904" s="3" t="str">
        <f>YEAR(Datos_Consumo[[#This Row],[FECHA]])&amp;"-"&amp;MONTH(Datos_Consumo[[#This Row],[FECHA]])</f>
        <v>2018-2</v>
      </c>
    </row>
    <row r="2905" spans="1:4" x14ac:dyDescent="0.25">
      <c r="A2905" t="s">
        <v>4065</v>
      </c>
      <c r="B2905">
        <v>1</v>
      </c>
      <c r="C2905" s="54">
        <v>43191</v>
      </c>
      <c r="D2905" s="3" t="str">
        <f>YEAR(Datos_Consumo[[#This Row],[FECHA]])&amp;"-"&amp;MONTH(Datos_Consumo[[#This Row],[FECHA]])</f>
        <v>2018-4</v>
      </c>
    </row>
    <row r="2906" spans="1:4" x14ac:dyDescent="0.25">
      <c r="A2906" t="s">
        <v>2341</v>
      </c>
      <c r="B2906">
        <v>18</v>
      </c>
      <c r="C2906" s="54">
        <v>43070</v>
      </c>
      <c r="D2906" s="3" t="str">
        <f>YEAR(Datos_Consumo[[#This Row],[FECHA]])&amp;"-"&amp;MONTH(Datos_Consumo[[#This Row],[FECHA]])</f>
        <v>2017-12</v>
      </c>
    </row>
    <row r="2907" spans="1:4" x14ac:dyDescent="0.25">
      <c r="A2907" t="s">
        <v>2341</v>
      </c>
      <c r="B2907">
        <v>8</v>
      </c>
      <c r="C2907" s="54">
        <v>43101</v>
      </c>
      <c r="D2907" s="3" t="str">
        <f>YEAR(Datos_Consumo[[#This Row],[FECHA]])&amp;"-"&amp;MONTH(Datos_Consumo[[#This Row],[FECHA]])</f>
        <v>2018-1</v>
      </c>
    </row>
    <row r="2908" spans="1:4" x14ac:dyDescent="0.25">
      <c r="A2908" t="s">
        <v>2341</v>
      </c>
      <c r="B2908">
        <v>10</v>
      </c>
      <c r="C2908" s="54">
        <v>43160</v>
      </c>
      <c r="D2908" s="3" t="str">
        <f>YEAR(Datos_Consumo[[#This Row],[FECHA]])&amp;"-"&amp;MONTH(Datos_Consumo[[#This Row],[FECHA]])</f>
        <v>2018-3</v>
      </c>
    </row>
    <row r="2909" spans="1:4" x14ac:dyDescent="0.25">
      <c r="A2909" t="s">
        <v>2341</v>
      </c>
      <c r="B2909">
        <v>6</v>
      </c>
      <c r="C2909" s="54">
        <v>43191</v>
      </c>
      <c r="D2909" s="3" t="str">
        <f>YEAR(Datos_Consumo[[#This Row],[FECHA]])&amp;"-"&amp;MONTH(Datos_Consumo[[#This Row],[FECHA]])</f>
        <v>2018-4</v>
      </c>
    </row>
    <row r="2910" spans="1:4" x14ac:dyDescent="0.25">
      <c r="A2910" t="s">
        <v>2342</v>
      </c>
      <c r="B2910">
        <v>1</v>
      </c>
      <c r="C2910" s="54">
        <v>43070</v>
      </c>
      <c r="D2910" s="3" t="str">
        <f>YEAR(Datos_Consumo[[#This Row],[FECHA]])&amp;"-"&amp;MONTH(Datos_Consumo[[#This Row],[FECHA]])</f>
        <v>2017-12</v>
      </c>
    </row>
    <row r="2911" spans="1:4" x14ac:dyDescent="0.25">
      <c r="A2911" t="s">
        <v>2342</v>
      </c>
      <c r="B2911">
        <v>1</v>
      </c>
      <c r="C2911" s="54">
        <v>43160</v>
      </c>
      <c r="D2911" s="3" t="str">
        <f>YEAR(Datos_Consumo[[#This Row],[FECHA]])&amp;"-"&amp;MONTH(Datos_Consumo[[#This Row],[FECHA]])</f>
        <v>2018-3</v>
      </c>
    </row>
    <row r="2912" spans="1:4" x14ac:dyDescent="0.25">
      <c r="A2912" t="s">
        <v>2342</v>
      </c>
      <c r="B2912">
        <v>3</v>
      </c>
      <c r="C2912" s="54">
        <v>43191</v>
      </c>
      <c r="D2912" s="3" t="str">
        <f>YEAR(Datos_Consumo[[#This Row],[FECHA]])&amp;"-"&amp;MONTH(Datos_Consumo[[#This Row],[FECHA]])</f>
        <v>2018-4</v>
      </c>
    </row>
    <row r="2913" spans="1:4" x14ac:dyDescent="0.25">
      <c r="A2913" t="s">
        <v>2343</v>
      </c>
      <c r="B2913">
        <v>2</v>
      </c>
      <c r="C2913" s="54">
        <v>43070</v>
      </c>
      <c r="D2913" s="3" t="str">
        <f>YEAR(Datos_Consumo[[#This Row],[FECHA]])&amp;"-"&amp;MONTH(Datos_Consumo[[#This Row],[FECHA]])</f>
        <v>2017-12</v>
      </c>
    </row>
    <row r="2914" spans="1:4" x14ac:dyDescent="0.25">
      <c r="A2914" t="s">
        <v>2344</v>
      </c>
      <c r="B2914">
        <v>6</v>
      </c>
      <c r="C2914" s="54">
        <v>43101</v>
      </c>
      <c r="D2914" s="3" t="str">
        <f>YEAR(Datos_Consumo[[#This Row],[FECHA]])&amp;"-"&amp;MONTH(Datos_Consumo[[#This Row],[FECHA]])</f>
        <v>2018-1</v>
      </c>
    </row>
    <row r="2915" spans="1:4" x14ac:dyDescent="0.25">
      <c r="A2915" t="s">
        <v>2344</v>
      </c>
      <c r="B2915">
        <v>3</v>
      </c>
      <c r="C2915" s="54">
        <v>43191</v>
      </c>
      <c r="D2915" s="3" t="str">
        <f>YEAR(Datos_Consumo[[#This Row],[FECHA]])&amp;"-"&amp;MONTH(Datos_Consumo[[#This Row],[FECHA]])</f>
        <v>2018-4</v>
      </c>
    </row>
    <row r="2916" spans="1:4" x14ac:dyDescent="0.25">
      <c r="A2916" t="s">
        <v>2345</v>
      </c>
      <c r="B2916">
        <v>716</v>
      </c>
      <c r="C2916" s="54">
        <v>43070</v>
      </c>
      <c r="D2916" s="3" t="str">
        <f>YEAR(Datos_Consumo[[#This Row],[FECHA]])&amp;"-"&amp;MONTH(Datos_Consumo[[#This Row],[FECHA]])</f>
        <v>2017-12</v>
      </c>
    </row>
    <row r="2917" spans="1:4" x14ac:dyDescent="0.25">
      <c r="A2917" t="s">
        <v>2345</v>
      </c>
      <c r="B2917">
        <v>1202</v>
      </c>
      <c r="C2917" s="54">
        <v>43101</v>
      </c>
      <c r="D2917" s="3" t="str">
        <f>YEAR(Datos_Consumo[[#This Row],[FECHA]])&amp;"-"&amp;MONTH(Datos_Consumo[[#This Row],[FECHA]])</f>
        <v>2018-1</v>
      </c>
    </row>
    <row r="2918" spans="1:4" x14ac:dyDescent="0.25">
      <c r="A2918" t="s">
        <v>2345</v>
      </c>
      <c r="B2918">
        <v>809</v>
      </c>
      <c r="C2918" s="54">
        <v>43132</v>
      </c>
      <c r="D2918" s="3" t="str">
        <f>YEAR(Datos_Consumo[[#This Row],[FECHA]])&amp;"-"&amp;MONTH(Datos_Consumo[[#This Row],[FECHA]])</f>
        <v>2018-2</v>
      </c>
    </row>
    <row r="2919" spans="1:4" x14ac:dyDescent="0.25">
      <c r="A2919" t="s">
        <v>2345</v>
      </c>
      <c r="B2919">
        <v>989</v>
      </c>
      <c r="C2919" s="54">
        <v>43160</v>
      </c>
      <c r="D2919" s="3" t="str">
        <f>YEAR(Datos_Consumo[[#This Row],[FECHA]])&amp;"-"&amp;MONTH(Datos_Consumo[[#This Row],[FECHA]])</f>
        <v>2018-3</v>
      </c>
    </row>
    <row r="2920" spans="1:4" x14ac:dyDescent="0.25">
      <c r="A2920" t="s">
        <v>2345</v>
      </c>
      <c r="B2920">
        <v>1611</v>
      </c>
      <c r="C2920" s="54">
        <v>43191</v>
      </c>
      <c r="D2920" s="3" t="str">
        <f>YEAR(Datos_Consumo[[#This Row],[FECHA]])&amp;"-"&amp;MONTH(Datos_Consumo[[#This Row],[FECHA]])</f>
        <v>2018-4</v>
      </c>
    </row>
    <row r="2921" spans="1:4" x14ac:dyDescent="0.25">
      <c r="A2921" t="s">
        <v>2345</v>
      </c>
      <c r="B2921">
        <v>221</v>
      </c>
      <c r="C2921" s="54">
        <v>43221</v>
      </c>
      <c r="D2921" s="3" t="str">
        <f>YEAR(Datos_Consumo[[#This Row],[FECHA]])&amp;"-"&amp;MONTH(Datos_Consumo[[#This Row],[FECHA]])</f>
        <v>2018-5</v>
      </c>
    </row>
    <row r="2922" spans="1:4" x14ac:dyDescent="0.25">
      <c r="A2922" t="s">
        <v>2346</v>
      </c>
      <c r="B2922">
        <v>1</v>
      </c>
      <c r="C2922" s="54">
        <v>43070</v>
      </c>
      <c r="D2922" s="3" t="str">
        <f>YEAR(Datos_Consumo[[#This Row],[FECHA]])&amp;"-"&amp;MONTH(Datos_Consumo[[#This Row],[FECHA]])</f>
        <v>2017-12</v>
      </c>
    </row>
    <row r="2923" spans="1:4" x14ac:dyDescent="0.25">
      <c r="A2923" t="s">
        <v>2346</v>
      </c>
      <c r="B2923">
        <v>4</v>
      </c>
      <c r="C2923" s="54">
        <v>43101</v>
      </c>
      <c r="D2923" s="3" t="str">
        <f>YEAR(Datos_Consumo[[#This Row],[FECHA]])&amp;"-"&amp;MONTH(Datos_Consumo[[#This Row],[FECHA]])</f>
        <v>2018-1</v>
      </c>
    </row>
    <row r="2924" spans="1:4" x14ac:dyDescent="0.25">
      <c r="A2924" t="s">
        <v>2346</v>
      </c>
      <c r="B2924">
        <v>2</v>
      </c>
      <c r="C2924" s="54">
        <v>43132</v>
      </c>
      <c r="D2924" s="3" t="str">
        <f>YEAR(Datos_Consumo[[#This Row],[FECHA]])&amp;"-"&amp;MONTH(Datos_Consumo[[#This Row],[FECHA]])</f>
        <v>2018-2</v>
      </c>
    </row>
    <row r="2925" spans="1:4" x14ac:dyDescent="0.25">
      <c r="A2925" t="s">
        <v>2346</v>
      </c>
      <c r="B2925">
        <v>2</v>
      </c>
      <c r="C2925" s="54">
        <v>43160</v>
      </c>
      <c r="D2925" s="3" t="str">
        <f>YEAR(Datos_Consumo[[#This Row],[FECHA]])&amp;"-"&amp;MONTH(Datos_Consumo[[#This Row],[FECHA]])</f>
        <v>2018-3</v>
      </c>
    </row>
    <row r="2926" spans="1:4" x14ac:dyDescent="0.25">
      <c r="A2926" t="s">
        <v>2346</v>
      </c>
      <c r="B2926">
        <v>4</v>
      </c>
      <c r="C2926" s="54">
        <v>43191</v>
      </c>
      <c r="D2926" s="3" t="str">
        <f>YEAR(Datos_Consumo[[#This Row],[FECHA]])&amp;"-"&amp;MONTH(Datos_Consumo[[#This Row],[FECHA]])</f>
        <v>2018-4</v>
      </c>
    </row>
    <row r="2927" spans="1:4" x14ac:dyDescent="0.25">
      <c r="A2927" t="s">
        <v>2347</v>
      </c>
      <c r="B2927">
        <v>3</v>
      </c>
      <c r="C2927" s="54">
        <v>43070</v>
      </c>
      <c r="D2927" s="3" t="str">
        <f>YEAR(Datos_Consumo[[#This Row],[FECHA]])&amp;"-"&amp;MONTH(Datos_Consumo[[#This Row],[FECHA]])</f>
        <v>2017-12</v>
      </c>
    </row>
    <row r="2928" spans="1:4" x14ac:dyDescent="0.25">
      <c r="A2928" t="s">
        <v>2347</v>
      </c>
      <c r="B2928">
        <v>2</v>
      </c>
      <c r="C2928" s="54">
        <v>43101</v>
      </c>
      <c r="D2928" s="3" t="str">
        <f>YEAR(Datos_Consumo[[#This Row],[FECHA]])&amp;"-"&amp;MONTH(Datos_Consumo[[#This Row],[FECHA]])</f>
        <v>2018-1</v>
      </c>
    </row>
    <row r="2929" spans="1:4" x14ac:dyDescent="0.25">
      <c r="A2929" t="s">
        <v>2347</v>
      </c>
      <c r="B2929">
        <v>1</v>
      </c>
      <c r="C2929" s="54">
        <v>43160</v>
      </c>
      <c r="D2929" s="3" t="str">
        <f>YEAR(Datos_Consumo[[#This Row],[FECHA]])&amp;"-"&amp;MONTH(Datos_Consumo[[#This Row],[FECHA]])</f>
        <v>2018-3</v>
      </c>
    </row>
    <row r="2930" spans="1:4" x14ac:dyDescent="0.25">
      <c r="A2930" t="s">
        <v>2348</v>
      </c>
      <c r="B2930">
        <v>1</v>
      </c>
      <c r="C2930" s="54">
        <v>43070</v>
      </c>
      <c r="D2930" s="3" t="str">
        <f>YEAR(Datos_Consumo[[#This Row],[FECHA]])&amp;"-"&amp;MONTH(Datos_Consumo[[#This Row],[FECHA]])</f>
        <v>2017-12</v>
      </c>
    </row>
    <row r="2931" spans="1:4" x14ac:dyDescent="0.25">
      <c r="A2931" t="s">
        <v>2348</v>
      </c>
      <c r="B2931">
        <v>1</v>
      </c>
      <c r="C2931" s="54">
        <v>43101</v>
      </c>
      <c r="D2931" s="3" t="str">
        <f>YEAR(Datos_Consumo[[#This Row],[FECHA]])&amp;"-"&amp;MONTH(Datos_Consumo[[#This Row],[FECHA]])</f>
        <v>2018-1</v>
      </c>
    </row>
    <row r="2932" spans="1:4" x14ac:dyDescent="0.25">
      <c r="A2932" t="s">
        <v>2349</v>
      </c>
      <c r="B2932">
        <v>1</v>
      </c>
      <c r="C2932" s="54">
        <v>43070</v>
      </c>
      <c r="D2932" s="3" t="str">
        <f>YEAR(Datos_Consumo[[#This Row],[FECHA]])&amp;"-"&amp;MONTH(Datos_Consumo[[#This Row],[FECHA]])</f>
        <v>2017-12</v>
      </c>
    </row>
    <row r="2933" spans="1:4" x14ac:dyDescent="0.25">
      <c r="A2933" t="s">
        <v>2349</v>
      </c>
      <c r="B2933">
        <v>2</v>
      </c>
      <c r="C2933" s="54">
        <v>43101</v>
      </c>
      <c r="D2933" s="3" t="str">
        <f>YEAR(Datos_Consumo[[#This Row],[FECHA]])&amp;"-"&amp;MONTH(Datos_Consumo[[#This Row],[FECHA]])</f>
        <v>2018-1</v>
      </c>
    </row>
    <row r="2934" spans="1:4" x14ac:dyDescent="0.25">
      <c r="A2934" t="s">
        <v>2349</v>
      </c>
      <c r="B2934">
        <v>4</v>
      </c>
      <c r="C2934" s="54">
        <v>43132</v>
      </c>
      <c r="D2934" s="3" t="str">
        <f>YEAR(Datos_Consumo[[#This Row],[FECHA]])&amp;"-"&amp;MONTH(Datos_Consumo[[#This Row],[FECHA]])</f>
        <v>2018-2</v>
      </c>
    </row>
    <row r="2935" spans="1:4" x14ac:dyDescent="0.25">
      <c r="A2935" t="s">
        <v>2349</v>
      </c>
      <c r="B2935">
        <v>4</v>
      </c>
      <c r="C2935" s="54">
        <v>43191</v>
      </c>
      <c r="D2935" s="3" t="str">
        <f>YEAR(Datos_Consumo[[#This Row],[FECHA]])&amp;"-"&amp;MONTH(Datos_Consumo[[#This Row],[FECHA]])</f>
        <v>2018-4</v>
      </c>
    </row>
    <row r="2936" spans="1:4" x14ac:dyDescent="0.25">
      <c r="A2936" t="s">
        <v>2350</v>
      </c>
      <c r="B2936">
        <v>1</v>
      </c>
      <c r="C2936" s="54">
        <v>43070</v>
      </c>
      <c r="D2936" s="3" t="str">
        <f>YEAR(Datos_Consumo[[#This Row],[FECHA]])&amp;"-"&amp;MONTH(Datos_Consumo[[#This Row],[FECHA]])</f>
        <v>2017-12</v>
      </c>
    </row>
    <row r="2937" spans="1:4" x14ac:dyDescent="0.25">
      <c r="A2937" t="s">
        <v>2350</v>
      </c>
      <c r="B2937">
        <v>4</v>
      </c>
      <c r="C2937" s="54">
        <v>43101</v>
      </c>
      <c r="D2937" s="3" t="str">
        <f>YEAR(Datos_Consumo[[#This Row],[FECHA]])&amp;"-"&amp;MONTH(Datos_Consumo[[#This Row],[FECHA]])</f>
        <v>2018-1</v>
      </c>
    </row>
    <row r="2938" spans="1:4" x14ac:dyDescent="0.25">
      <c r="A2938" t="s">
        <v>2351</v>
      </c>
      <c r="B2938">
        <v>3</v>
      </c>
      <c r="C2938" s="54">
        <v>43070</v>
      </c>
      <c r="D2938" s="3" t="str">
        <f>YEAR(Datos_Consumo[[#This Row],[FECHA]])&amp;"-"&amp;MONTH(Datos_Consumo[[#This Row],[FECHA]])</f>
        <v>2017-12</v>
      </c>
    </row>
    <row r="2939" spans="1:4" x14ac:dyDescent="0.25">
      <c r="A2939" t="s">
        <v>2352</v>
      </c>
      <c r="B2939">
        <v>1</v>
      </c>
      <c r="C2939" s="54">
        <v>43160</v>
      </c>
      <c r="D2939" s="3" t="str">
        <f>YEAR(Datos_Consumo[[#This Row],[FECHA]])&amp;"-"&amp;MONTH(Datos_Consumo[[#This Row],[FECHA]])</f>
        <v>2018-3</v>
      </c>
    </row>
    <row r="2940" spans="1:4" x14ac:dyDescent="0.25">
      <c r="A2940" t="s">
        <v>2353</v>
      </c>
      <c r="B2940">
        <v>1</v>
      </c>
      <c r="C2940" s="54">
        <v>43101</v>
      </c>
      <c r="D2940" s="3" t="str">
        <f>YEAR(Datos_Consumo[[#This Row],[FECHA]])&amp;"-"&amp;MONTH(Datos_Consumo[[#This Row],[FECHA]])</f>
        <v>2018-1</v>
      </c>
    </row>
    <row r="2941" spans="1:4" x14ac:dyDescent="0.25">
      <c r="A2941" t="s">
        <v>2353</v>
      </c>
      <c r="B2941">
        <v>1</v>
      </c>
      <c r="C2941" s="54">
        <v>43160</v>
      </c>
      <c r="D2941" s="3" t="str">
        <f>YEAR(Datos_Consumo[[#This Row],[FECHA]])&amp;"-"&amp;MONTH(Datos_Consumo[[#This Row],[FECHA]])</f>
        <v>2018-3</v>
      </c>
    </row>
    <row r="2942" spans="1:4" x14ac:dyDescent="0.25">
      <c r="A2942" t="s">
        <v>2354</v>
      </c>
      <c r="B2942">
        <v>1</v>
      </c>
      <c r="C2942" s="54">
        <v>43070</v>
      </c>
      <c r="D2942" s="3" t="str">
        <f>YEAR(Datos_Consumo[[#This Row],[FECHA]])&amp;"-"&amp;MONTH(Datos_Consumo[[#This Row],[FECHA]])</f>
        <v>2017-12</v>
      </c>
    </row>
    <row r="2943" spans="1:4" x14ac:dyDescent="0.25">
      <c r="A2943" t="s">
        <v>2354</v>
      </c>
      <c r="B2943">
        <v>1</v>
      </c>
      <c r="C2943" s="54">
        <v>43132</v>
      </c>
      <c r="D2943" s="3" t="str">
        <f>YEAR(Datos_Consumo[[#This Row],[FECHA]])&amp;"-"&amp;MONTH(Datos_Consumo[[#This Row],[FECHA]])</f>
        <v>2018-2</v>
      </c>
    </row>
    <row r="2944" spans="1:4" x14ac:dyDescent="0.25">
      <c r="A2944" t="s">
        <v>2355</v>
      </c>
      <c r="B2944">
        <v>3</v>
      </c>
      <c r="C2944" s="54">
        <v>43101</v>
      </c>
      <c r="D2944" s="3" t="str">
        <f>YEAR(Datos_Consumo[[#This Row],[FECHA]])&amp;"-"&amp;MONTH(Datos_Consumo[[#This Row],[FECHA]])</f>
        <v>2018-1</v>
      </c>
    </row>
    <row r="2945" spans="1:4" x14ac:dyDescent="0.25">
      <c r="A2945" t="s">
        <v>2355</v>
      </c>
      <c r="B2945">
        <v>1</v>
      </c>
      <c r="C2945" s="54">
        <v>43132</v>
      </c>
      <c r="D2945" s="3" t="str">
        <f>YEAR(Datos_Consumo[[#This Row],[FECHA]])&amp;"-"&amp;MONTH(Datos_Consumo[[#This Row],[FECHA]])</f>
        <v>2018-2</v>
      </c>
    </row>
    <row r="2946" spans="1:4" x14ac:dyDescent="0.25">
      <c r="A2946" t="s">
        <v>2355</v>
      </c>
      <c r="B2946">
        <v>2</v>
      </c>
      <c r="C2946" s="54">
        <v>43160</v>
      </c>
      <c r="D2946" s="3" t="str">
        <f>YEAR(Datos_Consumo[[#This Row],[FECHA]])&amp;"-"&amp;MONTH(Datos_Consumo[[#This Row],[FECHA]])</f>
        <v>2018-3</v>
      </c>
    </row>
    <row r="2947" spans="1:4" x14ac:dyDescent="0.25">
      <c r="A2947" t="s">
        <v>2356</v>
      </c>
      <c r="B2947">
        <v>1</v>
      </c>
      <c r="C2947" s="54">
        <v>43132</v>
      </c>
      <c r="D2947" s="3" t="str">
        <f>YEAR(Datos_Consumo[[#This Row],[FECHA]])&amp;"-"&amp;MONTH(Datos_Consumo[[#This Row],[FECHA]])</f>
        <v>2018-2</v>
      </c>
    </row>
    <row r="2948" spans="1:4" x14ac:dyDescent="0.25">
      <c r="A2948" t="s">
        <v>4066</v>
      </c>
      <c r="B2948">
        <v>1</v>
      </c>
      <c r="C2948" s="54">
        <v>43221</v>
      </c>
      <c r="D2948" s="3" t="str">
        <f>YEAR(Datos_Consumo[[#This Row],[FECHA]])&amp;"-"&amp;MONTH(Datos_Consumo[[#This Row],[FECHA]])</f>
        <v>2018-5</v>
      </c>
    </row>
    <row r="2949" spans="1:4" x14ac:dyDescent="0.25">
      <c r="A2949" t="s">
        <v>2357</v>
      </c>
      <c r="B2949">
        <v>1</v>
      </c>
      <c r="C2949" s="54">
        <v>43132</v>
      </c>
      <c r="D2949" s="3" t="str">
        <f>YEAR(Datos_Consumo[[#This Row],[FECHA]])&amp;"-"&amp;MONTH(Datos_Consumo[[#This Row],[FECHA]])</f>
        <v>2018-2</v>
      </c>
    </row>
    <row r="2950" spans="1:4" x14ac:dyDescent="0.25">
      <c r="A2950" t="s">
        <v>2357</v>
      </c>
      <c r="B2950">
        <v>2</v>
      </c>
      <c r="C2950" s="54">
        <v>43191</v>
      </c>
      <c r="D2950" s="3" t="str">
        <f>YEAR(Datos_Consumo[[#This Row],[FECHA]])&amp;"-"&amp;MONTH(Datos_Consumo[[#This Row],[FECHA]])</f>
        <v>2018-4</v>
      </c>
    </row>
    <row r="2951" spans="1:4" x14ac:dyDescent="0.25">
      <c r="A2951" t="s">
        <v>2358</v>
      </c>
      <c r="B2951">
        <v>2</v>
      </c>
      <c r="C2951" s="54">
        <v>43070</v>
      </c>
      <c r="D2951" s="3" t="str">
        <f>YEAR(Datos_Consumo[[#This Row],[FECHA]])&amp;"-"&amp;MONTH(Datos_Consumo[[#This Row],[FECHA]])</f>
        <v>2017-12</v>
      </c>
    </row>
    <row r="2952" spans="1:4" x14ac:dyDescent="0.25">
      <c r="A2952" t="s">
        <v>2358</v>
      </c>
      <c r="B2952">
        <v>1</v>
      </c>
      <c r="C2952" s="54">
        <v>43191</v>
      </c>
      <c r="D2952" s="3" t="str">
        <f>YEAR(Datos_Consumo[[#This Row],[FECHA]])&amp;"-"&amp;MONTH(Datos_Consumo[[#This Row],[FECHA]])</f>
        <v>2018-4</v>
      </c>
    </row>
    <row r="2953" spans="1:4" x14ac:dyDescent="0.25">
      <c r="A2953" t="s">
        <v>2359</v>
      </c>
      <c r="B2953">
        <v>6</v>
      </c>
      <c r="C2953" s="54">
        <v>43070</v>
      </c>
      <c r="D2953" s="3" t="str">
        <f>YEAR(Datos_Consumo[[#This Row],[FECHA]])&amp;"-"&amp;MONTH(Datos_Consumo[[#This Row],[FECHA]])</f>
        <v>2017-12</v>
      </c>
    </row>
    <row r="2954" spans="1:4" x14ac:dyDescent="0.25">
      <c r="A2954" t="s">
        <v>2359</v>
      </c>
      <c r="B2954">
        <v>7</v>
      </c>
      <c r="C2954" s="54">
        <v>43101</v>
      </c>
      <c r="D2954" s="3" t="str">
        <f>YEAR(Datos_Consumo[[#This Row],[FECHA]])&amp;"-"&amp;MONTH(Datos_Consumo[[#This Row],[FECHA]])</f>
        <v>2018-1</v>
      </c>
    </row>
    <row r="2955" spans="1:4" x14ac:dyDescent="0.25">
      <c r="A2955" t="s">
        <v>2359</v>
      </c>
      <c r="B2955">
        <v>20</v>
      </c>
      <c r="C2955" s="54">
        <v>43132</v>
      </c>
      <c r="D2955" s="3" t="str">
        <f>YEAR(Datos_Consumo[[#This Row],[FECHA]])&amp;"-"&amp;MONTH(Datos_Consumo[[#This Row],[FECHA]])</f>
        <v>2018-2</v>
      </c>
    </row>
    <row r="2956" spans="1:4" x14ac:dyDescent="0.25">
      <c r="A2956" t="s">
        <v>2359</v>
      </c>
      <c r="B2956">
        <v>18</v>
      </c>
      <c r="C2956" s="54">
        <v>43191</v>
      </c>
      <c r="D2956" s="3" t="str">
        <f>YEAR(Datos_Consumo[[#This Row],[FECHA]])&amp;"-"&amp;MONTH(Datos_Consumo[[#This Row],[FECHA]])</f>
        <v>2018-4</v>
      </c>
    </row>
    <row r="2957" spans="1:4" x14ac:dyDescent="0.25">
      <c r="A2957" t="s">
        <v>2359</v>
      </c>
      <c r="B2957">
        <v>9</v>
      </c>
      <c r="C2957" s="54">
        <v>43221</v>
      </c>
      <c r="D2957" s="3" t="str">
        <f>YEAR(Datos_Consumo[[#This Row],[FECHA]])&amp;"-"&amp;MONTH(Datos_Consumo[[#This Row],[FECHA]])</f>
        <v>2018-5</v>
      </c>
    </row>
    <row r="2958" spans="1:4" x14ac:dyDescent="0.25">
      <c r="A2958" t="s">
        <v>4067</v>
      </c>
      <c r="B2958">
        <v>4</v>
      </c>
      <c r="C2958" s="54">
        <v>43191</v>
      </c>
      <c r="D2958" s="3" t="str">
        <f>YEAR(Datos_Consumo[[#This Row],[FECHA]])&amp;"-"&amp;MONTH(Datos_Consumo[[#This Row],[FECHA]])</f>
        <v>2018-4</v>
      </c>
    </row>
    <row r="2959" spans="1:4" x14ac:dyDescent="0.25">
      <c r="A2959" t="s">
        <v>2360</v>
      </c>
      <c r="B2959">
        <v>32</v>
      </c>
      <c r="C2959" s="54">
        <v>43101</v>
      </c>
      <c r="D2959" s="3" t="str">
        <f>YEAR(Datos_Consumo[[#This Row],[FECHA]])&amp;"-"&amp;MONTH(Datos_Consumo[[#This Row],[FECHA]])</f>
        <v>2018-1</v>
      </c>
    </row>
    <row r="2960" spans="1:4" x14ac:dyDescent="0.25">
      <c r="A2960" t="s">
        <v>2360</v>
      </c>
      <c r="B2960">
        <v>24</v>
      </c>
      <c r="C2960" s="54">
        <v>43132</v>
      </c>
      <c r="D2960" s="3" t="str">
        <f>YEAR(Datos_Consumo[[#This Row],[FECHA]])&amp;"-"&amp;MONTH(Datos_Consumo[[#This Row],[FECHA]])</f>
        <v>2018-2</v>
      </c>
    </row>
    <row r="2961" spans="1:4" x14ac:dyDescent="0.25">
      <c r="A2961" t="s">
        <v>2360</v>
      </c>
      <c r="B2961">
        <v>16</v>
      </c>
      <c r="C2961" s="54">
        <v>43160</v>
      </c>
      <c r="D2961" s="3" t="str">
        <f>YEAR(Datos_Consumo[[#This Row],[FECHA]])&amp;"-"&amp;MONTH(Datos_Consumo[[#This Row],[FECHA]])</f>
        <v>2018-3</v>
      </c>
    </row>
    <row r="2962" spans="1:4" x14ac:dyDescent="0.25">
      <c r="A2962" t="s">
        <v>2360</v>
      </c>
      <c r="B2962">
        <v>8</v>
      </c>
      <c r="C2962" s="54">
        <v>43191</v>
      </c>
      <c r="D2962" s="3" t="str">
        <f>YEAR(Datos_Consumo[[#This Row],[FECHA]])&amp;"-"&amp;MONTH(Datos_Consumo[[#This Row],[FECHA]])</f>
        <v>2018-4</v>
      </c>
    </row>
    <row r="2963" spans="1:4" x14ac:dyDescent="0.25">
      <c r="A2963" t="s">
        <v>2361</v>
      </c>
      <c r="B2963">
        <v>1</v>
      </c>
      <c r="C2963" s="54">
        <v>43160</v>
      </c>
      <c r="D2963" s="3" t="str">
        <f>YEAR(Datos_Consumo[[#This Row],[FECHA]])&amp;"-"&amp;MONTH(Datos_Consumo[[#This Row],[FECHA]])</f>
        <v>2018-3</v>
      </c>
    </row>
    <row r="2964" spans="1:4" x14ac:dyDescent="0.25">
      <c r="A2964" t="s">
        <v>2362</v>
      </c>
      <c r="B2964">
        <v>1</v>
      </c>
      <c r="C2964" s="54">
        <v>43191</v>
      </c>
      <c r="D2964" s="3" t="str">
        <f>YEAR(Datos_Consumo[[#This Row],[FECHA]])&amp;"-"&amp;MONTH(Datos_Consumo[[#This Row],[FECHA]])</f>
        <v>2018-4</v>
      </c>
    </row>
    <row r="2965" spans="1:4" x14ac:dyDescent="0.25">
      <c r="A2965" t="s">
        <v>2363</v>
      </c>
      <c r="B2965">
        <v>1</v>
      </c>
      <c r="C2965" s="54">
        <v>43191</v>
      </c>
      <c r="D2965" s="3" t="str">
        <f>YEAR(Datos_Consumo[[#This Row],[FECHA]])&amp;"-"&amp;MONTH(Datos_Consumo[[#This Row],[FECHA]])</f>
        <v>2018-4</v>
      </c>
    </row>
    <row r="2966" spans="1:4" x14ac:dyDescent="0.25">
      <c r="A2966" t="s">
        <v>2364</v>
      </c>
      <c r="B2966">
        <v>1</v>
      </c>
      <c r="C2966" s="54">
        <v>43070</v>
      </c>
      <c r="D2966" s="3" t="str">
        <f>YEAR(Datos_Consumo[[#This Row],[FECHA]])&amp;"-"&amp;MONTH(Datos_Consumo[[#This Row],[FECHA]])</f>
        <v>2017-12</v>
      </c>
    </row>
    <row r="2967" spans="1:4" x14ac:dyDescent="0.25">
      <c r="A2967" t="s">
        <v>2364</v>
      </c>
      <c r="B2967">
        <v>1</v>
      </c>
      <c r="C2967" s="54">
        <v>43191</v>
      </c>
      <c r="D2967" s="3" t="str">
        <f>YEAR(Datos_Consumo[[#This Row],[FECHA]])&amp;"-"&amp;MONTH(Datos_Consumo[[#This Row],[FECHA]])</f>
        <v>2018-4</v>
      </c>
    </row>
    <row r="2968" spans="1:4" x14ac:dyDescent="0.25">
      <c r="A2968" t="s">
        <v>2364</v>
      </c>
      <c r="B2968">
        <v>2</v>
      </c>
      <c r="C2968" s="54">
        <v>43221</v>
      </c>
      <c r="D2968" s="3" t="str">
        <f>YEAR(Datos_Consumo[[#This Row],[FECHA]])&amp;"-"&amp;MONTH(Datos_Consumo[[#This Row],[FECHA]])</f>
        <v>2018-5</v>
      </c>
    </row>
    <row r="2969" spans="1:4" x14ac:dyDescent="0.25">
      <c r="A2969" t="s">
        <v>4068</v>
      </c>
      <c r="B2969">
        <v>3</v>
      </c>
      <c r="C2969" s="54">
        <v>43191</v>
      </c>
      <c r="D2969" s="3" t="str">
        <f>YEAR(Datos_Consumo[[#This Row],[FECHA]])&amp;"-"&amp;MONTH(Datos_Consumo[[#This Row],[FECHA]])</f>
        <v>2018-4</v>
      </c>
    </row>
    <row r="2970" spans="1:4" x14ac:dyDescent="0.25">
      <c r="A2970" t="s">
        <v>2365</v>
      </c>
      <c r="B2970">
        <v>1</v>
      </c>
      <c r="C2970" s="54">
        <v>43070</v>
      </c>
      <c r="D2970" s="3" t="str">
        <f>YEAR(Datos_Consumo[[#This Row],[FECHA]])&amp;"-"&amp;MONTH(Datos_Consumo[[#This Row],[FECHA]])</f>
        <v>2017-12</v>
      </c>
    </row>
    <row r="2971" spans="1:4" x14ac:dyDescent="0.25">
      <c r="A2971" t="s">
        <v>2365</v>
      </c>
      <c r="B2971">
        <v>1</v>
      </c>
      <c r="C2971" s="54">
        <v>43101</v>
      </c>
      <c r="D2971" s="3" t="str">
        <f>YEAR(Datos_Consumo[[#This Row],[FECHA]])&amp;"-"&amp;MONTH(Datos_Consumo[[#This Row],[FECHA]])</f>
        <v>2018-1</v>
      </c>
    </row>
    <row r="2972" spans="1:4" x14ac:dyDescent="0.25">
      <c r="A2972" t="s">
        <v>2366</v>
      </c>
      <c r="B2972">
        <v>2</v>
      </c>
      <c r="C2972" s="54">
        <v>43160</v>
      </c>
      <c r="D2972" s="3" t="str">
        <f>YEAR(Datos_Consumo[[#This Row],[FECHA]])&amp;"-"&amp;MONTH(Datos_Consumo[[#This Row],[FECHA]])</f>
        <v>2018-3</v>
      </c>
    </row>
    <row r="2973" spans="1:4" x14ac:dyDescent="0.25">
      <c r="A2973" t="s">
        <v>2367</v>
      </c>
      <c r="B2973">
        <v>1</v>
      </c>
      <c r="C2973" s="54">
        <v>43070</v>
      </c>
      <c r="D2973" s="3" t="str">
        <f>YEAR(Datos_Consumo[[#This Row],[FECHA]])&amp;"-"&amp;MONTH(Datos_Consumo[[#This Row],[FECHA]])</f>
        <v>2017-12</v>
      </c>
    </row>
    <row r="2974" spans="1:4" x14ac:dyDescent="0.25">
      <c r="A2974" t="s">
        <v>2367</v>
      </c>
      <c r="B2974">
        <v>8</v>
      </c>
      <c r="C2974" s="54">
        <v>43101</v>
      </c>
      <c r="D2974" s="3" t="str">
        <f>YEAR(Datos_Consumo[[#This Row],[FECHA]])&amp;"-"&amp;MONTH(Datos_Consumo[[#This Row],[FECHA]])</f>
        <v>2018-1</v>
      </c>
    </row>
    <row r="2975" spans="1:4" x14ac:dyDescent="0.25">
      <c r="A2975" t="s">
        <v>2367</v>
      </c>
      <c r="B2975">
        <v>5</v>
      </c>
      <c r="C2975" s="54">
        <v>43132</v>
      </c>
      <c r="D2975" s="3" t="str">
        <f>YEAR(Datos_Consumo[[#This Row],[FECHA]])&amp;"-"&amp;MONTH(Datos_Consumo[[#This Row],[FECHA]])</f>
        <v>2018-2</v>
      </c>
    </row>
    <row r="2976" spans="1:4" x14ac:dyDescent="0.25">
      <c r="A2976" t="s">
        <v>2367</v>
      </c>
      <c r="B2976">
        <v>2</v>
      </c>
      <c r="C2976" s="54">
        <v>43160</v>
      </c>
      <c r="D2976" s="3" t="str">
        <f>YEAR(Datos_Consumo[[#This Row],[FECHA]])&amp;"-"&amp;MONTH(Datos_Consumo[[#This Row],[FECHA]])</f>
        <v>2018-3</v>
      </c>
    </row>
    <row r="2977" spans="1:4" x14ac:dyDescent="0.25">
      <c r="A2977" t="s">
        <v>2367</v>
      </c>
      <c r="B2977">
        <v>6</v>
      </c>
      <c r="C2977" s="54">
        <v>43191</v>
      </c>
      <c r="D2977" s="3" t="str">
        <f>YEAR(Datos_Consumo[[#This Row],[FECHA]])&amp;"-"&amp;MONTH(Datos_Consumo[[#This Row],[FECHA]])</f>
        <v>2018-4</v>
      </c>
    </row>
    <row r="2978" spans="1:4" x14ac:dyDescent="0.25">
      <c r="A2978" t="s">
        <v>2367</v>
      </c>
      <c r="B2978">
        <v>2</v>
      </c>
      <c r="C2978" s="54">
        <v>43221</v>
      </c>
      <c r="D2978" s="3" t="str">
        <f>YEAR(Datos_Consumo[[#This Row],[FECHA]])&amp;"-"&amp;MONTH(Datos_Consumo[[#This Row],[FECHA]])</f>
        <v>2018-5</v>
      </c>
    </row>
    <row r="2979" spans="1:4" x14ac:dyDescent="0.25">
      <c r="A2979" t="s">
        <v>2368</v>
      </c>
      <c r="B2979">
        <v>2</v>
      </c>
      <c r="C2979" s="54">
        <v>43101</v>
      </c>
      <c r="D2979" s="3" t="str">
        <f>YEAR(Datos_Consumo[[#This Row],[FECHA]])&amp;"-"&amp;MONTH(Datos_Consumo[[#This Row],[FECHA]])</f>
        <v>2018-1</v>
      </c>
    </row>
    <row r="2980" spans="1:4" x14ac:dyDescent="0.25">
      <c r="A2980" t="s">
        <v>2368</v>
      </c>
      <c r="B2980">
        <v>1</v>
      </c>
      <c r="C2980" s="54">
        <v>43132</v>
      </c>
      <c r="D2980" s="3" t="str">
        <f>YEAR(Datos_Consumo[[#This Row],[FECHA]])&amp;"-"&amp;MONTH(Datos_Consumo[[#This Row],[FECHA]])</f>
        <v>2018-2</v>
      </c>
    </row>
    <row r="2981" spans="1:4" x14ac:dyDescent="0.25">
      <c r="A2981" t="s">
        <v>2369</v>
      </c>
      <c r="B2981">
        <v>4</v>
      </c>
      <c r="C2981" s="54">
        <v>43132</v>
      </c>
      <c r="D2981" s="3" t="str">
        <f>YEAR(Datos_Consumo[[#This Row],[FECHA]])&amp;"-"&amp;MONTH(Datos_Consumo[[#This Row],[FECHA]])</f>
        <v>2018-2</v>
      </c>
    </row>
    <row r="2982" spans="1:4" x14ac:dyDescent="0.25">
      <c r="A2982" t="s">
        <v>2370</v>
      </c>
      <c r="B2982">
        <v>8</v>
      </c>
      <c r="C2982" s="54">
        <v>43132</v>
      </c>
      <c r="D2982" s="3" t="str">
        <f>YEAR(Datos_Consumo[[#This Row],[FECHA]])&amp;"-"&amp;MONTH(Datos_Consumo[[#This Row],[FECHA]])</f>
        <v>2018-2</v>
      </c>
    </row>
    <row r="2983" spans="1:4" x14ac:dyDescent="0.25">
      <c r="A2983" t="s">
        <v>2370</v>
      </c>
      <c r="B2983">
        <v>2</v>
      </c>
      <c r="C2983" s="54">
        <v>43191</v>
      </c>
      <c r="D2983" s="3" t="str">
        <f>YEAR(Datos_Consumo[[#This Row],[FECHA]])&amp;"-"&amp;MONTH(Datos_Consumo[[#This Row],[FECHA]])</f>
        <v>2018-4</v>
      </c>
    </row>
    <row r="2984" spans="1:4" x14ac:dyDescent="0.25">
      <c r="A2984" t="s">
        <v>2371</v>
      </c>
      <c r="B2984">
        <v>3</v>
      </c>
      <c r="C2984" s="54">
        <v>43101</v>
      </c>
      <c r="D2984" s="3" t="str">
        <f>YEAR(Datos_Consumo[[#This Row],[FECHA]])&amp;"-"&amp;MONTH(Datos_Consumo[[#This Row],[FECHA]])</f>
        <v>2018-1</v>
      </c>
    </row>
    <row r="2985" spans="1:4" x14ac:dyDescent="0.25">
      <c r="A2985" t="s">
        <v>2371</v>
      </c>
      <c r="B2985">
        <v>2</v>
      </c>
      <c r="C2985" s="54">
        <v>43132</v>
      </c>
      <c r="D2985" s="3" t="str">
        <f>YEAR(Datos_Consumo[[#This Row],[FECHA]])&amp;"-"&amp;MONTH(Datos_Consumo[[#This Row],[FECHA]])</f>
        <v>2018-2</v>
      </c>
    </row>
    <row r="2986" spans="1:4" x14ac:dyDescent="0.25">
      <c r="A2986" t="s">
        <v>2371</v>
      </c>
      <c r="B2986">
        <v>2</v>
      </c>
      <c r="C2986" s="54">
        <v>43160</v>
      </c>
      <c r="D2986" s="3" t="str">
        <f>YEAR(Datos_Consumo[[#This Row],[FECHA]])&amp;"-"&amp;MONTH(Datos_Consumo[[#This Row],[FECHA]])</f>
        <v>2018-3</v>
      </c>
    </row>
    <row r="2987" spans="1:4" x14ac:dyDescent="0.25">
      <c r="A2987" t="s">
        <v>2371</v>
      </c>
      <c r="B2987">
        <v>8</v>
      </c>
      <c r="C2987" s="54">
        <v>43191</v>
      </c>
      <c r="D2987" s="3" t="str">
        <f>YEAR(Datos_Consumo[[#This Row],[FECHA]])&amp;"-"&amp;MONTH(Datos_Consumo[[#This Row],[FECHA]])</f>
        <v>2018-4</v>
      </c>
    </row>
    <row r="2988" spans="1:4" x14ac:dyDescent="0.25">
      <c r="A2988" t="s">
        <v>4069</v>
      </c>
      <c r="B2988">
        <v>12</v>
      </c>
      <c r="C2988" s="54">
        <v>43191</v>
      </c>
      <c r="D2988" s="3" t="str">
        <f>YEAR(Datos_Consumo[[#This Row],[FECHA]])&amp;"-"&amp;MONTH(Datos_Consumo[[#This Row],[FECHA]])</f>
        <v>2018-4</v>
      </c>
    </row>
    <row r="2989" spans="1:4" x14ac:dyDescent="0.25">
      <c r="A2989" t="s">
        <v>4069</v>
      </c>
      <c r="B2989">
        <v>3</v>
      </c>
      <c r="C2989" s="54">
        <v>43221</v>
      </c>
      <c r="D2989" s="3" t="str">
        <f>YEAR(Datos_Consumo[[#This Row],[FECHA]])&amp;"-"&amp;MONTH(Datos_Consumo[[#This Row],[FECHA]])</f>
        <v>2018-5</v>
      </c>
    </row>
    <row r="2990" spans="1:4" x14ac:dyDescent="0.25">
      <c r="A2990" t="s">
        <v>2372</v>
      </c>
      <c r="B2990">
        <v>21</v>
      </c>
      <c r="C2990" s="54">
        <v>43070</v>
      </c>
      <c r="D2990" s="3" t="str">
        <f>YEAR(Datos_Consumo[[#This Row],[FECHA]])&amp;"-"&amp;MONTH(Datos_Consumo[[#This Row],[FECHA]])</f>
        <v>2017-12</v>
      </c>
    </row>
    <row r="2991" spans="1:4" x14ac:dyDescent="0.25">
      <c r="A2991" t="s">
        <v>2372</v>
      </c>
      <c r="B2991">
        <v>7</v>
      </c>
      <c r="C2991" s="54">
        <v>43101</v>
      </c>
      <c r="D2991" s="3" t="str">
        <f>YEAR(Datos_Consumo[[#This Row],[FECHA]])&amp;"-"&amp;MONTH(Datos_Consumo[[#This Row],[FECHA]])</f>
        <v>2018-1</v>
      </c>
    </row>
    <row r="2992" spans="1:4" x14ac:dyDescent="0.25">
      <c r="A2992" t="s">
        <v>2372</v>
      </c>
      <c r="B2992">
        <v>2</v>
      </c>
      <c r="C2992" s="54">
        <v>43132</v>
      </c>
      <c r="D2992" s="3" t="str">
        <f>YEAR(Datos_Consumo[[#This Row],[FECHA]])&amp;"-"&amp;MONTH(Datos_Consumo[[#This Row],[FECHA]])</f>
        <v>2018-2</v>
      </c>
    </row>
    <row r="2993" spans="1:4" x14ac:dyDescent="0.25">
      <c r="A2993" t="s">
        <v>2372</v>
      </c>
      <c r="B2993">
        <v>11</v>
      </c>
      <c r="C2993" s="54">
        <v>43160</v>
      </c>
      <c r="D2993" s="3" t="str">
        <f>YEAR(Datos_Consumo[[#This Row],[FECHA]])&amp;"-"&amp;MONTH(Datos_Consumo[[#This Row],[FECHA]])</f>
        <v>2018-3</v>
      </c>
    </row>
    <row r="2994" spans="1:4" x14ac:dyDescent="0.25">
      <c r="A2994" t="s">
        <v>2372</v>
      </c>
      <c r="B2994">
        <v>9</v>
      </c>
      <c r="C2994" s="54">
        <v>43191</v>
      </c>
      <c r="D2994" s="3" t="str">
        <f>YEAR(Datos_Consumo[[#This Row],[FECHA]])&amp;"-"&amp;MONTH(Datos_Consumo[[#This Row],[FECHA]])</f>
        <v>2018-4</v>
      </c>
    </row>
    <row r="2995" spans="1:4" x14ac:dyDescent="0.25">
      <c r="A2995" t="s">
        <v>2372</v>
      </c>
      <c r="B2995">
        <v>5</v>
      </c>
      <c r="C2995" s="54">
        <v>43221</v>
      </c>
      <c r="D2995" s="3" t="str">
        <f>YEAR(Datos_Consumo[[#This Row],[FECHA]])&amp;"-"&amp;MONTH(Datos_Consumo[[#This Row],[FECHA]])</f>
        <v>2018-5</v>
      </c>
    </row>
    <row r="2996" spans="1:4" x14ac:dyDescent="0.25">
      <c r="A2996" t="s">
        <v>2373</v>
      </c>
      <c r="B2996">
        <v>4</v>
      </c>
      <c r="C2996" s="54">
        <v>43070</v>
      </c>
      <c r="D2996" s="3" t="str">
        <f>YEAR(Datos_Consumo[[#This Row],[FECHA]])&amp;"-"&amp;MONTH(Datos_Consumo[[#This Row],[FECHA]])</f>
        <v>2017-12</v>
      </c>
    </row>
    <row r="2997" spans="1:4" x14ac:dyDescent="0.25">
      <c r="A2997" t="s">
        <v>2373</v>
      </c>
      <c r="B2997">
        <v>3</v>
      </c>
      <c r="C2997" s="54">
        <v>43101</v>
      </c>
      <c r="D2997" s="3" t="str">
        <f>YEAR(Datos_Consumo[[#This Row],[FECHA]])&amp;"-"&amp;MONTH(Datos_Consumo[[#This Row],[FECHA]])</f>
        <v>2018-1</v>
      </c>
    </row>
    <row r="2998" spans="1:4" x14ac:dyDescent="0.25">
      <c r="A2998" t="s">
        <v>2373</v>
      </c>
      <c r="B2998">
        <v>2</v>
      </c>
      <c r="C2998" s="54">
        <v>43132</v>
      </c>
      <c r="D2998" s="3" t="str">
        <f>YEAR(Datos_Consumo[[#This Row],[FECHA]])&amp;"-"&amp;MONTH(Datos_Consumo[[#This Row],[FECHA]])</f>
        <v>2018-2</v>
      </c>
    </row>
    <row r="2999" spans="1:4" x14ac:dyDescent="0.25">
      <c r="A2999" t="s">
        <v>2373</v>
      </c>
      <c r="B2999">
        <v>1</v>
      </c>
      <c r="C2999" s="54">
        <v>43191</v>
      </c>
      <c r="D2999" s="3" t="str">
        <f>YEAR(Datos_Consumo[[#This Row],[FECHA]])&amp;"-"&amp;MONTH(Datos_Consumo[[#This Row],[FECHA]])</f>
        <v>2018-4</v>
      </c>
    </row>
    <row r="3000" spans="1:4" x14ac:dyDescent="0.25">
      <c r="A3000" t="s">
        <v>2374</v>
      </c>
      <c r="B3000">
        <v>1</v>
      </c>
      <c r="C3000" s="54">
        <v>43070</v>
      </c>
      <c r="D3000" s="3" t="str">
        <f>YEAR(Datos_Consumo[[#This Row],[FECHA]])&amp;"-"&amp;MONTH(Datos_Consumo[[#This Row],[FECHA]])</f>
        <v>2017-12</v>
      </c>
    </row>
    <row r="3001" spans="1:4" x14ac:dyDescent="0.25">
      <c r="A3001" t="s">
        <v>2374</v>
      </c>
      <c r="B3001">
        <v>4</v>
      </c>
      <c r="C3001" s="54">
        <v>43101</v>
      </c>
      <c r="D3001" s="3" t="str">
        <f>YEAR(Datos_Consumo[[#This Row],[FECHA]])&amp;"-"&amp;MONTH(Datos_Consumo[[#This Row],[FECHA]])</f>
        <v>2018-1</v>
      </c>
    </row>
    <row r="3002" spans="1:4" x14ac:dyDescent="0.25">
      <c r="A3002" t="s">
        <v>2374</v>
      </c>
      <c r="B3002">
        <v>11</v>
      </c>
      <c r="C3002" s="54">
        <v>43132</v>
      </c>
      <c r="D3002" s="3" t="str">
        <f>YEAR(Datos_Consumo[[#This Row],[FECHA]])&amp;"-"&amp;MONTH(Datos_Consumo[[#This Row],[FECHA]])</f>
        <v>2018-2</v>
      </c>
    </row>
    <row r="3003" spans="1:4" x14ac:dyDescent="0.25">
      <c r="A3003" t="s">
        <v>2374</v>
      </c>
      <c r="B3003">
        <v>1</v>
      </c>
      <c r="C3003" s="54">
        <v>43160</v>
      </c>
      <c r="D3003" s="3" t="str">
        <f>YEAR(Datos_Consumo[[#This Row],[FECHA]])&amp;"-"&amp;MONTH(Datos_Consumo[[#This Row],[FECHA]])</f>
        <v>2018-3</v>
      </c>
    </row>
    <row r="3004" spans="1:4" x14ac:dyDescent="0.25">
      <c r="A3004" t="s">
        <v>2374</v>
      </c>
      <c r="B3004">
        <v>12</v>
      </c>
      <c r="C3004" s="54">
        <v>43191</v>
      </c>
      <c r="D3004" s="3" t="str">
        <f>YEAR(Datos_Consumo[[#This Row],[FECHA]])&amp;"-"&amp;MONTH(Datos_Consumo[[#This Row],[FECHA]])</f>
        <v>2018-4</v>
      </c>
    </row>
    <row r="3005" spans="1:4" x14ac:dyDescent="0.25">
      <c r="A3005" t="s">
        <v>2375</v>
      </c>
      <c r="B3005">
        <v>1</v>
      </c>
      <c r="C3005" s="54">
        <v>43070</v>
      </c>
      <c r="D3005" s="3" t="str">
        <f>YEAR(Datos_Consumo[[#This Row],[FECHA]])&amp;"-"&amp;MONTH(Datos_Consumo[[#This Row],[FECHA]])</f>
        <v>2017-12</v>
      </c>
    </row>
    <row r="3006" spans="1:4" x14ac:dyDescent="0.25">
      <c r="A3006" t="s">
        <v>2375</v>
      </c>
      <c r="B3006">
        <v>2</v>
      </c>
      <c r="C3006" s="54">
        <v>43160</v>
      </c>
      <c r="D3006" s="3" t="str">
        <f>YEAR(Datos_Consumo[[#This Row],[FECHA]])&amp;"-"&amp;MONTH(Datos_Consumo[[#This Row],[FECHA]])</f>
        <v>2018-3</v>
      </c>
    </row>
    <row r="3007" spans="1:4" x14ac:dyDescent="0.25">
      <c r="A3007" t="s">
        <v>2376</v>
      </c>
      <c r="B3007">
        <v>1</v>
      </c>
      <c r="C3007" s="54">
        <v>43101</v>
      </c>
      <c r="D3007" s="3" t="str">
        <f>YEAR(Datos_Consumo[[#This Row],[FECHA]])&amp;"-"&amp;MONTH(Datos_Consumo[[#This Row],[FECHA]])</f>
        <v>2018-1</v>
      </c>
    </row>
    <row r="3008" spans="1:4" x14ac:dyDescent="0.25">
      <c r="A3008" t="s">
        <v>2377</v>
      </c>
      <c r="B3008">
        <v>1</v>
      </c>
      <c r="C3008" s="54">
        <v>43160</v>
      </c>
      <c r="D3008" s="3" t="str">
        <f>YEAR(Datos_Consumo[[#This Row],[FECHA]])&amp;"-"&amp;MONTH(Datos_Consumo[[#This Row],[FECHA]])</f>
        <v>2018-3</v>
      </c>
    </row>
    <row r="3009" spans="1:4" x14ac:dyDescent="0.25">
      <c r="A3009" t="s">
        <v>2378</v>
      </c>
      <c r="B3009">
        <v>6</v>
      </c>
      <c r="C3009" s="54">
        <v>43070</v>
      </c>
      <c r="D3009" s="3" t="str">
        <f>YEAR(Datos_Consumo[[#This Row],[FECHA]])&amp;"-"&amp;MONTH(Datos_Consumo[[#This Row],[FECHA]])</f>
        <v>2017-12</v>
      </c>
    </row>
    <row r="3010" spans="1:4" x14ac:dyDescent="0.25">
      <c r="A3010" t="s">
        <v>2378</v>
      </c>
      <c r="B3010">
        <v>1</v>
      </c>
      <c r="C3010" s="54">
        <v>43101</v>
      </c>
      <c r="D3010" s="3" t="str">
        <f>YEAR(Datos_Consumo[[#This Row],[FECHA]])&amp;"-"&amp;MONTH(Datos_Consumo[[#This Row],[FECHA]])</f>
        <v>2018-1</v>
      </c>
    </row>
    <row r="3011" spans="1:4" x14ac:dyDescent="0.25">
      <c r="A3011" t="s">
        <v>2378</v>
      </c>
      <c r="B3011">
        <v>1</v>
      </c>
      <c r="C3011" s="54">
        <v>43191</v>
      </c>
      <c r="D3011" s="3" t="str">
        <f>YEAR(Datos_Consumo[[#This Row],[FECHA]])&amp;"-"&amp;MONTH(Datos_Consumo[[#This Row],[FECHA]])</f>
        <v>2018-4</v>
      </c>
    </row>
    <row r="3012" spans="1:4" x14ac:dyDescent="0.25">
      <c r="A3012" t="s">
        <v>2378</v>
      </c>
      <c r="B3012">
        <v>2</v>
      </c>
      <c r="C3012" s="54">
        <v>43221</v>
      </c>
      <c r="D3012" s="3" t="str">
        <f>YEAR(Datos_Consumo[[#This Row],[FECHA]])&amp;"-"&amp;MONTH(Datos_Consumo[[#This Row],[FECHA]])</f>
        <v>2018-5</v>
      </c>
    </row>
    <row r="3013" spans="1:4" x14ac:dyDescent="0.25">
      <c r="A3013" t="s">
        <v>2379</v>
      </c>
      <c r="B3013">
        <v>1</v>
      </c>
      <c r="C3013" s="54">
        <v>43070</v>
      </c>
      <c r="D3013" s="3" t="str">
        <f>YEAR(Datos_Consumo[[#This Row],[FECHA]])&amp;"-"&amp;MONTH(Datos_Consumo[[#This Row],[FECHA]])</f>
        <v>2017-12</v>
      </c>
    </row>
    <row r="3014" spans="1:4" x14ac:dyDescent="0.25">
      <c r="A3014" t="s">
        <v>2379</v>
      </c>
      <c r="B3014">
        <v>1</v>
      </c>
      <c r="C3014" s="54">
        <v>43101</v>
      </c>
      <c r="D3014" s="3" t="str">
        <f>YEAR(Datos_Consumo[[#This Row],[FECHA]])&amp;"-"&amp;MONTH(Datos_Consumo[[#This Row],[FECHA]])</f>
        <v>2018-1</v>
      </c>
    </row>
    <row r="3015" spans="1:4" x14ac:dyDescent="0.25">
      <c r="A3015" t="s">
        <v>2380</v>
      </c>
      <c r="B3015">
        <v>1</v>
      </c>
      <c r="C3015" s="54">
        <v>43070</v>
      </c>
      <c r="D3015" s="3" t="str">
        <f>YEAR(Datos_Consumo[[#This Row],[FECHA]])&amp;"-"&amp;MONTH(Datos_Consumo[[#This Row],[FECHA]])</f>
        <v>2017-12</v>
      </c>
    </row>
    <row r="3016" spans="1:4" x14ac:dyDescent="0.25">
      <c r="A3016" t="s">
        <v>2380</v>
      </c>
      <c r="B3016">
        <v>2</v>
      </c>
      <c r="C3016" s="54">
        <v>43160</v>
      </c>
      <c r="D3016" s="3" t="str">
        <f>YEAR(Datos_Consumo[[#This Row],[FECHA]])&amp;"-"&amp;MONTH(Datos_Consumo[[#This Row],[FECHA]])</f>
        <v>2018-3</v>
      </c>
    </row>
    <row r="3017" spans="1:4" x14ac:dyDescent="0.25">
      <c r="A3017" t="s">
        <v>2381</v>
      </c>
      <c r="B3017">
        <v>1</v>
      </c>
      <c r="C3017" s="54">
        <v>43101</v>
      </c>
      <c r="D3017" s="3" t="str">
        <f>YEAR(Datos_Consumo[[#This Row],[FECHA]])&amp;"-"&amp;MONTH(Datos_Consumo[[#This Row],[FECHA]])</f>
        <v>2018-1</v>
      </c>
    </row>
    <row r="3018" spans="1:4" x14ac:dyDescent="0.25">
      <c r="A3018" t="s">
        <v>2382</v>
      </c>
      <c r="B3018">
        <v>1</v>
      </c>
      <c r="C3018" s="54">
        <v>43070</v>
      </c>
      <c r="D3018" s="3" t="str">
        <f>YEAR(Datos_Consumo[[#This Row],[FECHA]])&amp;"-"&amp;MONTH(Datos_Consumo[[#This Row],[FECHA]])</f>
        <v>2017-12</v>
      </c>
    </row>
    <row r="3019" spans="1:4" x14ac:dyDescent="0.25">
      <c r="A3019" t="s">
        <v>2383</v>
      </c>
      <c r="B3019">
        <v>6</v>
      </c>
      <c r="C3019" s="54">
        <v>43132</v>
      </c>
      <c r="D3019" s="3" t="str">
        <f>YEAR(Datos_Consumo[[#This Row],[FECHA]])&amp;"-"&amp;MONTH(Datos_Consumo[[#This Row],[FECHA]])</f>
        <v>2018-2</v>
      </c>
    </row>
    <row r="3020" spans="1:4" x14ac:dyDescent="0.25">
      <c r="A3020" t="s">
        <v>2383</v>
      </c>
      <c r="B3020">
        <v>5</v>
      </c>
      <c r="C3020" s="54">
        <v>43160</v>
      </c>
      <c r="D3020" s="3" t="str">
        <f>YEAR(Datos_Consumo[[#This Row],[FECHA]])&amp;"-"&amp;MONTH(Datos_Consumo[[#This Row],[FECHA]])</f>
        <v>2018-3</v>
      </c>
    </row>
    <row r="3021" spans="1:4" x14ac:dyDescent="0.25">
      <c r="A3021" t="s">
        <v>2383</v>
      </c>
      <c r="B3021">
        <v>2</v>
      </c>
      <c r="C3021" s="54">
        <v>43191</v>
      </c>
      <c r="D3021" s="3" t="str">
        <f>YEAR(Datos_Consumo[[#This Row],[FECHA]])&amp;"-"&amp;MONTH(Datos_Consumo[[#This Row],[FECHA]])</f>
        <v>2018-4</v>
      </c>
    </row>
    <row r="3022" spans="1:4" x14ac:dyDescent="0.25">
      <c r="A3022" t="s">
        <v>2384</v>
      </c>
      <c r="B3022">
        <v>1</v>
      </c>
      <c r="C3022" s="54">
        <v>43132</v>
      </c>
      <c r="D3022" s="3" t="str">
        <f>YEAR(Datos_Consumo[[#This Row],[FECHA]])&amp;"-"&amp;MONTH(Datos_Consumo[[#This Row],[FECHA]])</f>
        <v>2018-2</v>
      </c>
    </row>
    <row r="3023" spans="1:4" x14ac:dyDescent="0.25">
      <c r="A3023" t="s">
        <v>2384</v>
      </c>
      <c r="B3023">
        <v>2</v>
      </c>
      <c r="C3023" s="54">
        <v>43160</v>
      </c>
      <c r="D3023" s="3" t="str">
        <f>YEAR(Datos_Consumo[[#This Row],[FECHA]])&amp;"-"&amp;MONTH(Datos_Consumo[[#This Row],[FECHA]])</f>
        <v>2018-3</v>
      </c>
    </row>
    <row r="3024" spans="1:4" x14ac:dyDescent="0.25">
      <c r="A3024" t="s">
        <v>2384</v>
      </c>
      <c r="B3024">
        <v>1</v>
      </c>
      <c r="C3024" s="54">
        <v>43221</v>
      </c>
      <c r="D3024" s="3" t="str">
        <f>YEAR(Datos_Consumo[[#This Row],[FECHA]])&amp;"-"&amp;MONTH(Datos_Consumo[[#This Row],[FECHA]])</f>
        <v>2018-5</v>
      </c>
    </row>
    <row r="3025" spans="1:4" x14ac:dyDescent="0.25">
      <c r="A3025" t="s">
        <v>2385</v>
      </c>
      <c r="B3025">
        <v>2</v>
      </c>
      <c r="C3025" s="54">
        <v>43132</v>
      </c>
      <c r="D3025" s="3" t="str">
        <f>YEAR(Datos_Consumo[[#This Row],[FECHA]])&amp;"-"&amp;MONTH(Datos_Consumo[[#This Row],[FECHA]])</f>
        <v>2018-2</v>
      </c>
    </row>
    <row r="3026" spans="1:4" x14ac:dyDescent="0.25">
      <c r="A3026" t="s">
        <v>2386</v>
      </c>
      <c r="B3026">
        <v>10</v>
      </c>
      <c r="C3026" s="54">
        <v>43070</v>
      </c>
      <c r="D3026" s="3" t="str">
        <f>YEAR(Datos_Consumo[[#This Row],[FECHA]])&amp;"-"&amp;MONTH(Datos_Consumo[[#This Row],[FECHA]])</f>
        <v>2017-12</v>
      </c>
    </row>
    <row r="3027" spans="1:4" x14ac:dyDescent="0.25">
      <c r="A3027" t="s">
        <v>2386</v>
      </c>
      <c r="B3027">
        <v>41</v>
      </c>
      <c r="C3027" s="54">
        <v>43101</v>
      </c>
      <c r="D3027" s="3" t="str">
        <f>YEAR(Datos_Consumo[[#This Row],[FECHA]])&amp;"-"&amp;MONTH(Datos_Consumo[[#This Row],[FECHA]])</f>
        <v>2018-1</v>
      </c>
    </row>
    <row r="3028" spans="1:4" x14ac:dyDescent="0.25">
      <c r="A3028" t="s">
        <v>2386</v>
      </c>
      <c r="B3028">
        <v>46</v>
      </c>
      <c r="C3028" s="54">
        <v>43132</v>
      </c>
      <c r="D3028" s="3" t="str">
        <f>YEAR(Datos_Consumo[[#This Row],[FECHA]])&amp;"-"&amp;MONTH(Datos_Consumo[[#This Row],[FECHA]])</f>
        <v>2018-2</v>
      </c>
    </row>
    <row r="3029" spans="1:4" x14ac:dyDescent="0.25">
      <c r="A3029" t="s">
        <v>2386</v>
      </c>
      <c r="B3029">
        <v>13</v>
      </c>
      <c r="C3029" s="54">
        <v>43160</v>
      </c>
      <c r="D3029" s="3" t="str">
        <f>YEAR(Datos_Consumo[[#This Row],[FECHA]])&amp;"-"&amp;MONTH(Datos_Consumo[[#This Row],[FECHA]])</f>
        <v>2018-3</v>
      </c>
    </row>
    <row r="3030" spans="1:4" x14ac:dyDescent="0.25">
      <c r="A3030" t="s">
        <v>2386</v>
      </c>
      <c r="B3030">
        <v>11</v>
      </c>
      <c r="C3030" s="54">
        <v>43191</v>
      </c>
      <c r="D3030" s="3" t="str">
        <f>YEAR(Datos_Consumo[[#This Row],[FECHA]])&amp;"-"&amp;MONTH(Datos_Consumo[[#This Row],[FECHA]])</f>
        <v>2018-4</v>
      </c>
    </row>
    <row r="3031" spans="1:4" x14ac:dyDescent="0.25">
      <c r="A3031" t="s">
        <v>2387</v>
      </c>
      <c r="B3031">
        <v>5</v>
      </c>
      <c r="C3031" s="54">
        <v>43101</v>
      </c>
      <c r="D3031" s="3" t="str">
        <f>YEAR(Datos_Consumo[[#This Row],[FECHA]])&amp;"-"&amp;MONTH(Datos_Consumo[[#This Row],[FECHA]])</f>
        <v>2018-1</v>
      </c>
    </row>
    <row r="3032" spans="1:4" x14ac:dyDescent="0.25">
      <c r="A3032" t="s">
        <v>2388</v>
      </c>
      <c r="B3032">
        <v>12</v>
      </c>
      <c r="C3032" s="54">
        <v>43160</v>
      </c>
      <c r="D3032" s="3" t="str">
        <f>YEAR(Datos_Consumo[[#This Row],[FECHA]])&amp;"-"&amp;MONTH(Datos_Consumo[[#This Row],[FECHA]])</f>
        <v>2018-3</v>
      </c>
    </row>
    <row r="3033" spans="1:4" x14ac:dyDescent="0.25">
      <c r="A3033" t="s">
        <v>2389</v>
      </c>
      <c r="B3033">
        <v>1</v>
      </c>
      <c r="C3033" s="54">
        <v>43132</v>
      </c>
      <c r="D3033" s="3" t="str">
        <f>YEAR(Datos_Consumo[[#This Row],[FECHA]])&amp;"-"&amp;MONTH(Datos_Consumo[[#This Row],[FECHA]])</f>
        <v>2018-2</v>
      </c>
    </row>
    <row r="3034" spans="1:4" x14ac:dyDescent="0.25">
      <c r="A3034" t="s">
        <v>2390</v>
      </c>
      <c r="B3034">
        <v>4</v>
      </c>
      <c r="C3034" s="54">
        <v>43101</v>
      </c>
      <c r="D3034" s="3" t="str">
        <f>YEAR(Datos_Consumo[[#This Row],[FECHA]])&amp;"-"&amp;MONTH(Datos_Consumo[[#This Row],[FECHA]])</f>
        <v>2018-1</v>
      </c>
    </row>
    <row r="3035" spans="1:4" x14ac:dyDescent="0.25">
      <c r="A3035" t="s">
        <v>2390</v>
      </c>
      <c r="B3035">
        <v>8</v>
      </c>
      <c r="C3035" s="54">
        <v>43132</v>
      </c>
      <c r="D3035" s="3" t="str">
        <f>YEAR(Datos_Consumo[[#This Row],[FECHA]])&amp;"-"&amp;MONTH(Datos_Consumo[[#This Row],[FECHA]])</f>
        <v>2018-2</v>
      </c>
    </row>
    <row r="3036" spans="1:4" x14ac:dyDescent="0.25">
      <c r="A3036" t="s">
        <v>2390</v>
      </c>
      <c r="B3036">
        <v>8</v>
      </c>
      <c r="C3036" s="54">
        <v>43160</v>
      </c>
      <c r="D3036" s="3" t="str">
        <f>YEAR(Datos_Consumo[[#This Row],[FECHA]])&amp;"-"&amp;MONTH(Datos_Consumo[[#This Row],[FECHA]])</f>
        <v>2018-3</v>
      </c>
    </row>
    <row r="3037" spans="1:4" x14ac:dyDescent="0.25">
      <c r="A3037" t="s">
        <v>2391</v>
      </c>
      <c r="B3037">
        <v>6</v>
      </c>
      <c r="C3037" s="54">
        <v>43070</v>
      </c>
      <c r="D3037" s="3" t="str">
        <f>YEAR(Datos_Consumo[[#This Row],[FECHA]])&amp;"-"&amp;MONTH(Datos_Consumo[[#This Row],[FECHA]])</f>
        <v>2017-12</v>
      </c>
    </row>
    <row r="3038" spans="1:4" x14ac:dyDescent="0.25">
      <c r="A3038" t="s">
        <v>2391</v>
      </c>
      <c r="B3038">
        <v>70</v>
      </c>
      <c r="C3038" s="54">
        <v>43101</v>
      </c>
      <c r="D3038" s="3" t="str">
        <f>YEAR(Datos_Consumo[[#This Row],[FECHA]])&amp;"-"&amp;MONTH(Datos_Consumo[[#This Row],[FECHA]])</f>
        <v>2018-1</v>
      </c>
    </row>
    <row r="3039" spans="1:4" x14ac:dyDescent="0.25">
      <c r="A3039" t="s">
        <v>2391</v>
      </c>
      <c r="B3039">
        <v>17</v>
      </c>
      <c r="C3039" s="54">
        <v>43132</v>
      </c>
      <c r="D3039" s="3" t="str">
        <f>YEAR(Datos_Consumo[[#This Row],[FECHA]])&amp;"-"&amp;MONTH(Datos_Consumo[[#This Row],[FECHA]])</f>
        <v>2018-2</v>
      </c>
    </row>
    <row r="3040" spans="1:4" x14ac:dyDescent="0.25">
      <c r="A3040" t="s">
        <v>2391</v>
      </c>
      <c r="B3040">
        <v>28</v>
      </c>
      <c r="C3040" s="54">
        <v>43160</v>
      </c>
      <c r="D3040" s="3" t="str">
        <f>YEAR(Datos_Consumo[[#This Row],[FECHA]])&amp;"-"&amp;MONTH(Datos_Consumo[[#This Row],[FECHA]])</f>
        <v>2018-3</v>
      </c>
    </row>
    <row r="3041" spans="1:4" x14ac:dyDescent="0.25">
      <c r="A3041" t="s">
        <v>2392</v>
      </c>
      <c r="B3041">
        <v>1</v>
      </c>
      <c r="C3041" s="54">
        <v>43070</v>
      </c>
      <c r="D3041" s="3" t="str">
        <f>YEAR(Datos_Consumo[[#This Row],[FECHA]])&amp;"-"&amp;MONTH(Datos_Consumo[[#This Row],[FECHA]])</f>
        <v>2017-12</v>
      </c>
    </row>
    <row r="3042" spans="1:4" x14ac:dyDescent="0.25">
      <c r="A3042" t="s">
        <v>2392</v>
      </c>
      <c r="B3042">
        <v>10</v>
      </c>
      <c r="C3042" s="54">
        <v>43101</v>
      </c>
      <c r="D3042" s="3" t="str">
        <f>YEAR(Datos_Consumo[[#This Row],[FECHA]])&amp;"-"&amp;MONTH(Datos_Consumo[[#This Row],[FECHA]])</f>
        <v>2018-1</v>
      </c>
    </row>
    <row r="3043" spans="1:4" x14ac:dyDescent="0.25">
      <c r="A3043" t="s">
        <v>2392</v>
      </c>
      <c r="B3043">
        <v>5</v>
      </c>
      <c r="C3043" s="54">
        <v>43132</v>
      </c>
      <c r="D3043" s="3" t="str">
        <f>YEAR(Datos_Consumo[[#This Row],[FECHA]])&amp;"-"&amp;MONTH(Datos_Consumo[[#This Row],[FECHA]])</f>
        <v>2018-2</v>
      </c>
    </row>
    <row r="3044" spans="1:4" x14ac:dyDescent="0.25">
      <c r="A3044" t="s">
        <v>2392</v>
      </c>
      <c r="B3044">
        <v>24</v>
      </c>
      <c r="C3044" s="54">
        <v>43160</v>
      </c>
      <c r="D3044" s="3" t="str">
        <f>YEAR(Datos_Consumo[[#This Row],[FECHA]])&amp;"-"&amp;MONTH(Datos_Consumo[[#This Row],[FECHA]])</f>
        <v>2018-3</v>
      </c>
    </row>
    <row r="3045" spans="1:4" x14ac:dyDescent="0.25">
      <c r="A3045" t="s">
        <v>2393</v>
      </c>
      <c r="B3045">
        <v>11</v>
      </c>
      <c r="C3045" s="54">
        <v>43132</v>
      </c>
      <c r="D3045" s="3" t="str">
        <f>YEAR(Datos_Consumo[[#This Row],[FECHA]])&amp;"-"&amp;MONTH(Datos_Consumo[[#This Row],[FECHA]])</f>
        <v>2018-2</v>
      </c>
    </row>
    <row r="3046" spans="1:4" x14ac:dyDescent="0.25">
      <c r="A3046" t="s">
        <v>2394</v>
      </c>
      <c r="B3046">
        <v>2</v>
      </c>
      <c r="C3046" s="54">
        <v>43101</v>
      </c>
      <c r="D3046" s="3" t="str">
        <f>YEAR(Datos_Consumo[[#This Row],[FECHA]])&amp;"-"&amp;MONTH(Datos_Consumo[[#This Row],[FECHA]])</f>
        <v>2018-1</v>
      </c>
    </row>
    <row r="3047" spans="1:4" x14ac:dyDescent="0.25">
      <c r="A3047" t="s">
        <v>2394</v>
      </c>
      <c r="B3047">
        <v>3</v>
      </c>
      <c r="C3047" s="54">
        <v>43132</v>
      </c>
      <c r="D3047" s="3" t="str">
        <f>YEAR(Datos_Consumo[[#This Row],[FECHA]])&amp;"-"&amp;MONTH(Datos_Consumo[[#This Row],[FECHA]])</f>
        <v>2018-2</v>
      </c>
    </row>
    <row r="3048" spans="1:4" x14ac:dyDescent="0.25">
      <c r="A3048" t="s">
        <v>2395</v>
      </c>
      <c r="B3048">
        <v>8</v>
      </c>
      <c r="C3048" s="54">
        <v>43101</v>
      </c>
      <c r="D3048" s="3" t="str">
        <f>YEAR(Datos_Consumo[[#This Row],[FECHA]])&amp;"-"&amp;MONTH(Datos_Consumo[[#This Row],[FECHA]])</f>
        <v>2018-1</v>
      </c>
    </row>
    <row r="3049" spans="1:4" x14ac:dyDescent="0.25">
      <c r="A3049" t="s">
        <v>2395</v>
      </c>
      <c r="B3049">
        <v>11</v>
      </c>
      <c r="C3049" s="54">
        <v>43132</v>
      </c>
      <c r="D3049" s="3" t="str">
        <f>YEAR(Datos_Consumo[[#This Row],[FECHA]])&amp;"-"&amp;MONTH(Datos_Consumo[[#This Row],[FECHA]])</f>
        <v>2018-2</v>
      </c>
    </row>
    <row r="3050" spans="1:4" x14ac:dyDescent="0.25">
      <c r="A3050" t="s">
        <v>2395</v>
      </c>
      <c r="B3050">
        <v>7</v>
      </c>
      <c r="C3050" s="54">
        <v>43221</v>
      </c>
      <c r="D3050" s="3" t="str">
        <f>YEAR(Datos_Consumo[[#This Row],[FECHA]])&amp;"-"&amp;MONTH(Datos_Consumo[[#This Row],[FECHA]])</f>
        <v>2018-5</v>
      </c>
    </row>
    <row r="3051" spans="1:4" x14ac:dyDescent="0.25">
      <c r="A3051" t="s">
        <v>2396</v>
      </c>
      <c r="B3051">
        <v>9</v>
      </c>
      <c r="C3051" s="54">
        <v>43101</v>
      </c>
      <c r="D3051" s="3" t="str">
        <f>YEAR(Datos_Consumo[[#This Row],[FECHA]])&amp;"-"&amp;MONTH(Datos_Consumo[[#This Row],[FECHA]])</f>
        <v>2018-1</v>
      </c>
    </row>
    <row r="3052" spans="1:4" x14ac:dyDescent="0.25">
      <c r="A3052" t="s">
        <v>2396</v>
      </c>
      <c r="B3052">
        <v>8</v>
      </c>
      <c r="C3052" s="54">
        <v>43132</v>
      </c>
      <c r="D3052" s="3" t="str">
        <f>YEAR(Datos_Consumo[[#This Row],[FECHA]])&amp;"-"&amp;MONTH(Datos_Consumo[[#This Row],[FECHA]])</f>
        <v>2018-2</v>
      </c>
    </row>
    <row r="3053" spans="1:4" x14ac:dyDescent="0.25">
      <c r="A3053" t="s">
        <v>2396</v>
      </c>
      <c r="B3053">
        <v>2</v>
      </c>
      <c r="C3053" s="54">
        <v>43160</v>
      </c>
      <c r="D3053" s="3" t="str">
        <f>YEAR(Datos_Consumo[[#This Row],[FECHA]])&amp;"-"&amp;MONTH(Datos_Consumo[[#This Row],[FECHA]])</f>
        <v>2018-3</v>
      </c>
    </row>
    <row r="3054" spans="1:4" x14ac:dyDescent="0.25">
      <c r="A3054" t="s">
        <v>2397</v>
      </c>
      <c r="B3054">
        <v>1</v>
      </c>
      <c r="C3054" s="54">
        <v>43160</v>
      </c>
      <c r="D3054" s="3" t="str">
        <f>YEAR(Datos_Consumo[[#This Row],[FECHA]])&amp;"-"&amp;MONTH(Datos_Consumo[[#This Row],[FECHA]])</f>
        <v>2018-3</v>
      </c>
    </row>
    <row r="3055" spans="1:4" x14ac:dyDescent="0.25">
      <c r="A3055" t="s">
        <v>4070</v>
      </c>
      <c r="B3055">
        <v>6</v>
      </c>
      <c r="C3055" s="54">
        <v>43191</v>
      </c>
      <c r="D3055" s="3" t="str">
        <f>YEAR(Datos_Consumo[[#This Row],[FECHA]])&amp;"-"&amp;MONTH(Datos_Consumo[[#This Row],[FECHA]])</f>
        <v>2018-4</v>
      </c>
    </row>
    <row r="3056" spans="1:4" x14ac:dyDescent="0.25">
      <c r="A3056" t="s">
        <v>2398</v>
      </c>
      <c r="B3056">
        <v>2</v>
      </c>
      <c r="C3056" s="54">
        <v>43070</v>
      </c>
      <c r="D3056" s="3" t="str">
        <f>YEAR(Datos_Consumo[[#This Row],[FECHA]])&amp;"-"&amp;MONTH(Datos_Consumo[[#This Row],[FECHA]])</f>
        <v>2017-12</v>
      </c>
    </row>
    <row r="3057" spans="1:4" x14ac:dyDescent="0.25">
      <c r="A3057" t="s">
        <v>2398</v>
      </c>
      <c r="B3057">
        <v>1</v>
      </c>
      <c r="C3057" s="54">
        <v>43101</v>
      </c>
      <c r="D3057" s="3" t="str">
        <f>YEAR(Datos_Consumo[[#This Row],[FECHA]])&amp;"-"&amp;MONTH(Datos_Consumo[[#This Row],[FECHA]])</f>
        <v>2018-1</v>
      </c>
    </row>
    <row r="3058" spans="1:4" x14ac:dyDescent="0.25">
      <c r="A3058" t="s">
        <v>2398</v>
      </c>
      <c r="B3058">
        <v>1</v>
      </c>
      <c r="C3058" s="54">
        <v>43160</v>
      </c>
      <c r="D3058" s="3" t="str">
        <f>YEAR(Datos_Consumo[[#This Row],[FECHA]])&amp;"-"&amp;MONTH(Datos_Consumo[[#This Row],[FECHA]])</f>
        <v>2018-3</v>
      </c>
    </row>
    <row r="3059" spans="1:4" x14ac:dyDescent="0.25">
      <c r="A3059" t="s">
        <v>4071</v>
      </c>
      <c r="B3059">
        <v>9</v>
      </c>
      <c r="C3059" s="54">
        <v>43191</v>
      </c>
      <c r="D3059" s="3" t="str">
        <f>YEAR(Datos_Consumo[[#This Row],[FECHA]])&amp;"-"&amp;MONTH(Datos_Consumo[[#This Row],[FECHA]])</f>
        <v>2018-4</v>
      </c>
    </row>
    <row r="3060" spans="1:4" x14ac:dyDescent="0.25">
      <c r="A3060" t="s">
        <v>2399</v>
      </c>
      <c r="B3060">
        <v>9</v>
      </c>
      <c r="C3060" s="54">
        <v>43101</v>
      </c>
      <c r="D3060" s="3" t="str">
        <f>YEAR(Datos_Consumo[[#This Row],[FECHA]])&amp;"-"&amp;MONTH(Datos_Consumo[[#This Row],[FECHA]])</f>
        <v>2018-1</v>
      </c>
    </row>
    <row r="3061" spans="1:4" x14ac:dyDescent="0.25">
      <c r="A3061" t="s">
        <v>2399</v>
      </c>
      <c r="B3061">
        <v>4</v>
      </c>
      <c r="C3061" s="54">
        <v>43132</v>
      </c>
      <c r="D3061" s="3" t="str">
        <f>YEAR(Datos_Consumo[[#This Row],[FECHA]])&amp;"-"&amp;MONTH(Datos_Consumo[[#This Row],[FECHA]])</f>
        <v>2018-2</v>
      </c>
    </row>
    <row r="3062" spans="1:4" x14ac:dyDescent="0.25">
      <c r="A3062" t="s">
        <v>2399</v>
      </c>
      <c r="B3062">
        <v>2</v>
      </c>
      <c r="C3062" s="54">
        <v>43160</v>
      </c>
      <c r="D3062" s="3" t="str">
        <f>YEAR(Datos_Consumo[[#This Row],[FECHA]])&amp;"-"&amp;MONTH(Datos_Consumo[[#This Row],[FECHA]])</f>
        <v>2018-3</v>
      </c>
    </row>
    <row r="3063" spans="1:4" x14ac:dyDescent="0.25">
      <c r="A3063" t="s">
        <v>2400</v>
      </c>
      <c r="B3063">
        <v>210</v>
      </c>
      <c r="C3063" s="54">
        <v>43070</v>
      </c>
      <c r="D3063" s="3" t="str">
        <f>YEAR(Datos_Consumo[[#This Row],[FECHA]])&amp;"-"&amp;MONTH(Datos_Consumo[[#This Row],[FECHA]])</f>
        <v>2017-12</v>
      </c>
    </row>
    <row r="3064" spans="1:4" x14ac:dyDescent="0.25">
      <c r="A3064" t="s">
        <v>2400</v>
      </c>
      <c r="B3064">
        <v>10</v>
      </c>
      <c r="C3064" s="54">
        <v>43101</v>
      </c>
      <c r="D3064" s="3" t="str">
        <f>YEAR(Datos_Consumo[[#This Row],[FECHA]])&amp;"-"&amp;MONTH(Datos_Consumo[[#This Row],[FECHA]])</f>
        <v>2018-1</v>
      </c>
    </row>
    <row r="3065" spans="1:4" x14ac:dyDescent="0.25">
      <c r="A3065" t="s">
        <v>2400</v>
      </c>
      <c r="B3065">
        <v>779</v>
      </c>
      <c r="C3065" s="54">
        <v>43132</v>
      </c>
      <c r="D3065" s="3" t="str">
        <f>YEAR(Datos_Consumo[[#This Row],[FECHA]])&amp;"-"&amp;MONTH(Datos_Consumo[[#This Row],[FECHA]])</f>
        <v>2018-2</v>
      </c>
    </row>
    <row r="3066" spans="1:4" x14ac:dyDescent="0.25">
      <c r="A3066" t="s">
        <v>2400</v>
      </c>
      <c r="B3066">
        <v>53</v>
      </c>
      <c r="C3066" s="54">
        <v>43160</v>
      </c>
      <c r="D3066" s="3" t="str">
        <f>YEAR(Datos_Consumo[[#This Row],[FECHA]])&amp;"-"&amp;MONTH(Datos_Consumo[[#This Row],[FECHA]])</f>
        <v>2018-3</v>
      </c>
    </row>
    <row r="3067" spans="1:4" x14ac:dyDescent="0.25">
      <c r="A3067" t="s">
        <v>2400</v>
      </c>
      <c r="B3067">
        <v>212</v>
      </c>
      <c r="C3067" s="54">
        <v>43191</v>
      </c>
      <c r="D3067" s="3" t="str">
        <f>YEAR(Datos_Consumo[[#This Row],[FECHA]])&amp;"-"&amp;MONTH(Datos_Consumo[[#This Row],[FECHA]])</f>
        <v>2018-4</v>
      </c>
    </row>
    <row r="3068" spans="1:4" x14ac:dyDescent="0.25">
      <c r="A3068" t="s">
        <v>2400</v>
      </c>
      <c r="B3068">
        <v>68</v>
      </c>
      <c r="C3068" s="54">
        <v>43221</v>
      </c>
      <c r="D3068" s="3" t="str">
        <f>YEAR(Datos_Consumo[[#This Row],[FECHA]])&amp;"-"&amp;MONTH(Datos_Consumo[[#This Row],[FECHA]])</f>
        <v>2018-5</v>
      </c>
    </row>
    <row r="3069" spans="1:4" x14ac:dyDescent="0.25">
      <c r="A3069" t="s">
        <v>2401</v>
      </c>
      <c r="B3069">
        <v>4</v>
      </c>
      <c r="C3069" s="54">
        <v>43101</v>
      </c>
      <c r="D3069" s="3" t="str">
        <f>YEAR(Datos_Consumo[[#This Row],[FECHA]])&amp;"-"&amp;MONTH(Datos_Consumo[[#This Row],[FECHA]])</f>
        <v>2018-1</v>
      </c>
    </row>
    <row r="3070" spans="1:4" x14ac:dyDescent="0.25">
      <c r="A3070" t="s">
        <v>2401</v>
      </c>
      <c r="B3070">
        <v>6</v>
      </c>
      <c r="C3070" s="54">
        <v>43132</v>
      </c>
      <c r="D3070" s="3" t="str">
        <f>YEAR(Datos_Consumo[[#This Row],[FECHA]])&amp;"-"&amp;MONTH(Datos_Consumo[[#This Row],[FECHA]])</f>
        <v>2018-2</v>
      </c>
    </row>
    <row r="3071" spans="1:4" x14ac:dyDescent="0.25">
      <c r="A3071" t="s">
        <v>2401</v>
      </c>
      <c r="B3071">
        <v>8</v>
      </c>
      <c r="C3071" s="54">
        <v>43160</v>
      </c>
      <c r="D3071" s="3" t="str">
        <f>YEAR(Datos_Consumo[[#This Row],[FECHA]])&amp;"-"&amp;MONTH(Datos_Consumo[[#This Row],[FECHA]])</f>
        <v>2018-3</v>
      </c>
    </row>
    <row r="3072" spans="1:4" x14ac:dyDescent="0.25">
      <c r="A3072" t="s">
        <v>2402</v>
      </c>
      <c r="B3072">
        <v>2</v>
      </c>
      <c r="C3072" s="54">
        <v>43070</v>
      </c>
      <c r="D3072" s="3" t="str">
        <f>YEAR(Datos_Consumo[[#This Row],[FECHA]])&amp;"-"&amp;MONTH(Datos_Consumo[[#This Row],[FECHA]])</f>
        <v>2017-12</v>
      </c>
    </row>
    <row r="3073" spans="1:4" x14ac:dyDescent="0.25">
      <c r="A3073" t="s">
        <v>2402</v>
      </c>
      <c r="B3073">
        <v>2</v>
      </c>
      <c r="C3073" s="54">
        <v>43101</v>
      </c>
      <c r="D3073" s="3" t="str">
        <f>YEAR(Datos_Consumo[[#This Row],[FECHA]])&amp;"-"&amp;MONTH(Datos_Consumo[[#This Row],[FECHA]])</f>
        <v>2018-1</v>
      </c>
    </row>
    <row r="3074" spans="1:4" x14ac:dyDescent="0.25">
      <c r="A3074" t="s">
        <v>2403</v>
      </c>
      <c r="B3074">
        <v>2</v>
      </c>
      <c r="C3074" s="54">
        <v>43132</v>
      </c>
      <c r="D3074" s="3" t="str">
        <f>YEAR(Datos_Consumo[[#This Row],[FECHA]])&amp;"-"&amp;MONTH(Datos_Consumo[[#This Row],[FECHA]])</f>
        <v>2018-2</v>
      </c>
    </row>
    <row r="3075" spans="1:4" x14ac:dyDescent="0.25">
      <c r="A3075" t="s">
        <v>2404</v>
      </c>
      <c r="B3075">
        <v>1</v>
      </c>
      <c r="C3075" s="54">
        <v>43132</v>
      </c>
      <c r="D3075" s="3" t="str">
        <f>YEAR(Datos_Consumo[[#This Row],[FECHA]])&amp;"-"&amp;MONTH(Datos_Consumo[[#This Row],[FECHA]])</f>
        <v>2018-2</v>
      </c>
    </row>
    <row r="3076" spans="1:4" x14ac:dyDescent="0.25">
      <c r="A3076" t="s">
        <v>2405</v>
      </c>
      <c r="B3076">
        <v>28</v>
      </c>
      <c r="C3076" s="54">
        <v>43101</v>
      </c>
      <c r="D3076" s="3" t="str">
        <f>YEAR(Datos_Consumo[[#This Row],[FECHA]])&amp;"-"&amp;MONTH(Datos_Consumo[[#This Row],[FECHA]])</f>
        <v>2018-1</v>
      </c>
    </row>
    <row r="3077" spans="1:4" x14ac:dyDescent="0.25">
      <c r="A3077" t="s">
        <v>2405</v>
      </c>
      <c r="B3077">
        <v>8</v>
      </c>
      <c r="C3077" s="54">
        <v>43132</v>
      </c>
      <c r="D3077" s="3" t="str">
        <f>YEAR(Datos_Consumo[[#This Row],[FECHA]])&amp;"-"&amp;MONTH(Datos_Consumo[[#This Row],[FECHA]])</f>
        <v>2018-2</v>
      </c>
    </row>
    <row r="3078" spans="1:4" x14ac:dyDescent="0.25">
      <c r="A3078" t="s">
        <v>2405</v>
      </c>
      <c r="B3078">
        <v>8</v>
      </c>
      <c r="C3078" s="54">
        <v>43160</v>
      </c>
      <c r="D3078" s="3" t="str">
        <f>YEAR(Datos_Consumo[[#This Row],[FECHA]])&amp;"-"&amp;MONTH(Datos_Consumo[[#This Row],[FECHA]])</f>
        <v>2018-3</v>
      </c>
    </row>
    <row r="3079" spans="1:4" x14ac:dyDescent="0.25">
      <c r="A3079" t="s">
        <v>2406</v>
      </c>
      <c r="B3079">
        <v>2</v>
      </c>
      <c r="C3079" s="54">
        <v>43132</v>
      </c>
      <c r="D3079" s="3" t="str">
        <f>YEAR(Datos_Consumo[[#This Row],[FECHA]])&amp;"-"&amp;MONTH(Datos_Consumo[[#This Row],[FECHA]])</f>
        <v>2018-2</v>
      </c>
    </row>
    <row r="3080" spans="1:4" x14ac:dyDescent="0.25">
      <c r="A3080" t="s">
        <v>2406</v>
      </c>
      <c r="B3080">
        <v>8</v>
      </c>
      <c r="C3080" s="54">
        <v>43160</v>
      </c>
      <c r="D3080" s="3" t="str">
        <f>YEAR(Datos_Consumo[[#This Row],[FECHA]])&amp;"-"&amp;MONTH(Datos_Consumo[[#This Row],[FECHA]])</f>
        <v>2018-3</v>
      </c>
    </row>
    <row r="3081" spans="1:4" x14ac:dyDescent="0.25">
      <c r="A3081" t="s">
        <v>2407</v>
      </c>
      <c r="B3081">
        <v>1</v>
      </c>
      <c r="C3081" s="54">
        <v>43070</v>
      </c>
      <c r="D3081" s="3" t="str">
        <f>YEAR(Datos_Consumo[[#This Row],[FECHA]])&amp;"-"&amp;MONTH(Datos_Consumo[[#This Row],[FECHA]])</f>
        <v>2017-12</v>
      </c>
    </row>
    <row r="3082" spans="1:4" x14ac:dyDescent="0.25">
      <c r="A3082" t="s">
        <v>2407</v>
      </c>
      <c r="B3082">
        <v>10</v>
      </c>
      <c r="C3082" s="54">
        <v>43101</v>
      </c>
      <c r="D3082" s="3" t="str">
        <f>YEAR(Datos_Consumo[[#This Row],[FECHA]])&amp;"-"&amp;MONTH(Datos_Consumo[[#This Row],[FECHA]])</f>
        <v>2018-1</v>
      </c>
    </row>
    <row r="3083" spans="1:4" x14ac:dyDescent="0.25">
      <c r="A3083" t="s">
        <v>2407</v>
      </c>
      <c r="B3083">
        <v>15</v>
      </c>
      <c r="C3083" s="54">
        <v>43132</v>
      </c>
      <c r="D3083" s="3" t="str">
        <f>YEAR(Datos_Consumo[[#This Row],[FECHA]])&amp;"-"&amp;MONTH(Datos_Consumo[[#This Row],[FECHA]])</f>
        <v>2018-2</v>
      </c>
    </row>
    <row r="3084" spans="1:4" x14ac:dyDescent="0.25">
      <c r="A3084" t="s">
        <v>2408</v>
      </c>
      <c r="B3084">
        <v>8</v>
      </c>
      <c r="C3084" s="54">
        <v>43132</v>
      </c>
      <c r="D3084" s="3" t="str">
        <f>YEAR(Datos_Consumo[[#This Row],[FECHA]])&amp;"-"&amp;MONTH(Datos_Consumo[[#This Row],[FECHA]])</f>
        <v>2018-2</v>
      </c>
    </row>
    <row r="3085" spans="1:4" x14ac:dyDescent="0.25">
      <c r="A3085" t="s">
        <v>2409</v>
      </c>
      <c r="B3085">
        <v>11</v>
      </c>
      <c r="C3085" s="54">
        <v>43132</v>
      </c>
      <c r="D3085" s="3" t="str">
        <f>YEAR(Datos_Consumo[[#This Row],[FECHA]])&amp;"-"&amp;MONTH(Datos_Consumo[[#This Row],[FECHA]])</f>
        <v>2018-2</v>
      </c>
    </row>
    <row r="3086" spans="1:4" x14ac:dyDescent="0.25">
      <c r="A3086" t="s">
        <v>2409</v>
      </c>
      <c r="B3086">
        <v>12</v>
      </c>
      <c r="C3086" s="54">
        <v>43160</v>
      </c>
      <c r="D3086" s="3" t="str">
        <f>YEAR(Datos_Consumo[[#This Row],[FECHA]])&amp;"-"&amp;MONTH(Datos_Consumo[[#This Row],[FECHA]])</f>
        <v>2018-3</v>
      </c>
    </row>
    <row r="3087" spans="1:4" x14ac:dyDescent="0.25">
      <c r="A3087" t="s">
        <v>2410</v>
      </c>
      <c r="B3087">
        <v>20</v>
      </c>
      <c r="C3087" s="54">
        <v>43132</v>
      </c>
      <c r="D3087" s="3" t="str">
        <f>YEAR(Datos_Consumo[[#This Row],[FECHA]])&amp;"-"&amp;MONTH(Datos_Consumo[[#This Row],[FECHA]])</f>
        <v>2018-2</v>
      </c>
    </row>
    <row r="3088" spans="1:4" x14ac:dyDescent="0.25">
      <c r="A3088" t="s">
        <v>2411</v>
      </c>
      <c r="B3088">
        <v>2</v>
      </c>
      <c r="C3088" s="54">
        <v>43160</v>
      </c>
      <c r="D3088" s="3" t="str">
        <f>YEAR(Datos_Consumo[[#This Row],[FECHA]])&amp;"-"&amp;MONTH(Datos_Consumo[[#This Row],[FECHA]])</f>
        <v>2018-3</v>
      </c>
    </row>
    <row r="3089" spans="1:4" x14ac:dyDescent="0.25">
      <c r="A3089" t="s">
        <v>2412</v>
      </c>
      <c r="B3089">
        <v>2</v>
      </c>
      <c r="C3089" s="54">
        <v>43160</v>
      </c>
      <c r="D3089" s="3" t="str">
        <f>YEAR(Datos_Consumo[[#This Row],[FECHA]])&amp;"-"&amp;MONTH(Datos_Consumo[[#This Row],[FECHA]])</f>
        <v>2018-3</v>
      </c>
    </row>
    <row r="3090" spans="1:4" x14ac:dyDescent="0.25">
      <c r="A3090" t="s">
        <v>4072</v>
      </c>
      <c r="B3090">
        <v>1</v>
      </c>
      <c r="C3090" s="54">
        <v>43191</v>
      </c>
      <c r="D3090" s="3" t="str">
        <f>YEAR(Datos_Consumo[[#This Row],[FECHA]])&amp;"-"&amp;MONTH(Datos_Consumo[[#This Row],[FECHA]])</f>
        <v>2018-4</v>
      </c>
    </row>
    <row r="3091" spans="1:4" x14ac:dyDescent="0.25">
      <c r="A3091" t="s">
        <v>2413</v>
      </c>
      <c r="B3091">
        <v>4</v>
      </c>
      <c r="C3091" s="54">
        <v>43070</v>
      </c>
      <c r="D3091" s="3" t="str">
        <f>YEAR(Datos_Consumo[[#This Row],[FECHA]])&amp;"-"&amp;MONTH(Datos_Consumo[[#This Row],[FECHA]])</f>
        <v>2017-12</v>
      </c>
    </row>
    <row r="3092" spans="1:4" x14ac:dyDescent="0.25">
      <c r="A3092" t="s">
        <v>2413</v>
      </c>
      <c r="B3092">
        <v>7</v>
      </c>
      <c r="C3092" s="54">
        <v>43101</v>
      </c>
      <c r="D3092" s="3" t="str">
        <f>YEAR(Datos_Consumo[[#This Row],[FECHA]])&amp;"-"&amp;MONTH(Datos_Consumo[[#This Row],[FECHA]])</f>
        <v>2018-1</v>
      </c>
    </row>
    <row r="3093" spans="1:4" x14ac:dyDescent="0.25">
      <c r="A3093" t="s">
        <v>2413</v>
      </c>
      <c r="B3093">
        <v>5</v>
      </c>
      <c r="C3093" s="54">
        <v>43160</v>
      </c>
      <c r="D3093" s="3" t="str">
        <f>YEAR(Datos_Consumo[[#This Row],[FECHA]])&amp;"-"&amp;MONTH(Datos_Consumo[[#This Row],[FECHA]])</f>
        <v>2018-3</v>
      </c>
    </row>
    <row r="3094" spans="1:4" x14ac:dyDescent="0.25">
      <c r="A3094" t="s">
        <v>2414</v>
      </c>
      <c r="B3094">
        <v>1</v>
      </c>
      <c r="C3094" s="54">
        <v>43221</v>
      </c>
      <c r="D3094" s="3" t="str">
        <f>YEAR(Datos_Consumo[[#This Row],[FECHA]])&amp;"-"&amp;MONTH(Datos_Consumo[[#This Row],[FECHA]])</f>
        <v>2018-5</v>
      </c>
    </row>
    <row r="3095" spans="1:4" x14ac:dyDescent="0.25">
      <c r="A3095" t="s">
        <v>2415</v>
      </c>
      <c r="B3095">
        <v>4</v>
      </c>
      <c r="C3095" s="54">
        <v>43132</v>
      </c>
      <c r="D3095" s="3" t="str">
        <f>YEAR(Datos_Consumo[[#This Row],[FECHA]])&amp;"-"&amp;MONTH(Datos_Consumo[[#This Row],[FECHA]])</f>
        <v>2018-2</v>
      </c>
    </row>
    <row r="3096" spans="1:4" x14ac:dyDescent="0.25">
      <c r="A3096" t="s">
        <v>2415</v>
      </c>
      <c r="B3096">
        <v>1</v>
      </c>
      <c r="C3096" s="54">
        <v>43160</v>
      </c>
      <c r="D3096" s="3" t="str">
        <f>YEAR(Datos_Consumo[[#This Row],[FECHA]])&amp;"-"&amp;MONTH(Datos_Consumo[[#This Row],[FECHA]])</f>
        <v>2018-3</v>
      </c>
    </row>
    <row r="3097" spans="1:4" x14ac:dyDescent="0.25">
      <c r="A3097" t="s">
        <v>2416</v>
      </c>
      <c r="B3097">
        <v>2</v>
      </c>
      <c r="C3097" s="54">
        <v>43101</v>
      </c>
      <c r="D3097" s="3" t="str">
        <f>YEAR(Datos_Consumo[[#This Row],[FECHA]])&amp;"-"&amp;MONTH(Datos_Consumo[[#This Row],[FECHA]])</f>
        <v>2018-1</v>
      </c>
    </row>
    <row r="3098" spans="1:4" x14ac:dyDescent="0.25">
      <c r="A3098" t="s">
        <v>2416</v>
      </c>
      <c r="B3098">
        <v>1</v>
      </c>
      <c r="C3098" s="54">
        <v>43132</v>
      </c>
      <c r="D3098" s="3" t="str">
        <f>YEAR(Datos_Consumo[[#This Row],[FECHA]])&amp;"-"&amp;MONTH(Datos_Consumo[[#This Row],[FECHA]])</f>
        <v>2018-2</v>
      </c>
    </row>
    <row r="3099" spans="1:4" x14ac:dyDescent="0.25">
      <c r="A3099" t="s">
        <v>2417</v>
      </c>
      <c r="B3099">
        <v>2</v>
      </c>
      <c r="C3099" s="54">
        <v>43191</v>
      </c>
      <c r="D3099" s="3" t="str">
        <f>YEAR(Datos_Consumo[[#This Row],[FECHA]])&amp;"-"&amp;MONTH(Datos_Consumo[[#This Row],[FECHA]])</f>
        <v>2018-4</v>
      </c>
    </row>
    <row r="3100" spans="1:4" x14ac:dyDescent="0.25">
      <c r="A3100" t="s">
        <v>2418</v>
      </c>
      <c r="B3100">
        <v>1</v>
      </c>
      <c r="C3100" s="54">
        <v>43101</v>
      </c>
      <c r="D3100" s="3" t="str">
        <f>YEAR(Datos_Consumo[[#This Row],[FECHA]])&amp;"-"&amp;MONTH(Datos_Consumo[[#This Row],[FECHA]])</f>
        <v>2018-1</v>
      </c>
    </row>
    <row r="3101" spans="1:4" x14ac:dyDescent="0.25">
      <c r="A3101" t="s">
        <v>2418</v>
      </c>
      <c r="B3101">
        <v>2</v>
      </c>
      <c r="C3101" s="54">
        <v>43132</v>
      </c>
      <c r="D3101" s="3" t="str">
        <f>YEAR(Datos_Consumo[[#This Row],[FECHA]])&amp;"-"&amp;MONTH(Datos_Consumo[[#This Row],[FECHA]])</f>
        <v>2018-2</v>
      </c>
    </row>
    <row r="3102" spans="1:4" x14ac:dyDescent="0.25">
      <c r="A3102" t="s">
        <v>2418</v>
      </c>
      <c r="B3102">
        <v>1</v>
      </c>
      <c r="C3102" s="54">
        <v>43191</v>
      </c>
      <c r="D3102" s="3" t="str">
        <f>YEAR(Datos_Consumo[[#This Row],[FECHA]])&amp;"-"&amp;MONTH(Datos_Consumo[[#This Row],[FECHA]])</f>
        <v>2018-4</v>
      </c>
    </row>
    <row r="3103" spans="1:4" x14ac:dyDescent="0.25">
      <c r="A3103" t="s">
        <v>2419</v>
      </c>
      <c r="B3103">
        <v>2</v>
      </c>
      <c r="C3103" s="54">
        <v>43070</v>
      </c>
      <c r="D3103" s="3" t="str">
        <f>YEAR(Datos_Consumo[[#This Row],[FECHA]])&amp;"-"&amp;MONTH(Datos_Consumo[[#This Row],[FECHA]])</f>
        <v>2017-12</v>
      </c>
    </row>
    <row r="3104" spans="1:4" x14ac:dyDescent="0.25">
      <c r="A3104" t="s">
        <v>2419</v>
      </c>
      <c r="B3104">
        <v>14</v>
      </c>
      <c r="C3104" s="54">
        <v>43101</v>
      </c>
      <c r="D3104" s="3" t="str">
        <f>YEAR(Datos_Consumo[[#This Row],[FECHA]])&amp;"-"&amp;MONTH(Datos_Consumo[[#This Row],[FECHA]])</f>
        <v>2018-1</v>
      </c>
    </row>
    <row r="3105" spans="1:4" x14ac:dyDescent="0.25">
      <c r="A3105" t="s">
        <v>2419</v>
      </c>
      <c r="B3105">
        <v>4</v>
      </c>
      <c r="C3105" s="54">
        <v>43132</v>
      </c>
      <c r="D3105" s="3" t="str">
        <f>YEAR(Datos_Consumo[[#This Row],[FECHA]])&amp;"-"&amp;MONTH(Datos_Consumo[[#This Row],[FECHA]])</f>
        <v>2018-2</v>
      </c>
    </row>
    <row r="3106" spans="1:4" x14ac:dyDescent="0.25">
      <c r="A3106" t="s">
        <v>2419</v>
      </c>
      <c r="B3106">
        <v>9</v>
      </c>
      <c r="C3106" s="54">
        <v>43160</v>
      </c>
      <c r="D3106" s="3" t="str">
        <f>YEAR(Datos_Consumo[[#This Row],[FECHA]])&amp;"-"&amp;MONTH(Datos_Consumo[[#This Row],[FECHA]])</f>
        <v>2018-3</v>
      </c>
    </row>
    <row r="3107" spans="1:4" x14ac:dyDescent="0.25">
      <c r="A3107" t="s">
        <v>2419</v>
      </c>
      <c r="B3107">
        <v>12</v>
      </c>
      <c r="C3107" s="54">
        <v>43191</v>
      </c>
      <c r="D3107" s="3" t="str">
        <f>YEAR(Datos_Consumo[[#This Row],[FECHA]])&amp;"-"&amp;MONTH(Datos_Consumo[[#This Row],[FECHA]])</f>
        <v>2018-4</v>
      </c>
    </row>
    <row r="3108" spans="1:4" x14ac:dyDescent="0.25">
      <c r="A3108" t="s">
        <v>2419</v>
      </c>
      <c r="B3108">
        <v>2</v>
      </c>
      <c r="C3108" s="54">
        <v>43221</v>
      </c>
      <c r="D3108" s="3" t="str">
        <f>YEAR(Datos_Consumo[[#This Row],[FECHA]])&amp;"-"&amp;MONTH(Datos_Consumo[[#This Row],[FECHA]])</f>
        <v>2018-5</v>
      </c>
    </row>
    <row r="3109" spans="1:4" x14ac:dyDescent="0.25">
      <c r="A3109" t="s">
        <v>2420</v>
      </c>
      <c r="B3109">
        <v>5</v>
      </c>
      <c r="C3109" s="54">
        <v>43070</v>
      </c>
      <c r="D3109" s="3" t="str">
        <f>YEAR(Datos_Consumo[[#This Row],[FECHA]])&amp;"-"&amp;MONTH(Datos_Consumo[[#This Row],[FECHA]])</f>
        <v>2017-12</v>
      </c>
    </row>
    <row r="3110" spans="1:4" x14ac:dyDescent="0.25">
      <c r="A3110" t="s">
        <v>2420</v>
      </c>
      <c r="B3110">
        <v>2</v>
      </c>
      <c r="C3110" s="54">
        <v>43160</v>
      </c>
      <c r="D3110" s="3" t="str">
        <f>YEAR(Datos_Consumo[[#This Row],[FECHA]])&amp;"-"&amp;MONTH(Datos_Consumo[[#This Row],[FECHA]])</f>
        <v>2018-3</v>
      </c>
    </row>
    <row r="3111" spans="1:4" x14ac:dyDescent="0.25">
      <c r="A3111" t="s">
        <v>2421</v>
      </c>
      <c r="B3111">
        <v>2</v>
      </c>
      <c r="C3111" s="54">
        <v>43191</v>
      </c>
      <c r="D3111" s="3" t="str">
        <f>YEAR(Datos_Consumo[[#This Row],[FECHA]])&amp;"-"&amp;MONTH(Datos_Consumo[[#This Row],[FECHA]])</f>
        <v>2018-4</v>
      </c>
    </row>
    <row r="3112" spans="1:4" x14ac:dyDescent="0.25">
      <c r="A3112" t="s">
        <v>2422</v>
      </c>
      <c r="B3112">
        <v>6</v>
      </c>
      <c r="C3112" s="54">
        <v>43101</v>
      </c>
      <c r="D3112" s="3" t="str">
        <f>YEAR(Datos_Consumo[[#This Row],[FECHA]])&amp;"-"&amp;MONTH(Datos_Consumo[[#This Row],[FECHA]])</f>
        <v>2018-1</v>
      </c>
    </row>
    <row r="3113" spans="1:4" x14ac:dyDescent="0.25">
      <c r="A3113" t="s">
        <v>2423</v>
      </c>
      <c r="B3113">
        <v>4</v>
      </c>
      <c r="C3113" s="54">
        <v>43101</v>
      </c>
      <c r="D3113" s="3" t="str">
        <f>YEAR(Datos_Consumo[[#This Row],[FECHA]])&amp;"-"&amp;MONTH(Datos_Consumo[[#This Row],[FECHA]])</f>
        <v>2018-1</v>
      </c>
    </row>
    <row r="3114" spans="1:4" x14ac:dyDescent="0.25">
      <c r="A3114" t="s">
        <v>2423</v>
      </c>
      <c r="B3114">
        <v>1</v>
      </c>
      <c r="C3114" s="54">
        <v>43132</v>
      </c>
      <c r="D3114" s="3" t="str">
        <f>YEAR(Datos_Consumo[[#This Row],[FECHA]])&amp;"-"&amp;MONTH(Datos_Consumo[[#This Row],[FECHA]])</f>
        <v>2018-2</v>
      </c>
    </row>
    <row r="3115" spans="1:4" x14ac:dyDescent="0.25">
      <c r="A3115" t="s">
        <v>2423</v>
      </c>
      <c r="B3115">
        <v>4</v>
      </c>
      <c r="C3115" s="54">
        <v>43191</v>
      </c>
      <c r="D3115" s="3" t="str">
        <f>YEAR(Datos_Consumo[[#This Row],[FECHA]])&amp;"-"&amp;MONTH(Datos_Consumo[[#This Row],[FECHA]])</f>
        <v>2018-4</v>
      </c>
    </row>
    <row r="3116" spans="1:4" x14ac:dyDescent="0.25">
      <c r="A3116" t="s">
        <v>2423</v>
      </c>
      <c r="B3116">
        <v>1</v>
      </c>
      <c r="C3116" s="54">
        <v>43221</v>
      </c>
      <c r="D3116" s="3" t="str">
        <f>YEAR(Datos_Consumo[[#This Row],[FECHA]])&amp;"-"&amp;MONTH(Datos_Consumo[[#This Row],[FECHA]])</f>
        <v>2018-5</v>
      </c>
    </row>
    <row r="3117" spans="1:4" x14ac:dyDescent="0.25">
      <c r="A3117" t="s">
        <v>2424</v>
      </c>
      <c r="B3117">
        <v>4</v>
      </c>
      <c r="C3117" s="54">
        <v>43070</v>
      </c>
      <c r="D3117" s="3" t="str">
        <f>YEAR(Datos_Consumo[[#This Row],[FECHA]])&amp;"-"&amp;MONTH(Datos_Consumo[[#This Row],[FECHA]])</f>
        <v>2017-12</v>
      </c>
    </row>
    <row r="3118" spans="1:4" x14ac:dyDescent="0.25">
      <c r="A3118" t="s">
        <v>2424</v>
      </c>
      <c r="B3118">
        <v>3</v>
      </c>
      <c r="C3118" s="54">
        <v>43101</v>
      </c>
      <c r="D3118" s="3" t="str">
        <f>YEAR(Datos_Consumo[[#This Row],[FECHA]])&amp;"-"&amp;MONTH(Datos_Consumo[[#This Row],[FECHA]])</f>
        <v>2018-1</v>
      </c>
    </row>
    <row r="3119" spans="1:4" x14ac:dyDescent="0.25">
      <c r="A3119" t="s">
        <v>2424</v>
      </c>
      <c r="B3119">
        <v>1</v>
      </c>
      <c r="C3119" s="54">
        <v>43132</v>
      </c>
      <c r="D3119" s="3" t="str">
        <f>YEAR(Datos_Consumo[[#This Row],[FECHA]])&amp;"-"&amp;MONTH(Datos_Consumo[[#This Row],[FECHA]])</f>
        <v>2018-2</v>
      </c>
    </row>
    <row r="3120" spans="1:4" x14ac:dyDescent="0.25">
      <c r="A3120" t="s">
        <v>2424</v>
      </c>
      <c r="B3120">
        <v>4</v>
      </c>
      <c r="C3120" s="54">
        <v>43160</v>
      </c>
      <c r="D3120" s="3" t="str">
        <f>YEAR(Datos_Consumo[[#This Row],[FECHA]])&amp;"-"&amp;MONTH(Datos_Consumo[[#This Row],[FECHA]])</f>
        <v>2018-3</v>
      </c>
    </row>
    <row r="3121" spans="1:4" x14ac:dyDescent="0.25">
      <c r="A3121" t="s">
        <v>2425</v>
      </c>
      <c r="B3121">
        <v>4</v>
      </c>
      <c r="C3121" s="54">
        <v>43132</v>
      </c>
      <c r="D3121" s="3" t="str">
        <f>YEAR(Datos_Consumo[[#This Row],[FECHA]])&amp;"-"&amp;MONTH(Datos_Consumo[[#This Row],[FECHA]])</f>
        <v>2018-2</v>
      </c>
    </row>
    <row r="3122" spans="1:4" x14ac:dyDescent="0.25">
      <c r="A3122" t="s">
        <v>2426</v>
      </c>
      <c r="B3122">
        <v>2</v>
      </c>
      <c r="C3122" s="54">
        <v>43070</v>
      </c>
      <c r="D3122" s="3" t="str">
        <f>YEAR(Datos_Consumo[[#This Row],[FECHA]])&amp;"-"&amp;MONTH(Datos_Consumo[[#This Row],[FECHA]])</f>
        <v>2017-12</v>
      </c>
    </row>
    <row r="3123" spans="1:4" x14ac:dyDescent="0.25">
      <c r="A3123" t="s">
        <v>2426</v>
      </c>
      <c r="B3123">
        <v>1</v>
      </c>
      <c r="C3123" s="54">
        <v>43160</v>
      </c>
      <c r="D3123" s="3" t="str">
        <f>YEAR(Datos_Consumo[[#This Row],[FECHA]])&amp;"-"&amp;MONTH(Datos_Consumo[[#This Row],[FECHA]])</f>
        <v>2018-3</v>
      </c>
    </row>
    <row r="3124" spans="1:4" x14ac:dyDescent="0.25">
      <c r="A3124" t="s">
        <v>2426</v>
      </c>
      <c r="B3124">
        <v>2</v>
      </c>
      <c r="C3124" s="54">
        <v>43191</v>
      </c>
      <c r="D3124" s="3" t="str">
        <f>YEAR(Datos_Consumo[[#This Row],[FECHA]])&amp;"-"&amp;MONTH(Datos_Consumo[[#This Row],[FECHA]])</f>
        <v>2018-4</v>
      </c>
    </row>
    <row r="3125" spans="1:4" x14ac:dyDescent="0.25">
      <c r="A3125" t="s">
        <v>2427</v>
      </c>
      <c r="B3125">
        <v>1</v>
      </c>
      <c r="C3125" s="54">
        <v>43101</v>
      </c>
      <c r="D3125" s="3" t="str">
        <f>YEAR(Datos_Consumo[[#This Row],[FECHA]])&amp;"-"&amp;MONTH(Datos_Consumo[[#This Row],[FECHA]])</f>
        <v>2018-1</v>
      </c>
    </row>
    <row r="3126" spans="1:4" x14ac:dyDescent="0.25">
      <c r="A3126" t="s">
        <v>2428</v>
      </c>
      <c r="B3126">
        <v>2</v>
      </c>
      <c r="C3126" s="54">
        <v>43101</v>
      </c>
      <c r="D3126" s="3" t="str">
        <f>YEAR(Datos_Consumo[[#This Row],[FECHA]])&amp;"-"&amp;MONTH(Datos_Consumo[[#This Row],[FECHA]])</f>
        <v>2018-1</v>
      </c>
    </row>
    <row r="3127" spans="1:4" x14ac:dyDescent="0.25">
      <c r="A3127" t="s">
        <v>2428</v>
      </c>
      <c r="B3127">
        <v>44</v>
      </c>
      <c r="C3127" s="54">
        <v>43132</v>
      </c>
      <c r="D3127" s="3" t="str">
        <f>YEAR(Datos_Consumo[[#This Row],[FECHA]])&amp;"-"&amp;MONTH(Datos_Consumo[[#This Row],[FECHA]])</f>
        <v>2018-2</v>
      </c>
    </row>
    <row r="3128" spans="1:4" x14ac:dyDescent="0.25">
      <c r="A3128" t="s">
        <v>2428</v>
      </c>
      <c r="B3128">
        <v>4</v>
      </c>
      <c r="C3128" s="54">
        <v>43160</v>
      </c>
      <c r="D3128" s="3" t="str">
        <f>YEAR(Datos_Consumo[[#This Row],[FECHA]])&amp;"-"&amp;MONTH(Datos_Consumo[[#This Row],[FECHA]])</f>
        <v>2018-3</v>
      </c>
    </row>
    <row r="3129" spans="1:4" x14ac:dyDescent="0.25">
      <c r="A3129" t="s">
        <v>2429</v>
      </c>
      <c r="B3129">
        <v>1</v>
      </c>
      <c r="C3129" s="54">
        <v>43191</v>
      </c>
      <c r="D3129" s="3" t="str">
        <f>YEAR(Datos_Consumo[[#This Row],[FECHA]])&amp;"-"&amp;MONTH(Datos_Consumo[[#This Row],[FECHA]])</f>
        <v>2018-4</v>
      </c>
    </row>
    <row r="3130" spans="1:4" x14ac:dyDescent="0.25">
      <c r="A3130" t="s">
        <v>2430</v>
      </c>
      <c r="B3130">
        <v>1</v>
      </c>
      <c r="C3130" s="54">
        <v>43101</v>
      </c>
      <c r="D3130" s="3" t="str">
        <f>YEAR(Datos_Consumo[[#This Row],[FECHA]])&amp;"-"&amp;MONTH(Datos_Consumo[[#This Row],[FECHA]])</f>
        <v>2018-1</v>
      </c>
    </row>
    <row r="3131" spans="1:4" x14ac:dyDescent="0.25">
      <c r="A3131" t="s">
        <v>2431</v>
      </c>
      <c r="B3131">
        <v>2</v>
      </c>
      <c r="C3131" s="54">
        <v>43101</v>
      </c>
      <c r="D3131" s="3" t="str">
        <f>YEAR(Datos_Consumo[[#This Row],[FECHA]])&amp;"-"&amp;MONTH(Datos_Consumo[[#This Row],[FECHA]])</f>
        <v>2018-1</v>
      </c>
    </row>
    <row r="3132" spans="1:4" x14ac:dyDescent="0.25">
      <c r="A3132" t="s">
        <v>2431</v>
      </c>
      <c r="B3132">
        <v>1</v>
      </c>
      <c r="C3132" s="54">
        <v>43160</v>
      </c>
      <c r="D3132" s="3" t="str">
        <f>YEAR(Datos_Consumo[[#This Row],[FECHA]])&amp;"-"&amp;MONTH(Datos_Consumo[[#This Row],[FECHA]])</f>
        <v>2018-3</v>
      </c>
    </row>
    <row r="3133" spans="1:4" x14ac:dyDescent="0.25">
      <c r="A3133" t="s">
        <v>2432</v>
      </c>
      <c r="B3133">
        <v>2</v>
      </c>
      <c r="C3133" s="54">
        <v>43160</v>
      </c>
      <c r="D3133" s="3" t="str">
        <f>YEAR(Datos_Consumo[[#This Row],[FECHA]])&amp;"-"&amp;MONTH(Datos_Consumo[[#This Row],[FECHA]])</f>
        <v>2018-3</v>
      </c>
    </row>
    <row r="3134" spans="1:4" x14ac:dyDescent="0.25">
      <c r="A3134" t="s">
        <v>2433</v>
      </c>
      <c r="B3134">
        <v>3</v>
      </c>
      <c r="C3134" s="54">
        <v>43132</v>
      </c>
      <c r="D3134" s="3" t="str">
        <f>YEAR(Datos_Consumo[[#This Row],[FECHA]])&amp;"-"&amp;MONTH(Datos_Consumo[[#This Row],[FECHA]])</f>
        <v>2018-2</v>
      </c>
    </row>
    <row r="3135" spans="1:4" x14ac:dyDescent="0.25">
      <c r="A3135" t="s">
        <v>2433</v>
      </c>
      <c r="B3135">
        <v>7</v>
      </c>
      <c r="C3135" s="54">
        <v>43191</v>
      </c>
      <c r="D3135" s="3" t="str">
        <f>YEAR(Datos_Consumo[[#This Row],[FECHA]])&amp;"-"&amp;MONTH(Datos_Consumo[[#This Row],[FECHA]])</f>
        <v>2018-4</v>
      </c>
    </row>
    <row r="3136" spans="1:4" x14ac:dyDescent="0.25">
      <c r="A3136" t="s">
        <v>2434</v>
      </c>
      <c r="B3136">
        <v>2</v>
      </c>
      <c r="C3136" s="54">
        <v>43191</v>
      </c>
      <c r="D3136" s="3" t="str">
        <f>YEAR(Datos_Consumo[[#This Row],[FECHA]])&amp;"-"&amp;MONTH(Datos_Consumo[[#This Row],[FECHA]])</f>
        <v>2018-4</v>
      </c>
    </row>
    <row r="3137" spans="1:4" x14ac:dyDescent="0.25">
      <c r="A3137" t="s">
        <v>4073</v>
      </c>
      <c r="B3137">
        <v>3</v>
      </c>
      <c r="C3137" s="54">
        <v>43221</v>
      </c>
      <c r="D3137" s="3" t="str">
        <f>YEAR(Datos_Consumo[[#This Row],[FECHA]])&amp;"-"&amp;MONTH(Datos_Consumo[[#This Row],[FECHA]])</f>
        <v>2018-5</v>
      </c>
    </row>
    <row r="3138" spans="1:4" x14ac:dyDescent="0.25">
      <c r="A3138" t="s">
        <v>2435</v>
      </c>
      <c r="B3138">
        <v>3</v>
      </c>
      <c r="C3138" s="54">
        <v>43132</v>
      </c>
      <c r="D3138" s="3" t="str">
        <f>YEAR(Datos_Consumo[[#This Row],[FECHA]])&amp;"-"&amp;MONTH(Datos_Consumo[[#This Row],[FECHA]])</f>
        <v>2018-2</v>
      </c>
    </row>
    <row r="3139" spans="1:4" x14ac:dyDescent="0.25">
      <c r="A3139" t="s">
        <v>2436</v>
      </c>
      <c r="B3139">
        <v>3</v>
      </c>
      <c r="C3139" s="54">
        <v>43101</v>
      </c>
      <c r="D3139" s="3" t="str">
        <f>YEAR(Datos_Consumo[[#This Row],[FECHA]])&amp;"-"&amp;MONTH(Datos_Consumo[[#This Row],[FECHA]])</f>
        <v>2018-1</v>
      </c>
    </row>
    <row r="3140" spans="1:4" x14ac:dyDescent="0.25">
      <c r="A3140" t="s">
        <v>2436</v>
      </c>
      <c r="B3140">
        <v>1</v>
      </c>
      <c r="C3140" s="54">
        <v>43132</v>
      </c>
      <c r="D3140" s="3" t="str">
        <f>YEAR(Datos_Consumo[[#This Row],[FECHA]])&amp;"-"&amp;MONTH(Datos_Consumo[[#This Row],[FECHA]])</f>
        <v>2018-2</v>
      </c>
    </row>
    <row r="3141" spans="1:4" x14ac:dyDescent="0.25">
      <c r="A3141" t="s">
        <v>2437</v>
      </c>
      <c r="B3141">
        <v>17</v>
      </c>
      <c r="C3141" s="54">
        <v>43101</v>
      </c>
      <c r="D3141" s="3" t="str">
        <f>YEAR(Datos_Consumo[[#This Row],[FECHA]])&amp;"-"&amp;MONTH(Datos_Consumo[[#This Row],[FECHA]])</f>
        <v>2018-1</v>
      </c>
    </row>
    <row r="3142" spans="1:4" x14ac:dyDescent="0.25">
      <c r="A3142" t="s">
        <v>2437</v>
      </c>
      <c r="B3142">
        <v>8</v>
      </c>
      <c r="C3142" s="54">
        <v>43132</v>
      </c>
      <c r="D3142" s="3" t="str">
        <f>YEAR(Datos_Consumo[[#This Row],[FECHA]])&amp;"-"&amp;MONTH(Datos_Consumo[[#This Row],[FECHA]])</f>
        <v>2018-2</v>
      </c>
    </row>
    <row r="3143" spans="1:4" x14ac:dyDescent="0.25">
      <c r="A3143" t="s">
        <v>2437</v>
      </c>
      <c r="B3143">
        <v>14</v>
      </c>
      <c r="C3143" s="54">
        <v>43160</v>
      </c>
      <c r="D3143" s="3" t="str">
        <f>YEAR(Datos_Consumo[[#This Row],[FECHA]])&amp;"-"&amp;MONTH(Datos_Consumo[[#This Row],[FECHA]])</f>
        <v>2018-3</v>
      </c>
    </row>
    <row r="3144" spans="1:4" x14ac:dyDescent="0.25">
      <c r="A3144" t="s">
        <v>2437</v>
      </c>
      <c r="B3144">
        <v>12</v>
      </c>
      <c r="C3144" s="54">
        <v>43191</v>
      </c>
      <c r="D3144" s="3" t="str">
        <f>YEAR(Datos_Consumo[[#This Row],[FECHA]])&amp;"-"&amp;MONTH(Datos_Consumo[[#This Row],[FECHA]])</f>
        <v>2018-4</v>
      </c>
    </row>
    <row r="3145" spans="1:4" x14ac:dyDescent="0.25">
      <c r="A3145" t="s">
        <v>2438</v>
      </c>
      <c r="B3145">
        <v>1</v>
      </c>
      <c r="C3145" s="54">
        <v>43160</v>
      </c>
      <c r="D3145" s="3" t="str">
        <f>YEAR(Datos_Consumo[[#This Row],[FECHA]])&amp;"-"&amp;MONTH(Datos_Consumo[[#This Row],[FECHA]])</f>
        <v>2018-3</v>
      </c>
    </row>
    <row r="3146" spans="1:4" x14ac:dyDescent="0.25">
      <c r="A3146" t="s">
        <v>2439</v>
      </c>
      <c r="B3146">
        <v>2</v>
      </c>
      <c r="C3146" s="54">
        <v>43070</v>
      </c>
      <c r="D3146" s="3" t="str">
        <f>YEAR(Datos_Consumo[[#This Row],[FECHA]])&amp;"-"&amp;MONTH(Datos_Consumo[[#This Row],[FECHA]])</f>
        <v>2017-12</v>
      </c>
    </row>
    <row r="3147" spans="1:4" x14ac:dyDescent="0.25">
      <c r="A3147" t="s">
        <v>2439</v>
      </c>
      <c r="B3147">
        <v>6</v>
      </c>
      <c r="C3147" s="54">
        <v>43101</v>
      </c>
      <c r="D3147" s="3" t="str">
        <f>YEAR(Datos_Consumo[[#This Row],[FECHA]])&amp;"-"&amp;MONTH(Datos_Consumo[[#This Row],[FECHA]])</f>
        <v>2018-1</v>
      </c>
    </row>
    <row r="3148" spans="1:4" x14ac:dyDescent="0.25">
      <c r="A3148" t="s">
        <v>2439</v>
      </c>
      <c r="B3148">
        <v>7</v>
      </c>
      <c r="C3148" s="54">
        <v>43132</v>
      </c>
      <c r="D3148" s="3" t="str">
        <f>YEAR(Datos_Consumo[[#This Row],[FECHA]])&amp;"-"&amp;MONTH(Datos_Consumo[[#This Row],[FECHA]])</f>
        <v>2018-2</v>
      </c>
    </row>
    <row r="3149" spans="1:4" x14ac:dyDescent="0.25">
      <c r="A3149" t="s">
        <v>2439</v>
      </c>
      <c r="B3149">
        <v>7</v>
      </c>
      <c r="C3149" s="54">
        <v>43160</v>
      </c>
      <c r="D3149" s="3" t="str">
        <f>YEAR(Datos_Consumo[[#This Row],[FECHA]])&amp;"-"&amp;MONTH(Datos_Consumo[[#This Row],[FECHA]])</f>
        <v>2018-3</v>
      </c>
    </row>
    <row r="3150" spans="1:4" x14ac:dyDescent="0.25">
      <c r="A3150" t="s">
        <v>2439</v>
      </c>
      <c r="B3150">
        <v>23</v>
      </c>
      <c r="C3150" s="54">
        <v>43191</v>
      </c>
      <c r="D3150" s="3" t="str">
        <f>YEAR(Datos_Consumo[[#This Row],[FECHA]])&amp;"-"&amp;MONTH(Datos_Consumo[[#This Row],[FECHA]])</f>
        <v>2018-4</v>
      </c>
    </row>
    <row r="3151" spans="1:4" x14ac:dyDescent="0.25">
      <c r="A3151" t="s">
        <v>2439</v>
      </c>
      <c r="B3151">
        <v>6</v>
      </c>
      <c r="C3151" s="54">
        <v>43221</v>
      </c>
      <c r="D3151" s="3" t="str">
        <f>YEAR(Datos_Consumo[[#This Row],[FECHA]])&amp;"-"&amp;MONTH(Datos_Consumo[[#This Row],[FECHA]])</f>
        <v>2018-5</v>
      </c>
    </row>
    <row r="3152" spans="1:4" x14ac:dyDescent="0.25">
      <c r="A3152" t="s">
        <v>2440</v>
      </c>
      <c r="B3152">
        <v>4</v>
      </c>
      <c r="C3152" s="54">
        <v>43070</v>
      </c>
      <c r="D3152" s="3" t="str">
        <f>YEAR(Datos_Consumo[[#This Row],[FECHA]])&amp;"-"&amp;MONTH(Datos_Consumo[[#This Row],[FECHA]])</f>
        <v>2017-12</v>
      </c>
    </row>
    <row r="3153" spans="1:4" x14ac:dyDescent="0.25">
      <c r="A3153" t="s">
        <v>2440</v>
      </c>
      <c r="B3153">
        <v>100</v>
      </c>
      <c r="C3153" s="54">
        <v>43191</v>
      </c>
      <c r="D3153" s="3" t="str">
        <f>YEAR(Datos_Consumo[[#This Row],[FECHA]])&amp;"-"&amp;MONTH(Datos_Consumo[[#This Row],[FECHA]])</f>
        <v>2018-4</v>
      </c>
    </row>
    <row r="3154" spans="1:4" x14ac:dyDescent="0.25">
      <c r="A3154" t="s">
        <v>2441</v>
      </c>
      <c r="B3154">
        <v>1</v>
      </c>
      <c r="C3154" s="54">
        <v>43070</v>
      </c>
      <c r="D3154" s="3" t="str">
        <f>YEAR(Datos_Consumo[[#This Row],[FECHA]])&amp;"-"&amp;MONTH(Datos_Consumo[[#This Row],[FECHA]])</f>
        <v>2017-12</v>
      </c>
    </row>
    <row r="3155" spans="1:4" x14ac:dyDescent="0.25">
      <c r="A3155" t="s">
        <v>2442</v>
      </c>
      <c r="B3155">
        <v>2</v>
      </c>
      <c r="C3155" s="54">
        <v>43070</v>
      </c>
      <c r="D3155" s="3" t="str">
        <f>YEAR(Datos_Consumo[[#This Row],[FECHA]])&amp;"-"&amp;MONTH(Datos_Consumo[[#This Row],[FECHA]])</f>
        <v>2017-12</v>
      </c>
    </row>
    <row r="3156" spans="1:4" x14ac:dyDescent="0.25">
      <c r="A3156" t="s">
        <v>2442</v>
      </c>
      <c r="B3156">
        <v>1</v>
      </c>
      <c r="C3156" s="54">
        <v>43101</v>
      </c>
      <c r="D3156" s="3" t="str">
        <f>YEAR(Datos_Consumo[[#This Row],[FECHA]])&amp;"-"&amp;MONTH(Datos_Consumo[[#This Row],[FECHA]])</f>
        <v>2018-1</v>
      </c>
    </row>
    <row r="3157" spans="1:4" x14ac:dyDescent="0.25">
      <c r="A3157" t="s">
        <v>2442</v>
      </c>
      <c r="B3157">
        <v>8</v>
      </c>
      <c r="C3157" s="54">
        <v>43160</v>
      </c>
      <c r="D3157" s="3" t="str">
        <f>YEAR(Datos_Consumo[[#This Row],[FECHA]])&amp;"-"&amp;MONTH(Datos_Consumo[[#This Row],[FECHA]])</f>
        <v>2018-3</v>
      </c>
    </row>
    <row r="3158" spans="1:4" x14ac:dyDescent="0.25">
      <c r="A3158" t="s">
        <v>2443</v>
      </c>
      <c r="B3158">
        <v>3</v>
      </c>
      <c r="C3158" s="54">
        <v>43070</v>
      </c>
      <c r="D3158" s="3" t="str">
        <f>YEAR(Datos_Consumo[[#This Row],[FECHA]])&amp;"-"&amp;MONTH(Datos_Consumo[[#This Row],[FECHA]])</f>
        <v>2017-12</v>
      </c>
    </row>
    <row r="3159" spans="1:4" x14ac:dyDescent="0.25">
      <c r="A3159" t="s">
        <v>2443</v>
      </c>
      <c r="B3159">
        <v>1</v>
      </c>
      <c r="C3159" s="54">
        <v>43101</v>
      </c>
      <c r="D3159" s="3" t="str">
        <f>YEAR(Datos_Consumo[[#This Row],[FECHA]])&amp;"-"&amp;MONTH(Datos_Consumo[[#This Row],[FECHA]])</f>
        <v>2018-1</v>
      </c>
    </row>
    <row r="3160" spans="1:4" x14ac:dyDescent="0.25">
      <c r="A3160" t="s">
        <v>2443</v>
      </c>
      <c r="B3160">
        <v>5</v>
      </c>
      <c r="C3160" s="54">
        <v>43160</v>
      </c>
      <c r="D3160" s="3" t="str">
        <f>YEAR(Datos_Consumo[[#This Row],[FECHA]])&amp;"-"&amp;MONTH(Datos_Consumo[[#This Row],[FECHA]])</f>
        <v>2018-3</v>
      </c>
    </row>
    <row r="3161" spans="1:4" x14ac:dyDescent="0.25">
      <c r="A3161" t="s">
        <v>2443</v>
      </c>
      <c r="B3161">
        <v>32</v>
      </c>
      <c r="C3161" s="54">
        <v>43191</v>
      </c>
      <c r="D3161" s="3" t="str">
        <f>YEAR(Datos_Consumo[[#This Row],[FECHA]])&amp;"-"&amp;MONTH(Datos_Consumo[[#This Row],[FECHA]])</f>
        <v>2018-4</v>
      </c>
    </row>
    <row r="3162" spans="1:4" x14ac:dyDescent="0.25">
      <c r="A3162" t="s">
        <v>2444</v>
      </c>
      <c r="B3162">
        <v>1</v>
      </c>
      <c r="C3162" s="54">
        <v>43070</v>
      </c>
      <c r="D3162" s="3" t="str">
        <f>YEAR(Datos_Consumo[[#This Row],[FECHA]])&amp;"-"&amp;MONTH(Datos_Consumo[[#This Row],[FECHA]])</f>
        <v>2017-12</v>
      </c>
    </row>
    <row r="3163" spans="1:4" x14ac:dyDescent="0.25">
      <c r="A3163" t="s">
        <v>2444</v>
      </c>
      <c r="B3163">
        <v>3</v>
      </c>
      <c r="C3163" s="54">
        <v>43132</v>
      </c>
      <c r="D3163" s="3" t="str">
        <f>YEAR(Datos_Consumo[[#This Row],[FECHA]])&amp;"-"&amp;MONTH(Datos_Consumo[[#This Row],[FECHA]])</f>
        <v>2018-2</v>
      </c>
    </row>
    <row r="3164" spans="1:4" x14ac:dyDescent="0.25">
      <c r="A3164" t="s">
        <v>2444</v>
      </c>
      <c r="B3164">
        <v>1</v>
      </c>
      <c r="C3164" s="54">
        <v>43191</v>
      </c>
      <c r="D3164" s="3" t="str">
        <f>YEAR(Datos_Consumo[[#This Row],[FECHA]])&amp;"-"&amp;MONTH(Datos_Consumo[[#This Row],[FECHA]])</f>
        <v>2018-4</v>
      </c>
    </row>
    <row r="3165" spans="1:4" x14ac:dyDescent="0.25">
      <c r="A3165" t="s">
        <v>2444</v>
      </c>
      <c r="B3165">
        <v>1</v>
      </c>
      <c r="C3165" s="54">
        <v>43221</v>
      </c>
      <c r="D3165" s="3" t="str">
        <f>YEAR(Datos_Consumo[[#This Row],[FECHA]])&amp;"-"&amp;MONTH(Datos_Consumo[[#This Row],[FECHA]])</f>
        <v>2018-5</v>
      </c>
    </row>
    <row r="3166" spans="1:4" x14ac:dyDescent="0.25">
      <c r="A3166" t="s">
        <v>2445</v>
      </c>
      <c r="B3166">
        <v>2</v>
      </c>
      <c r="C3166" s="54">
        <v>43191</v>
      </c>
      <c r="D3166" s="3" t="str">
        <f>YEAR(Datos_Consumo[[#This Row],[FECHA]])&amp;"-"&amp;MONTH(Datos_Consumo[[#This Row],[FECHA]])</f>
        <v>2018-4</v>
      </c>
    </row>
    <row r="3167" spans="1:4" x14ac:dyDescent="0.25">
      <c r="A3167" t="s">
        <v>2446</v>
      </c>
      <c r="B3167">
        <v>1</v>
      </c>
      <c r="C3167" s="54">
        <v>43070</v>
      </c>
      <c r="D3167" s="3" t="str">
        <f>YEAR(Datos_Consumo[[#This Row],[FECHA]])&amp;"-"&amp;MONTH(Datos_Consumo[[#This Row],[FECHA]])</f>
        <v>2017-12</v>
      </c>
    </row>
    <row r="3168" spans="1:4" x14ac:dyDescent="0.25">
      <c r="A3168" t="s">
        <v>2447</v>
      </c>
      <c r="B3168">
        <v>2</v>
      </c>
      <c r="C3168" s="54">
        <v>43191</v>
      </c>
      <c r="D3168" s="3" t="str">
        <f>YEAR(Datos_Consumo[[#This Row],[FECHA]])&amp;"-"&amp;MONTH(Datos_Consumo[[#This Row],[FECHA]])</f>
        <v>2018-4</v>
      </c>
    </row>
    <row r="3169" spans="1:4" x14ac:dyDescent="0.25">
      <c r="A3169" t="s">
        <v>2448</v>
      </c>
      <c r="B3169">
        <v>1</v>
      </c>
      <c r="C3169" s="54">
        <v>43132</v>
      </c>
      <c r="D3169" s="3" t="str">
        <f>YEAR(Datos_Consumo[[#This Row],[FECHA]])&amp;"-"&amp;MONTH(Datos_Consumo[[#This Row],[FECHA]])</f>
        <v>2018-2</v>
      </c>
    </row>
    <row r="3170" spans="1:4" x14ac:dyDescent="0.25">
      <c r="A3170" t="s">
        <v>2449</v>
      </c>
      <c r="B3170">
        <v>2</v>
      </c>
      <c r="C3170" s="54">
        <v>43132</v>
      </c>
      <c r="D3170" s="3" t="str">
        <f>YEAR(Datos_Consumo[[#This Row],[FECHA]])&amp;"-"&amp;MONTH(Datos_Consumo[[#This Row],[FECHA]])</f>
        <v>2018-2</v>
      </c>
    </row>
    <row r="3171" spans="1:4" x14ac:dyDescent="0.25">
      <c r="A3171" t="s">
        <v>2450</v>
      </c>
      <c r="B3171">
        <v>15</v>
      </c>
      <c r="C3171" s="54">
        <v>43101</v>
      </c>
      <c r="D3171" s="3" t="str">
        <f>YEAR(Datos_Consumo[[#This Row],[FECHA]])&amp;"-"&amp;MONTH(Datos_Consumo[[#This Row],[FECHA]])</f>
        <v>2018-1</v>
      </c>
    </row>
    <row r="3172" spans="1:4" x14ac:dyDescent="0.25">
      <c r="A3172" t="s">
        <v>2450</v>
      </c>
      <c r="B3172">
        <v>6</v>
      </c>
      <c r="C3172" s="54">
        <v>43160</v>
      </c>
      <c r="D3172" s="3" t="str">
        <f>YEAR(Datos_Consumo[[#This Row],[FECHA]])&amp;"-"&amp;MONTH(Datos_Consumo[[#This Row],[FECHA]])</f>
        <v>2018-3</v>
      </c>
    </row>
    <row r="3173" spans="1:4" x14ac:dyDescent="0.25">
      <c r="A3173" t="s">
        <v>2451</v>
      </c>
      <c r="B3173">
        <v>6</v>
      </c>
      <c r="C3173" s="54">
        <v>43070</v>
      </c>
      <c r="D3173" s="3" t="str">
        <f>YEAR(Datos_Consumo[[#This Row],[FECHA]])&amp;"-"&amp;MONTH(Datos_Consumo[[#This Row],[FECHA]])</f>
        <v>2017-12</v>
      </c>
    </row>
    <row r="3174" spans="1:4" x14ac:dyDescent="0.25">
      <c r="A3174" t="s">
        <v>2451</v>
      </c>
      <c r="B3174">
        <v>2</v>
      </c>
      <c r="C3174" s="54">
        <v>43132</v>
      </c>
      <c r="D3174" s="3" t="str">
        <f>YEAR(Datos_Consumo[[#This Row],[FECHA]])&amp;"-"&amp;MONTH(Datos_Consumo[[#This Row],[FECHA]])</f>
        <v>2018-2</v>
      </c>
    </row>
    <row r="3175" spans="1:4" x14ac:dyDescent="0.25">
      <c r="A3175" t="s">
        <v>2452</v>
      </c>
      <c r="B3175">
        <v>4</v>
      </c>
      <c r="C3175" s="54">
        <v>43070</v>
      </c>
      <c r="D3175" s="3" t="str">
        <f>YEAR(Datos_Consumo[[#This Row],[FECHA]])&amp;"-"&amp;MONTH(Datos_Consumo[[#This Row],[FECHA]])</f>
        <v>2017-12</v>
      </c>
    </row>
    <row r="3176" spans="1:4" x14ac:dyDescent="0.25">
      <c r="A3176" t="s">
        <v>2452</v>
      </c>
      <c r="B3176">
        <v>3</v>
      </c>
      <c r="C3176" s="54">
        <v>43101</v>
      </c>
      <c r="D3176" s="3" t="str">
        <f>YEAR(Datos_Consumo[[#This Row],[FECHA]])&amp;"-"&amp;MONTH(Datos_Consumo[[#This Row],[FECHA]])</f>
        <v>2018-1</v>
      </c>
    </row>
    <row r="3177" spans="1:4" x14ac:dyDescent="0.25">
      <c r="A3177" t="s">
        <v>2452</v>
      </c>
      <c r="B3177">
        <v>1</v>
      </c>
      <c r="C3177" s="54">
        <v>43132</v>
      </c>
      <c r="D3177" s="3" t="str">
        <f>YEAR(Datos_Consumo[[#This Row],[FECHA]])&amp;"-"&amp;MONTH(Datos_Consumo[[#This Row],[FECHA]])</f>
        <v>2018-2</v>
      </c>
    </row>
    <row r="3178" spans="1:4" x14ac:dyDescent="0.25">
      <c r="A3178" t="s">
        <v>2452</v>
      </c>
      <c r="B3178">
        <v>5</v>
      </c>
      <c r="C3178" s="54">
        <v>43160</v>
      </c>
      <c r="D3178" s="3" t="str">
        <f>YEAR(Datos_Consumo[[#This Row],[FECHA]])&amp;"-"&amp;MONTH(Datos_Consumo[[#This Row],[FECHA]])</f>
        <v>2018-3</v>
      </c>
    </row>
    <row r="3179" spans="1:4" x14ac:dyDescent="0.25">
      <c r="A3179" t="s">
        <v>2453</v>
      </c>
      <c r="B3179">
        <v>2</v>
      </c>
      <c r="C3179" s="54">
        <v>43132</v>
      </c>
      <c r="D3179" s="3" t="str">
        <f>YEAR(Datos_Consumo[[#This Row],[FECHA]])&amp;"-"&amp;MONTH(Datos_Consumo[[#This Row],[FECHA]])</f>
        <v>2018-2</v>
      </c>
    </row>
    <row r="3180" spans="1:4" x14ac:dyDescent="0.25">
      <c r="A3180" t="s">
        <v>2454</v>
      </c>
      <c r="B3180">
        <v>8</v>
      </c>
      <c r="C3180" s="54">
        <v>43070</v>
      </c>
      <c r="D3180" s="3" t="str">
        <f>YEAR(Datos_Consumo[[#This Row],[FECHA]])&amp;"-"&amp;MONTH(Datos_Consumo[[#This Row],[FECHA]])</f>
        <v>2017-12</v>
      </c>
    </row>
    <row r="3181" spans="1:4" x14ac:dyDescent="0.25">
      <c r="A3181" t="s">
        <v>2454</v>
      </c>
      <c r="B3181">
        <v>6</v>
      </c>
      <c r="C3181" s="54">
        <v>43101</v>
      </c>
      <c r="D3181" s="3" t="str">
        <f>YEAR(Datos_Consumo[[#This Row],[FECHA]])&amp;"-"&amp;MONTH(Datos_Consumo[[#This Row],[FECHA]])</f>
        <v>2018-1</v>
      </c>
    </row>
    <row r="3182" spans="1:4" x14ac:dyDescent="0.25">
      <c r="A3182" t="s">
        <v>2454</v>
      </c>
      <c r="B3182">
        <v>1</v>
      </c>
      <c r="C3182" s="54">
        <v>43160</v>
      </c>
      <c r="D3182" s="3" t="str">
        <f>YEAR(Datos_Consumo[[#This Row],[FECHA]])&amp;"-"&amp;MONTH(Datos_Consumo[[#This Row],[FECHA]])</f>
        <v>2018-3</v>
      </c>
    </row>
    <row r="3183" spans="1:4" x14ac:dyDescent="0.25">
      <c r="A3183" t="s">
        <v>2454</v>
      </c>
      <c r="B3183">
        <v>1</v>
      </c>
      <c r="C3183" s="54">
        <v>43191</v>
      </c>
      <c r="D3183" s="3" t="str">
        <f>YEAR(Datos_Consumo[[#This Row],[FECHA]])&amp;"-"&amp;MONTH(Datos_Consumo[[#This Row],[FECHA]])</f>
        <v>2018-4</v>
      </c>
    </row>
    <row r="3184" spans="1:4" x14ac:dyDescent="0.25">
      <c r="A3184" t="s">
        <v>2454</v>
      </c>
      <c r="B3184">
        <v>1</v>
      </c>
      <c r="C3184" s="54">
        <v>43221</v>
      </c>
      <c r="D3184" s="3" t="str">
        <f>YEAR(Datos_Consumo[[#This Row],[FECHA]])&amp;"-"&amp;MONTH(Datos_Consumo[[#This Row],[FECHA]])</f>
        <v>2018-5</v>
      </c>
    </row>
    <row r="3185" spans="1:4" x14ac:dyDescent="0.25">
      <c r="A3185" t="s">
        <v>2455</v>
      </c>
      <c r="B3185">
        <v>2</v>
      </c>
      <c r="C3185" s="54">
        <v>43160</v>
      </c>
      <c r="D3185" s="3" t="str">
        <f>YEAR(Datos_Consumo[[#This Row],[FECHA]])&amp;"-"&amp;MONTH(Datos_Consumo[[#This Row],[FECHA]])</f>
        <v>2018-3</v>
      </c>
    </row>
    <row r="3186" spans="1:4" x14ac:dyDescent="0.25">
      <c r="A3186" t="s">
        <v>2456</v>
      </c>
      <c r="B3186">
        <v>6</v>
      </c>
      <c r="C3186" s="54">
        <v>43101</v>
      </c>
      <c r="D3186" s="3" t="str">
        <f>YEAR(Datos_Consumo[[#This Row],[FECHA]])&amp;"-"&amp;MONTH(Datos_Consumo[[#This Row],[FECHA]])</f>
        <v>2018-1</v>
      </c>
    </row>
    <row r="3187" spans="1:4" x14ac:dyDescent="0.25">
      <c r="A3187" t="s">
        <v>2457</v>
      </c>
      <c r="B3187">
        <v>2</v>
      </c>
      <c r="C3187" s="54">
        <v>43101</v>
      </c>
      <c r="D3187" s="3" t="str">
        <f>YEAR(Datos_Consumo[[#This Row],[FECHA]])&amp;"-"&amp;MONTH(Datos_Consumo[[#This Row],[FECHA]])</f>
        <v>2018-1</v>
      </c>
    </row>
    <row r="3188" spans="1:4" x14ac:dyDescent="0.25">
      <c r="A3188" t="s">
        <v>2457</v>
      </c>
      <c r="B3188">
        <v>1</v>
      </c>
      <c r="C3188" s="54">
        <v>43160</v>
      </c>
      <c r="D3188" s="3" t="str">
        <f>YEAR(Datos_Consumo[[#This Row],[FECHA]])&amp;"-"&amp;MONTH(Datos_Consumo[[#This Row],[FECHA]])</f>
        <v>2018-3</v>
      </c>
    </row>
    <row r="3189" spans="1:4" x14ac:dyDescent="0.25">
      <c r="A3189" t="s">
        <v>2458</v>
      </c>
      <c r="B3189">
        <v>2</v>
      </c>
      <c r="C3189" s="54">
        <v>43101</v>
      </c>
      <c r="D3189" s="3" t="str">
        <f>YEAR(Datos_Consumo[[#This Row],[FECHA]])&amp;"-"&amp;MONTH(Datos_Consumo[[#This Row],[FECHA]])</f>
        <v>2018-1</v>
      </c>
    </row>
    <row r="3190" spans="1:4" x14ac:dyDescent="0.25">
      <c r="A3190" t="s">
        <v>2458</v>
      </c>
      <c r="B3190">
        <v>6</v>
      </c>
      <c r="C3190" s="54">
        <v>43132</v>
      </c>
      <c r="D3190" s="3" t="str">
        <f>YEAR(Datos_Consumo[[#This Row],[FECHA]])&amp;"-"&amp;MONTH(Datos_Consumo[[#This Row],[FECHA]])</f>
        <v>2018-2</v>
      </c>
    </row>
    <row r="3191" spans="1:4" x14ac:dyDescent="0.25">
      <c r="A3191" t="s">
        <v>2459</v>
      </c>
      <c r="B3191">
        <v>2</v>
      </c>
      <c r="C3191" s="54">
        <v>43101</v>
      </c>
      <c r="D3191" s="3" t="str">
        <f>YEAR(Datos_Consumo[[#This Row],[FECHA]])&amp;"-"&amp;MONTH(Datos_Consumo[[#This Row],[FECHA]])</f>
        <v>2018-1</v>
      </c>
    </row>
    <row r="3192" spans="1:4" x14ac:dyDescent="0.25">
      <c r="A3192" t="s">
        <v>2459</v>
      </c>
      <c r="B3192">
        <v>1</v>
      </c>
      <c r="C3192" s="54">
        <v>43160</v>
      </c>
      <c r="D3192" s="3" t="str">
        <f>YEAR(Datos_Consumo[[#This Row],[FECHA]])&amp;"-"&amp;MONTH(Datos_Consumo[[#This Row],[FECHA]])</f>
        <v>2018-3</v>
      </c>
    </row>
    <row r="3193" spans="1:4" x14ac:dyDescent="0.25">
      <c r="A3193" t="s">
        <v>2460</v>
      </c>
      <c r="B3193">
        <v>6</v>
      </c>
      <c r="C3193" s="54">
        <v>43070</v>
      </c>
      <c r="D3193" s="3" t="str">
        <f>YEAR(Datos_Consumo[[#This Row],[FECHA]])&amp;"-"&amp;MONTH(Datos_Consumo[[#This Row],[FECHA]])</f>
        <v>2017-12</v>
      </c>
    </row>
    <row r="3194" spans="1:4" x14ac:dyDescent="0.25">
      <c r="A3194" t="s">
        <v>2460</v>
      </c>
      <c r="B3194">
        <v>2</v>
      </c>
      <c r="C3194" s="54">
        <v>43101</v>
      </c>
      <c r="D3194" s="3" t="str">
        <f>YEAR(Datos_Consumo[[#This Row],[FECHA]])&amp;"-"&amp;MONTH(Datos_Consumo[[#This Row],[FECHA]])</f>
        <v>2018-1</v>
      </c>
    </row>
    <row r="3195" spans="1:4" x14ac:dyDescent="0.25">
      <c r="A3195" t="s">
        <v>2460</v>
      </c>
      <c r="B3195">
        <v>2</v>
      </c>
      <c r="C3195" s="54">
        <v>43160</v>
      </c>
      <c r="D3195" s="3" t="str">
        <f>YEAR(Datos_Consumo[[#This Row],[FECHA]])&amp;"-"&amp;MONTH(Datos_Consumo[[#This Row],[FECHA]])</f>
        <v>2018-3</v>
      </c>
    </row>
    <row r="3196" spans="1:4" x14ac:dyDescent="0.25">
      <c r="A3196" t="s">
        <v>2460</v>
      </c>
      <c r="B3196">
        <v>3</v>
      </c>
      <c r="C3196" s="54">
        <v>43191</v>
      </c>
      <c r="D3196" s="3" t="str">
        <f>YEAR(Datos_Consumo[[#This Row],[FECHA]])&amp;"-"&amp;MONTH(Datos_Consumo[[#This Row],[FECHA]])</f>
        <v>2018-4</v>
      </c>
    </row>
    <row r="3197" spans="1:4" x14ac:dyDescent="0.25">
      <c r="A3197" t="s">
        <v>2460</v>
      </c>
      <c r="B3197">
        <v>12</v>
      </c>
      <c r="C3197" s="54">
        <v>43221</v>
      </c>
      <c r="D3197" s="3" t="str">
        <f>YEAR(Datos_Consumo[[#This Row],[FECHA]])&amp;"-"&amp;MONTH(Datos_Consumo[[#This Row],[FECHA]])</f>
        <v>2018-5</v>
      </c>
    </row>
    <row r="3198" spans="1:4" x14ac:dyDescent="0.25">
      <c r="A3198" t="s">
        <v>2461</v>
      </c>
      <c r="B3198">
        <v>1</v>
      </c>
      <c r="C3198" s="54">
        <v>43160</v>
      </c>
      <c r="D3198" s="3" t="str">
        <f>YEAR(Datos_Consumo[[#This Row],[FECHA]])&amp;"-"&amp;MONTH(Datos_Consumo[[#This Row],[FECHA]])</f>
        <v>2018-3</v>
      </c>
    </row>
    <row r="3199" spans="1:4" x14ac:dyDescent="0.25">
      <c r="A3199" t="s">
        <v>2462</v>
      </c>
      <c r="B3199">
        <v>2</v>
      </c>
      <c r="C3199" s="54">
        <v>43191</v>
      </c>
      <c r="D3199" s="3" t="str">
        <f>YEAR(Datos_Consumo[[#This Row],[FECHA]])&amp;"-"&amp;MONTH(Datos_Consumo[[#This Row],[FECHA]])</f>
        <v>2018-4</v>
      </c>
    </row>
    <row r="3200" spans="1:4" x14ac:dyDescent="0.25">
      <c r="A3200" t="s">
        <v>2463</v>
      </c>
      <c r="B3200">
        <v>1</v>
      </c>
      <c r="C3200" s="54">
        <v>43101</v>
      </c>
      <c r="D3200" s="3" t="str">
        <f>YEAR(Datos_Consumo[[#This Row],[FECHA]])&amp;"-"&amp;MONTH(Datos_Consumo[[#This Row],[FECHA]])</f>
        <v>2018-1</v>
      </c>
    </row>
    <row r="3201" spans="1:4" x14ac:dyDescent="0.25">
      <c r="A3201" t="s">
        <v>2464</v>
      </c>
      <c r="B3201">
        <v>1</v>
      </c>
      <c r="C3201" s="54">
        <v>43070</v>
      </c>
      <c r="D3201" s="3" t="str">
        <f>YEAR(Datos_Consumo[[#This Row],[FECHA]])&amp;"-"&amp;MONTH(Datos_Consumo[[#This Row],[FECHA]])</f>
        <v>2017-12</v>
      </c>
    </row>
    <row r="3202" spans="1:4" x14ac:dyDescent="0.25">
      <c r="A3202" t="s">
        <v>2464</v>
      </c>
      <c r="B3202">
        <v>3</v>
      </c>
      <c r="C3202" s="54">
        <v>43101</v>
      </c>
      <c r="D3202" s="3" t="str">
        <f>YEAR(Datos_Consumo[[#This Row],[FECHA]])&amp;"-"&amp;MONTH(Datos_Consumo[[#This Row],[FECHA]])</f>
        <v>2018-1</v>
      </c>
    </row>
    <row r="3203" spans="1:4" x14ac:dyDescent="0.25">
      <c r="A3203" t="s">
        <v>2465</v>
      </c>
      <c r="B3203">
        <v>1</v>
      </c>
      <c r="C3203" s="54">
        <v>43070</v>
      </c>
      <c r="D3203" s="3" t="str">
        <f>YEAR(Datos_Consumo[[#This Row],[FECHA]])&amp;"-"&amp;MONTH(Datos_Consumo[[#This Row],[FECHA]])</f>
        <v>2017-12</v>
      </c>
    </row>
    <row r="3204" spans="1:4" x14ac:dyDescent="0.25">
      <c r="A3204" t="s">
        <v>2465</v>
      </c>
      <c r="B3204">
        <v>1</v>
      </c>
      <c r="C3204" s="54">
        <v>43101</v>
      </c>
      <c r="D3204" s="3" t="str">
        <f>YEAR(Datos_Consumo[[#This Row],[FECHA]])&amp;"-"&amp;MONTH(Datos_Consumo[[#This Row],[FECHA]])</f>
        <v>2018-1</v>
      </c>
    </row>
    <row r="3205" spans="1:4" x14ac:dyDescent="0.25">
      <c r="A3205" t="s">
        <v>2465</v>
      </c>
      <c r="B3205">
        <v>4</v>
      </c>
      <c r="C3205" s="54">
        <v>43160</v>
      </c>
      <c r="D3205" s="3" t="str">
        <f>YEAR(Datos_Consumo[[#This Row],[FECHA]])&amp;"-"&amp;MONTH(Datos_Consumo[[#This Row],[FECHA]])</f>
        <v>2018-3</v>
      </c>
    </row>
    <row r="3206" spans="1:4" x14ac:dyDescent="0.25">
      <c r="A3206" t="s">
        <v>2465</v>
      </c>
      <c r="B3206">
        <v>1</v>
      </c>
      <c r="C3206" s="54">
        <v>43191</v>
      </c>
      <c r="D3206" s="3" t="str">
        <f>YEAR(Datos_Consumo[[#This Row],[FECHA]])&amp;"-"&amp;MONTH(Datos_Consumo[[#This Row],[FECHA]])</f>
        <v>2018-4</v>
      </c>
    </row>
    <row r="3207" spans="1:4" x14ac:dyDescent="0.25">
      <c r="A3207" t="s">
        <v>2466</v>
      </c>
      <c r="B3207">
        <v>2</v>
      </c>
      <c r="C3207" s="54">
        <v>43070</v>
      </c>
      <c r="D3207" s="3" t="str">
        <f>YEAR(Datos_Consumo[[#This Row],[FECHA]])&amp;"-"&amp;MONTH(Datos_Consumo[[#This Row],[FECHA]])</f>
        <v>2017-12</v>
      </c>
    </row>
    <row r="3208" spans="1:4" x14ac:dyDescent="0.25">
      <c r="A3208" t="s">
        <v>2466</v>
      </c>
      <c r="B3208">
        <v>2</v>
      </c>
      <c r="C3208" s="54">
        <v>43132</v>
      </c>
      <c r="D3208" s="3" t="str">
        <f>YEAR(Datos_Consumo[[#This Row],[FECHA]])&amp;"-"&amp;MONTH(Datos_Consumo[[#This Row],[FECHA]])</f>
        <v>2018-2</v>
      </c>
    </row>
    <row r="3209" spans="1:4" x14ac:dyDescent="0.25">
      <c r="A3209" t="s">
        <v>2466</v>
      </c>
      <c r="B3209">
        <v>3</v>
      </c>
      <c r="C3209" s="54">
        <v>43160</v>
      </c>
      <c r="D3209" s="3" t="str">
        <f>YEAR(Datos_Consumo[[#This Row],[FECHA]])&amp;"-"&amp;MONTH(Datos_Consumo[[#This Row],[FECHA]])</f>
        <v>2018-3</v>
      </c>
    </row>
    <row r="3210" spans="1:4" x14ac:dyDescent="0.25">
      <c r="A3210" t="s">
        <v>2466</v>
      </c>
      <c r="B3210">
        <v>1</v>
      </c>
      <c r="C3210" s="54">
        <v>43191</v>
      </c>
      <c r="D3210" s="3" t="str">
        <f>YEAR(Datos_Consumo[[#This Row],[FECHA]])&amp;"-"&amp;MONTH(Datos_Consumo[[#This Row],[FECHA]])</f>
        <v>2018-4</v>
      </c>
    </row>
    <row r="3211" spans="1:4" x14ac:dyDescent="0.25">
      <c r="A3211" t="s">
        <v>2466</v>
      </c>
      <c r="B3211">
        <v>2</v>
      </c>
      <c r="C3211" s="54">
        <v>43221</v>
      </c>
      <c r="D3211" s="3" t="str">
        <f>YEAR(Datos_Consumo[[#This Row],[FECHA]])&amp;"-"&amp;MONTH(Datos_Consumo[[#This Row],[FECHA]])</f>
        <v>2018-5</v>
      </c>
    </row>
    <row r="3212" spans="1:4" x14ac:dyDescent="0.25">
      <c r="A3212" t="s">
        <v>2467</v>
      </c>
      <c r="B3212">
        <v>2</v>
      </c>
      <c r="C3212" s="54">
        <v>43132</v>
      </c>
      <c r="D3212" s="3" t="str">
        <f>YEAR(Datos_Consumo[[#This Row],[FECHA]])&amp;"-"&amp;MONTH(Datos_Consumo[[#This Row],[FECHA]])</f>
        <v>2018-2</v>
      </c>
    </row>
    <row r="3213" spans="1:4" x14ac:dyDescent="0.25">
      <c r="A3213" t="s">
        <v>2467</v>
      </c>
      <c r="B3213">
        <v>24</v>
      </c>
      <c r="C3213" s="54">
        <v>43160</v>
      </c>
      <c r="D3213" s="3" t="str">
        <f>YEAR(Datos_Consumo[[#This Row],[FECHA]])&amp;"-"&amp;MONTH(Datos_Consumo[[#This Row],[FECHA]])</f>
        <v>2018-3</v>
      </c>
    </row>
    <row r="3214" spans="1:4" x14ac:dyDescent="0.25">
      <c r="A3214" t="s">
        <v>2468</v>
      </c>
      <c r="B3214">
        <v>6</v>
      </c>
      <c r="C3214" s="54">
        <v>43132</v>
      </c>
      <c r="D3214" s="3" t="str">
        <f>YEAR(Datos_Consumo[[#This Row],[FECHA]])&amp;"-"&amp;MONTH(Datos_Consumo[[#This Row],[FECHA]])</f>
        <v>2018-2</v>
      </c>
    </row>
    <row r="3215" spans="1:4" x14ac:dyDescent="0.25">
      <c r="A3215" t="s">
        <v>2469</v>
      </c>
      <c r="B3215">
        <v>1</v>
      </c>
      <c r="C3215" s="54">
        <v>43132</v>
      </c>
      <c r="D3215" s="3" t="str">
        <f>YEAR(Datos_Consumo[[#This Row],[FECHA]])&amp;"-"&amp;MONTH(Datos_Consumo[[#This Row],[FECHA]])</f>
        <v>2018-2</v>
      </c>
    </row>
    <row r="3216" spans="1:4" x14ac:dyDescent="0.25">
      <c r="A3216" t="s">
        <v>2470</v>
      </c>
      <c r="B3216">
        <v>3</v>
      </c>
      <c r="C3216" s="54">
        <v>43101</v>
      </c>
      <c r="D3216" s="3" t="str">
        <f>YEAR(Datos_Consumo[[#This Row],[FECHA]])&amp;"-"&amp;MONTH(Datos_Consumo[[#This Row],[FECHA]])</f>
        <v>2018-1</v>
      </c>
    </row>
    <row r="3217" spans="1:4" x14ac:dyDescent="0.25">
      <c r="A3217" t="s">
        <v>2471</v>
      </c>
      <c r="B3217">
        <v>2</v>
      </c>
      <c r="C3217" s="54">
        <v>43070</v>
      </c>
      <c r="D3217" s="3" t="str">
        <f>YEAR(Datos_Consumo[[#This Row],[FECHA]])&amp;"-"&amp;MONTH(Datos_Consumo[[#This Row],[FECHA]])</f>
        <v>2017-12</v>
      </c>
    </row>
    <row r="3218" spans="1:4" x14ac:dyDescent="0.25">
      <c r="A3218" t="s">
        <v>2472</v>
      </c>
      <c r="B3218">
        <v>6</v>
      </c>
      <c r="C3218" s="54">
        <v>43070</v>
      </c>
      <c r="D3218" s="3" t="str">
        <f>YEAR(Datos_Consumo[[#This Row],[FECHA]])&amp;"-"&amp;MONTH(Datos_Consumo[[#This Row],[FECHA]])</f>
        <v>2017-12</v>
      </c>
    </row>
    <row r="3219" spans="1:4" x14ac:dyDescent="0.25">
      <c r="A3219" t="s">
        <v>2472</v>
      </c>
      <c r="B3219">
        <v>31</v>
      </c>
      <c r="C3219" s="54">
        <v>43101</v>
      </c>
      <c r="D3219" s="3" t="str">
        <f>YEAR(Datos_Consumo[[#This Row],[FECHA]])&amp;"-"&amp;MONTH(Datos_Consumo[[#This Row],[FECHA]])</f>
        <v>2018-1</v>
      </c>
    </row>
    <row r="3220" spans="1:4" x14ac:dyDescent="0.25">
      <c r="A3220" t="s">
        <v>2472</v>
      </c>
      <c r="B3220">
        <v>139</v>
      </c>
      <c r="C3220" s="54">
        <v>43132</v>
      </c>
      <c r="D3220" s="3" t="str">
        <f>YEAR(Datos_Consumo[[#This Row],[FECHA]])&amp;"-"&amp;MONTH(Datos_Consumo[[#This Row],[FECHA]])</f>
        <v>2018-2</v>
      </c>
    </row>
    <row r="3221" spans="1:4" x14ac:dyDescent="0.25">
      <c r="A3221" t="s">
        <v>2472</v>
      </c>
      <c r="B3221">
        <v>74</v>
      </c>
      <c r="C3221" s="54">
        <v>43160</v>
      </c>
      <c r="D3221" s="3" t="str">
        <f>YEAR(Datos_Consumo[[#This Row],[FECHA]])&amp;"-"&amp;MONTH(Datos_Consumo[[#This Row],[FECHA]])</f>
        <v>2018-3</v>
      </c>
    </row>
    <row r="3222" spans="1:4" x14ac:dyDescent="0.25">
      <c r="A3222" t="s">
        <v>2472</v>
      </c>
      <c r="B3222">
        <v>28</v>
      </c>
      <c r="C3222" s="54">
        <v>43191</v>
      </c>
      <c r="D3222" s="3" t="str">
        <f>YEAR(Datos_Consumo[[#This Row],[FECHA]])&amp;"-"&amp;MONTH(Datos_Consumo[[#This Row],[FECHA]])</f>
        <v>2018-4</v>
      </c>
    </row>
    <row r="3223" spans="1:4" x14ac:dyDescent="0.25">
      <c r="A3223" t="s">
        <v>2472</v>
      </c>
      <c r="B3223">
        <v>8</v>
      </c>
      <c r="C3223" s="54">
        <v>43221</v>
      </c>
      <c r="D3223" s="3" t="str">
        <f>YEAR(Datos_Consumo[[#This Row],[FECHA]])&amp;"-"&amp;MONTH(Datos_Consumo[[#This Row],[FECHA]])</f>
        <v>2018-5</v>
      </c>
    </row>
    <row r="3224" spans="1:4" x14ac:dyDescent="0.25">
      <c r="A3224" t="s">
        <v>2473</v>
      </c>
      <c r="B3224">
        <v>1</v>
      </c>
      <c r="C3224" s="54">
        <v>43070</v>
      </c>
      <c r="D3224" s="3" t="str">
        <f>YEAR(Datos_Consumo[[#This Row],[FECHA]])&amp;"-"&amp;MONTH(Datos_Consumo[[#This Row],[FECHA]])</f>
        <v>2017-12</v>
      </c>
    </row>
    <row r="3225" spans="1:4" x14ac:dyDescent="0.25">
      <c r="A3225" t="s">
        <v>2474</v>
      </c>
      <c r="B3225">
        <v>4</v>
      </c>
      <c r="C3225" s="54">
        <v>43070</v>
      </c>
      <c r="D3225" s="3" t="str">
        <f>YEAR(Datos_Consumo[[#This Row],[FECHA]])&amp;"-"&amp;MONTH(Datos_Consumo[[#This Row],[FECHA]])</f>
        <v>2017-12</v>
      </c>
    </row>
    <row r="3226" spans="1:4" x14ac:dyDescent="0.25">
      <c r="A3226" t="s">
        <v>2474</v>
      </c>
      <c r="B3226">
        <v>11</v>
      </c>
      <c r="C3226" s="54">
        <v>43101</v>
      </c>
      <c r="D3226" s="3" t="str">
        <f>YEAR(Datos_Consumo[[#This Row],[FECHA]])&amp;"-"&amp;MONTH(Datos_Consumo[[#This Row],[FECHA]])</f>
        <v>2018-1</v>
      </c>
    </row>
    <row r="3227" spans="1:4" x14ac:dyDescent="0.25">
      <c r="A3227" t="s">
        <v>2475</v>
      </c>
      <c r="B3227">
        <v>14</v>
      </c>
      <c r="C3227" s="54">
        <v>43101</v>
      </c>
      <c r="D3227" s="3" t="str">
        <f>YEAR(Datos_Consumo[[#This Row],[FECHA]])&amp;"-"&amp;MONTH(Datos_Consumo[[#This Row],[FECHA]])</f>
        <v>2018-1</v>
      </c>
    </row>
    <row r="3228" spans="1:4" x14ac:dyDescent="0.25">
      <c r="A3228" t="s">
        <v>2475</v>
      </c>
      <c r="B3228">
        <v>17</v>
      </c>
      <c r="C3228" s="54">
        <v>43160</v>
      </c>
      <c r="D3228" s="3" t="str">
        <f>YEAR(Datos_Consumo[[#This Row],[FECHA]])&amp;"-"&amp;MONTH(Datos_Consumo[[#This Row],[FECHA]])</f>
        <v>2018-3</v>
      </c>
    </row>
    <row r="3229" spans="1:4" x14ac:dyDescent="0.25">
      <c r="A3229" t="s">
        <v>2476</v>
      </c>
      <c r="B3229">
        <v>5</v>
      </c>
      <c r="C3229" s="54">
        <v>43160</v>
      </c>
      <c r="D3229" s="3" t="str">
        <f>YEAR(Datos_Consumo[[#This Row],[FECHA]])&amp;"-"&amp;MONTH(Datos_Consumo[[#This Row],[FECHA]])</f>
        <v>2018-3</v>
      </c>
    </row>
    <row r="3230" spans="1:4" x14ac:dyDescent="0.25">
      <c r="A3230" t="s">
        <v>2477</v>
      </c>
      <c r="B3230">
        <v>2</v>
      </c>
      <c r="C3230" s="54">
        <v>43132</v>
      </c>
      <c r="D3230" s="3" t="str">
        <f>YEAR(Datos_Consumo[[#This Row],[FECHA]])&amp;"-"&amp;MONTH(Datos_Consumo[[#This Row],[FECHA]])</f>
        <v>2018-2</v>
      </c>
    </row>
    <row r="3231" spans="1:4" x14ac:dyDescent="0.25">
      <c r="A3231" t="s">
        <v>2478</v>
      </c>
      <c r="B3231">
        <v>4</v>
      </c>
      <c r="C3231" s="54">
        <v>43070</v>
      </c>
      <c r="D3231" s="3" t="str">
        <f>YEAR(Datos_Consumo[[#This Row],[FECHA]])&amp;"-"&amp;MONTH(Datos_Consumo[[#This Row],[FECHA]])</f>
        <v>2017-12</v>
      </c>
    </row>
    <row r="3232" spans="1:4" x14ac:dyDescent="0.25">
      <c r="A3232" t="s">
        <v>2479</v>
      </c>
      <c r="B3232">
        <v>8</v>
      </c>
      <c r="C3232" s="54">
        <v>43070</v>
      </c>
      <c r="D3232" s="3" t="str">
        <f>YEAR(Datos_Consumo[[#This Row],[FECHA]])&amp;"-"&amp;MONTH(Datos_Consumo[[#This Row],[FECHA]])</f>
        <v>2017-12</v>
      </c>
    </row>
    <row r="3233" spans="1:4" x14ac:dyDescent="0.25">
      <c r="A3233" t="s">
        <v>2479</v>
      </c>
      <c r="B3233">
        <v>2</v>
      </c>
      <c r="C3233" s="54">
        <v>43101</v>
      </c>
      <c r="D3233" s="3" t="str">
        <f>YEAR(Datos_Consumo[[#This Row],[FECHA]])&amp;"-"&amp;MONTH(Datos_Consumo[[#This Row],[FECHA]])</f>
        <v>2018-1</v>
      </c>
    </row>
    <row r="3234" spans="1:4" x14ac:dyDescent="0.25">
      <c r="A3234" t="s">
        <v>2479</v>
      </c>
      <c r="B3234">
        <v>18</v>
      </c>
      <c r="C3234" s="54">
        <v>43160</v>
      </c>
      <c r="D3234" s="3" t="str">
        <f>YEAR(Datos_Consumo[[#This Row],[FECHA]])&amp;"-"&amp;MONTH(Datos_Consumo[[#This Row],[FECHA]])</f>
        <v>2018-3</v>
      </c>
    </row>
    <row r="3235" spans="1:4" x14ac:dyDescent="0.25">
      <c r="A3235" t="s">
        <v>2479</v>
      </c>
      <c r="B3235">
        <v>7</v>
      </c>
      <c r="C3235" s="54">
        <v>43191</v>
      </c>
      <c r="D3235" s="3" t="str">
        <f>YEAR(Datos_Consumo[[#This Row],[FECHA]])&amp;"-"&amp;MONTH(Datos_Consumo[[#This Row],[FECHA]])</f>
        <v>2018-4</v>
      </c>
    </row>
    <row r="3236" spans="1:4" x14ac:dyDescent="0.25">
      <c r="A3236" t="s">
        <v>2480</v>
      </c>
      <c r="B3236">
        <v>2</v>
      </c>
      <c r="C3236" s="54">
        <v>43132</v>
      </c>
      <c r="D3236" s="3" t="str">
        <f>YEAR(Datos_Consumo[[#This Row],[FECHA]])&amp;"-"&amp;MONTH(Datos_Consumo[[#This Row],[FECHA]])</f>
        <v>2018-2</v>
      </c>
    </row>
    <row r="3237" spans="1:4" x14ac:dyDescent="0.25">
      <c r="A3237" t="s">
        <v>2481</v>
      </c>
      <c r="B3237">
        <v>1</v>
      </c>
      <c r="C3237" s="54">
        <v>43070</v>
      </c>
      <c r="D3237" s="3" t="str">
        <f>YEAR(Datos_Consumo[[#This Row],[FECHA]])&amp;"-"&amp;MONTH(Datos_Consumo[[#This Row],[FECHA]])</f>
        <v>2017-12</v>
      </c>
    </row>
    <row r="3238" spans="1:4" x14ac:dyDescent="0.25">
      <c r="A3238" t="s">
        <v>2481</v>
      </c>
      <c r="B3238">
        <v>6</v>
      </c>
      <c r="C3238" s="54">
        <v>43101</v>
      </c>
      <c r="D3238" s="3" t="str">
        <f>YEAR(Datos_Consumo[[#This Row],[FECHA]])&amp;"-"&amp;MONTH(Datos_Consumo[[#This Row],[FECHA]])</f>
        <v>2018-1</v>
      </c>
    </row>
    <row r="3239" spans="1:4" x14ac:dyDescent="0.25">
      <c r="A3239" t="s">
        <v>2481</v>
      </c>
      <c r="B3239">
        <v>3</v>
      </c>
      <c r="C3239" s="54">
        <v>43132</v>
      </c>
      <c r="D3239" s="3" t="str">
        <f>YEAR(Datos_Consumo[[#This Row],[FECHA]])&amp;"-"&amp;MONTH(Datos_Consumo[[#This Row],[FECHA]])</f>
        <v>2018-2</v>
      </c>
    </row>
    <row r="3240" spans="1:4" x14ac:dyDescent="0.25">
      <c r="A3240" t="s">
        <v>2481</v>
      </c>
      <c r="B3240">
        <v>5</v>
      </c>
      <c r="C3240" s="54">
        <v>43160</v>
      </c>
      <c r="D3240" s="3" t="str">
        <f>YEAR(Datos_Consumo[[#This Row],[FECHA]])&amp;"-"&amp;MONTH(Datos_Consumo[[#This Row],[FECHA]])</f>
        <v>2018-3</v>
      </c>
    </row>
    <row r="3241" spans="1:4" x14ac:dyDescent="0.25">
      <c r="A3241" t="s">
        <v>2481</v>
      </c>
      <c r="B3241">
        <v>4</v>
      </c>
      <c r="C3241" s="54">
        <v>43191</v>
      </c>
      <c r="D3241" s="3" t="str">
        <f>YEAR(Datos_Consumo[[#This Row],[FECHA]])&amp;"-"&amp;MONTH(Datos_Consumo[[#This Row],[FECHA]])</f>
        <v>2018-4</v>
      </c>
    </row>
    <row r="3242" spans="1:4" x14ac:dyDescent="0.25">
      <c r="A3242" t="s">
        <v>2482</v>
      </c>
      <c r="B3242">
        <v>2</v>
      </c>
      <c r="C3242" s="54">
        <v>43132</v>
      </c>
      <c r="D3242" s="3" t="str">
        <f>YEAR(Datos_Consumo[[#This Row],[FECHA]])&amp;"-"&amp;MONTH(Datos_Consumo[[#This Row],[FECHA]])</f>
        <v>2018-2</v>
      </c>
    </row>
    <row r="3243" spans="1:4" x14ac:dyDescent="0.25">
      <c r="A3243" t="s">
        <v>2482</v>
      </c>
      <c r="B3243">
        <v>4</v>
      </c>
      <c r="C3243" s="54">
        <v>43191</v>
      </c>
      <c r="D3243" s="3" t="str">
        <f>YEAR(Datos_Consumo[[#This Row],[FECHA]])&amp;"-"&amp;MONTH(Datos_Consumo[[#This Row],[FECHA]])</f>
        <v>2018-4</v>
      </c>
    </row>
    <row r="3244" spans="1:4" x14ac:dyDescent="0.25">
      <c r="A3244" t="s">
        <v>2483</v>
      </c>
      <c r="B3244">
        <v>1</v>
      </c>
      <c r="C3244" s="54">
        <v>43070</v>
      </c>
      <c r="D3244" s="3" t="str">
        <f>YEAR(Datos_Consumo[[#This Row],[FECHA]])&amp;"-"&amp;MONTH(Datos_Consumo[[#This Row],[FECHA]])</f>
        <v>2017-12</v>
      </c>
    </row>
    <row r="3245" spans="1:4" x14ac:dyDescent="0.25">
      <c r="A3245" t="s">
        <v>2483</v>
      </c>
      <c r="B3245">
        <v>17</v>
      </c>
      <c r="C3245" s="54">
        <v>43101</v>
      </c>
      <c r="D3245" s="3" t="str">
        <f>YEAR(Datos_Consumo[[#This Row],[FECHA]])&amp;"-"&amp;MONTH(Datos_Consumo[[#This Row],[FECHA]])</f>
        <v>2018-1</v>
      </c>
    </row>
    <row r="3246" spans="1:4" x14ac:dyDescent="0.25">
      <c r="A3246" t="s">
        <v>2483</v>
      </c>
      <c r="B3246">
        <v>5</v>
      </c>
      <c r="C3246" s="54">
        <v>43160</v>
      </c>
      <c r="D3246" s="3" t="str">
        <f>YEAR(Datos_Consumo[[#This Row],[FECHA]])&amp;"-"&amp;MONTH(Datos_Consumo[[#This Row],[FECHA]])</f>
        <v>2018-3</v>
      </c>
    </row>
    <row r="3247" spans="1:4" x14ac:dyDescent="0.25">
      <c r="A3247" t="s">
        <v>2483</v>
      </c>
      <c r="B3247">
        <v>4</v>
      </c>
      <c r="C3247" s="54">
        <v>43221</v>
      </c>
      <c r="D3247" s="3" t="str">
        <f>YEAR(Datos_Consumo[[#This Row],[FECHA]])&amp;"-"&amp;MONTH(Datos_Consumo[[#This Row],[FECHA]])</f>
        <v>2018-5</v>
      </c>
    </row>
    <row r="3248" spans="1:4" x14ac:dyDescent="0.25">
      <c r="A3248" t="s">
        <v>2484</v>
      </c>
      <c r="B3248">
        <v>2</v>
      </c>
      <c r="C3248" s="54">
        <v>43101</v>
      </c>
      <c r="D3248" s="3" t="str">
        <f>YEAR(Datos_Consumo[[#This Row],[FECHA]])&amp;"-"&amp;MONTH(Datos_Consumo[[#This Row],[FECHA]])</f>
        <v>2018-1</v>
      </c>
    </row>
    <row r="3249" spans="1:4" x14ac:dyDescent="0.25">
      <c r="A3249" t="s">
        <v>2484</v>
      </c>
      <c r="B3249">
        <v>1</v>
      </c>
      <c r="C3249" s="54">
        <v>43191</v>
      </c>
      <c r="D3249" s="3" t="str">
        <f>YEAR(Datos_Consumo[[#This Row],[FECHA]])&amp;"-"&amp;MONTH(Datos_Consumo[[#This Row],[FECHA]])</f>
        <v>2018-4</v>
      </c>
    </row>
    <row r="3250" spans="1:4" x14ac:dyDescent="0.25">
      <c r="A3250" t="s">
        <v>2485</v>
      </c>
      <c r="B3250">
        <v>1</v>
      </c>
      <c r="C3250" s="54">
        <v>43101</v>
      </c>
      <c r="D3250" s="3" t="str">
        <f>YEAR(Datos_Consumo[[#This Row],[FECHA]])&amp;"-"&amp;MONTH(Datos_Consumo[[#This Row],[FECHA]])</f>
        <v>2018-1</v>
      </c>
    </row>
    <row r="3251" spans="1:4" x14ac:dyDescent="0.25">
      <c r="A3251" t="s">
        <v>2485</v>
      </c>
      <c r="B3251">
        <v>12</v>
      </c>
      <c r="C3251" s="54">
        <v>43132</v>
      </c>
      <c r="D3251" s="3" t="str">
        <f>YEAR(Datos_Consumo[[#This Row],[FECHA]])&amp;"-"&amp;MONTH(Datos_Consumo[[#This Row],[FECHA]])</f>
        <v>2018-2</v>
      </c>
    </row>
    <row r="3252" spans="1:4" x14ac:dyDescent="0.25">
      <c r="A3252" t="s">
        <v>2485</v>
      </c>
      <c r="B3252">
        <v>11</v>
      </c>
      <c r="C3252" s="54">
        <v>43221</v>
      </c>
      <c r="D3252" s="3" t="str">
        <f>YEAR(Datos_Consumo[[#This Row],[FECHA]])&amp;"-"&amp;MONTH(Datos_Consumo[[#This Row],[FECHA]])</f>
        <v>2018-5</v>
      </c>
    </row>
    <row r="3253" spans="1:4" x14ac:dyDescent="0.25">
      <c r="A3253" t="s">
        <v>2486</v>
      </c>
      <c r="B3253">
        <v>1</v>
      </c>
      <c r="C3253" s="54">
        <v>43160</v>
      </c>
      <c r="D3253" s="3" t="str">
        <f>YEAR(Datos_Consumo[[#This Row],[FECHA]])&amp;"-"&amp;MONTH(Datos_Consumo[[#This Row],[FECHA]])</f>
        <v>2018-3</v>
      </c>
    </row>
    <row r="3254" spans="1:4" x14ac:dyDescent="0.25">
      <c r="A3254" t="s">
        <v>2487</v>
      </c>
      <c r="B3254">
        <v>2</v>
      </c>
      <c r="C3254" s="54">
        <v>43070</v>
      </c>
      <c r="D3254" s="3" t="str">
        <f>YEAR(Datos_Consumo[[#This Row],[FECHA]])&amp;"-"&amp;MONTH(Datos_Consumo[[#This Row],[FECHA]])</f>
        <v>2017-12</v>
      </c>
    </row>
    <row r="3255" spans="1:4" x14ac:dyDescent="0.25">
      <c r="A3255" t="s">
        <v>2487</v>
      </c>
      <c r="B3255">
        <v>20</v>
      </c>
      <c r="C3255" s="54">
        <v>43101</v>
      </c>
      <c r="D3255" s="3" t="str">
        <f>YEAR(Datos_Consumo[[#This Row],[FECHA]])&amp;"-"&amp;MONTH(Datos_Consumo[[#This Row],[FECHA]])</f>
        <v>2018-1</v>
      </c>
    </row>
    <row r="3256" spans="1:4" x14ac:dyDescent="0.25">
      <c r="A3256" t="s">
        <v>2487</v>
      </c>
      <c r="B3256">
        <v>20</v>
      </c>
      <c r="C3256" s="54">
        <v>43160</v>
      </c>
      <c r="D3256" s="3" t="str">
        <f>YEAR(Datos_Consumo[[#This Row],[FECHA]])&amp;"-"&amp;MONTH(Datos_Consumo[[#This Row],[FECHA]])</f>
        <v>2018-3</v>
      </c>
    </row>
    <row r="3257" spans="1:4" x14ac:dyDescent="0.25">
      <c r="A3257" t="s">
        <v>2487</v>
      </c>
      <c r="B3257">
        <v>16</v>
      </c>
      <c r="C3257" s="54">
        <v>43191</v>
      </c>
      <c r="D3257" s="3" t="str">
        <f>YEAR(Datos_Consumo[[#This Row],[FECHA]])&amp;"-"&amp;MONTH(Datos_Consumo[[#This Row],[FECHA]])</f>
        <v>2018-4</v>
      </c>
    </row>
    <row r="3258" spans="1:4" x14ac:dyDescent="0.25">
      <c r="A3258" t="s">
        <v>2488</v>
      </c>
      <c r="B3258">
        <v>6</v>
      </c>
      <c r="C3258" s="54">
        <v>43160</v>
      </c>
      <c r="D3258" s="3" t="str">
        <f>YEAR(Datos_Consumo[[#This Row],[FECHA]])&amp;"-"&amp;MONTH(Datos_Consumo[[#This Row],[FECHA]])</f>
        <v>2018-3</v>
      </c>
    </row>
    <row r="3259" spans="1:4" x14ac:dyDescent="0.25">
      <c r="A3259" t="s">
        <v>2488</v>
      </c>
      <c r="B3259">
        <v>2</v>
      </c>
      <c r="C3259" s="54">
        <v>43221</v>
      </c>
      <c r="D3259" s="3" t="str">
        <f>YEAR(Datos_Consumo[[#This Row],[FECHA]])&amp;"-"&amp;MONTH(Datos_Consumo[[#This Row],[FECHA]])</f>
        <v>2018-5</v>
      </c>
    </row>
    <row r="3260" spans="1:4" x14ac:dyDescent="0.25">
      <c r="A3260" t="s">
        <v>2489</v>
      </c>
      <c r="B3260">
        <v>1</v>
      </c>
      <c r="C3260" s="54">
        <v>43101</v>
      </c>
      <c r="D3260" s="3" t="str">
        <f>YEAR(Datos_Consumo[[#This Row],[FECHA]])&amp;"-"&amp;MONTH(Datos_Consumo[[#This Row],[FECHA]])</f>
        <v>2018-1</v>
      </c>
    </row>
    <row r="3261" spans="1:4" x14ac:dyDescent="0.25">
      <c r="A3261" t="s">
        <v>2489</v>
      </c>
      <c r="B3261">
        <v>1</v>
      </c>
      <c r="C3261" s="54">
        <v>43160</v>
      </c>
      <c r="D3261" s="3" t="str">
        <f>YEAR(Datos_Consumo[[#This Row],[FECHA]])&amp;"-"&amp;MONTH(Datos_Consumo[[#This Row],[FECHA]])</f>
        <v>2018-3</v>
      </c>
    </row>
    <row r="3262" spans="1:4" x14ac:dyDescent="0.25">
      <c r="A3262" t="s">
        <v>2490</v>
      </c>
      <c r="B3262">
        <v>5</v>
      </c>
      <c r="C3262" s="54">
        <v>43101</v>
      </c>
      <c r="D3262" s="3" t="str">
        <f>YEAR(Datos_Consumo[[#This Row],[FECHA]])&amp;"-"&amp;MONTH(Datos_Consumo[[#This Row],[FECHA]])</f>
        <v>2018-1</v>
      </c>
    </row>
    <row r="3263" spans="1:4" x14ac:dyDescent="0.25">
      <c r="A3263" t="s">
        <v>2490</v>
      </c>
      <c r="B3263">
        <v>15</v>
      </c>
      <c r="C3263" s="54">
        <v>43132</v>
      </c>
      <c r="D3263" s="3" t="str">
        <f>YEAR(Datos_Consumo[[#This Row],[FECHA]])&amp;"-"&amp;MONTH(Datos_Consumo[[#This Row],[FECHA]])</f>
        <v>2018-2</v>
      </c>
    </row>
    <row r="3264" spans="1:4" x14ac:dyDescent="0.25">
      <c r="A3264" t="s">
        <v>2490</v>
      </c>
      <c r="B3264">
        <v>4</v>
      </c>
      <c r="C3264" s="54">
        <v>43160</v>
      </c>
      <c r="D3264" s="3" t="str">
        <f>YEAR(Datos_Consumo[[#This Row],[FECHA]])&amp;"-"&amp;MONTH(Datos_Consumo[[#This Row],[FECHA]])</f>
        <v>2018-3</v>
      </c>
    </row>
    <row r="3265" spans="1:4" x14ac:dyDescent="0.25">
      <c r="A3265" t="s">
        <v>2490</v>
      </c>
      <c r="B3265">
        <v>1</v>
      </c>
      <c r="C3265" s="54">
        <v>43191</v>
      </c>
      <c r="D3265" s="3" t="str">
        <f>YEAR(Datos_Consumo[[#This Row],[FECHA]])&amp;"-"&amp;MONTH(Datos_Consumo[[#This Row],[FECHA]])</f>
        <v>2018-4</v>
      </c>
    </row>
    <row r="3266" spans="1:4" x14ac:dyDescent="0.25">
      <c r="A3266" t="s">
        <v>2490</v>
      </c>
      <c r="B3266">
        <v>1</v>
      </c>
      <c r="C3266" s="54">
        <v>43221</v>
      </c>
      <c r="D3266" s="3" t="str">
        <f>YEAR(Datos_Consumo[[#This Row],[FECHA]])&amp;"-"&amp;MONTH(Datos_Consumo[[#This Row],[FECHA]])</f>
        <v>2018-5</v>
      </c>
    </row>
    <row r="3267" spans="1:4" x14ac:dyDescent="0.25">
      <c r="A3267" t="s">
        <v>2491</v>
      </c>
      <c r="B3267">
        <v>4</v>
      </c>
      <c r="C3267" s="54">
        <v>43070</v>
      </c>
      <c r="D3267" s="3" t="str">
        <f>YEAR(Datos_Consumo[[#This Row],[FECHA]])&amp;"-"&amp;MONTH(Datos_Consumo[[#This Row],[FECHA]])</f>
        <v>2017-12</v>
      </c>
    </row>
    <row r="3268" spans="1:4" x14ac:dyDescent="0.25">
      <c r="A3268" t="s">
        <v>2491</v>
      </c>
      <c r="B3268">
        <v>2</v>
      </c>
      <c r="C3268" s="54">
        <v>43101</v>
      </c>
      <c r="D3268" s="3" t="str">
        <f>YEAR(Datos_Consumo[[#This Row],[FECHA]])&amp;"-"&amp;MONTH(Datos_Consumo[[#This Row],[FECHA]])</f>
        <v>2018-1</v>
      </c>
    </row>
    <row r="3269" spans="1:4" x14ac:dyDescent="0.25">
      <c r="A3269" t="s">
        <v>2491</v>
      </c>
      <c r="B3269">
        <v>2</v>
      </c>
      <c r="C3269" s="54">
        <v>43132</v>
      </c>
      <c r="D3269" s="3" t="str">
        <f>YEAR(Datos_Consumo[[#This Row],[FECHA]])&amp;"-"&amp;MONTH(Datos_Consumo[[#This Row],[FECHA]])</f>
        <v>2018-2</v>
      </c>
    </row>
    <row r="3270" spans="1:4" x14ac:dyDescent="0.25">
      <c r="A3270" t="s">
        <v>2491</v>
      </c>
      <c r="B3270">
        <v>5</v>
      </c>
      <c r="C3270" s="54">
        <v>43160</v>
      </c>
      <c r="D3270" s="3" t="str">
        <f>YEAR(Datos_Consumo[[#This Row],[FECHA]])&amp;"-"&amp;MONTH(Datos_Consumo[[#This Row],[FECHA]])</f>
        <v>2018-3</v>
      </c>
    </row>
    <row r="3271" spans="1:4" x14ac:dyDescent="0.25">
      <c r="A3271" t="s">
        <v>2491</v>
      </c>
      <c r="B3271">
        <v>8</v>
      </c>
      <c r="C3271" s="54">
        <v>43191</v>
      </c>
      <c r="D3271" s="3" t="str">
        <f>YEAR(Datos_Consumo[[#This Row],[FECHA]])&amp;"-"&amp;MONTH(Datos_Consumo[[#This Row],[FECHA]])</f>
        <v>2018-4</v>
      </c>
    </row>
    <row r="3272" spans="1:4" x14ac:dyDescent="0.25">
      <c r="A3272" t="s">
        <v>2492</v>
      </c>
      <c r="B3272">
        <v>1</v>
      </c>
      <c r="C3272" s="54">
        <v>43070</v>
      </c>
      <c r="D3272" s="3" t="str">
        <f>YEAR(Datos_Consumo[[#This Row],[FECHA]])&amp;"-"&amp;MONTH(Datos_Consumo[[#This Row],[FECHA]])</f>
        <v>2017-12</v>
      </c>
    </row>
    <row r="3273" spans="1:4" x14ac:dyDescent="0.25">
      <c r="A3273" t="s">
        <v>2492</v>
      </c>
      <c r="B3273">
        <v>2</v>
      </c>
      <c r="C3273" s="54">
        <v>43221</v>
      </c>
      <c r="D3273" s="3" t="str">
        <f>YEAR(Datos_Consumo[[#This Row],[FECHA]])&amp;"-"&amp;MONTH(Datos_Consumo[[#This Row],[FECHA]])</f>
        <v>2018-5</v>
      </c>
    </row>
    <row r="3274" spans="1:4" x14ac:dyDescent="0.25">
      <c r="A3274" t="s">
        <v>2493</v>
      </c>
      <c r="B3274">
        <v>1</v>
      </c>
      <c r="C3274" s="54">
        <v>43070</v>
      </c>
      <c r="D3274" s="3" t="str">
        <f>YEAR(Datos_Consumo[[#This Row],[FECHA]])&amp;"-"&amp;MONTH(Datos_Consumo[[#This Row],[FECHA]])</f>
        <v>2017-12</v>
      </c>
    </row>
    <row r="3275" spans="1:4" x14ac:dyDescent="0.25">
      <c r="A3275" t="s">
        <v>2494</v>
      </c>
      <c r="B3275">
        <v>10</v>
      </c>
      <c r="C3275" s="54">
        <v>43101</v>
      </c>
      <c r="D3275" s="3" t="str">
        <f>YEAR(Datos_Consumo[[#This Row],[FECHA]])&amp;"-"&amp;MONTH(Datos_Consumo[[#This Row],[FECHA]])</f>
        <v>2018-1</v>
      </c>
    </row>
    <row r="3276" spans="1:4" x14ac:dyDescent="0.25">
      <c r="A3276" t="s">
        <v>2494</v>
      </c>
      <c r="B3276">
        <v>18</v>
      </c>
      <c r="C3276" s="54">
        <v>43132</v>
      </c>
      <c r="D3276" s="3" t="str">
        <f>YEAR(Datos_Consumo[[#This Row],[FECHA]])&amp;"-"&amp;MONTH(Datos_Consumo[[#This Row],[FECHA]])</f>
        <v>2018-2</v>
      </c>
    </row>
    <row r="3277" spans="1:4" x14ac:dyDescent="0.25">
      <c r="A3277" t="s">
        <v>2494</v>
      </c>
      <c r="B3277">
        <v>23</v>
      </c>
      <c r="C3277" s="54">
        <v>43160</v>
      </c>
      <c r="D3277" s="3" t="str">
        <f>YEAR(Datos_Consumo[[#This Row],[FECHA]])&amp;"-"&amp;MONTH(Datos_Consumo[[#This Row],[FECHA]])</f>
        <v>2018-3</v>
      </c>
    </row>
    <row r="3278" spans="1:4" x14ac:dyDescent="0.25">
      <c r="A3278" t="s">
        <v>2494</v>
      </c>
      <c r="B3278">
        <v>11</v>
      </c>
      <c r="C3278" s="54">
        <v>43191</v>
      </c>
      <c r="D3278" s="3" t="str">
        <f>YEAR(Datos_Consumo[[#This Row],[FECHA]])&amp;"-"&amp;MONTH(Datos_Consumo[[#This Row],[FECHA]])</f>
        <v>2018-4</v>
      </c>
    </row>
    <row r="3279" spans="1:4" x14ac:dyDescent="0.25">
      <c r="A3279" t="s">
        <v>2494</v>
      </c>
      <c r="B3279">
        <v>3</v>
      </c>
      <c r="C3279" s="54">
        <v>43221</v>
      </c>
      <c r="D3279" s="3" t="str">
        <f>YEAR(Datos_Consumo[[#This Row],[FECHA]])&amp;"-"&amp;MONTH(Datos_Consumo[[#This Row],[FECHA]])</f>
        <v>2018-5</v>
      </c>
    </row>
    <row r="3280" spans="1:4" x14ac:dyDescent="0.25">
      <c r="A3280" t="s">
        <v>2495</v>
      </c>
      <c r="B3280">
        <v>2</v>
      </c>
      <c r="C3280" s="54">
        <v>43101</v>
      </c>
      <c r="D3280" s="3" t="str">
        <f>YEAR(Datos_Consumo[[#This Row],[FECHA]])&amp;"-"&amp;MONTH(Datos_Consumo[[#This Row],[FECHA]])</f>
        <v>2018-1</v>
      </c>
    </row>
    <row r="3281" spans="1:4" x14ac:dyDescent="0.25">
      <c r="A3281" t="s">
        <v>2496</v>
      </c>
      <c r="B3281">
        <v>1</v>
      </c>
      <c r="C3281" s="54">
        <v>43101</v>
      </c>
      <c r="D3281" s="3" t="str">
        <f>YEAR(Datos_Consumo[[#This Row],[FECHA]])&amp;"-"&amp;MONTH(Datos_Consumo[[#This Row],[FECHA]])</f>
        <v>2018-1</v>
      </c>
    </row>
    <row r="3282" spans="1:4" x14ac:dyDescent="0.25">
      <c r="A3282" t="s">
        <v>2496</v>
      </c>
      <c r="B3282">
        <v>1</v>
      </c>
      <c r="C3282" s="54">
        <v>43132</v>
      </c>
      <c r="D3282" s="3" t="str">
        <f>YEAR(Datos_Consumo[[#This Row],[FECHA]])&amp;"-"&amp;MONTH(Datos_Consumo[[#This Row],[FECHA]])</f>
        <v>2018-2</v>
      </c>
    </row>
    <row r="3283" spans="1:4" x14ac:dyDescent="0.25">
      <c r="A3283" t="s">
        <v>2497</v>
      </c>
      <c r="B3283">
        <v>1</v>
      </c>
      <c r="C3283" s="54">
        <v>43101</v>
      </c>
      <c r="D3283" s="3" t="str">
        <f>YEAR(Datos_Consumo[[#This Row],[FECHA]])&amp;"-"&amp;MONTH(Datos_Consumo[[#This Row],[FECHA]])</f>
        <v>2018-1</v>
      </c>
    </row>
    <row r="3284" spans="1:4" x14ac:dyDescent="0.25">
      <c r="A3284" t="s">
        <v>2498</v>
      </c>
      <c r="B3284">
        <v>28</v>
      </c>
      <c r="C3284" s="54">
        <v>43070</v>
      </c>
      <c r="D3284" s="3" t="str">
        <f>YEAR(Datos_Consumo[[#This Row],[FECHA]])&amp;"-"&amp;MONTH(Datos_Consumo[[#This Row],[FECHA]])</f>
        <v>2017-12</v>
      </c>
    </row>
    <row r="3285" spans="1:4" x14ac:dyDescent="0.25">
      <c r="A3285" t="s">
        <v>2498</v>
      </c>
      <c r="B3285">
        <v>19</v>
      </c>
      <c r="C3285" s="54">
        <v>43101</v>
      </c>
      <c r="D3285" s="3" t="str">
        <f>YEAR(Datos_Consumo[[#This Row],[FECHA]])&amp;"-"&amp;MONTH(Datos_Consumo[[#This Row],[FECHA]])</f>
        <v>2018-1</v>
      </c>
    </row>
    <row r="3286" spans="1:4" x14ac:dyDescent="0.25">
      <c r="A3286" t="s">
        <v>2499</v>
      </c>
      <c r="B3286">
        <v>5</v>
      </c>
      <c r="C3286" s="54">
        <v>43101</v>
      </c>
      <c r="D3286" s="3" t="str">
        <f>YEAR(Datos_Consumo[[#This Row],[FECHA]])&amp;"-"&amp;MONTH(Datos_Consumo[[#This Row],[FECHA]])</f>
        <v>2018-1</v>
      </c>
    </row>
    <row r="3287" spans="1:4" x14ac:dyDescent="0.25">
      <c r="A3287" t="s">
        <v>2500</v>
      </c>
      <c r="B3287">
        <v>1</v>
      </c>
      <c r="C3287" s="54">
        <v>43070</v>
      </c>
      <c r="D3287" s="3" t="str">
        <f>YEAR(Datos_Consumo[[#This Row],[FECHA]])&amp;"-"&amp;MONTH(Datos_Consumo[[#This Row],[FECHA]])</f>
        <v>2017-12</v>
      </c>
    </row>
    <row r="3288" spans="1:4" x14ac:dyDescent="0.25">
      <c r="A3288" t="s">
        <v>2500</v>
      </c>
      <c r="B3288">
        <v>1</v>
      </c>
      <c r="C3288" s="54">
        <v>43101</v>
      </c>
      <c r="D3288" s="3" t="str">
        <f>YEAR(Datos_Consumo[[#This Row],[FECHA]])&amp;"-"&amp;MONTH(Datos_Consumo[[#This Row],[FECHA]])</f>
        <v>2018-1</v>
      </c>
    </row>
    <row r="3289" spans="1:4" x14ac:dyDescent="0.25">
      <c r="A3289" t="s">
        <v>2500</v>
      </c>
      <c r="B3289">
        <v>8</v>
      </c>
      <c r="C3289" s="54">
        <v>43160</v>
      </c>
      <c r="D3289" s="3" t="str">
        <f>YEAR(Datos_Consumo[[#This Row],[FECHA]])&amp;"-"&amp;MONTH(Datos_Consumo[[#This Row],[FECHA]])</f>
        <v>2018-3</v>
      </c>
    </row>
    <row r="3290" spans="1:4" x14ac:dyDescent="0.25">
      <c r="A3290" t="s">
        <v>2500</v>
      </c>
      <c r="B3290">
        <v>1</v>
      </c>
      <c r="C3290" s="54">
        <v>43191</v>
      </c>
      <c r="D3290" s="3" t="str">
        <f>YEAR(Datos_Consumo[[#This Row],[FECHA]])&amp;"-"&amp;MONTH(Datos_Consumo[[#This Row],[FECHA]])</f>
        <v>2018-4</v>
      </c>
    </row>
    <row r="3291" spans="1:4" x14ac:dyDescent="0.25">
      <c r="A3291" t="s">
        <v>2501</v>
      </c>
      <c r="B3291">
        <v>1</v>
      </c>
      <c r="C3291" s="54">
        <v>43070</v>
      </c>
      <c r="D3291" s="3" t="str">
        <f>YEAR(Datos_Consumo[[#This Row],[FECHA]])&amp;"-"&amp;MONTH(Datos_Consumo[[#This Row],[FECHA]])</f>
        <v>2017-12</v>
      </c>
    </row>
    <row r="3292" spans="1:4" x14ac:dyDescent="0.25">
      <c r="A3292" t="s">
        <v>2501</v>
      </c>
      <c r="B3292">
        <v>1</v>
      </c>
      <c r="C3292" s="54">
        <v>43101</v>
      </c>
      <c r="D3292" s="3" t="str">
        <f>YEAR(Datos_Consumo[[#This Row],[FECHA]])&amp;"-"&amp;MONTH(Datos_Consumo[[#This Row],[FECHA]])</f>
        <v>2018-1</v>
      </c>
    </row>
    <row r="3293" spans="1:4" x14ac:dyDescent="0.25">
      <c r="A3293" t="s">
        <v>2501</v>
      </c>
      <c r="B3293">
        <v>10</v>
      </c>
      <c r="C3293" s="54">
        <v>43160</v>
      </c>
      <c r="D3293" s="3" t="str">
        <f>YEAR(Datos_Consumo[[#This Row],[FECHA]])&amp;"-"&amp;MONTH(Datos_Consumo[[#This Row],[FECHA]])</f>
        <v>2018-3</v>
      </c>
    </row>
    <row r="3294" spans="1:4" x14ac:dyDescent="0.25">
      <c r="A3294" t="s">
        <v>2501</v>
      </c>
      <c r="B3294">
        <v>1</v>
      </c>
      <c r="C3294" s="54">
        <v>43191</v>
      </c>
      <c r="D3294" s="3" t="str">
        <f>YEAR(Datos_Consumo[[#This Row],[FECHA]])&amp;"-"&amp;MONTH(Datos_Consumo[[#This Row],[FECHA]])</f>
        <v>2018-4</v>
      </c>
    </row>
    <row r="3295" spans="1:4" x14ac:dyDescent="0.25">
      <c r="A3295" t="s">
        <v>2502</v>
      </c>
      <c r="B3295">
        <v>7</v>
      </c>
      <c r="C3295" s="54">
        <v>43132</v>
      </c>
      <c r="D3295" s="3" t="str">
        <f>YEAR(Datos_Consumo[[#This Row],[FECHA]])&amp;"-"&amp;MONTH(Datos_Consumo[[#This Row],[FECHA]])</f>
        <v>2018-2</v>
      </c>
    </row>
    <row r="3296" spans="1:4" x14ac:dyDescent="0.25">
      <c r="A3296" t="s">
        <v>2503</v>
      </c>
      <c r="B3296">
        <v>1</v>
      </c>
      <c r="C3296" s="54">
        <v>43160</v>
      </c>
      <c r="D3296" s="3" t="str">
        <f>YEAR(Datos_Consumo[[#This Row],[FECHA]])&amp;"-"&amp;MONTH(Datos_Consumo[[#This Row],[FECHA]])</f>
        <v>2018-3</v>
      </c>
    </row>
    <row r="3297" spans="1:4" x14ac:dyDescent="0.25">
      <c r="A3297" t="s">
        <v>2504</v>
      </c>
      <c r="B3297">
        <v>10</v>
      </c>
      <c r="C3297" s="54">
        <v>43132</v>
      </c>
      <c r="D3297" s="3" t="str">
        <f>YEAR(Datos_Consumo[[#This Row],[FECHA]])&amp;"-"&amp;MONTH(Datos_Consumo[[#This Row],[FECHA]])</f>
        <v>2018-2</v>
      </c>
    </row>
    <row r="3298" spans="1:4" x14ac:dyDescent="0.25">
      <c r="A3298" t="s">
        <v>2504</v>
      </c>
      <c r="B3298">
        <v>2</v>
      </c>
      <c r="C3298" s="54">
        <v>43221</v>
      </c>
      <c r="D3298" s="3" t="str">
        <f>YEAR(Datos_Consumo[[#This Row],[FECHA]])&amp;"-"&amp;MONTH(Datos_Consumo[[#This Row],[FECHA]])</f>
        <v>2018-5</v>
      </c>
    </row>
    <row r="3299" spans="1:4" x14ac:dyDescent="0.25">
      <c r="A3299" t="s">
        <v>2505</v>
      </c>
      <c r="B3299">
        <v>10</v>
      </c>
      <c r="C3299" s="54">
        <v>43070</v>
      </c>
      <c r="D3299" s="3" t="str">
        <f>YEAR(Datos_Consumo[[#This Row],[FECHA]])&amp;"-"&amp;MONTH(Datos_Consumo[[#This Row],[FECHA]])</f>
        <v>2017-12</v>
      </c>
    </row>
    <row r="3300" spans="1:4" x14ac:dyDescent="0.25">
      <c r="A3300" t="s">
        <v>2505</v>
      </c>
      <c r="B3300">
        <v>4</v>
      </c>
      <c r="C3300" s="54">
        <v>43101</v>
      </c>
      <c r="D3300" s="3" t="str">
        <f>YEAR(Datos_Consumo[[#This Row],[FECHA]])&amp;"-"&amp;MONTH(Datos_Consumo[[#This Row],[FECHA]])</f>
        <v>2018-1</v>
      </c>
    </row>
    <row r="3301" spans="1:4" x14ac:dyDescent="0.25">
      <c r="A3301" t="s">
        <v>2505</v>
      </c>
      <c r="B3301">
        <v>12</v>
      </c>
      <c r="C3301" s="54">
        <v>43160</v>
      </c>
      <c r="D3301" s="3" t="str">
        <f>YEAR(Datos_Consumo[[#This Row],[FECHA]])&amp;"-"&amp;MONTH(Datos_Consumo[[#This Row],[FECHA]])</f>
        <v>2018-3</v>
      </c>
    </row>
    <row r="3302" spans="1:4" x14ac:dyDescent="0.25">
      <c r="A3302" t="s">
        <v>2505</v>
      </c>
      <c r="B3302">
        <v>5</v>
      </c>
      <c r="C3302" s="54">
        <v>43191</v>
      </c>
      <c r="D3302" s="3" t="str">
        <f>YEAR(Datos_Consumo[[#This Row],[FECHA]])&amp;"-"&amp;MONTH(Datos_Consumo[[#This Row],[FECHA]])</f>
        <v>2018-4</v>
      </c>
    </row>
    <row r="3303" spans="1:4" x14ac:dyDescent="0.25">
      <c r="A3303" t="s">
        <v>2505</v>
      </c>
      <c r="B3303">
        <v>1</v>
      </c>
      <c r="C3303" s="54">
        <v>43221</v>
      </c>
      <c r="D3303" s="3" t="str">
        <f>YEAR(Datos_Consumo[[#This Row],[FECHA]])&amp;"-"&amp;MONTH(Datos_Consumo[[#This Row],[FECHA]])</f>
        <v>2018-5</v>
      </c>
    </row>
    <row r="3304" spans="1:4" x14ac:dyDescent="0.25">
      <c r="A3304" t="s">
        <v>2506</v>
      </c>
      <c r="B3304">
        <v>4</v>
      </c>
      <c r="C3304" s="54">
        <v>43070</v>
      </c>
      <c r="D3304" s="3" t="str">
        <f>YEAR(Datos_Consumo[[#This Row],[FECHA]])&amp;"-"&amp;MONTH(Datos_Consumo[[#This Row],[FECHA]])</f>
        <v>2017-12</v>
      </c>
    </row>
    <row r="3305" spans="1:4" x14ac:dyDescent="0.25">
      <c r="A3305" t="s">
        <v>2506</v>
      </c>
      <c r="B3305">
        <v>1</v>
      </c>
      <c r="C3305" s="54">
        <v>43132</v>
      </c>
      <c r="D3305" s="3" t="str">
        <f>YEAR(Datos_Consumo[[#This Row],[FECHA]])&amp;"-"&amp;MONTH(Datos_Consumo[[#This Row],[FECHA]])</f>
        <v>2018-2</v>
      </c>
    </row>
    <row r="3306" spans="1:4" x14ac:dyDescent="0.25">
      <c r="A3306" t="s">
        <v>2506</v>
      </c>
      <c r="B3306">
        <v>1</v>
      </c>
      <c r="C3306" s="54">
        <v>43160</v>
      </c>
      <c r="D3306" s="3" t="str">
        <f>YEAR(Datos_Consumo[[#This Row],[FECHA]])&amp;"-"&amp;MONTH(Datos_Consumo[[#This Row],[FECHA]])</f>
        <v>2018-3</v>
      </c>
    </row>
    <row r="3307" spans="1:4" x14ac:dyDescent="0.25">
      <c r="A3307" t="s">
        <v>2506</v>
      </c>
      <c r="B3307">
        <v>2</v>
      </c>
      <c r="C3307" s="54">
        <v>43191</v>
      </c>
      <c r="D3307" s="3" t="str">
        <f>YEAR(Datos_Consumo[[#This Row],[FECHA]])&amp;"-"&amp;MONTH(Datos_Consumo[[#This Row],[FECHA]])</f>
        <v>2018-4</v>
      </c>
    </row>
    <row r="3308" spans="1:4" x14ac:dyDescent="0.25">
      <c r="A3308" t="s">
        <v>2507</v>
      </c>
      <c r="B3308">
        <v>5</v>
      </c>
      <c r="C3308" s="54">
        <v>43070</v>
      </c>
      <c r="D3308" s="3" t="str">
        <f>YEAR(Datos_Consumo[[#This Row],[FECHA]])&amp;"-"&amp;MONTH(Datos_Consumo[[#This Row],[FECHA]])</f>
        <v>2017-12</v>
      </c>
    </row>
    <row r="3309" spans="1:4" x14ac:dyDescent="0.25">
      <c r="A3309" t="s">
        <v>2507</v>
      </c>
      <c r="B3309">
        <v>3</v>
      </c>
      <c r="C3309" s="54">
        <v>43101</v>
      </c>
      <c r="D3309" s="3" t="str">
        <f>YEAR(Datos_Consumo[[#This Row],[FECHA]])&amp;"-"&amp;MONTH(Datos_Consumo[[#This Row],[FECHA]])</f>
        <v>2018-1</v>
      </c>
    </row>
    <row r="3310" spans="1:4" x14ac:dyDescent="0.25">
      <c r="A3310" t="s">
        <v>2507</v>
      </c>
      <c r="B3310">
        <v>1</v>
      </c>
      <c r="C3310" s="54">
        <v>43132</v>
      </c>
      <c r="D3310" s="3" t="str">
        <f>YEAR(Datos_Consumo[[#This Row],[FECHA]])&amp;"-"&amp;MONTH(Datos_Consumo[[#This Row],[FECHA]])</f>
        <v>2018-2</v>
      </c>
    </row>
    <row r="3311" spans="1:4" x14ac:dyDescent="0.25">
      <c r="A3311" t="s">
        <v>2508</v>
      </c>
      <c r="B3311">
        <v>1</v>
      </c>
      <c r="C3311" s="54">
        <v>43101</v>
      </c>
      <c r="D3311" s="3" t="str">
        <f>YEAR(Datos_Consumo[[#This Row],[FECHA]])&amp;"-"&amp;MONTH(Datos_Consumo[[#This Row],[FECHA]])</f>
        <v>2018-1</v>
      </c>
    </row>
    <row r="3312" spans="1:4" x14ac:dyDescent="0.25">
      <c r="A3312" t="s">
        <v>2508</v>
      </c>
      <c r="B3312">
        <v>4</v>
      </c>
      <c r="C3312" s="54">
        <v>43132</v>
      </c>
      <c r="D3312" s="3" t="str">
        <f>YEAR(Datos_Consumo[[#This Row],[FECHA]])&amp;"-"&amp;MONTH(Datos_Consumo[[#This Row],[FECHA]])</f>
        <v>2018-2</v>
      </c>
    </row>
    <row r="3313" spans="1:4" x14ac:dyDescent="0.25">
      <c r="A3313" t="s">
        <v>2508</v>
      </c>
      <c r="B3313">
        <v>2</v>
      </c>
      <c r="C3313" s="54">
        <v>43160</v>
      </c>
      <c r="D3313" s="3" t="str">
        <f>YEAR(Datos_Consumo[[#This Row],[FECHA]])&amp;"-"&amp;MONTH(Datos_Consumo[[#This Row],[FECHA]])</f>
        <v>2018-3</v>
      </c>
    </row>
    <row r="3314" spans="1:4" x14ac:dyDescent="0.25">
      <c r="A3314" t="s">
        <v>2508</v>
      </c>
      <c r="B3314">
        <v>3</v>
      </c>
      <c r="C3314" s="54">
        <v>43191</v>
      </c>
      <c r="D3314" s="3" t="str">
        <f>YEAR(Datos_Consumo[[#This Row],[FECHA]])&amp;"-"&amp;MONTH(Datos_Consumo[[#This Row],[FECHA]])</f>
        <v>2018-4</v>
      </c>
    </row>
    <row r="3315" spans="1:4" x14ac:dyDescent="0.25">
      <c r="A3315" t="s">
        <v>2508</v>
      </c>
      <c r="B3315">
        <v>1</v>
      </c>
      <c r="C3315" s="54">
        <v>43221</v>
      </c>
      <c r="D3315" s="3" t="str">
        <f>YEAR(Datos_Consumo[[#This Row],[FECHA]])&amp;"-"&amp;MONTH(Datos_Consumo[[#This Row],[FECHA]])</f>
        <v>2018-5</v>
      </c>
    </row>
    <row r="3316" spans="1:4" x14ac:dyDescent="0.25">
      <c r="A3316" t="s">
        <v>2509</v>
      </c>
      <c r="B3316">
        <v>2</v>
      </c>
      <c r="C3316" s="54">
        <v>43070</v>
      </c>
      <c r="D3316" s="3" t="str">
        <f>YEAR(Datos_Consumo[[#This Row],[FECHA]])&amp;"-"&amp;MONTH(Datos_Consumo[[#This Row],[FECHA]])</f>
        <v>2017-12</v>
      </c>
    </row>
    <row r="3317" spans="1:4" x14ac:dyDescent="0.25">
      <c r="A3317" t="s">
        <v>2510</v>
      </c>
      <c r="B3317">
        <v>2</v>
      </c>
      <c r="C3317" s="54">
        <v>43070</v>
      </c>
      <c r="D3317" s="3" t="str">
        <f>YEAR(Datos_Consumo[[#This Row],[FECHA]])&amp;"-"&amp;MONTH(Datos_Consumo[[#This Row],[FECHA]])</f>
        <v>2017-12</v>
      </c>
    </row>
    <row r="3318" spans="1:4" x14ac:dyDescent="0.25">
      <c r="A3318" t="s">
        <v>2510</v>
      </c>
      <c r="B3318">
        <v>5</v>
      </c>
      <c r="C3318" s="54">
        <v>43101</v>
      </c>
      <c r="D3318" s="3" t="str">
        <f>YEAR(Datos_Consumo[[#This Row],[FECHA]])&amp;"-"&amp;MONTH(Datos_Consumo[[#This Row],[FECHA]])</f>
        <v>2018-1</v>
      </c>
    </row>
    <row r="3319" spans="1:4" x14ac:dyDescent="0.25">
      <c r="A3319" t="s">
        <v>2510</v>
      </c>
      <c r="B3319">
        <v>1</v>
      </c>
      <c r="C3319" s="54">
        <v>43160</v>
      </c>
      <c r="D3319" s="3" t="str">
        <f>YEAR(Datos_Consumo[[#This Row],[FECHA]])&amp;"-"&amp;MONTH(Datos_Consumo[[#This Row],[FECHA]])</f>
        <v>2018-3</v>
      </c>
    </row>
    <row r="3320" spans="1:4" x14ac:dyDescent="0.25">
      <c r="A3320" t="s">
        <v>2510</v>
      </c>
      <c r="B3320">
        <v>1</v>
      </c>
      <c r="C3320" s="54">
        <v>43221</v>
      </c>
      <c r="D3320" s="3" t="str">
        <f>YEAR(Datos_Consumo[[#This Row],[FECHA]])&amp;"-"&amp;MONTH(Datos_Consumo[[#This Row],[FECHA]])</f>
        <v>2018-5</v>
      </c>
    </row>
    <row r="3321" spans="1:4" x14ac:dyDescent="0.25">
      <c r="A3321" t="s">
        <v>2511</v>
      </c>
      <c r="B3321">
        <v>1</v>
      </c>
      <c r="C3321" s="54">
        <v>43070</v>
      </c>
      <c r="D3321" s="3" t="str">
        <f>YEAR(Datos_Consumo[[#This Row],[FECHA]])&amp;"-"&amp;MONTH(Datos_Consumo[[#This Row],[FECHA]])</f>
        <v>2017-12</v>
      </c>
    </row>
    <row r="3322" spans="1:4" x14ac:dyDescent="0.25">
      <c r="A3322" t="s">
        <v>2511</v>
      </c>
      <c r="B3322">
        <v>8</v>
      </c>
      <c r="C3322" s="54">
        <v>43101</v>
      </c>
      <c r="D3322" s="3" t="str">
        <f>YEAR(Datos_Consumo[[#This Row],[FECHA]])&amp;"-"&amp;MONTH(Datos_Consumo[[#This Row],[FECHA]])</f>
        <v>2018-1</v>
      </c>
    </row>
    <row r="3323" spans="1:4" x14ac:dyDescent="0.25">
      <c r="A3323" t="s">
        <v>2511</v>
      </c>
      <c r="B3323">
        <v>4</v>
      </c>
      <c r="C3323" s="54">
        <v>43160</v>
      </c>
      <c r="D3323" s="3" t="str">
        <f>YEAR(Datos_Consumo[[#This Row],[FECHA]])&amp;"-"&amp;MONTH(Datos_Consumo[[#This Row],[FECHA]])</f>
        <v>2018-3</v>
      </c>
    </row>
    <row r="3324" spans="1:4" x14ac:dyDescent="0.25">
      <c r="A3324" t="s">
        <v>2511</v>
      </c>
      <c r="B3324">
        <v>2</v>
      </c>
      <c r="C3324" s="54">
        <v>43191</v>
      </c>
      <c r="D3324" s="3" t="str">
        <f>YEAR(Datos_Consumo[[#This Row],[FECHA]])&amp;"-"&amp;MONTH(Datos_Consumo[[#This Row],[FECHA]])</f>
        <v>2018-4</v>
      </c>
    </row>
    <row r="3325" spans="1:4" x14ac:dyDescent="0.25">
      <c r="A3325" t="s">
        <v>2512</v>
      </c>
      <c r="B3325">
        <v>1</v>
      </c>
      <c r="C3325" s="54">
        <v>43070</v>
      </c>
      <c r="D3325" s="3" t="str">
        <f>YEAR(Datos_Consumo[[#This Row],[FECHA]])&amp;"-"&amp;MONTH(Datos_Consumo[[#This Row],[FECHA]])</f>
        <v>2017-12</v>
      </c>
    </row>
    <row r="3326" spans="1:4" x14ac:dyDescent="0.25">
      <c r="A3326" t="s">
        <v>2512</v>
      </c>
      <c r="B3326">
        <v>2</v>
      </c>
      <c r="C3326" s="54">
        <v>43101</v>
      </c>
      <c r="D3326" s="3" t="str">
        <f>YEAR(Datos_Consumo[[#This Row],[FECHA]])&amp;"-"&amp;MONTH(Datos_Consumo[[#This Row],[FECHA]])</f>
        <v>2018-1</v>
      </c>
    </row>
    <row r="3327" spans="1:4" x14ac:dyDescent="0.25">
      <c r="A3327" t="s">
        <v>2512</v>
      </c>
      <c r="B3327">
        <v>6</v>
      </c>
      <c r="C3327" s="54">
        <v>43160</v>
      </c>
      <c r="D3327" s="3" t="str">
        <f>YEAR(Datos_Consumo[[#This Row],[FECHA]])&amp;"-"&amp;MONTH(Datos_Consumo[[#This Row],[FECHA]])</f>
        <v>2018-3</v>
      </c>
    </row>
    <row r="3328" spans="1:4" x14ac:dyDescent="0.25">
      <c r="A3328" t="s">
        <v>2513</v>
      </c>
      <c r="B3328">
        <v>2</v>
      </c>
      <c r="C3328" s="54">
        <v>43070</v>
      </c>
      <c r="D3328" s="3" t="str">
        <f>YEAR(Datos_Consumo[[#This Row],[FECHA]])&amp;"-"&amp;MONTH(Datos_Consumo[[#This Row],[FECHA]])</f>
        <v>2017-12</v>
      </c>
    </row>
    <row r="3329" spans="1:4" x14ac:dyDescent="0.25">
      <c r="A3329" t="s">
        <v>2513</v>
      </c>
      <c r="B3329">
        <v>10</v>
      </c>
      <c r="C3329" s="54">
        <v>43101</v>
      </c>
      <c r="D3329" s="3" t="str">
        <f>YEAR(Datos_Consumo[[#This Row],[FECHA]])&amp;"-"&amp;MONTH(Datos_Consumo[[#This Row],[FECHA]])</f>
        <v>2018-1</v>
      </c>
    </row>
    <row r="3330" spans="1:4" x14ac:dyDescent="0.25">
      <c r="A3330" t="s">
        <v>2513</v>
      </c>
      <c r="B3330">
        <v>1</v>
      </c>
      <c r="C3330" s="54">
        <v>43132</v>
      </c>
      <c r="D3330" s="3" t="str">
        <f>YEAR(Datos_Consumo[[#This Row],[FECHA]])&amp;"-"&amp;MONTH(Datos_Consumo[[#This Row],[FECHA]])</f>
        <v>2018-2</v>
      </c>
    </row>
    <row r="3331" spans="1:4" x14ac:dyDescent="0.25">
      <c r="A3331" t="s">
        <v>2513</v>
      </c>
      <c r="B3331">
        <v>10</v>
      </c>
      <c r="C3331" s="54">
        <v>43160</v>
      </c>
      <c r="D3331" s="3" t="str">
        <f>YEAR(Datos_Consumo[[#This Row],[FECHA]])&amp;"-"&amp;MONTH(Datos_Consumo[[#This Row],[FECHA]])</f>
        <v>2018-3</v>
      </c>
    </row>
    <row r="3332" spans="1:4" x14ac:dyDescent="0.25">
      <c r="A3332" t="s">
        <v>2513</v>
      </c>
      <c r="B3332">
        <v>4</v>
      </c>
      <c r="C3332" s="54">
        <v>43191</v>
      </c>
      <c r="D3332" s="3" t="str">
        <f>YEAR(Datos_Consumo[[#This Row],[FECHA]])&amp;"-"&amp;MONTH(Datos_Consumo[[#This Row],[FECHA]])</f>
        <v>2018-4</v>
      </c>
    </row>
    <row r="3333" spans="1:4" x14ac:dyDescent="0.25">
      <c r="A3333" t="s">
        <v>2513</v>
      </c>
      <c r="B3333">
        <v>1</v>
      </c>
      <c r="C3333" s="54">
        <v>43221</v>
      </c>
      <c r="D3333" s="3" t="str">
        <f>YEAR(Datos_Consumo[[#This Row],[FECHA]])&amp;"-"&amp;MONTH(Datos_Consumo[[#This Row],[FECHA]])</f>
        <v>2018-5</v>
      </c>
    </row>
    <row r="3334" spans="1:4" x14ac:dyDescent="0.25">
      <c r="A3334" t="s">
        <v>2514</v>
      </c>
      <c r="B3334">
        <v>148</v>
      </c>
      <c r="C3334" s="54">
        <v>43070</v>
      </c>
      <c r="D3334" s="3" t="str">
        <f>YEAR(Datos_Consumo[[#This Row],[FECHA]])&amp;"-"&amp;MONTH(Datos_Consumo[[#This Row],[FECHA]])</f>
        <v>2017-12</v>
      </c>
    </row>
    <row r="3335" spans="1:4" x14ac:dyDescent="0.25">
      <c r="A3335" t="s">
        <v>2514</v>
      </c>
      <c r="B3335">
        <v>352</v>
      </c>
      <c r="C3335" s="54">
        <v>43101</v>
      </c>
      <c r="D3335" s="3" t="str">
        <f>YEAR(Datos_Consumo[[#This Row],[FECHA]])&amp;"-"&amp;MONTH(Datos_Consumo[[#This Row],[FECHA]])</f>
        <v>2018-1</v>
      </c>
    </row>
    <row r="3336" spans="1:4" x14ac:dyDescent="0.25">
      <c r="A3336" t="s">
        <v>2514</v>
      </c>
      <c r="B3336">
        <v>207</v>
      </c>
      <c r="C3336" s="54">
        <v>43132</v>
      </c>
      <c r="D3336" s="3" t="str">
        <f>YEAR(Datos_Consumo[[#This Row],[FECHA]])&amp;"-"&amp;MONTH(Datos_Consumo[[#This Row],[FECHA]])</f>
        <v>2018-2</v>
      </c>
    </row>
    <row r="3337" spans="1:4" x14ac:dyDescent="0.25">
      <c r="A3337" t="s">
        <v>2514</v>
      </c>
      <c r="B3337">
        <v>151</v>
      </c>
      <c r="C3337" s="54">
        <v>43160</v>
      </c>
      <c r="D3337" s="3" t="str">
        <f>YEAR(Datos_Consumo[[#This Row],[FECHA]])&amp;"-"&amp;MONTH(Datos_Consumo[[#This Row],[FECHA]])</f>
        <v>2018-3</v>
      </c>
    </row>
    <row r="3338" spans="1:4" x14ac:dyDescent="0.25">
      <c r="A3338" t="s">
        <v>2514</v>
      </c>
      <c r="B3338">
        <v>337</v>
      </c>
      <c r="C3338" s="54">
        <v>43191</v>
      </c>
      <c r="D3338" s="3" t="str">
        <f>YEAR(Datos_Consumo[[#This Row],[FECHA]])&amp;"-"&amp;MONTH(Datos_Consumo[[#This Row],[FECHA]])</f>
        <v>2018-4</v>
      </c>
    </row>
    <row r="3339" spans="1:4" x14ac:dyDescent="0.25">
      <c r="A3339" t="s">
        <v>2514</v>
      </c>
      <c r="B3339">
        <v>38</v>
      </c>
      <c r="C3339" s="54">
        <v>43221</v>
      </c>
      <c r="D3339" s="3" t="str">
        <f>YEAR(Datos_Consumo[[#This Row],[FECHA]])&amp;"-"&amp;MONTH(Datos_Consumo[[#This Row],[FECHA]])</f>
        <v>2018-5</v>
      </c>
    </row>
    <row r="3340" spans="1:4" x14ac:dyDescent="0.25">
      <c r="A3340" t="s">
        <v>4074</v>
      </c>
      <c r="B3340">
        <v>4</v>
      </c>
      <c r="C3340" s="54">
        <v>43191</v>
      </c>
      <c r="D3340" s="3" t="str">
        <f>YEAR(Datos_Consumo[[#This Row],[FECHA]])&amp;"-"&amp;MONTH(Datos_Consumo[[#This Row],[FECHA]])</f>
        <v>2018-4</v>
      </c>
    </row>
    <row r="3341" spans="1:4" x14ac:dyDescent="0.25">
      <c r="A3341" t="s">
        <v>2515</v>
      </c>
      <c r="B3341">
        <v>1</v>
      </c>
      <c r="C3341" s="54">
        <v>43132</v>
      </c>
      <c r="D3341" s="3" t="str">
        <f>YEAR(Datos_Consumo[[#This Row],[FECHA]])&amp;"-"&amp;MONTH(Datos_Consumo[[#This Row],[FECHA]])</f>
        <v>2018-2</v>
      </c>
    </row>
    <row r="3342" spans="1:4" x14ac:dyDescent="0.25">
      <c r="A3342" t="s">
        <v>2516</v>
      </c>
      <c r="B3342">
        <v>1</v>
      </c>
      <c r="C3342" s="54">
        <v>43191</v>
      </c>
      <c r="D3342" s="3" t="str">
        <f>YEAR(Datos_Consumo[[#This Row],[FECHA]])&amp;"-"&amp;MONTH(Datos_Consumo[[#This Row],[FECHA]])</f>
        <v>2018-4</v>
      </c>
    </row>
    <row r="3343" spans="1:4" x14ac:dyDescent="0.25">
      <c r="A3343" t="s">
        <v>2517</v>
      </c>
      <c r="B3343">
        <v>5</v>
      </c>
      <c r="C3343" s="54">
        <v>43070</v>
      </c>
      <c r="D3343" s="3" t="str">
        <f>YEAR(Datos_Consumo[[#This Row],[FECHA]])&amp;"-"&amp;MONTH(Datos_Consumo[[#This Row],[FECHA]])</f>
        <v>2017-12</v>
      </c>
    </row>
    <row r="3344" spans="1:4" x14ac:dyDescent="0.25">
      <c r="A3344" t="s">
        <v>2517</v>
      </c>
      <c r="B3344">
        <v>12</v>
      </c>
      <c r="C3344" s="54">
        <v>43101</v>
      </c>
      <c r="D3344" s="3" t="str">
        <f>YEAR(Datos_Consumo[[#This Row],[FECHA]])&amp;"-"&amp;MONTH(Datos_Consumo[[#This Row],[FECHA]])</f>
        <v>2018-1</v>
      </c>
    </row>
    <row r="3345" spans="1:4" x14ac:dyDescent="0.25">
      <c r="A3345" t="s">
        <v>2517</v>
      </c>
      <c r="B3345">
        <v>12</v>
      </c>
      <c r="C3345" s="54">
        <v>43132</v>
      </c>
      <c r="D3345" s="3" t="str">
        <f>YEAR(Datos_Consumo[[#This Row],[FECHA]])&amp;"-"&amp;MONTH(Datos_Consumo[[#This Row],[FECHA]])</f>
        <v>2018-2</v>
      </c>
    </row>
    <row r="3346" spans="1:4" x14ac:dyDescent="0.25">
      <c r="A3346" t="s">
        <v>2517</v>
      </c>
      <c r="B3346">
        <v>1</v>
      </c>
      <c r="C3346" s="54">
        <v>43160</v>
      </c>
      <c r="D3346" s="3" t="str">
        <f>YEAR(Datos_Consumo[[#This Row],[FECHA]])&amp;"-"&amp;MONTH(Datos_Consumo[[#This Row],[FECHA]])</f>
        <v>2018-3</v>
      </c>
    </row>
    <row r="3347" spans="1:4" x14ac:dyDescent="0.25">
      <c r="A3347" t="s">
        <v>2517</v>
      </c>
      <c r="B3347">
        <v>4</v>
      </c>
      <c r="C3347" s="54">
        <v>43191</v>
      </c>
      <c r="D3347" s="3" t="str">
        <f>YEAR(Datos_Consumo[[#This Row],[FECHA]])&amp;"-"&amp;MONTH(Datos_Consumo[[#This Row],[FECHA]])</f>
        <v>2018-4</v>
      </c>
    </row>
    <row r="3348" spans="1:4" x14ac:dyDescent="0.25">
      <c r="A3348" t="s">
        <v>2518</v>
      </c>
      <c r="B3348">
        <v>5</v>
      </c>
      <c r="C3348" s="54">
        <v>43070</v>
      </c>
      <c r="D3348" s="3" t="str">
        <f>YEAR(Datos_Consumo[[#This Row],[FECHA]])&amp;"-"&amp;MONTH(Datos_Consumo[[#This Row],[FECHA]])</f>
        <v>2017-12</v>
      </c>
    </row>
    <row r="3349" spans="1:4" x14ac:dyDescent="0.25">
      <c r="A3349" t="s">
        <v>2518</v>
      </c>
      <c r="B3349">
        <v>4</v>
      </c>
      <c r="C3349" s="54">
        <v>43101</v>
      </c>
      <c r="D3349" s="3" t="str">
        <f>YEAR(Datos_Consumo[[#This Row],[FECHA]])&amp;"-"&amp;MONTH(Datos_Consumo[[#This Row],[FECHA]])</f>
        <v>2018-1</v>
      </c>
    </row>
    <row r="3350" spans="1:4" x14ac:dyDescent="0.25">
      <c r="A3350" t="s">
        <v>2518</v>
      </c>
      <c r="B3350">
        <v>40</v>
      </c>
      <c r="C3350" s="54">
        <v>43191</v>
      </c>
      <c r="D3350" s="3" t="str">
        <f>YEAR(Datos_Consumo[[#This Row],[FECHA]])&amp;"-"&amp;MONTH(Datos_Consumo[[#This Row],[FECHA]])</f>
        <v>2018-4</v>
      </c>
    </row>
    <row r="3351" spans="1:4" x14ac:dyDescent="0.25">
      <c r="A3351" t="s">
        <v>2519</v>
      </c>
      <c r="B3351">
        <v>4</v>
      </c>
      <c r="C3351" s="54">
        <v>43160</v>
      </c>
      <c r="D3351" s="3" t="str">
        <f>YEAR(Datos_Consumo[[#This Row],[FECHA]])&amp;"-"&amp;MONTH(Datos_Consumo[[#This Row],[FECHA]])</f>
        <v>2018-3</v>
      </c>
    </row>
    <row r="3352" spans="1:4" x14ac:dyDescent="0.25">
      <c r="A3352" t="s">
        <v>2519</v>
      </c>
      <c r="B3352">
        <v>5</v>
      </c>
      <c r="C3352" s="54">
        <v>43191</v>
      </c>
      <c r="D3352" s="3" t="str">
        <f>YEAR(Datos_Consumo[[#This Row],[FECHA]])&amp;"-"&amp;MONTH(Datos_Consumo[[#This Row],[FECHA]])</f>
        <v>2018-4</v>
      </c>
    </row>
    <row r="3353" spans="1:4" x14ac:dyDescent="0.25">
      <c r="A3353" t="s">
        <v>2520</v>
      </c>
      <c r="B3353">
        <v>1</v>
      </c>
      <c r="C3353" s="54">
        <v>43101</v>
      </c>
      <c r="D3353" s="3" t="str">
        <f>YEAR(Datos_Consumo[[#This Row],[FECHA]])&amp;"-"&amp;MONTH(Datos_Consumo[[#This Row],[FECHA]])</f>
        <v>2018-1</v>
      </c>
    </row>
    <row r="3354" spans="1:4" x14ac:dyDescent="0.25">
      <c r="A3354" t="s">
        <v>2521</v>
      </c>
      <c r="B3354">
        <v>2</v>
      </c>
      <c r="C3354" s="54">
        <v>43070</v>
      </c>
      <c r="D3354" s="3" t="str">
        <f>YEAR(Datos_Consumo[[#This Row],[FECHA]])&amp;"-"&amp;MONTH(Datos_Consumo[[#This Row],[FECHA]])</f>
        <v>2017-12</v>
      </c>
    </row>
    <row r="3355" spans="1:4" x14ac:dyDescent="0.25">
      <c r="A3355" t="s">
        <v>2521</v>
      </c>
      <c r="B3355">
        <v>8</v>
      </c>
      <c r="C3355" s="54">
        <v>43101</v>
      </c>
      <c r="D3355" s="3" t="str">
        <f>YEAR(Datos_Consumo[[#This Row],[FECHA]])&amp;"-"&amp;MONTH(Datos_Consumo[[#This Row],[FECHA]])</f>
        <v>2018-1</v>
      </c>
    </row>
    <row r="3356" spans="1:4" x14ac:dyDescent="0.25">
      <c r="A3356" t="s">
        <v>2521</v>
      </c>
      <c r="B3356">
        <v>14</v>
      </c>
      <c r="C3356" s="54">
        <v>43160</v>
      </c>
      <c r="D3356" s="3" t="str">
        <f>YEAR(Datos_Consumo[[#This Row],[FECHA]])&amp;"-"&amp;MONTH(Datos_Consumo[[#This Row],[FECHA]])</f>
        <v>2018-3</v>
      </c>
    </row>
    <row r="3357" spans="1:4" x14ac:dyDescent="0.25">
      <c r="A3357" t="s">
        <v>2521</v>
      </c>
      <c r="B3357">
        <v>14</v>
      </c>
      <c r="C3357" s="54">
        <v>43191</v>
      </c>
      <c r="D3357" s="3" t="str">
        <f>YEAR(Datos_Consumo[[#This Row],[FECHA]])&amp;"-"&amp;MONTH(Datos_Consumo[[#This Row],[FECHA]])</f>
        <v>2018-4</v>
      </c>
    </row>
    <row r="3358" spans="1:4" x14ac:dyDescent="0.25">
      <c r="A3358" t="s">
        <v>2522</v>
      </c>
      <c r="B3358">
        <v>9</v>
      </c>
      <c r="C3358" s="54">
        <v>43132</v>
      </c>
      <c r="D3358" s="3" t="str">
        <f>YEAR(Datos_Consumo[[#This Row],[FECHA]])&amp;"-"&amp;MONTH(Datos_Consumo[[#This Row],[FECHA]])</f>
        <v>2018-2</v>
      </c>
    </row>
    <row r="3359" spans="1:4" x14ac:dyDescent="0.25">
      <c r="A3359" t="s">
        <v>2523</v>
      </c>
      <c r="B3359">
        <v>1</v>
      </c>
      <c r="C3359" s="54">
        <v>43101</v>
      </c>
      <c r="D3359" s="3" t="str">
        <f>YEAR(Datos_Consumo[[#This Row],[FECHA]])&amp;"-"&amp;MONTH(Datos_Consumo[[#This Row],[FECHA]])</f>
        <v>2018-1</v>
      </c>
    </row>
    <row r="3360" spans="1:4" x14ac:dyDescent="0.25">
      <c r="A3360" t="s">
        <v>2523</v>
      </c>
      <c r="B3360">
        <v>2</v>
      </c>
      <c r="C3360" s="54">
        <v>43132</v>
      </c>
      <c r="D3360" s="3" t="str">
        <f>YEAR(Datos_Consumo[[#This Row],[FECHA]])&amp;"-"&amp;MONTH(Datos_Consumo[[#This Row],[FECHA]])</f>
        <v>2018-2</v>
      </c>
    </row>
    <row r="3361" spans="1:4" x14ac:dyDescent="0.25">
      <c r="A3361" t="s">
        <v>2523</v>
      </c>
      <c r="B3361">
        <v>1</v>
      </c>
      <c r="C3361" s="54">
        <v>43160</v>
      </c>
      <c r="D3361" s="3" t="str">
        <f>YEAR(Datos_Consumo[[#This Row],[FECHA]])&amp;"-"&amp;MONTH(Datos_Consumo[[#This Row],[FECHA]])</f>
        <v>2018-3</v>
      </c>
    </row>
    <row r="3362" spans="1:4" x14ac:dyDescent="0.25">
      <c r="A3362" t="s">
        <v>2523</v>
      </c>
      <c r="B3362">
        <v>3</v>
      </c>
      <c r="C3362" s="54">
        <v>43191</v>
      </c>
      <c r="D3362" s="3" t="str">
        <f>YEAR(Datos_Consumo[[#This Row],[FECHA]])&amp;"-"&amp;MONTH(Datos_Consumo[[#This Row],[FECHA]])</f>
        <v>2018-4</v>
      </c>
    </row>
    <row r="3363" spans="1:4" x14ac:dyDescent="0.25">
      <c r="A3363" t="s">
        <v>2524</v>
      </c>
      <c r="B3363">
        <v>2</v>
      </c>
      <c r="C3363" s="54">
        <v>43070</v>
      </c>
      <c r="D3363" s="3" t="str">
        <f>YEAR(Datos_Consumo[[#This Row],[FECHA]])&amp;"-"&amp;MONTH(Datos_Consumo[[#This Row],[FECHA]])</f>
        <v>2017-12</v>
      </c>
    </row>
    <row r="3364" spans="1:4" x14ac:dyDescent="0.25">
      <c r="A3364" t="s">
        <v>2524</v>
      </c>
      <c r="B3364">
        <v>4</v>
      </c>
      <c r="C3364" s="54">
        <v>43101</v>
      </c>
      <c r="D3364" s="3" t="str">
        <f>YEAR(Datos_Consumo[[#This Row],[FECHA]])&amp;"-"&amp;MONTH(Datos_Consumo[[#This Row],[FECHA]])</f>
        <v>2018-1</v>
      </c>
    </row>
    <row r="3365" spans="1:4" x14ac:dyDescent="0.25">
      <c r="A3365" t="s">
        <v>2525</v>
      </c>
      <c r="B3365">
        <v>1</v>
      </c>
      <c r="C3365" s="54">
        <v>43132</v>
      </c>
      <c r="D3365" s="3" t="str">
        <f>YEAR(Datos_Consumo[[#This Row],[FECHA]])&amp;"-"&amp;MONTH(Datos_Consumo[[#This Row],[FECHA]])</f>
        <v>2018-2</v>
      </c>
    </row>
    <row r="3366" spans="1:4" x14ac:dyDescent="0.25">
      <c r="A3366" t="s">
        <v>2525</v>
      </c>
      <c r="B3366">
        <v>1</v>
      </c>
      <c r="C3366" s="54">
        <v>43160</v>
      </c>
      <c r="D3366" s="3" t="str">
        <f>YEAR(Datos_Consumo[[#This Row],[FECHA]])&amp;"-"&amp;MONTH(Datos_Consumo[[#This Row],[FECHA]])</f>
        <v>2018-3</v>
      </c>
    </row>
    <row r="3367" spans="1:4" x14ac:dyDescent="0.25">
      <c r="A3367" t="s">
        <v>2526</v>
      </c>
      <c r="B3367">
        <v>1</v>
      </c>
      <c r="C3367" s="54">
        <v>43132</v>
      </c>
      <c r="D3367" s="3" t="str">
        <f>YEAR(Datos_Consumo[[#This Row],[FECHA]])&amp;"-"&amp;MONTH(Datos_Consumo[[#This Row],[FECHA]])</f>
        <v>2018-2</v>
      </c>
    </row>
    <row r="3368" spans="1:4" x14ac:dyDescent="0.25">
      <c r="A3368" t="s">
        <v>2527</v>
      </c>
      <c r="B3368">
        <v>4</v>
      </c>
      <c r="C3368" s="54">
        <v>43101</v>
      </c>
      <c r="D3368" s="3" t="str">
        <f>YEAR(Datos_Consumo[[#This Row],[FECHA]])&amp;"-"&amp;MONTH(Datos_Consumo[[#This Row],[FECHA]])</f>
        <v>2018-1</v>
      </c>
    </row>
    <row r="3369" spans="1:4" x14ac:dyDescent="0.25">
      <c r="A3369" t="s">
        <v>2527</v>
      </c>
      <c r="B3369">
        <v>3</v>
      </c>
      <c r="C3369" s="54">
        <v>43132</v>
      </c>
      <c r="D3369" s="3" t="str">
        <f>YEAR(Datos_Consumo[[#This Row],[FECHA]])&amp;"-"&amp;MONTH(Datos_Consumo[[#This Row],[FECHA]])</f>
        <v>2018-2</v>
      </c>
    </row>
    <row r="3370" spans="1:4" x14ac:dyDescent="0.25">
      <c r="A3370" t="s">
        <v>2527</v>
      </c>
      <c r="B3370">
        <v>5</v>
      </c>
      <c r="C3370" s="54">
        <v>43191</v>
      </c>
      <c r="D3370" s="3" t="str">
        <f>YEAR(Datos_Consumo[[#This Row],[FECHA]])&amp;"-"&amp;MONTH(Datos_Consumo[[#This Row],[FECHA]])</f>
        <v>2018-4</v>
      </c>
    </row>
    <row r="3371" spans="1:4" x14ac:dyDescent="0.25">
      <c r="A3371" t="s">
        <v>2527</v>
      </c>
      <c r="B3371">
        <v>1</v>
      </c>
      <c r="C3371" s="54">
        <v>43221</v>
      </c>
      <c r="D3371" s="3" t="str">
        <f>YEAR(Datos_Consumo[[#This Row],[FECHA]])&amp;"-"&amp;MONTH(Datos_Consumo[[#This Row],[FECHA]])</f>
        <v>2018-5</v>
      </c>
    </row>
    <row r="3372" spans="1:4" x14ac:dyDescent="0.25">
      <c r="A3372" t="s">
        <v>2528</v>
      </c>
      <c r="B3372">
        <v>5</v>
      </c>
      <c r="C3372" s="54">
        <v>43070</v>
      </c>
      <c r="D3372" s="3" t="str">
        <f>YEAR(Datos_Consumo[[#This Row],[FECHA]])&amp;"-"&amp;MONTH(Datos_Consumo[[#This Row],[FECHA]])</f>
        <v>2017-12</v>
      </c>
    </row>
    <row r="3373" spans="1:4" x14ac:dyDescent="0.25">
      <c r="A3373" t="s">
        <v>2528</v>
      </c>
      <c r="B3373">
        <v>5</v>
      </c>
      <c r="C3373" s="54">
        <v>43132</v>
      </c>
      <c r="D3373" s="3" t="str">
        <f>YEAR(Datos_Consumo[[#This Row],[FECHA]])&amp;"-"&amp;MONTH(Datos_Consumo[[#This Row],[FECHA]])</f>
        <v>2018-2</v>
      </c>
    </row>
    <row r="3374" spans="1:4" x14ac:dyDescent="0.25">
      <c r="A3374" t="s">
        <v>2528</v>
      </c>
      <c r="B3374">
        <v>5</v>
      </c>
      <c r="C3374" s="54">
        <v>43160</v>
      </c>
      <c r="D3374" s="3" t="str">
        <f>YEAR(Datos_Consumo[[#This Row],[FECHA]])&amp;"-"&amp;MONTH(Datos_Consumo[[#This Row],[FECHA]])</f>
        <v>2018-3</v>
      </c>
    </row>
    <row r="3375" spans="1:4" x14ac:dyDescent="0.25">
      <c r="A3375" t="s">
        <v>2528</v>
      </c>
      <c r="B3375">
        <v>17</v>
      </c>
      <c r="C3375" s="54">
        <v>43191</v>
      </c>
      <c r="D3375" s="3" t="str">
        <f>YEAR(Datos_Consumo[[#This Row],[FECHA]])&amp;"-"&amp;MONTH(Datos_Consumo[[#This Row],[FECHA]])</f>
        <v>2018-4</v>
      </c>
    </row>
    <row r="3376" spans="1:4" x14ac:dyDescent="0.25">
      <c r="A3376" t="s">
        <v>2529</v>
      </c>
      <c r="B3376">
        <v>4</v>
      </c>
      <c r="C3376" s="54">
        <v>43101</v>
      </c>
      <c r="D3376" s="3" t="str">
        <f>YEAR(Datos_Consumo[[#This Row],[FECHA]])&amp;"-"&amp;MONTH(Datos_Consumo[[#This Row],[FECHA]])</f>
        <v>2018-1</v>
      </c>
    </row>
    <row r="3377" spans="1:4" x14ac:dyDescent="0.25">
      <c r="A3377" t="s">
        <v>2529</v>
      </c>
      <c r="B3377">
        <v>1</v>
      </c>
      <c r="C3377" s="54">
        <v>43132</v>
      </c>
      <c r="D3377" s="3" t="str">
        <f>YEAR(Datos_Consumo[[#This Row],[FECHA]])&amp;"-"&amp;MONTH(Datos_Consumo[[#This Row],[FECHA]])</f>
        <v>2018-2</v>
      </c>
    </row>
    <row r="3378" spans="1:4" x14ac:dyDescent="0.25">
      <c r="A3378" t="s">
        <v>2529</v>
      </c>
      <c r="B3378">
        <v>2</v>
      </c>
      <c r="C3378" s="54">
        <v>43191</v>
      </c>
      <c r="D3378" s="3" t="str">
        <f>YEAR(Datos_Consumo[[#This Row],[FECHA]])&amp;"-"&amp;MONTH(Datos_Consumo[[#This Row],[FECHA]])</f>
        <v>2018-4</v>
      </c>
    </row>
    <row r="3379" spans="1:4" x14ac:dyDescent="0.25">
      <c r="A3379" t="s">
        <v>2530</v>
      </c>
      <c r="B3379">
        <v>1</v>
      </c>
      <c r="C3379" s="54">
        <v>43160</v>
      </c>
      <c r="D3379" s="3" t="str">
        <f>YEAR(Datos_Consumo[[#This Row],[FECHA]])&amp;"-"&amp;MONTH(Datos_Consumo[[#This Row],[FECHA]])</f>
        <v>2018-3</v>
      </c>
    </row>
    <row r="3380" spans="1:4" x14ac:dyDescent="0.25">
      <c r="A3380" t="s">
        <v>2531</v>
      </c>
      <c r="B3380">
        <v>10</v>
      </c>
      <c r="C3380" s="54">
        <v>43101</v>
      </c>
      <c r="D3380" s="3" t="str">
        <f>YEAR(Datos_Consumo[[#This Row],[FECHA]])&amp;"-"&amp;MONTH(Datos_Consumo[[#This Row],[FECHA]])</f>
        <v>2018-1</v>
      </c>
    </row>
    <row r="3381" spans="1:4" x14ac:dyDescent="0.25">
      <c r="A3381" t="s">
        <v>2531</v>
      </c>
      <c r="B3381">
        <v>3</v>
      </c>
      <c r="C3381" s="54">
        <v>43132</v>
      </c>
      <c r="D3381" s="3" t="str">
        <f>YEAR(Datos_Consumo[[#This Row],[FECHA]])&amp;"-"&amp;MONTH(Datos_Consumo[[#This Row],[FECHA]])</f>
        <v>2018-2</v>
      </c>
    </row>
    <row r="3382" spans="1:4" x14ac:dyDescent="0.25">
      <c r="A3382" t="s">
        <v>2531</v>
      </c>
      <c r="B3382">
        <v>1</v>
      </c>
      <c r="C3382" s="54">
        <v>43221</v>
      </c>
      <c r="D3382" s="3" t="str">
        <f>YEAR(Datos_Consumo[[#This Row],[FECHA]])&amp;"-"&amp;MONTH(Datos_Consumo[[#This Row],[FECHA]])</f>
        <v>2018-5</v>
      </c>
    </row>
    <row r="3383" spans="1:4" x14ac:dyDescent="0.25">
      <c r="A3383" t="s">
        <v>2532</v>
      </c>
      <c r="B3383">
        <v>12</v>
      </c>
      <c r="C3383" s="54">
        <v>43160</v>
      </c>
      <c r="D3383" s="3" t="str">
        <f>YEAR(Datos_Consumo[[#This Row],[FECHA]])&amp;"-"&amp;MONTH(Datos_Consumo[[#This Row],[FECHA]])</f>
        <v>2018-3</v>
      </c>
    </row>
    <row r="3384" spans="1:4" x14ac:dyDescent="0.25">
      <c r="A3384" t="s">
        <v>2532</v>
      </c>
      <c r="B3384">
        <v>19</v>
      </c>
      <c r="C3384" s="54">
        <v>43191</v>
      </c>
      <c r="D3384" s="3" t="str">
        <f>YEAR(Datos_Consumo[[#This Row],[FECHA]])&amp;"-"&amp;MONTH(Datos_Consumo[[#This Row],[FECHA]])</f>
        <v>2018-4</v>
      </c>
    </row>
    <row r="3385" spans="1:4" x14ac:dyDescent="0.25">
      <c r="A3385" t="s">
        <v>2533</v>
      </c>
      <c r="B3385">
        <v>6</v>
      </c>
      <c r="C3385" s="54">
        <v>43101</v>
      </c>
      <c r="D3385" s="3" t="str">
        <f>YEAR(Datos_Consumo[[#This Row],[FECHA]])&amp;"-"&amp;MONTH(Datos_Consumo[[#This Row],[FECHA]])</f>
        <v>2018-1</v>
      </c>
    </row>
    <row r="3386" spans="1:4" x14ac:dyDescent="0.25">
      <c r="A3386" t="s">
        <v>2533</v>
      </c>
      <c r="B3386">
        <v>2</v>
      </c>
      <c r="C3386" s="54">
        <v>43160</v>
      </c>
      <c r="D3386" s="3" t="str">
        <f>YEAR(Datos_Consumo[[#This Row],[FECHA]])&amp;"-"&amp;MONTH(Datos_Consumo[[#This Row],[FECHA]])</f>
        <v>2018-3</v>
      </c>
    </row>
    <row r="3387" spans="1:4" x14ac:dyDescent="0.25">
      <c r="A3387" t="s">
        <v>2534</v>
      </c>
      <c r="B3387">
        <v>2</v>
      </c>
      <c r="C3387" s="54">
        <v>43160</v>
      </c>
      <c r="D3387" s="3" t="str">
        <f>YEAR(Datos_Consumo[[#This Row],[FECHA]])&amp;"-"&amp;MONTH(Datos_Consumo[[#This Row],[FECHA]])</f>
        <v>2018-3</v>
      </c>
    </row>
    <row r="3388" spans="1:4" x14ac:dyDescent="0.25">
      <c r="A3388" t="s">
        <v>2535</v>
      </c>
      <c r="B3388">
        <v>15</v>
      </c>
      <c r="C3388" s="54">
        <v>43101</v>
      </c>
      <c r="D3388" s="3" t="str">
        <f>YEAR(Datos_Consumo[[#This Row],[FECHA]])&amp;"-"&amp;MONTH(Datos_Consumo[[#This Row],[FECHA]])</f>
        <v>2018-1</v>
      </c>
    </row>
    <row r="3389" spans="1:4" x14ac:dyDescent="0.25">
      <c r="A3389" t="s">
        <v>2535</v>
      </c>
      <c r="B3389">
        <v>9</v>
      </c>
      <c r="C3389" s="54">
        <v>43132</v>
      </c>
      <c r="D3389" s="3" t="str">
        <f>YEAR(Datos_Consumo[[#This Row],[FECHA]])&amp;"-"&amp;MONTH(Datos_Consumo[[#This Row],[FECHA]])</f>
        <v>2018-2</v>
      </c>
    </row>
    <row r="3390" spans="1:4" x14ac:dyDescent="0.25">
      <c r="A3390" t="s">
        <v>2535</v>
      </c>
      <c r="B3390">
        <v>5</v>
      </c>
      <c r="C3390" s="54">
        <v>43160</v>
      </c>
      <c r="D3390" s="3" t="str">
        <f>YEAR(Datos_Consumo[[#This Row],[FECHA]])&amp;"-"&amp;MONTH(Datos_Consumo[[#This Row],[FECHA]])</f>
        <v>2018-3</v>
      </c>
    </row>
    <row r="3391" spans="1:4" x14ac:dyDescent="0.25">
      <c r="A3391" t="s">
        <v>2536</v>
      </c>
      <c r="B3391">
        <v>1</v>
      </c>
      <c r="C3391" s="54">
        <v>43101</v>
      </c>
      <c r="D3391" s="3" t="str">
        <f>YEAR(Datos_Consumo[[#This Row],[FECHA]])&amp;"-"&amp;MONTH(Datos_Consumo[[#This Row],[FECHA]])</f>
        <v>2018-1</v>
      </c>
    </row>
    <row r="3392" spans="1:4" x14ac:dyDescent="0.25">
      <c r="A3392" t="s">
        <v>2536</v>
      </c>
      <c r="B3392">
        <v>2</v>
      </c>
      <c r="C3392" s="54">
        <v>43132</v>
      </c>
      <c r="D3392" s="3" t="str">
        <f>YEAR(Datos_Consumo[[#This Row],[FECHA]])&amp;"-"&amp;MONTH(Datos_Consumo[[#This Row],[FECHA]])</f>
        <v>2018-2</v>
      </c>
    </row>
    <row r="3393" spans="1:4" x14ac:dyDescent="0.25">
      <c r="A3393" t="s">
        <v>2536</v>
      </c>
      <c r="B3393">
        <v>2</v>
      </c>
      <c r="C3393" s="54">
        <v>43160</v>
      </c>
      <c r="D3393" s="3" t="str">
        <f>YEAR(Datos_Consumo[[#This Row],[FECHA]])&amp;"-"&amp;MONTH(Datos_Consumo[[#This Row],[FECHA]])</f>
        <v>2018-3</v>
      </c>
    </row>
    <row r="3394" spans="1:4" x14ac:dyDescent="0.25">
      <c r="A3394" t="s">
        <v>2537</v>
      </c>
      <c r="B3394">
        <v>1</v>
      </c>
      <c r="C3394" s="54">
        <v>43132</v>
      </c>
      <c r="D3394" s="3" t="str">
        <f>YEAR(Datos_Consumo[[#This Row],[FECHA]])&amp;"-"&amp;MONTH(Datos_Consumo[[#This Row],[FECHA]])</f>
        <v>2018-2</v>
      </c>
    </row>
    <row r="3395" spans="1:4" x14ac:dyDescent="0.25">
      <c r="A3395" t="s">
        <v>2538</v>
      </c>
      <c r="B3395">
        <v>2</v>
      </c>
      <c r="C3395" s="54">
        <v>43160</v>
      </c>
      <c r="D3395" s="3" t="str">
        <f>YEAR(Datos_Consumo[[#This Row],[FECHA]])&amp;"-"&amp;MONTH(Datos_Consumo[[#This Row],[FECHA]])</f>
        <v>2018-3</v>
      </c>
    </row>
    <row r="3396" spans="1:4" x14ac:dyDescent="0.25">
      <c r="A3396" t="s">
        <v>2539</v>
      </c>
      <c r="B3396">
        <v>4</v>
      </c>
      <c r="C3396" s="54">
        <v>43160</v>
      </c>
      <c r="D3396" s="3" t="str">
        <f>YEAR(Datos_Consumo[[#This Row],[FECHA]])&amp;"-"&amp;MONTH(Datos_Consumo[[#This Row],[FECHA]])</f>
        <v>2018-3</v>
      </c>
    </row>
    <row r="3397" spans="1:4" x14ac:dyDescent="0.25">
      <c r="A3397" t="s">
        <v>2540</v>
      </c>
      <c r="B3397">
        <v>2</v>
      </c>
      <c r="C3397" s="54">
        <v>43160</v>
      </c>
      <c r="D3397" s="3" t="str">
        <f>YEAR(Datos_Consumo[[#This Row],[FECHA]])&amp;"-"&amp;MONTH(Datos_Consumo[[#This Row],[FECHA]])</f>
        <v>2018-3</v>
      </c>
    </row>
    <row r="3398" spans="1:4" x14ac:dyDescent="0.25">
      <c r="A3398" t="s">
        <v>2541</v>
      </c>
      <c r="B3398">
        <v>2</v>
      </c>
      <c r="C3398" s="54">
        <v>43160</v>
      </c>
      <c r="D3398" s="3" t="str">
        <f>YEAR(Datos_Consumo[[#This Row],[FECHA]])&amp;"-"&amp;MONTH(Datos_Consumo[[#This Row],[FECHA]])</f>
        <v>2018-3</v>
      </c>
    </row>
    <row r="3399" spans="1:4" x14ac:dyDescent="0.25">
      <c r="A3399" t="s">
        <v>2542</v>
      </c>
      <c r="B3399">
        <v>1</v>
      </c>
      <c r="C3399" s="54">
        <v>43070</v>
      </c>
      <c r="D3399" s="3" t="str">
        <f>YEAR(Datos_Consumo[[#This Row],[FECHA]])&amp;"-"&amp;MONTH(Datos_Consumo[[#This Row],[FECHA]])</f>
        <v>2017-12</v>
      </c>
    </row>
    <row r="3400" spans="1:4" x14ac:dyDescent="0.25">
      <c r="A3400" t="s">
        <v>2543</v>
      </c>
      <c r="B3400">
        <v>116</v>
      </c>
      <c r="C3400" s="54">
        <v>43101</v>
      </c>
      <c r="D3400" s="3" t="str">
        <f>YEAR(Datos_Consumo[[#This Row],[FECHA]])&amp;"-"&amp;MONTH(Datos_Consumo[[#This Row],[FECHA]])</f>
        <v>2018-1</v>
      </c>
    </row>
    <row r="3401" spans="1:4" x14ac:dyDescent="0.25">
      <c r="A3401" t="s">
        <v>2543</v>
      </c>
      <c r="B3401">
        <v>44</v>
      </c>
      <c r="C3401" s="54">
        <v>43132</v>
      </c>
      <c r="D3401" s="3" t="str">
        <f>YEAR(Datos_Consumo[[#This Row],[FECHA]])&amp;"-"&amp;MONTH(Datos_Consumo[[#This Row],[FECHA]])</f>
        <v>2018-2</v>
      </c>
    </row>
    <row r="3402" spans="1:4" x14ac:dyDescent="0.25">
      <c r="A3402" t="s">
        <v>2543</v>
      </c>
      <c r="B3402">
        <v>32</v>
      </c>
      <c r="C3402" s="54">
        <v>43160</v>
      </c>
      <c r="D3402" s="3" t="str">
        <f>YEAR(Datos_Consumo[[#This Row],[FECHA]])&amp;"-"&amp;MONTH(Datos_Consumo[[#This Row],[FECHA]])</f>
        <v>2018-3</v>
      </c>
    </row>
    <row r="3403" spans="1:4" x14ac:dyDescent="0.25">
      <c r="A3403" t="s">
        <v>2544</v>
      </c>
      <c r="B3403">
        <v>1</v>
      </c>
      <c r="C3403" s="54">
        <v>43070</v>
      </c>
      <c r="D3403" s="3" t="str">
        <f>YEAR(Datos_Consumo[[#This Row],[FECHA]])&amp;"-"&amp;MONTH(Datos_Consumo[[#This Row],[FECHA]])</f>
        <v>2017-12</v>
      </c>
    </row>
    <row r="3404" spans="1:4" x14ac:dyDescent="0.25">
      <c r="A3404" t="s">
        <v>2544</v>
      </c>
      <c r="B3404">
        <v>1</v>
      </c>
      <c r="C3404" s="54">
        <v>43101</v>
      </c>
      <c r="D3404" s="3" t="str">
        <f>YEAR(Datos_Consumo[[#This Row],[FECHA]])&amp;"-"&amp;MONTH(Datos_Consumo[[#This Row],[FECHA]])</f>
        <v>2018-1</v>
      </c>
    </row>
    <row r="3405" spans="1:4" x14ac:dyDescent="0.25">
      <c r="A3405" t="s">
        <v>2545</v>
      </c>
      <c r="B3405">
        <v>12</v>
      </c>
      <c r="C3405" s="54">
        <v>43132</v>
      </c>
      <c r="D3405" s="3" t="str">
        <f>YEAR(Datos_Consumo[[#This Row],[FECHA]])&amp;"-"&amp;MONTH(Datos_Consumo[[#This Row],[FECHA]])</f>
        <v>2018-2</v>
      </c>
    </row>
    <row r="3406" spans="1:4" x14ac:dyDescent="0.25">
      <c r="A3406" t="s">
        <v>2545</v>
      </c>
      <c r="B3406">
        <v>8</v>
      </c>
      <c r="C3406" s="54">
        <v>43160</v>
      </c>
      <c r="D3406" s="3" t="str">
        <f>YEAR(Datos_Consumo[[#This Row],[FECHA]])&amp;"-"&amp;MONTH(Datos_Consumo[[#This Row],[FECHA]])</f>
        <v>2018-3</v>
      </c>
    </row>
    <row r="3407" spans="1:4" x14ac:dyDescent="0.25">
      <c r="A3407" t="s">
        <v>2546</v>
      </c>
      <c r="B3407">
        <v>6</v>
      </c>
      <c r="C3407" s="54">
        <v>43101</v>
      </c>
      <c r="D3407" s="3" t="str">
        <f>YEAR(Datos_Consumo[[#This Row],[FECHA]])&amp;"-"&amp;MONTH(Datos_Consumo[[#This Row],[FECHA]])</f>
        <v>2018-1</v>
      </c>
    </row>
    <row r="3408" spans="1:4" x14ac:dyDescent="0.25">
      <c r="A3408" t="s">
        <v>2547</v>
      </c>
      <c r="B3408">
        <v>6</v>
      </c>
      <c r="C3408" s="54">
        <v>43101</v>
      </c>
      <c r="D3408" s="3" t="str">
        <f>YEAR(Datos_Consumo[[#This Row],[FECHA]])&amp;"-"&amp;MONTH(Datos_Consumo[[#This Row],[FECHA]])</f>
        <v>2018-1</v>
      </c>
    </row>
    <row r="3409" spans="1:4" x14ac:dyDescent="0.25">
      <c r="A3409" t="s">
        <v>2548</v>
      </c>
      <c r="B3409">
        <v>10</v>
      </c>
      <c r="C3409" s="54">
        <v>43101</v>
      </c>
      <c r="D3409" s="3" t="str">
        <f>YEAR(Datos_Consumo[[#This Row],[FECHA]])&amp;"-"&amp;MONTH(Datos_Consumo[[#This Row],[FECHA]])</f>
        <v>2018-1</v>
      </c>
    </row>
    <row r="3410" spans="1:4" x14ac:dyDescent="0.25">
      <c r="A3410" t="s">
        <v>2548</v>
      </c>
      <c r="B3410">
        <v>8</v>
      </c>
      <c r="C3410" s="54">
        <v>43132</v>
      </c>
      <c r="D3410" s="3" t="str">
        <f>YEAR(Datos_Consumo[[#This Row],[FECHA]])&amp;"-"&amp;MONTH(Datos_Consumo[[#This Row],[FECHA]])</f>
        <v>2018-2</v>
      </c>
    </row>
    <row r="3411" spans="1:4" x14ac:dyDescent="0.25">
      <c r="A3411" t="s">
        <v>2548</v>
      </c>
      <c r="B3411">
        <v>4</v>
      </c>
      <c r="C3411" s="54">
        <v>43191</v>
      </c>
      <c r="D3411" s="3" t="str">
        <f>YEAR(Datos_Consumo[[#This Row],[FECHA]])&amp;"-"&amp;MONTH(Datos_Consumo[[#This Row],[FECHA]])</f>
        <v>2018-4</v>
      </c>
    </row>
    <row r="3412" spans="1:4" x14ac:dyDescent="0.25">
      <c r="A3412" t="s">
        <v>2549</v>
      </c>
      <c r="B3412">
        <v>2</v>
      </c>
      <c r="C3412" s="54">
        <v>43160</v>
      </c>
      <c r="D3412" s="3" t="str">
        <f>YEAR(Datos_Consumo[[#This Row],[FECHA]])&amp;"-"&amp;MONTH(Datos_Consumo[[#This Row],[FECHA]])</f>
        <v>2018-3</v>
      </c>
    </row>
    <row r="3413" spans="1:4" x14ac:dyDescent="0.25">
      <c r="A3413" t="s">
        <v>2550</v>
      </c>
      <c r="B3413">
        <v>19</v>
      </c>
      <c r="C3413" s="54">
        <v>43160</v>
      </c>
      <c r="D3413" s="3" t="str">
        <f>YEAR(Datos_Consumo[[#This Row],[FECHA]])&amp;"-"&amp;MONTH(Datos_Consumo[[#This Row],[FECHA]])</f>
        <v>2018-3</v>
      </c>
    </row>
    <row r="3414" spans="1:4" x14ac:dyDescent="0.25">
      <c r="A3414" t="s">
        <v>2551</v>
      </c>
      <c r="B3414">
        <v>1</v>
      </c>
      <c r="C3414" s="54">
        <v>43070</v>
      </c>
      <c r="D3414" s="3" t="str">
        <f>YEAR(Datos_Consumo[[#This Row],[FECHA]])&amp;"-"&amp;MONTH(Datos_Consumo[[#This Row],[FECHA]])</f>
        <v>2017-12</v>
      </c>
    </row>
    <row r="3415" spans="1:4" x14ac:dyDescent="0.25">
      <c r="A3415" t="s">
        <v>2551</v>
      </c>
      <c r="B3415">
        <v>1</v>
      </c>
      <c r="C3415" s="54">
        <v>43101</v>
      </c>
      <c r="D3415" s="3" t="str">
        <f>YEAR(Datos_Consumo[[#This Row],[FECHA]])&amp;"-"&amp;MONTH(Datos_Consumo[[#This Row],[FECHA]])</f>
        <v>2018-1</v>
      </c>
    </row>
    <row r="3416" spans="1:4" x14ac:dyDescent="0.25">
      <c r="A3416" t="s">
        <v>2551</v>
      </c>
      <c r="B3416">
        <v>1</v>
      </c>
      <c r="C3416" s="54">
        <v>43132</v>
      </c>
      <c r="D3416" s="3" t="str">
        <f>YEAR(Datos_Consumo[[#This Row],[FECHA]])&amp;"-"&amp;MONTH(Datos_Consumo[[#This Row],[FECHA]])</f>
        <v>2018-2</v>
      </c>
    </row>
    <row r="3417" spans="1:4" x14ac:dyDescent="0.25">
      <c r="A3417" t="s">
        <v>2551</v>
      </c>
      <c r="B3417">
        <v>3</v>
      </c>
      <c r="C3417" s="54">
        <v>43160</v>
      </c>
      <c r="D3417" s="3" t="str">
        <f>YEAR(Datos_Consumo[[#This Row],[FECHA]])&amp;"-"&amp;MONTH(Datos_Consumo[[#This Row],[FECHA]])</f>
        <v>2018-3</v>
      </c>
    </row>
    <row r="3418" spans="1:4" x14ac:dyDescent="0.25">
      <c r="A3418" t="s">
        <v>2551</v>
      </c>
      <c r="B3418">
        <v>4</v>
      </c>
      <c r="C3418" s="54">
        <v>43191</v>
      </c>
      <c r="D3418" s="3" t="str">
        <f>YEAR(Datos_Consumo[[#This Row],[FECHA]])&amp;"-"&amp;MONTH(Datos_Consumo[[#This Row],[FECHA]])</f>
        <v>2018-4</v>
      </c>
    </row>
    <row r="3419" spans="1:4" x14ac:dyDescent="0.25">
      <c r="A3419" t="s">
        <v>2552</v>
      </c>
      <c r="B3419">
        <v>10</v>
      </c>
      <c r="C3419" s="54">
        <v>43101</v>
      </c>
      <c r="D3419" s="3" t="str">
        <f>YEAR(Datos_Consumo[[#This Row],[FECHA]])&amp;"-"&amp;MONTH(Datos_Consumo[[#This Row],[FECHA]])</f>
        <v>2018-1</v>
      </c>
    </row>
    <row r="3420" spans="1:4" x14ac:dyDescent="0.25">
      <c r="A3420" t="s">
        <v>2552</v>
      </c>
      <c r="B3420">
        <v>2</v>
      </c>
      <c r="C3420" s="54">
        <v>43132</v>
      </c>
      <c r="D3420" s="3" t="str">
        <f>YEAR(Datos_Consumo[[#This Row],[FECHA]])&amp;"-"&amp;MONTH(Datos_Consumo[[#This Row],[FECHA]])</f>
        <v>2018-2</v>
      </c>
    </row>
    <row r="3421" spans="1:4" x14ac:dyDescent="0.25">
      <c r="A3421" t="s">
        <v>2553</v>
      </c>
      <c r="B3421">
        <v>1</v>
      </c>
      <c r="C3421" s="54">
        <v>43070</v>
      </c>
      <c r="D3421" s="3" t="str">
        <f>YEAR(Datos_Consumo[[#This Row],[FECHA]])&amp;"-"&amp;MONTH(Datos_Consumo[[#This Row],[FECHA]])</f>
        <v>2017-12</v>
      </c>
    </row>
    <row r="3422" spans="1:4" x14ac:dyDescent="0.25">
      <c r="A3422" t="s">
        <v>2553</v>
      </c>
      <c r="B3422">
        <v>2</v>
      </c>
      <c r="C3422" s="54">
        <v>43132</v>
      </c>
      <c r="D3422" s="3" t="str">
        <f>YEAR(Datos_Consumo[[#This Row],[FECHA]])&amp;"-"&amp;MONTH(Datos_Consumo[[#This Row],[FECHA]])</f>
        <v>2018-2</v>
      </c>
    </row>
    <row r="3423" spans="1:4" x14ac:dyDescent="0.25">
      <c r="A3423" t="s">
        <v>2554</v>
      </c>
      <c r="B3423">
        <v>1</v>
      </c>
      <c r="C3423" s="54">
        <v>43132</v>
      </c>
      <c r="D3423" s="3" t="str">
        <f>YEAR(Datos_Consumo[[#This Row],[FECHA]])&amp;"-"&amp;MONTH(Datos_Consumo[[#This Row],[FECHA]])</f>
        <v>2018-2</v>
      </c>
    </row>
    <row r="3424" spans="1:4" x14ac:dyDescent="0.25">
      <c r="A3424" t="s">
        <v>2555</v>
      </c>
      <c r="B3424">
        <v>1</v>
      </c>
      <c r="C3424" s="54">
        <v>43070</v>
      </c>
      <c r="D3424" s="3" t="str">
        <f>YEAR(Datos_Consumo[[#This Row],[FECHA]])&amp;"-"&amp;MONTH(Datos_Consumo[[#This Row],[FECHA]])</f>
        <v>2017-12</v>
      </c>
    </row>
    <row r="3425" spans="1:4" x14ac:dyDescent="0.25">
      <c r="A3425" t="s">
        <v>2555</v>
      </c>
      <c r="B3425">
        <v>1</v>
      </c>
      <c r="C3425" s="54">
        <v>43101</v>
      </c>
      <c r="D3425" s="3" t="str">
        <f>YEAR(Datos_Consumo[[#This Row],[FECHA]])&amp;"-"&amp;MONTH(Datos_Consumo[[#This Row],[FECHA]])</f>
        <v>2018-1</v>
      </c>
    </row>
    <row r="3426" spans="1:4" x14ac:dyDescent="0.25">
      <c r="A3426" t="s">
        <v>2556</v>
      </c>
      <c r="B3426">
        <v>2</v>
      </c>
      <c r="C3426" s="54">
        <v>43070</v>
      </c>
      <c r="D3426" s="3" t="str">
        <f>YEAR(Datos_Consumo[[#This Row],[FECHA]])&amp;"-"&amp;MONTH(Datos_Consumo[[#This Row],[FECHA]])</f>
        <v>2017-12</v>
      </c>
    </row>
    <row r="3427" spans="1:4" x14ac:dyDescent="0.25">
      <c r="A3427" t="s">
        <v>2556</v>
      </c>
      <c r="B3427">
        <v>1</v>
      </c>
      <c r="C3427" s="54">
        <v>43132</v>
      </c>
      <c r="D3427" s="3" t="str">
        <f>YEAR(Datos_Consumo[[#This Row],[FECHA]])&amp;"-"&amp;MONTH(Datos_Consumo[[#This Row],[FECHA]])</f>
        <v>2018-2</v>
      </c>
    </row>
    <row r="3428" spans="1:4" x14ac:dyDescent="0.25">
      <c r="A3428" t="s">
        <v>2556</v>
      </c>
      <c r="B3428">
        <v>1</v>
      </c>
      <c r="C3428" s="54">
        <v>43191</v>
      </c>
      <c r="D3428" s="3" t="str">
        <f>YEAR(Datos_Consumo[[#This Row],[FECHA]])&amp;"-"&amp;MONTH(Datos_Consumo[[#This Row],[FECHA]])</f>
        <v>2018-4</v>
      </c>
    </row>
    <row r="3429" spans="1:4" x14ac:dyDescent="0.25">
      <c r="A3429" t="s">
        <v>2557</v>
      </c>
      <c r="B3429">
        <v>2</v>
      </c>
      <c r="C3429" s="54">
        <v>43132</v>
      </c>
      <c r="D3429" s="3" t="str">
        <f>YEAR(Datos_Consumo[[#This Row],[FECHA]])&amp;"-"&amp;MONTH(Datos_Consumo[[#This Row],[FECHA]])</f>
        <v>2018-2</v>
      </c>
    </row>
    <row r="3430" spans="1:4" x14ac:dyDescent="0.25">
      <c r="A3430" t="s">
        <v>2557</v>
      </c>
      <c r="B3430">
        <v>1</v>
      </c>
      <c r="C3430" s="54">
        <v>43160</v>
      </c>
      <c r="D3430" s="3" t="str">
        <f>YEAR(Datos_Consumo[[#This Row],[FECHA]])&amp;"-"&amp;MONTH(Datos_Consumo[[#This Row],[FECHA]])</f>
        <v>2018-3</v>
      </c>
    </row>
    <row r="3431" spans="1:4" x14ac:dyDescent="0.25">
      <c r="A3431" t="s">
        <v>2557</v>
      </c>
      <c r="B3431">
        <v>2</v>
      </c>
      <c r="C3431" s="54">
        <v>43191</v>
      </c>
      <c r="D3431" s="3" t="str">
        <f>YEAR(Datos_Consumo[[#This Row],[FECHA]])&amp;"-"&amp;MONTH(Datos_Consumo[[#This Row],[FECHA]])</f>
        <v>2018-4</v>
      </c>
    </row>
    <row r="3432" spans="1:4" x14ac:dyDescent="0.25">
      <c r="A3432" t="s">
        <v>2558</v>
      </c>
      <c r="B3432">
        <v>1</v>
      </c>
      <c r="C3432" s="54">
        <v>43191</v>
      </c>
      <c r="D3432" s="3" t="str">
        <f>YEAR(Datos_Consumo[[#This Row],[FECHA]])&amp;"-"&amp;MONTH(Datos_Consumo[[#This Row],[FECHA]])</f>
        <v>2018-4</v>
      </c>
    </row>
    <row r="3433" spans="1:4" x14ac:dyDescent="0.25">
      <c r="A3433" t="s">
        <v>2558</v>
      </c>
      <c r="B3433">
        <v>1</v>
      </c>
      <c r="C3433" s="54">
        <v>43221</v>
      </c>
      <c r="D3433" s="3" t="str">
        <f>YEAR(Datos_Consumo[[#This Row],[FECHA]])&amp;"-"&amp;MONTH(Datos_Consumo[[#This Row],[FECHA]])</f>
        <v>2018-5</v>
      </c>
    </row>
    <row r="3434" spans="1:4" x14ac:dyDescent="0.25">
      <c r="A3434" t="s">
        <v>2559</v>
      </c>
      <c r="B3434">
        <v>2</v>
      </c>
      <c r="C3434" s="54">
        <v>43160</v>
      </c>
      <c r="D3434" s="3" t="str">
        <f>YEAR(Datos_Consumo[[#This Row],[FECHA]])&amp;"-"&amp;MONTH(Datos_Consumo[[#This Row],[FECHA]])</f>
        <v>2018-3</v>
      </c>
    </row>
    <row r="3435" spans="1:4" x14ac:dyDescent="0.25">
      <c r="A3435" t="s">
        <v>2560</v>
      </c>
      <c r="B3435">
        <v>10</v>
      </c>
      <c r="C3435" s="54">
        <v>43132</v>
      </c>
      <c r="D3435" s="3" t="str">
        <f>YEAR(Datos_Consumo[[#This Row],[FECHA]])&amp;"-"&amp;MONTH(Datos_Consumo[[#This Row],[FECHA]])</f>
        <v>2018-2</v>
      </c>
    </row>
    <row r="3436" spans="1:4" x14ac:dyDescent="0.25">
      <c r="A3436" t="s">
        <v>2561</v>
      </c>
      <c r="B3436">
        <v>1</v>
      </c>
      <c r="C3436" s="54">
        <v>43132</v>
      </c>
      <c r="D3436" s="3" t="str">
        <f>YEAR(Datos_Consumo[[#This Row],[FECHA]])&amp;"-"&amp;MONTH(Datos_Consumo[[#This Row],[FECHA]])</f>
        <v>2018-2</v>
      </c>
    </row>
    <row r="3437" spans="1:4" x14ac:dyDescent="0.25">
      <c r="A3437" t="s">
        <v>2561</v>
      </c>
      <c r="B3437">
        <v>1</v>
      </c>
      <c r="C3437" s="54">
        <v>43191</v>
      </c>
      <c r="D3437" s="3" t="str">
        <f>YEAR(Datos_Consumo[[#This Row],[FECHA]])&amp;"-"&amp;MONTH(Datos_Consumo[[#This Row],[FECHA]])</f>
        <v>2018-4</v>
      </c>
    </row>
    <row r="3438" spans="1:4" x14ac:dyDescent="0.25">
      <c r="A3438" t="s">
        <v>2562</v>
      </c>
      <c r="B3438">
        <v>5</v>
      </c>
      <c r="C3438" s="54">
        <v>43070</v>
      </c>
      <c r="D3438" s="3" t="str">
        <f>YEAR(Datos_Consumo[[#This Row],[FECHA]])&amp;"-"&amp;MONTH(Datos_Consumo[[#This Row],[FECHA]])</f>
        <v>2017-12</v>
      </c>
    </row>
    <row r="3439" spans="1:4" x14ac:dyDescent="0.25">
      <c r="A3439" t="s">
        <v>2562</v>
      </c>
      <c r="B3439">
        <v>4</v>
      </c>
      <c r="C3439" s="54">
        <v>43101</v>
      </c>
      <c r="D3439" s="3" t="str">
        <f>YEAR(Datos_Consumo[[#This Row],[FECHA]])&amp;"-"&amp;MONTH(Datos_Consumo[[#This Row],[FECHA]])</f>
        <v>2018-1</v>
      </c>
    </row>
    <row r="3440" spans="1:4" x14ac:dyDescent="0.25">
      <c r="A3440" t="s">
        <v>2562</v>
      </c>
      <c r="B3440">
        <v>3</v>
      </c>
      <c r="C3440" s="54">
        <v>43160</v>
      </c>
      <c r="D3440" s="3" t="str">
        <f>YEAR(Datos_Consumo[[#This Row],[FECHA]])&amp;"-"&amp;MONTH(Datos_Consumo[[#This Row],[FECHA]])</f>
        <v>2018-3</v>
      </c>
    </row>
    <row r="3441" spans="1:4" x14ac:dyDescent="0.25">
      <c r="A3441" t="s">
        <v>2563</v>
      </c>
      <c r="B3441">
        <v>224</v>
      </c>
      <c r="C3441" s="54">
        <v>43070</v>
      </c>
      <c r="D3441" s="3" t="str">
        <f>YEAR(Datos_Consumo[[#This Row],[FECHA]])&amp;"-"&amp;MONTH(Datos_Consumo[[#This Row],[FECHA]])</f>
        <v>2017-12</v>
      </c>
    </row>
    <row r="3442" spans="1:4" x14ac:dyDescent="0.25">
      <c r="A3442" t="s">
        <v>2563</v>
      </c>
      <c r="B3442">
        <v>81</v>
      </c>
      <c r="C3442" s="54">
        <v>43101</v>
      </c>
      <c r="D3442" s="3" t="str">
        <f>YEAR(Datos_Consumo[[#This Row],[FECHA]])&amp;"-"&amp;MONTH(Datos_Consumo[[#This Row],[FECHA]])</f>
        <v>2018-1</v>
      </c>
    </row>
    <row r="3443" spans="1:4" x14ac:dyDescent="0.25">
      <c r="A3443" t="s">
        <v>2563</v>
      </c>
      <c r="B3443">
        <v>103</v>
      </c>
      <c r="C3443" s="54">
        <v>43132</v>
      </c>
      <c r="D3443" s="3" t="str">
        <f>YEAR(Datos_Consumo[[#This Row],[FECHA]])&amp;"-"&amp;MONTH(Datos_Consumo[[#This Row],[FECHA]])</f>
        <v>2018-2</v>
      </c>
    </row>
    <row r="3444" spans="1:4" x14ac:dyDescent="0.25">
      <c r="A3444" t="s">
        <v>2563</v>
      </c>
      <c r="B3444">
        <v>396</v>
      </c>
      <c r="C3444" s="54">
        <v>43160</v>
      </c>
      <c r="D3444" s="3" t="str">
        <f>YEAR(Datos_Consumo[[#This Row],[FECHA]])&amp;"-"&amp;MONTH(Datos_Consumo[[#This Row],[FECHA]])</f>
        <v>2018-3</v>
      </c>
    </row>
    <row r="3445" spans="1:4" x14ac:dyDescent="0.25">
      <c r="A3445" t="s">
        <v>2563</v>
      </c>
      <c r="B3445">
        <v>240</v>
      </c>
      <c r="C3445" s="54">
        <v>43191</v>
      </c>
      <c r="D3445" s="3" t="str">
        <f>YEAR(Datos_Consumo[[#This Row],[FECHA]])&amp;"-"&amp;MONTH(Datos_Consumo[[#This Row],[FECHA]])</f>
        <v>2018-4</v>
      </c>
    </row>
    <row r="3446" spans="1:4" x14ac:dyDescent="0.25">
      <c r="A3446" t="s">
        <v>2563</v>
      </c>
      <c r="B3446">
        <v>59</v>
      </c>
      <c r="C3446" s="54">
        <v>43221</v>
      </c>
      <c r="D3446" s="3" t="str">
        <f>YEAR(Datos_Consumo[[#This Row],[FECHA]])&amp;"-"&amp;MONTH(Datos_Consumo[[#This Row],[FECHA]])</f>
        <v>2018-5</v>
      </c>
    </row>
    <row r="3447" spans="1:4" x14ac:dyDescent="0.25">
      <c r="A3447" t="s">
        <v>2564</v>
      </c>
      <c r="B3447">
        <v>1</v>
      </c>
      <c r="C3447" s="54">
        <v>43160</v>
      </c>
      <c r="D3447" s="3" t="str">
        <f>YEAR(Datos_Consumo[[#This Row],[FECHA]])&amp;"-"&amp;MONTH(Datos_Consumo[[#This Row],[FECHA]])</f>
        <v>2018-3</v>
      </c>
    </row>
    <row r="3448" spans="1:4" x14ac:dyDescent="0.25">
      <c r="A3448" t="s">
        <v>2565</v>
      </c>
      <c r="B3448">
        <v>1</v>
      </c>
      <c r="C3448" s="54">
        <v>43160</v>
      </c>
      <c r="D3448" s="3" t="str">
        <f>YEAR(Datos_Consumo[[#This Row],[FECHA]])&amp;"-"&amp;MONTH(Datos_Consumo[[#This Row],[FECHA]])</f>
        <v>2018-3</v>
      </c>
    </row>
    <row r="3449" spans="1:4" x14ac:dyDescent="0.25">
      <c r="A3449" t="s">
        <v>2566</v>
      </c>
      <c r="B3449">
        <v>1</v>
      </c>
      <c r="C3449" s="54">
        <v>43160</v>
      </c>
      <c r="D3449" s="3" t="str">
        <f>YEAR(Datos_Consumo[[#This Row],[FECHA]])&amp;"-"&amp;MONTH(Datos_Consumo[[#This Row],[FECHA]])</f>
        <v>2018-3</v>
      </c>
    </row>
    <row r="3450" spans="1:4" x14ac:dyDescent="0.25">
      <c r="A3450" t="s">
        <v>2567</v>
      </c>
      <c r="B3450">
        <v>1</v>
      </c>
      <c r="C3450" s="54">
        <v>43101</v>
      </c>
      <c r="D3450" s="3" t="str">
        <f>YEAR(Datos_Consumo[[#This Row],[FECHA]])&amp;"-"&amp;MONTH(Datos_Consumo[[#This Row],[FECHA]])</f>
        <v>2018-1</v>
      </c>
    </row>
    <row r="3451" spans="1:4" x14ac:dyDescent="0.25">
      <c r="A3451" t="s">
        <v>2567</v>
      </c>
      <c r="B3451">
        <v>1</v>
      </c>
      <c r="C3451" s="54">
        <v>43160</v>
      </c>
      <c r="D3451" s="3" t="str">
        <f>YEAR(Datos_Consumo[[#This Row],[FECHA]])&amp;"-"&amp;MONTH(Datos_Consumo[[#This Row],[FECHA]])</f>
        <v>2018-3</v>
      </c>
    </row>
    <row r="3452" spans="1:4" x14ac:dyDescent="0.25">
      <c r="A3452" t="s">
        <v>2568</v>
      </c>
      <c r="B3452">
        <v>1</v>
      </c>
      <c r="C3452" s="54">
        <v>43160</v>
      </c>
      <c r="D3452" s="3" t="str">
        <f>YEAR(Datos_Consumo[[#This Row],[FECHA]])&amp;"-"&amp;MONTH(Datos_Consumo[[#This Row],[FECHA]])</f>
        <v>2018-3</v>
      </c>
    </row>
    <row r="3453" spans="1:4" x14ac:dyDescent="0.25">
      <c r="A3453" t="s">
        <v>2569</v>
      </c>
      <c r="B3453">
        <v>1</v>
      </c>
      <c r="C3453" s="54">
        <v>43160</v>
      </c>
      <c r="D3453" s="3" t="str">
        <f>YEAR(Datos_Consumo[[#This Row],[FECHA]])&amp;"-"&amp;MONTH(Datos_Consumo[[#This Row],[FECHA]])</f>
        <v>2018-3</v>
      </c>
    </row>
    <row r="3454" spans="1:4" x14ac:dyDescent="0.25">
      <c r="A3454" t="s">
        <v>2570</v>
      </c>
      <c r="B3454">
        <v>33</v>
      </c>
      <c r="C3454" s="54">
        <v>43070</v>
      </c>
      <c r="D3454" s="3" t="str">
        <f>YEAR(Datos_Consumo[[#This Row],[FECHA]])&amp;"-"&amp;MONTH(Datos_Consumo[[#This Row],[FECHA]])</f>
        <v>2017-12</v>
      </c>
    </row>
    <row r="3455" spans="1:4" x14ac:dyDescent="0.25">
      <c r="A3455" t="s">
        <v>2570</v>
      </c>
      <c r="B3455">
        <v>18</v>
      </c>
      <c r="C3455" s="54">
        <v>43101</v>
      </c>
      <c r="D3455" s="3" t="str">
        <f>YEAR(Datos_Consumo[[#This Row],[FECHA]])&amp;"-"&amp;MONTH(Datos_Consumo[[#This Row],[FECHA]])</f>
        <v>2018-1</v>
      </c>
    </row>
    <row r="3456" spans="1:4" x14ac:dyDescent="0.25">
      <c r="A3456" t="s">
        <v>2570</v>
      </c>
      <c r="B3456">
        <v>14</v>
      </c>
      <c r="C3456" s="54">
        <v>43132</v>
      </c>
      <c r="D3456" s="3" t="str">
        <f>YEAR(Datos_Consumo[[#This Row],[FECHA]])&amp;"-"&amp;MONTH(Datos_Consumo[[#This Row],[FECHA]])</f>
        <v>2018-2</v>
      </c>
    </row>
    <row r="3457" spans="1:4" x14ac:dyDescent="0.25">
      <c r="A3457" t="s">
        <v>2570</v>
      </c>
      <c r="B3457">
        <v>11</v>
      </c>
      <c r="C3457" s="54">
        <v>43160</v>
      </c>
      <c r="D3457" s="3" t="str">
        <f>YEAR(Datos_Consumo[[#This Row],[FECHA]])&amp;"-"&amp;MONTH(Datos_Consumo[[#This Row],[FECHA]])</f>
        <v>2018-3</v>
      </c>
    </row>
    <row r="3458" spans="1:4" x14ac:dyDescent="0.25">
      <c r="A3458" t="s">
        <v>2570</v>
      </c>
      <c r="B3458">
        <v>12</v>
      </c>
      <c r="C3458" s="54">
        <v>43191</v>
      </c>
      <c r="D3458" s="3" t="str">
        <f>YEAR(Datos_Consumo[[#This Row],[FECHA]])&amp;"-"&amp;MONTH(Datos_Consumo[[#This Row],[FECHA]])</f>
        <v>2018-4</v>
      </c>
    </row>
    <row r="3459" spans="1:4" x14ac:dyDescent="0.25">
      <c r="A3459" t="s">
        <v>2571</v>
      </c>
      <c r="B3459">
        <v>1</v>
      </c>
      <c r="C3459" s="54">
        <v>43132</v>
      </c>
      <c r="D3459" s="3" t="str">
        <f>YEAR(Datos_Consumo[[#This Row],[FECHA]])&amp;"-"&amp;MONTH(Datos_Consumo[[#This Row],[FECHA]])</f>
        <v>2018-2</v>
      </c>
    </row>
    <row r="3460" spans="1:4" x14ac:dyDescent="0.25">
      <c r="A3460" t="s">
        <v>2571</v>
      </c>
      <c r="B3460">
        <v>1</v>
      </c>
      <c r="C3460" s="54">
        <v>43191</v>
      </c>
      <c r="D3460" s="3" t="str">
        <f>YEAR(Datos_Consumo[[#This Row],[FECHA]])&amp;"-"&amp;MONTH(Datos_Consumo[[#This Row],[FECHA]])</f>
        <v>2018-4</v>
      </c>
    </row>
    <row r="3461" spans="1:4" x14ac:dyDescent="0.25">
      <c r="A3461" t="s">
        <v>2572</v>
      </c>
      <c r="B3461">
        <v>10</v>
      </c>
      <c r="C3461" s="54">
        <v>43070</v>
      </c>
      <c r="D3461" s="3" t="str">
        <f>YEAR(Datos_Consumo[[#This Row],[FECHA]])&amp;"-"&amp;MONTH(Datos_Consumo[[#This Row],[FECHA]])</f>
        <v>2017-12</v>
      </c>
    </row>
    <row r="3462" spans="1:4" x14ac:dyDescent="0.25">
      <c r="A3462" t="s">
        <v>2572</v>
      </c>
      <c r="B3462">
        <v>6</v>
      </c>
      <c r="C3462" s="54">
        <v>43101</v>
      </c>
      <c r="D3462" s="3" t="str">
        <f>YEAR(Datos_Consumo[[#This Row],[FECHA]])&amp;"-"&amp;MONTH(Datos_Consumo[[#This Row],[FECHA]])</f>
        <v>2018-1</v>
      </c>
    </row>
    <row r="3463" spans="1:4" x14ac:dyDescent="0.25">
      <c r="A3463" t="s">
        <v>2572</v>
      </c>
      <c r="B3463">
        <v>2</v>
      </c>
      <c r="C3463" s="54">
        <v>43132</v>
      </c>
      <c r="D3463" s="3" t="str">
        <f>YEAR(Datos_Consumo[[#This Row],[FECHA]])&amp;"-"&amp;MONTH(Datos_Consumo[[#This Row],[FECHA]])</f>
        <v>2018-2</v>
      </c>
    </row>
    <row r="3464" spans="1:4" x14ac:dyDescent="0.25">
      <c r="A3464" t="s">
        <v>2572</v>
      </c>
      <c r="B3464">
        <v>43</v>
      </c>
      <c r="C3464" s="54">
        <v>43160</v>
      </c>
      <c r="D3464" s="3" t="str">
        <f>YEAR(Datos_Consumo[[#This Row],[FECHA]])&amp;"-"&amp;MONTH(Datos_Consumo[[#This Row],[FECHA]])</f>
        <v>2018-3</v>
      </c>
    </row>
    <row r="3465" spans="1:4" x14ac:dyDescent="0.25">
      <c r="A3465" t="s">
        <v>2572</v>
      </c>
      <c r="B3465">
        <v>15</v>
      </c>
      <c r="C3465" s="54">
        <v>43191</v>
      </c>
      <c r="D3465" s="3" t="str">
        <f>YEAR(Datos_Consumo[[#This Row],[FECHA]])&amp;"-"&amp;MONTH(Datos_Consumo[[#This Row],[FECHA]])</f>
        <v>2018-4</v>
      </c>
    </row>
    <row r="3466" spans="1:4" x14ac:dyDescent="0.25">
      <c r="A3466" t="s">
        <v>2572</v>
      </c>
      <c r="B3466">
        <v>1</v>
      </c>
      <c r="C3466" s="54">
        <v>43221</v>
      </c>
      <c r="D3466" s="3" t="str">
        <f>YEAR(Datos_Consumo[[#This Row],[FECHA]])&amp;"-"&amp;MONTH(Datos_Consumo[[#This Row],[FECHA]])</f>
        <v>2018-5</v>
      </c>
    </row>
    <row r="3467" spans="1:4" x14ac:dyDescent="0.25">
      <c r="A3467" t="s">
        <v>2573</v>
      </c>
      <c r="B3467">
        <v>1</v>
      </c>
      <c r="C3467" s="54">
        <v>43191</v>
      </c>
      <c r="D3467" s="3" t="str">
        <f>YEAR(Datos_Consumo[[#This Row],[FECHA]])&amp;"-"&amp;MONTH(Datos_Consumo[[#This Row],[FECHA]])</f>
        <v>2018-4</v>
      </c>
    </row>
    <row r="3468" spans="1:4" x14ac:dyDescent="0.25">
      <c r="A3468" t="s">
        <v>2574</v>
      </c>
      <c r="B3468">
        <v>2</v>
      </c>
      <c r="C3468" s="54">
        <v>43101</v>
      </c>
      <c r="D3468" s="3" t="str">
        <f>YEAR(Datos_Consumo[[#This Row],[FECHA]])&amp;"-"&amp;MONTH(Datos_Consumo[[#This Row],[FECHA]])</f>
        <v>2018-1</v>
      </c>
    </row>
    <row r="3469" spans="1:4" x14ac:dyDescent="0.25">
      <c r="A3469" t="s">
        <v>2575</v>
      </c>
      <c r="B3469">
        <v>1</v>
      </c>
      <c r="C3469" s="54">
        <v>43101</v>
      </c>
      <c r="D3469" s="3" t="str">
        <f>YEAR(Datos_Consumo[[#This Row],[FECHA]])&amp;"-"&amp;MONTH(Datos_Consumo[[#This Row],[FECHA]])</f>
        <v>2018-1</v>
      </c>
    </row>
    <row r="3470" spans="1:4" x14ac:dyDescent="0.25">
      <c r="A3470" t="s">
        <v>2575</v>
      </c>
      <c r="B3470">
        <v>1</v>
      </c>
      <c r="C3470" s="54">
        <v>43132</v>
      </c>
      <c r="D3470" s="3" t="str">
        <f>YEAR(Datos_Consumo[[#This Row],[FECHA]])&amp;"-"&amp;MONTH(Datos_Consumo[[#This Row],[FECHA]])</f>
        <v>2018-2</v>
      </c>
    </row>
    <row r="3471" spans="1:4" x14ac:dyDescent="0.25">
      <c r="A3471" t="s">
        <v>2575</v>
      </c>
      <c r="B3471">
        <v>2</v>
      </c>
      <c r="C3471" s="54">
        <v>43191</v>
      </c>
      <c r="D3471" s="3" t="str">
        <f>YEAR(Datos_Consumo[[#This Row],[FECHA]])&amp;"-"&amp;MONTH(Datos_Consumo[[#This Row],[FECHA]])</f>
        <v>2018-4</v>
      </c>
    </row>
    <row r="3472" spans="1:4" x14ac:dyDescent="0.25">
      <c r="A3472" t="s">
        <v>2576</v>
      </c>
      <c r="B3472">
        <v>4</v>
      </c>
      <c r="C3472" s="54">
        <v>43101</v>
      </c>
      <c r="D3472" s="3" t="str">
        <f>YEAR(Datos_Consumo[[#This Row],[FECHA]])&amp;"-"&amp;MONTH(Datos_Consumo[[#This Row],[FECHA]])</f>
        <v>2018-1</v>
      </c>
    </row>
    <row r="3473" spans="1:4" x14ac:dyDescent="0.25">
      <c r="A3473" t="s">
        <v>2576</v>
      </c>
      <c r="B3473">
        <v>4</v>
      </c>
      <c r="C3473" s="54">
        <v>43132</v>
      </c>
      <c r="D3473" s="3" t="str">
        <f>YEAR(Datos_Consumo[[#This Row],[FECHA]])&amp;"-"&amp;MONTH(Datos_Consumo[[#This Row],[FECHA]])</f>
        <v>2018-2</v>
      </c>
    </row>
    <row r="3474" spans="1:4" x14ac:dyDescent="0.25">
      <c r="A3474" t="s">
        <v>2577</v>
      </c>
      <c r="B3474">
        <v>12</v>
      </c>
      <c r="C3474" s="54">
        <v>43070</v>
      </c>
      <c r="D3474" s="3" t="str">
        <f>YEAR(Datos_Consumo[[#This Row],[FECHA]])&amp;"-"&amp;MONTH(Datos_Consumo[[#This Row],[FECHA]])</f>
        <v>2017-12</v>
      </c>
    </row>
    <row r="3475" spans="1:4" x14ac:dyDescent="0.25">
      <c r="A3475" t="s">
        <v>2577</v>
      </c>
      <c r="B3475">
        <v>8</v>
      </c>
      <c r="C3475" s="54">
        <v>43101</v>
      </c>
      <c r="D3475" s="3" t="str">
        <f>YEAR(Datos_Consumo[[#This Row],[FECHA]])&amp;"-"&amp;MONTH(Datos_Consumo[[#This Row],[FECHA]])</f>
        <v>2018-1</v>
      </c>
    </row>
    <row r="3476" spans="1:4" x14ac:dyDescent="0.25">
      <c r="A3476" t="s">
        <v>2577</v>
      </c>
      <c r="B3476">
        <v>12</v>
      </c>
      <c r="C3476" s="54">
        <v>43132</v>
      </c>
      <c r="D3476" s="3" t="str">
        <f>YEAR(Datos_Consumo[[#This Row],[FECHA]])&amp;"-"&amp;MONTH(Datos_Consumo[[#This Row],[FECHA]])</f>
        <v>2018-2</v>
      </c>
    </row>
    <row r="3477" spans="1:4" x14ac:dyDescent="0.25">
      <c r="A3477" t="s">
        <v>2577</v>
      </c>
      <c r="B3477">
        <v>14</v>
      </c>
      <c r="C3477" s="54">
        <v>43160</v>
      </c>
      <c r="D3477" s="3" t="str">
        <f>YEAR(Datos_Consumo[[#This Row],[FECHA]])&amp;"-"&amp;MONTH(Datos_Consumo[[#This Row],[FECHA]])</f>
        <v>2018-3</v>
      </c>
    </row>
    <row r="3478" spans="1:4" x14ac:dyDescent="0.25">
      <c r="A3478" t="s">
        <v>2577</v>
      </c>
      <c r="B3478">
        <v>2</v>
      </c>
      <c r="C3478" s="54">
        <v>43191</v>
      </c>
      <c r="D3478" s="3" t="str">
        <f>YEAR(Datos_Consumo[[#This Row],[FECHA]])&amp;"-"&amp;MONTH(Datos_Consumo[[#This Row],[FECHA]])</f>
        <v>2018-4</v>
      </c>
    </row>
    <row r="3479" spans="1:4" x14ac:dyDescent="0.25">
      <c r="A3479" t="s">
        <v>2578</v>
      </c>
      <c r="B3479">
        <v>2</v>
      </c>
      <c r="C3479" s="54">
        <v>43160</v>
      </c>
      <c r="D3479" s="3" t="str">
        <f>YEAR(Datos_Consumo[[#This Row],[FECHA]])&amp;"-"&amp;MONTH(Datos_Consumo[[#This Row],[FECHA]])</f>
        <v>2018-3</v>
      </c>
    </row>
    <row r="3480" spans="1:4" x14ac:dyDescent="0.25">
      <c r="A3480" t="s">
        <v>2579</v>
      </c>
      <c r="B3480">
        <v>1</v>
      </c>
      <c r="C3480" s="54">
        <v>43160</v>
      </c>
      <c r="D3480" s="3" t="str">
        <f>YEAR(Datos_Consumo[[#This Row],[FECHA]])&amp;"-"&amp;MONTH(Datos_Consumo[[#This Row],[FECHA]])</f>
        <v>2018-3</v>
      </c>
    </row>
    <row r="3481" spans="1:4" x14ac:dyDescent="0.25">
      <c r="A3481" t="s">
        <v>2580</v>
      </c>
      <c r="B3481">
        <v>3</v>
      </c>
      <c r="C3481" s="54">
        <v>43070</v>
      </c>
      <c r="D3481" s="3" t="str">
        <f>YEAR(Datos_Consumo[[#This Row],[FECHA]])&amp;"-"&amp;MONTH(Datos_Consumo[[#This Row],[FECHA]])</f>
        <v>2017-12</v>
      </c>
    </row>
    <row r="3482" spans="1:4" x14ac:dyDescent="0.25">
      <c r="A3482" t="s">
        <v>2581</v>
      </c>
      <c r="B3482">
        <v>2</v>
      </c>
      <c r="C3482" s="54">
        <v>43160</v>
      </c>
      <c r="D3482" s="3" t="str">
        <f>YEAR(Datos_Consumo[[#This Row],[FECHA]])&amp;"-"&amp;MONTH(Datos_Consumo[[#This Row],[FECHA]])</f>
        <v>2018-3</v>
      </c>
    </row>
    <row r="3483" spans="1:4" x14ac:dyDescent="0.25">
      <c r="A3483" t="s">
        <v>2582</v>
      </c>
      <c r="B3483">
        <v>3</v>
      </c>
      <c r="C3483" s="54">
        <v>43101</v>
      </c>
      <c r="D3483" s="3" t="str">
        <f>YEAR(Datos_Consumo[[#This Row],[FECHA]])&amp;"-"&amp;MONTH(Datos_Consumo[[#This Row],[FECHA]])</f>
        <v>2018-1</v>
      </c>
    </row>
    <row r="3484" spans="1:4" x14ac:dyDescent="0.25">
      <c r="A3484" t="s">
        <v>2582</v>
      </c>
      <c r="B3484">
        <v>30</v>
      </c>
      <c r="C3484" s="54">
        <v>43132</v>
      </c>
      <c r="D3484" s="3" t="str">
        <f>YEAR(Datos_Consumo[[#This Row],[FECHA]])&amp;"-"&amp;MONTH(Datos_Consumo[[#This Row],[FECHA]])</f>
        <v>2018-2</v>
      </c>
    </row>
    <row r="3485" spans="1:4" x14ac:dyDescent="0.25">
      <c r="A3485" t="s">
        <v>2582</v>
      </c>
      <c r="B3485">
        <v>2</v>
      </c>
      <c r="C3485" s="54">
        <v>43160</v>
      </c>
      <c r="D3485" s="3" t="str">
        <f>YEAR(Datos_Consumo[[#This Row],[FECHA]])&amp;"-"&amp;MONTH(Datos_Consumo[[#This Row],[FECHA]])</f>
        <v>2018-3</v>
      </c>
    </row>
    <row r="3486" spans="1:4" x14ac:dyDescent="0.25">
      <c r="A3486" t="s">
        <v>2583</v>
      </c>
      <c r="B3486">
        <v>2</v>
      </c>
      <c r="C3486" s="54">
        <v>43132</v>
      </c>
      <c r="D3486" s="3" t="str">
        <f>YEAR(Datos_Consumo[[#This Row],[FECHA]])&amp;"-"&amp;MONTH(Datos_Consumo[[#This Row],[FECHA]])</f>
        <v>2018-2</v>
      </c>
    </row>
    <row r="3487" spans="1:4" x14ac:dyDescent="0.25">
      <c r="A3487" t="s">
        <v>2584</v>
      </c>
      <c r="B3487">
        <v>1</v>
      </c>
      <c r="C3487" s="54">
        <v>43160</v>
      </c>
      <c r="D3487" s="3" t="str">
        <f>YEAR(Datos_Consumo[[#This Row],[FECHA]])&amp;"-"&amp;MONTH(Datos_Consumo[[#This Row],[FECHA]])</f>
        <v>2018-3</v>
      </c>
    </row>
    <row r="3488" spans="1:4" x14ac:dyDescent="0.25">
      <c r="A3488" t="s">
        <v>2585</v>
      </c>
      <c r="B3488">
        <v>2</v>
      </c>
      <c r="C3488" s="54">
        <v>43101</v>
      </c>
      <c r="D3488" s="3" t="str">
        <f>YEAR(Datos_Consumo[[#This Row],[FECHA]])&amp;"-"&amp;MONTH(Datos_Consumo[[#This Row],[FECHA]])</f>
        <v>2018-1</v>
      </c>
    </row>
    <row r="3489" spans="1:4" x14ac:dyDescent="0.25">
      <c r="A3489" t="s">
        <v>2586</v>
      </c>
      <c r="B3489">
        <v>2</v>
      </c>
      <c r="C3489" s="54">
        <v>43101</v>
      </c>
      <c r="D3489" s="3" t="str">
        <f>YEAR(Datos_Consumo[[#This Row],[FECHA]])&amp;"-"&amp;MONTH(Datos_Consumo[[#This Row],[FECHA]])</f>
        <v>2018-1</v>
      </c>
    </row>
    <row r="3490" spans="1:4" x14ac:dyDescent="0.25">
      <c r="A3490" t="s">
        <v>2587</v>
      </c>
      <c r="B3490">
        <v>1</v>
      </c>
      <c r="C3490" s="54">
        <v>43070</v>
      </c>
      <c r="D3490" s="3" t="str">
        <f>YEAR(Datos_Consumo[[#This Row],[FECHA]])&amp;"-"&amp;MONTH(Datos_Consumo[[#This Row],[FECHA]])</f>
        <v>2017-12</v>
      </c>
    </row>
    <row r="3491" spans="1:4" x14ac:dyDescent="0.25">
      <c r="A3491" t="s">
        <v>2587</v>
      </c>
      <c r="B3491">
        <v>1</v>
      </c>
      <c r="C3491" s="54">
        <v>43101</v>
      </c>
      <c r="D3491" s="3" t="str">
        <f>YEAR(Datos_Consumo[[#This Row],[FECHA]])&amp;"-"&amp;MONTH(Datos_Consumo[[#This Row],[FECHA]])</f>
        <v>2018-1</v>
      </c>
    </row>
    <row r="3492" spans="1:4" x14ac:dyDescent="0.25">
      <c r="A3492" t="s">
        <v>2588</v>
      </c>
      <c r="B3492">
        <v>2</v>
      </c>
      <c r="C3492" s="54">
        <v>43132</v>
      </c>
      <c r="D3492" s="3" t="str">
        <f>YEAR(Datos_Consumo[[#This Row],[FECHA]])&amp;"-"&amp;MONTH(Datos_Consumo[[#This Row],[FECHA]])</f>
        <v>2018-2</v>
      </c>
    </row>
    <row r="3493" spans="1:4" x14ac:dyDescent="0.25">
      <c r="A3493" t="s">
        <v>2589</v>
      </c>
      <c r="B3493">
        <v>1</v>
      </c>
      <c r="C3493" s="54">
        <v>43070</v>
      </c>
      <c r="D3493" s="3" t="str">
        <f>YEAR(Datos_Consumo[[#This Row],[FECHA]])&amp;"-"&amp;MONTH(Datos_Consumo[[#This Row],[FECHA]])</f>
        <v>2017-12</v>
      </c>
    </row>
    <row r="3494" spans="1:4" x14ac:dyDescent="0.25">
      <c r="A3494" t="s">
        <v>2590</v>
      </c>
      <c r="B3494">
        <v>6</v>
      </c>
      <c r="C3494" s="54">
        <v>43070</v>
      </c>
      <c r="D3494" s="3" t="str">
        <f>YEAR(Datos_Consumo[[#This Row],[FECHA]])&amp;"-"&amp;MONTH(Datos_Consumo[[#This Row],[FECHA]])</f>
        <v>2017-12</v>
      </c>
    </row>
    <row r="3495" spans="1:4" x14ac:dyDescent="0.25">
      <c r="A3495" t="s">
        <v>2590</v>
      </c>
      <c r="B3495">
        <v>3</v>
      </c>
      <c r="C3495" s="54">
        <v>43101</v>
      </c>
      <c r="D3495" s="3" t="str">
        <f>YEAR(Datos_Consumo[[#This Row],[FECHA]])&amp;"-"&amp;MONTH(Datos_Consumo[[#This Row],[FECHA]])</f>
        <v>2018-1</v>
      </c>
    </row>
    <row r="3496" spans="1:4" x14ac:dyDescent="0.25">
      <c r="A3496" t="s">
        <v>2591</v>
      </c>
      <c r="B3496">
        <v>1</v>
      </c>
      <c r="C3496" s="54">
        <v>43070</v>
      </c>
      <c r="D3496" s="3" t="str">
        <f>YEAR(Datos_Consumo[[#This Row],[FECHA]])&amp;"-"&amp;MONTH(Datos_Consumo[[#This Row],[FECHA]])</f>
        <v>2017-12</v>
      </c>
    </row>
    <row r="3497" spans="1:4" x14ac:dyDescent="0.25">
      <c r="A3497" t="s">
        <v>2591</v>
      </c>
      <c r="B3497">
        <v>3</v>
      </c>
      <c r="C3497" s="54">
        <v>43101</v>
      </c>
      <c r="D3497" s="3" t="str">
        <f>YEAR(Datos_Consumo[[#This Row],[FECHA]])&amp;"-"&amp;MONTH(Datos_Consumo[[#This Row],[FECHA]])</f>
        <v>2018-1</v>
      </c>
    </row>
    <row r="3498" spans="1:4" x14ac:dyDescent="0.25">
      <c r="A3498" t="s">
        <v>2592</v>
      </c>
      <c r="B3498">
        <v>152</v>
      </c>
      <c r="C3498" s="54">
        <v>43160</v>
      </c>
      <c r="D3498" s="3" t="str">
        <f>YEAR(Datos_Consumo[[#This Row],[FECHA]])&amp;"-"&amp;MONTH(Datos_Consumo[[#This Row],[FECHA]])</f>
        <v>2018-3</v>
      </c>
    </row>
    <row r="3499" spans="1:4" x14ac:dyDescent="0.25">
      <c r="A3499" t="s">
        <v>2593</v>
      </c>
      <c r="B3499">
        <v>4</v>
      </c>
      <c r="C3499" s="54">
        <v>43132</v>
      </c>
      <c r="D3499" s="3" t="str">
        <f>YEAR(Datos_Consumo[[#This Row],[FECHA]])&amp;"-"&amp;MONTH(Datos_Consumo[[#This Row],[FECHA]])</f>
        <v>2018-2</v>
      </c>
    </row>
    <row r="3500" spans="1:4" x14ac:dyDescent="0.25">
      <c r="A3500" t="s">
        <v>2593</v>
      </c>
      <c r="B3500">
        <v>4</v>
      </c>
      <c r="C3500" s="54">
        <v>43160</v>
      </c>
      <c r="D3500" s="3" t="str">
        <f>YEAR(Datos_Consumo[[#This Row],[FECHA]])&amp;"-"&amp;MONTH(Datos_Consumo[[#This Row],[FECHA]])</f>
        <v>2018-3</v>
      </c>
    </row>
    <row r="3501" spans="1:4" x14ac:dyDescent="0.25">
      <c r="A3501" t="s">
        <v>2593</v>
      </c>
      <c r="B3501">
        <v>4</v>
      </c>
      <c r="C3501" s="54">
        <v>43191</v>
      </c>
      <c r="D3501" s="3" t="str">
        <f>YEAR(Datos_Consumo[[#This Row],[FECHA]])&amp;"-"&amp;MONTH(Datos_Consumo[[#This Row],[FECHA]])</f>
        <v>2018-4</v>
      </c>
    </row>
    <row r="3502" spans="1:4" x14ac:dyDescent="0.25">
      <c r="A3502" t="s">
        <v>2594</v>
      </c>
      <c r="B3502">
        <v>2</v>
      </c>
      <c r="C3502" s="54">
        <v>43101</v>
      </c>
      <c r="D3502" s="3" t="str">
        <f>YEAR(Datos_Consumo[[#This Row],[FECHA]])&amp;"-"&amp;MONTH(Datos_Consumo[[#This Row],[FECHA]])</f>
        <v>2018-1</v>
      </c>
    </row>
    <row r="3503" spans="1:4" x14ac:dyDescent="0.25">
      <c r="A3503" t="s">
        <v>2595</v>
      </c>
      <c r="B3503">
        <v>1</v>
      </c>
      <c r="C3503" s="54">
        <v>43101</v>
      </c>
      <c r="D3503" s="3" t="str">
        <f>YEAR(Datos_Consumo[[#This Row],[FECHA]])&amp;"-"&amp;MONTH(Datos_Consumo[[#This Row],[FECHA]])</f>
        <v>2018-1</v>
      </c>
    </row>
    <row r="3504" spans="1:4" x14ac:dyDescent="0.25">
      <c r="A3504" t="s">
        <v>2595</v>
      </c>
      <c r="B3504">
        <v>1</v>
      </c>
      <c r="C3504" s="54">
        <v>43132</v>
      </c>
      <c r="D3504" s="3" t="str">
        <f>YEAR(Datos_Consumo[[#This Row],[FECHA]])&amp;"-"&amp;MONTH(Datos_Consumo[[#This Row],[FECHA]])</f>
        <v>2018-2</v>
      </c>
    </row>
    <row r="3505" spans="1:4" x14ac:dyDescent="0.25">
      <c r="A3505" t="s">
        <v>2596</v>
      </c>
      <c r="B3505">
        <v>1</v>
      </c>
      <c r="C3505" s="54">
        <v>43101</v>
      </c>
      <c r="D3505" s="3" t="str">
        <f>YEAR(Datos_Consumo[[#This Row],[FECHA]])&amp;"-"&amp;MONTH(Datos_Consumo[[#This Row],[FECHA]])</f>
        <v>2018-1</v>
      </c>
    </row>
    <row r="3506" spans="1:4" x14ac:dyDescent="0.25">
      <c r="A3506" t="s">
        <v>2596</v>
      </c>
      <c r="B3506">
        <v>18</v>
      </c>
      <c r="C3506" s="54">
        <v>43132</v>
      </c>
      <c r="D3506" s="3" t="str">
        <f>YEAR(Datos_Consumo[[#This Row],[FECHA]])&amp;"-"&amp;MONTH(Datos_Consumo[[#This Row],[FECHA]])</f>
        <v>2018-2</v>
      </c>
    </row>
    <row r="3507" spans="1:4" x14ac:dyDescent="0.25">
      <c r="A3507" t="s">
        <v>2596</v>
      </c>
      <c r="B3507">
        <v>9</v>
      </c>
      <c r="C3507" s="54">
        <v>43160</v>
      </c>
      <c r="D3507" s="3" t="str">
        <f>YEAR(Datos_Consumo[[#This Row],[FECHA]])&amp;"-"&amp;MONTH(Datos_Consumo[[#This Row],[FECHA]])</f>
        <v>2018-3</v>
      </c>
    </row>
    <row r="3508" spans="1:4" x14ac:dyDescent="0.25">
      <c r="A3508" t="s">
        <v>2596</v>
      </c>
      <c r="B3508">
        <v>3</v>
      </c>
      <c r="C3508" s="54">
        <v>43191</v>
      </c>
      <c r="D3508" s="3" t="str">
        <f>YEAR(Datos_Consumo[[#This Row],[FECHA]])&amp;"-"&amp;MONTH(Datos_Consumo[[#This Row],[FECHA]])</f>
        <v>2018-4</v>
      </c>
    </row>
    <row r="3509" spans="1:4" x14ac:dyDescent="0.25">
      <c r="A3509" t="s">
        <v>2597</v>
      </c>
      <c r="B3509">
        <v>1</v>
      </c>
      <c r="C3509" s="54">
        <v>43191</v>
      </c>
      <c r="D3509" s="3" t="str">
        <f>YEAR(Datos_Consumo[[#This Row],[FECHA]])&amp;"-"&amp;MONTH(Datos_Consumo[[#This Row],[FECHA]])</f>
        <v>2018-4</v>
      </c>
    </row>
    <row r="3510" spans="1:4" x14ac:dyDescent="0.25">
      <c r="A3510" t="s">
        <v>2598</v>
      </c>
      <c r="B3510">
        <v>11</v>
      </c>
      <c r="C3510" s="54">
        <v>43132</v>
      </c>
      <c r="D3510" s="3" t="str">
        <f>YEAR(Datos_Consumo[[#This Row],[FECHA]])&amp;"-"&amp;MONTH(Datos_Consumo[[#This Row],[FECHA]])</f>
        <v>2018-2</v>
      </c>
    </row>
    <row r="3511" spans="1:4" x14ac:dyDescent="0.25">
      <c r="A3511" t="s">
        <v>2598</v>
      </c>
      <c r="B3511">
        <v>7</v>
      </c>
      <c r="C3511" s="54">
        <v>43191</v>
      </c>
      <c r="D3511" s="3" t="str">
        <f>YEAR(Datos_Consumo[[#This Row],[FECHA]])&amp;"-"&amp;MONTH(Datos_Consumo[[#This Row],[FECHA]])</f>
        <v>2018-4</v>
      </c>
    </row>
    <row r="3512" spans="1:4" x14ac:dyDescent="0.25">
      <c r="A3512" t="s">
        <v>2599</v>
      </c>
      <c r="B3512">
        <v>10</v>
      </c>
      <c r="C3512" s="54">
        <v>43101</v>
      </c>
      <c r="D3512" s="3" t="str">
        <f>YEAR(Datos_Consumo[[#This Row],[FECHA]])&amp;"-"&amp;MONTH(Datos_Consumo[[#This Row],[FECHA]])</f>
        <v>2018-1</v>
      </c>
    </row>
    <row r="3513" spans="1:4" x14ac:dyDescent="0.25">
      <c r="A3513" t="s">
        <v>2599</v>
      </c>
      <c r="B3513">
        <v>1</v>
      </c>
      <c r="C3513" s="54">
        <v>43132</v>
      </c>
      <c r="D3513" s="3" t="str">
        <f>YEAR(Datos_Consumo[[#This Row],[FECHA]])&amp;"-"&amp;MONTH(Datos_Consumo[[#This Row],[FECHA]])</f>
        <v>2018-2</v>
      </c>
    </row>
    <row r="3514" spans="1:4" x14ac:dyDescent="0.25">
      <c r="A3514" t="s">
        <v>2599</v>
      </c>
      <c r="B3514">
        <v>10</v>
      </c>
      <c r="C3514" s="54">
        <v>43191</v>
      </c>
      <c r="D3514" s="3" t="str">
        <f>YEAR(Datos_Consumo[[#This Row],[FECHA]])&amp;"-"&amp;MONTH(Datos_Consumo[[#This Row],[FECHA]])</f>
        <v>2018-4</v>
      </c>
    </row>
    <row r="3515" spans="1:4" x14ac:dyDescent="0.25">
      <c r="A3515" t="s">
        <v>2600</v>
      </c>
      <c r="B3515">
        <v>22</v>
      </c>
      <c r="C3515" s="54">
        <v>43070</v>
      </c>
      <c r="D3515" s="3" t="str">
        <f>YEAR(Datos_Consumo[[#This Row],[FECHA]])&amp;"-"&amp;MONTH(Datos_Consumo[[#This Row],[FECHA]])</f>
        <v>2017-12</v>
      </c>
    </row>
    <row r="3516" spans="1:4" x14ac:dyDescent="0.25">
      <c r="A3516" t="s">
        <v>2600</v>
      </c>
      <c r="B3516">
        <v>31</v>
      </c>
      <c r="C3516" s="54">
        <v>43101</v>
      </c>
      <c r="D3516" s="3" t="str">
        <f>YEAR(Datos_Consumo[[#This Row],[FECHA]])&amp;"-"&amp;MONTH(Datos_Consumo[[#This Row],[FECHA]])</f>
        <v>2018-1</v>
      </c>
    </row>
    <row r="3517" spans="1:4" x14ac:dyDescent="0.25">
      <c r="A3517" t="s">
        <v>2600</v>
      </c>
      <c r="B3517">
        <v>3</v>
      </c>
      <c r="C3517" s="54">
        <v>43132</v>
      </c>
      <c r="D3517" s="3" t="str">
        <f>YEAR(Datos_Consumo[[#This Row],[FECHA]])&amp;"-"&amp;MONTH(Datos_Consumo[[#This Row],[FECHA]])</f>
        <v>2018-2</v>
      </c>
    </row>
    <row r="3518" spans="1:4" x14ac:dyDescent="0.25">
      <c r="A3518" t="s">
        <v>2600</v>
      </c>
      <c r="B3518">
        <v>60</v>
      </c>
      <c r="C3518" s="54">
        <v>43160</v>
      </c>
      <c r="D3518" s="3" t="str">
        <f>YEAR(Datos_Consumo[[#This Row],[FECHA]])&amp;"-"&amp;MONTH(Datos_Consumo[[#This Row],[FECHA]])</f>
        <v>2018-3</v>
      </c>
    </row>
    <row r="3519" spans="1:4" x14ac:dyDescent="0.25">
      <c r="A3519" t="s">
        <v>2600</v>
      </c>
      <c r="B3519">
        <v>29</v>
      </c>
      <c r="C3519" s="54">
        <v>43191</v>
      </c>
      <c r="D3519" s="3" t="str">
        <f>YEAR(Datos_Consumo[[#This Row],[FECHA]])&amp;"-"&amp;MONTH(Datos_Consumo[[#This Row],[FECHA]])</f>
        <v>2018-4</v>
      </c>
    </row>
    <row r="3520" spans="1:4" x14ac:dyDescent="0.25">
      <c r="A3520" t="s">
        <v>2601</v>
      </c>
      <c r="B3520">
        <v>2</v>
      </c>
      <c r="C3520" s="54">
        <v>43070</v>
      </c>
      <c r="D3520" s="3" t="str">
        <f>YEAR(Datos_Consumo[[#This Row],[FECHA]])&amp;"-"&amp;MONTH(Datos_Consumo[[#This Row],[FECHA]])</f>
        <v>2017-12</v>
      </c>
    </row>
    <row r="3521" spans="1:4" x14ac:dyDescent="0.25">
      <c r="A3521" t="s">
        <v>2601</v>
      </c>
      <c r="B3521">
        <v>13</v>
      </c>
      <c r="C3521" s="54">
        <v>43101</v>
      </c>
      <c r="D3521" s="3" t="str">
        <f>YEAR(Datos_Consumo[[#This Row],[FECHA]])&amp;"-"&amp;MONTH(Datos_Consumo[[#This Row],[FECHA]])</f>
        <v>2018-1</v>
      </c>
    </row>
    <row r="3522" spans="1:4" x14ac:dyDescent="0.25">
      <c r="A3522" t="s">
        <v>2601</v>
      </c>
      <c r="B3522">
        <v>2</v>
      </c>
      <c r="C3522" s="54">
        <v>43132</v>
      </c>
      <c r="D3522" s="3" t="str">
        <f>YEAR(Datos_Consumo[[#This Row],[FECHA]])&amp;"-"&amp;MONTH(Datos_Consumo[[#This Row],[FECHA]])</f>
        <v>2018-2</v>
      </c>
    </row>
    <row r="3523" spans="1:4" x14ac:dyDescent="0.25">
      <c r="A3523" t="s">
        <v>2601</v>
      </c>
      <c r="B3523">
        <v>6</v>
      </c>
      <c r="C3523" s="54">
        <v>43160</v>
      </c>
      <c r="D3523" s="3" t="str">
        <f>YEAR(Datos_Consumo[[#This Row],[FECHA]])&amp;"-"&amp;MONTH(Datos_Consumo[[#This Row],[FECHA]])</f>
        <v>2018-3</v>
      </c>
    </row>
    <row r="3524" spans="1:4" x14ac:dyDescent="0.25">
      <c r="A3524" t="s">
        <v>2601</v>
      </c>
      <c r="B3524">
        <v>9</v>
      </c>
      <c r="C3524" s="54">
        <v>43191</v>
      </c>
      <c r="D3524" s="3" t="str">
        <f>YEAR(Datos_Consumo[[#This Row],[FECHA]])&amp;"-"&amp;MONTH(Datos_Consumo[[#This Row],[FECHA]])</f>
        <v>2018-4</v>
      </c>
    </row>
    <row r="3525" spans="1:4" x14ac:dyDescent="0.25">
      <c r="A3525" t="s">
        <v>2602</v>
      </c>
      <c r="B3525">
        <v>14</v>
      </c>
      <c r="C3525" s="54">
        <v>43101</v>
      </c>
      <c r="D3525" s="3" t="str">
        <f>YEAR(Datos_Consumo[[#This Row],[FECHA]])&amp;"-"&amp;MONTH(Datos_Consumo[[#This Row],[FECHA]])</f>
        <v>2018-1</v>
      </c>
    </row>
    <row r="3526" spans="1:4" x14ac:dyDescent="0.25">
      <c r="A3526" t="s">
        <v>2602</v>
      </c>
      <c r="B3526">
        <v>54</v>
      </c>
      <c r="C3526" s="54">
        <v>43132</v>
      </c>
      <c r="D3526" s="3" t="str">
        <f>YEAR(Datos_Consumo[[#This Row],[FECHA]])&amp;"-"&amp;MONTH(Datos_Consumo[[#This Row],[FECHA]])</f>
        <v>2018-2</v>
      </c>
    </row>
    <row r="3527" spans="1:4" x14ac:dyDescent="0.25">
      <c r="A3527" t="s">
        <v>2602</v>
      </c>
      <c r="B3527">
        <v>12</v>
      </c>
      <c r="C3527" s="54">
        <v>43160</v>
      </c>
      <c r="D3527" s="3" t="str">
        <f>YEAR(Datos_Consumo[[#This Row],[FECHA]])&amp;"-"&amp;MONTH(Datos_Consumo[[#This Row],[FECHA]])</f>
        <v>2018-3</v>
      </c>
    </row>
    <row r="3528" spans="1:4" x14ac:dyDescent="0.25">
      <c r="A3528" t="s">
        <v>2603</v>
      </c>
      <c r="B3528">
        <v>1</v>
      </c>
      <c r="C3528" s="54">
        <v>43132</v>
      </c>
      <c r="D3528" s="3" t="str">
        <f>YEAR(Datos_Consumo[[#This Row],[FECHA]])&amp;"-"&amp;MONTH(Datos_Consumo[[#This Row],[FECHA]])</f>
        <v>2018-2</v>
      </c>
    </row>
    <row r="3529" spans="1:4" x14ac:dyDescent="0.25">
      <c r="A3529" t="s">
        <v>4075</v>
      </c>
      <c r="B3529">
        <v>3</v>
      </c>
      <c r="C3529" s="54">
        <v>43191</v>
      </c>
      <c r="D3529" s="3" t="str">
        <f>YEAR(Datos_Consumo[[#This Row],[FECHA]])&amp;"-"&amp;MONTH(Datos_Consumo[[#This Row],[FECHA]])</f>
        <v>2018-4</v>
      </c>
    </row>
    <row r="3530" spans="1:4" x14ac:dyDescent="0.25">
      <c r="A3530" t="s">
        <v>4076</v>
      </c>
      <c r="B3530">
        <v>1</v>
      </c>
      <c r="C3530" s="54">
        <v>43191</v>
      </c>
      <c r="D3530" s="3" t="str">
        <f>YEAR(Datos_Consumo[[#This Row],[FECHA]])&amp;"-"&amp;MONTH(Datos_Consumo[[#This Row],[FECHA]])</f>
        <v>2018-4</v>
      </c>
    </row>
    <row r="3531" spans="1:4" x14ac:dyDescent="0.25">
      <c r="A3531" t="s">
        <v>2604</v>
      </c>
      <c r="B3531">
        <v>1</v>
      </c>
      <c r="C3531" s="54">
        <v>43191</v>
      </c>
      <c r="D3531" s="3" t="str">
        <f>YEAR(Datos_Consumo[[#This Row],[FECHA]])&amp;"-"&amp;MONTH(Datos_Consumo[[#This Row],[FECHA]])</f>
        <v>2018-4</v>
      </c>
    </row>
    <row r="3532" spans="1:4" x14ac:dyDescent="0.25">
      <c r="A3532" t="s">
        <v>2605</v>
      </c>
      <c r="B3532">
        <v>1</v>
      </c>
      <c r="C3532" s="54">
        <v>43191</v>
      </c>
      <c r="D3532" s="3" t="str">
        <f>YEAR(Datos_Consumo[[#This Row],[FECHA]])&amp;"-"&amp;MONTH(Datos_Consumo[[#This Row],[FECHA]])</f>
        <v>2018-4</v>
      </c>
    </row>
    <row r="3533" spans="1:4" x14ac:dyDescent="0.25">
      <c r="A3533" t="s">
        <v>2606</v>
      </c>
      <c r="B3533">
        <v>1</v>
      </c>
      <c r="C3533" s="54">
        <v>43191</v>
      </c>
      <c r="D3533" s="3" t="str">
        <f>YEAR(Datos_Consumo[[#This Row],[FECHA]])&amp;"-"&amp;MONTH(Datos_Consumo[[#This Row],[FECHA]])</f>
        <v>2018-4</v>
      </c>
    </row>
    <row r="3534" spans="1:4" x14ac:dyDescent="0.25">
      <c r="A3534" t="s">
        <v>2607</v>
      </c>
      <c r="B3534">
        <v>1</v>
      </c>
      <c r="C3534" s="54">
        <v>43070</v>
      </c>
      <c r="D3534" s="3" t="str">
        <f>YEAR(Datos_Consumo[[#This Row],[FECHA]])&amp;"-"&amp;MONTH(Datos_Consumo[[#This Row],[FECHA]])</f>
        <v>2017-12</v>
      </c>
    </row>
    <row r="3535" spans="1:4" x14ac:dyDescent="0.25">
      <c r="A3535" t="s">
        <v>2607</v>
      </c>
      <c r="B3535">
        <v>1</v>
      </c>
      <c r="C3535" s="54">
        <v>43160</v>
      </c>
      <c r="D3535" s="3" t="str">
        <f>YEAR(Datos_Consumo[[#This Row],[FECHA]])&amp;"-"&amp;MONTH(Datos_Consumo[[#This Row],[FECHA]])</f>
        <v>2018-3</v>
      </c>
    </row>
    <row r="3536" spans="1:4" x14ac:dyDescent="0.25">
      <c r="A3536" t="s">
        <v>2607</v>
      </c>
      <c r="B3536">
        <v>1</v>
      </c>
      <c r="C3536" s="54">
        <v>43191</v>
      </c>
      <c r="D3536" s="3" t="str">
        <f>YEAR(Datos_Consumo[[#This Row],[FECHA]])&amp;"-"&amp;MONTH(Datos_Consumo[[#This Row],[FECHA]])</f>
        <v>2018-4</v>
      </c>
    </row>
    <row r="3537" spans="1:4" x14ac:dyDescent="0.25">
      <c r="A3537" t="s">
        <v>2608</v>
      </c>
      <c r="B3537">
        <v>10</v>
      </c>
      <c r="C3537" s="54">
        <v>43101</v>
      </c>
      <c r="D3537" s="3" t="str">
        <f>YEAR(Datos_Consumo[[#This Row],[FECHA]])&amp;"-"&amp;MONTH(Datos_Consumo[[#This Row],[FECHA]])</f>
        <v>2018-1</v>
      </c>
    </row>
    <row r="3538" spans="1:4" x14ac:dyDescent="0.25">
      <c r="A3538" t="s">
        <v>2608</v>
      </c>
      <c r="B3538">
        <v>4</v>
      </c>
      <c r="C3538" s="54">
        <v>43132</v>
      </c>
      <c r="D3538" s="3" t="str">
        <f>YEAR(Datos_Consumo[[#This Row],[FECHA]])&amp;"-"&amp;MONTH(Datos_Consumo[[#This Row],[FECHA]])</f>
        <v>2018-2</v>
      </c>
    </row>
    <row r="3539" spans="1:4" x14ac:dyDescent="0.25">
      <c r="A3539" t="s">
        <v>2609</v>
      </c>
      <c r="B3539">
        <v>20</v>
      </c>
      <c r="C3539" s="54">
        <v>43101</v>
      </c>
      <c r="D3539" s="3" t="str">
        <f>YEAR(Datos_Consumo[[#This Row],[FECHA]])&amp;"-"&amp;MONTH(Datos_Consumo[[#This Row],[FECHA]])</f>
        <v>2018-1</v>
      </c>
    </row>
    <row r="3540" spans="1:4" x14ac:dyDescent="0.25">
      <c r="A3540" t="s">
        <v>2609</v>
      </c>
      <c r="B3540">
        <v>4</v>
      </c>
      <c r="C3540" s="54">
        <v>43132</v>
      </c>
      <c r="D3540" s="3" t="str">
        <f>YEAR(Datos_Consumo[[#This Row],[FECHA]])&amp;"-"&amp;MONTH(Datos_Consumo[[#This Row],[FECHA]])</f>
        <v>2018-2</v>
      </c>
    </row>
    <row r="3541" spans="1:4" x14ac:dyDescent="0.25">
      <c r="A3541" t="s">
        <v>2609</v>
      </c>
      <c r="B3541">
        <v>8</v>
      </c>
      <c r="C3541" s="54">
        <v>43160</v>
      </c>
      <c r="D3541" s="3" t="str">
        <f>YEAR(Datos_Consumo[[#This Row],[FECHA]])&amp;"-"&amp;MONTH(Datos_Consumo[[#This Row],[FECHA]])</f>
        <v>2018-3</v>
      </c>
    </row>
    <row r="3542" spans="1:4" x14ac:dyDescent="0.25">
      <c r="A3542" t="s">
        <v>2610</v>
      </c>
      <c r="B3542">
        <v>1</v>
      </c>
      <c r="C3542" s="54">
        <v>43070</v>
      </c>
      <c r="D3542" s="3" t="str">
        <f>YEAR(Datos_Consumo[[#This Row],[FECHA]])&amp;"-"&amp;MONTH(Datos_Consumo[[#This Row],[FECHA]])</f>
        <v>2017-12</v>
      </c>
    </row>
    <row r="3543" spans="1:4" x14ac:dyDescent="0.25">
      <c r="A3543" t="s">
        <v>2610</v>
      </c>
      <c r="B3543">
        <v>4</v>
      </c>
      <c r="C3543" s="54">
        <v>43132</v>
      </c>
      <c r="D3543" s="3" t="str">
        <f>YEAR(Datos_Consumo[[#This Row],[FECHA]])&amp;"-"&amp;MONTH(Datos_Consumo[[#This Row],[FECHA]])</f>
        <v>2018-2</v>
      </c>
    </row>
    <row r="3544" spans="1:4" x14ac:dyDescent="0.25">
      <c r="A3544" t="s">
        <v>2611</v>
      </c>
      <c r="B3544">
        <v>1</v>
      </c>
      <c r="C3544" s="54">
        <v>43101</v>
      </c>
      <c r="D3544" s="3" t="str">
        <f>YEAR(Datos_Consumo[[#This Row],[FECHA]])&amp;"-"&amp;MONTH(Datos_Consumo[[#This Row],[FECHA]])</f>
        <v>2018-1</v>
      </c>
    </row>
    <row r="3545" spans="1:4" x14ac:dyDescent="0.25">
      <c r="A3545" t="s">
        <v>2611</v>
      </c>
      <c r="B3545">
        <v>8</v>
      </c>
      <c r="C3545" s="54">
        <v>43132</v>
      </c>
      <c r="D3545" s="3" t="str">
        <f>YEAR(Datos_Consumo[[#This Row],[FECHA]])&amp;"-"&amp;MONTH(Datos_Consumo[[#This Row],[FECHA]])</f>
        <v>2018-2</v>
      </c>
    </row>
    <row r="3546" spans="1:4" x14ac:dyDescent="0.25">
      <c r="A3546" t="s">
        <v>2612</v>
      </c>
      <c r="B3546">
        <v>1</v>
      </c>
      <c r="C3546" s="54">
        <v>43101</v>
      </c>
      <c r="D3546" s="3" t="str">
        <f>YEAR(Datos_Consumo[[#This Row],[FECHA]])&amp;"-"&amp;MONTH(Datos_Consumo[[#This Row],[FECHA]])</f>
        <v>2018-1</v>
      </c>
    </row>
    <row r="3547" spans="1:4" x14ac:dyDescent="0.25">
      <c r="A3547" t="s">
        <v>2612</v>
      </c>
      <c r="B3547">
        <v>2</v>
      </c>
      <c r="C3547" s="54">
        <v>43160</v>
      </c>
      <c r="D3547" s="3" t="str">
        <f>YEAR(Datos_Consumo[[#This Row],[FECHA]])&amp;"-"&amp;MONTH(Datos_Consumo[[#This Row],[FECHA]])</f>
        <v>2018-3</v>
      </c>
    </row>
    <row r="3548" spans="1:4" x14ac:dyDescent="0.25">
      <c r="A3548" t="s">
        <v>2613</v>
      </c>
      <c r="B3548">
        <v>5</v>
      </c>
      <c r="C3548" s="54">
        <v>43132</v>
      </c>
      <c r="D3548" s="3" t="str">
        <f>YEAR(Datos_Consumo[[#This Row],[FECHA]])&amp;"-"&amp;MONTH(Datos_Consumo[[#This Row],[FECHA]])</f>
        <v>2018-2</v>
      </c>
    </row>
    <row r="3549" spans="1:4" x14ac:dyDescent="0.25">
      <c r="A3549" t="s">
        <v>2614</v>
      </c>
      <c r="B3549">
        <v>1</v>
      </c>
      <c r="C3549" s="54">
        <v>43101</v>
      </c>
      <c r="D3549" s="3" t="str">
        <f>YEAR(Datos_Consumo[[#This Row],[FECHA]])&amp;"-"&amp;MONTH(Datos_Consumo[[#This Row],[FECHA]])</f>
        <v>2018-1</v>
      </c>
    </row>
    <row r="3550" spans="1:4" x14ac:dyDescent="0.25">
      <c r="A3550" t="s">
        <v>2614</v>
      </c>
      <c r="B3550">
        <v>3</v>
      </c>
      <c r="C3550" s="54">
        <v>43132</v>
      </c>
      <c r="D3550" s="3" t="str">
        <f>YEAR(Datos_Consumo[[#This Row],[FECHA]])&amp;"-"&amp;MONTH(Datos_Consumo[[#This Row],[FECHA]])</f>
        <v>2018-2</v>
      </c>
    </row>
    <row r="3551" spans="1:4" x14ac:dyDescent="0.25">
      <c r="A3551" t="s">
        <v>2614</v>
      </c>
      <c r="B3551">
        <v>3</v>
      </c>
      <c r="C3551" s="54">
        <v>43160</v>
      </c>
      <c r="D3551" s="3" t="str">
        <f>YEAR(Datos_Consumo[[#This Row],[FECHA]])&amp;"-"&amp;MONTH(Datos_Consumo[[#This Row],[FECHA]])</f>
        <v>2018-3</v>
      </c>
    </row>
    <row r="3552" spans="1:4" x14ac:dyDescent="0.25">
      <c r="A3552" t="s">
        <v>2614</v>
      </c>
      <c r="B3552">
        <v>1</v>
      </c>
      <c r="C3552" s="54">
        <v>43191</v>
      </c>
      <c r="D3552" s="3" t="str">
        <f>YEAR(Datos_Consumo[[#This Row],[FECHA]])&amp;"-"&amp;MONTH(Datos_Consumo[[#This Row],[FECHA]])</f>
        <v>2018-4</v>
      </c>
    </row>
    <row r="3553" spans="1:4" x14ac:dyDescent="0.25">
      <c r="A3553" t="s">
        <v>2615</v>
      </c>
      <c r="B3553">
        <v>2</v>
      </c>
      <c r="C3553" s="54">
        <v>43132</v>
      </c>
      <c r="D3553" s="3" t="str">
        <f>YEAR(Datos_Consumo[[#This Row],[FECHA]])&amp;"-"&amp;MONTH(Datos_Consumo[[#This Row],[FECHA]])</f>
        <v>2018-2</v>
      </c>
    </row>
    <row r="3554" spans="1:4" x14ac:dyDescent="0.25">
      <c r="A3554" t="s">
        <v>2615</v>
      </c>
      <c r="B3554">
        <v>3</v>
      </c>
      <c r="C3554" s="54">
        <v>43191</v>
      </c>
      <c r="D3554" s="3" t="str">
        <f>YEAR(Datos_Consumo[[#This Row],[FECHA]])&amp;"-"&amp;MONTH(Datos_Consumo[[#This Row],[FECHA]])</f>
        <v>2018-4</v>
      </c>
    </row>
    <row r="3555" spans="1:4" x14ac:dyDescent="0.25">
      <c r="A3555" t="s">
        <v>2616</v>
      </c>
      <c r="B3555">
        <v>18</v>
      </c>
      <c r="C3555" s="54">
        <v>43101</v>
      </c>
      <c r="D3555" s="3" t="str">
        <f>YEAR(Datos_Consumo[[#This Row],[FECHA]])&amp;"-"&amp;MONTH(Datos_Consumo[[#This Row],[FECHA]])</f>
        <v>2018-1</v>
      </c>
    </row>
    <row r="3556" spans="1:4" x14ac:dyDescent="0.25">
      <c r="A3556" t="s">
        <v>2616</v>
      </c>
      <c r="B3556">
        <v>19</v>
      </c>
      <c r="C3556" s="54">
        <v>43132</v>
      </c>
      <c r="D3556" s="3" t="str">
        <f>YEAR(Datos_Consumo[[#This Row],[FECHA]])&amp;"-"&amp;MONTH(Datos_Consumo[[#This Row],[FECHA]])</f>
        <v>2018-2</v>
      </c>
    </row>
    <row r="3557" spans="1:4" x14ac:dyDescent="0.25">
      <c r="A3557" t="s">
        <v>2616</v>
      </c>
      <c r="B3557">
        <v>12</v>
      </c>
      <c r="C3557" s="54">
        <v>43160</v>
      </c>
      <c r="D3557" s="3" t="str">
        <f>YEAR(Datos_Consumo[[#This Row],[FECHA]])&amp;"-"&amp;MONTH(Datos_Consumo[[#This Row],[FECHA]])</f>
        <v>2018-3</v>
      </c>
    </row>
    <row r="3558" spans="1:4" x14ac:dyDescent="0.25">
      <c r="A3558" t="s">
        <v>2617</v>
      </c>
      <c r="B3558">
        <v>2</v>
      </c>
      <c r="C3558" s="54">
        <v>43160</v>
      </c>
      <c r="D3558" s="3" t="str">
        <f>YEAR(Datos_Consumo[[#This Row],[FECHA]])&amp;"-"&amp;MONTH(Datos_Consumo[[#This Row],[FECHA]])</f>
        <v>2018-3</v>
      </c>
    </row>
    <row r="3559" spans="1:4" x14ac:dyDescent="0.25">
      <c r="A3559" t="s">
        <v>2618</v>
      </c>
      <c r="B3559">
        <v>2</v>
      </c>
      <c r="C3559" s="54">
        <v>43160</v>
      </c>
      <c r="D3559" s="3" t="str">
        <f>YEAR(Datos_Consumo[[#This Row],[FECHA]])&amp;"-"&amp;MONTH(Datos_Consumo[[#This Row],[FECHA]])</f>
        <v>2018-3</v>
      </c>
    </row>
    <row r="3560" spans="1:4" x14ac:dyDescent="0.25">
      <c r="A3560" t="s">
        <v>2619</v>
      </c>
      <c r="B3560">
        <v>8</v>
      </c>
      <c r="C3560" s="54">
        <v>43101</v>
      </c>
      <c r="D3560" s="3" t="str">
        <f>YEAR(Datos_Consumo[[#This Row],[FECHA]])&amp;"-"&amp;MONTH(Datos_Consumo[[#This Row],[FECHA]])</f>
        <v>2018-1</v>
      </c>
    </row>
    <row r="3561" spans="1:4" x14ac:dyDescent="0.25">
      <c r="A3561" t="s">
        <v>2619</v>
      </c>
      <c r="B3561">
        <v>11</v>
      </c>
      <c r="C3561" s="54">
        <v>43132</v>
      </c>
      <c r="D3561" s="3" t="str">
        <f>YEAR(Datos_Consumo[[#This Row],[FECHA]])&amp;"-"&amp;MONTH(Datos_Consumo[[#This Row],[FECHA]])</f>
        <v>2018-2</v>
      </c>
    </row>
    <row r="3562" spans="1:4" x14ac:dyDescent="0.25">
      <c r="A3562" t="s">
        <v>2619</v>
      </c>
      <c r="B3562">
        <v>8</v>
      </c>
      <c r="C3562" s="54">
        <v>43160</v>
      </c>
      <c r="D3562" s="3" t="str">
        <f>YEAR(Datos_Consumo[[#This Row],[FECHA]])&amp;"-"&amp;MONTH(Datos_Consumo[[#This Row],[FECHA]])</f>
        <v>2018-3</v>
      </c>
    </row>
    <row r="3563" spans="1:4" x14ac:dyDescent="0.25">
      <c r="A3563" t="s">
        <v>2620</v>
      </c>
      <c r="B3563">
        <v>6</v>
      </c>
      <c r="C3563" s="54">
        <v>43101</v>
      </c>
      <c r="D3563" s="3" t="str">
        <f>YEAR(Datos_Consumo[[#This Row],[FECHA]])&amp;"-"&amp;MONTH(Datos_Consumo[[#This Row],[FECHA]])</f>
        <v>2018-1</v>
      </c>
    </row>
    <row r="3564" spans="1:4" x14ac:dyDescent="0.25">
      <c r="A3564" t="s">
        <v>2621</v>
      </c>
      <c r="B3564">
        <v>3</v>
      </c>
      <c r="C3564" s="54">
        <v>43101</v>
      </c>
      <c r="D3564" s="3" t="str">
        <f>YEAR(Datos_Consumo[[#This Row],[FECHA]])&amp;"-"&amp;MONTH(Datos_Consumo[[#This Row],[FECHA]])</f>
        <v>2018-1</v>
      </c>
    </row>
    <row r="3565" spans="1:4" x14ac:dyDescent="0.25">
      <c r="A3565" t="s">
        <v>2621</v>
      </c>
      <c r="B3565">
        <v>2</v>
      </c>
      <c r="C3565" s="54">
        <v>43132</v>
      </c>
      <c r="D3565" s="3" t="str">
        <f>YEAR(Datos_Consumo[[#This Row],[FECHA]])&amp;"-"&amp;MONTH(Datos_Consumo[[#This Row],[FECHA]])</f>
        <v>2018-2</v>
      </c>
    </row>
    <row r="3566" spans="1:4" x14ac:dyDescent="0.25">
      <c r="A3566" t="s">
        <v>2622</v>
      </c>
      <c r="B3566">
        <v>1</v>
      </c>
      <c r="C3566" s="54">
        <v>43101</v>
      </c>
      <c r="D3566" s="3" t="str">
        <f>YEAR(Datos_Consumo[[#This Row],[FECHA]])&amp;"-"&amp;MONTH(Datos_Consumo[[#This Row],[FECHA]])</f>
        <v>2018-1</v>
      </c>
    </row>
    <row r="3567" spans="1:4" x14ac:dyDescent="0.25">
      <c r="A3567" t="s">
        <v>2622</v>
      </c>
      <c r="B3567">
        <v>9</v>
      </c>
      <c r="C3567" s="54">
        <v>43132</v>
      </c>
      <c r="D3567" s="3" t="str">
        <f>YEAR(Datos_Consumo[[#This Row],[FECHA]])&amp;"-"&amp;MONTH(Datos_Consumo[[#This Row],[FECHA]])</f>
        <v>2018-2</v>
      </c>
    </row>
    <row r="3568" spans="1:4" x14ac:dyDescent="0.25">
      <c r="A3568" t="s">
        <v>2623</v>
      </c>
      <c r="B3568">
        <v>6</v>
      </c>
      <c r="C3568" s="54">
        <v>43070</v>
      </c>
      <c r="D3568" s="3" t="str">
        <f>YEAR(Datos_Consumo[[#This Row],[FECHA]])&amp;"-"&amp;MONTH(Datos_Consumo[[#This Row],[FECHA]])</f>
        <v>2017-12</v>
      </c>
    </row>
    <row r="3569" spans="1:4" x14ac:dyDescent="0.25">
      <c r="A3569" t="s">
        <v>2623</v>
      </c>
      <c r="B3569">
        <v>60</v>
      </c>
      <c r="C3569" s="54">
        <v>43101</v>
      </c>
      <c r="D3569" s="3" t="str">
        <f>YEAR(Datos_Consumo[[#This Row],[FECHA]])&amp;"-"&amp;MONTH(Datos_Consumo[[#This Row],[FECHA]])</f>
        <v>2018-1</v>
      </c>
    </row>
    <row r="3570" spans="1:4" x14ac:dyDescent="0.25">
      <c r="A3570" t="s">
        <v>2623</v>
      </c>
      <c r="B3570">
        <v>26</v>
      </c>
      <c r="C3570" s="54">
        <v>43132</v>
      </c>
      <c r="D3570" s="3" t="str">
        <f>YEAR(Datos_Consumo[[#This Row],[FECHA]])&amp;"-"&amp;MONTH(Datos_Consumo[[#This Row],[FECHA]])</f>
        <v>2018-2</v>
      </c>
    </row>
    <row r="3571" spans="1:4" x14ac:dyDescent="0.25">
      <c r="A3571" t="s">
        <v>2623</v>
      </c>
      <c r="B3571">
        <v>24</v>
      </c>
      <c r="C3571" s="54">
        <v>43160</v>
      </c>
      <c r="D3571" s="3" t="str">
        <f>YEAR(Datos_Consumo[[#This Row],[FECHA]])&amp;"-"&amp;MONTH(Datos_Consumo[[#This Row],[FECHA]])</f>
        <v>2018-3</v>
      </c>
    </row>
    <row r="3572" spans="1:4" x14ac:dyDescent="0.25">
      <c r="A3572" t="s">
        <v>2623</v>
      </c>
      <c r="B3572">
        <v>3</v>
      </c>
      <c r="C3572" s="54">
        <v>43191</v>
      </c>
      <c r="D3572" s="3" t="str">
        <f>YEAR(Datos_Consumo[[#This Row],[FECHA]])&amp;"-"&amp;MONTH(Datos_Consumo[[#This Row],[FECHA]])</f>
        <v>2018-4</v>
      </c>
    </row>
    <row r="3573" spans="1:4" x14ac:dyDescent="0.25">
      <c r="A3573" t="s">
        <v>2624</v>
      </c>
      <c r="B3573">
        <v>2</v>
      </c>
      <c r="C3573" s="54">
        <v>43101</v>
      </c>
      <c r="D3573" s="3" t="str">
        <f>YEAR(Datos_Consumo[[#This Row],[FECHA]])&amp;"-"&amp;MONTH(Datos_Consumo[[#This Row],[FECHA]])</f>
        <v>2018-1</v>
      </c>
    </row>
    <row r="3574" spans="1:4" x14ac:dyDescent="0.25">
      <c r="A3574" t="s">
        <v>2624</v>
      </c>
      <c r="B3574">
        <v>2</v>
      </c>
      <c r="C3574" s="54">
        <v>43132</v>
      </c>
      <c r="D3574" s="3" t="str">
        <f>YEAR(Datos_Consumo[[#This Row],[FECHA]])&amp;"-"&amp;MONTH(Datos_Consumo[[#This Row],[FECHA]])</f>
        <v>2018-2</v>
      </c>
    </row>
    <row r="3575" spans="1:4" x14ac:dyDescent="0.25">
      <c r="A3575" t="s">
        <v>2624</v>
      </c>
      <c r="B3575">
        <v>2</v>
      </c>
      <c r="C3575" s="54">
        <v>43160</v>
      </c>
      <c r="D3575" s="3" t="str">
        <f>YEAR(Datos_Consumo[[#This Row],[FECHA]])&amp;"-"&amp;MONTH(Datos_Consumo[[#This Row],[FECHA]])</f>
        <v>2018-3</v>
      </c>
    </row>
    <row r="3576" spans="1:4" x14ac:dyDescent="0.25">
      <c r="A3576" t="s">
        <v>2625</v>
      </c>
      <c r="B3576">
        <v>8</v>
      </c>
      <c r="C3576" s="54">
        <v>43070</v>
      </c>
      <c r="D3576" s="3" t="str">
        <f>YEAR(Datos_Consumo[[#This Row],[FECHA]])&amp;"-"&amp;MONTH(Datos_Consumo[[#This Row],[FECHA]])</f>
        <v>2017-12</v>
      </c>
    </row>
    <row r="3577" spans="1:4" x14ac:dyDescent="0.25">
      <c r="A3577" t="s">
        <v>2625</v>
      </c>
      <c r="B3577">
        <v>9</v>
      </c>
      <c r="C3577" s="54">
        <v>43101</v>
      </c>
      <c r="D3577" s="3" t="str">
        <f>YEAR(Datos_Consumo[[#This Row],[FECHA]])&amp;"-"&amp;MONTH(Datos_Consumo[[#This Row],[FECHA]])</f>
        <v>2018-1</v>
      </c>
    </row>
    <row r="3578" spans="1:4" x14ac:dyDescent="0.25">
      <c r="A3578" t="s">
        <v>2625</v>
      </c>
      <c r="B3578">
        <v>2</v>
      </c>
      <c r="C3578" s="54">
        <v>43132</v>
      </c>
      <c r="D3578" s="3" t="str">
        <f>YEAR(Datos_Consumo[[#This Row],[FECHA]])&amp;"-"&amp;MONTH(Datos_Consumo[[#This Row],[FECHA]])</f>
        <v>2018-2</v>
      </c>
    </row>
    <row r="3579" spans="1:4" x14ac:dyDescent="0.25">
      <c r="A3579" t="s">
        <v>2625</v>
      </c>
      <c r="B3579">
        <v>1</v>
      </c>
      <c r="C3579" s="54">
        <v>43160</v>
      </c>
      <c r="D3579" s="3" t="str">
        <f>YEAR(Datos_Consumo[[#This Row],[FECHA]])&amp;"-"&amp;MONTH(Datos_Consumo[[#This Row],[FECHA]])</f>
        <v>2018-3</v>
      </c>
    </row>
    <row r="3580" spans="1:4" x14ac:dyDescent="0.25">
      <c r="A3580" t="s">
        <v>2625</v>
      </c>
      <c r="B3580">
        <v>3</v>
      </c>
      <c r="C3580" s="54">
        <v>43191</v>
      </c>
      <c r="D3580" s="3" t="str">
        <f>YEAR(Datos_Consumo[[#This Row],[FECHA]])&amp;"-"&amp;MONTH(Datos_Consumo[[#This Row],[FECHA]])</f>
        <v>2018-4</v>
      </c>
    </row>
    <row r="3581" spans="1:4" x14ac:dyDescent="0.25">
      <c r="A3581" t="s">
        <v>2626</v>
      </c>
      <c r="B3581">
        <v>2</v>
      </c>
      <c r="C3581" s="54">
        <v>43101</v>
      </c>
      <c r="D3581" s="3" t="str">
        <f>YEAR(Datos_Consumo[[#This Row],[FECHA]])&amp;"-"&amp;MONTH(Datos_Consumo[[#This Row],[FECHA]])</f>
        <v>2018-1</v>
      </c>
    </row>
    <row r="3582" spans="1:4" x14ac:dyDescent="0.25">
      <c r="A3582" t="s">
        <v>2626</v>
      </c>
      <c r="B3582">
        <v>1</v>
      </c>
      <c r="C3582" s="54">
        <v>43160</v>
      </c>
      <c r="D3582" s="3" t="str">
        <f>YEAR(Datos_Consumo[[#This Row],[FECHA]])&amp;"-"&amp;MONTH(Datos_Consumo[[#This Row],[FECHA]])</f>
        <v>2018-3</v>
      </c>
    </row>
    <row r="3583" spans="1:4" x14ac:dyDescent="0.25">
      <c r="A3583" t="s">
        <v>2626</v>
      </c>
      <c r="B3583">
        <v>1</v>
      </c>
      <c r="C3583" s="54">
        <v>43191</v>
      </c>
      <c r="D3583" s="3" t="str">
        <f>YEAR(Datos_Consumo[[#This Row],[FECHA]])&amp;"-"&amp;MONTH(Datos_Consumo[[#This Row],[FECHA]])</f>
        <v>2018-4</v>
      </c>
    </row>
    <row r="3584" spans="1:4" x14ac:dyDescent="0.25">
      <c r="A3584" t="s">
        <v>2627</v>
      </c>
      <c r="B3584">
        <v>3</v>
      </c>
      <c r="C3584" s="54">
        <v>43070</v>
      </c>
      <c r="D3584" s="3" t="str">
        <f>YEAR(Datos_Consumo[[#This Row],[FECHA]])&amp;"-"&amp;MONTH(Datos_Consumo[[#This Row],[FECHA]])</f>
        <v>2017-12</v>
      </c>
    </row>
    <row r="3585" spans="1:4" x14ac:dyDescent="0.25">
      <c r="A3585" t="s">
        <v>2627</v>
      </c>
      <c r="B3585">
        <v>1</v>
      </c>
      <c r="C3585" s="54">
        <v>43132</v>
      </c>
      <c r="D3585" s="3" t="str">
        <f>YEAR(Datos_Consumo[[#This Row],[FECHA]])&amp;"-"&amp;MONTH(Datos_Consumo[[#This Row],[FECHA]])</f>
        <v>2018-2</v>
      </c>
    </row>
    <row r="3586" spans="1:4" x14ac:dyDescent="0.25">
      <c r="A3586" t="s">
        <v>2627</v>
      </c>
      <c r="B3586">
        <v>2</v>
      </c>
      <c r="C3586" s="54">
        <v>43191</v>
      </c>
      <c r="D3586" s="3" t="str">
        <f>YEAR(Datos_Consumo[[#This Row],[FECHA]])&amp;"-"&amp;MONTH(Datos_Consumo[[#This Row],[FECHA]])</f>
        <v>2018-4</v>
      </c>
    </row>
    <row r="3587" spans="1:4" x14ac:dyDescent="0.25">
      <c r="A3587" t="s">
        <v>2627</v>
      </c>
      <c r="B3587">
        <v>3</v>
      </c>
      <c r="C3587" s="54">
        <v>43221</v>
      </c>
      <c r="D3587" s="3" t="str">
        <f>YEAR(Datos_Consumo[[#This Row],[FECHA]])&amp;"-"&amp;MONTH(Datos_Consumo[[#This Row],[FECHA]])</f>
        <v>2018-5</v>
      </c>
    </row>
    <row r="3588" spans="1:4" x14ac:dyDescent="0.25">
      <c r="A3588" t="s">
        <v>2628</v>
      </c>
      <c r="B3588">
        <v>20</v>
      </c>
      <c r="C3588" s="54">
        <v>43160</v>
      </c>
      <c r="D3588" s="3" t="str">
        <f>YEAR(Datos_Consumo[[#This Row],[FECHA]])&amp;"-"&amp;MONTH(Datos_Consumo[[#This Row],[FECHA]])</f>
        <v>2018-3</v>
      </c>
    </row>
    <row r="3589" spans="1:4" x14ac:dyDescent="0.25">
      <c r="A3589" t="s">
        <v>2629</v>
      </c>
      <c r="B3589">
        <v>2</v>
      </c>
      <c r="C3589" s="54">
        <v>43160</v>
      </c>
      <c r="D3589" s="3" t="str">
        <f>YEAR(Datos_Consumo[[#This Row],[FECHA]])&amp;"-"&amp;MONTH(Datos_Consumo[[#This Row],[FECHA]])</f>
        <v>2018-3</v>
      </c>
    </row>
    <row r="3590" spans="1:4" x14ac:dyDescent="0.25">
      <c r="A3590" t="s">
        <v>2630</v>
      </c>
      <c r="B3590">
        <v>5</v>
      </c>
      <c r="C3590" s="54">
        <v>43101</v>
      </c>
      <c r="D3590" s="3" t="str">
        <f>YEAR(Datos_Consumo[[#This Row],[FECHA]])&amp;"-"&amp;MONTH(Datos_Consumo[[#This Row],[FECHA]])</f>
        <v>2018-1</v>
      </c>
    </row>
    <row r="3591" spans="1:4" x14ac:dyDescent="0.25">
      <c r="A3591" t="s">
        <v>2631</v>
      </c>
      <c r="B3591">
        <v>30</v>
      </c>
      <c r="C3591" s="54">
        <v>43070</v>
      </c>
      <c r="D3591" s="3" t="str">
        <f>YEAR(Datos_Consumo[[#This Row],[FECHA]])&amp;"-"&amp;MONTH(Datos_Consumo[[#This Row],[FECHA]])</f>
        <v>2017-12</v>
      </c>
    </row>
    <row r="3592" spans="1:4" x14ac:dyDescent="0.25">
      <c r="A3592" t="s">
        <v>2631</v>
      </c>
      <c r="B3592">
        <v>7</v>
      </c>
      <c r="C3592" s="54">
        <v>43101</v>
      </c>
      <c r="D3592" s="3" t="str">
        <f>YEAR(Datos_Consumo[[#This Row],[FECHA]])&amp;"-"&amp;MONTH(Datos_Consumo[[#This Row],[FECHA]])</f>
        <v>2018-1</v>
      </c>
    </row>
    <row r="3593" spans="1:4" x14ac:dyDescent="0.25">
      <c r="A3593" t="s">
        <v>2631</v>
      </c>
      <c r="B3593">
        <v>13</v>
      </c>
      <c r="C3593" s="54">
        <v>43160</v>
      </c>
      <c r="D3593" s="3" t="str">
        <f>YEAR(Datos_Consumo[[#This Row],[FECHA]])&amp;"-"&amp;MONTH(Datos_Consumo[[#This Row],[FECHA]])</f>
        <v>2018-3</v>
      </c>
    </row>
    <row r="3594" spans="1:4" x14ac:dyDescent="0.25">
      <c r="A3594" t="s">
        <v>2631</v>
      </c>
      <c r="B3594">
        <v>17</v>
      </c>
      <c r="C3594" s="54">
        <v>43191</v>
      </c>
      <c r="D3594" s="3" t="str">
        <f>YEAR(Datos_Consumo[[#This Row],[FECHA]])&amp;"-"&amp;MONTH(Datos_Consumo[[#This Row],[FECHA]])</f>
        <v>2018-4</v>
      </c>
    </row>
    <row r="3595" spans="1:4" x14ac:dyDescent="0.25">
      <c r="A3595" t="s">
        <v>2631</v>
      </c>
      <c r="B3595">
        <v>1</v>
      </c>
      <c r="C3595" s="54">
        <v>43221</v>
      </c>
      <c r="D3595" s="3" t="str">
        <f>YEAR(Datos_Consumo[[#This Row],[FECHA]])&amp;"-"&amp;MONTH(Datos_Consumo[[#This Row],[FECHA]])</f>
        <v>2018-5</v>
      </c>
    </row>
    <row r="3596" spans="1:4" x14ac:dyDescent="0.25">
      <c r="A3596" t="s">
        <v>2632</v>
      </c>
      <c r="B3596">
        <v>1</v>
      </c>
      <c r="C3596" s="54">
        <v>43191</v>
      </c>
      <c r="D3596" s="3" t="str">
        <f>YEAR(Datos_Consumo[[#This Row],[FECHA]])&amp;"-"&amp;MONTH(Datos_Consumo[[#This Row],[FECHA]])</f>
        <v>2018-4</v>
      </c>
    </row>
    <row r="3597" spans="1:4" x14ac:dyDescent="0.25">
      <c r="A3597" t="s">
        <v>2633</v>
      </c>
      <c r="B3597">
        <v>2</v>
      </c>
      <c r="C3597" s="54">
        <v>43160</v>
      </c>
      <c r="D3597" s="3" t="str">
        <f>YEAR(Datos_Consumo[[#This Row],[FECHA]])&amp;"-"&amp;MONTH(Datos_Consumo[[#This Row],[FECHA]])</f>
        <v>2018-3</v>
      </c>
    </row>
    <row r="3598" spans="1:4" x14ac:dyDescent="0.25">
      <c r="A3598" t="s">
        <v>2633</v>
      </c>
      <c r="B3598">
        <v>2</v>
      </c>
      <c r="C3598" s="54">
        <v>43191</v>
      </c>
      <c r="D3598" s="3" t="str">
        <f>YEAR(Datos_Consumo[[#This Row],[FECHA]])&amp;"-"&amp;MONTH(Datos_Consumo[[#This Row],[FECHA]])</f>
        <v>2018-4</v>
      </c>
    </row>
    <row r="3599" spans="1:4" x14ac:dyDescent="0.25">
      <c r="A3599" t="s">
        <v>2634</v>
      </c>
      <c r="B3599">
        <v>14</v>
      </c>
      <c r="C3599" s="54">
        <v>43101</v>
      </c>
      <c r="D3599" s="3" t="str">
        <f>YEAR(Datos_Consumo[[#This Row],[FECHA]])&amp;"-"&amp;MONTH(Datos_Consumo[[#This Row],[FECHA]])</f>
        <v>2018-1</v>
      </c>
    </row>
    <row r="3600" spans="1:4" x14ac:dyDescent="0.25">
      <c r="A3600" t="s">
        <v>2634</v>
      </c>
      <c r="B3600">
        <v>19</v>
      </c>
      <c r="C3600" s="54">
        <v>43132</v>
      </c>
      <c r="D3600" s="3" t="str">
        <f>YEAR(Datos_Consumo[[#This Row],[FECHA]])&amp;"-"&amp;MONTH(Datos_Consumo[[#This Row],[FECHA]])</f>
        <v>2018-2</v>
      </c>
    </row>
    <row r="3601" spans="1:4" x14ac:dyDescent="0.25">
      <c r="A3601" t="s">
        <v>2634</v>
      </c>
      <c r="B3601">
        <v>6</v>
      </c>
      <c r="C3601" s="54">
        <v>43160</v>
      </c>
      <c r="D3601" s="3" t="str">
        <f>YEAR(Datos_Consumo[[#This Row],[FECHA]])&amp;"-"&amp;MONTH(Datos_Consumo[[#This Row],[FECHA]])</f>
        <v>2018-3</v>
      </c>
    </row>
    <row r="3602" spans="1:4" x14ac:dyDescent="0.25">
      <c r="A3602" t="s">
        <v>2635</v>
      </c>
      <c r="B3602">
        <v>2</v>
      </c>
      <c r="C3602" s="54">
        <v>43132</v>
      </c>
      <c r="D3602" s="3" t="str">
        <f>YEAR(Datos_Consumo[[#This Row],[FECHA]])&amp;"-"&amp;MONTH(Datos_Consumo[[#This Row],[FECHA]])</f>
        <v>2018-2</v>
      </c>
    </row>
    <row r="3603" spans="1:4" x14ac:dyDescent="0.25">
      <c r="A3603" t="s">
        <v>2636</v>
      </c>
      <c r="B3603">
        <v>2</v>
      </c>
      <c r="C3603" s="54">
        <v>43101</v>
      </c>
      <c r="D3603" s="3" t="str">
        <f>YEAR(Datos_Consumo[[#This Row],[FECHA]])&amp;"-"&amp;MONTH(Datos_Consumo[[#This Row],[FECHA]])</f>
        <v>2018-1</v>
      </c>
    </row>
    <row r="3604" spans="1:4" x14ac:dyDescent="0.25">
      <c r="A3604" t="s">
        <v>2636</v>
      </c>
      <c r="B3604">
        <v>1</v>
      </c>
      <c r="C3604" s="54">
        <v>43160</v>
      </c>
      <c r="D3604" s="3" t="str">
        <f>YEAR(Datos_Consumo[[#This Row],[FECHA]])&amp;"-"&amp;MONTH(Datos_Consumo[[#This Row],[FECHA]])</f>
        <v>2018-3</v>
      </c>
    </row>
    <row r="3605" spans="1:4" x14ac:dyDescent="0.25">
      <c r="A3605" t="s">
        <v>2637</v>
      </c>
      <c r="B3605">
        <v>1</v>
      </c>
      <c r="C3605" s="54">
        <v>43101</v>
      </c>
      <c r="D3605" s="3" t="str">
        <f>YEAR(Datos_Consumo[[#This Row],[FECHA]])&amp;"-"&amp;MONTH(Datos_Consumo[[#This Row],[FECHA]])</f>
        <v>2018-1</v>
      </c>
    </row>
    <row r="3606" spans="1:4" x14ac:dyDescent="0.25">
      <c r="A3606" t="s">
        <v>2637</v>
      </c>
      <c r="B3606">
        <v>3</v>
      </c>
      <c r="C3606" s="54">
        <v>43160</v>
      </c>
      <c r="D3606" s="3" t="str">
        <f>YEAR(Datos_Consumo[[#This Row],[FECHA]])&amp;"-"&amp;MONTH(Datos_Consumo[[#This Row],[FECHA]])</f>
        <v>2018-3</v>
      </c>
    </row>
    <row r="3607" spans="1:4" x14ac:dyDescent="0.25">
      <c r="A3607" t="s">
        <v>2637</v>
      </c>
      <c r="B3607">
        <v>3</v>
      </c>
      <c r="C3607" s="54">
        <v>43191</v>
      </c>
      <c r="D3607" s="3" t="str">
        <f>YEAR(Datos_Consumo[[#This Row],[FECHA]])&amp;"-"&amp;MONTH(Datos_Consumo[[#This Row],[FECHA]])</f>
        <v>2018-4</v>
      </c>
    </row>
    <row r="3608" spans="1:4" x14ac:dyDescent="0.25">
      <c r="A3608" t="s">
        <v>2638</v>
      </c>
      <c r="B3608">
        <v>2</v>
      </c>
      <c r="C3608" s="54">
        <v>43160</v>
      </c>
      <c r="D3608" s="3" t="str">
        <f>YEAR(Datos_Consumo[[#This Row],[FECHA]])&amp;"-"&amp;MONTH(Datos_Consumo[[#This Row],[FECHA]])</f>
        <v>2018-3</v>
      </c>
    </row>
    <row r="3609" spans="1:4" x14ac:dyDescent="0.25">
      <c r="A3609" t="s">
        <v>2639</v>
      </c>
      <c r="B3609">
        <v>2</v>
      </c>
      <c r="C3609" s="54">
        <v>43101</v>
      </c>
      <c r="D3609" s="3" t="str">
        <f>YEAR(Datos_Consumo[[#This Row],[FECHA]])&amp;"-"&amp;MONTH(Datos_Consumo[[#This Row],[FECHA]])</f>
        <v>2018-1</v>
      </c>
    </row>
    <row r="3610" spans="1:4" x14ac:dyDescent="0.25">
      <c r="A3610" t="s">
        <v>2640</v>
      </c>
      <c r="B3610">
        <v>11</v>
      </c>
      <c r="C3610" s="54">
        <v>43101</v>
      </c>
      <c r="D3610" s="3" t="str">
        <f>YEAR(Datos_Consumo[[#This Row],[FECHA]])&amp;"-"&amp;MONTH(Datos_Consumo[[#This Row],[FECHA]])</f>
        <v>2018-1</v>
      </c>
    </row>
    <row r="3611" spans="1:4" x14ac:dyDescent="0.25">
      <c r="A3611" t="s">
        <v>2641</v>
      </c>
      <c r="B3611">
        <v>3</v>
      </c>
      <c r="C3611" s="54">
        <v>43101</v>
      </c>
      <c r="D3611" s="3" t="str">
        <f>YEAR(Datos_Consumo[[#This Row],[FECHA]])&amp;"-"&amp;MONTH(Datos_Consumo[[#This Row],[FECHA]])</f>
        <v>2018-1</v>
      </c>
    </row>
    <row r="3612" spans="1:4" x14ac:dyDescent="0.25">
      <c r="A3612" t="s">
        <v>2642</v>
      </c>
      <c r="B3612">
        <v>2</v>
      </c>
      <c r="C3612" s="54">
        <v>43101</v>
      </c>
      <c r="D3612" s="3" t="str">
        <f>YEAR(Datos_Consumo[[#This Row],[FECHA]])&amp;"-"&amp;MONTH(Datos_Consumo[[#This Row],[FECHA]])</f>
        <v>2018-1</v>
      </c>
    </row>
    <row r="3613" spans="1:4" x14ac:dyDescent="0.25">
      <c r="A3613" t="s">
        <v>2643</v>
      </c>
      <c r="B3613">
        <v>10</v>
      </c>
      <c r="C3613" s="54">
        <v>43132</v>
      </c>
      <c r="D3613" s="3" t="str">
        <f>YEAR(Datos_Consumo[[#This Row],[FECHA]])&amp;"-"&amp;MONTH(Datos_Consumo[[#This Row],[FECHA]])</f>
        <v>2018-2</v>
      </c>
    </row>
    <row r="3614" spans="1:4" x14ac:dyDescent="0.25">
      <c r="A3614" t="s">
        <v>2644</v>
      </c>
      <c r="B3614">
        <v>2</v>
      </c>
      <c r="C3614" s="54">
        <v>43101</v>
      </c>
      <c r="D3614" s="3" t="str">
        <f>YEAR(Datos_Consumo[[#This Row],[FECHA]])&amp;"-"&amp;MONTH(Datos_Consumo[[#This Row],[FECHA]])</f>
        <v>2018-1</v>
      </c>
    </row>
    <row r="3615" spans="1:4" x14ac:dyDescent="0.25">
      <c r="A3615" t="s">
        <v>2645</v>
      </c>
      <c r="B3615">
        <v>1</v>
      </c>
      <c r="C3615" s="54">
        <v>43070</v>
      </c>
      <c r="D3615" s="3" t="str">
        <f>YEAR(Datos_Consumo[[#This Row],[FECHA]])&amp;"-"&amp;MONTH(Datos_Consumo[[#This Row],[FECHA]])</f>
        <v>2017-12</v>
      </c>
    </row>
    <row r="3616" spans="1:4" x14ac:dyDescent="0.25">
      <c r="A3616" t="s">
        <v>2646</v>
      </c>
      <c r="B3616">
        <v>1</v>
      </c>
      <c r="C3616" s="54">
        <v>43070</v>
      </c>
      <c r="D3616" s="3" t="str">
        <f>YEAR(Datos_Consumo[[#This Row],[FECHA]])&amp;"-"&amp;MONTH(Datos_Consumo[[#This Row],[FECHA]])</f>
        <v>2017-12</v>
      </c>
    </row>
    <row r="3617" spans="1:4" x14ac:dyDescent="0.25">
      <c r="A3617" t="s">
        <v>2646</v>
      </c>
      <c r="B3617">
        <v>2</v>
      </c>
      <c r="C3617" s="54">
        <v>43101</v>
      </c>
      <c r="D3617" s="3" t="str">
        <f>YEAR(Datos_Consumo[[#This Row],[FECHA]])&amp;"-"&amp;MONTH(Datos_Consumo[[#This Row],[FECHA]])</f>
        <v>2018-1</v>
      </c>
    </row>
    <row r="3618" spans="1:4" x14ac:dyDescent="0.25">
      <c r="A3618" t="s">
        <v>2646</v>
      </c>
      <c r="B3618">
        <v>2</v>
      </c>
      <c r="C3618" s="54">
        <v>43191</v>
      </c>
      <c r="D3618" s="3" t="str">
        <f>YEAR(Datos_Consumo[[#This Row],[FECHA]])&amp;"-"&amp;MONTH(Datos_Consumo[[#This Row],[FECHA]])</f>
        <v>2018-4</v>
      </c>
    </row>
    <row r="3619" spans="1:4" x14ac:dyDescent="0.25">
      <c r="A3619" t="s">
        <v>2647</v>
      </c>
      <c r="B3619">
        <v>1</v>
      </c>
      <c r="C3619" s="54">
        <v>43101</v>
      </c>
      <c r="D3619" s="3" t="str">
        <f>YEAR(Datos_Consumo[[#This Row],[FECHA]])&amp;"-"&amp;MONTH(Datos_Consumo[[#This Row],[FECHA]])</f>
        <v>2018-1</v>
      </c>
    </row>
    <row r="3620" spans="1:4" x14ac:dyDescent="0.25">
      <c r="A3620" t="s">
        <v>2647</v>
      </c>
      <c r="B3620">
        <v>1</v>
      </c>
      <c r="C3620" s="54">
        <v>43191</v>
      </c>
      <c r="D3620" s="3" t="str">
        <f>YEAR(Datos_Consumo[[#This Row],[FECHA]])&amp;"-"&amp;MONTH(Datos_Consumo[[#This Row],[FECHA]])</f>
        <v>2018-4</v>
      </c>
    </row>
    <row r="3621" spans="1:4" x14ac:dyDescent="0.25">
      <c r="A3621" t="s">
        <v>2648</v>
      </c>
      <c r="B3621">
        <v>1</v>
      </c>
      <c r="C3621" s="54">
        <v>43070</v>
      </c>
      <c r="D3621" s="3" t="str">
        <f>YEAR(Datos_Consumo[[#This Row],[FECHA]])&amp;"-"&amp;MONTH(Datos_Consumo[[#This Row],[FECHA]])</f>
        <v>2017-12</v>
      </c>
    </row>
    <row r="3622" spans="1:4" x14ac:dyDescent="0.25">
      <c r="A3622" t="s">
        <v>2648</v>
      </c>
      <c r="B3622">
        <v>2</v>
      </c>
      <c r="C3622" s="54">
        <v>43160</v>
      </c>
      <c r="D3622" s="3" t="str">
        <f>YEAR(Datos_Consumo[[#This Row],[FECHA]])&amp;"-"&amp;MONTH(Datos_Consumo[[#This Row],[FECHA]])</f>
        <v>2018-3</v>
      </c>
    </row>
    <row r="3623" spans="1:4" x14ac:dyDescent="0.25">
      <c r="A3623" t="s">
        <v>2649</v>
      </c>
      <c r="B3623">
        <v>2</v>
      </c>
      <c r="C3623" s="54">
        <v>43101</v>
      </c>
      <c r="D3623" s="3" t="str">
        <f>YEAR(Datos_Consumo[[#This Row],[FECHA]])&amp;"-"&amp;MONTH(Datos_Consumo[[#This Row],[FECHA]])</f>
        <v>2018-1</v>
      </c>
    </row>
    <row r="3624" spans="1:4" x14ac:dyDescent="0.25">
      <c r="A3624" t="s">
        <v>2650</v>
      </c>
      <c r="B3624">
        <v>1</v>
      </c>
      <c r="C3624" s="54">
        <v>43101</v>
      </c>
      <c r="D3624" s="3" t="str">
        <f>YEAR(Datos_Consumo[[#This Row],[FECHA]])&amp;"-"&amp;MONTH(Datos_Consumo[[#This Row],[FECHA]])</f>
        <v>2018-1</v>
      </c>
    </row>
    <row r="3625" spans="1:4" x14ac:dyDescent="0.25">
      <c r="A3625" t="s">
        <v>2651</v>
      </c>
      <c r="B3625">
        <v>5</v>
      </c>
      <c r="C3625" s="54">
        <v>43101</v>
      </c>
      <c r="D3625" s="3" t="str">
        <f>YEAR(Datos_Consumo[[#This Row],[FECHA]])&amp;"-"&amp;MONTH(Datos_Consumo[[#This Row],[FECHA]])</f>
        <v>2018-1</v>
      </c>
    </row>
    <row r="3626" spans="1:4" x14ac:dyDescent="0.25">
      <c r="A3626" t="s">
        <v>1404</v>
      </c>
      <c r="B3626">
        <v>1</v>
      </c>
      <c r="C3626" s="54">
        <v>43070</v>
      </c>
      <c r="D3626" s="3" t="str">
        <f>YEAR(Datos_Consumo[[#This Row],[FECHA]])&amp;"-"&amp;MONTH(Datos_Consumo[[#This Row],[FECHA]])</f>
        <v>2017-12</v>
      </c>
    </row>
    <row r="3627" spans="1:4" x14ac:dyDescent="0.25">
      <c r="A3627" t="s">
        <v>1404</v>
      </c>
      <c r="B3627">
        <v>13</v>
      </c>
      <c r="C3627" s="54">
        <v>43101</v>
      </c>
      <c r="D3627" s="3" t="str">
        <f>YEAR(Datos_Consumo[[#This Row],[FECHA]])&amp;"-"&amp;MONTH(Datos_Consumo[[#This Row],[FECHA]])</f>
        <v>2018-1</v>
      </c>
    </row>
    <row r="3628" spans="1:4" x14ac:dyDescent="0.25">
      <c r="A3628" t="s">
        <v>1404</v>
      </c>
      <c r="B3628">
        <v>1</v>
      </c>
      <c r="C3628" s="54">
        <v>43160</v>
      </c>
      <c r="D3628" s="3" t="str">
        <f>YEAR(Datos_Consumo[[#This Row],[FECHA]])&amp;"-"&amp;MONTH(Datos_Consumo[[#This Row],[FECHA]])</f>
        <v>2018-3</v>
      </c>
    </row>
    <row r="3629" spans="1:4" x14ac:dyDescent="0.25">
      <c r="A3629" t="s">
        <v>1404</v>
      </c>
      <c r="B3629">
        <v>9</v>
      </c>
      <c r="C3629" s="54">
        <v>43191</v>
      </c>
      <c r="D3629" s="3" t="str">
        <f>YEAR(Datos_Consumo[[#This Row],[FECHA]])&amp;"-"&amp;MONTH(Datos_Consumo[[#This Row],[FECHA]])</f>
        <v>2018-4</v>
      </c>
    </row>
    <row r="3630" spans="1:4" x14ac:dyDescent="0.25">
      <c r="A3630" t="s">
        <v>1405</v>
      </c>
      <c r="B3630">
        <v>1</v>
      </c>
      <c r="C3630" s="54">
        <v>43070</v>
      </c>
      <c r="D3630" s="3" t="str">
        <f>YEAR(Datos_Consumo[[#This Row],[FECHA]])&amp;"-"&amp;MONTH(Datos_Consumo[[#This Row],[FECHA]])</f>
        <v>2017-12</v>
      </c>
    </row>
    <row r="3631" spans="1:4" x14ac:dyDescent="0.25">
      <c r="A3631" t="s">
        <v>1405</v>
      </c>
      <c r="B3631">
        <v>8</v>
      </c>
      <c r="C3631" s="54">
        <v>43101</v>
      </c>
      <c r="D3631" s="3" t="str">
        <f>YEAR(Datos_Consumo[[#This Row],[FECHA]])&amp;"-"&amp;MONTH(Datos_Consumo[[#This Row],[FECHA]])</f>
        <v>2018-1</v>
      </c>
    </row>
    <row r="3632" spans="1:4" x14ac:dyDescent="0.25">
      <c r="A3632" t="s">
        <v>1405</v>
      </c>
      <c r="B3632">
        <v>1</v>
      </c>
      <c r="C3632" s="54">
        <v>43160</v>
      </c>
      <c r="D3632" s="3" t="str">
        <f>YEAR(Datos_Consumo[[#This Row],[FECHA]])&amp;"-"&amp;MONTH(Datos_Consumo[[#This Row],[FECHA]])</f>
        <v>2018-3</v>
      </c>
    </row>
    <row r="3633" spans="1:4" x14ac:dyDescent="0.25">
      <c r="A3633" t="s">
        <v>1405</v>
      </c>
      <c r="B3633">
        <v>3</v>
      </c>
      <c r="C3633" s="54">
        <v>43191</v>
      </c>
      <c r="D3633" s="3" t="str">
        <f>YEAR(Datos_Consumo[[#This Row],[FECHA]])&amp;"-"&amp;MONTH(Datos_Consumo[[#This Row],[FECHA]])</f>
        <v>2018-4</v>
      </c>
    </row>
    <row r="3634" spans="1:4" x14ac:dyDescent="0.25">
      <c r="A3634" t="s">
        <v>2652</v>
      </c>
      <c r="B3634">
        <v>2</v>
      </c>
      <c r="C3634" s="54">
        <v>43101</v>
      </c>
      <c r="D3634" s="3" t="str">
        <f>YEAR(Datos_Consumo[[#This Row],[FECHA]])&amp;"-"&amp;MONTH(Datos_Consumo[[#This Row],[FECHA]])</f>
        <v>2018-1</v>
      </c>
    </row>
    <row r="3635" spans="1:4" x14ac:dyDescent="0.25">
      <c r="A3635" t="s">
        <v>2653</v>
      </c>
      <c r="B3635">
        <v>1</v>
      </c>
      <c r="C3635" s="54">
        <v>43191</v>
      </c>
      <c r="D3635" s="3" t="str">
        <f>YEAR(Datos_Consumo[[#This Row],[FECHA]])&amp;"-"&amp;MONTH(Datos_Consumo[[#This Row],[FECHA]])</f>
        <v>2018-4</v>
      </c>
    </row>
    <row r="3636" spans="1:4" x14ac:dyDescent="0.25">
      <c r="A3636" t="s">
        <v>2654</v>
      </c>
      <c r="B3636">
        <v>2</v>
      </c>
      <c r="C3636" s="54">
        <v>43101</v>
      </c>
      <c r="D3636" s="3" t="str">
        <f>YEAR(Datos_Consumo[[#This Row],[FECHA]])&amp;"-"&amp;MONTH(Datos_Consumo[[#This Row],[FECHA]])</f>
        <v>2018-1</v>
      </c>
    </row>
    <row r="3637" spans="1:4" x14ac:dyDescent="0.25">
      <c r="A3637" t="s">
        <v>2655</v>
      </c>
      <c r="B3637">
        <v>2</v>
      </c>
      <c r="C3637" s="54">
        <v>43160</v>
      </c>
      <c r="D3637" s="3" t="str">
        <f>YEAR(Datos_Consumo[[#This Row],[FECHA]])&amp;"-"&amp;MONTH(Datos_Consumo[[#This Row],[FECHA]])</f>
        <v>2018-3</v>
      </c>
    </row>
    <row r="3638" spans="1:4" x14ac:dyDescent="0.25">
      <c r="A3638" t="s">
        <v>1406</v>
      </c>
      <c r="B3638">
        <v>2</v>
      </c>
      <c r="C3638" s="54">
        <v>43070</v>
      </c>
      <c r="D3638" s="3" t="str">
        <f>YEAR(Datos_Consumo[[#This Row],[FECHA]])&amp;"-"&amp;MONTH(Datos_Consumo[[#This Row],[FECHA]])</f>
        <v>2017-12</v>
      </c>
    </row>
    <row r="3639" spans="1:4" x14ac:dyDescent="0.25">
      <c r="A3639" t="s">
        <v>1406</v>
      </c>
      <c r="B3639">
        <v>7</v>
      </c>
      <c r="C3639" s="54">
        <v>43101</v>
      </c>
      <c r="D3639" s="3" t="str">
        <f>YEAR(Datos_Consumo[[#This Row],[FECHA]])&amp;"-"&amp;MONTH(Datos_Consumo[[#This Row],[FECHA]])</f>
        <v>2018-1</v>
      </c>
    </row>
    <row r="3640" spans="1:4" x14ac:dyDescent="0.25">
      <c r="A3640" t="s">
        <v>1406</v>
      </c>
      <c r="B3640">
        <v>2</v>
      </c>
      <c r="C3640" s="54">
        <v>43132</v>
      </c>
      <c r="D3640" s="3" t="str">
        <f>YEAR(Datos_Consumo[[#This Row],[FECHA]])&amp;"-"&amp;MONTH(Datos_Consumo[[#This Row],[FECHA]])</f>
        <v>2018-2</v>
      </c>
    </row>
    <row r="3641" spans="1:4" x14ac:dyDescent="0.25">
      <c r="A3641" t="s">
        <v>2656</v>
      </c>
      <c r="B3641">
        <v>1</v>
      </c>
      <c r="C3641" s="54">
        <v>43101</v>
      </c>
      <c r="D3641" s="3" t="str">
        <f>YEAR(Datos_Consumo[[#This Row],[FECHA]])&amp;"-"&amp;MONTH(Datos_Consumo[[#This Row],[FECHA]])</f>
        <v>2018-1</v>
      </c>
    </row>
    <row r="3642" spans="1:4" x14ac:dyDescent="0.25">
      <c r="A3642" t="s">
        <v>2657</v>
      </c>
      <c r="B3642">
        <v>1</v>
      </c>
      <c r="C3642" s="54">
        <v>43101</v>
      </c>
      <c r="D3642" s="3" t="str">
        <f>YEAR(Datos_Consumo[[#This Row],[FECHA]])&amp;"-"&amp;MONTH(Datos_Consumo[[#This Row],[FECHA]])</f>
        <v>2018-1</v>
      </c>
    </row>
    <row r="3643" spans="1:4" x14ac:dyDescent="0.25">
      <c r="A3643" t="s">
        <v>2657</v>
      </c>
      <c r="B3643">
        <v>1</v>
      </c>
      <c r="C3643" s="54">
        <v>43132</v>
      </c>
      <c r="D3643" s="3" t="str">
        <f>YEAR(Datos_Consumo[[#This Row],[FECHA]])&amp;"-"&amp;MONTH(Datos_Consumo[[#This Row],[FECHA]])</f>
        <v>2018-2</v>
      </c>
    </row>
    <row r="3644" spans="1:4" x14ac:dyDescent="0.25">
      <c r="A3644" t="s">
        <v>2657</v>
      </c>
      <c r="B3644">
        <v>1</v>
      </c>
      <c r="C3644" s="54">
        <v>43191</v>
      </c>
      <c r="D3644" s="3" t="str">
        <f>YEAR(Datos_Consumo[[#This Row],[FECHA]])&amp;"-"&amp;MONTH(Datos_Consumo[[#This Row],[FECHA]])</f>
        <v>2018-4</v>
      </c>
    </row>
    <row r="3645" spans="1:4" x14ac:dyDescent="0.25">
      <c r="A3645" t="s">
        <v>1407</v>
      </c>
      <c r="B3645">
        <v>4</v>
      </c>
      <c r="C3645" s="54">
        <v>43070</v>
      </c>
      <c r="D3645" s="3" t="str">
        <f>YEAR(Datos_Consumo[[#This Row],[FECHA]])&amp;"-"&amp;MONTH(Datos_Consumo[[#This Row],[FECHA]])</f>
        <v>2017-12</v>
      </c>
    </row>
    <row r="3646" spans="1:4" x14ac:dyDescent="0.25">
      <c r="A3646" t="s">
        <v>1407</v>
      </c>
      <c r="B3646">
        <v>1</v>
      </c>
      <c r="C3646" s="54">
        <v>43101</v>
      </c>
      <c r="D3646" s="3" t="str">
        <f>YEAR(Datos_Consumo[[#This Row],[FECHA]])&amp;"-"&amp;MONTH(Datos_Consumo[[#This Row],[FECHA]])</f>
        <v>2018-1</v>
      </c>
    </row>
    <row r="3647" spans="1:4" x14ac:dyDescent="0.25">
      <c r="A3647" t="s">
        <v>1407</v>
      </c>
      <c r="B3647">
        <v>1</v>
      </c>
      <c r="C3647" s="54">
        <v>43132</v>
      </c>
      <c r="D3647" s="3" t="str">
        <f>YEAR(Datos_Consumo[[#This Row],[FECHA]])&amp;"-"&amp;MONTH(Datos_Consumo[[#This Row],[FECHA]])</f>
        <v>2018-2</v>
      </c>
    </row>
    <row r="3648" spans="1:4" x14ac:dyDescent="0.25">
      <c r="A3648" t="s">
        <v>1407</v>
      </c>
      <c r="B3648">
        <v>6</v>
      </c>
      <c r="C3648" s="54">
        <v>43160</v>
      </c>
      <c r="D3648" s="3" t="str">
        <f>YEAR(Datos_Consumo[[#This Row],[FECHA]])&amp;"-"&amp;MONTH(Datos_Consumo[[#This Row],[FECHA]])</f>
        <v>2018-3</v>
      </c>
    </row>
    <row r="3649" spans="1:4" x14ac:dyDescent="0.25">
      <c r="A3649" t="s">
        <v>1407</v>
      </c>
      <c r="B3649">
        <v>3</v>
      </c>
      <c r="C3649" s="54">
        <v>43191</v>
      </c>
      <c r="D3649" s="3" t="str">
        <f>YEAR(Datos_Consumo[[#This Row],[FECHA]])&amp;"-"&amp;MONTH(Datos_Consumo[[#This Row],[FECHA]])</f>
        <v>2018-4</v>
      </c>
    </row>
    <row r="3650" spans="1:4" x14ac:dyDescent="0.25">
      <c r="A3650" t="s">
        <v>1407</v>
      </c>
      <c r="B3650">
        <v>1</v>
      </c>
      <c r="C3650" s="54">
        <v>43221</v>
      </c>
      <c r="D3650" s="3" t="str">
        <f>YEAR(Datos_Consumo[[#This Row],[FECHA]])&amp;"-"&amp;MONTH(Datos_Consumo[[#This Row],[FECHA]])</f>
        <v>2018-5</v>
      </c>
    </row>
    <row r="3651" spans="1:4" x14ac:dyDescent="0.25">
      <c r="A3651" t="s">
        <v>2658</v>
      </c>
      <c r="B3651">
        <v>2</v>
      </c>
      <c r="C3651" s="54">
        <v>43070</v>
      </c>
      <c r="D3651" s="3" t="str">
        <f>YEAR(Datos_Consumo[[#This Row],[FECHA]])&amp;"-"&amp;MONTH(Datos_Consumo[[#This Row],[FECHA]])</f>
        <v>2017-12</v>
      </c>
    </row>
    <row r="3652" spans="1:4" x14ac:dyDescent="0.25">
      <c r="A3652" t="s">
        <v>2658</v>
      </c>
      <c r="B3652">
        <v>1</v>
      </c>
      <c r="C3652" s="54">
        <v>43101</v>
      </c>
      <c r="D3652" s="3" t="str">
        <f>YEAR(Datos_Consumo[[#This Row],[FECHA]])&amp;"-"&amp;MONTH(Datos_Consumo[[#This Row],[FECHA]])</f>
        <v>2018-1</v>
      </c>
    </row>
    <row r="3653" spans="1:4" x14ac:dyDescent="0.25">
      <c r="A3653" t="s">
        <v>2658</v>
      </c>
      <c r="B3653">
        <v>2</v>
      </c>
      <c r="C3653" s="54">
        <v>43132</v>
      </c>
      <c r="D3653" s="3" t="str">
        <f>YEAR(Datos_Consumo[[#This Row],[FECHA]])&amp;"-"&amp;MONTH(Datos_Consumo[[#This Row],[FECHA]])</f>
        <v>2018-2</v>
      </c>
    </row>
    <row r="3654" spans="1:4" x14ac:dyDescent="0.25">
      <c r="A3654" t="s">
        <v>2659</v>
      </c>
      <c r="B3654">
        <v>4</v>
      </c>
      <c r="C3654" s="54">
        <v>43132</v>
      </c>
      <c r="D3654" s="3" t="str">
        <f>YEAR(Datos_Consumo[[#This Row],[FECHA]])&amp;"-"&amp;MONTH(Datos_Consumo[[#This Row],[FECHA]])</f>
        <v>2018-2</v>
      </c>
    </row>
    <row r="3655" spans="1:4" x14ac:dyDescent="0.25">
      <c r="A3655" t="s">
        <v>2660</v>
      </c>
      <c r="B3655">
        <v>1</v>
      </c>
      <c r="C3655" s="54">
        <v>43132</v>
      </c>
      <c r="D3655" s="3" t="str">
        <f>YEAR(Datos_Consumo[[#This Row],[FECHA]])&amp;"-"&amp;MONTH(Datos_Consumo[[#This Row],[FECHA]])</f>
        <v>2018-2</v>
      </c>
    </row>
    <row r="3656" spans="1:4" x14ac:dyDescent="0.25">
      <c r="A3656" t="s">
        <v>2660</v>
      </c>
      <c r="B3656">
        <v>1</v>
      </c>
      <c r="C3656" s="54">
        <v>43191</v>
      </c>
      <c r="D3656" s="3" t="str">
        <f>YEAR(Datos_Consumo[[#This Row],[FECHA]])&amp;"-"&amp;MONTH(Datos_Consumo[[#This Row],[FECHA]])</f>
        <v>2018-4</v>
      </c>
    </row>
    <row r="3657" spans="1:4" x14ac:dyDescent="0.25">
      <c r="A3657" t="s">
        <v>2661</v>
      </c>
      <c r="B3657">
        <v>4</v>
      </c>
      <c r="C3657" s="54">
        <v>43070</v>
      </c>
      <c r="D3657" s="3" t="str">
        <f>YEAR(Datos_Consumo[[#This Row],[FECHA]])&amp;"-"&amp;MONTH(Datos_Consumo[[#This Row],[FECHA]])</f>
        <v>2017-12</v>
      </c>
    </row>
    <row r="3658" spans="1:4" x14ac:dyDescent="0.25">
      <c r="A3658" t="s">
        <v>2662</v>
      </c>
      <c r="B3658">
        <v>1</v>
      </c>
      <c r="C3658" s="54">
        <v>43101</v>
      </c>
      <c r="D3658" s="3" t="str">
        <f>YEAR(Datos_Consumo[[#This Row],[FECHA]])&amp;"-"&amp;MONTH(Datos_Consumo[[#This Row],[FECHA]])</f>
        <v>2018-1</v>
      </c>
    </row>
    <row r="3659" spans="1:4" x14ac:dyDescent="0.25">
      <c r="A3659" t="s">
        <v>2662</v>
      </c>
      <c r="B3659">
        <v>3</v>
      </c>
      <c r="C3659" s="54">
        <v>43160</v>
      </c>
      <c r="D3659" s="3" t="str">
        <f>YEAR(Datos_Consumo[[#This Row],[FECHA]])&amp;"-"&amp;MONTH(Datos_Consumo[[#This Row],[FECHA]])</f>
        <v>2018-3</v>
      </c>
    </row>
    <row r="3660" spans="1:4" x14ac:dyDescent="0.25">
      <c r="A3660" t="s">
        <v>2662</v>
      </c>
      <c r="B3660">
        <v>6</v>
      </c>
      <c r="C3660" s="54">
        <v>43191</v>
      </c>
      <c r="D3660" s="3" t="str">
        <f>YEAR(Datos_Consumo[[#This Row],[FECHA]])&amp;"-"&amp;MONTH(Datos_Consumo[[#This Row],[FECHA]])</f>
        <v>2018-4</v>
      </c>
    </row>
    <row r="3661" spans="1:4" x14ac:dyDescent="0.25">
      <c r="A3661" t="s">
        <v>2663</v>
      </c>
      <c r="B3661">
        <v>4</v>
      </c>
      <c r="C3661" s="54">
        <v>43101</v>
      </c>
      <c r="D3661" s="3" t="str">
        <f>YEAR(Datos_Consumo[[#This Row],[FECHA]])&amp;"-"&amp;MONTH(Datos_Consumo[[#This Row],[FECHA]])</f>
        <v>2018-1</v>
      </c>
    </row>
    <row r="3662" spans="1:4" x14ac:dyDescent="0.25">
      <c r="A3662" t="s">
        <v>2663</v>
      </c>
      <c r="B3662">
        <v>1</v>
      </c>
      <c r="C3662" s="54">
        <v>43160</v>
      </c>
      <c r="D3662" s="3" t="str">
        <f>YEAR(Datos_Consumo[[#This Row],[FECHA]])&amp;"-"&amp;MONTH(Datos_Consumo[[#This Row],[FECHA]])</f>
        <v>2018-3</v>
      </c>
    </row>
    <row r="3663" spans="1:4" x14ac:dyDescent="0.25">
      <c r="A3663" t="s">
        <v>4077</v>
      </c>
      <c r="B3663">
        <v>2</v>
      </c>
      <c r="C3663" s="54">
        <v>43191</v>
      </c>
      <c r="D3663" s="3" t="str">
        <f>YEAR(Datos_Consumo[[#This Row],[FECHA]])&amp;"-"&amp;MONTH(Datos_Consumo[[#This Row],[FECHA]])</f>
        <v>2018-4</v>
      </c>
    </row>
    <row r="3664" spans="1:4" x14ac:dyDescent="0.25">
      <c r="A3664" t="s">
        <v>1408</v>
      </c>
      <c r="B3664">
        <v>2</v>
      </c>
      <c r="C3664" s="54">
        <v>43070</v>
      </c>
      <c r="D3664" s="3" t="str">
        <f>YEAR(Datos_Consumo[[#This Row],[FECHA]])&amp;"-"&amp;MONTH(Datos_Consumo[[#This Row],[FECHA]])</f>
        <v>2017-12</v>
      </c>
    </row>
    <row r="3665" spans="1:4" x14ac:dyDescent="0.25">
      <c r="A3665" t="s">
        <v>1408</v>
      </c>
      <c r="B3665">
        <v>40</v>
      </c>
      <c r="C3665" s="54">
        <v>43101</v>
      </c>
      <c r="D3665" s="3" t="str">
        <f>YEAR(Datos_Consumo[[#This Row],[FECHA]])&amp;"-"&amp;MONTH(Datos_Consumo[[#This Row],[FECHA]])</f>
        <v>2018-1</v>
      </c>
    </row>
    <row r="3666" spans="1:4" x14ac:dyDescent="0.25">
      <c r="A3666" t="s">
        <v>1408</v>
      </c>
      <c r="B3666">
        <v>2</v>
      </c>
      <c r="C3666" s="54">
        <v>43132</v>
      </c>
      <c r="D3666" s="3" t="str">
        <f>YEAR(Datos_Consumo[[#This Row],[FECHA]])&amp;"-"&amp;MONTH(Datos_Consumo[[#This Row],[FECHA]])</f>
        <v>2018-2</v>
      </c>
    </row>
    <row r="3667" spans="1:4" x14ac:dyDescent="0.25">
      <c r="A3667" t="s">
        <v>1408</v>
      </c>
      <c r="B3667">
        <v>50</v>
      </c>
      <c r="C3667" s="54">
        <v>43160</v>
      </c>
      <c r="D3667" s="3" t="str">
        <f>YEAR(Datos_Consumo[[#This Row],[FECHA]])&amp;"-"&amp;MONTH(Datos_Consumo[[#This Row],[FECHA]])</f>
        <v>2018-3</v>
      </c>
    </row>
    <row r="3668" spans="1:4" x14ac:dyDescent="0.25">
      <c r="A3668" t="s">
        <v>1408</v>
      </c>
      <c r="B3668">
        <v>5</v>
      </c>
      <c r="C3668" s="54">
        <v>43191</v>
      </c>
      <c r="D3668" s="3" t="str">
        <f>YEAR(Datos_Consumo[[#This Row],[FECHA]])&amp;"-"&amp;MONTH(Datos_Consumo[[#This Row],[FECHA]])</f>
        <v>2018-4</v>
      </c>
    </row>
    <row r="3669" spans="1:4" x14ac:dyDescent="0.25">
      <c r="A3669" t="s">
        <v>2664</v>
      </c>
      <c r="B3669">
        <v>2</v>
      </c>
      <c r="C3669" s="54">
        <v>43101</v>
      </c>
      <c r="D3669" s="3" t="str">
        <f>YEAR(Datos_Consumo[[#This Row],[FECHA]])&amp;"-"&amp;MONTH(Datos_Consumo[[#This Row],[FECHA]])</f>
        <v>2018-1</v>
      </c>
    </row>
    <row r="3670" spans="1:4" x14ac:dyDescent="0.25">
      <c r="A3670" t="s">
        <v>2665</v>
      </c>
      <c r="B3670">
        <v>2</v>
      </c>
      <c r="C3670" s="54">
        <v>43101</v>
      </c>
      <c r="D3670" s="3" t="str">
        <f>YEAR(Datos_Consumo[[#This Row],[FECHA]])&amp;"-"&amp;MONTH(Datos_Consumo[[#This Row],[FECHA]])</f>
        <v>2018-1</v>
      </c>
    </row>
    <row r="3671" spans="1:4" x14ac:dyDescent="0.25">
      <c r="A3671" t="s">
        <v>2666</v>
      </c>
      <c r="B3671">
        <v>1</v>
      </c>
      <c r="C3671" s="54">
        <v>43101</v>
      </c>
      <c r="D3671" s="3" t="str">
        <f>YEAR(Datos_Consumo[[#This Row],[FECHA]])&amp;"-"&amp;MONTH(Datos_Consumo[[#This Row],[FECHA]])</f>
        <v>2018-1</v>
      </c>
    </row>
    <row r="3672" spans="1:4" x14ac:dyDescent="0.25">
      <c r="A3672" t="s">
        <v>2667</v>
      </c>
      <c r="B3672">
        <v>2</v>
      </c>
      <c r="C3672" s="54">
        <v>43101</v>
      </c>
      <c r="D3672" s="3" t="str">
        <f>YEAR(Datos_Consumo[[#This Row],[FECHA]])&amp;"-"&amp;MONTH(Datos_Consumo[[#This Row],[FECHA]])</f>
        <v>2018-1</v>
      </c>
    </row>
    <row r="3673" spans="1:4" x14ac:dyDescent="0.25">
      <c r="A3673" t="s">
        <v>2667</v>
      </c>
      <c r="B3673">
        <v>1</v>
      </c>
      <c r="C3673" s="54">
        <v>43160</v>
      </c>
      <c r="D3673" s="3" t="str">
        <f>YEAR(Datos_Consumo[[#This Row],[FECHA]])&amp;"-"&amp;MONTH(Datos_Consumo[[#This Row],[FECHA]])</f>
        <v>2018-3</v>
      </c>
    </row>
    <row r="3674" spans="1:4" x14ac:dyDescent="0.25">
      <c r="A3674" t="s">
        <v>2668</v>
      </c>
      <c r="B3674">
        <v>1</v>
      </c>
      <c r="C3674" s="54">
        <v>43160</v>
      </c>
      <c r="D3674" s="3" t="str">
        <f>YEAR(Datos_Consumo[[#This Row],[FECHA]])&amp;"-"&amp;MONTH(Datos_Consumo[[#This Row],[FECHA]])</f>
        <v>2018-3</v>
      </c>
    </row>
    <row r="3675" spans="1:4" x14ac:dyDescent="0.25">
      <c r="A3675" t="s">
        <v>2669</v>
      </c>
      <c r="B3675">
        <v>2</v>
      </c>
      <c r="C3675" s="54">
        <v>43160</v>
      </c>
      <c r="D3675" s="3" t="str">
        <f>YEAR(Datos_Consumo[[#This Row],[FECHA]])&amp;"-"&amp;MONTH(Datos_Consumo[[#This Row],[FECHA]])</f>
        <v>2018-3</v>
      </c>
    </row>
    <row r="3676" spans="1:4" x14ac:dyDescent="0.25">
      <c r="A3676" t="s">
        <v>2669</v>
      </c>
      <c r="B3676">
        <v>4</v>
      </c>
      <c r="C3676" s="54">
        <v>43191</v>
      </c>
      <c r="D3676" s="3" t="str">
        <f>YEAR(Datos_Consumo[[#This Row],[FECHA]])&amp;"-"&amp;MONTH(Datos_Consumo[[#This Row],[FECHA]])</f>
        <v>2018-4</v>
      </c>
    </row>
    <row r="3677" spans="1:4" x14ac:dyDescent="0.25">
      <c r="A3677" t="s">
        <v>2670</v>
      </c>
      <c r="B3677">
        <v>1</v>
      </c>
      <c r="C3677" s="54">
        <v>43160</v>
      </c>
      <c r="D3677" s="3" t="str">
        <f>YEAR(Datos_Consumo[[#This Row],[FECHA]])&amp;"-"&amp;MONTH(Datos_Consumo[[#This Row],[FECHA]])</f>
        <v>2018-3</v>
      </c>
    </row>
    <row r="3678" spans="1:4" x14ac:dyDescent="0.25">
      <c r="A3678" t="s">
        <v>2671</v>
      </c>
      <c r="B3678">
        <v>1</v>
      </c>
      <c r="C3678" s="54">
        <v>43160</v>
      </c>
      <c r="D3678" s="3" t="str">
        <f>YEAR(Datos_Consumo[[#This Row],[FECHA]])&amp;"-"&amp;MONTH(Datos_Consumo[[#This Row],[FECHA]])</f>
        <v>2018-3</v>
      </c>
    </row>
    <row r="3679" spans="1:4" x14ac:dyDescent="0.25">
      <c r="A3679" t="s">
        <v>2671</v>
      </c>
      <c r="B3679">
        <v>2</v>
      </c>
      <c r="C3679" s="54">
        <v>43191</v>
      </c>
      <c r="D3679" s="3" t="str">
        <f>YEAR(Datos_Consumo[[#This Row],[FECHA]])&amp;"-"&amp;MONTH(Datos_Consumo[[#This Row],[FECHA]])</f>
        <v>2018-4</v>
      </c>
    </row>
    <row r="3680" spans="1:4" x14ac:dyDescent="0.25">
      <c r="A3680" t="s">
        <v>2672</v>
      </c>
      <c r="B3680">
        <v>1</v>
      </c>
      <c r="C3680" s="54">
        <v>43160</v>
      </c>
      <c r="D3680" s="3" t="str">
        <f>YEAR(Datos_Consumo[[#This Row],[FECHA]])&amp;"-"&amp;MONTH(Datos_Consumo[[#This Row],[FECHA]])</f>
        <v>2018-3</v>
      </c>
    </row>
    <row r="3681" spans="1:4" x14ac:dyDescent="0.25">
      <c r="A3681" t="s">
        <v>2673</v>
      </c>
      <c r="B3681">
        <v>1</v>
      </c>
      <c r="C3681" s="54">
        <v>43160</v>
      </c>
      <c r="D3681" s="3" t="str">
        <f>YEAR(Datos_Consumo[[#This Row],[FECHA]])&amp;"-"&amp;MONTH(Datos_Consumo[[#This Row],[FECHA]])</f>
        <v>2018-3</v>
      </c>
    </row>
    <row r="3682" spans="1:4" x14ac:dyDescent="0.25">
      <c r="A3682" t="s">
        <v>2674</v>
      </c>
      <c r="B3682">
        <v>2</v>
      </c>
      <c r="C3682" s="54">
        <v>43070</v>
      </c>
      <c r="D3682" s="3" t="str">
        <f>YEAR(Datos_Consumo[[#This Row],[FECHA]])&amp;"-"&amp;MONTH(Datos_Consumo[[#This Row],[FECHA]])</f>
        <v>2017-12</v>
      </c>
    </row>
    <row r="3683" spans="1:4" x14ac:dyDescent="0.25">
      <c r="A3683" t="s">
        <v>2674</v>
      </c>
      <c r="B3683">
        <v>3</v>
      </c>
      <c r="C3683" s="54">
        <v>43132</v>
      </c>
      <c r="D3683" s="3" t="str">
        <f>YEAR(Datos_Consumo[[#This Row],[FECHA]])&amp;"-"&amp;MONTH(Datos_Consumo[[#This Row],[FECHA]])</f>
        <v>2018-2</v>
      </c>
    </row>
    <row r="3684" spans="1:4" x14ac:dyDescent="0.25">
      <c r="A3684" t="s">
        <v>2674</v>
      </c>
      <c r="B3684">
        <v>3</v>
      </c>
      <c r="C3684" s="54">
        <v>43160</v>
      </c>
      <c r="D3684" s="3" t="str">
        <f>YEAR(Datos_Consumo[[#This Row],[FECHA]])&amp;"-"&amp;MONTH(Datos_Consumo[[#This Row],[FECHA]])</f>
        <v>2018-3</v>
      </c>
    </row>
    <row r="3685" spans="1:4" x14ac:dyDescent="0.25">
      <c r="A3685" t="s">
        <v>2674</v>
      </c>
      <c r="B3685">
        <v>2</v>
      </c>
      <c r="C3685" s="54">
        <v>43191</v>
      </c>
      <c r="D3685" s="3" t="str">
        <f>YEAR(Datos_Consumo[[#This Row],[FECHA]])&amp;"-"&amp;MONTH(Datos_Consumo[[#This Row],[FECHA]])</f>
        <v>2018-4</v>
      </c>
    </row>
    <row r="3686" spans="1:4" x14ac:dyDescent="0.25">
      <c r="A3686" t="s">
        <v>2674</v>
      </c>
      <c r="B3686">
        <v>2</v>
      </c>
      <c r="C3686" s="54">
        <v>43221</v>
      </c>
      <c r="D3686" s="3" t="str">
        <f>YEAR(Datos_Consumo[[#This Row],[FECHA]])&amp;"-"&amp;MONTH(Datos_Consumo[[#This Row],[FECHA]])</f>
        <v>2018-5</v>
      </c>
    </row>
    <row r="3687" spans="1:4" x14ac:dyDescent="0.25">
      <c r="A3687" t="s">
        <v>4078</v>
      </c>
      <c r="B3687">
        <v>1</v>
      </c>
      <c r="C3687" s="54">
        <v>43221</v>
      </c>
      <c r="D3687" s="3" t="str">
        <f>YEAR(Datos_Consumo[[#This Row],[FECHA]])&amp;"-"&amp;MONTH(Datos_Consumo[[#This Row],[FECHA]])</f>
        <v>2018-5</v>
      </c>
    </row>
    <row r="3688" spans="1:4" x14ac:dyDescent="0.25">
      <c r="A3688" t="s">
        <v>2676</v>
      </c>
      <c r="B3688">
        <v>1</v>
      </c>
      <c r="C3688" s="54">
        <v>43160</v>
      </c>
      <c r="D3688" s="3" t="str">
        <f>YEAR(Datos_Consumo[[#This Row],[FECHA]])&amp;"-"&amp;MONTH(Datos_Consumo[[#This Row],[FECHA]])</f>
        <v>2018-3</v>
      </c>
    </row>
    <row r="3689" spans="1:4" x14ac:dyDescent="0.25">
      <c r="A3689" t="s">
        <v>2677</v>
      </c>
      <c r="B3689">
        <v>1</v>
      </c>
      <c r="C3689" s="54">
        <v>43070</v>
      </c>
      <c r="D3689" s="3" t="str">
        <f>YEAR(Datos_Consumo[[#This Row],[FECHA]])&amp;"-"&amp;MONTH(Datos_Consumo[[#This Row],[FECHA]])</f>
        <v>2017-12</v>
      </c>
    </row>
    <row r="3690" spans="1:4" x14ac:dyDescent="0.25">
      <c r="A3690" t="s">
        <v>2678</v>
      </c>
      <c r="B3690">
        <v>2</v>
      </c>
      <c r="C3690" s="54">
        <v>43101</v>
      </c>
      <c r="D3690" s="3" t="str">
        <f>YEAR(Datos_Consumo[[#This Row],[FECHA]])&amp;"-"&amp;MONTH(Datos_Consumo[[#This Row],[FECHA]])</f>
        <v>2018-1</v>
      </c>
    </row>
    <row r="3691" spans="1:4" x14ac:dyDescent="0.25">
      <c r="A3691" t="s">
        <v>2679</v>
      </c>
      <c r="B3691">
        <v>2</v>
      </c>
      <c r="C3691" s="54">
        <v>43132</v>
      </c>
      <c r="D3691" s="3" t="str">
        <f>YEAR(Datos_Consumo[[#This Row],[FECHA]])&amp;"-"&amp;MONTH(Datos_Consumo[[#This Row],[FECHA]])</f>
        <v>2018-2</v>
      </c>
    </row>
    <row r="3692" spans="1:4" x14ac:dyDescent="0.25">
      <c r="A3692" t="s">
        <v>2680</v>
      </c>
      <c r="B3692">
        <v>1</v>
      </c>
      <c r="C3692" s="54">
        <v>43221</v>
      </c>
      <c r="D3692" s="3" t="str">
        <f>YEAR(Datos_Consumo[[#This Row],[FECHA]])&amp;"-"&amp;MONTH(Datos_Consumo[[#This Row],[FECHA]])</f>
        <v>2018-5</v>
      </c>
    </row>
    <row r="3693" spans="1:4" x14ac:dyDescent="0.25">
      <c r="A3693" t="s">
        <v>1409</v>
      </c>
      <c r="B3693">
        <v>3</v>
      </c>
      <c r="C3693" s="54">
        <v>43101</v>
      </c>
      <c r="D3693" s="3" t="str">
        <f>YEAR(Datos_Consumo[[#This Row],[FECHA]])&amp;"-"&amp;MONTH(Datos_Consumo[[#This Row],[FECHA]])</f>
        <v>2018-1</v>
      </c>
    </row>
    <row r="3694" spans="1:4" x14ac:dyDescent="0.25">
      <c r="A3694" t="s">
        <v>1409</v>
      </c>
      <c r="B3694">
        <v>1</v>
      </c>
      <c r="C3694" s="54">
        <v>43132</v>
      </c>
      <c r="D3694" s="3" t="str">
        <f>YEAR(Datos_Consumo[[#This Row],[FECHA]])&amp;"-"&amp;MONTH(Datos_Consumo[[#This Row],[FECHA]])</f>
        <v>2018-2</v>
      </c>
    </row>
    <row r="3695" spans="1:4" x14ac:dyDescent="0.25">
      <c r="A3695" t="s">
        <v>1409</v>
      </c>
      <c r="B3695">
        <v>1</v>
      </c>
      <c r="C3695" s="54">
        <v>43191</v>
      </c>
      <c r="D3695" s="3" t="str">
        <f>YEAR(Datos_Consumo[[#This Row],[FECHA]])&amp;"-"&amp;MONTH(Datos_Consumo[[#This Row],[FECHA]])</f>
        <v>2018-4</v>
      </c>
    </row>
    <row r="3696" spans="1:4" x14ac:dyDescent="0.25">
      <c r="A3696" t="s">
        <v>2681</v>
      </c>
      <c r="B3696">
        <v>1</v>
      </c>
      <c r="C3696" s="54">
        <v>43191</v>
      </c>
      <c r="D3696" s="3" t="str">
        <f>YEAR(Datos_Consumo[[#This Row],[FECHA]])&amp;"-"&amp;MONTH(Datos_Consumo[[#This Row],[FECHA]])</f>
        <v>2018-4</v>
      </c>
    </row>
    <row r="3697" spans="1:4" x14ac:dyDescent="0.25">
      <c r="A3697" t="s">
        <v>2682</v>
      </c>
      <c r="B3697">
        <v>2</v>
      </c>
      <c r="C3697" s="54">
        <v>43101</v>
      </c>
      <c r="D3697" s="3" t="str">
        <f>YEAR(Datos_Consumo[[#This Row],[FECHA]])&amp;"-"&amp;MONTH(Datos_Consumo[[#This Row],[FECHA]])</f>
        <v>2018-1</v>
      </c>
    </row>
    <row r="3698" spans="1:4" x14ac:dyDescent="0.25">
      <c r="A3698" t="s">
        <v>2683</v>
      </c>
      <c r="B3698">
        <v>1</v>
      </c>
      <c r="C3698" s="54">
        <v>43132</v>
      </c>
      <c r="D3698" s="3" t="str">
        <f>YEAR(Datos_Consumo[[#This Row],[FECHA]])&amp;"-"&amp;MONTH(Datos_Consumo[[#This Row],[FECHA]])</f>
        <v>2018-2</v>
      </c>
    </row>
    <row r="3699" spans="1:4" x14ac:dyDescent="0.25">
      <c r="A3699" t="s">
        <v>1410</v>
      </c>
      <c r="B3699">
        <v>4</v>
      </c>
      <c r="C3699" s="54">
        <v>43101</v>
      </c>
      <c r="D3699" s="3" t="str">
        <f>YEAR(Datos_Consumo[[#This Row],[FECHA]])&amp;"-"&amp;MONTH(Datos_Consumo[[#This Row],[FECHA]])</f>
        <v>2018-1</v>
      </c>
    </row>
    <row r="3700" spans="1:4" x14ac:dyDescent="0.25">
      <c r="A3700" t="s">
        <v>1410</v>
      </c>
      <c r="B3700">
        <v>1</v>
      </c>
      <c r="C3700" s="54">
        <v>43191</v>
      </c>
      <c r="D3700" s="3" t="str">
        <f>YEAR(Datos_Consumo[[#This Row],[FECHA]])&amp;"-"&amp;MONTH(Datos_Consumo[[#This Row],[FECHA]])</f>
        <v>2018-4</v>
      </c>
    </row>
    <row r="3701" spans="1:4" x14ac:dyDescent="0.25">
      <c r="A3701" t="s">
        <v>2684</v>
      </c>
      <c r="B3701">
        <v>841</v>
      </c>
      <c r="C3701" s="54">
        <v>43070</v>
      </c>
      <c r="D3701" s="3" t="str">
        <f>YEAR(Datos_Consumo[[#This Row],[FECHA]])&amp;"-"&amp;MONTH(Datos_Consumo[[#This Row],[FECHA]])</f>
        <v>2017-12</v>
      </c>
    </row>
    <row r="3702" spans="1:4" x14ac:dyDescent="0.25">
      <c r="A3702" t="s">
        <v>2684</v>
      </c>
      <c r="B3702">
        <v>555</v>
      </c>
      <c r="C3702" s="54">
        <v>43101</v>
      </c>
      <c r="D3702" s="3" t="str">
        <f>YEAR(Datos_Consumo[[#This Row],[FECHA]])&amp;"-"&amp;MONTH(Datos_Consumo[[#This Row],[FECHA]])</f>
        <v>2018-1</v>
      </c>
    </row>
    <row r="3703" spans="1:4" x14ac:dyDescent="0.25">
      <c r="A3703" t="s">
        <v>2684</v>
      </c>
      <c r="B3703">
        <v>529</v>
      </c>
      <c r="C3703" s="54">
        <v>43132</v>
      </c>
      <c r="D3703" s="3" t="str">
        <f>YEAR(Datos_Consumo[[#This Row],[FECHA]])&amp;"-"&amp;MONTH(Datos_Consumo[[#This Row],[FECHA]])</f>
        <v>2018-2</v>
      </c>
    </row>
    <row r="3704" spans="1:4" x14ac:dyDescent="0.25">
      <c r="A3704" t="s">
        <v>2684</v>
      </c>
      <c r="B3704">
        <v>955</v>
      </c>
      <c r="C3704" s="54">
        <v>43160</v>
      </c>
      <c r="D3704" s="3" t="str">
        <f>YEAR(Datos_Consumo[[#This Row],[FECHA]])&amp;"-"&amp;MONTH(Datos_Consumo[[#This Row],[FECHA]])</f>
        <v>2018-3</v>
      </c>
    </row>
    <row r="3705" spans="1:4" x14ac:dyDescent="0.25">
      <c r="A3705" t="s">
        <v>2684</v>
      </c>
      <c r="B3705">
        <v>832</v>
      </c>
      <c r="C3705" s="54">
        <v>43191</v>
      </c>
      <c r="D3705" s="3" t="str">
        <f>YEAR(Datos_Consumo[[#This Row],[FECHA]])&amp;"-"&amp;MONTH(Datos_Consumo[[#This Row],[FECHA]])</f>
        <v>2018-4</v>
      </c>
    </row>
    <row r="3706" spans="1:4" x14ac:dyDescent="0.25">
      <c r="A3706" t="s">
        <v>2684</v>
      </c>
      <c r="B3706">
        <v>130</v>
      </c>
      <c r="C3706" s="54">
        <v>43221</v>
      </c>
      <c r="D3706" s="3" t="str">
        <f>YEAR(Datos_Consumo[[#This Row],[FECHA]])&amp;"-"&amp;MONTH(Datos_Consumo[[#This Row],[FECHA]])</f>
        <v>2018-5</v>
      </c>
    </row>
    <row r="3707" spans="1:4" x14ac:dyDescent="0.25">
      <c r="A3707" t="s">
        <v>1411</v>
      </c>
      <c r="B3707">
        <v>7</v>
      </c>
      <c r="C3707" s="54">
        <v>43070</v>
      </c>
      <c r="D3707" s="3" t="str">
        <f>YEAR(Datos_Consumo[[#This Row],[FECHA]])&amp;"-"&amp;MONTH(Datos_Consumo[[#This Row],[FECHA]])</f>
        <v>2017-12</v>
      </c>
    </row>
    <row r="3708" spans="1:4" x14ac:dyDescent="0.25">
      <c r="A3708" t="s">
        <v>1411</v>
      </c>
      <c r="B3708">
        <v>13</v>
      </c>
      <c r="C3708" s="54">
        <v>43101</v>
      </c>
      <c r="D3708" s="3" t="str">
        <f>YEAR(Datos_Consumo[[#This Row],[FECHA]])&amp;"-"&amp;MONTH(Datos_Consumo[[#This Row],[FECHA]])</f>
        <v>2018-1</v>
      </c>
    </row>
    <row r="3709" spans="1:4" x14ac:dyDescent="0.25">
      <c r="A3709" t="s">
        <v>1411</v>
      </c>
      <c r="B3709">
        <v>37</v>
      </c>
      <c r="C3709" s="54">
        <v>43132</v>
      </c>
      <c r="D3709" s="3" t="str">
        <f>YEAR(Datos_Consumo[[#This Row],[FECHA]])&amp;"-"&amp;MONTH(Datos_Consumo[[#This Row],[FECHA]])</f>
        <v>2018-2</v>
      </c>
    </row>
    <row r="3710" spans="1:4" x14ac:dyDescent="0.25">
      <c r="A3710" t="s">
        <v>1411</v>
      </c>
      <c r="B3710">
        <v>12</v>
      </c>
      <c r="C3710" s="54">
        <v>43160</v>
      </c>
      <c r="D3710" s="3" t="str">
        <f>YEAR(Datos_Consumo[[#This Row],[FECHA]])&amp;"-"&amp;MONTH(Datos_Consumo[[#This Row],[FECHA]])</f>
        <v>2018-3</v>
      </c>
    </row>
    <row r="3711" spans="1:4" x14ac:dyDescent="0.25">
      <c r="A3711" t="s">
        <v>1411</v>
      </c>
      <c r="B3711">
        <v>11</v>
      </c>
      <c r="C3711" s="54">
        <v>43191</v>
      </c>
      <c r="D3711" s="3" t="str">
        <f>YEAR(Datos_Consumo[[#This Row],[FECHA]])&amp;"-"&amp;MONTH(Datos_Consumo[[#This Row],[FECHA]])</f>
        <v>2018-4</v>
      </c>
    </row>
    <row r="3712" spans="1:4" x14ac:dyDescent="0.25">
      <c r="A3712" t="s">
        <v>1411</v>
      </c>
      <c r="B3712">
        <v>7</v>
      </c>
      <c r="C3712" s="54">
        <v>43221</v>
      </c>
      <c r="D3712" s="3" t="str">
        <f>YEAR(Datos_Consumo[[#This Row],[FECHA]])&amp;"-"&amp;MONTH(Datos_Consumo[[#This Row],[FECHA]])</f>
        <v>2018-5</v>
      </c>
    </row>
    <row r="3713" spans="1:4" x14ac:dyDescent="0.25">
      <c r="A3713" t="s">
        <v>2685</v>
      </c>
      <c r="B3713">
        <v>12</v>
      </c>
      <c r="C3713" s="54">
        <v>43070</v>
      </c>
      <c r="D3713" s="3" t="str">
        <f>YEAR(Datos_Consumo[[#This Row],[FECHA]])&amp;"-"&amp;MONTH(Datos_Consumo[[#This Row],[FECHA]])</f>
        <v>2017-12</v>
      </c>
    </row>
    <row r="3714" spans="1:4" x14ac:dyDescent="0.25">
      <c r="A3714" t="s">
        <v>2685</v>
      </c>
      <c r="B3714">
        <v>3</v>
      </c>
      <c r="C3714" s="54">
        <v>43101</v>
      </c>
      <c r="D3714" s="3" t="str">
        <f>YEAR(Datos_Consumo[[#This Row],[FECHA]])&amp;"-"&amp;MONTH(Datos_Consumo[[#This Row],[FECHA]])</f>
        <v>2018-1</v>
      </c>
    </row>
    <row r="3715" spans="1:4" x14ac:dyDescent="0.25">
      <c r="A3715" t="s">
        <v>2685</v>
      </c>
      <c r="B3715">
        <v>2</v>
      </c>
      <c r="C3715" s="54">
        <v>43132</v>
      </c>
      <c r="D3715" s="3" t="str">
        <f>YEAR(Datos_Consumo[[#This Row],[FECHA]])&amp;"-"&amp;MONTH(Datos_Consumo[[#This Row],[FECHA]])</f>
        <v>2018-2</v>
      </c>
    </row>
    <row r="3716" spans="1:4" x14ac:dyDescent="0.25">
      <c r="A3716" t="s">
        <v>2685</v>
      </c>
      <c r="B3716">
        <v>3</v>
      </c>
      <c r="C3716" s="54">
        <v>43221</v>
      </c>
      <c r="D3716" s="3" t="str">
        <f>YEAR(Datos_Consumo[[#This Row],[FECHA]])&amp;"-"&amp;MONTH(Datos_Consumo[[#This Row],[FECHA]])</f>
        <v>2018-5</v>
      </c>
    </row>
    <row r="3717" spans="1:4" x14ac:dyDescent="0.25">
      <c r="A3717" t="s">
        <v>1412</v>
      </c>
      <c r="B3717">
        <v>350</v>
      </c>
      <c r="C3717" s="54">
        <v>43070</v>
      </c>
      <c r="D3717" s="3" t="str">
        <f>YEAR(Datos_Consumo[[#This Row],[FECHA]])&amp;"-"&amp;MONTH(Datos_Consumo[[#This Row],[FECHA]])</f>
        <v>2017-12</v>
      </c>
    </row>
    <row r="3718" spans="1:4" x14ac:dyDescent="0.25">
      <c r="A3718" t="s">
        <v>1412</v>
      </c>
      <c r="B3718">
        <v>503</v>
      </c>
      <c r="C3718" s="54">
        <v>43101</v>
      </c>
      <c r="D3718" s="3" t="str">
        <f>YEAR(Datos_Consumo[[#This Row],[FECHA]])&amp;"-"&amp;MONTH(Datos_Consumo[[#This Row],[FECHA]])</f>
        <v>2018-1</v>
      </c>
    </row>
    <row r="3719" spans="1:4" x14ac:dyDescent="0.25">
      <c r="A3719" t="s">
        <v>1412</v>
      </c>
      <c r="B3719">
        <v>7</v>
      </c>
      <c r="C3719" s="54">
        <v>43132</v>
      </c>
      <c r="D3719" s="3" t="str">
        <f>YEAR(Datos_Consumo[[#This Row],[FECHA]])&amp;"-"&amp;MONTH(Datos_Consumo[[#This Row],[FECHA]])</f>
        <v>2018-2</v>
      </c>
    </row>
    <row r="3720" spans="1:4" x14ac:dyDescent="0.25">
      <c r="A3720" t="s">
        <v>1412</v>
      </c>
      <c r="B3720">
        <v>2</v>
      </c>
      <c r="C3720" s="54">
        <v>43160</v>
      </c>
      <c r="D3720" s="3" t="str">
        <f>YEAR(Datos_Consumo[[#This Row],[FECHA]])&amp;"-"&amp;MONTH(Datos_Consumo[[#This Row],[FECHA]])</f>
        <v>2018-3</v>
      </c>
    </row>
    <row r="3721" spans="1:4" x14ac:dyDescent="0.25">
      <c r="A3721" t="s">
        <v>1412</v>
      </c>
      <c r="B3721">
        <v>2</v>
      </c>
      <c r="C3721" s="54">
        <v>43191</v>
      </c>
      <c r="D3721" s="3" t="str">
        <f>YEAR(Datos_Consumo[[#This Row],[FECHA]])&amp;"-"&amp;MONTH(Datos_Consumo[[#This Row],[FECHA]])</f>
        <v>2018-4</v>
      </c>
    </row>
    <row r="3722" spans="1:4" x14ac:dyDescent="0.25">
      <c r="A3722" t="s">
        <v>2686</v>
      </c>
      <c r="B3722">
        <v>1</v>
      </c>
      <c r="C3722" s="54">
        <v>43132</v>
      </c>
      <c r="D3722" s="3" t="str">
        <f>YEAR(Datos_Consumo[[#This Row],[FECHA]])&amp;"-"&amp;MONTH(Datos_Consumo[[#This Row],[FECHA]])</f>
        <v>2018-2</v>
      </c>
    </row>
    <row r="3723" spans="1:4" x14ac:dyDescent="0.25">
      <c r="A3723" t="s">
        <v>2686</v>
      </c>
      <c r="B3723">
        <v>2</v>
      </c>
      <c r="C3723" s="54">
        <v>43191</v>
      </c>
      <c r="D3723" s="3" t="str">
        <f>YEAR(Datos_Consumo[[#This Row],[FECHA]])&amp;"-"&amp;MONTH(Datos_Consumo[[#This Row],[FECHA]])</f>
        <v>2018-4</v>
      </c>
    </row>
    <row r="3724" spans="1:4" x14ac:dyDescent="0.25">
      <c r="A3724" t="s">
        <v>2686</v>
      </c>
      <c r="B3724">
        <v>4</v>
      </c>
      <c r="C3724" s="54">
        <v>43221</v>
      </c>
      <c r="D3724" s="3" t="str">
        <f>YEAR(Datos_Consumo[[#This Row],[FECHA]])&amp;"-"&amp;MONTH(Datos_Consumo[[#This Row],[FECHA]])</f>
        <v>2018-5</v>
      </c>
    </row>
    <row r="3725" spans="1:4" x14ac:dyDescent="0.25">
      <c r="A3725" t="s">
        <v>1413</v>
      </c>
      <c r="B3725">
        <v>1</v>
      </c>
      <c r="C3725" s="54">
        <v>43070</v>
      </c>
      <c r="D3725" s="3" t="str">
        <f>YEAR(Datos_Consumo[[#This Row],[FECHA]])&amp;"-"&amp;MONTH(Datos_Consumo[[#This Row],[FECHA]])</f>
        <v>2017-12</v>
      </c>
    </row>
    <row r="3726" spans="1:4" x14ac:dyDescent="0.25">
      <c r="A3726" t="s">
        <v>1413</v>
      </c>
      <c r="B3726">
        <v>1</v>
      </c>
      <c r="C3726" s="54">
        <v>43101</v>
      </c>
      <c r="D3726" s="3" t="str">
        <f>YEAR(Datos_Consumo[[#This Row],[FECHA]])&amp;"-"&amp;MONTH(Datos_Consumo[[#This Row],[FECHA]])</f>
        <v>2018-1</v>
      </c>
    </row>
    <row r="3727" spans="1:4" x14ac:dyDescent="0.25">
      <c r="A3727" t="s">
        <v>1413</v>
      </c>
      <c r="B3727">
        <v>3</v>
      </c>
      <c r="C3727" s="54">
        <v>43132</v>
      </c>
      <c r="D3727" s="3" t="str">
        <f>YEAR(Datos_Consumo[[#This Row],[FECHA]])&amp;"-"&amp;MONTH(Datos_Consumo[[#This Row],[FECHA]])</f>
        <v>2018-2</v>
      </c>
    </row>
    <row r="3728" spans="1:4" x14ac:dyDescent="0.25">
      <c r="A3728" t="s">
        <v>1413</v>
      </c>
      <c r="B3728">
        <v>30</v>
      </c>
      <c r="C3728" s="54">
        <v>43160</v>
      </c>
      <c r="D3728" s="3" t="str">
        <f>YEAR(Datos_Consumo[[#This Row],[FECHA]])&amp;"-"&amp;MONTH(Datos_Consumo[[#This Row],[FECHA]])</f>
        <v>2018-3</v>
      </c>
    </row>
    <row r="3729" spans="1:4" x14ac:dyDescent="0.25">
      <c r="A3729" t="s">
        <v>1413</v>
      </c>
      <c r="B3729">
        <v>10</v>
      </c>
      <c r="C3729" s="54">
        <v>43191</v>
      </c>
      <c r="D3729" s="3" t="str">
        <f>YEAR(Datos_Consumo[[#This Row],[FECHA]])&amp;"-"&amp;MONTH(Datos_Consumo[[#This Row],[FECHA]])</f>
        <v>2018-4</v>
      </c>
    </row>
    <row r="3730" spans="1:4" x14ac:dyDescent="0.25">
      <c r="A3730" t="s">
        <v>1413</v>
      </c>
      <c r="B3730">
        <v>6</v>
      </c>
      <c r="C3730" s="54">
        <v>43221</v>
      </c>
      <c r="D3730" s="3" t="str">
        <f>YEAR(Datos_Consumo[[#This Row],[FECHA]])&amp;"-"&amp;MONTH(Datos_Consumo[[#This Row],[FECHA]])</f>
        <v>2018-5</v>
      </c>
    </row>
    <row r="3731" spans="1:4" x14ac:dyDescent="0.25">
      <c r="A3731" t="s">
        <v>2687</v>
      </c>
      <c r="B3731">
        <v>1</v>
      </c>
      <c r="C3731" s="54">
        <v>43070</v>
      </c>
      <c r="D3731" s="3" t="str">
        <f>YEAR(Datos_Consumo[[#This Row],[FECHA]])&amp;"-"&amp;MONTH(Datos_Consumo[[#This Row],[FECHA]])</f>
        <v>2017-12</v>
      </c>
    </row>
    <row r="3732" spans="1:4" x14ac:dyDescent="0.25">
      <c r="A3732" t="s">
        <v>2687</v>
      </c>
      <c r="B3732">
        <v>6</v>
      </c>
      <c r="C3732" s="54">
        <v>43101</v>
      </c>
      <c r="D3732" s="3" t="str">
        <f>YEAR(Datos_Consumo[[#This Row],[FECHA]])&amp;"-"&amp;MONTH(Datos_Consumo[[#This Row],[FECHA]])</f>
        <v>2018-1</v>
      </c>
    </row>
    <row r="3733" spans="1:4" x14ac:dyDescent="0.25">
      <c r="A3733" t="s">
        <v>2687</v>
      </c>
      <c r="B3733">
        <v>3</v>
      </c>
      <c r="C3733" s="54">
        <v>43132</v>
      </c>
      <c r="D3733" s="3" t="str">
        <f>YEAR(Datos_Consumo[[#This Row],[FECHA]])&amp;"-"&amp;MONTH(Datos_Consumo[[#This Row],[FECHA]])</f>
        <v>2018-2</v>
      </c>
    </row>
    <row r="3734" spans="1:4" x14ac:dyDescent="0.25">
      <c r="A3734" t="s">
        <v>2687</v>
      </c>
      <c r="B3734">
        <v>7</v>
      </c>
      <c r="C3734" s="54">
        <v>43160</v>
      </c>
      <c r="D3734" s="3" t="str">
        <f>YEAR(Datos_Consumo[[#This Row],[FECHA]])&amp;"-"&amp;MONTH(Datos_Consumo[[#This Row],[FECHA]])</f>
        <v>2018-3</v>
      </c>
    </row>
    <row r="3735" spans="1:4" x14ac:dyDescent="0.25">
      <c r="A3735" t="s">
        <v>2687</v>
      </c>
      <c r="B3735">
        <v>4</v>
      </c>
      <c r="C3735" s="54">
        <v>43191</v>
      </c>
      <c r="D3735" s="3" t="str">
        <f>YEAR(Datos_Consumo[[#This Row],[FECHA]])&amp;"-"&amp;MONTH(Datos_Consumo[[#This Row],[FECHA]])</f>
        <v>2018-4</v>
      </c>
    </row>
    <row r="3736" spans="1:4" x14ac:dyDescent="0.25">
      <c r="A3736" t="s">
        <v>2687</v>
      </c>
      <c r="B3736">
        <v>8</v>
      </c>
      <c r="C3736" s="54">
        <v>43221</v>
      </c>
      <c r="D3736" s="3" t="str">
        <f>YEAR(Datos_Consumo[[#This Row],[FECHA]])&amp;"-"&amp;MONTH(Datos_Consumo[[#This Row],[FECHA]])</f>
        <v>2018-5</v>
      </c>
    </row>
    <row r="3737" spans="1:4" x14ac:dyDescent="0.25">
      <c r="A3737" t="s">
        <v>1414</v>
      </c>
      <c r="B3737">
        <v>2</v>
      </c>
      <c r="C3737" s="54">
        <v>43070</v>
      </c>
      <c r="D3737" s="3" t="str">
        <f>YEAR(Datos_Consumo[[#This Row],[FECHA]])&amp;"-"&amp;MONTH(Datos_Consumo[[#This Row],[FECHA]])</f>
        <v>2017-12</v>
      </c>
    </row>
    <row r="3738" spans="1:4" x14ac:dyDescent="0.25">
      <c r="A3738" t="s">
        <v>1414</v>
      </c>
      <c r="B3738">
        <v>1</v>
      </c>
      <c r="C3738" s="54">
        <v>43101</v>
      </c>
      <c r="D3738" s="3" t="str">
        <f>YEAR(Datos_Consumo[[#This Row],[FECHA]])&amp;"-"&amp;MONTH(Datos_Consumo[[#This Row],[FECHA]])</f>
        <v>2018-1</v>
      </c>
    </row>
    <row r="3739" spans="1:4" x14ac:dyDescent="0.25">
      <c r="A3739" t="s">
        <v>1414</v>
      </c>
      <c r="B3739">
        <v>2</v>
      </c>
      <c r="C3739" s="54">
        <v>43132</v>
      </c>
      <c r="D3739" s="3" t="str">
        <f>YEAR(Datos_Consumo[[#This Row],[FECHA]])&amp;"-"&amp;MONTH(Datos_Consumo[[#This Row],[FECHA]])</f>
        <v>2018-2</v>
      </c>
    </row>
    <row r="3740" spans="1:4" x14ac:dyDescent="0.25">
      <c r="A3740" t="s">
        <v>1414</v>
      </c>
      <c r="B3740">
        <v>5</v>
      </c>
      <c r="C3740" s="54">
        <v>43160</v>
      </c>
      <c r="D3740" s="3" t="str">
        <f>YEAR(Datos_Consumo[[#This Row],[FECHA]])&amp;"-"&amp;MONTH(Datos_Consumo[[#This Row],[FECHA]])</f>
        <v>2018-3</v>
      </c>
    </row>
    <row r="3741" spans="1:4" x14ac:dyDescent="0.25">
      <c r="A3741" t="s">
        <v>1414</v>
      </c>
      <c r="B3741">
        <v>2</v>
      </c>
      <c r="C3741" s="54">
        <v>43191</v>
      </c>
      <c r="D3741" s="3" t="str">
        <f>YEAR(Datos_Consumo[[#This Row],[FECHA]])&amp;"-"&amp;MONTH(Datos_Consumo[[#This Row],[FECHA]])</f>
        <v>2018-4</v>
      </c>
    </row>
    <row r="3742" spans="1:4" x14ac:dyDescent="0.25">
      <c r="A3742" t="s">
        <v>1415</v>
      </c>
      <c r="B3742">
        <v>2</v>
      </c>
      <c r="C3742" s="54">
        <v>43101</v>
      </c>
      <c r="D3742" s="3" t="str">
        <f>YEAR(Datos_Consumo[[#This Row],[FECHA]])&amp;"-"&amp;MONTH(Datos_Consumo[[#This Row],[FECHA]])</f>
        <v>2018-1</v>
      </c>
    </row>
    <row r="3743" spans="1:4" x14ac:dyDescent="0.25">
      <c r="A3743" t="s">
        <v>1415</v>
      </c>
      <c r="B3743">
        <v>3</v>
      </c>
      <c r="C3743" s="54">
        <v>43132</v>
      </c>
      <c r="D3743" s="3" t="str">
        <f>YEAR(Datos_Consumo[[#This Row],[FECHA]])&amp;"-"&amp;MONTH(Datos_Consumo[[#This Row],[FECHA]])</f>
        <v>2018-2</v>
      </c>
    </row>
    <row r="3744" spans="1:4" x14ac:dyDescent="0.25">
      <c r="A3744" t="s">
        <v>2688</v>
      </c>
      <c r="B3744">
        <v>2</v>
      </c>
      <c r="C3744" s="54">
        <v>43101</v>
      </c>
      <c r="D3744" s="3" t="str">
        <f>YEAR(Datos_Consumo[[#This Row],[FECHA]])&amp;"-"&amp;MONTH(Datos_Consumo[[#This Row],[FECHA]])</f>
        <v>2018-1</v>
      </c>
    </row>
    <row r="3745" spans="1:4" x14ac:dyDescent="0.25">
      <c r="A3745" t="s">
        <v>2688</v>
      </c>
      <c r="B3745">
        <v>2</v>
      </c>
      <c r="C3745" s="54">
        <v>43132</v>
      </c>
      <c r="D3745" s="3" t="str">
        <f>YEAR(Datos_Consumo[[#This Row],[FECHA]])&amp;"-"&amp;MONTH(Datos_Consumo[[#This Row],[FECHA]])</f>
        <v>2018-2</v>
      </c>
    </row>
    <row r="3746" spans="1:4" x14ac:dyDescent="0.25">
      <c r="A3746" t="s">
        <v>1416</v>
      </c>
      <c r="B3746">
        <v>5</v>
      </c>
      <c r="C3746" s="54">
        <v>43070</v>
      </c>
      <c r="D3746" s="3" t="str">
        <f>YEAR(Datos_Consumo[[#This Row],[FECHA]])&amp;"-"&amp;MONTH(Datos_Consumo[[#This Row],[FECHA]])</f>
        <v>2017-12</v>
      </c>
    </row>
    <row r="3747" spans="1:4" x14ac:dyDescent="0.25">
      <c r="A3747" t="s">
        <v>1416</v>
      </c>
      <c r="B3747">
        <v>2</v>
      </c>
      <c r="C3747" s="54">
        <v>43101</v>
      </c>
      <c r="D3747" s="3" t="str">
        <f>YEAR(Datos_Consumo[[#This Row],[FECHA]])&amp;"-"&amp;MONTH(Datos_Consumo[[#This Row],[FECHA]])</f>
        <v>2018-1</v>
      </c>
    </row>
    <row r="3748" spans="1:4" x14ac:dyDescent="0.25">
      <c r="A3748" t="s">
        <v>1416</v>
      </c>
      <c r="B3748">
        <v>3</v>
      </c>
      <c r="C3748" s="54">
        <v>43132</v>
      </c>
      <c r="D3748" s="3" t="str">
        <f>YEAR(Datos_Consumo[[#This Row],[FECHA]])&amp;"-"&amp;MONTH(Datos_Consumo[[#This Row],[FECHA]])</f>
        <v>2018-2</v>
      </c>
    </row>
    <row r="3749" spans="1:4" x14ac:dyDescent="0.25">
      <c r="A3749" t="s">
        <v>1416</v>
      </c>
      <c r="B3749">
        <v>2</v>
      </c>
      <c r="C3749" s="54">
        <v>43160</v>
      </c>
      <c r="D3749" s="3" t="str">
        <f>YEAR(Datos_Consumo[[#This Row],[FECHA]])&amp;"-"&amp;MONTH(Datos_Consumo[[#This Row],[FECHA]])</f>
        <v>2018-3</v>
      </c>
    </row>
    <row r="3750" spans="1:4" x14ac:dyDescent="0.25">
      <c r="A3750" t="s">
        <v>1416</v>
      </c>
      <c r="B3750">
        <v>1</v>
      </c>
      <c r="C3750" s="54">
        <v>43221</v>
      </c>
      <c r="D3750" s="3" t="str">
        <f>YEAR(Datos_Consumo[[#This Row],[FECHA]])&amp;"-"&amp;MONTH(Datos_Consumo[[#This Row],[FECHA]])</f>
        <v>2018-5</v>
      </c>
    </row>
    <row r="3751" spans="1:4" x14ac:dyDescent="0.25">
      <c r="A3751" t="s">
        <v>1417</v>
      </c>
      <c r="B3751">
        <v>2</v>
      </c>
      <c r="C3751" s="54">
        <v>43070</v>
      </c>
      <c r="D3751" s="3" t="str">
        <f>YEAR(Datos_Consumo[[#This Row],[FECHA]])&amp;"-"&amp;MONTH(Datos_Consumo[[#This Row],[FECHA]])</f>
        <v>2017-12</v>
      </c>
    </row>
    <row r="3752" spans="1:4" x14ac:dyDescent="0.25">
      <c r="A3752" t="s">
        <v>1417</v>
      </c>
      <c r="B3752">
        <v>12</v>
      </c>
      <c r="C3752" s="54">
        <v>43132</v>
      </c>
      <c r="D3752" s="3" t="str">
        <f>YEAR(Datos_Consumo[[#This Row],[FECHA]])&amp;"-"&amp;MONTH(Datos_Consumo[[#This Row],[FECHA]])</f>
        <v>2018-2</v>
      </c>
    </row>
    <row r="3753" spans="1:4" x14ac:dyDescent="0.25">
      <c r="A3753" t="s">
        <v>1417</v>
      </c>
      <c r="B3753">
        <v>5</v>
      </c>
      <c r="C3753" s="54">
        <v>43160</v>
      </c>
      <c r="D3753" s="3" t="str">
        <f>YEAR(Datos_Consumo[[#This Row],[FECHA]])&amp;"-"&amp;MONTH(Datos_Consumo[[#This Row],[FECHA]])</f>
        <v>2018-3</v>
      </c>
    </row>
    <row r="3754" spans="1:4" x14ac:dyDescent="0.25">
      <c r="A3754" t="s">
        <v>1418</v>
      </c>
      <c r="B3754">
        <v>6</v>
      </c>
      <c r="C3754" s="54">
        <v>43070</v>
      </c>
      <c r="D3754" s="3" t="str">
        <f>YEAR(Datos_Consumo[[#This Row],[FECHA]])&amp;"-"&amp;MONTH(Datos_Consumo[[#This Row],[FECHA]])</f>
        <v>2017-12</v>
      </c>
    </row>
    <row r="3755" spans="1:4" x14ac:dyDescent="0.25">
      <c r="A3755" t="s">
        <v>1418</v>
      </c>
      <c r="B3755">
        <v>73</v>
      </c>
      <c r="C3755" s="54">
        <v>43101</v>
      </c>
      <c r="D3755" s="3" t="str">
        <f>YEAR(Datos_Consumo[[#This Row],[FECHA]])&amp;"-"&amp;MONTH(Datos_Consumo[[#This Row],[FECHA]])</f>
        <v>2018-1</v>
      </c>
    </row>
    <row r="3756" spans="1:4" x14ac:dyDescent="0.25">
      <c r="A3756" t="s">
        <v>1418</v>
      </c>
      <c r="B3756">
        <v>15</v>
      </c>
      <c r="C3756" s="54">
        <v>43132</v>
      </c>
      <c r="D3756" s="3" t="str">
        <f>YEAR(Datos_Consumo[[#This Row],[FECHA]])&amp;"-"&amp;MONTH(Datos_Consumo[[#This Row],[FECHA]])</f>
        <v>2018-2</v>
      </c>
    </row>
    <row r="3757" spans="1:4" x14ac:dyDescent="0.25">
      <c r="A3757" t="s">
        <v>1418</v>
      </c>
      <c r="B3757">
        <v>17</v>
      </c>
      <c r="C3757" s="54">
        <v>43191</v>
      </c>
      <c r="D3757" s="3" t="str">
        <f>YEAR(Datos_Consumo[[#This Row],[FECHA]])&amp;"-"&amp;MONTH(Datos_Consumo[[#This Row],[FECHA]])</f>
        <v>2018-4</v>
      </c>
    </row>
    <row r="3758" spans="1:4" x14ac:dyDescent="0.25">
      <c r="A3758" t="s">
        <v>1418</v>
      </c>
      <c r="B3758">
        <v>6</v>
      </c>
      <c r="C3758" s="54">
        <v>43221</v>
      </c>
      <c r="D3758" s="3" t="str">
        <f>YEAR(Datos_Consumo[[#This Row],[FECHA]])&amp;"-"&amp;MONTH(Datos_Consumo[[#This Row],[FECHA]])</f>
        <v>2018-5</v>
      </c>
    </row>
    <row r="3759" spans="1:4" x14ac:dyDescent="0.25">
      <c r="A3759" t="s">
        <v>2689</v>
      </c>
      <c r="B3759">
        <v>23</v>
      </c>
      <c r="C3759" s="54">
        <v>43070</v>
      </c>
      <c r="D3759" s="3" t="str">
        <f>YEAR(Datos_Consumo[[#This Row],[FECHA]])&amp;"-"&amp;MONTH(Datos_Consumo[[#This Row],[FECHA]])</f>
        <v>2017-12</v>
      </c>
    </row>
    <row r="3760" spans="1:4" x14ac:dyDescent="0.25">
      <c r="A3760" t="s">
        <v>2689</v>
      </c>
      <c r="B3760">
        <v>66</v>
      </c>
      <c r="C3760" s="54">
        <v>43101</v>
      </c>
      <c r="D3760" s="3" t="str">
        <f>YEAR(Datos_Consumo[[#This Row],[FECHA]])&amp;"-"&amp;MONTH(Datos_Consumo[[#This Row],[FECHA]])</f>
        <v>2018-1</v>
      </c>
    </row>
    <row r="3761" spans="1:4" x14ac:dyDescent="0.25">
      <c r="A3761" t="s">
        <v>2689</v>
      </c>
      <c r="B3761">
        <v>32</v>
      </c>
      <c r="C3761" s="54">
        <v>43132</v>
      </c>
      <c r="D3761" s="3" t="str">
        <f>YEAR(Datos_Consumo[[#This Row],[FECHA]])&amp;"-"&amp;MONTH(Datos_Consumo[[#This Row],[FECHA]])</f>
        <v>2018-2</v>
      </c>
    </row>
    <row r="3762" spans="1:4" x14ac:dyDescent="0.25">
      <c r="A3762" t="s">
        <v>2689</v>
      </c>
      <c r="B3762">
        <v>47</v>
      </c>
      <c r="C3762" s="54">
        <v>43160</v>
      </c>
      <c r="D3762" s="3" t="str">
        <f>YEAR(Datos_Consumo[[#This Row],[FECHA]])&amp;"-"&amp;MONTH(Datos_Consumo[[#This Row],[FECHA]])</f>
        <v>2018-3</v>
      </c>
    </row>
    <row r="3763" spans="1:4" x14ac:dyDescent="0.25">
      <c r="A3763" t="s">
        <v>2689</v>
      </c>
      <c r="B3763">
        <v>66</v>
      </c>
      <c r="C3763" s="54">
        <v>43191</v>
      </c>
      <c r="D3763" s="3" t="str">
        <f>YEAR(Datos_Consumo[[#This Row],[FECHA]])&amp;"-"&amp;MONTH(Datos_Consumo[[#This Row],[FECHA]])</f>
        <v>2018-4</v>
      </c>
    </row>
    <row r="3764" spans="1:4" x14ac:dyDescent="0.25">
      <c r="A3764" t="s">
        <v>2689</v>
      </c>
      <c r="B3764">
        <v>27</v>
      </c>
      <c r="C3764" s="54">
        <v>43221</v>
      </c>
      <c r="D3764" s="3" t="str">
        <f>YEAR(Datos_Consumo[[#This Row],[FECHA]])&amp;"-"&amp;MONTH(Datos_Consumo[[#This Row],[FECHA]])</f>
        <v>2018-5</v>
      </c>
    </row>
    <row r="3765" spans="1:4" x14ac:dyDescent="0.25">
      <c r="A3765" t="s">
        <v>2690</v>
      </c>
      <c r="B3765">
        <v>20</v>
      </c>
      <c r="C3765" s="54">
        <v>43101</v>
      </c>
      <c r="D3765" s="3" t="str">
        <f>YEAR(Datos_Consumo[[#This Row],[FECHA]])&amp;"-"&amp;MONTH(Datos_Consumo[[#This Row],[FECHA]])</f>
        <v>2018-1</v>
      </c>
    </row>
    <row r="3766" spans="1:4" x14ac:dyDescent="0.25">
      <c r="A3766" t="s">
        <v>2690</v>
      </c>
      <c r="B3766">
        <v>20</v>
      </c>
      <c r="C3766" s="54">
        <v>43160</v>
      </c>
      <c r="D3766" s="3" t="str">
        <f>YEAR(Datos_Consumo[[#This Row],[FECHA]])&amp;"-"&amp;MONTH(Datos_Consumo[[#This Row],[FECHA]])</f>
        <v>2018-3</v>
      </c>
    </row>
    <row r="3767" spans="1:4" x14ac:dyDescent="0.25">
      <c r="A3767" t="s">
        <v>1419</v>
      </c>
      <c r="B3767">
        <v>2</v>
      </c>
      <c r="C3767" s="54">
        <v>43101</v>
      </c>
      <c r="D3767" s="3" t="str">
        <f>YEAR(Datos_Consumo[[#This Row],[FECHA]])&amp;"-"&amp;MONTH(Datos_Consumo[[#This Row],[FECHA]])</f>
        <v>2018-1</v>
      </c>
    </row>
    <row r="3768" spans="1:4" x14ac:dyDescent="0.25">
      <c r="A3768" t="s">
        <v>1419</v>
      </c>
      <c r="B3768">
        <v>8</v>
      </c>
      <c r="C3768" s="54">
        <v>43132</v>
      </c>
      <c r="D3768" s="3" t="str">
        <f>YEAR(Datos_Consumo[[#This Row],[FECHA]])&amp;"-"&amp;MONTH(Datos_Consumo[[#This Row],[FECHA]])</f>
        <v>2018-2</v>
      </c>
    </row>
    <row r="3769" spans="1:4" x14ac:dyDescent="0.25">
      <c r="A3769" t="s">
        <v>1419</v>
      </c>
      <c r="B3769">
        <v>6</v>
      </c>
      <c r="C3769" s="54">
        <v>43191</v>
      </c>
      <c r="D3769" s="3" t="str">
        <f>YEAR(Datos_Consumo[[#This Row],[FECHA]])&amp;"-"&amp;MONTH(Datos_Consumo[[#This Row],[FECHA]])</f>
        <v>2018-4</v>
      </c>
    </row>
    <row r="3770" spans="1:4" x14ac:dyDescent="0.25">
      <c r="A3770" t="s">
        <v>1420</v>
      </c>
      <c r="B3770">
        <v>2</v>
      </c>
      <c r="C3770" s="54">
        <v>43070</v>
      </c>
      <c r="D3770" s="3" t="str">
        <f>YEAR(Datos_Consumo[[#This Row],[FECHA]])&amp;"-"&amp;MONTH(Datos_Consumo[[#This Row],[FECHA]])</f>
        <v>2017-12</v>
      </c>
    </row>
    <row r="3771" spans="1:4" x14ac:dyDescent="0.25">
      <c r="A3771" t="s">
        <v>1420</v>
      </c>
      <c r="B3771">
        <v>2</v>
      </c>
      <c r="C3771" s="54">
        <v>43101</v>
      </c>
      <c r="D3771" s="3" t="str">
        <f>YEAR(Datos_Consumo[[#This Row],[FECHA]])&amp;"-"&amp;MONTH(Datos_Consumo[[#This Row],[FECHA]])</f>
        <v>2018-1</v>
      </c>
    </row>
    <row r="3772" spans="1:4" x14ac:dyDescent="0.25">
      <c r="A3772" t="s">
        <v>1420</v>
      </c>
      <c r="B3772">
        <v>1</v>
      </c>
      <c r="C3772" s="54">
        <v>43132</v>
      </c>
      <c r="D3772" s="3" t="str">
        <f>YEAR(Datos_Consumo[[#This Row],[FECHA]])&amp;"-"&amp;MONTH(Datos_Consumo[[#This Row],[FECHA]])</f>
        <v>2018-2</v>
      </c>
    </row>
    <row r="3773" spans="1:4" x14ac:dyDescent="0.25">
      <c r="A3773" t="s">
        <v>2691</v>
      </c>
      <c r="B3773">
        <v>2</v>
      </c>
      <c r="C3773" s="54">
        <v>43070</v>
      </c>
      <c r="D3773" s="3" t="str">
        <f>YEAR(Datos_Consumo[[#This Row],[FECHA]])&amp;"-"&amp;MONTH(Datos_Consumo[[#This Row],[FECHA]])</f>
        <v>2017-12</v>
      </c>
    </row>
    <row r="3774" spans="1:4" x14ac:dyDescent="0.25">
      <c r="A3774" t="s">
        <v>2691</v>
      </c>
      <c r="B3774">
        <v>1</v>
      </c>
      <c r="C3774" s="54">
        <v>43101</v>
      </c>
      <c r="D3774" s="3" t="str">
        <f>YEAR(Datos_Consumo[[#This Row],[FECHA]])&amp;"-"&amp;MONTH(Datos_Consumo[[#This Row],[FECHA]])</f>
        <v>2018-1</v>
      </c>
    </row>
    <row r="3775" spans="1:4" x14ac:dyDescent="0.25">
      <c r="A3775" t="s">
        <v>2691</v>
      </c>
      <c r="B3775">
        <v>1</v>
      </c>
      <c r="C3775" s="54">
        <v>43132</v>
      </c>
      <c r="D3775" s="3" t="str">
        <f>YEAR(Datos_Consumo[[#This Row],[FECHA]])&amp;"-"&amp;MONTH(Datos_Consumo[[#This Row],[FECHA]])</f>
        <v>2018-2</v>
      </c>
    </row>
    <row r="3776" spans="1:4" x14ac:dyDescent="0.25">
      <c r="A3776" t="s">
        <v>2691</v>
      </c>
      <c r="B3776">
        <v>2</v>
      </c>
      <c r="C3776" s="54">
        <v>43160</v>
      </c>
      <c r="D3776" s="3" t="str">
        <f>YEAR(Datos_Consumo[[#This Row],[FECHA]])&amp;"-"&amp;MONTH(Datos_Consumo[[#This Row],[FECHA]])</f>
        <v>2018-3</v>
      </c>
    </row>
    <row r="3777" spans="1:4" x14ac:dyDescent="0.25">
      <c r="A3777" t="s">
        <v>2691</v>
      </c>
      <c r="B3777">
        <v>5</v>
      </c>
      <c r="C3777" s="54">
        <v>43191</v>
      </c>
      <c r="D3777" s="3" t="str">
        <f>YEAR(Datos_Consumo[[#This Row],[FECHA]])&amp;"-"&amp;MONTH(Datos_Consumo[[#This Row],[FECHA]])</f>
        <v>2018-4</v>
      </c>
    </row>
    <row r="3778" spans="1:4" x14ac:dyDescent="0.25">
      <c r="A3778" t="s">
        <v>2691</v>
      </c>
      <c r="B3778">
        <v>5</v>
      </c>
      <c r="C3778" s="54">
        <v>43221</v>
      </c>
      <c r="D3778" s="3" t="str">
        <f>YEAR(Datos_Consumo[[#This Row],[FECHA]])&amp;"-"&amp;MONTH(Datos_Consumo[[#This Row],[FECHA]])</f>
        <v>2018-5</v>
      </c>
    </row>
    <row r="3779" spans="1:4" x14ac:dyDescent="0.25">
      <c r="A3779" t="s">
        <v>2692</v>
      </c>
      <c r="B3779">
        <v>10</v>
      </c>
      <c r="C3779" s="54">
        <v>43101</v>
      </c>
      <c r="D3779" s="3" t="str">
        <f>YEAR(Datos_Consumo[[#This Row],[FECHA]])&amp;"-"&amp;MONTH(Datos_Consumo[[#This Row],[FECHA]])</f>
        <v>2018-1</v>
      </c>
    </row>
    <row r="3780" spans="1:4" x14ac:dyDescent="0.25">
      <c r="A3780" t="s">
        <v>2693</v>
      </c>
      <c r="B3780">
        <v>17</v>
      </c>
      <c r="C3780" s="54">
        <v>43070</v>
      </c>
      <c r="D3780" s="3" t="str">
        <f>YEAR(Datos_Consumo[[#This Row],[FECHA]])&amp;"-"&amp;MONTH(Datos_Consumo[[#This Row],[FECHA]])</f>
        <v>2017-12</v>
      </c>
    </row>
    <row r="3781" spans="1:4" x14ac:dyDescent="0.25">
      <c r="A3781" t="s">
        <v>2693</v>
      </c>
      <c r="B3781">
        <v>46</v>
      </c>
      <c r="C3781" s="54">
        <v>43101</v>
      </c>
      <c r="D3781" s="3" t="str">
        <f>YEAR(Datos_Consumo[[#This Row],[FECHA]])&amp;"-"&amp;MONTH(Datos_Consumo[[#This Row],[FECHA]])</f>
        <v>2018-1</v>
      </c>
    </row>
    <row r="3782" spans="1:4" x14ac:dyDescent="0.25">
      <c r="A3782" t="s">
        <v>2693</v>
      </c>
      <c r="B3782">
        <v>33</v>
      </c>
      <c r="C3782" s="54">
        <v>43132</v>
      </c>
      <c r="D3782" s="3" t="str">
        <f>YEAR(Datos_Consumo[[#This Row],[FECHA]])&amp;"-"&amp;MONTH(Datos_Consumo[[#This Row],[FECHA]])</f>
        <v>2018-2</v>
      </c>
    </row>
    <row r="3783" spans="1:4" x14ac:dyDescent="0.25">
      <c r="A3783" t="s">
        <v>2693</v>
      </c>
      <c r="B3783">
        <v>52</v>
      </c>
      <c r="C3783" s="54">
        <v>43160</v>
      </c>
      <c r="D3783" s="3" t="str">
        <f>YEAR(Datos_Consumo[[#This Row],[FECHA]])&amp;"-"&amp;MONTH(Datos_Consumo[[#This Row],[FECHA]])</f>
        <v>2018-3</v>
      </c>
    </row>
    <row r="3784" spans="1:4" x14ac:dyDescent="0.25">
      <c r="A3784" t="s">
        <v>2693</v>
      </c>
      <c r="B3784">
        <v>25</v>
      </c>
      <c r="C3784" s="54">
        <v>43191</v>
      </c>
      <c r="D3784" s="3" t="str">
        <f>YEAR(Datos_Consumo[[#This Row],[FECHA]])&amp;"-"&amp;MONTH(Datos_Consumo[[#This Row],[FECHA]])</f>
        <v>2018-4</v>
      </c>
    </row>
    <row r="3785" spans="1:4" x14ac:dyDescent="0.25">
      <c r="A3785" t="s">
        <v>2693</v>
      </c>
      <c r="B3785">
        <v>22</v>
      </c>
      <c r="C3785" s="54">
        <v>43221</v>
      </c>
      <c r="D3785" s="3" t="str">
        <f>YEAR(Datos_Consumo[[#This Row],[FECHA]])&amp;"-"&amp;MONTH(Datos_Consumo[[#This Row],[FECHA]])</f>
        <v>2018-5</v>
      </c>
    </row>
    <row r="3786" spans="1:4" x14ac:dyDescent="0.25">
      <c r="A3786" t="s">
        <v>2694</v>
      </c>
      <c r="B3786">
        <v>1</v>
      </c>
      <c r="C3786" s="54">
        <v>43132</v>
      </c>
      <c r="D3786" s="3" t="str">
        <f>YEAR(Datos_Consumo[[#This Row],[FECHA]])&amp;"-"&amp;MONTH(Datos_Consumo[[#This Row],[FECHA]])</f>
        <v>2018-2</v>
      </c>
    </row>
    <row r="3787" spans="1:4" x14ac:dyDescent="0.25">
      <c r="A3787" t="s">
        <v>2695</v>
      </c>
      <c r="B3787">
        <v>1</v>
      </c>
      <c r="C3787" s="54">
        <v>43101</v>
      </c>
      <c r="D3787" s="3" t="str">
        <f>YEAR(Datos_Consumo[[#This Row],[FECHA]])&amp;"-"&amp;MONTH(Datos_Consumo[[#This Row],[FECHA]])</f>
        <v>2018-1</v>
      </c>
    </row>
    <row r="3788" spans="1:4" x14ac:dyDescent="0.25">
      <c r="A3788" t="s">
        <v>2696</v>
      </c>
      <c r="B3788">
        <v>4</v>
      </c>
      <c r="C3788" s="54">
        <v>43101</v>
      </c>
      <c r="D3788" s="3" t="str">
        <f>YEAR(Datos_Consumo[[#This Row],[FECHA]])&amp;"-"&amp;MONTH(Datos_Consumo[[#This Row],[FECHA]])</f>
        <v>2018-1</v>
      </c>
    </row>
    <row r="3789" spans="1:4" x14ac:dyDescent="0.25">
      <c r="A3789" t="s">
        <v>2696</v>
      </c>
      <c r="B3789">
        <v>1</v>
      </c>
      <c r="C3789" s="54">
        <v>43191</v>
      </c>
      <c r="D3789" s="3" t="str">
        <f>YEAR(Datos_Consumo[[#This Row],[FECHA]])&amp;"-"&amp;MONTH(Datos_Consumo[[#This Row],[FECHA]])</f>
        <v>2018-4</v>
      </c>
    </row>
    <row r="3790" spans="1:4" x14ac:dyDescent="0.25">
      <c r="A3790" t="s">
        <v>2697</v>
      </c>
      <c r="B3790">
        <v>23</v>
      </c>
      <c r="C3790" s="54">
        <v>43070</v>
      </c>
      <c r="D3790" s="3" t="str">
        <f>YEAR(Datos_Consumo[[#This Row],[FECHA]])&amp;"-"&amp;MONTH(Datos_Consumo[[#This Row],[FECHA]])</f>
        <v>2017-12</v>
      </c>
    </row>
    <row r="3791" spans="1:4" x14ac:dyDescent="0.25">
      <c r="A3791" t="s">
        <v>2697</v>
      </c>
      <c r="B3791">
        <v>42</v>
      </c>
      <c r="C3791" s="54">
        <v>43101</v>
      </c>
      <c r="D3791" s="3" t="str">
        <f>YEAR(Datos_Consumo[[#This Row],[FECHA]])&amp;"-"&amp;MONTH(Datos_Consumo[[#This Row],[FECHA]])</f>
        <v>2018-1</v>
      </c>
    </row>
    <row r="3792" spans="1:4" x14ac:dyDescent="0.25">
      <c r="A3792" t="s">
        <v>2697</v>
      </c>
      <c r="B3792">
        <v>28</v>
      </c>
      <c r="C3792" s="54">
        <v>43132</v>
      </c>
      <c r="D3792" s="3" t="str">
        <f>YEAR(Datos_Consumo[[#This Row],[FECHA]])&amp;"-"&amp;MONTH(Datos_Consumo[[#This Row],[FECHA]])</f>
        <v>2018-2</v>
      </c>
    </row>
    <row r="3793" spans="1:4" x14ac:dyDescent="0.25">
      <c r="A3793" t="s">
        <v>2697</v>
      </c>
      <c r="B3793">
        <v>38</v>
      </c>
      <c r="C3793" s="54">
        <v>43160</v>
      </c>
      <c r="D3793" s="3" t="str">
        <f>YEAR(Datos_Consumo[[#This Row],[FECHA]])&amp;"-"&amp;MONTH(Datos_Consumo[[#This Row],[FECHA]])</f>
        <v>2018-3</v>
      </c>
    </row>
    <row r="3794" spans="1:4" x14ac:dyDescent="0.25">
      <c r="A3794" t="s">
        <v>2697</v>
      </c>
      <c r="B3794">
        <v>78</v>
      </c>
      <c r="C3794" s="54">
        <v>43191</v>
      </c>
      <c r="D3794" s="3" t="str">
        <f>YEAR(Datos_Consumo[[#This Row],[FECHA]])&amp;"-"&amp;MONTH(Datos_Consumo[[#This Row],[FECHA]])</f>
        <v>2018-4</v>
      </c>
    </row>
    <row r="3795" spans="1:4" x14ac:dyDescent="0.25">
      <c r="A3795" t="s">
        <v>2697</v>
      </c>
      <c r="B3795">
        <v>8</v>
      </c>
      <c r="C3795" s="54">
        <v>43221</v>
      </c>
      <c r="D3795" s="3" t="str">
        <f>YEAR(Datos_Consumo[[#This Row],[FECHA]])&amp;"-"&amp;MONTH(Datos_Consumo[[#This Row],[FECHA]])</f>
        <v>2018-5</v>
      </c>
    </row>
    <row r="3796" spans="1:4" x14ac:dyDescent="0.25">
      <c r="A3796" t="s">
        <v>2698</v>
      </c>
      <c r="B3796">
        <v>8</v>
      </c>
      <c r="C3796" s="54">
        <v>43070</v>
      </c>
      <c r="D3796" s="3" t="str">
        <f>YEAR(Datos_Consumo[[#This Row],[FECHA]])&amp;"-"&amp;MONTH(Datos_Consumo[[#This Row],[FECHA]])</f>
        <v>2017-12</v>
      </c>
    </row>
    <row r="3797" spans="1:4" x14ac:dyDescent="0.25">
      <c r="A3797" t="s">
        <v>2698</v>
      </c>
      <c r="B3797">
        <v>20</v>
      </c>
      <c r="C3797" s="54">
        <v>43101</v>
      </c>
      <c r="D3797" s="3" t="str">
        <f>YEAR(Datos_Consumo[[#This Row],[FECHA]])&amp;"-"&amp;MONTH(Datos_Consumo[[#This Row],[FECHA]])</f>
        <v>2018-1</v>
      </c>
    </row>
    <row r="3798" spans="1:4" x14ac:dyDescent="0.25">
      <c r="A3798" t="s">
        <v>2698</v>
      </c>
      <c r="B3798">
        <v>15</v>
      </c>
      <c r="C3798" s="54">
        <v>43132</v>
      </c>
      <c r="D3798" s="3" t="str">
        <f>YEAR(Datos_Consumo[[#This Row],[FECHA]])&amp;"-"&amp;MONTH(Datos_Consumo[[#This Row],[FECHA]])</f>
        <v>2018-2</v>
      </c>
    </row>
    <row r="3799" spans="1:4" x14ac:dyDescent="0.25">
      <c r="A3799" t="s">
        <v>2698</v>
      </c>
      <c r="B3799">
        <v>20</v>
      </c>
      <c r="C3799" s="54">
        <v>43160</v>
      </c>
      <c r="D3799" s="3" t="str">
        <f>YEAR(Datos_Consumo[[#This Row],[FECHA]])&amp;"-"&amp;MONTH(Datos_Consumo[[#This Row],[FECHA]])</f>
        <v>2018-3</v>
      </c>
    </row>
    <row r="3800" spans="1:4" x14ac:dyDescent="0.25">
      <c r="A3800" t="s">
        <v>2698</v>
      </c>
      <c r="B3800">
        <v>5</v>
      </c>
      <c r="C3800" s="54">
        <v>43191</v>
      </c>
      <c r="D3800" s="3" t="str">
        <f>YEAR(Datos_Consumo[[#This Row],[FECHA]])&amp;"-"&amp;MONTH(Datos_Consumo[[#This Row],[FECHA]])</f>
        <v>2018-4</v>
      </c>
    </row>
    <row r="3801" spans="1:4" x14ac:dyDescent="0.25">
      <c r="A3801" t="s">
        <v>2699</v>
      </c>
      <c r="B3801">
        <v>2</v>
      </c>
      <c r="C3801" s="54">
        <v>43132</v>
      </c>
      <c r="D3801" s="3" t="str">
        <f>YEAR(Datos_Consumo[[#This Row],[FECHA]])&amp;"-"&amp;MONTH(Datos_Consumo[[#This Row],[FECHA]])</f>
        <v>2018-2</v>
      </c>
    </row>
    <row r="3802" spans="1:4" x14ac:dyDescent="0.25">
      <c r="A3802" t="s">
        <v>2699</v>
      </c>
      <c r="B3802">
        <v>5</v>
      </c>
      <c r="C3802" s="54">
        <v>43191</v>
      </c>
      <c r="D3802" s="3" t="str">
        <f>YEAR(Datos_Consumo[[#This Row],[FECHA]])&amp;"-"&amp;MONTH(Datos_Consumo[[#This Row],[FECHA]])</f>
        <v>2018-4</v>
      </c>
    </row>
    <row r="3803" spans="1:4" x14ac:dyDescent="0.25">
      <c r="A3803" t="s">
        <v>2699</v>
      </c>
      <c r="B3803">
        <v>2</v>
      </c>
      <c r="C3803" s="54">
        <v>43221</v>
      </c>
      <c r="D3803" s="3" t="str">
        <f>YEAR(Datos_Consumo[[#This Row],[FECHA]])&amp;"-"&amp;MONTH(Datos_Consumo[[#This Row],[FECHA]])</f>
        <v>2018-5</v>
      </c>
    </row>
    <row r="3804" spans="1:4" x14ac:dyDescent="0.25">
      <c r="A3804" t="s">
        <v>2700</v>
      </c>
      <c r="B3804">
        <v>4</v>
      </c>
      <c r="C3804" s="54">
        <v>43132</v>
      </c>
      <c r="D3804" s="3" t="str">
        <f>YEAR(Datos_Consumo[[#This Row],[FECHA]])&amp;"-"&amp;MONTH(Datos_Consumo[[#This Row],[FECHA]])</f>
        <v>2018-2</v>
      </c>
    </row>
    <row r="3805" spans="1:4" x14ac:dyDescent="0.25">
      <c r="A3805" t="s">
        <v>2700</v>
      </c>
      <c r="B3805">
        <v>6</v>
      </c>
      <c r="C3805" s="54">
        <v>43191</v>
      </c>
      <c r="D3805" s="3" t="str">
        <f>YEAR(Datos_Consumo[[#This Row],[FECHA]])&amp;"-"&amp;MONTH(Datos_Consumo[[#This Row],[FECHA]])</f>
        <v>2018-4</v>
      </c>
    </row>
    <row r="3806" spans="1:4" x14ac:dyDescent="0.25">
      <c r="A3806" t="s">
        <v>2701</v>
      </c>
      <c r="B3806">
        <v>7</v>
      </c>
      <c r="C3806" s="54">
        <v>43070</v>
      </c>
      <c r="D3806" s="3" t="str">
        <f>YEAR(Datos_Consumo[[#This Row],[FECHA]])&amp;"-"&amp;MONTH(Datos_Consumo[[#This Row],[FECHA]])</f>
        <v>2017-12</v>
      </c>
    </row>
    <row r="3807" spans="1:4" x14ac:dyDescent="0.25">
      <c r="A3807" t="s">
        <v>2701</v>
      </c>
      <c r="B3807">
        <v>11</v>
      </c>
      <c r="C3807" s="54">
        <v>43101</v>
      </c>
      <c r="D3807" s="3" t="str">
        <f>YEAR(Datos_Consumo[[#This Row],[FECHA]])&amp;"-"&amp;MONTH(Datos_Consumo[[#This Row],[FECHA]])</f>
        <v>2018-1</v>
      </c>
    </row>
    <row r="3808" spans="1:4" x14ac:dyDescent="0.25">
      <c r="A3808" t="s">
        <v>2701</v>
      </c>
      <c r="B3808">
        <v>8</v>
      </c>
      <c r="C3808" s="54">
        <v>43132</v>
      </c>
      <c r="D3808" s="3" t="str">
        <f>YEAR(Datos_Consumo[[#This Row],[FECHA]])&amp;"-"&amp;MONTH(Datos_Consumo[[#This Row],[FECHA]])</f>
        <v>2018-2</v>
      </c>
    </row>
    <row r="3809" spans="1:4" x14ac:dyDescent="0.25">
      <c r="A3809" t="s">
        <v>2701</v>
      </c>
      <c r="B3809">
        <v>8</v>
      </c>
      <c r="C3809" s="54">
        <v>43160</v>
      </c>
      <c r="D3809" s="3" t="str">
        <f>YEAR(Datos_Consumo[[#This Row],[FECHA]])&amp;"-"&amp;MONTH(Datos_Consumo[[#This Row],[FECHA]])</f>
        <v>2018-3</v>
      </c>
    </row>
    <row r="3810" spans="1:4" x14ac:dyDescent="0.25">
      <c r="A3810" t="s">
        <v>2701</v>
      </c>
      <c r="B3810">
        <v>17</v>
      </c>
      <c r="C3810" s="54">
        <v>43191</v>
      </c>
      <c r="D3810" s="3" t="str">
        <f>YEAR(Datos_Consumo[[#This Row],[FECHA]])&amp;"-"&amp;MONTH(Datos_Consumo[[#This Row],[FECHA]])</f>
        <v>2018-4</v>
      </c>
    </row>
    <row r="3811" spans="1:4" x14ac:dyDescent="0.25">
      <c r="A3811" t="s">
        <v>2702</v>
      </c>
      <c r="B3811">
        <v>4</v>
      </c>
      <c r="C3811" s="54">
        <v>43070</v>
      </c>
      <c r="D3811" s="3" t="str">
        <f>YEAR(Datos_Consumo[[#This Row],[FECHA]])&amp;"-"&amp;MONTH(Datos_Consumo[[#This Row],[FECHA]])</f>
        <v>2017-12</v>
      </c>
    </row>
    <row r="3812" spans="1:4" x14ac:dyDescent="0.25">
      <c r="A3812" t="s">
        <v>2702</v>
      </c>
      <c r="B3812">
        <v>2</v>
      </c>
      <c r="C3812" s="54">
        <v>43160</v>
      </c>
      <c r="D3812" s="3" t="str">
        <f>YEAR(Datos_Consumo[[#This Row],[FECHA]])&amp;"-"&amp;MONTH(Datos_Consumo[[#This Row],[FECHA]])</f>
        <v>2018-3</v>
      </c>
    </row>
    <row r="3813" spans="1:4" x14ac:dyDescent="0.25">
      <c r="A3813" t="s">
        <v>2702</v>
      </c>
      <c r="B3813">
        <v>6</v>
      </c>
      <c r="C3813" s="54">
        <v>43191</v>
      </c>
      <c r="D3813" s="3" t="str">
        <f>YEAR(Datos_Consumo[[#This Row],[FECHA]])&amp;"-"&amp;MONTH(Datos_Consumo[[#This Row],[FECHA]])</f>
        <v>2018-4</v>
      </c>
    </row>
    <row r="3814" spans="1:4" x14ac:dyDescent="0.25">
      <c r="A3814" t="s">
        <v>2703</v>
      </c>
      <c r="B3814">
        <v>24</v>
      </c>
      <c r="C3814" s="54">
        <v>43070</v>
      </c>
      <c r="D3814" s="3" t="str">
        <f>YEAR(Datos_Consumo[[#This Row],[FECHA]])&amp;"-"&amp;MONTH(Datos_Consumo[[#This Row],[FECHA]])</f>
        <v>2017-12</v>
      </c>
    </row>
    <row r="3815" spans="1:4" x14ac:dyDescent="0.25">
      <c r="A3815" t="s">
        <v>2703</v>
      </c>
      <c r="B3815">
        <v>16</v>
      </c>
      <c r="C3815" s="54">
        <v>43101</v>
      </c>
      <c r="D3815" s="3" t="str">
        <f>YEAR(Datos_Consumo[[#This Row],[FECHA]])&amp;"-"&amp;MONTH(Datos_Consumo[[#This Row],[FECHA]])</f>
        <v>2018-1</v>
      </c>
    </row>
    <row r="3816" spans="1:4" x14ac:dyDescent="0.25">
      <c r="A3816" t="s">
        <v>2703</v>
      </c>
      <c r="B3816">
        <v>17</v>
      </c>
      <c r="C3816" s="54">
        <v>43160</v>
      </c>
      <c r="D3816" s="3" t="str">
        <f>YEAR(Datos_Consumo[[#This Row],[FECHA]])&amp;"-"&amp;MONTH(Datos_Consumo[[#This Row],[FECHA]])</f>
        <v>2018-3</v>
      </c>
    </row>
    <row r="3817" spans="1:4" x14ac:dyDescent="0.25">
      <c r="A3817" t="s">
        <v>2703</v>
      </c>
      <c r="B3817">
        <v>20</v>
      </c>
      <c r="C3817" s="54">
        <v>43191</v>
      </c>
      <c r="D3817" s="3" t="str">
        <f>YEAR(Datos_Consumo[[#This Row],[FECHA]])&amp;"-"&amp;MONTH(Datos_Consumo[[#This Row],[FECHA]])</f>
        <v>2018-4</v>
      </c>
    </row>
    <row r="3818" spans="1:4" x14ac:dyDescent="0.25">
      <c r="A3818" t="s">
        <v>2704</v>
      </c>
      <c r="B3818">
        <v>40</v>
      </c>
      <c r="C3818" s="54">
        <v>43101</v>
      </c>
      <c r="D3818" s="3" t="str">
        <f>YEAR(Datos_Consumo[[#This Row],[FECHA]])&amp;"-"&amp;MONTH(Datos_Consumo[[#This Row],[FECHA]])</f>
        <v>2018-1</v>
      </c>
    </row>
    <row r="3819" spans="1:4" x14ac:dyDescent="0.25">
      <c r="A3819" t="s">
        <v>2705</v>
      </c>
      <c r="B3819">
        <v>6</v>
      </c>
      <c r="C3819" s="54">
        <v>43070</v>
      </c>
      <c r="D3819" s="3" t="str">
        <f>YEAR(Datos_Consumo[[#This Row],[FECHA]])&amp;"-"&amp;MONTH(Datos_Consumo[[#This Row],[FECHA]])</f>
        <v>2017-12</v>
      </c>
    </row>
    <row r="3820" spans="1:4" x14ac:dyDescent="0.25">
      <c r="A3820" t="s">
        <v>2705</v>
      </c>
      <c r="B3820">
        <v>11</v>
      </c>
      <c r="C3820" s="54">
        <v>43132</v>
      </c>
      <c r="D3820" s="3" t="str">
        <f>YEAR(Datos_Consumo[[#This Row],[FECHA]])&amp;"-"&amp;MONTH(Datos_Consumo[[#This Row],[FECHA]])</f>
        <v>2018-2</v>
      </c>
    </row>
    <row r="3821" spans="1:4" x14ac:dyDescent="0.25">
      <c r="A3821" t="s">
        <v>2705</v>
      </c>
      <c r="B3821">
        <v>6</v>
      </c>
      <c r="C3821" s="54">
        <v>43160</v>
      </c>
      <c r="D3821" s="3" t="str">
        <f>YEAR(Datos_Consumo[[#This Row],[FECHA]])&amp;"-"&amp;MONTH(Datos_Consumo[[#This Row],[FECHA]])</f>
        <v>2018-3</v>
      </c>
    </row>
    <row r="3822" spans="1:4" x14ac:dyDescent="0.25">
      <c r="A3822" t="s">
        <v>2705</v>
      </c>
      <c r="B3822">
        <v>16</v>
      </c>
      <c r="C3822" s="54">
        <v>43191</v>
      </c>
      <c r="D3822" s="3" t="str">
        <f>YEAR(Datos_Consumo[[#This Row],[FECHA]])&amp;"-"&amp;MONTH(Datos_Consumo[[#This Row],[FECHA]])</f>
        <v>2018-4</v>
      </c>
    </row>
    <row r="3823" spans="1:4" x14ac:dyDescent="0.25">
      <c r="A3823" t="s">
        <v>2706</v>
      </c>
      <c r="B3823">
        <v>1</v>
      </c>
      <c r="C3823" s="54">
        <v>43101</v>
      </c>
      <c r="D3823" s="3" t="str">
        <f>YEAR(Datos_Consumo[[#This Row],[FECHA]])&amp;"-"&amp;MONTH(Datos_Consumo[[#This Row],[FECHA]])</f>
        <v>2018-1</v>
      </c>
    </row>
    <row r="3824" spans="1:4" x14ac:dyDescent="0.25">
      <c r="A3824" t="s">
        <v>2706</v>
      </c>
      <c r="B3824">
        <v>12</v>
      </c>
      <c r="C3824" s="54">
        <v>43191</v>
      </c>
      <c r="D3824" s="3" t="str">
        <f>YEAR(Datos_Consumo[[#This Row],[FECHA]])&amp;"-"&amp;MONTH(Datos_Consumo[[#This Row],[FECHA]])</f>
        <v>2018-4</v>
      </c>
    </row>
    <row r="3825" spans="1:4" x14ac:dyDescent="0.25">
      <c r="A3825" t="s">
        <v>2707</v>
      </c>
      <c r="B3825">
        <v>20</v>
      </c>
      <c r="C3825" s="54">
        <v>43101</v>
      </c>
      <c r="D3825" s="3" t="str">
        <f>YEAR(Datos_Consumo[[#This Row],[FECHA]])&amp;"-"&amp;MONTH(Datos_Consumo[[#This Row],[FECHA]])</f>
        <v>2018-1</v>
      </c>
    </row>
    <row r="3826" spans="1:4" x14ac:dyDescent="0.25">
      <c r="A3826" t="s">
        <v>2707</v>
      </c>
      <c r="B3826">
        <v>1</v>
      </c>
      <c r="C3826" s="54">
        <v>43160</v>
      </c>
      <c r="D3826" s="3" t="str">
        <f>YEAR(Datos_Consumo[[#This Row],[FECHA]])&amp;"-"&amp;MONTH(Datos_Consumo[[#This Row],[FECHA]])</f>
        <v>2018-3</v>
      </c>
    </row>
    <row r="3827" spans="1:4" x14ac:dyDescent="0.25">
      <c r="A3827" t="s">
        <v>2708</v>
      </c>
      <c r="B3827">
        <v>14</v>
      </c>
      <c r="C3827" s="54">
        <v>43070</v>
      </c>
      <c r="D3827" s="3" t="str">
        <f>YEAR(Datos_Consumo[[#This Row],[FECHA]])&amp;"-"&amp;MONTH(Datos_Consumo[[#This Row],[FECHA]])</f>
        <v>2017-12</v>
      </c>
    </row>
    <row r="3828" spans="1:4" x14ac:dyDescent="0.25">
      <c r="A3828" t="s">
        <v>2708</v>
      </c>
      <c r="B3828">
        <v>6</v>
      </c>
      <c r="C3828" s="54">
        <v>43101</v>
      </c>
      <c r="D3828" s="3" t="str">
        <f>YEAR(Datos_Consumo[[#This Row],[FECHA]])&amp;"-"&amp;MONTH(Datos_Consumo[[#This Row],[FECHA]])</f>
        <v>2018-1</v>
      </c>
    </row>
    <row r="3829" spans="1:4" x14ac:dyDescent="0.25">
      <c r="A3829" t="s">
        <v>2709</v>
      </c>
      <c r="B3829">
        <v>1</v>
      </c>
      <c r="C3829" s="54">
        <v>43070</v>
      </c>
      <c r="D3829" s="3" t="str">
        <f>YEAR(Datos_Consumo[[#This Row],[FECHA]])&amp;"-"&amp;MONTH(Datos_Consumo[[#This Row],[FECHA]])</f>
        <v>2017-12</v>
      </c>
    </row>
    <row r="3830" spans="1:4" x14ac:dyDescent="0.25">
      <c r="A3830" t="s">
        <v>2709</v>
      </c>
      <c r="B3830">
        <v>1</v>
      </c>
      <c r="C3830" s="54">
        <v>43101</v>
      </c>
      <c r="D3830" s="3" t="str">
        <f>YEAR(Datos_Consumo[[#This Row],[FECHA]])&amp;"-"&amp;MONTH(Datos_Consumo[[#This Row],[FECHA]])</f>
        <v>2018-1</v>
      </c>
    </row>
    <row r="3831" spans="1:4" x14ac:dyDescent="0.25">
      <c r="A3831" t="s">
        <v>2709</v>
      </c>
      <c r="B3831">
        <v>1</v>
      </c>
      <c r="C3831" s="54">
        <v>43132</v>
      </c>
      <c r="D3831" s="3" t="str">
        <f>YEAR(Datos_Consumo[[#This Row],[FECHA]])&amp;"-"&amp;MONTH(Datos_Consumo[[#This Row],[FECHA]])</f>
        <v>2018-2</v>
      </c>
    </row>
    <row r="3832" spans="1:4" x14ac:dyDescent="0.25">
      <c r="A3832" t="s">
        <v>2709</v>
      </c>
      <c r="B3832">
        <v>1</v>
      </c>
      <c r="C3832" s="54">
        <v>43221</v>
      </c>
      <c r="D3832" s="3" t="str">
        <f>YEAR(Datos_Consumo[[#This Row],[FECHA]])&amp;"-"&amp;MONTH(Datos_Consumo[[#This Row],[FECHA]])</f>
        <v>2018-5</v>
      </c>
    </row>
    <row r="3833" spans="1:4" x14ac:dyDescent="0.25">
      <c r="A3833" t="s">
        <v>2710</v>
      </c>
      <c r="B3833">
        <v>29</v>
      </c>
      <c r="C3833" s="54">
        <v>43191</v>
      </c>
      <c r="D3833" s="3" t="str">
        <f>YEAR(Datos_Consumo[[#This Row],[FECHA]])&amp;"-"&amp;MONTH(Datos_Consumo[[#This Row],[FECHA]])</f>
        <v>2018-4</v>
      </c>
    </row>
    <row r="3834" spans="1:4" x14ac:dyDescent="0.25">
      <c r="A3834" t="s">
        <v>2711</v>
      </c>
      <c r="B3834">
        <v>2</v>
      </c>
      <c r="C3834" s="54">
        <v>43101</v>
      </c>
      <c r="D3834" s="3" t="str">
        <f>YEAR(Datos_Consumo[[#This Row],[FECHA]])&amp;"-"&amp;MONTH(Datos_Consumo[[#This Row],[FECHA]])</f>
        <v>2018-1</v>
      </c>
    </row>
    <row r="3835" spans="1:4" x14ac:dyDescent="0.25">
      <c r="A3835" t="s">
        <v>2712</v>
      </c>
      <c r="B3835">
        <v>4</v>
      </c>
      <c r="C3835" s="54">
        <v>43070</v>
      </c>
      <c r="D3835" s="3" t="str">
        <f>YEAR(Datos_Consumo[[#This Row],[FECHA]])&amp;"-"&amp;MONTH(Datos_Consumo[[#This Row],[FECHA]])</f>
        <v>2017-12</v>
      </c>
    </row>
    <row r="3836" spans="1:4" x14ac:dyDescent="0.25">
      <c r="A3836" t="s">
        <v>2713</v>
      </c>
      <c r="B3836">
        <v>2</v>
      </c>
      <c r="C3836" s="54">
        <v>43070</v>
      </c>
      <c r="D3836" s="3" t="str">
        <f>YEAR(Datos_Consumo[[#This Row],[FECHA]])&amp;"-"&amp;MONTH(Datos_Consumo[[#This Row],[FECHA]])</f>
        <v>2017-12</v>
      </c>
    </row>
    <row r="3837" spans="1:4" x14ac:dyDescent="0.25">
      <c r="A3837" t="s">
        <v>2713</v>
      </c>
      <c r="B3837">
        <v>4</v>
      </c>
      <c r="C3837" s="54">
        <v>43101</v>
      </c>
      <c r="D3837" s="3" t="str">
        <f>YEAR(Datos_Consumo[[#This Row],[FECHA]])&amp;"-"&amp;MONTH(Datos_Consumo[[#This Row],[FECHA]])</f>
        <v>2018-1</v>
      </c>
    </row>
    <row r="3838" spans="1:4" x14ac:dyDescent="0.25">
      <c r="A3838" t="s">
        <v>2714</v>
      </c>
      <c r="B3838">
        <v>4</v>
      </c>
      <c r="C3838" s="54">
        <v>43132</v>
      </c>
      <c r="D3838" s="3" t="str">
        <f>YEAR(Datos_Consumo[[#This Row],[FECHA]])&amp;"-"&amp;MONTH(Datos_Consumo[[#This Row],[FECHA]])</f>
        <v>2018-2</v>
      </c>
    </row>
    <row r="3839" spans="1:4" x14ac:dyDescent="0.25">
      <c r="A3839" t="s">
        <v>2714</v>
      </c>
      <c r="B3839">
        <v>5</v>
      </c>
      <c r="C3839" s="54">
        <v>43160</v>
      </c>
      <c r="D3839" s="3" t="str">
        <f>YEAR(Datos_Consumo[[#This Row],[FECHA]])&amp;"-"&amp;MONTH(Datos_Consumo[[#This Row],[FECHA]])</f>
        <v>2018-3</v>
      </c>
    </row>
    <row r="3840" spans="1:4" x14ac:dyDescent="0.25">
      <c r="A3840" t="s">
        <v>2714</v>
      </c>
      <c r="B3840">
        <v>1</v>
      </c>
      <c r="C3840" s="54">
        <v>43191</v>
      </c>
      <c r="D3840" s="3" t="str">
        <f>YEAR(Datos_Consumo[[#This Row],[FECHA]])&amp;"-"&amp;MONTH(Datos_Consumo[[#This Row],[FECHA]])</f>
        <v>2018-4</v>
      </c>
    </row>
    <row r="3841" spans="1:4" x14ac:dyDescent="0.25">
      <c r="A3841" t="s">
        <v>2715</v>
      </c>
      <c r="B3841">
        <v>1</v>
      </c>
      <c r="C3841" s="54">
        <v>43101</v>
      </c>
      <c r="D3841" s="3" t="str">
        <f>YEAR(Datos_Consumo[[#This Row],[FECHA]])&amp;"-"&amp;MONTH(Datos_Consumo[[#This Row],[FECHA]])</f>
        <v>2018-1</v>
      </c>
    </row>
    <row r="3842" spans="1:4" x14ac:dyDescent="0.25">
      <c r="A3842" t="s">
        <v>2716</v>
      </c>
      <c r="B3842">
        <v>9</v>
      </c>
      <c r="C3842" s="54">
        <v>43101</v>
      </c>
      <c r="D3842" s="3" t="str">
        <f>YEAR(Datos_Consumo[[#This Row],[FECHA]])&amp;"-"&amp;MONTH(Datos_Consumo[[#This Row],[FECHA]])</f>
        <v>2018-1</v>
      </c>
    </row>
    <row r="3843" spans="1:4" x14ac:dyDescent="0.25">
      <c r="A3843" t="s">
        <v>2716</v>
      </c>
      <c r="B3843">
        <v>2</v>
      </c>
      <c r="C3843" s="54">
        <v>43160</v>
      </c>
      <c r="D3843" s="3" t="str">
        <f>YEAR(Datos_Consumo[[#This Row],[FECHA]])&amp;"-"&amp;MONTH(Datos_Consumo[[#This Row],[FECHA]])</f>
        <v>2018-3</v>
      </c>
    </row>
    <row r="3844" spans="1:4" x14ac:dyDescent="0.25">
      <c r="A3844" t="s">
        <v>2717</v>
      </c>
      <c r="B3844">
        <v>2</v>
      </c>
      <c r="C3844" s="54">
        <v>43191</v>
      </c>
      <c r="D3844" s="3" t="str">
        <f>YEAR(Datos_Consumo[[#This Row],[FECHA]])&amp;"-"&amp;MONTH(Datos_Consumo[[#This Row],[FECHA]])</f>
        <v>2018-4</v>
      </c>
    </row>
    <row r="3845" spans="1:4" x14ac:dyDescent="0.25">
      <c r="A3845" t="s">
        <v>2718</v>
      </c>
      <c r="B3845">
        <v>1</v>
      </c>
      <c r="C3845" s="54">
        <v>43132</v>
      </c>
      <c r="D3845" s="3" t="str">
        <f>YEAR(Datos_Consumo[[#This Row],[FECHA]])&amp;"-"&amp;MONTH(Datos_Consumo[[#This Row],[FECHA]])</f>
        <v>2018-2</v>
      </c>
    </row>
    <row r="3846" spans="1:4" x14ac:dyDescent="0.25">
      <c r="A3846" t="s">
        <v>2719</v>
      </c>
      <c r="B3846">
        <v>1</v>
      </c>
      <c r="C3846" s="54">
        <v>43191</v>
      </c>
      <c r="D3846" s="3" t="str">
        <f>YEAR(Datos_Consumo[[#This Row],[FECHA]])&amp;"-"&amp;MONTH(Datos_Consumo[[#This Row],[FECHA]])</f>
        <v>2018-4</v>
      </c>
    </row>
    <row r="3847" spans="1:4" x14ac:dyDescent="0.25">
      <c r="A3847" t="s">
        <v>2720</v>
      </c>
      <c r="B3847">
        <v>2</v>
      </c>
      <c r="C3847" s="54">
        <v>43101</v>
      </c>
      <c r="D3847" s="3" t="str">
        <f>YEAR(Datos_Consumo[[#This Row],[FECHA]])&amp;"-"&amp;MONTH(Datos_Consumo[[#This Row],[FECHA]])</f>
        <v>2018-1</v>
      </c>
    </row>
    <row r="3848" spans="1:4" x14ac:dyDescent="0.25">
      <c r="A3848" t="s">
        <v>2720</v>
      </c>
      <c r="B3848">
        <v>15</v>
      </c>
      <c r="C3848" s="54">
        <v>43132</v>
      </c>
      <c r="D3848" s="3" t="str">
        <f>YEAR(Datos_Consumo[[#This Row],[FECHA]])&amp;"-"&amp;MONTH(Datos_Consumo[[#This Row],[FECHA]])</f>
        <v>2018-2</v>
      </c>
    </row>
    <row r="3849" spans="1:4" x14ac:dyDescent="0.25">
      <c r="A3849" t="s">
        <v>4079</v>
      </c>
      <c r="B3849">
        <v>1</v>
      </c>
      <c r="C3849" s="54">
        <v>43191</v>
      </c>
      <c r="D3849" s="3" t="str">
        <f>YEAR(Datos_Consumo[[#This Row],[FECHA]])&amp;"-"&amp;MONTH(Datos_Consumo[[#This Row],[FECHA]])</f>
        <v>2018-4</v>
      </c>
    </row>
    <row r="3850" spans="1:4" x14ac:dyDescent="0.25">
      <c r="A3850" t="s">
        <v>4080</v>
      </c>
      <c r="B3850">
        <v>1</v>
      </c>
      <c r="C3850" s="54">
        <v>43191</v>
      </c>
      <c r="D3850" s="3" t="str">
        <f>YEAR(Datos_Consumo[[#This Row],[FECHA]])&amp;"-"&amp;MONTH(Datos_Consumo[[#This Row],[FECHA]])</f>
        <v>2018-4</v>
      </c>
    </row>
    <row r="3851" spans="1:4" x14ac:dyDescent="0.25">
      <c r="A3851" t="s">
        <v>4081</v>
      </c>
      <c r="B3851">
        <v>1</v>
      </c>
      <c r="C3851" s="54">
        <v>43191</v>
      </c>
      <c r="D3851" s="3" t="str">
        <f>YEAR(Datos_Consumo[[#This Row],[FECHA]])&amp;"-"&amp;MONTH(Datos_Consumo[[#This Row],[FECHA]])</f>
        <v>2018-4</v>
      </c>
    </row>
    <row r="3852" spans="1:4" x14ac:dyDescent="0.25">
      <c r="A3852" t="s">
        <v>2721</v>
      </c>
      <c r="B3852">
        <v>2</v>
      </c>
      <c r="C3852" s="54">
        <v>43070</v>
      </c>
      <c r="D3852" s="3" t="str">
        <f>YEAR(Datos_Consumo[[#This Row],[FECHA]])&amp;"-"&amp;MONTH(Datos_Consumo[[#This Row],[FECHA]])</f>
        <v>2017-12</v>
      </c>
    </row>
    <row r="3853" spans="1:4" x14ac:dyDescent="0.25">
      <c r="A3853" t="s">
        <v>2721</v>
      </c>
      <c r="B3853">
        <v>1</v>
      </c>
      <c r="C3853" s="54">
        <v>43160</v>
      </c>
      <c r="D3853" s="3" t="str">
        <f>YEAR(Datos_Consumo[[#This Row],[FECHA]])&amp;"-"&amp;MONTH(Datos_Consumo[[#This Row],[FECHA]])</f>
        <v>2018-3</v>
      </c>
    </row>
    <row r="3854" spans="1:4" x14ac:dyDescent="0.25">
      <c r="A3854" t="s">
        <v>2722</v>
      </c>
      <c r="B3854">
        <v>2</v>
      </c>
      <c r="C3854" s="54">
        <v>43070</v>
      </c>
      <c r="D3854" s="3" t="str">
        <f>YEAR(Datos_Consumo[[#This Row],[FECHA]])&amp;"-"&amp;MONTH(Datos_Consumo[[#This Row],[FECHA]])</f>
        <v>2017-12</v>
      </c>
    </row>
    <row r="3855" spans="1:4" x14ac:dyDescent="0.25">
      <c r="A3855" t="s">
        <v>2722</v>
      </c>
      <c r="B3855">
        <v>1</v>
      </c>
      <c r="C3855" s="54">
        <v>43160</v>
      </c>
      <c r="D3855" s="3" t="str">
        <f>YEAR(Datos_Consumo[[#This Row],[FECHA]])&amp;"-"&amp;MONTH(Datos_Consumo[[#This Row],[FECHA]])</f>
        <v>2018-3</v>
      </c>
    </row>
    <row r="3856" spans="1:4" x14ac:dyDescent="0.25">
      <c r="A3856" t="s">
        <v>2722</v>
      </c>
      <c r="B3856">
        <v>3</v>
      </c>
      <c r="C3856" s="54">
        <v>43191</v>
      </c>
      <c r="D3856" s="3" t="str">
        <f>YEAR(Datos_Consumo[[#This Row],[FECHA]])&amp;"-"&amp;MONTH(Datos_Consumo[[#This Row],[FECHA]])</f>
        <v>2018-4</v>
      </c>
    </row>
    <row r="3857" spans="1:4" x14ac:dyDescent="0.25">
      <c r="A3857" t="s">
        <v>2723</v>
      </c>
      <c r="B3857">
        <v>4</v>
      </c>
      <c r="C3857" s="54">
        <v>43132</v>
      </c>
      <c r="D3857" s="3" t="str">
        <f>YEAR(Datos_Consumo[[#This Row],[FECHA]])&amp;"-"&amp;MONTH(Datos_Consumo[[#This Row],[FECHA]])</f>
        <v>2018-2</v>
      </c>
    </row>
    <row r="3858" spans="1:4" x14ac:dyDescent="0.25">
      <c r="A3858" t="s">
        <v>2723</v>
      </c>
      <c r="B3858">
        <v>8</v>
      </c>
      <c r="C3858" s="54">
        <v>43160</v>
      </c>
      <c r="D3858" s="3" t="str">
        <f>YEAR(Datos_Consumo[[#This Row],[FECHA]])&amp;"-"&amp;MONTH(Datos_Consumo[[#This Row],[FECHA]])</f>
        <v>2018-3</v>
      </c>
    </row>
    <row r="3859" spans="1:4" x14ac:dyDescent="0.25">
      <c r="A3859" t="s">
        <v>2724</v>
      </c>
      <c r="B3859">
        <v>4</v>
      </c>
      <c r="C3859" s="54">
        <v>43132</v>
      </c>
      <c r="D3859" s="3" t="str">
        <f>YEAR(Datos_Consumo[[#This Row],[FECHA]])&amp;"-"&amp;MONTH(Datos_Consumo[[#This Row],[FECHA]])</f>
        <v>2018-2</v>
      </c>
    </row>
    <row r="3860" spans="1:4" x14ac:dyDescent="0.25">
      <c r="A3860" t="s">
        <v>2725</v>
      </c>
      <c r="B3860">
        <v>1</v>
      </c>
      <c r="C3860" s="54">
        <v>43191</v>
      </c>
      <c r="D3860" s="3" t="str">
        <f>YEAR(Datos_Consumo[[#This Row],[FECHA]])&amp;"-"&amp;MONTH(Datos_Consumo[[#This Row],[FECHA]])</f>
        <v>2018-4</v>
      </c>
    </row>
    <row r="3861" spans="1:4" x14ac:dyDescent="0.25">
      <c r="A3861" t="s">
        <v>2726</v>
      </c>
      <c r="B3861">
        <v>1</v>
      </c>
      <c r="C3861" s="54">
        <v>43132</v>
      </c>
      <c r="D3861" s="3" t="str">
        <f>YEAR(Datos_Consumo[[#This Row],[FECHA]])&amp;"-"&amp;MONTH(Datos_Consumo[[#This Row],[FECHA]])</f>
        <v>2018-2</v>
      </c>
    </row>
    <row r="3862" spans="1:4" x14ac:dyDescent="0.25">
      <c r="A3862" t="s">
        <v>2726</v>
      </c>
      <c r="B3862">
        <v>1</v>
      </c>
      <c r="C3862" s="54">
        <v>43160</v>
      </c>
      <c r="D3862" s="3" t="str">
        <f>YEAR(Datos_Consumo[[#This Row],[FECHA]])&amp;"-"&amp;MONTH(Datos_Consumo[[#This Row],[FECHA]])</f>
        <v>2018-3</v>
      </c>
    </row>
    <row r="3863" spans="1:4" x14ac:dyDescent="0.25">
      <c r="A3863" t="s">
        <v>2727</v>
      </c>
      <c r="B3863">
        <v>1</v>
      </c>
      <c r="C3863" s="54">
        <v>43160</v>
      </c>
      <c r="D3863" s="3" t="str">
        <f>YEAR(Datos_Consumo[[#This Row],[FECHA]])&amp;"-"&amp;MONTH(Datos_Consumo[[#This Row],[FECHA]])</f>
        <v>2018-3</v>
      </c>
    </row>
    <row r="3864" spans="1:4" x14ac:dyDescent="0.25">
      <c r="A3864" t="s">
        <v>2728</v>
      </c>
      <c r="B3864">
        <v>6</v>
      </c>
      <c r="C3864" s="54">
        <v>43101</v>
      </c>
      <c r="D3864" s="3" t="str">
        <f>YEAR(Datos_Consumo[[#This Row],[FECHA]])&amp;"-"&amp;MONTH(Datos_Consumo[[#This Row],[FECHA]])</f>
        <v>2018-1</v>
      </c>
    </row>
    <row r="3865" spans="1:4" x14ac:dyDescent="0.25">
      <c r="A3865" t="s">
        <v>2728</v>
      </c>
      <c r="B3865">
        <v>7</v>
      </c>
      <c r="C3865" s="54">
        <v>43132</v>
      </c>
      <c r="D3865" s="3" t="str">
        <f>YEAR(Datos_Consumo[[#This Row],[FECHA]])&amp;"-"&amp;MONTH(Datos_Consumo[[#This Row],[FECHA]])</f>
        <v>2018-2</v>
      </c>
    </row>
    <row r="3866" spans="1:4" x14ac:dyDescent="0.25">
      <c r="A3866" t="s">
        <v>2728</v>
      </c>
      <c r="B3866">
        <v>6</v>
      </c>
      <c r="C3866" s="54">
        <v>43160</v>
      </c>
      <c r="D3866" s="3" t="str">
        <f>YEAR(Datos_Consumo[[#This Row],[FECHA]])&amp;"-"&amp;MONTH(Datos_Consumo[[#This Row],[FECHA]])</f>
        <v>2018-3</v>
      </c>
    </row>
    <row r="3867" spans="1:4" x14ac:dyDescent="0.25">
      <c r="A3867" t="s">
        <v>2728</v>
      </c>
      <c r="B3867">
        <v>3</v>
      </c>
      <c r="C3867" s="54">
        <v>43191</v>
      </c>
      <c r="D3867" s="3" t="str">
        <f>YEAR(Datos_Consumo[[#This Row],[FECHA]])&amp;"-"&amp;MONTH(Datos_Consumo[[#This Row],[FECHA]])</f>
        <v>2018-4</v>
      </c>
    </row>
    <row r="3868" spans="1:4" x14ac:dyDescent="0.25">
      <c r="A3868" t="s">
        <v>2728</v>
      </c>
      <c r="B3868">
        <v>1</v>
      </c>
      <c r="C3868" s="54">
        <v>43221</v>
      </c>
      <c r="D3868" s="3" t="str">
        <f>YEAR(Datos_Consumo[[#This Row],[FECHA]])&amp;"-"&amp;MONTH(Datos_Consumo[[#This Row],[FECHA]])</f>
        <v>2018-5</v>
      </c>
    </row>
    <row r="3869" spans="1:4" x14ac:dyDescent="0.25">
      <c r="A3869" t="s">
        <v>2729</v>
      </c>
      <c r="B3869">
        <v>2</v>
      </c>
      <c r="C3869" s="54">
        <v>43132</v>
      </c>
      <c r="D3869" s="3" t="str">
        <f>YEAR(Datos_Consumo[[#This Row],[FECHA]])&amp;"-"&amp;MONTH(Datos_Consumo[[#This Row],[FECHA]])</f>
        <v>2018-2</v>
      </c>
    </row>
    <row r="3870" spans="1:4" x14ac:dyDescent="0.25">
      <c r="A3870" t="s">
        <v>2730</v>
      </c>
      <c r="B3870">
        <v>2</v>
      </c>
      <c r="C3870" s="54">
        <v>43101</v>
      </c>
      <c r="D3870" s="3" t="str">
        <f>YEAR(Datos_Consumo[[#This Row],[FECHA]])&amp;"-"&amp;MONTH(Datos_Consumo[[#This Row],[FECHA]])</f>
        <v>2018-1</v>
      </c>
    </row>
    <row r="3871" spans="1:4" x14ac:dyDescent="0.25">
      <c r="A3871" t="s">
        <v>2731</v>
      </c>
      <c r="B3871">
        <v>1</v>
      </c>
      <c r="C3871" s="54">
        <v>43160</v>
      </c>
      <c r="D3871" s="3" t="str">
        <f>YEAR(Datos_Consumo[[#This Row],[FECHA]])&amp;"-"&amp;MONTH(Datos_Consumo[[#This Row],[FECHA]])</f>
        <v>2018-3</v>
      </c>
    </row>
    <row r="3872" spans="1:4" x14ac:dyDescent="0.25">
      <c r="A3872" t="s">
        <v>2731</v>
      </c>
      <c r="B3872">
        <v>1</v>
      </c>
      <c r="C3872" s="54">
        <v>43191</v>
      </c>
      <c r="D3872" s="3" t="str">
        <f>YEAR(Datos_Consumo[[#This Row],[FECHA]])&amp;"-"&amp;MONTH(Datos_Consumo[[#This Row],[FECHA]])</f>
        <v>2018-4</v>
      </c>
    </row>
    <row r="3873" spans="1:4" x14ac:dyDescent="0.25">
      <c r="A3873" t="s">
        <v>2732</v>
      </c>
      <c r="B3873">
        <v>1</v>
      </c>
      <c r="C3873" s="54">
        <v>43101</v>
      </c>
      <c r="D3873" s="3" t="str">
        <f>YEAR(Datos_Consumo[[#This Row],[FECHA]])&amp;"-"&amp;MONTH(Datos_Consumo[[#This Row],[FECHA]])</f>
        <v>2018-1</v>
      </c>
    </row>
    <row r="3874" spans="1:4" x14ac:dyDescent="0.25">
      <c r="A3874" t="s">
        <v>2732</v>
      </c>
      <c r="B3874">
        <v>1</v>
      </c>
      <c r="C3874" s="54">
        <v>43132</v>
      </c>
      <c r="D3874" s="3" t="str">
        <f>YEAR(Datos_Consumo[[#This Row],[FECHA]])&amp;"-"&amp;MONTH(Datos_Consumo[[#This Row],[FECHA]])</f>
        <v>2018-2</v>
      </c>
    </row>
    <row r="3875" spans="1:4" x14ac:dyDescent="0.25">
      <c r="A3875" t="s">
        <v>2732</v>
      </c>
      <c r="B3875">
        <v>12</v>
      </c>
      <c r="C3875" s="54">
        <v>43160</v>
      </c>
      <c r="D3875" s="3" t="str">
        <f>YEAR(Datos_Consumo[[#This Row],[FECHA]])&amp;"-"&amp;MONTH(Datos_Consumo[[#This Row],[FECHA]])</f>
        <v>2018-3</v>
      </c>
    </row>
    <row r="3876" spans="1:4" x14ac:dyDescent="0.25">
      <c r="A3876" t="s">
        <v>2733</v>
      </c>
      <c r="B3876">
        <v>8</v>
      </c>
      <c r="C3876" s="54">
        <v>43070</v>
      </c>
      <c r="D3876" s="3" t="str">
        <f>YEAR(Datos_Consumo[[#This Row],[FECHA]])&amp;"-"&amp;MONTH(Datos_Consumo[[#This Row],[FECHA]])</f>
        <v>2017-12</v>
      </c>
    </row>
    <row r="3877" spans="1:4" x14ac:dyDescent="0.25">
      <c r="A3877" t="s">
        <v>2733</v>
      </c>
      <c r="B3877">
        <v>1</v>
      </c>
      <c r="C3877" s="54">
        <v>43132</v>
      </c>
      <c r="D3877" s="3" t="str">
        <f>YEAR(Datos_Consumo[[#This Row],[FECHA]])&amp;"-"&amp;MONTH(Datos_Consumo[[#This Row],[FECHA]])</f>
        <v>2018-2</v>
      </c>
    </row>
    <row r="3878" spans="1:4" x14ac:dyDescent="0.25">
      <c r="A3878" t="s">
        <v>2734</v>
      </c>
      <c r="B3878">
        <v>1</v>
      </c>
      <c r="C3878" s="54">
        <v>43070</v>
      </c>
      <c r="D3878" s="3" t="str">
        <f>YEAR(Datos_Consumo[[#This Row],[FECHA]])&amp;"-"&amp;MONTH(Datos_Consumo[[#This Row],[FECHA]])</f>
        <v>2017-12</v>
      </c>
    </row>
    <row r="3879" spans="1:4" x14ac:dyDescent="0.25">
      <c r="A3879" t="s">
        <v>2734</v>
      </c>
      <c r="B3879">
        <v>4</v>
      </c>
      <c r="C3879" s="54">
        <v>43101</v>
      </c>
      <c r="D3879" s="3" t="str">
        <f>YEAR(Datos_Consumo[[#This Row],[FECHA]])&amp;"-"&amp;MONTH(Datos_Consumo[[#This Row],[FECHA]])</f>
        <v>2018-1</v>
      </c>
    </row>
    <row r="3880" spans="1:4" x14ac:dyDescent="0.25">
      <c r="A3880" t="s">
        <v>2734</v>
      </c>
      <c r="B3880">
        <v>1</v>
      </c>
      <c r="C3880" s="54">
        <v>43132</v>
      </c>
      <c r="D3880" s="3" t="str">
        <f>YEAR(Datos_Consumo[[#This Row],[FECHA]])&amp;"-"&amp;MONTH(Datos_Consumo[[#This Row],[FECHA]])</f>
        <v>2018-2</v>
      </c>
    </row>
    <row r="3881" spans="1:4" x14ac:dyDescent="0.25">
      <c r="A3881" t="s">
        <v>2734</v>
      </c>
      <c r="B3881">
        <v>5</v>
      </c>
      <c r="C3881" s="54">
        <v>43160</v>
      </c>
      <c r="D3881" s="3" t="str">
        <f>YEAR(Datos_Consumo[[#This Row],[FECHA]])&amp;"-"&amp;MONTH(Datos_Consumo[[#This Row],[FECHA]])</f>
        <v>2018-3</v>
      </c>
    </row>
    <row r="3882" spans="1:4" x14ac:dyDescent="0.25">
      <c r="A3882" t="s">
        <v>2735</v>
      </c>
      <c r="B3882">
        <v>1</v>
      </c>
      <c r="C3882" s="54">
        <v>43070</v>
      </c>
      <c r="D3882" s="3" t="str">
        <f>YEAR(Datos_Consumo[[#This Row],[FECHA]])&amp;"-"&amp;MONTH(Datos_Consumo[[#This Row],[FECHA]])</f>
        <v>2017-12</v>
      </c>
    </row>
    <row r="3883" spans="1:4" x14ac:dyDescent="0.25">
      <c r="A3883" t="s">
        <v>2735</v>
      </c>
      <c r="B3883">
        <v>2</v>
      </c>
      <c r="C3883" s="54">
        <v>43101</v>
      </c>
      <c r="D3883" s="3" t="str">
        <f>YEAR(Datos_Consumo[[#This Row],[FECHA]])&amp;"-"&amp;MONTH(Datos_Consumo[[#This Row],[FECHA]])</f>
        <v>2018-1</v>
      </c>
    </row>
    <row r="3884" spans="1:4" x14ac:dyDescent="0.25">
      <c r="A3884" t="s">
        <v>2735</v>
      </c>
      <c r="B3884">
        <v>11</v>
      </c>
      <c r="C3884" s="54">
        <v>43160</v>
      </c>
      <c r="D3884" s="3" t="str">
        <f>YEAR(Datos_Consumo[[#This Row],[FECHA]])&amp;"-"&amp;MONTH(Datos_Consumo[[#This Row],[FECHA]])</f>
        <v>2018-3</v>
      </c>
    </row>
    <row r="3885" spans="1:4" x14ac:dyDescent="0.25">
      <c r="A3885" t="s">
        <v>2735</v>
      </c>
      <c r="B3885">
        <v>2</v>
      </c>
      <c r="C3885" s="54">
        <v>43191</v>
      </c>
      <c r="D3885" s="3" t="str">
        <f>YEAR(Datos_Consumo[[#This Row],[FECHA]])&amp;"-"&amp;MONTH(Datos_Consumo[[#This Row],[FECHA]])</f>
        <v>2018-4</v>
      </c>
    </row>
    <row r="3886" spans="1:4" x14ac:dyDescent="0.25">
      <c r="A3886" t="s">
        <v>2736</v>
      </c>
      <c r="B3886">
        <v>3</v>
      </c>
      <c r="C3886" s="54">
        <v>43070</v>
      </c>
      <c r="D3886" s="3" t="str">
        <f>YEAR(Datos_Consumo[[#This Row],[FECHA]])&amp;"-"&amp;MONTH(Datos_Consumo[[#This Row],[FECHA]])</f>
        <v>2017-12</v>
      </c>
    </row>
    <row r="3887" spans="1:4" x14ac:dyDescent="0.25">
      <c r="A3887" t="s">
        <v>2736</v>
      </c>
      <c r="B3887">
        <v>10</v>
      </c>
      <c r="C3887" s="54">
        <v>43101</v>
      </c>
      <c r="D3887" s="3" t="str">
        <f>YEAR(Datos_Consumo[[#This Row],[FECHA]])&amp;"-"&amp;MONTH(Datos_Consumo[[#This Row],[FECHA]])</f>
        <v>2018-1</v>
      </c>
    </row>
    <row r="3888" spans="1:4" x14ac:dyDescent="0.25">
      <c r="A3888" t="s">
        <v>2736</v>
      </c>
      <c r="B3888">
        <v>22</v>
      </c>
      <c r="C3888" s="54">
        <v>43132</v>
      </c>
      <c r="D3888" s="3" t="str">
        <f>YEAR(Datos_Consumo[[#This Row],[FECHA]])&amp;"-"&amp;MONTH(Datos_Consumo[[#This Row],[FECHA]])</f>
        <v>2018-2</v>
      </c>
    </row>
    <row r="3889" spans="1:4" x14ac:dyDescent="0.25">
      <c r="A3889" t="s">
        <v>2736</v>
      </c>
      <c r="B3889">
        <v>21</v>
      </c>
      <c r="C3889" s="54">
        <v>43160</v>
      </c>
      <c r="D3889" s="3" t="str">
        <f>YEAR(Datos_Consumo[[#This Row],[FECHA]])&amp;"-"&amp;MONTH(Datos_Consumo[[#This Row],[FECHA]])</f>
        <v>2018-3</v>
      </c>
    </row>
    <row r="3890" spans="1:4" x14ac:dyDescent="0.25">
      <c r="A3890" t="s">
        <v>2736</v>
      </c>
      <c r="B3890">
        <v>2</v>
      </c>
      <c r="C3890" s="54">
        <v>43191</v>
      </c>
      <c r="D3890" s="3" t="str">
        <f>YEAR(Datos_Consumo[[#This Row],[FECHA]])&amp;"-"&amp;MONTH(Datos_Consumo[[#This Row],[FECHA]])</f>
        <v>2018-4</v>
      </c>
    </row>
    <row r="3891" spans="1:4" x14ac:dyDescent="0.25">
      <c r="A3891" t="s">
        <v>2736</v>
      </c>
      <c r="B3891">
        <v>1</v>
      </c>
      <c r="C3891" s="54">
        <v>43221</v>
      </c>
      <c r="D3891" s="3" t="str">
        <f>YEAR(Datos_Consumo[[#This Row],[FECHA]])&amp;"-"&amp;MONTH(Datos_Consumo[[#This Row],[FECHA]])</f>
        <v>2018-5</v>
      </c>
    </row>
    <row r="3892" spans="1:4" x14ac:dyDescent="0.25">
      <c r="A3892" t="s">
        <v>2737</v>
      </c>
      <c r="B3892">
        <v>4</v>
      </c>
      <c r="C3892" s="54">
        <v>43070</v>
      </c>
      <c r="D3892" s="3" t="str">
        <f>YEAR(Datos_Consumo[[#This Row],[FECHA]])&amp;"-"&amp;MONTH(Datos_Consumo[[#This Row],[FECHA]])</f>
        <v>2017-12</v>
      </c>
    </row>
    <row r="3893" spans="1:4" x14ac:dyDescent="0.25">
      <c r="A3893" t="s">
        <v>2737</v>
      </c>
      <c r="B3893">
        <v>3</v>
      </c>
      <c r="C3893" s="54">
        <v>43132</v>
      </c>
      <c r="D3893" s="3" t="str">
        <f>YEAR(Datos_Consumo[[#This Row],[FECHA]])&amp;"-"&amp;MONTH(Datos_Consumo[[#This Row],[FECHA]])</f>
        <v>2018-2</v>
      </c>
    </row>
    <row r="3894" spans="1:4" x14ac:dyDescent="0.25">
      <c r="A3894" t="s">
        <v>2737</v>
      </c>
      <c r="B3894">
        <v>4</v>
      </c>
      <c r="C3894" s="54">
        <v>43160</v>
      </c>
      <c r="D3894" s="3" t="str">
        <f>YEAR(Datos_Consumo[[#This Row],[FECHA]])&amp;"-"&amp;MONTH(Datos_Consumo[[#This Row],[FECHA]])</f>
        <v>2018-3</v>
      </c>
    </row>
    <row r="3895" spans="1:4" x14ac:dyDescent="0.25">
      <c r="A3895" t="s">
        <v>2737</v>
      </c>
      <c r="B3895">
        <v>1</v>
      </c>
      <c r="C3895" s="54">
        <v>43191</v>
      </c>
      <c r="D3895" s="3" t="str">
        <f>YEAR(Datos_Consumo[[#This Row],[FECHA]])&amp;"-"&amp;MONTH(Datos_Consumo[[#This Row],[FECHA]])</f>
        <v>2018-4</v>
      </c>
    </row>
    <row r="3896" spans="1:4" x14ac:dyDescent="0.25">
      <c r="A3896" t="s">
        <v>2738</v>
      </c>
      <c r="B3896">
        <v>1</v>
      </c>
      <c r="C3896" s="54">
        <v>43132</v>
      </c>
      <c r="D3896" s="3" t="str">
        <f>YEAR(Datos_Consumo[[#This Row],[FECHA]])&amp;"-"&amp;MONTH(Datos_Consumo[[#This Row],[FECHA]])</f>
        <v>2018-2</v>
      </c>
    </row>
    <row r="3897" spans="1:4" x14ac:dyDescent="0.25">
      <c r="A3897" t="s">
        <v>2739</v>
      </c>
      <c r="B3897">
        <v>5</v>
      </c>
      <c r="C3897" s="54">
        <v>43070</v>
      </c>
      <c r="D3897" s="3" t="str">
        <f>YEAR(Datos_Consumo[[#This Row],[FECHA]])&amp;"-"&amp;MONTH(Datos_Consumo[[#This Row],[FECHA]])</f>
        <v>2017-12</v>
      </c>
    </row>
    <row r="3898" spans="1:4" x14ac:dyDescent="0.25">
      <c r="A3898" t="s">
        <v>2739</v>
      </c>
      <c r="B3898">
        <v>16</v>
      </c>
      <c r="C3898" s="54">
        <v>43132</v>
      </c>
      <c r="D3898" s="3" t="str">
        <f>YEAR(Datos_Consumo[[#This Row],[FECHA]])&amp;"-"&amp;MONTH(Datos_Consumo[[#This Row],[FECHA]])</f>
        <v>2018-2</v>
      </c>
    </row>
    <row r="3899" spans="1:4" x14ac:dyDescent="0.25">
      <c r="A3899" t="s">
        <v>2739</v>
      </c>
      <c r="B3899">
        <v>3</v>
      </c>
      <c r="C3899" s="54">
        <v>43160</v>
      </c>
      <c r="D3899" s="3" t="str">
        <f>YEAR(Datos_Consumo[[#This Row],[FECHA]])&amp;"-"&amp;MONTH(Datos_Consumo[[#This Row],[FECHA]])</f>
        <v>2018-3</v>
      </c>
    </row>
    <row r="3900" spans="1:4" x14ac:dyDescent="0.25">
      <c r="A3900" t="s">
        <v>2740</v>
      </c>
      <c r="B3900">
        <v>14</v>
      </c>
      <c r="C3900" s="54">
        <v>43070</v>
      </c>
      <c r="D3900" s="3" t="str">
        <f>YEAR(Datos_Consumo[[#This Row],[FECHA]])&amp;"-"&amp;MONTH(Datos_Consumo[[#This Row],[FECHA]])</f>
        <v>2017-12</v>
      </c>
    </row>
    <row r="3901" spans="1:4" x14ac:dyDescent="0.25">
      <c r="A3901" t="s">
        <v>2740</v>
      </c>
      <c r="B3901">
        <v>14</v>
      </c>
      <c r="C3901" s="54">
        <v>43101</v>
      </c>
      <c r="D3901" s="3" t="str">
        <f>YEAR(Datos_Consumo[[#This Row],[FECHA]])&amp;"-"&amp;MONTH(Datos_Consumo[[#This Row],[FECHA]])</f>
        <v>2018-1</v>
      </c>
    </row>
    <row r="3902" spans="1:4" x14ac:dyDescent="0.25">
      <c r="A3902" t="s">
        <v>2740</v>
      </c>
      <c r="B3902">
        <v>3</v>
      </c>
      <c r="C3902" s="54">
        <v>43160</v>
      </c>
      <c r="D3902" s="3" t="str">
        <f>YEAR(Datos_Consumo[[#This Row],[FECHA]])&amp;"-"&amp;MONTH(Datos_Consumo[[#This Row],[FECHA]])</f>
        <v>2018-3</v>
      </c>
    </row>
    <row r="3903" spans="1:4" x14ac:dyDescent="0.25">
      <c r="A3903" t="s">
        <v>2741</v>
      </c>
      <c r="B3903">
        <v>15</v>
      </c>
      <c r="C3903" s="54">
        <v>43070</v>
      </c>
      <c r="D3903" s="3" t="str">
        <f>YEAR(Datos_Consumo[[#This Row],[FECHA]])&amp;"-"&amp;MONTH(Datos_Consumo[[#This Row],[FECHA]])</f>
        <v>2017-12</v>
      </c>
    </row>
    <row r="3904" spans="1:4" x14ac:dyDescent="0.25">
      <c r="A3904" t="s">
        <v>2741</v>
      </c>
      <c r="B3904">
        <v>21</v>
      </c>
      <c r="C3904" s="54">
        <v>43101</v>
      </c>
      <c r="D3904" s="3" t="str">
        <f>YEAR(Datos_Consumo[[#This Row],[FECHA]])&amp;"-"&amp;MONTH(Datos_Consumo[[#This Row],[FECHA]])</f>
        <v>2018-1</v>
      </c>
    </row>
    <row r="3905" spans="1:4" x14ac:dyDescent="0.25">
      <c r="A3905" t="s">
        <v>2741</v>
      </c>
      <c r="B3905">
        <v>2</v>
      </c>
      <c r="C3905" s="54">
        <v>43160</v>
      </c>
      <c r="D3905" s="3" t="str">
        <f>YEAR(Datos_Consumo[[#This Row],[FECHA]])&amp;"-"&amp;MONTH(Datos_Consumo[[#This Row],[FECHA]])</f>
        <v>2018-3</v>
      </c>
    </row>
    <row r="3906" spans="1:4" x14ac:dyDescent="0.25">
      <c r="A3906" t="s">
        <v>2742</v>
      </c>
      <c r="B3906">
        <v>6</v>
      </c>
      <c r="C3906" s="54">
        <v>43070</v>
      </c>
      <c r="D3906" s="3" t="str">
        <f>YEAR(Datos_Consumo[[#This Row],[FECHA]])&amp;"-"&amp;MONTH(Datos_Consumo[[#This Row],[FECHA]])</f>
        <v>2017-12</v>
      </c>
    </row>
    <row r="3907" spans="1:4" x14ac:dyDescent="0.25">
      <c r="A3907" t="s">
        <v>2742</v>
      </c>
      <c r="B3907">
        <v>2</v>
      </c>
      <c r="C3907" s="54">
        <v>43101</v>
      </c>
      <c r="D3907" s="3" t="str">
        <f>YEAR(Datos_Consumo[[#This Row],[FECHA]])&amp;"-"&amp;MONTH(Datos_Consumo[[#This Row],[FECHA]])</f>
        <v>2018-1</v>
      </c>
    </row>
    <row r="3908" spans="1:4" x14ac:dyDescent="0.25">
      <c r="A3908" t="s">
        <v>2742</v>
      </c>
      <c r="B3908">
        <v>9</v>
      </c>
      <c r="C3908" s="54">
        <v>43132</v>
      </c>
      <c r="D3908" s="3" t="str">
        <f>YEAR(Datos_Consumo[[#This Row],[FECHA]])&amp;"-"&amp;MONTH(Datos_Consumo[[#This Row],[FECHA]])</f>
        <v>2018-2</v>
      </c>
    </row>
    <row r="3909" spans="1:4" x14ac:dyDescent="0.25">
      <c r="A3909" t="s">
        <v>2742</v>
      </c>
      <c r="B3909">
        <v>33</v>
      </c>
      <c r="C3909" s="54">
        <v>43160</v>
      </c>
      <c r="D3909" s="3" t="str">
        <f>YEAR(Datos_Consumo[[#This Row],[FECHA]])&amp;"-"&amp;MONTH(Datos_Consumo[[#This Row],[FECHA]])</f>
        <v>2018-3</v>
      </c>
    </row>
    <row r="3910" spans="1:4" x14ac:dyDescent="0.25">
      <c r="A3910" t="s">
        <v>2742</v>
      </c>
      <c r="B3910">
        <v>1</v>
      </c>
      <c r="C3910" s="54">
        <v>43191</v>
      </c>
      <c r="D3910" s="3" t="str">
        <f>YEAR(Datos_Consumo[[#This Row],[FECHA]])&amp;"-"&amp;MONTH(Datos_Consumo[[#This Row],[FECHA]])</f>
        <v>2018-4</v>
      </c>
    </row>
    <row r="3911" spans="1:4" x14ac:dyDescent="0.25">
      <c r="A3911" t="s">
        <v>2743</v>
      </c>
      <c r="B3911">
        <v>2</v>
      </c>
      <c r="C3911" s="54">
        <v>43101</v>
      </c>
      <c r="D3911" s="3" t="str">
        <f>YEAR(Datos_Consumo[[#This Row],[FECHA]])&amp;"-"&amp;MONTH(Datos_Consumo[[#This Row],[FECHA]])</f>
        <v>2018-1</v>
      </c>
    </row>
    <row r="3912" spans="1:4" x14ac:dyDescent="0.25">
      <c r="A3912" t="s">
        <v>2743</v>
      </c>
      <c r="B3912">
        <v>7</v>
      </c>
      <c r="C3912" s="54">
        <v>43132</v>
      </c>
      <c r="D3912" s="3" t="str">
        <f>YEAR(Datos_Consumo[[#This Row],[FECHA]])&amp;"-"&amp;MONTH(Datos_Consumo[[#This Row],[FECHA]])</f>
        <v>2018-2</v>
      </c>
    </row>
    <row r="3913" spans="1:4" x14ac:dyDescent="0.25">
      <c r="A3913" t="s">
        <v>2743</v>
      </c>
      <c r="B3913">
        <v>7</v>
      </c>
      <c r="C3913" s="54">
        <v>43160</v>
      </c>
      <c r="D3913" s="3" t="str">
        <f>YEAR(Datos_Consumo[[#This Row],[FECHA]])&amp;"-"&amp;MONTH(Datos_Consumo[[#This Row],[FECHA]])</f>
        <v>2018-3</v>
      </c>
    </row>
    <row r="3914" spans="1:4" x14ac:dyDescent="0.25">
      <c r="A3914" t="s">
        <v>2744</v>
      </c>
      <c r="B3914">
        <v>4</v>
      </c>
      <c r="C3914" s="54">
        <v>43070</v>
      </c>
      <c r="D3914" s="3" t="str">
        <f>YEAR(Datos_Consumo[[#This Row],[FECHA]])&amp;"-"&amp;MONTH(Datos_Consumo[[#This Row],[FECHA]])</f>
        <v>2017-12</v>
      </c>
    </row>
    <row r="3915" spans="1:4" x14ac:dyDescent="0.25">
      <c r="A3915" t="s">
        <v>2744</v>
      </c>
      <c r="B3915">
        <v>5</v>
      </c>
      <c r="C3915" s="54">
        <v>43101</v>
      </c>
      <c r="D3915" s="3" t="str">
        <f>YEAR(Datos_Consumo[[#This Row],[FECHA]])&amp;"-"&amp;MONTH(Datos_Consumo[[#This Row],[FECHA]])</f>
        <v>2018-1</v>
      </c>
    </row>
    <row r="3916" spans="1:4" x14ac:dyDescent="0.25">
      <c r="A3916" t="s">
        <v>2744</v>
      </c>
      <c r="B3916">
        <v>13</v>
      </c>
      <c r="C3916" s="54">
        <v>43132</v>
      </c>
      <c r="D3916" s="3" t="str">
        <f>YEAR(Datos_Consumo[[#This Row],[FECHA]])&amp;"-"&amp;MONTH(Datos_Consumo[[#This Row],[FECHA]])</f>
        <v>2018-2</v>
      </c>
    </row>
    <row r="3917" spans="1:4" x14ac:dyDescent="0.25">
      <c r="A3917" t="s">
        <v>2744</v>
      </c>
      <c r="B3917">
        <v>10</v>
      </c>
      <c r="C3917" s="54">
        <v>43160</v>
      </c>
      <c r="D3917" s="3" t="str">
        <f>YEAR(Datos_Consumo[[#This Row],[FECHA]])&amp;"-"&amp;MONTH(Datos_Consumo[[#This Row],[FECHA]])</f>
        <v>2018-3</v>
      </c>
    </row>
    <row r="3918" spans="1:4" x14ac:dyDescent="0.25">
      <c r="A3918" t="s">
        <v>2744</v>
      </c>
      <c r="B3918">
        <v>1</v>
      </c>
      <c r="C3918" s="54">
        <v>43191</v>
      </c>
      <c r="D3918" s="3" t="str">
        <f>YEAR(Datos_Consumo[[#This Row],[FECHA]])&amp;"-"&amp;MONTH(Datos_Consumo[[#This Row],[FECHA]])</f>
        <v>2018-4</v>
      </c>
    </row>
    <row r="3919" spans="1:4" x14ac:dyDescent="0.25">
      <c r="A3919" t="s">
        <v>2745</v>
      </c>
      <c r="B3919">
        <v>15</v>
      </c>
      <c r="C3919" s="54">
        <v>43070</v>
      </c>
      <c r="D3919" s="3" t="str">
        <f>YEAR(Datos_Consumo[[#This Row],[FECHA]])&amp;"-"&amp;MONTH(Datos_Consumo[[#This Row],[FECHA]])</f>
        <v>2017-12</v>
      </c>
    </row>
    <row r="3920" spans="1:4" x14ac:dyDescent="0.25">
      <c r="A3920" t="s">
        <v>2745</v>
      </c>
      <c r="B3920">
        <v>33</v>
      </c>
      <c r="C3920" s="54">
        <v>43101</v>
      </c>
      <c r="D3920" s="3" t="str">
        <f>YEAR(Datos_Consumo[[#This Row],[FECHA]])&amp;"-"&amp;MONTH(Datos_Consumo[[#This Row],[FECHA]])</f>
        <v>2018-1</v>
      </c>
    </row>
    <row r="3921" spans="1:4" x14ac:dyDescent="0.25">
      <c r="A3921" t="s">
        <v>2745</v>
      </c>
      <c r="B3921">
        <v>29</v>
      </c>
      <c r="C3921" s="54">
        <v>43132</v>
      </c>
      <c r="D3921" s="3" t="str">
        <f>YEAR(Datos_Consumo[[#This Row],[FECHA]])&amp;"-"&amp;MONTH(Datos_Consumo[[#This Row],[FECHA]])</f>
        <v>2018-2</v>
      </c>
    </row>
    <row r="3922" spans="1:4" x14ac:dyDescent="0.25">
      <c r="A3922" t="s">
        <v>2745</v>
      </c>
      <c r="B3922">
        <v>1</v>
      </c>
      <c r="C3922" s="54">
        <v>43160</v>
      </c>
      <c r="D3922" s="3" t="str">
        <f>YEAR(Datos_Consumo[[#This Row],[FECHA]])&amp;"-"&amp;MONTH(Datos_Consumo[[#This Row],[FECHA]])</f>
        <v>2018-3</v>
      </c>
    </row>
    <row r="3923" spans="1:4" x14ac:dyDescent="0.25">
      <c r="A3923" t="s">
        <v>2745</v>
      </c>
      <c r="B3923">
        <v>1</v>
      </c>
      <c r="C3923" s="54">
        <v>43221</v>
      </c>
      <c r="D3923" s="3" t="str">
        <f>YEAR(Datos_Consumo[[#This Row],[FECHA]])&amp;"-"&amp;MONTH(Datos_Consumo[[#This Row],[FECHA]])</f>
        <v>2018-5</v>
      </c>
    </row>
    <row r="3924" spans="1:4" x14ac:dyDescent="0.25">
      <c r="A3924" t="s">
        <v>2746</v>
      </c>
      <c r="B3924">
        <v>24</v>
      </c>
      <c r="C3924" s="54">
        <v>43070</v>
      </c>
      <c r="D3924" s="3" t="str">
        <f>YEAR(Datos_Consumo[[#This Row],[FECHA]])&amp;"-"&amp;MONTH(Datos_Consumo[[#This Row],[FECHA]])</f>
        <v>2017-12</v>
      </c>
    </row>
    <row r="3925" spans="1:4" x14ac:dyDescent="0.25">
      <c r="A3925" t="s">
        <v>2746</v>
      </c>
      <c r="B3925">
        <v>1</v>
      </c>
      <c r="C3925" s="54">
        <v>43101</v>
      </c>
      <c r="D3925" s="3" t="str">
        <f>YEAR(Datos_Consumo[[#This Row],[FECHA]])&amp;"-"&amp;MONTH(Datos_Consumo[[#This Row],[FECHA]])</f>
        <v>2018-1</v>
      </c>
    </row>
    <row r="3926" spans="1:4" x14ac:dyDescent="0.25">
      <c r="A3926" t="s">
        <v>2746</v>
      </c>
      <c r="B3926">
        <v>31</v>
      </c>
      <c r="C3926" s="54">
        <v>43132</v>
      </c>
      <c r="D3926" s="3" t="str">
        <f>YEAR(Datos_Consumo[[#This Row],[FECHA]])&amp;"-"&amp;MONTH(Datos_Consumo[[#This Row],[FECHA]])</f>
        <v>2018-2</v>
      </c>
    </row>
    <row r="3927" spans="1:4" x14ac:dyDescent="0.25">
      <c r="A3927" t="s">
        <v>2746</v>
      </c>
      <c r="B3927">
        <v>8</v>
      </c>
      <c r="C3927" s="54">
        <v>43160</v>
      </c>
      <c r="D3927" s="3" t="str">
        <f>YEAR(Datos_Consumo[[#This Row],[FECHA]])&amp;"-"&amp;MONTH(Datos_Consumo[[#This Row],[FECHA]])</f>
        <v>2018-3</v>
      </c>
    </row>
    <row r="3928" spans="1:4" x14ac:dyDescent="0.25">
      <c r="A3928" t="s">
        <v>2746</v>
      </c>
      <c r="B3928">
        <v>2</v>
      </c>
      <c r="C3928" s="54">
        <v>43191</v>
      </c>
      <c r="D3928" s="3" t="str">
        <f>YEAR(Datos_Consumo[[#This Row],[FECHA]])&amp;"-"&amp;MONTH(Datos_Consumo[[#This Row],[FECHA]])</f>
        <v>2018-4</v>
      </c>
    </row>
    <row r="3929" spans="1:4" x14ac:dyDescent="0.25">
      <c r="A3929" t="s">
        <v>2747</v>
      </c>
      <c r="B3929">
        <v>2</v>
      </c>
      <c r="C3929" s="54">
        <v>43101</v>
      </c>
      <c r="D3929" s="3" t="str">
        <f>YEAR(Datos_Consumo[[#This Row],[FECHA]])&amp;"-"&amp;MONTH(Datos_Consumo[[#This Row],[FECHA]])</f>
        <v>2018-1</v>
      </c>
    </row>
    <row r="3930" spans="1:4" x14ac:dyDescent="0.25">
      <c r="A3930" t="s">
        <v>2748</v>
      </c>
      <c r="B3930">
        <v>7</v>
      </c>
      <c r="C3930" s="54">
        <v>43070</v>
      </c>
      <c r="D3930" s="3" t="str">
        <f>YEAR(Datos_Consumo[[#This Row],[FECHA]])&amp;"-"&amp;MONTH(Datos_Consumo[[#This Row],[FECHA]])</f>
        <v>2017-12</v>
      </c>
    </row>
    <row r="3931" spans="1:4" x14ac:dyDescent="0.25">
      <c r="A3931" t="s">
        <v>2748</v>
      </c>
      <c r="B3931">
        <v>4</v>
      </c>
      <c r="C3931" s="54">
        <v>43101</v>
      </c>
      <c r="D3931" s="3" t="str">
        <f>YEAR(Datos_Consumo[[#This Row],[FECHA]])&amp;"-"&amp;MONTH(Datos_Consumo[[#This Row],[FECHA]])</f>
        <v>2018-1</v>
      </c>
    </row>
    <row r="3932" spans="1:4" x14ac:dyDescent="0.25">
      <c r="A3932" t="s">
        <v>2748</v>
      </c>
      <c r="B3932">
        <v>7</v>
      </c>
      <c r="C3932" s="54">
        <v>43132</v>
      </c>
      <c r="D3932" s="3" t="str">
        <f>YEAR(Datos_Consumo[[#This Row],[FECHA]])&amp;"-"&amp;MONTH(Datos_Consumo[[#This Row],[FECHA]])</f>
        <v>2018-2</v>
      </c>
    </row>
    <row r="3933" spans="1:4" x14ac:dyDescent="0.25">
      <c r="A3933" t="s">
        <v>2748</v>
      </c>
      <c r="B3933">
        <v>2</v>
      </c>
      <c r="C3933" s="54">
        <v>43160</v>
      </c>
      <c r="D3933" s="3" t="str">
        <f>YEAR(Datos_Consumo[[#This Row],[FECHA]])&amp;"-"&amp;MONTH(Datos_Consumo[[#This Row],[FECHA]])</f>
        <v>2018-3</v>
      </c>
    </row>
    <row r="3934" spans="1:4" x14ac:dyDescent="0.25">
      <c r="A3934" t="s">
        <v>2748</v>
      </c>
      <c r="B3934">
        <v>1</v>
      </c>
      <c r="C3934" s="54">
        <v>43191</v>
      </c>
      <c r="D3934" s="3" t="str">
        <f>YEAR(Datos_Consumo[[#This Row],[FECHA]])&amp;"-"&amp;MONTH(Datos_Consumo[[#This Row],[FECHA]])</f>
        <v>2018-4</v>
      </c>
    </row>
    <row r="3935" spans="1:4" x14ac:dyDescent="0.25">
      <c r="A3935" t="s">
        <v>2749</v>
      </c>
      <c r="B3935">
        <v>2</v>
      </c>
      <c r="C3935" s="54">
        <v>43070</v>
      </c>
      <c r="D3935" s="3" t="str">
        <f>YEAR(Datos_Consumo[[#This Row],[FECHA]])&amp;"-"&amp;MONTH(Datos_Consumo[[#This Row],[FECHA]])</f>
        <v>2017-12</v>
      </c>
    </row>
    <row r="3936" spans="1:4" x14ac:dyDescent="0.25">
      <c r="A3936" t="s">
        <v>2750</v>
      </c>
      <c r="B3936">
        <v>12</v>
      </c>
      <c r="C3936" s="54">
        <v>43070</v>
      </c>
      <c r="D3936" s="3" t="str">
        <f>YEAR(Datos_Consumo[[#This Row],[FECHA]])&amp;"-"&amp;MONTH(Datos_Consumo[[#This Row],[FECHA]])</f>
        <v>2017-12</v>
      </c>
    </row>
    <row r="3937" spans="1:4" x14ac:dyDescent="0.25">
      <c r="A3937" t="s">
        <v>2750</v>
      </c>
      <c r="B3937">
        <v>5</v>
      </c>
      <c r="C3937" s="54">
        <v>43101</v>
      </c>
      <c r="D3937" s="3" t="str">
        <f>YEAR(Datos_Consumo[[#This Row],[FECHA]])&amp;"-"&amp;MONTH(Datos_Consumo[[#This Row],[FECHA]])</f>
        <v>2018-1</v>
      </c>
    </row>
    <row r="3938" spans="1:4" x14ac:dyDescent="0.25">
      <c r="A3938" t="s">
        <v>2750</v>
      </c>
      <c r="B3938">
        <v>16</v>
      </c>
      <c r="C3938" s="54">
        <v>43132</v>
      </c>
      <c r="D3938" s="3" t="str">
        <f>YEAR(Datos_Consumo[[#This Row],[FECHA]])&amp;"-"&amp;MONTH(Datos_Consumo[[#This Row],[FECHA]])</f>
        <v>2018-2</v>
      </c>
    </row>
    <row r="3939" spans="1:4" x14ac:dyDescent="0.25">
      <c r="A3939" t="s">
        <v>2750</v>
      </c>
      <c r="B3939">
        <v>10</v>
      </c>
      <c r="C3939" s="54">
        <v>43160</v>
      </c>
      <c r="D3939" s="3" t="str">
        <f>YEAR(Datos_Consumo[[#This Row],[FECHA]])&amp;"-"&amp;MONTH(Datos_Consumo[[#This Row],[FECHA]])</f>
        <v>2018-3</v>
      </c>
    </row>
    <row r="3940" spans="1:4" x14ac:dyDescent="0.25">
      <c r="A3940" t="s">
        <v>2750</v>
      </c>
      <c r="B3940">
        <v>2</v>
      </c>
      <c r="C3940" s="54">
        <v>43191</v>
      </c>
      <c r="D3940" s="3" t="str">
        <f>YEAR(Datos_Consumo[[#This Row],[FECHA]])&amp;"-"&amp;MONTH(Datos_Consumo[[#This Row],[FECHA]])</f>
        <v>2018-4</v>
      </c>
    </row>
    <row r="3941" spans="1:4" x14ac:dyDescent="0.25">
      <c r="A3941" t="s">
        <v>2750</v>
      </c>
      <c r="B3941">
        <v>1</v>
      </c>
      <c r="C3941" s="54">
        <v>43221</v>
      </c>
      <c r="D3941" s="3" t="str">
        <f>YEAR(Datos_Consumo[[#This Row],[FECHA]])&amp;"-"&amp;MONTH(Datos_Consumo[[#This Row],[FECHA]])</f>
        <v>2018-5</v>
      </c>
    </row>
    <row r="3942" spans="1:4" x14ac:dyDescent="0.25">
      <c r="A3942" t="s">
        <v>2751</v>
      </c>
      <c r="B3942">
        <v>1</v>
      </c>
      <c r="C3942" s="54">
        <v>43070</v>
      </c>
      <c r="D3942" s="3" t="str">
        <f>YEAR(Datos_Consumo[[#This Row],[FECHA]])&amp;"-"&amp;MONTH(Datos_Consumo[[#This Row],[FECHA]])</f>
        <v>2017-12</v>
      </c>
    </row>
    <row r="3943" spans="1:4" x14ac:dyDescent="0.25">
      <c r="A3943" t="s">
        <v>2751</v>
      </c>
      <c r="B3943">
        <v>13</v>
      </c>
      <c r="C3943" s="54">
        <v>43101</v>
      </c>
      <c r="D3943" s="3" t="str">
        <f>YEAR(Datos_Consumo[[#This Row],[FECHA]])&amp;"-"&amp;MONTH(Datos_Consumo[[#This Row],[FECHA]])</f>
        <v>2018-1</v>
      </c>
    </row>
    <row r="3944" spans="1:4" x14ac:dyDescent="0.25">
      <c r="A3944" t="s">
        <v>2751</v>
      </c>
      <c r="B3944">
        <v>3</v>
      </c>
      <c r="C3944" s="54">
        <v>43132</v>
      </c>
      <c r="D3944" s="3" t="str">
        <f>YEAR(Datos_Consumo[[#This Row],[FECHA]])&amp;"-"&amp;MONTH(Datos_Consumo[[#This Row],[FECHA]])</f>
        <v>2018-2</v>
      </c>
    </row>
    <row r="3945" spans="1:4" x14ac:dyDescent="0.25">
      <c r="A3945" t="s">
        <v>2751</v>
      </c>
      <c r="B3945">
        <v>2</v>
      </c>
      <c r="C3945" s="54">
        <v>43160</v>
      </c>
      <c r="D3945" s="3" t="str">
        <f>YEAR(Datos_Consumo[[#This Row],[FECHA]])&amp;"-"&amp;MONTH(Datos_Consumo[[#This Row],[FECHA]])</f>
        <v>2018-3</v>
      </c>
    </row>
    <row r="3946" spans="1:4" x14ac:dyDescent="0.25">
      <c r="A3946" t="s">
        <v>2752</v>
      </c>
      <c r="B3946">
        <v>4</v>
      </c>
      <c r="C3946" s="54">
        <v>43160</v>
      </c>
      <c r="D3946" s="3" t="str">
        <f>YEAR(Datos_Consumo[[#This Row],[FECHA]])&amp;"-"&amp;MONTH(Datos_Consumo[[#This Row],[FECHA]])</f>
        <v>2018-3</v>
      </c>
    </row>
    <row r="3947" spans="1:4" x14ac:dyDescent="0.25">
      <c r="A3947" t="s">
        <v>2753</v>
      </c>
      <c r="B3947">
        <v>17</v>
      </c>
      <c r="C3947" s="54">
        <v>43070</v>
      </c>
      <c r="D3947" s="3" t="str">
        <f>YEAR(Datos_Consumo[[#This Row],[FECHA]])&amp;"-"&amp;MONTH(Datos_Consumo[[#This Row],[FECHA]])</f>
        <v>2017-12</v>
      </c>
    </row>
    <row r="3948" spans="1:4" x14ac:dyDescent="0.25">
      <c r="A3948" t="s">
        <v>2753</v>
      </c>
      <c r="B3948">
        <v>20</v>
      </c>
      <c r="C3948" s="54">
        <v>43101</v>
      </c>
      <c r="D3948" s="3" t="str">
        <f>YEAR(Datos_Consumo[[#This Row],[FECHA]])&amp;"-"&amp;MONTH(Datos_Consumo[[#This Row],[FECHA]])</f>
        <v>2018-1</v>
      </c>
    </row>
    <row r="3949" spans="1:4" x14ac:dyDescent="0.25">
      <c r="A3949" t="s">
        <v>2753</v>
      </c>
      <c r="B3949">
        <v>20</v>
      </c>
      <c r="C3949" s="54">
        <v>43132</v>
      </c>
      <c r="D3949" s="3" t="str">
        <f>YEAR(Datos_Consumo[[#This Row],[FECHA]])&amp;"-"&amp;MONTH(Datos_Consumo[[#This Row],[FECHA]])</f>
        <v>2018-2</v>
      </c>
    </row>
    <row r="3950" spans="1:4" x14ac:dyDescent="0.25">
      <c r="A3950" t="s">
        <v>2753</v>
      </c>
      <c r="B3950">
        <v>16</v>
      </c>
      <c r="C3950" s="54">
        <v>43160</v>
      </c>
      <c r="D3950" s="3" t="str">
        <f>YEAR(Datos_Consumo[[#This Row],[FECHA]])&amp;"-"&amp;MONTH(Datos_Consumo[[#This Row],[FECHA]])</f>
        <v>2018-3</v>
      </c>
    </row>
    <row r="3951" spans="1:4" x14ac:dyDescent="0.25">
      <c r="A3951" t="s">
        <v>2753</v>
      </c>
      <c r="B3951">
        <v>4</v>
      </c>
      <c r="C3951" s="54">
        <v>43191</v>
      </c>
      <c r="D3951" s="3" t="str">
        <f>YEAR(Datos_Consumo[[#This Row],[FECHA]])&amp;"-"&amp;MONTH(Datos_Consumo[[#This Row],[FECHA]])</f>
        <v>2018-4</v>
      </c>
    </row>
    <row r="3952" spans="1:4" x14ac:dyDescent="0.25">
      <c r="A3952" t="s">
        <v>2753</v>
      </c>
      <c r="B3952">
        <v>12</v>
      </c>
      <c r="C3952" s="54">
        <v>43221</v>
      </c>
      <c r="D3952" s="3" t="str">
        <f>YEAR(Datos_Consumo[[#This Row],[FECHA]])&amp;"-"&amp;MONTH(Datos_Consumo[[#This Row],[FECHA]])</f>
        <v>2018-5</v>
      </c>
    </row>
    <row r="3953" spans="1:4" x14ac:dyDescent="0.25">
      <c r="A3953" t="s">
        <v>4082</v>
      </c>
      <c r="B3953">
        <v>1</v>
      </c>
      <c r="C3953" s="54">
        <v>43221</v>
      </c>
      <c r="D3953" s="3" t="str">
        <f>YEAR(Datos_Consumo[[#This Row],[FECHA]])&amp;"-"&amp;MONTH(Datos_Consumo[[#This Row],[FECHA]])</f>
        <v>2018-5</v>
      </c>
    </row>
    <row r="3954" spans="1:4" x14ac:dyDescent="0.25">
      <c r="A3954" t="s">
        <v>2754</v>
      </c>
      <c r="B3954">
        <v>22</v>
      </c>
      <c r="C3954" s="54">
        <v>43070</v>
      </c>
      <c r="D3954" s="3" t="str">
        <f>YEAR(Datos_Consumo[[#This Row],[FECHA]])&amp;"-"&amp;MONTH(Datos_Consumo[[#This Row],[FECHA]])</f>
        <v>2017-12</v>
      </c>
    </row>
    <row r="3955" spans="1:4" x14ac:dyDescent="0.25">
      <c r="A3955" t="s">
        <v>2754</v>
      </c>
      <c r="B3955">
        <v>1</v>
      </c>
      <c r="C3955" s="54">
        <v>43132</v>
      </c>
      <c r="D3955" s="3" t="str">
        <f>YEAR(Datos_Consumo[[#This Row],[FECHA]])&amp;"-"&amp;MONTH(Datos_Consumo[[#This Row],[FECHA]])</f>
        <v>2018-2</v>
      </c>
    </row>
    <row r="3956" spans="1:4" x14ac:dyDescent="0.25">
      <c r="A3956" t="s">
        <v>2754</v>
      </c>
      <c r="B3956">
        <v>6</v>
      </c>
      <c r="C3956" s="54">
        <v>43160</v>
      </c>
      <c r="D3956" s="3" t="str">
        <f>YEAR(Datos_Consumo[[#This Row],[FECHA]])&amp;"-"&amp;MONTH(Datos_Consumo[[#This Row],[FECHA]])</f>
        <v>2018-3</v>
      </c>
    </row>
    <row r="3957" spans="1:4" x14ac:dyDescent="0.25">
      <c r="A3957" t="s">
        <v>2754</v>
      </c>
      <c r="B3957">
        <v>4</v>
      </c>
      <c r="C3957" s="54">
        <v>43191</v>
      </c>
      <c r="D3957" s="3" t="str">
        <f>YEAR(Datos_Consumo[[#This Row],[FECHA]])&amp;"-"&amp;MONTH(Datos_Consumo[[#This Row],[FECHA]])</f>
        <v>2018-4</v>
      </c>
    </row>
    <row r="3958" spans="1:4" x14ac:dyDescent="0.25">
      <c r="A3958" t="s">
        <v>2755</v>
      </c>
      <c r="B3958">
        <v>2</v>
      </c>
      <c r="C3958" s="54">
        <v>43070</v>
      </c>
      <c r="D3958" s="3" t="str">
        <f>YEAR(Datos_Consumo[[#This Row],[FECHA]])&amp;"-"&amp;MONTH(Datos_Consumo[[#This Row],[FECHA]])</f>
        <v>2017-12</v>
      </c>
    </row>
    <row r="3959" spans="1:4" x14ac:dyDescent="0.25">
      <c r="A3959" t="s">
        <v>2755</v>
      </c>
      <c r="B3959">
        <v>2</v>
      </c>
      <c r="C3959" s="54">
        <v>43101</v>
      </c>
      <c r="D3959" s="3" t="str">
        <f>YEAR(Datos_Consumo[[#This Row],[FECHA]])&amp;"-"&amp;MONTH(Datos_Consumo[[#This Row],[FECHA]])</f>
        <v>2018-1</v>
      </c>
    </row>
    <row r="3960" spans="1:4" x14ac:dyDescent="0.25">
      <c r="A3960" t="s">
        <v>2755</v>
      </c>
      <c r="B3960">
        <v>1</v>
      </c>
      <c r="C3960" s="54">
        <v>43132</v>
      </c>
      <c r="D3960" s="3" t="str">
        <f>YEAR(Datos_Consumo[[#This Row],[FECHA]])&amp;"-"&amp;MONTH(Datos_Consumo[[#This Row],[FECHA]])</f>
        <v>2018-2</v>
      </c>
    </row>
    <row r="3961" spans="1:4" x14ac:dyDescent="0.25">
      <c r="A3961" t="s">
        <v>2755</v>
      </c>
      <c r="B3961">
        <v>1</v>
      </c>
      <c r="C3961" s="54">
        <v>43160</v>
      </c>
      <c r="D3961" s="3" t="str">
        <f>YEAR(Datos_Consumo[[#This Row],[FECHA]])&amp;"-"&amp;MONTH(Datos_Consumo[[#This Row],[FECHA]])</f>
        <v>2018-3</v>
      </c>
    </row>
    <row r="3962" spans="1:4" x14ac:dyDescent="0.25">
      <c r="A3962" t="s">
        <v>2756</v>
      </c>
      <c r="B3962">
        <v>1</v>
      </c>
      <c r="C3962" s="54">
        <v>43070</v>
      </c>
      <c r="D3962" s="3" t="str">
        <f>YEAR(Datos_Consumo[[#This Row],[FECHA]])&amp;"-"&amp;MONTH(Datos_Consumo[[#This Row],[FECHA]])</f>
        <v>2017-12</v>
      </c>
    </row>
    <row r="3963" spans="1:4" x14ac:dyDescent="0.25">
      <c r="A3963" t="s">
        <v>2756</v>
      </c>
      <c r="B3963">
        <v>1</v>
      </c>
      <c r="C3963" s="54">
        <v>43132</v>
      </c>
      <c r="D3963" s="3" t="str">
        <f>YEAR(Datos_Consumo[[#This Row],[FECHA]])&amp;"-"&amp;MONTH(Datos_Consumo[[#This Row],[FECHA]])</f>
        <v>2018-2</v>
      </c>
    </row>
    <row r="3964" spans="1:4" x14ac:dyDescent="0.25">
      <c r="A3964" t="s">
        <v>2757</v>
      </c>
      <c r="B3964">
        <v>2</v>
      </c>
      <c r="C3964" s="54">
        <v>43070</v>
      </c>
      <c r="D3964" s="3" t="str">
        <f>YEAR(Datos_Consumo[[#This Row],[FECHA]])&amp;"-"&amp;MONTH(Datos_Consumo[[#This Row],[FECHA]])</f>
        <v>2017-12</v>
      </c>
    </row>
    <row r="3965" spans="1:4" x14ac:dyDescent="0.25">
      <c r="A3965" t="s">
        <v>2757</v>
      </c>
      <c r="B3965">
        <v>2</v>
      </c>
      <c r="C3965" s="54">
        <v>43132</v>
      </c>
      <c r="D3965" s="3" t="str">
        <f>YEAR(Datos_Consumo[[#This Row],[FECHA]])&amp;"-"&amp;MONTH(Datos_Consumo[[#This Row],[FECHA]])</f>
        <v>2018-2</v>
      </c>
    </row>
    <row r="3966" spans="1:4" x14ac:dyDescent="0.25">
      <c r="A3966" t="s">
        <v>2757</v>
      </c>
      <c r="B3966">
        <v>4</v>
      </c>
      <c r="C3966" s="54">
        <v>43160</v>
      </c>
      <c r="D3966" s="3" t="str">
        <f>YEAR(Datos_Consumo[[#This Row],[FECHA]])&amp;"-"&amp;MONTH(Datos_Consumo[[#This Row],[FECHA]])</f>
        <v>2018-3</v>
      </c>
    </row>
    <row r="3967" spans="1:4" x14ac:dyDescent="0.25">
      <c r="A3967" t="s">
        <v>2758</v>
      </c>
      <c r="B3967">
        <v>1</v>
      </c>
      <c r="C3967" s="54">
        <v>43101</v>
      </c>
      <c r="D3967" s="3" t="str">
        <f>YEAR(Datos_Consumo[[#This Row],[FECHA]])&amp;"-"&amp;MONTH(Datos_Consumo[[#This Row],[FECHA]])</f>
        <v>2018-1</v>
      </c>
    </row>
    <row r="3968" spans="1:4" x14ac:dyDescent="0.25">
      <c r="A3968" t="s">
        <v>2758</v>
      </c>
      <c r="B3968">
        <v>2</v>
      </c>
      <c r="C3968" s="54">
        <v>43132</v>
      </c>
      <c r="D3968" s="3" t="str">
        <f>YEAR(Datos_Consumo[[#This Row],[FECHA]])&amp;"-"&amp;MONTH(Datos_Consumo[[#This Row],[FECHA]])</f>
        <v>2018-2</v>
      </c>
    </row>
    <row r="3969" spans="1:4" x14ac:dyDescent="0.25">
      <c r="A3969" t="s">
        <v>2758</v>
      </c>
      <c r="B3969">
        <v>2</v>
      </c>
      <c r="C3969" s="54">
        <v>43191</v>
      </c>
      <c r="D3969" s="3" t="str">
        <f>YEAR(Datos_Consumo[[#This Row],[FECHA]])&amp;"-"&amp;MONTH(Datos_Consumo[[#This Row],[FECHA]])</f>
        <v>2018-4</v>
      </c>
    </row>
    <row r="3970" spans="1:4" x14ac:dyDescent="0.25">
      <c r="A3970" t="s">
        <v>2758</v>
      </c>
      <c r="B3970">
        <v>3</v>
      </c>
      <c r="C3970" s="54">
        <v>43221</v>
      </c>
      <c r="D3970" s="3" t="str">
        <f>YEAR(Datos_Consumo[[#This Row],[FECHA]])&amp;"-"&amp;MONTH(Datos_Consumo[[#This Row],[FECHA]])</f>
        <v>2018-5</v>
      </c>
    </row>
    <row r="3971" spans="1:4" x14ac:dyDescent="0.25">
      <c r="A3971" t="s">
        <v>2759</v>
      </c>
      <c r="B3971">
        <v>1</v>
      </c>
      <c r="C3971" s="54">
        <v>43070</v>
      </c>
      <c r="D3971" s="3" t="str">
        <f>YEAR(Datos_Consumo[[#This Row],[FECHA]])&amp;"-"&amp;MONTH(Datos_Consumo[[#This Row],[FECHA]])</f>
        <v>2017-12</v>
      </c>
    </row>
    <row r="3972" spans="1:4" x14ac:dyDescent="0.25">
      <c r="A3972" t="s">
        <v>2759</v>
      </c>
      <c r="B3972">
        <v>9</v>
      </c>
      <c r="C3972" s="54">
        <v>43101</v>
      </c>
      <c r="D3972" s="3" t="str">
        <f>YEAR(Datos_Consumo[[#This Row],[FECHA]])&amp;"-"&amp;MONTH(Datos_Consumo[[#This Row],[FECHA]])</f>
        <v>2018-1</v>
      </c>
    </row>
    <row r="3973" spans="1:4" x14ac:dyDescent="0.25">
      <c r="A3973" t="s">
        <v>2759</v>
      </c>
      <c r="B3973">
        <v>8</v>
      </c>
      <c r="C3973" s="54">
        <v>43132</v>
      </c>
      <c r="D3973" s="3" t="str">
        <f>YEAR(Datos_Consumo[[#This Row],[FECHA]])&amp;"-"&amp;MONTH(Datos_Consumo[[#This Row],[FECHA]])</f>
        <v>2018-2</v>
      </c>
    </row>
    <row r="3974" spans="1:4" x14ac:dyDescent="0.25">
      <c r="A3974" t="s">
        <v>2759</v>
      </c>
      <c r="B3974">
        <v>11</v>
      </c>
      <c r="C3974" s="54">
        <v>43160</v>
      </c>
      <c r="D3974" s="3" t="str">
        <f>YEAR(Datos_Consumo[[#This Row],[FECHA]])&amp;"-"&amp;MONTH(Datos_Consumo[[#This Row],[FECHA]])</f>
        <v>2018-3</v>
      </c>
    </row>
    <row r="3975" spans="1:4" x14ac:dyDescent="0.25">
      <c r="A3975" t="s">
        <v>2759</v>
      </c>
      <c r="B3975">
        <v>13</v>
      </c>
      <c r="C3975" s="54">
        <v>43191</v>
      </c>
      <c r="D3975" s="3" t="str">
        <f>YEAR(Datos_Consumo[[#This Row],[FECHA]])&amp;"-"&amp;MONTH(Datos_Consumo[[#This Row],[FECHA]])</f>
        <v>2018-4</v>
      </c>
    </row>
    <row r="3976" spans="1:4" x14ac:dyDescent="0.25">
      <c r="A3976" t="s">
        <v>2759</v>
      </c>
      <c r="B3976">
        <v>2</v>
      </c>
      <c r="C3976" s="54">
        <v>43221</v>
      </c>
      <c r="D3976" s="3" t="str">
        <f>YEAR(Datos_Consumo[[#This Row],[FECHA]])&amp;"-"&amp;MONTH(Datos_Consumo[[#This Row],[FECHA]])</f>
        <v>2018-5</v>
      </c>
    </row>
    <row r="3977" spans="1:4" x14ac:dyDescent="0.25">
      <c r="A3977" t="s">
        <v>2760</v>
      </c>
      <c r="B3977">
        <v>104</v>
      </c>
      <c r="C3977" s="54">
        <v>43070</v>
      </c>
      <c r="D3977" s="3" t="str">
        <f>YEAR(Datos_Consumo[[#This Row],[FECHA]])&amp;"-"&amp;MONTH(Datos_Consumo[[#This Row],[FECHA]])</f>
        <v>2017-12</v>
      </c>
    </row>
    <row r="3978" spans="1:4" x14ac:dyDescent="0.25">
      <c r="A3978" t="s">
        <v>2760</v>
      </c>
      <c r="B3978">
        <v>65</v>
      </c>
      <c r="C3978" s="54">
        <v>43101</v>
      </c>
      <c r="D3978" s="3" t="str">
        <f>YEAR(Datos_Consumo[[#This Row],[FECHA]])&amp;"-"&amp;MONTH(Datos_Consumo[[#This Row],[FECHA]])</f>
        <v>2018-1</v>
      </c>
    </row>
    <row r="3979" spans="1:4" x14ac:dyDescent="0.25">
      <c r="A3979" t="s">
        <v>2760</v>
      </c>
      <c r="B3979">
        <v>88</v>
      </c>
      <c r="C3979" s="54">
        <v>43132</v>
      </c>
      <c r="D3979" s="3" t="str">
        <f>YEAR(Datos_Consumo[[#This Row],[FECHA]])&amp;"-"&amp;MONTH(Datos_Consumo[[#This Row],[FECHA]])</f>
        <v>2018-2</v>
      </c>
    </row>
    <row r="3980" spans="1:4" x14ac:dyDescent="0.25">
      <c r="A3980" t="s">
        <v>2760</v>
      </c>
      <c r="B3980">
        <v>92</v>
      </c>
      <c r="C3980" s="54">
        <v>43160</v>
      </c>
      <c r="D3980" s="3" t="str">
        <f>YEAR(Datos_Consumo[[#This Row],[FECHA]])&amp;"-"&amp;MONTH(Datos_Consumo[[#This Row],[FECHA]])</f>
        <v>2018-3</v>
      </c>
    </row>
    <row r="3981" spans="1:4" x14ac:dyDescent="0.25">
      <c r="A3981" t="s">
        <v>2760</v>
      </c>
      <c r="B3981">
        <v>81</v>
      </c>
      <c r="C3981" s="54">
        <v>43191</v>
      </c>
      <c r="D3981" s="3" t="str">
        <f>YEAR(Datos_Consumo[[#This Row],[FECHA]])&amp;"-"&amp;MONTH(Datos_Consumo[[#This Row],[FECHA]])</f>
        <v>2018-4</v>
      </c>
    </row>
    <row r="3982" spans="1:4" x14ac:dyDescent="0.25">
      <c r="A3982" t="s">
        <v>2760</v>
      </c>
      <c r="B3982">
        <v>22</v>
      </c>
      <c r="C3982" s="54">
        <v>43221</v>
      </c>
      <c r="D3982" s="3" t="str">
        <f>YEAR(Datos_Consumo[[#This Row],[FECHA]])&amp;"-"&amp;MONTH(Datos_Consumo[[#This Row],[FECHA]])</f>
        <v>2018-5</v>
      </c>
    </row>
    <row r="3983" spans="1:4" x14ac:dyDescent="0.25">
      <c r="A3983" t="s">
        <v>2761</v>
      </c>
      <c r="B3983">
        <v>1</v>
      </c>
      <c r="C3983" s="54">
        <v>43070</v>
      </c>
      <c r="D3983" s="3" t="str">
        <f>YEAR(Datos_Consumo[[#This Row],[FECHA]])&amp;"-"&amp;MONTH(Datos_Consumo[[#This Row],[FECHA]])</f>
        <v>2017-12</v>
      </c>
    </row>
    <row r="3984" spans="1:4" x14ac:dyDescent="0.25">
      <c r="A3984" t="s">
        <v>4083</v>
      </c>
      <c r="B3984">
        <v>15</v>
      </c>
      <c r="C3984" s="54">
        <v>43191</v>
      </c>
      <c r="D3984" s="3" t="str">
        <f>YEAR(Datos_Consumo[[#This Row],[FECHA]])&amp;"-"&amp;MONTH(Datos_Consumo[[#This Row],[FECHA]])</f>
        <v>2018-4</v>
      </c>
    </row>
    <row r="3985" spans="1:4" x14ac:dyDescent="0.25">
      <c r="A3985" t="s">
        <v>2762</v>
      </c>
      <c r="B3985">
        <v>1</v>
      </c>
      <c r="C3985" s="54">
        <v>43191</v>
      </c>
      <c r="D3985" s="3" t="str">
        <f>YEAR(Datos_Consumo[[#This Row],[FECHA]])&amp;"-"&amp;MONTH(Datos_Consumo[[#This Row],[FECHA]])</f>
        <v>2018-4</v>
      </c>
    </row>
    <row r="3986" spans="1:4" x14ac:dyDescent="0.25">
      <c r="A3986" t="s">
        <v>2763</v>
      </c>
      <c r="B3986">
        <v>3</v>
      </c>
      <c r="C3986" s="54">
        <v>43160</v>
      </c>
      <c r="D3986" s="3" t="str">
        <f>YEAR(Datos_Consumo[[#This Row],[FECHA]])&amp;"-"&amp;MONTH(Datos_Consumo[[#This Row],[FECHA]])</f>
        <v>2018-3</v>
      </c>
    </row>
    <row r="3987" spans="1:4" x14ac:dyDescent="0.25">
      <c r="A3987" t="s">
        <v>2764</v>
      </c>
      <c r="B3987">
        <v>15</v>
      </c>
      <c r="C3987" s="54">
        <v>43070</v>
      </c>
      <c r="D3987" s="3" t="str">
        <f>YEAR(Datos_Consumo[[#This Row],[FECHA]])&amp;"-"&amp;MONTH(Datos_Consumo[[#This Row],[FECHA]])</f>
        <v>2017-12</v>
      </c>
    </row>
    <row r="3988" spans="1:4" x14ac:dyDescent="0.25">
      <c r="A3988" t="s">
        <v>2764</v>
      </c>
      <c r="B3988">
        <v>30</v>
      </c>
      <c r="C3988" s="54">
        <v>43101</v>
      </c>
      <c r="D3988" s="3" t="str">
        <f>YEAR(Datos_Consumo[[#This Row],[FECHA]])&amp;"-"&amp;MONTH(Datos_Consumo[[#This Row],[FECHA]])</f>
        <v>2018-1</v>
      </c>
    </row>
    <row r="3989" spans="1:4" x14ac:dyDescent="0.25">
      <c r="A3989" t="s">
        <v>2764</v>
      </c>
      <c r="B3989">
        <v>8</v>
      </c>
      <c r="C3989" s="54">
        <v>43160</v>
      </c>
      <c r="D3989" s="3" t="str">
        <f>YEAR(Datos_Consumo[[#This Row],[FECHA]])&amp;"-"&amp;MONTH(Datos_Consumo[[#This Row],[FECHA]])</f>
        <v>2018-3</v>
      </c>
    </row>
    <row r="3990" spans="1:4" x14ac:dyDescent="0.25">
      <c r="A3990" t="s">
        <v>2764</v>
      </c>
      <c r="B3990">
        <v>60</v>
      </c>
      <c r="C3990" s="54">
        <v>43191</v>
      </c>
      <c r="D3990" s="3" t="str">
        <f>YEAR(Datos_Consumo[[#This Row],[FECHA]])&amp;"-"&amp;MONTH(Datos_Consumo[[#This Row],[FECHA]])</f>
        <v>2018-4</v>
      </c>
    </row>
    <row r="3991" spans="1:4" x14ac:dyDescent="0.25">
      <c r="A3991" t="s">
        <v>2765</v>
      </c>
      <c r="B3991">
        <v>2</v>
      </c>
      <c r="C3991" s="54">
        <v>43101</v>
      </c>
      <c r="D3991" s="3" t="str">
        <f>YEAR(Datos_Consumo[[#This Row],[FECHA]])&amp;"-"&amp;MONTH(Datos_Consumo[[#This Row],[FECHA]])</f>
        <v>2018-1</v>
      </c>
    </row>
    <row r="3992" spans="1:4" x14ac:dyDescent="0.25">
      <c r="A3992" t="s">
        <v>2766</v>
      </c>
      <c r="B3992">
        <v>1</v>
      </c>
      <c r="C3992" s="54">
        <v>43101</v>
      </c>
      <c r="D3992" s="3" t="str">
        <f>YEAR(Datos_Consumo[[#This Row],[FECHA]])&amp;"-"&amp;MONTH(Datos_Consumo[[#This Row],[FECHA]])</f>
        <v>2018-1</v>
      </c>
    </row>
    <row r="3993" spans="1:4" x14ac:dyDescent="0.25">
      <c r="A3993" t="s">
        <v>4084</v>
      </c>
      <c r="B3993">
        <v>8</v>
      </c>
      <c r="C3993" s="54">
        <v>43191</v>
      </c>
      <c r="D3993" s="3" t="str">
        <f>YEAR(Datos_Consumo[[#This Row],[FECHA]])&amp;"-"&amp;MONTH(Datos_Consumo[[#This Row],[FECHA]])</f>
        <v>2018-4</v>
      </c>
    </row>
    <row r="3994" spans="1:4" x14ac:dyDescent="0.25">
      <c r="A3994" t="s">
        <v>2767</v>
      </c>
      <c r="B3994">
        <v>1</v>
      </c>
      <c r="C3994" s="54">
        <v>43101</v>
      </c>
      <c r="D3994" s="3" t="str">
        <f>YEAR(Datos_Consumo[[#This Row],[FECHA]])&amp;"-"&amp;MONTH(Datos_Consumo[[#This Row],[FECHA]])</f>
        <v>2018-1</v>
      </c>
    </row>
    <row r="3995" spans="1:4" x14ac:dyDescent="0.25">
      <c r="A3995" t="s">
        <v>2768</v>
      </c>
      <c r="B3995">
        <v>1</v>
      </c>
      <c r="C3995" s="54">
        <v>43101</v>
      </c>
      <c r="D3995" s="3" t="str">
        <f>YEAR(Datos_Consumo[[#This Row],[FECHA]])&amp;"-"&amp;MONTH(Datos_Consumo[[#This Row],[FECHA]])</f>
        <v>2018-1</v>
      </c>
    </row>
    <row r="3996" spans="1:4" x14ac:dyDescent="0.25">
      <c r="A3996" t="s">
        <v>2768</v>
      </c>
      <c r="B3996">
        <v>10</v>
      </c>
      <c r="C3996" s="54">
        <v>43191</v>
      </c>
      <c r="D3996" s="3" t="str">
        <f>YEAR(Datos_Consumo[[#This Row],[FECHA]])&amp;"-"&amp;MONTH(Datos_Consumo[[#This Row],[FECHA]])</f>
        <v>2018-4</v>
      </c>
    </row>
    <row r="3997" spans="1:4" x14ac:dyDescent="0.25">
      <c r="A3997" t="s">
        <v>2769</v>
      </c>
      <c r="B3997">
        <v>2</v>
      </c>
      <c r="C3997" s="54">
        <v>43160</v>
      </c>
      <c r="D3997" s="3" t="str">
        <f>YEAR(Datos_Consumo[[#This Row],[FECHA]])&amp;"-"&amp;MONTH(Datos_Consumo[[#This Row],[FECHA]])</f>
        <v>2018-3</v>
      </c>
    </row>
    <row r="3998" spans="1:4" x14ac:dyDescent="0.25">
      <c r="A3998" t="s">
        <v>2770</v>
      </c>
      <c r="B3998">
        <v>2</v>
      </c>
      <c r="C3998" s="54">
        <v>43070</v>
      </c>
      <c r="D3998" s="3" t="str">
        <f>YEAR(Datos_Consumo[[#This Row],[FECHA]])&amp;"-"&amp;MONTH(Datos_Consumo[[#This Row],[FECHA]])</f>
        <v>2017-12</v>
      </c>
    </row>
    <row r="3999" spans="1:4" x14ac:dyDescent="0.25">
      <c r="A3999" t="s">
        <v>2770</v>
      </c>
      <c r="B3999">
        <v>5</v>
      </c>
      <c r="C3999" s="54">
        <v>43160</v>
      </c>
      <c r="D3999" s="3" t="str">
        <f>YEAR(Datos_Consumo[[#This Row],[FECHA]])&amp;"-"&amp;MONTH(Datos_Consumo[[#This Row],[FECHA]])</f>
        <v>2018-3</v>
      </c>
    </row>
    <row r="4000" spans="1:4" x14ac:dyDescent="0.25">
      <c r="A4000" t="s">
        <v>2771</v>
      </c>
      <c r="B4000">
        <v>1</v>
      </c>
      <c r="C4000" s="54">
        <v>43101</v>
      </c>
      <c r="D4000" s="3" t="str">
        <f>YEAR(Datos_Consumo[[#This Row],[FECHA]])&amp;"-"&amp;MONTH(Datos_Consumo[[#This Row],[FECHA]])</f>
        <v>2018-1</v>
      </c>
    </row>
    <row r="4001" spans="1:4" x14ac:dyDescent="0.25">
      <c r="A4001" t="s">
        <v>2772</v>
      </c>
      <c r="B4001">
        <v>5</v>
      </c>
      <c r="C4001" s="54">
        <v>43070</v>
      </c>
      <c r="D4001" s="3" t="str">
        <f>YEAR(Datos_Consumo[[#This Row],[FECHA]])&amp;"-"&amp;MONTH(Datos_Consumo[[#This Row],[FECHA]])</f>
        <v>2017-12</v>
      </c>
    </row>
    <row r="4002" spans="1:4" x14ac:dyDescent="0.25">
      <c r="A4002" t="s">
        <v>2772</v>
      </c>
      <c r="B4002">
        <v>9</v>
      </c>
      <c r="C4002" s="54">
        <v>43101</v>
      </c>
      <c r="D4002" s="3" t="str">
        <f>YEAR(Datos_Consumo[[#This Row],[FECHA]])&amp;"-"&amp;MONTH(Datos_Consumo[[#This Row],[FECHA]])</f>
        <v>2018-1</v>
      </c>
    </row>
    <row r="4003" spans="1:4" x14ac:dyDescent="0.25">
      <c r="A4003" t="s">
        <v>2772</v>
      </c>
      <c r="B4003">
        <v>16</v>
      </c>
      <c r="C4003" s="54">
        <v>43160</v>
      </c>
      <c r="D4003" s="3" t="str">
        <f>YEAR(Datos_Consumo[[#This Row],[FECHA]])&amp;"-"&amp;MONTH(Datos_Consumo[[#This Row],[FECHA]])</f>
        <v>2018-3</v>
      </c>
    </row>
    <row r="4004" spans="1:4" x14ac:dyDescent="0.25">
      <c r="A4004" t="s">
        <v>2772</v>
      </c>
      <c r="B4004">
        <v>5</v>
      </c>
      <c r="C4004" s="54">
        <v>43191</v>
      </c>
      <c r="D4004" s="3" t="str">
        <f>YEAR(Datos_Consumo[[#This Row],[FECHA]])&amp;"-"&amp;MONTH(Datos_Consumo[[#This Row],[FECHA]])</f>
        <v>2018-4</v>
      </c>
    </row>
    <row r="4005" spans="1:4" x14ac:dyDescent="0.25">
      <c r="A4005" t="s">
        <v>2773</v>
      </c>
      <c r="B4005">
        <v>15</v>
      </c>
      <c r="C4005" s="54">
        <v>43101</v>
      </c>
      <c r="D4005" s="3" t="str">
        <f>YEAR(Datos_Consumo[[#This Row],[FECHA]])&amp;"-"&amp;MONTH(Datos_Consumo[[#This Row],[FECHA]])</f>
        <v>2018-1</v>
      </c>
    </row>
    <row r="4006" spans="1:4" x14ac:dyDescent="0.25">
      <c r="A4006" t="s">
        <v>2773</v>
      </c>
      <c r="B4006">
        <v>8</v>
      </c>
      <c r="C4006" s="54">
        <v>43132</v>
      </c>
      <c r="D4006" s="3" t="str">
        <f>YEAR(Datos_Consumo[[#This Row],[FECHA]])&amp;"-"&amp;MONTH(Datos_Consumo[[#This Row],[FECHA]])</f>
        <v>2018-2</v>
      </c>
    </row>
    <row r="4007" spans="1:4" x14ac:dyDescent="0.25">
      <c r="A4007" t="s">
        <v>2773</v>
      </c>
      <c r="B4007">
        <v>2</v>
      </c>
      <c r="C4007" s="54">
        <v>43160</v>
      </c>
      <c r="D4007" s="3" t="str">
        <f>YEAR(Datos_Consumo[[#This Row],[FECHA]])&amp;"-"&amp;MONTH(Datos_Consumo[[#This Row],[FECHA]])</f>
        <v>2018-3</v>
      </c>
    </row>
    <row r="4008" spans="1:4" x14ac:dyDescent="0.25">
      <c r="A4008" t="s">
        <v>2774</v>
      </c>
      <c r="B4008">
        <v>15</v>
      </c>
      <c r="C4008" s="54">
        <v>43101</v>
      </c>
      <c r="D4008" s="3" t="str">
        <f>YEAR(Datos_Consumo[[#This Row],[FECHA]])&amp;"-"&amp;MONTH(Datos_Consumo[[#This Row],[FECHA]])</f>
        <v>2018-1</v>
      </c>
    </row>
    <row r="4009" spans="1:4" x14ac:dyDescent="0.25">
      <c r="A4009" t="s">
        <v>2774</v>
      </c>
      <c r="B4009">
        <v>10</v>
      </c>
      <c r="C4009" s="54">
        <v>43132</v>
      </c>
      <c r="D4009" s="3" t="str">
        <f>YEAR(Datos_Consumo[[#This Row],[FECHA]])&amp;"-"&amp;MONTH(Datos_Consumo[[#This Row],[FECHA]])</f>
        <v>2018-2</v>
      </c>
    </row>
    <row r="4010" spans="1:4" x14ac:dyDescent="0.25">
      <c r="A4010" t="s">
        <v>2775</v>
      </c>
      <c r="B4010">
        <v>3</v>
      </c>
      <c r="C4010" s="54">
        <v>43132</v>
      </c>
      <c r="D4010" s="3" t="str">
        <f>YEAR(Datos_Consumo[[#This Row],[FECHA]])&amp;"-"&amp;MONTH(Datos_Consumo[[#This Row],[FECHA]])</f>
        <v>2018-2</v>
      </c>
    </row>
    <row r="4011" spans="1:4" x14ac:dyDescent="0.25">
      <c r="A4011" t="s">
        <v>2776</v>
      </c>
      <c r="B4011">
        <v>3</v>
      </c>
      <c r="C4011" s="54">
        <v>43132</v>
      </c>
      <c r="D4011" s="3" t="str">
        <f>YEAR(Datos_Consumo[[#This Row],[FECHA]])&amp;"-"&amp;MONTH(Datos_Consumo[[#This Row],[FECHA]])</f>
        <v>2018-2</v>
      </c>
    </row>
    <row r="4012" spans="1:4" x14ac:dyDescent="0.25">
      <c r="A4012" t="s">
        <v>2777</v>
      </c>
      <c r="B4012">
        <v>3</v>
      </c>
      <c r="C4012" s="54">
        <v>43132</v>
      </c>
      <c r="D4012" s="3" t="str">
        <f>YEAR(Datos_Consumo[[#This Row],[FECHA]])&amp;"-"&amp;MONTH(Datos_Consumo[[#This Row],[FECHA]])</f>
        <v>2018-2</v>
      </c>
    </row>
    <row r="4013" spans="1:4" x14ac:dyDescent="0.25">
      <c r="A4013" t="s">
        <v>2777</v>
      </c>
      <c r="B4013">
        <v>4</v>
      </c>
      <c r="C4013" s="54">
        <v>43191</v>
      </c>
      <c r="D4013" s="3" t="str">
        <f>YEAR(Datos_Consumo[[#This Row],[FECHA]])&amp;"-"&amp;MONTH(Datos_Consumo[[#This Row],[FECHA]])</f>
        <v>2018-4</v>
      </c>
    </row>
    <row r="4014" spans="1:4" x14ac:dyDescent="0.25">
      <c r="A4014" t="s">
        <v>2778</v>
      </c>
      <c r="B4014">
        <v>5</v>
      </c>
      <c r="C4014" s="54">
        <v>43070</v>
      </c>
      <c r="D4014" s="3" t="str">
        <f>YEAR(Datos_Consumo[[#This Row],[FECHA]])&amp;"-"&amp;MONTH(Datos_Consumo[[#This Row],[FECHA]])</f>
        <v>2017-12</v>
      </c>
    </row>
    <row r="4015" spans="1:4" x14ac:dyDescent="0.25">
      <c r="A4015" t="s">
        <v>2778</v>
      </c>
      <c r="B4015">
        <v>1</v>
      </c>
      <c r="C4015" s="54">
        <v>43101</v>
      </c>
      <c r="D4015" s="3" t="str">
        <f>YEAR(Datos_Consumo[[#This Row],[FECHA]])&amp;"-"&amp;MONTH(Datos_Consumo[[#This Row],[FECHA]])</f>
        <v>2018-1</v>
      </c>
    </row>
    <row r="4016" spans="1:4" x14ac:dyDescent="0.25">
      <c r="A4016" t="s">
        <v>2778</v>
      </c>
      <c r="B4016">
        <v>1</v>
      </c>
      <c r="C4016" s="54">
        <v>43160</v>
      </c>
      <c r="D4016" s="3" t="str">
        <f>YEAR(Datos_Consumo[[#This Row],[FECHA]])&amp;"-"&amp;MONTH(Datos_Consumo[[#This Row],[FECHA]])</f>
        <v>2018-3</v>
      </c>
    </row>
    <row r="4017" spans="1:4" x14ac:dyDescent="0.25">
      <c r="A4017" t="s">
        <v>2778</v>
      </c>
      <c r="B4017">
        <v>9</v>
      </c>
      <c r="C4017" s="54">
        <v>43191</v>
      </c>
      <c r="D4017" s="3" t="str">
        <f>YEAR(Datos_Consumo[[#This Row],[FECHA]])&amp;"-"&amp;MONTH(Datos_Consumo[[#This Row],[FECHA]])</f>
        <v>2018-4</v>
      </c>
    </row>
    <row r="4018" spans="1:4" x14ac:dyDescent="0.25">
      <c r="A4018" t="s">
        <v>2779</v>
      </c>
      <c r="B4018">
        <v>7</v>
      </c>
      <c r="C4018" s="54">
        <v>43101</v>
      </c>
      <c r="D4018" s="3" t="str">
        <f>YEAR(Datos_Consumo[[#This Row],[FECHA]])&amp;"-"&amp;MONTH(Datos_Consumo[[#This Row],[FECHA]])</f>
        <v>2018-1</v>
      </c>
    </row>
    <row r="4019" spans="1:4" x14ac:dyDescent="0.25">
      <c r="A4019" t="s">
        <v>2779</v>
      </c>
      <c r="B4019">
        <v>1</v>
      </c>
      <c r="C4019" s="54">
        <v>43160</v>
      </c>
      <c r="D4019" s="3" t="str">
        <f>YEAR(Datos_Consumo[[#This Row],[FECHA]])&amp;"-"&amp;MONTH(Datos_Consumo[[#This Row],[FECHA]])</f>
        <v>2018-3</v>
      </c>
    </row>
    <row r="4020" spans="1:4" x14ac:dyDescent="0.25">
      <c r="A4020" t="s">
        <v>2779</v>
      </c>
      <c r="B4020">
        <v>9</v>
      </c>
      <c r="C4020" s="54">
        <v>43191</v>
      </c>
      <c r="D4020" s="3" t="str">
        <f>YEAR(Datos_Consumo[[#This Row],[FECHA]])&amp;"-"&amp;MONTH(Datos_Consumo[[#This Row],[FECHA]])</f>
        <v>2018-4</v>
      </c>
    </row>
    <row r="4021" spans="1:4" x14ac:dyDescent="0.25">
      <c r="A4021" t="s">
        <v>4085</v>
      </c>
      <c r="B4021">
        <v>4</v>
      </c>
      <c r="C4021" s="54">
        <v>43221</v>
      </c>
      <c r="D4021" s="3" t="str">
        <f>YEAR(Datos_Consumo[[#This Row],[FECHA]])&amp;"-"&amp;MONTH(Datos_Consumo[[#This Row],[FECHA]])</f>
        <v>2018-5</v>
      </c>
    </row>
    <row r="4022" spans="1:4" x14ac:dyDescent="0.25">
      <c r="A4022" t="s">
        <v>2780</v>
      </c>
      <c r="B4022">
        <v>1</v>
      </c>
      <c r="C4022" s="54">
        <v>43070</v>
      </c>
      <c r="D4022" s="3" t="str">
        <f>YEAR(Datos_Consumo[[#This Row],[FECHA]])&amp;"-"&amp;MONTH(Datos_Consumo[[#This Row],[FECHA]])</f>
        <v>2017-12</v>
      </c>
    </row>
    <row r="4023" spans="1:4" x14ac:dyDescent="0.25">
      <c r="A4023" t="s">
        <v>2780</v>
      </c>
      <c r="B4023">
        <v>2</v>
      </c>
      <c r="C4023" s="54">
        <v>43160</v>
      </c>
      <c r="D4023" s="3" t="str">
        <f>YEAR(Datos_Consumo[[#This Row],[FECHA]])&amp;"-"&amp;MONTH(Datos_Consumo[[#This Row],[FECHA]])</f>
        <v>2018-3</v>
      </c>
    </row>
    <row r="4024" spans="1:4" x14ac:dyDescent="0.25">
      <c r="A4024" t="s">
        <v>2780</v>
      </c>
      <c r="B4024">
        <v>3</v>
      </c>
      <c r="C4024" s="54">
        <v>43191</v>
      </c>
      <c r="D4024" s="3" t="str">
        <f>YEAR(Datos_Consumo[[#This Row],[FECHA]])&amp;"-"&amp;MONTH(Datos_Consumo[[#This Row],[FECHA]])</f>
        <v>2018-4</v>
      </c>
    </row>
    <row r="4025" spans="1:4" x14ac:dyDescent="0.25">
      <c r="A4025" t="s">
        <v>2781</v>
      </c>
      <c r="B4025">
        <v>8</v>
      </c>
      <c r="C4025" s="54">
        <v>43070</v>
      </c>
      <c r="D4025" s="3" t="str">
        <f>YEAR(Datos_Consumo[[#This Row],[FECHA]])&amp;"-"&amp;MONTH(Datos_Consumo[[#This Row],[FECHA]])</f>
        <v>2017-12</v>
      </c>
    </row>
    <row r="4026" spans="1:4" x14ac:dyDescent="0.25">
      <c r="A4026" t="s">
        <v>2781</v>
      </c>
      <c r="B4026">
        <v>2</v>
      </c>
      <c r="C4026" s="54">
        <v>43101</v>
      </c>
      <c r="D4026" s="3" t="str">
        <f>YEAR(Datos_Consumo[[#This Row],[FECHA]])&amp;"-"&amp;MONTH(Datos_Consumo[[#This Row],[FECHA]])</f>
        <v>2018-1</v>
      </c>
    </row>
    <row r="4027" spans="1:4" x14ac:dyDescent="0.25">
      <c r="A4027" t="s">
        <v>2781</v>
      </c>
      <c r="B4027">
        <v>6</v>
      </c>
      <c r="C4027" s="54">
        <v>43160</v>
      </c>
      <c r="D4027" s="3" t="str">
        <f>YEAR(Datos_Consumo[[#This Row],[FECHA]])&amp;"-"&amp;MONTH(Datos_Consumo[[#This Row],[FECHA]])</f>
        <v>2018-3</v>
      </c>
    </row>
    <row r="4028" spans="1:4" x14ac:dyDescent="0.25">
      <c r="A4028" t="s">
        <v>2781</v>
      </c>
      <c r="B4028">
        <v>5</v>
      </c>
      <c r="C4028" s="54">
        <v>43191</v>
      </c>
      <c r="D4028" s="3" t="str">
        <f>YEAR(Datos_Consumo[[#This Row],[FECHA]])&amp;"-"&amp;MONTH(Datos_Consumo[[#This Row],[FECHA]])</f>
        <v>2018-4</v>
      </c>
    </row>
    <row r="4029" spans="1:4" x14ac:dyDescent="0.25">
      <c r="A4029" t="s">
        <v>2782</v>
      </c>
      <c r="B4029">
        <v>1</v>
      </c>
      <c r="C4029" s="54">
        <v>43101</v>
      </c>
      <c r="D4029" s="3" t="str">
        <f>YEAR(Datos_Consumo[[#This Row],[FECHA]])&amp;"-"&amp;MONTH(Datos_Consumo[[#This Row],[FECHA]])</f>
        <v>2018-1</v>
      </c>
    </row>
    <row r="4030" spans="1:4" x14ac:dyDescent="0.25">
      <c r="A4030" t="s">
        <v>2782</v>
      </c>
      <c r="B4030">
        <v>2</v>
      </c>
      <c r="C4030" s="54">
        <v>43132</v>
      </c>
      <c r="D4030" s="3" t="str">
        <f>YEAR(Datos_Consumo[[#This Row],[FECHA]])&amp;"-"&amp;MONTH(Datos_Consumo[[#This Row],[FECHA]])</f>
        <v>2018-2</v>
      </c>
    </row>
    <row r="4031" spans="1:4" x14ac:dyDescent="0.25">
      <c r="A4031" t="s">
        <v>2782</v>
      </c>
      <c r="B4031">
        <v>2</v>
      </c>
      <c r="C4031" s="54">
        <v>43160</v>
      </c>
      <c r="D4031" s="3" t="str">
        <f>YEAR(Datos_Consumo[[#This Row],[FECHA]])&amp;"-"&amp;MONTH(Datos_Consumo[[#This Row],[FECHA]])</f>
        <v>2018-3</v>
      </c>
    </row>
    <row r="4032" spans="1:4" x14ac:dyDescent="0.25">
      <c r="A4032" t="s">
        <v>2783</v>
      </c>
      <c r="B4032">
        <v>1</v>
      </c>
      <c r="C4032" s="54">
        <v>43132</v>
      </c>
      <c r="D4032" s="3" t="str">
        <f>YEAR(Datos_Consumo[[#This Row],[FECHA]])&amp;"-"&amp;MONTH(Datos_Consumo[[#This Row],[FECHA]])</f>
        <v>2018-2</v>
      </c>
    </row>
    <row r="4033" spans="1:4" x14ac:dyDescent="0.25">
      <c r="A4033" t="s">
        <v>2784</v>
      </c>
      <c r="B4033">
        <v>5</v>
      </c>
      <c r="C4033" s="54">
        <v>43101</v>
      </c>
      <c r="D4033" s="3" t="str">
        <f>YEAR(Datos_Consumo[[#This Row],[FECHA]])&amp;"-"&amp;MONTH(Datos_Consumo[[#This Row],[FECHA]])</f>
        <v>2018-1</v>
      </c>
    </row>
    <row r="4034" spans="1:4" x14ac:dyDescent="0.25">
      <c r="A4034" t="s">
        <v>2785</v>
      </c>
      <c r="B4034">
        <v>1</v>
      </c>
      <c r="C4034" s="54">
        <v>43132</v>
      </c>
      <c r="D4034" s="3" t="str">
        <f>YEAR(Datos_Consumo[[#This Row],[FECHA]])&amp;"-"&amp;MONTH(Datos_Consumo[[#This Row],[FECHA]])</f>
        <v>2018-2</v>
      </c>
    </row>
    <row r="4035" spans="1:4" x14ac:dyDescent="0.25">
      <c r="A4035" t="s">
        <v>2785</v>
      </c>
      <c r="B4035">
        <v>1</v>
      </c>
      <c r="C4035" s="54">
        <v>43191</v>
      </c>
      <c r="D4035" s="3" t="str">
        <f>YEAR(Datos_Consumo[[#This Row],[FECHA]])&amp;"-"&amp;MONTH(Datos_Consumo[[#This Row],[FECHA]])</f>
        <v>2018-4</v>
      </c>
    </row>
    <row r="4036" spans="1:4" x14ac:dyDescent="0.25">
      <c r="A4036" t="s">
        <v>2786</v>
      </c>
      <c r="B4036">
        <v>13</v>
      </c>
      <c r="C4036" s="54">
        <v>43070</v>
      </c>
      <c r="D4036" s="3" t="str">
        <f>YEAR(Datos_Consumo[[#This Row],[FECHA]])&amp;"-"&amp;MONTH(Datos_Consumo[[#This Row],[FECHA]])</f>
        <v>2017-12</v>
      </c>
    </row>
    <row r="4037" spans="1:4" x14ac:dyDescent="0.25">
      <c r="A4037" t="s">
        <v>2786</v>
      </c>
      <c r="B4037">
        <v>37</v>
      </c>
      <c r="C4037" s="54">
        <v>43101</v>
      </c>
      <c r="D4037" s="3" t="str">
        <f>YEAR(Datos_Consumo[[#This Row],[FECHA]])&amp;"-"&amp;MONTH(Datos_Consumo[[#This Row],[FECHA]])</f>
        <v>2018-1</v>
      </c>
    </row>
    <row r="4038" spans="1:4" x14ac:dyDescent="0.25">
      <c r="A4038" t="s">
        <v>2786</v>
      </c>
      <c r="B4038">
        <v>29</v>
      </c>
      <c r="C4038" s="54">
        <v>43132</v>
      </c>
      <c r="D4038" s="3" t="str">
        <f>YEAR(Datos_Consumo[[#This Row],[FECHA]])&amp;"-"&amp;MONTH(Datos_Consumo[[#This Row],[FECHA]])</f>
        <v>2018-2</v>
      </c>
    </row>
    <row r="4039" spans="1:4" x14ac:dyDescent="0.25">
      <c r="A4039" t="s">
        <v>2786</v>
      </c>
      <c r="B4039">
        <v>122</v>
      </c>
      <c r="C4039" s="54">
        <v>43160</v>
      </c>
      <c r="D4039" s="3" t="str">
        <f>YEAR(Datos_Consumo[[#This Row],[FECHA]])&amp;"-"&amp;MONTH(Datos_Consumo[[#This Row],[FECHA]])</f>
        <v>2018-3</v>
      </c>
    </row>
    <row r="4040" spans="1:4" x14ac:dyDescent="0.25">
      <c r="A4040" t="s">
        <v>2786</v>
      </c>
      <c r="B4040">
        <v>36</v>
      </c>
      <c r="C4040" s="54">
        <v>43191</v>
      </c>
      <c r="D4040" s="3" t="str">
        <f>YEAR(Datos_Consumo[[#This Row],[FECHA]])&amp;"-"&amp;MONTH(Datos_Consumo[[#This Row],[FECHA]])</f>
        <v>2018-4</v>
      </c>
    </row>
    <row r="4041" spans="1:4" x14ac:dyDescent="0.25">
      <c r="A4041" t="s">
        <v>2786</v>
      </c>
      <c r="B4041">
        <v>14</v>
      </c>
      <c r="C4041" s="54">
        <v>43221</v>
      </c>
      <c r="D4041" s="3" t="str">
        <f>YEAR(Datos_Consumo[[#This Row],[FECHA]])&amp;"-"&amp;MONTH(Datos_Consumo[[#This Row],[FECHA]])</f>
        <v>2018-5</v>
      </c>
    </row>
    <row r="4042" spans="1:4" x14ac:dyDescent="0.25">
      <c r="A4042" t="s">
        <v>2787</v>
      </c>
      <c r="B4042">
        <v>1</v>
      </c>
      <c r="C4042" s="54">
        <v>43101</v>
      </c>
      <c r="D4042" s="3" t="str">
        <f>YEAR(Datos_Consumo[[#This Row],[FECHA]])&amp;"-"&amp;MONTH(Datos_Consumo[[#This Row],[FECHA]])</f>
        <v>2018-1</v>
      </c>
    </row>
    <row r="4043" spans="1:4" x14ac:dyDescent="0.25">
      <c r="A4043" t="s">
        <v>2788</v>
      </c>
      <c r="B4043">
        <v>3</v>
      </c>
      <c r="C4043" s="54">
        <v>43160</v>
      </c>
      <c r="D4043" s="3" t="str">
        <f>YEAR(Datos_Consumo[[#This Row],[FECHA]])&amp;"-"&amp;MONTH(Datos_Consumo[[#This Row],[FECHA]])</f>
        <v>2018-3</v>
      </c>
    </row>
    <row r="4044" spans="1:4" x14ac:dyDescent="0.25">
      <c r="A4044" t="s">
        <v>2788</v>
      </c>
      <c r="B4044">
        <v>2</v>
      </c>
      <c r="C4044" s="54">
        <v>43191</v>
      </c>
      <c r="D4044" s="3" t="str">
        <f>YEAR(Datos_Consumo[[#This Row],[FECHA]])&amp;"-"&amp;MONTH(Datos_Consumo[[#This Row],[FECHA]])</f>
        <v>2018-4</v>
      </c>
    </row>
    <row r="4045" spans="1:4" x14ac:dyDescent="0.25">
      <c r="A4045" t="s">
        <v>2789</v>
      </c>
      <c r="B4045">
        <v>2</v>
      </c>
      <c r="C4045" s="54">
        <v>43070</v>
      </c>
      <c r="D4045" s="3" t="str">
        <f>YEAR(Datos_Consumo[[#This Row],[FECHA]])&amp;"-"&amp;MONTH(Datos_Consumo[[#This Row],[FECHA]])</f>
        <v>2017-12</v>
      </c>
    </row>
    <row r="4046" spans="1:4" x14ac:dyDescent="0.25">
      <c r="A4046" t="s">
        <v>2789</v>
      </c>
      <c r="B4046">
        <v>15</v>
      </c>
      <c r="C4046" s="54">
        <v>43101</v>
      </c>
      <c r="D4046" s="3" t="str">
        <f>YEAR(Datos_Consumo[[#This Row],[FECHA]])&amp;"-"&amp;MONTH(Datos_Consumo[[#This Row],[FECHA]])</f>
        <v>2018-1</v>
      </c>
    </row>
    <row r="4047" spans="1:4" x14ac:dyDescent="0.25">
      <c r="A4047" t="s">
        <v>2790</v>
      </c>
      <c r="B4047">
        <v>2</v>
      </c>
      <c r="C4047" s="54">
        <v>43101</v>
      </c>
      <c r="D4047" s="3" t="str">
        <f>YEAR(Datos_Consumo[[#This Row],[FECHA]])&amp;"-"&amp;MONTH(Datos_Consumo[[#This Row],[FECHA]])</f>
        <v>2018-1</v>
      </c>
    </row>
    <row r="4048" spans="1:4" x14ac:dyDescent="0.25">
      <c r="A4048" t="s">
        <v>1421</v>
      </c>
      <c r="B4048">
        <v>2</v>
      </c>
      <c r="C4048" s="54">
        <v>43070</v>
      </c>
      <c r="D4048" s="3" t="str">
        <f>YEAR(Datos_Consumo[[#This Row],[FECHA]])&amp;"-"&amp;MONTH(Datos_Consumo[[#This Row],[FECHA]])</f>
        <v>2017-12</v>
      </c>
    </row>
    <row r="4049" spans="1:4" x14ac:dyDescent="0.25">
      <c r="A4049" t="s">
        <v>1421</v>
      </c>
      <c r="B4049">
        <v>5</v>
      </c>
      <c r="C4049" s="54">
        <v>43101</v>
      </c>
      <c r="D4049" s="3" t="str">
        <f>YEAR(Datos_Consumo[[#This Row],[FECHA]])&amp;"-"&amp;MONTH(Datos_Consumo[[#This Row],[FECHA]])</f>
        <v>2018-1</v>
      </c>
    </row>
    <row r="4050" spans="1:4" x14ac:dyDescent="0.25">
      <c r="A4050" t="s">
        <v>1421</v>
      </c>
      <c r="B4050">
        <v>1</v>
      </c>
      <c r="C4050" s="54">
        <v>43132</v>
      </c>
      <c r="D4050" s="3" t="str">
        <f>YEAR(Datos_Consumo[[#This Row],[FECHA]])&amp;"-"&amp;MONTH(Datos_Consumo[[#This Row],[FECHA]])</f>
        <v>2018-2</v>
      </c>
    </row>
    <row r="4051" spans="1:4" x14ac:dyDescent="0.25">
      <c r="A4051" t="s">
        <v>2791</v>
      </c>
      <c r="B4051">
        <v>1</v>
      </c>
      <c r="C4051" s="54">
        <v>43101</v>
      </c>
      <c r="D4051" s="3" t="str">
        <f>YEAR(Datos_Consumo[[#This Row],[FECHA]])&amp;"-"&amp;MONTH(Datos_Consumo[[#This Row],[FECHA]])</f>
        <v>2018-1</v>
      </c>
    </row>
    <row r="4052" spans="1:4" x14ac:dyDescent="0.25">
      <c r="A4052" t="s">
        <v>2791</v>
      </c>
      <c r="B4052">
        <v>2</v>
      </c>
      <c r="C4052" s="54">
        <v>43132</v>
      </c>
      <c r="D4052" s="3" t="str">
        <f>YEAR(Datos_Consumo[[#This Row],[FECHA]])&amp;"-"&amp;MONTH(Datos_Consumo[[#This Row],[FECHA]])</f>
        <v>2018-2</v>
      </c>
    </row>
    <row r="4053" spans="1:4" x14ac:dyDescent="0.25">
      <c r="A4053" t="s">
        <v>2792</v>
      </c>
      <c r="B4053">
        <v>1</v>
      </c>
      <c r="C4053" s="54">
        <v>43132</v>
      </c>
      <c r="D4053" s="3" t="str">
        <f>YEAR(Datos_Consumo[[#This Row],[FECHA]])&amp;"-"&amp;MONTH(Datos_Consumo[[#This Row],[FECHA]])</f>
        <v>2018-2</v>
      </c>
    </row>
    <row r="4054" spans="1:4" x14ac:dyDescent="0.25">
      <c r="A4054" t="s">
        <v>2793</v>
      </c>
      <c r="B4054">
        <v>1</v>
      </c>
      <c r="C4054" s="54">
        <v>43132</v>
      </c>
      <c r="D4054" s="3" t="str">
        <f>YEAR(Datos_Consumo[[#This Row],[FECHA]])&amp;"-"&amp;MONTH(Datos_Consumo[[#This Row],[FECHA]])</f>
        <v>2018-2</v>
      </c>
    </row>
    <row r="4055" spans="1:4" x14ac:dyDescent="0.25">
      <c r="A4055" t="s">
        <v>1422</v>
      </c>
      <c r="B4055">
        <v>6</v>
      </c>
      <c r="C4055" s="54">
        <v>43132</v>
      </c>
      <c r="D4055" s="3" t="str">
        <f>YEAR(Datos_Consumo[[#This Row],[FECHA]])&amp;"-"&amp;MONTH(Datos_Consumo[[#This Row],[FECHA]])</f>
        <v>2018-2</v>
      </c>
    </row>
    <row r="4056" spans="1:4" x14ac:dyDescent="0.25">
      <c r="A4056" t="s">
        <v>2794</v>
      </c>
      <c r="B4056">
        <v>4</v>
      </c>
      <c r="C4056" s="54">
        <v>43132</v>
      </c>
      <c r="D4056" s="3" t="str">
        <f>YEAR(Datos_Consumo[[#This Row],[FECHA]])&amp;"-"&amp;MONTH(Datos_Consumo[[#This Row],[FECHA]])</f>
        <v>2018-2</v>
      </c>
    </row>
    <row r="4057" spans="1:4" x14ac:dyDescent="0.25">
      <c r="A4057" t="s">
        <v>2794</v>
      </c>
      <c r="B4057">
        <v>5</v>
      </c>
      <c r="C4057" s="54">
        <v>43191</v>
      </c>
      <c r="D4057" s="3" t="str">
        <f>YEAR(Datos_Consumo[[#This Row],[FECHA]])&amp;"-"&amp;MONTH(Datos_Consumo[[#This Row],[FECHA]])</f>
        <v>2018-4</v>
      </c>
    </row>
    <row r="4058" spans="1:4" x14ac:dyDescent="0.25">
      <c r="A4058" t="s">
        <v>2795</v>
      </c>
      <c r="B4058">
        <v>2</v>
      </c>
      <c r="C4058" s="54">
        <v>43101</v>
      </c>
      <c r="D4058" s="3" t="str">
        <f>YEAR(Datos_Consumo[[#This Row],[FECHA]])&amp;"-"&amp;MONTH(Datos_Consumo[[#This Row],[FECHA]])</f>
        <v>2018-1</v>
      </c>
    </row>
    <row r="4059" spans="1:4" x14ac:dyDescent="0.25">
      <c r="A4059" t="s">
        <v>2795</v>
      </c>
      <c r="B4059">
        <v>8</v>
      </c>
      <c r="C4059" s="54">
        <v>43191</v>
      </c>
      <c r="D4059" s="3" t="str">
        <f>YEAR(Datos_Consumo[[#This Row],[FECHA]])&amp;"-"&amp;MONTH(Datos_Consumo[[#This Row],[FECHA]])</f>
        <v>2018-4</v>
      </c>
    </row>
    <row r="4060" spans="1:4" x14ac:dyDescent="0.25">
      <c r="A4060" t="s">
        <v>2796</v>
      </c>
      <c r="B4060">
        <v>5</v>
      </c>
      <c r="C4060" s="54">
        <v>43101</v>
      </c>
      <c r="D4060" s="3" t="str">
        <f>YEAR(Datos_Consumo[[#This Row],[FECHA]])&amp;"-"&amp;MONTH(Datos_Consumo[[#This Row],[FECHA]])</f>
        <v>2018-1</v>
      </c>
    </row>
    <row r="4061" spans="1:4" x14ac:dyDescent="0.25">
      <c r="A4061" t="s">
        <v>2796</v>
      </c>
      <c r="B4061">
        <v>1</v>
      </c>
      <c r="C4061" s="54">
        <v>43132</v>
      </c>
      <c r="D4061" s="3" t="str">
        <f>YEAR(Datos_Consumo[[#This Row],[FECHA]])&amp;"-"&amp;MONTH(Datos_Consumo[[#This Row],[FECHA]])</f>
        <v>2018-2</v>
      </c>
    </row>
    <row r="4062" spans="1:4" x14ac:dyDescent="0.25">
      <c r="A4062" t="s">
        <v>4086</v>
      </c>
      <c r="B4062">
        <v>1</v>
      </c>
      <c r="C4062" s="54">
        <v>43191</v>
      </c>
      <c r="D4062" s="3" t="str">
        <f>YEAR(Datos_Consumo[[#This Row],[FECHA]])&amp;"-"&amp;MONTH(Datos_Consumo[[#This Row],[FECHA]])</f>
        <v>2018-4</v>
      </c>
    </row>
    <row r="4063" spans="1:4" x14ac:dyDescent="0.25">
      <c r="A4063" t="s">
        <v>4087</v>
      </c>
      <c r="B4063">
        <v>4</v>
      </c>
      <c r="C4063" s="54">
        <v>43191</v>
      </c>
      <c r="D4063" s="3" t="str">
        <f>YEAR(Datos_Consumo[[#This Row],[FECHA]])&amp;"-"&amp;MONTH(Datos_Consumo[[#This Row],[FECHA]])</f>
        <v>2018-4</v>
      </c>
    </row>
    <row r="4064" spans="1:4" x14ac:dyDescent="0.25">
      <c r="A4064" t="s">
        <v>1423</v>
      </c>
      <c r="B4064">
        <v>7</v>
      </c>
      <c r="C4064" s="54">
        <v>43101</v>
      </c>
      <c r="D4064" s="3" t="str">
        <f>YEAR(Datos_Consumo[[#This Row],[FECHA]])&amp;"-"&amp;MONTH(Datos_Consumo[[#This Row],[FECHA]])</f>
        <v>2018-1</v>
      </c>
    </row>
    <row r="4065" spans="1:4" x14ac:dyDescent="0.25">
      <c r="A4065" t="s">
        <v>1423</v>
      </c>
      <c r="B4065">
        <v>6</v>
      </c>
      <c r="C4065" s="54">
        <v>43132</v>
      </c>
      <c r="D4065" s="3" t="str">
        <f>YEAR(Datos_Consumo[[#This Row],[FECHA]])&amp;"-"&amp;MONTH(Datos_Consumo[[#This Row],[FECHA]])</f>
        <v>2018-2</v>
      </c>
    </row>
    <row r="4066" spans="1:4" x14ac:dyDescent="0.25">
      <c r="A4066" t="s">
        <v>1423</v>
      </c>
      <c r="B4066">
        <v>1</v>
      </c>
      <c r="C4066" s="54">
        <v>43191</v>
      </c>
      <c r="D4066" s="3" t="str">
        <f>YEAR(Datos_Consumo[[#This Row],[FECHA]])&amp;"-"&amp;MONTH(Datos_Consumo[[#This Row],[FECHA]])</f>
        <v>2018-4</v>
      </c>
    </row>
    <row r="4067" spans="1:4" x14ac:dyDescent="0.25">
      <c r="A4067" t="s">
        <v>2797</v>
      </c>
      <c r="B4067">
        <v>4</v>
      </c>
      <c r="C4067" s="54">
        <v>43101</v>
      </c>
      <c r="D4067" s="3" t="str">
        <f>YEAR(Datos_Consumo[[#This Row],[FECHA]])&amp;"-"&amp;MONTH(Datos_Consumo[[#This Row],[FECHA]])</f>
        <v>2018-1</v>
      </c>
    </row>
    <row r="4068" spans="1:4" x14ac:dyDescent="0.25">
      <c r="A4068" t="s">
        <v>2797</v>
      </c>
      <c r="B4068">
        <v>3</v>
      </c>
      <c r="C4068" s="54">
        <v>43132</v>
      </c>
      <c r="D4068" s="3" t="str">
        <f>YEAR(Datos_Consumo[[#This Row],[FECHA]])&amp;"-"&amp;MONTH(Datos_Consumo[[#This Row],[FECHA]])</f>
        <v>2018-2</v>
      </c>
    </row>
    <row r="4069" spans="1:4" x14ac:dyDescent="0.25">
      <c r="A4069" t="s">
        <v>2797</v>
      </c>
      <c r="B4069">
        <v>2</v>
      </c>
      <c r="C4069" s="54">
        <v>43160</v>
      </c>
      <c r="D4069" s="3" t="str">
        <f>YEAR(Datos_Consumo[[#This Row],[FECHA]])&amp;"-"&amp;MONTH(Datos_Consumo[[#This Row],[FECHA]])</f>
        <v>2018-3</v>
      </c>
    </row>
    <row r="4070" spans="1:4" x14ac:dyDescent="0.25">
      <c r="A4070" t="s">
        <v>2797</v>
      </c>
      <c r="B4070">
        <v>2</v>
      </c>
      <c r="C4070" s="54">
        <v>43191</v>
      </c>
      <c r="D4070" s="3" t="str">
        <f>YEAR(Datos_Consumo[[#This Row],[FECHA]])&amp;"-"&amp;MONTH(Datos_Consumo[[#This Row],[FECHA]])</f>
        <v>2018-4</v>
      </c>
    </row>
    <row r="4071" spans="1:4" x14ac:dyDescent="0.25">
      <c r="A4071" t="s">
        <v>1424</v>
      </c>
      <c r="B4071">
        <v>3</v>
      </c>
      <c r="C4071" s="54">
        <v>43101</v>
      </c>
      <c r="D4071" s="3" t="str">
        <f>YEAR(Datos_Consumo[[#This Row],[FECHA]])&amp;"-"&amp;MONTH(Datos_Consumo[[#This Row],[FECHA]])</f>
        <v>2018-1</v>
      </c>
    </row>
    <row r="4072" spans="1:4" x14ac:dyDescent="0.25">
      <c r="A4072" t="s">
        <v>1424</v>
      </c>
      <c r="B4072">
        <v>4</v>
      </c>
      <c r="C4072" s="54">
        <v>43132</v>
      </c>
      <c r="D4072" s="3" t="str">
        <f>YEAR(Datos_Consumo[[#This Row],[FECHA]])&amp;"-"&amp;MONTH(Datos_Consumo[[#This Row],[FECHA]])</f>
        <v>2018-2</v>
      </c>
    </row>
    <row r="4073" spans="1:4" x14ac:dyDescent="0.25">
      <c r="A4073" t="s">
        <v>1424</v>
      </c>
      <c r="B4073">
        <v>2</v>
      </c>
      <c r="C4073" s="54">
        <v>43160</v>
      </c>
      <c r="D4073" s="3" t="str">
        <f>YEAR(Datos_Consumo[[#This Row],[FECHA]])&amp;"-"&amp;MONTH(Datos_Consumo[[#This Row],[FECHA]])</f>
        <v>2018-3</v>
      </c>
    </row>
    <row r="4074" spans="1:4" x14ac:dyDescent="0.25">
      <c r="A4074" t="s">
        <v>1424</v>
      </c>
      <c r="B4074">
        <v>4</v>
      </c>
      <c r="C4074" s="54">
        <v>43191</v>
      </c>
      <c r="D4074" s="3" t="str">
        <f>YEAR(Datos_Consumo[[#This Row],[FECHA]])&amp;"-"&amp;MONTH(Datos_Consumo[[#This Row],[FECHA]])</f>
        <v>2018-4</v>
      </c>
    </row>
    <row r="4075" spans="1:4" x14ac:dyDescent="0.25">
      <c r="A4075" t="s">
        <v>2798</v>
      </c>
      <c r="B4075">
        <v>5</v>
      </c>
      <c r="C4075" s="54">
        <v>43101</v>
      </c>
      <c r="D4075" s="3" t="str">
        <f>YEAR(Datos_Consumo[[#This Row],[FECHA]])&amp;"-"&amp;MONTH(Datos_Consumo[[#This Row],[FECHA]])</f>
        <v>2018-1</v>
      </c>
    </row>
    <row r="4076" spans="1:4" x14ac:dyDescent="0.25">
      <c r="A4076" t="s">
        <v>2798</v>
      </c>
      <c r="B4076">
        <v>2</v>
      </c>
      <c r="C4076" s="54">
        <v>43132</v>
      </c>
      <c r="D4076" s="3" t="str">
        <f>YEAR(Datos_Consumo[[#This Row],[FECHA]])&amp;"-"&amp;MONTH(Datos_Consumo[[#This Row],[FECHA]])</f>
        <v>2018-2</v>
      </c>
    </row>
    <row r="4077" spans="1:4" x14ac:dyDescent="0.25">
      <c r="A4077" t="s">
        <v>2798</v>
      </c>
      <c r="B4077">
        <v>3</v>
      </c>
      <c r="C4077" s="54">
        <v>43191</v>
      </c>
      <c r="D4077" s="3" t="str">
        <f>YEAR(Datos_Consumo[[#This Row],[FECHA]])&amp;"-"&amp;MONTH(Datos_Consumo[[#This Row],[FECHA]])</f>
        <v>2018-4</v>
      </c>
    </row>
    <row r="4078" spans="1:4" x14ac:dyDescent="0.25">
      <c r="A4078" t="s">
        <v>2799</v>
      </c>
      <c r="B4078">
        <v>4</v>
      </c>
      <c r="C4078" s="54">
        <v>43101</v>
      </c>
      <c r="D4078" s="3" t="str">
        <f>YEAR(Datos_Consumo[[#This Row],[FECHA]])&amp;"-"&amp;MONTH(Datos_Consumo[[#This Row],[FECHA]])</f>
        <v>2018-1</v>
      </c>
    </row>
    <row r="4079" spans="1:4" x14ac:dyDescent="0.25">
      <c r="A4079" t="s">
        <v>2799</v>
      </c>
      <c r="B4079">
        <v>4</v>
      </c>
      <c r="C4079" s="54">
        <v>43191</v>
      </c>
      <c r="D4079" s="3" t="str">
        <f>YEAR(Datos_Consumo[[#This Row],[FECHA]])&amp;"-"&amp;MONTH(Datos_Consumo[[#This Row],[FECHA]])</f>
        <v>2018-4</v>
      </c>
    </row>
    <row r="4080" spans="1:4" x14ac:dyDescent="0.25">
      <c r="A4080" t="s">
        <v>2800</v>
      </c>
      <c r="B4080">
        <v>5</v>
      </c>
      <c r="C4080" s="54">
        <v>43132</v>
      </c>
      <c r="D4080" s="3" t="str">
        <f>YEAR(Datos_Consumo[[#This Row],[FECHA]])&amp;"-"&amp;MONTH(Datos_Consumo[[#This Row],[FECHA]])</f>
        <v>2018-2</v>
      </c>
    </row>
    <row r="4081" spans="1:4" x14ac:dyDescent="0.25">
      <c r="A4081" t="s">
        <v>2800</v>
      </c>
      <c r="B4081">
        <v>5</v>
      </c>
      <c r="C4081" s="54">
        <v>43191</v>
      </c>
      <c r="D4081" s="3" t="str">
        <f>YEAR(Datos_Consumo[[#This Row],[FECHA]])&amp;"-"&amp;MONTH(Datos_Consumo[[#This Row],[FECHA]])</f>
        <v>2018-4</v>
      </c>
    </row>
    <row r="4082" spans="1:4" x14ac:dyDescent="0.25">
      <c r="A4082" t="s">
        <v>2801</v>
      </c>
      <c r="B4082">
        <v>3</v>
      </c>
      <c r="C4082" s="54">
        <v>43101</v>
      </c>
      <c r="D4082" s="3" t="str">
        <f>YEAR(Datos_Consumo[[#This Row],[FECHA]])&amp;"-"&amp;MONTH(Datos_Consumo[[#This Row],[FECHA]])</f>
        <v>2018-1</v>
      </c>
    </row>
    <row r="4083" spans="1:4" x14ac:dyDescent="0.25">
      <c r="A4083" t="s">
        <v>2802</v>
      </c>
      <c r="B4083">
        <v>8</v>
      </c>
      <c r="C4083" s="54">
        <v>43101</v>
      </c>
      <c r="D4083" s="3" t="str">
        <f>YEAR(Datos_Consumo[[#This Row],[FECHA]])&amp;"-"&amp;MONTH(Datos_Consumo[[#This Row],[FECHA]])</f>
        <v>2018-1</v>
      </c>
    </row>
    <row r="4084" spans="1:4" x14ac:dyDescent="0.25">
      <c r="A4084" t="s">
        <v>2802</v>
      </c>
      <c r="B4084">
        <v>4</v>
      </c>
      <c r="C4084" s="54">
        <v>43191</v>
      </c>
      <c r="D4084" s="3" t="str">
        <f>YEAR(Datos_Consumo[[#This Row],[FECHA]])&amp;"-"&amp;MONTH(Datos_Consumo[[#This Row],[FECHA]])</f>
        <v>2018-4</v>
      </c>
    </row>
    <row r="4085" spans="1:4" x14ac:dyDescent="0.25">
      <c r="A4085" t="s">
        <v>2802</v>
      </c>
      <c r="B4085">
        <v>4</v>
      </c>
      <c r="C4085" s="54">
        <v>43221</v>
      </c>
      <c r="D4085" s="3" t="str">
        <f>YEAR(Datos_Consumo[[#This Row],[FECHA]])&amp;"-"&amp;MONTH(Datos_Consumo[[#This Row],[FECHA]])</f>
        <v>2018-5</v>
      </c>
    </row>
    <row r="4086" spans="1:4" x14ac:dyDescent="0.25">
      <c r="A4086" t="s">
        <v>4088</v>
      </c>
      <c r="B4086">
        <v>12</v>
      </c>
      <c r="C4086" s="54">
        <v>43191</v>
      </c>
      <c r="D4086" s="3" t="str">
        <f>YEAR(Datos_Consumo[[#This Row],[FECHA]])&amp;"-"&amp;MONTH(Datos_Consumo[[#This Row],[FECHA]])</f>
        <v>2018-4</v>
      </c>
    </row>
    <row r="4087" spans="1:4" x14ac:dyDescent="0.25">
      <c r="A4087" t="s">
        <v>4089</v>
      </c>
      <c r="B4087">
        <v>3</v>
      </c>
      <c r="C4087" s="54">
        <v>43191</v>
      </c>
      <c r="D4087" s="3" t="str">
        <f>YEAR(Datos_Consumo[[#This Row],[FECHA]])&amp;"-"&amp;MONTH(Datos_Consumo[[#This Row],[FECHA]])</f>
        <v>2018-4</v>
      </c>
    </row>
    <row r="4088" spans="1:4" x14ac:dyDescent="0.25">
      <c r="A4088" t="s">
        <v>2803</v>
      </c>
      <c r="B4088">
        <v>1</v>
      </c>
      <c r="C4088" s="54">
        <v>43101</v>
      </c>
      <c r="D4088" s="3" t="str">
        <f>YEAR(Datos_Consumo[[#This Row],[FECHA]])&amp;"-"&amp;MONTH(Datos_Consumo[[#This Row],[FECHA]])</f>
        <v>2018-1</v>
      </c>
    </row>
    <row r="4089" spans="1:4" x14ac:dyDescent="0.25">
      <c r="A4089" t="s">
        <v>2803</v>
      </c>
      <c r="B4089">
        <v>2</v>
      </c>
      <c r="C4089" s="54">
        <v>43160</v>
      </c>
      <c r="D4089" s="3" t="str">
        <f>YEAR(Datos_Consumo[[#This Row],[FECHA]])&amp;"-"&amp;MONTH(Datos_Consumo[[#This Row],[FECHA]])</f>
        <v>2018-3</v>
      </c>
    </row>
    <row r="4090" spans="1:4" x14ac:dyDescent="0.25">
      <c r="A4090" t="s">
        <v>4090</v>
      </c>
      <c r="B4090">
        <v>1</v>
      </c>
      <c r="C4090" s="54">
        <v>43221</v>
      </c>
      <c r="D4090" s="3" t="str">
        <f>YEAR(Datos_Consumo[[#This Row],[FECHA]])&amp;"-"&amp;MONTH(Datos_Consumo[[#This Row],[FECHA]])</f>
        <v>2018-5</v>
      </c>
    </row>
    <row r="4091" spans="1:4" x14ac:dyDescent="0.25">
      <c r="A4091" t="s">
        <v>2804</v>
      </c>
      <c r="B4091">
        <v>2</v>
      </c>
      <c r="C4091" s="54">
        <v>43101</v>
      </c>
      <c r="D4091" s="3" t="str">
        <f>YEAR(Datos_Consumo[[#This Row],[FECHA]])&amp;"-"&amp;MONTH(Datos_Consumo[[#This Row],[FECHA]])</f>
        <v>2018-1</v>
      </c>
    </row>
    <row r="4092" spans="1:4" x14ac:dyDescent="0.25">
      <c r="A4092" t="s">
        <v>2804</v>
      </c>
      <c r="B4092">
        <v>1</v>
      </c>
      <c r="C4092" s="54">
        <v>43132</v>
      </c>
      <c r="D4092" s="3" t="str">
        <f>YEAR(Datos_Consumo[[#This Row],[FECHA]])&amp;"-"&amp;MONTH(Datos_Consumo[[#This Row],[FECHA]])</f>
        <v>2018-2</v>
      </c>
    </row>
    <row r="4093" spans="1:4" x14ac:dyDescent="0.25">
      <c r="A4093" t="s">
        <v>2805</v>
      </c>
      <c r="B4093">
        <v>2</v>
      </c>
      <c r="C4093" s="54">
        <v>43101</v>
      </c>
      <c r="D4093" s="3" t="str">
        <f>YEAR(Datos_Consumo[[#This Row],[FECHA]])&amp;"-"&amp;MONTH(Datos_Consumo[[#This Row],[FECHA]])</f>
        <v>2018-1</v>
      </c>
    </row>
    <row r="4094" spans="1:4" x14ac:dyDescent="0.25">
      <c r="A4094" t="s">
        <v>2805</v>
      </c>
      <c r="B4094">
        <v>18</v>
      </c>
      <c r="C4094" s="54">
        <v>43132</v>
      </c>
      <c r="D4094" s="3" t="str">
        <f>YEAR(Datos_Consumo[[#This Row],[FECHA]])&amp;"-"&amp;MONTH(Datos_Consumo[[#This Row],[FECHA]])</f>
        <v>2018-2</v>
      </c>
    </row>
    <row r="4095" spans="1:4" x14ac:dyDescent="0.25">
      <c r="A4095" t="s">
        <v>2805</v>
      </c>
      <c r="B4095">
        <v>4</v>
      </c>
      <c r="C4095" s="54">
        <v>43160</v>
      </c>
      <c r="D4095" s="3" t="str">
        <f>YEAR(Datos_Consumo[[#This Row],[FECHA]])&amp;"-"&amp;MONTH(Datos_Consumo[[#This Row],[FECHA]])</f>
        <v>2018-3</v>
      </c>
    </row>
    <row r="4096" spans="1:4" x14ac:dyDescent="0.25">
      <c r="A4096" t="s">
        <v>2805</v>
      </c>
      <c r="B4096">
        <v>5</v>
      </c>
      <c r="C4096" s="54">
        <v>43191</v>
      </c>
      <c r="D4096" s="3" t="str">
        <f>YEAR(Datos_Consumo[[#This Row],[FECHA]])&amp;"-"&amp;MONTH(Datos_Consumo[[#This Row],[FECHA]])</f>
        <v>2018-4</v>
      </c>
    </row>
    <row r="4097" spans="1:4" x14ac:dyDescent="0.25">
      <c r="A4097" t="s">
        <v>2806</v>
      </c>
      <c r="B4097">
        <v>2</v>
      </c>
      <c r="C4097" s="54">
        <v>43101</v>
      </c>
      <c r="D4097" s="3" t="str">
        <f>YEAR(Datos_Consumo[[#This Row],[FECHA]])&amp;"-"&amp;MONTH(Datos_Consumo[[#This Row],[FECHA]])</f>
        <v>2018-1</v>
      </c>
    </row>
    <row r="4098" spans="1:4" x14ac:dyDescent="0.25">
      <c r="A4098" t="s">
        <v>2806</v>
      </c>
      <c r="B4098">
        <v>11</v>
      </c>
      <c r="C4098" s="54">
        <v>43132</v>
      </c>
      <c r="D4098" s="3" t="str">
        <f>YEAR(Datos_Consumo[[#This Row],[FECHA]])&amp;"-"&amp;MONTH(Datos_Consumo[[#This Row],[FECHA]])</f>
        <v>2018-2</v>
      </c>
    </row>
    <row r="4099" spans="1:4" x14ac:dyDescent="0.25">
      <c r="A4099" t="s">
        <v>2806</v>
      </c>
      <c r="B4099">
        <v>8</v>
      </c>
      <c r="C4099" s="54">
        <v>43160</v>
      </c>
      <c r="D4099" s="3" t="str">
        <f>YEAR(Datos_Consumo[[#This Row],[FECHA]])&amp;"-"&amp;MONTH(Datos_Consumo[[#This Row],[FECHA]])</f>
        <v>2018-3</v>
      </c>
    </row>
    <row r="4100" spans="1:4" x14ac:dyDescent="0.25">
      <c r="A4100" t="s">
        <v>2806</v>
      </c>
      <c r="B4100">
        <v>11</v>
      </c>
      <c r="C4100" s="54">
        <v>43191</v>
      </c>
      <c r="D4100" s="3" t="str">
        <f>YEAR(Datos_Consumo[[#This Row],[FECHA]])&amp;"-"&amp;MONTH(Datos_Consumo[[#This Row],[FECHA]])</f>
        <v>2018-4</v>
      </c>
    </row>
    <row r="4101" spans="1:4" x14ac:dyDescent="0.25">
      <c r="A4101" t="s">
        <v>2807</v>
      </c>
      <c r="B4101">
        <v>15</v>
      </c>
      <c r="C4101" s="54">
        <v>43132</v>
      </c>
      <c r="D4101" s="3" t="str">
        <f>YEAR(Datos_Consumo[[#This Row],[FECHA]])&amp;"-"&amp;MONTH(Datos_Consumo[[#This Row],[FECHA]])</f>
        <v>2018-2</v>
      </c>
    </row>
    <row r="4102" spans="1:4" x14ac:dyDescent="0.25">
      <c r="A4102" t="s">
        <v>2807</v>
      </c>
      <c r="B4102">
        <v>2</v>
      </c>
      <c r="C4102" s="54">
        <v>43160</v>
      </c>
      <c r="D4102" s="3" t="str">
        <f>YEAR(Datos_Consumo[[#This Row],[FECHA]])&amp;"-"&amp;MONTH(Datos_Consumo[[#This Row],[FECHA]])</f>
        <v>2018-3</v>
      </c>
    </row>
    <row r="4103" spans="1:4" x14ac:dyDescent="0.25">
      <c r="A4103" t="s">
        <v>2807</v>
      </c>
      <c r="B4103">
        <v>11</v>
      </c>
      <c r="C4103" s="54">
        <v>43191</v>
      </c>
      <c r="D4103" s="3" t="str">
        <f>YEAR(Datos_Consumo[[#This Row],[FECHA]])&amp;"-"&amp;MONTH(Datos_Consumo[[#This Row],[FECHA]])</f>
        <v>2018-4</v>
      </c>
    </row>
    <row r="4104" spans="1:4" x14ac:dyDescent="0.25">
      <c r="A4104" t="s">
        <v>2808</v>
      </c>
      <c r="B4104">
        <v>20</v>
      </c>
      <c r="C4104" s="54">
        <v>43070</v>
      </c>
      <c r="D4104" s="3" t="str">
        <f>YEAR(Datos_Consumo[[#This Row],[FECHA]])&amp;"-"&amp;MONTH(Datos_Consumo[[#This Row],[FECHA]])</f>
        <v>2017-12</v>
      </c>
    </row>
    <row r="4105" spans="1:4" x14ac:dyDescent="0.25">
      <c r="A4105" t="s">
        <v>2808</v>
      </c>
      <c r="B4105">
        <v>3</v>
      </c>
      <c r="C4105" s="54">
        <v>43101</v>
      </c>
      <c r="D4105" s="3" t="str">
        <f>YEAR(Datos_Consumo[[#This Row],[FECHA]])&amp;"-"&amp;MONTH(Datos_Consumo[[#This Row],[FECHA]])</f>
        <v>2018-1</v>
      </c>
    </row>
    <row r="4106" spans="1:4" x14ac:dyDescent="0.25">
      <c r="A4106" t="s">
        <v>2808</v>
      </c>
      <c r="B4106">
        <v>1</v>
      </c>
      <c r="C4106" s="54">
        <v>43132</v>
      </c>
      <c r="D4106" s="3" t="str">
        <f>YEAR(Datos_Consumo[[#This Row],[FECHA]])&amp;"-"&amp;MONTH(Datos_Consumo[[#This Row],[FECHA]])</f>
        <v>2018-2</v>
      </c>
    </row>
    <row r="4107" spans="1:4" x14ac:dyDescent="0.25">
      <c r="A4107" t="s">
        <v>2808</v>
      </c>
      <c r="B4107">
        <v>21</v>
      </c>
      <c r="C4107" s="54">
        <v>43160</v>
      </c>
      <c r="D4107" s="3" t="str">
        <f>YEAR(Datos_Consumo[[#This Row],[FECHA]])&amp;"-"&amp;MONTH(Datos_Consumo[[#This Row],[FECHA]])</f>
        <v>2018-3</v>
      </c>
    </row>
    <row r="4108" spans="1:4" x14ac:dyDescent="0.25">
      <c r="A4108" t="s">
        <v>2808</v>
      </c>
      <c r="B4108">
        <v>8</v>
      </c>
      <c r="C4108" s="54">
        <v>43191</v>
      </c>
      <c r="D4108" s="3" t="str">
        <f>YEAR(Datos_Consumo[[#This Row],[FECHA]])&amp;"-"&amp;MONTH(Datos_Consumo[[#This Row],[FECHA]])</f>
        <v>2018-4</v>
      </c>
    </row>
    <row r="4109" spans="1:4" x14ac:dyDescent="0.25">
      <c r="A4109" t="s">
        <v>2808</v>
      </c>
      <c r="B4109">
        <v>4</v>
      </c>
      <c r="C4109" s="54">
        <v>43221</v>
      </c>
      <c r="D4109" s="3" t="str">
        <f>YEAR(Datos_Consumo[[#This Row],[FECHA]])&amp;"-"&amp;MONTH(Datos_Consumo[[#This Row],[FECHA]])</f>
        <v>2018-5</v>
      </c>
    </row>
    <row r="4110" spans="1:4" x14ac:dyDescent="0.25">
      <c r="A4110" t="s">
        <v>2809</v>
      </c>
      <c r="B4110">
        <v>4</v>
      </c>
      <c r="C4110" s="54">
        <v>43160</v>
      </c>
      <c r="D4110" s="3" t="str">
        <f>YEAR(Datos_Consumo[[#This Row],[FECHA]])&amp;"-"&amp;MONTH(Datos_Consumo[[#This Row],[FECHA]])</f>
        <v>2018-3</v>
      </c>
    </row>
    <row r="4111" spans="1:4" x14ac:dyDescent="0.25">
      <c r="A4111" t="s">
        <v>2810</v>
      </c>
      <c r="B4111">
        <v>1</v>
      </c>
      <c r="C4111" s="54">
        <v>43191</v>
      </c>
      <c r="D4111" s="3" t="str">
        <f>YEAR(Datos_Consumo[[#This Row],[FECHA]])&amp;"-"&amp;MONTH(Datos_Consumo[[#This Row],[FECHA]])</f>
        <v>2018-4</v>
      </c>
    </row>
    <row r="4112" spans="1:4" x14ac:dyDescent="0.25">
      <c r="A4112" t="s">
        <v>2811</v>
      </c>
      <c r="B4112">
        <v>6</v>
      </c>
      <c r="C4112" s="54">
        <v>43160</v>
      </c>
      <c r="D4112" s="3" t="str">
        <f>YEAR(Datos_Consumo[[#This Row],[FECHA]])&amp;"-"&amp;MONTH(Datos_Consumo[[#This Row],[FECHA]])</f>
        <v>2018-3</v>
      </c>
    </row>
    <row r="4113" spans="1:4" x14ac:dyDescent="0.25">
      <c r="A4113" t="s">
        <v>2812</v>
      </c>
      <c r="B4113">
        <v>8</v>
      </c>
      <c r="C4113" s="54">
        <v>43132</v>
      </c>
      <c r="D4113" s="3" t="str">
        <f>YEAR(Datos_Consumo[[#This Row],[FECHA]])&amp;"-"&amp;MONTH(Datos_Consumo[[#This Row],[FECHA]])</f>
        <v>2018-2</v>
      </c>
    </row>
    <row r="4114" spans="1:4" x14ac:dyDescent="0.25">
      <c r="A4114" t="s">
        <v>2813</v>
      </c>
      <c r="B4114">
        <v>1</v>
      </c>
      <c r="C4114" s="54">
        <v>43101</v>
      </c>
      <c r="D4114" s="3" t="str">
        <f>YEAR(Datos_Consumo[[#This Row],[FECHA]])&amp;"-"&amp;MONTH(Datos_Consumo[[#This Row],[FECHA]])</f>
        <v>2018-1</v>
      </c>
    </row>
    <row r="4115" spans="1:4" x14ac:dyDescent="0.25">
      <c r="A4115" t="s">
        <v>2814</v>
      </c>
      <c r="B4115">
        <v>2</v>
      </c>
      <c r="C4115" s="54">
        <v>43101</v>
      </c>
      <c r="D4115" s="3" t="str">
        <f>YEAR(Datos_Consumo[[#This Row],[FECHA]])&amp;"-"&amp;MONTH(Datos_Consumo[[#This Row],[FECHA]])</f>
        <v>2018-1</v>
      </c>
    </row>
    <row r="4116" spans="1:4" x14ac:dyDescent="0.25">
      <c r="A4116" t="s">
        <v>4091</v>
      </c>
      <c r="B4116">
        <v>1</v>
      </c>
      <c r="C4116" s="54">
        <v>43191</v>
      </c>
      <c r="D4116" s="3" t="str">
        <f>YEAR(Datos_Consumo[[#This Row],[FECHA]])&amp;"-"&amp;MONTH(Datos_Consumo[[#This Row],[FECHA]])</f>
        <v>2018-4</v>
      </c>
    </row>
    <row r="4117" spans="1:4" x14ac:dyDescent="0.25">
      <c r="A4117" t="s">
        <v>2815</v>
      </c>
      <c r="B4117">
        <v>10</v>
      </c>
      <c r="C4117" s="54">
        <v>43101</v>
      </c>
      <c r="D4117" s="3" t="str">
        <f>YEAR(Datos_Consumo[[#This Row],[FECHA]])&amp;"-"&amp;MONTH(Datos_Consumo[[#This Row],[FECHA]])</f>
        <v>2018-1</v>
      </c>
    </row>
    <row r="4118" spans="1:4" x14ac:dyDescent="0.25">
      <c r="A4118" t="s">
        <v>2815</v>
      </c>
      <c r="B4118">
        <v>4</v>
      </c>
      <c r="C4118" s="54">
        <v>43132</v>
      </c>
      <c r="D4118" s="3" t="str">
        <f>YEAR(Datos_Consumo[[#This Row],[FECHA]])&amp;"-"&amp;MONTH(Datos_Consumo[[#This Row],[FECHA]])</f>
        <v>2018-2</v>
      </c>
    </row>
    <row r="4119" spans="1:4" x14ac:dyDescent="0.25">
      <c r="A4119" t="s">
        <v>2816</v>
      </c>
      <c r="B4119">
        <v>6</v>
      </c>
      <c r="C4119" s="54">
        <v>43101</v>
      </c>
      <c r="D4119" s="3" t="str">
        <f>YEAR(Datos_Consumo[[#This Row],[FECHA]])&amp;"-"&amp;MONTH(Datos_Consumo[[#This Row],[FECHA]])</f>
        <v>2018-1</v>
      </c>
    </row>
    <row r="4120" spans="1:4" x14ac:dyDescent="0.25">
      <c r="A4120" t="s">
        <v>2816</v>
      </c>
      <c r="B4120">
        <v>1</v>
      </c>
      <c r="C4120" s="54">
        <v>43191</v>
      </c>
      <c r="D4120" s="3" t="str">
        <f>YEAR(Datos_Consumo[[#This Row],[FECHA]])&amp;"-"&amp;MONTH(Datos_Consumo[[#This Row],[FECHA]])</f>
        <v>2018-4</v>
      </c>
    </row>
    <row r="4121" spans="1:4" x14ac:dyDescent="0.25">
      <c r="A4121" t="s">
        <v>2817</v>
      </c>
      <c r="B4121">
        <v>3</v>
      </c>
      <c r="C4121" s="54">
        <v>43070</v>
      </c>
      <c r="D4121" s="3" t="str">
        <f>YEAR(Datos_Consumo[[#This Row],[FECHA]])&amp;"-"&amp;MONTH(Datos_Consumo[[#This Row],[FECHA]])</f>
        <v>2017-12</v>
      </c>
    </row>
    <row r="4122" spans="1:4" x14ac:dyDescent="0.25">
      <c r="A4122" t="s">
        <v>2817</v>
      </c>
      <c r="B4122">
        <v>1</v>
      </c>
      <c r="C4122" s="54">
        <v>43191</v>
      </c>
      <c r="D4122" s="3" t="str">
        <f>YEAR(Datos_Consumo[[#This Row],[FECHA]])&amp;"-"&amp;MONTH(Datos_Consumo[[#This Row],[FECHA]])</f>
        <v>2018-4</v>
      </c>
    </row>
    <row r="4123" spans="1:4" x14ac:dyDescent="0.25">
      <c r="A4123" t="s">
        <v>2817</v>
      </c>
      <c r="B4123">
        <v>1</v>
      </c>
      <c r="C4123" s="54">
        <v>43221</v>
      </c>
      <c r="D4123" s="3" t="str">
        <f>YEAR(Datos_Consumo[[#This Row],[FECHA]])&amp;"-"&amp;MONTH(Datos_Consumo[[#This Row],[FECHA]])</f>
        <v>2018-5</v>
      </c>
    </row>
    <row r="4124" spans="1:4" x14ac:dyDescent="0.25">
      <c r="A4124" t="s">
        <v>2818</v>
      </c>
      <c r="B4124">
        <v>5</v>
      </c>
      <c r="C4124" s="54">
        <v>43101</v>
      </c>
      <c r="D4124" s="3" t="str">
        <f>YEAR(Datos_Consumo[[#This Row],[FECHA]])&amp;"-"&amp;MONTH(Datos_Consumo[[#This Row],[FECHA]])</f>
        <v>2018-1</v>
      </c>
    </row>
    <row r="4125" spans="1:4" x14ac:dyDescent="0.25">
      <c r="A4125" t="s">
        <v>2819</v>
      </c>
      <c r="B4125">
        <v>3</v>
      </c>
      <c r="C4125" s="54">
        <v>43101</v>
      </c>
      <c r="D4125" s="3" t="str">
        <f>YEAR(Datos_Consumo[[#This Row],[FECHA]])&amp;"-"&amp;MONTH(Datos_Consumo[[#This Row],[FECHA]])</f>
        <v>2018-1</v>
      </c>
    </row>
    <row r="4126" spans="1:4" x14ac:dyDescent="0.25">
      <c r="A4126" t="s">
        <v>2819</v>
      </c>
      <c r="B4126">
        <v>1</v>
      </c>
      <c r="C4126" s="54">
        <v>43132</v>
      </c>
      <c r="D4126" s="3" t="str">
        <f>YEAR(Datos_Consumo[[#This Row],[FECHA]])&amp;"-"&amp;MONTH(Datos_Consumo[[#This Row],[FECHA]])</f>
        <v>2018-2</v>
      </c>
    </row>
    <row r="4127" spans="1:4" x14ac:dyDescent="0.25">
      <c r="A4127" t="s">
        <v>2819</v>
      </c>
      <c r="B4127">
        <v>2</v>
      </c>
      <c r="C4127" s="54">
        <v>43160</v>
      </c>
      <c r="D4127" s="3" t="str">
        <f>YEAR(Datos_Consumo[[#This Row],[FECHA]])&amp;"-"&amp;MONTH(Datos_Consumo[[#This Row],[FECHA]])</f>
        <v>2018-3</v>
      </c>
    </row>
    <row r="4128" spans="1:4" x14ac:dyDescent="0.25">
      <c r="A4128" t="s">
        <v>2819</v>
      </c>
      <c r="B4128">
        <v>1</v>
      </c>
      <c r="C4128" s="54">
        <v>43191</v>
      </c>
      <c r="D4128" s="3" t="str">
        <f>YEAR(Datos_Consumo[[#This Row],[FECHA]])&amp;"-"&amp;MONTH(Datos_Consumo[[#This Row],[FECHA]])</f>
        <v>2018-4</v>
      </c>
    </row>
    <row r="4129" spans="1:4" x14ac:dyDescent="0.25">
      <c r="A4129" t="s">
        <v>2819</v>
      </c>
      <c r="B4129">
        <v>1</v>
      </c>
      <c r="C4129" s="54">
        <v>43221</v>
      </c>
      <c r="D4129" s="3" t="str">
        <f>YEAR(Datos_Consumo[[#This Row],[FECHA]])&amp;"-"&amp;MONTH(Datos_Consumo[[#This Row],[FECHA]])</f>
        <v>2018-5</v>
      </c>
    </row>
    <row r="4130" spans="1:4" x14ac:dyDescent="0.25">
      <c r="A4130" t="s">
        <v>2820</v>
      </c>
      <c r="B4130">
        <v>18</v>
      </c>
      <c r="C4130" s="54">
        <v>43160</v>
      </c>
      <c r="D4130" s="3" t="str">
        <f>YEAR(Datos_Consumo[[#This Row],[FECHA]])&amp;"-"&amp;MONTH(Datos_Consumo[[#This Row],[FECHA]])</f>
        <v>2018-3</v>
      </c>
    </row>
    <row r="4131" spans="1:4" x14ac:dyDescent="0.25">
      <c r="A4131" t="s">
        <v>2821</v>
      </c>
      <c r="B4131">
        <v>7</v>
      </c>
      <c r="C4131" s="54">
        <v>43101</v>
      </c>
      <c r="D4131" s="3" t="str">
        <f>YEAR(Datos_Consumo[[#This Row],[FECHA]])&amp;"-"&amp;MONTH(Datos_Consumo[[#This Row],[FECHA]])</f>
        <v>2018-1</v>
      </c>
    </row>
    <row r="4132" spans="1:4" x14ac:dyDescent="0.25">
      <c r="A4132" t="s">
        <v>2821</v>
      </c>
      <c r="B4132">
        <v>1</v>
      </c>
      <c r="C4132" s="54">
        <v>43160</v>
      </c>
      <c r="D4132" s="3" t="str">
        <f>YEAR(Datos_Consumo[[#This Row],[FECHA]])&amp;"-"&amp;MONTH(Datos_Consumo[[#This Row],[FECHA]])</f>
        <v>2018-3</v>
      </c>
    </row>
    <row r="4133" spans="1:4" x14ac:dyDescent="0.25">
      <c r="A4133" t="s">
        <v>2821</v>
      </c>
      <c r="B4133">
        <v>2</v>
      </c>
      <c r="C4133" s="54">
        <v>43191</v>
      </c>
      <c r="D4133" s="3" t="str">
        <f>YEAR(Datos_Consumo[[#This Row],[FECHA]])&amp;"-"&amp;MONTH(Datos_Consumo[[#This Row],[FECHA]])</f>
        <v>2018-4</v>
      </c>
    </row>
    <row r="4134" spans="1:4" x14ac:dyDescent="0.25">
      <c r="A4134" t="s">
        <v>2821</v>
      </c>
      <c r="B4134">
        <v>1</v>
      </c>
      <c r="C4134" s="54">
        <v>43221</v>
      </c>
      <c r="D4134" s="3" t="str">
        <f>YEAR(Datos_Consumo[[#This Row],[FECHA]])&amp;"-"&amp;MONTH(Datos_Consumo[[#This Row],[FECHA]])</f>
        <v>2018-5</v>
      </c>
    </row>
    <row r="4135" spans="1:4" x14ac:dyDescent="0.25">
      <c r="A4135" t="s">
        <v>2822</v>
      </c>
      <c r="B4135">
        <v>1</v>
      </c>
      <c r="C4135" s="54">
        <v>43160</v>
      </c>
      <c r="D4135" s="3" t="str">
        <f>YEAR(Datos_Consumo[[#This Row],[FECHA]])&amp;"-"&amp;MONTH(Datos_Consumo[[#This Row],[FECHA]])</f>
        <v>2018-3</v>
      </c>
    </row>
    <row r="4136" spans="1:4" x14ac:dyDescent="0.25">
      <c r="A4136" t="s">
        <v>2822</v>
      </c>
      <c r="B4136">
        <v>1</v>
      </c>
      <c r="C4136" s="54">
        <v>43191</v>
      </c>
      <c r="D4136" s="3" t="str">
        <f>YEAR(Datos_Consumo[[#This Row],[FECHA]])&amp;"-"&amp;MONTH(Datos_Consumo[[#This Row],[FECHA]])</f>
        <v>2018-4</v>
      </c>
    </row>
    <row r="4137" spans="1:4" x14ac:dyDescent="0.25">
      <c r="A4137" t="s">
        <v>2823</v>
      </c>
      <c r="B4137">
        <v>1</v>
      </c>
      <c r="C4137" s="54">
        <v>43132</v>
      </c>
      <c r="D4137" s="3" t="str">
        <f>YEAR(Datos_Consumo[[#This Row],[FECHA]])&amp;"-"&amp;MONTH(Datos_Consumo[[#This Row],[FECHA]])</f>
        <v>2018-2</v>
      </c>
    </row>
    <row r="4138" spans="1:4" x14ac:dyDescent="0.25">
      <c r="A4138" t="s">
        <v>2823</v>
      </c>
      <c r="B4138">
        <v>1</v>
      </c>
      <c r="C4138" s="54">
        <v>43160</v>
      </c>
      <c r="D4138" s="3" t="str">
        <f>YEAR(Datos_Consumo[[#This Row],[FECHA]])&amp;"-"&amp;MONTH(Datos_Consumo[[#This Row],[FECHA]])</f>
        <v>2018-3</v>
      </c>
    </row>
    <row r="4139" spans="1:4" x14ac:dyDescent="0.25">
      <c r="A4139" t="s">
        <v>2823</v>
      </c>
      <c r="B4139">
        <v>2</v>
      </c>
      <c r="C4139" s="54">
        <v>43191</v>
      </c>
      <c r="D4139" s="3" t="str">
        <f>YEAR(Datos_Consumo[[#This Row],[FECHA]])&amp;"-"&amp;MONTH(Datos_Consumo[[#This Row],[FECHA]])</f>
        <v>2018-4</v>
      </c>
    </row>
    <row r="4140" spans="1:4" x14ac:dyDescent="0.25">
      <c r="A4140" t="s">
        <v>1425</v>
      </c>
      <c r="B4140">
        <v>9</v>
      </c>
      <c r="C4140" s="54">
        <v>43070</v>
      </c>
      <c r="D4140" s="3" t="str">
        <f>YEAR(Datos_Consumo[[#This Row],[FECHA]])&amp;"-"&amp;MONTH(Datos_Consumo[[#This Row],[FECHA]])</f>
        <v>2017-12</v>
      </c>
    </row>
    <row r="4141" spans="1:4" x14ac:dyDescent="0.25">
      <c r="A4141" t="s">
        <v>2824</v>
      </c>
      <c r="B4141">
        <v>5</v>
      </c>
      <c r="C4141" s="54">
        <v>43160</v>
      </c>
      <c r="D4141" s="3" t="str">
        <f>YEAR(Datos_Consumo[[#This Row],[FECHA]])&amp;"-"&amp;MONTH(Datos_Consumo[[#This Row],[FECHA]])</f>
        <v>2018-3</v>
      </c>
    </row>
    <row r="4142" spans="1:4" x14ac:dyDescent="0.25">
      <c r="A4142" t="s">
        <v>4092</v>
      </c>
      <c r="B4142">
        <v>1</v>
      </c>
      <c r="C4142" s="54">
        <v>43191</v>
      </c>
      <c r="D4142" s="3" t="str">
        <f>YEAR(Datos_Consumo[[#This Row],[FECHA]])&amp;"-"&amp;MONTH(Datos_Consumo[[#This Row],[FECHA]])</f>
        <v>2018-4</v>
      </c>
    </row>
    <row r="4143" spans="1:4" x14ac:dyDescent="0.25">
      <c r="A4143" t="s">
        <v>2825</v>
      </c>
      <c r="B4143">
        <v>1</v>
      </c>
      <c r="C4143" s="54">
        <v>43070</v>
      </c>
      <c r="D4143" s="3" t="str">
        <f>YEAR(Datos_Consumo[[#This Row],[FECHA]])&amp;"-"&amp;MONTH(Datos_Consumo[[#This Row],[FECHA]])</f>
        <v>2017-12</v>
      </c>
    </row>
    <row r="4144" spans="1:4" x14ac:dyDescent="0.25">
      <c r="A4144" t="s">
        <v>2825</v>
      </c>
      <c r="B4144">
        <v>1</v>
      </c>
      <c r="C4144" s="54">
        <v>43132</v>
      </c>
      <c r="D4144" s="3" t="str">
        <f>YEAR(Datos_Consumo[[#This Row],[FECHA]])&amp;"-"&amp;MONTH(Datos_Consumo[[#This Row],[FECHA]])</f>
        <v>2018-2</v>
      </c>
    </row>
    <row r="4145" spans="1:4" x14ac:dyDescent="0.25">
      <c r="A4145" t="s">
        <v>2826</v>
      </c>
      <c r="B4145">
        <v>140</v>
      </c>
      <c r="C4145" s="54">
        <v>43132</v>
      </c>
      <c r="D4145" s="3" t="str">
        <f>YEAR(Datos_Consumo[[#This Row],[FECHA]])&amp;"-"&amp;MONTH(Datos_Consumo[[#This Row],[FECHA]])</f>
        <v>2018-2</v>
      </c>
    </row>
    <row r="4146" spans="1:4" x14ac:dyDescent="0.25">
      <c r="A4146" t="s">
        <v>2827</v>
      </c>
      <c r="B4146">
        <v>2</v>
      </c>
      <c r="C4146" s="54">
        <v>43160</v>
      </c>
      <c r="D4146" s="3" t="str">
        <f>YEAR(Datos_Consumo[[#This Row],[FECHA]])&amp;"-"&amp;MONTH(Datos_Consumo[[#This Row],[FECHA]])</f>
        <v>2018-3</v>
      </c>
    </row>
    <row r="4147" spans="1:4" x14ac:dyDescent="0.25">
      <c r="A4147" t="s">
        <v>2828</v>
      </c>
      <c r="B4147">
        <v>4</v>
      </c>
      <c r="C4147" s="54">
        <v>43160</v>
      </c>
      <c r="D4147" s="3" t="str">
        <f>YEAR(Datos_Consumo[[#This Row],[FECHA]])&amp;"-"&amp;MONTH(Datos_Consumo[[#This Row],[FECHA]])</f>
        <v>2018-3</v>
      </c>
    </row>
    <row r="4148" spans="1:4" x14ac:dyDescent="0.25">
      <c r="A4148" t="s">
        <v>2829</v>
      </c>
      <c r="B4148">
        <v>4</v>
      </c>
      <c r="C4148" s="54">
        <v>43160</v>
      </c>
      <c r="D4148" s="3" t="str">
        <f>YEAR(Datos_Consumo[[#This Row],[FECHA]])&amp;"-"&amp;MONTH(Datos_Consumo[[#This Row],[FECHA]])</f>
        <v>2018-3</v>
      </c>
    </row>
    <row r="4149" spans="1:4" x14ac:dyDescent="0.25">
      <c r="A4149" t="s">
        <v>2830</v>
      </c>
      <c r="B4149">
        <v>1</v>
      </c>
      <c r="C4149" s="54">
        <v>43132</v>
      </c>
      <c r="D4149" s="3" t="str">
        <f>YEAR(Datos_Consumo[[#This Row],[FECHA]])&amp;"-"&amp;MONTH(Datos_Consumo[[#This Row],[FECHA]])</f>
        <v>2018-2</v>
      </c>
    </row>
    <row r="4150" spans="1:4" x14ac:dyDescent="0.25">
      <c r="A4150" t="s">
        <v>2831</v>
      </c>
      <c r="B4150">
        <v>1</v>
      </c>
      <c r="C4150" s="54">
        <v>43101</v>
      </c>
      <c r="D4150" s="3" t="str">
        <f>YEAR(Datos_Consumo[[#This Row],[FECHA]])&amp;"-"&amp;MONTH(Datos_Consumo[[#This Row],[FECHA]])</f>
        <v>2018-1</v>
      </c>
    </row>
    <row r="4151" spans="1:4" x14ac:dyDescent="0.25">
      <c r="A4151" t="s">
        <v>2832</v>
      </c>
      <c r="B4151">
        <v>2</v>
      </c>
      <c r="C4151" s="54">
        <v>43101</v>
      </c>
      <c r="D4151" s="3" t="str">
        <f>YEAR(Datos_Consumo[[#This Row],[FECHA]])&amp;"-"&amp;MONTH(Datos_Consumo[[#This Row],[FECHA]])</f>
        <v>2018-1</v>
      </c>
    </row>
    <row r="4152" spans="1:4" x14ac:dyDescent="0.25">
      <c r="A4152" t="s">
        <v>2833</v>
      </c>
      <c r="B4152">
        <v>3</v>
      </c>
      <c r="C4152" s="54">
        <v>43070</v>
      </c>
      <c r="D4152" s="3" t="str">
        <f>YEAR(Datos_Consumo[[#This Row],[FECHA]])&amp;"-"&amp;MONTH(Datos_Consumo[[#This Row],[FECHA]])</f>
        <v>2017-12</v>
      </c>
    </row>
    <row r="4153" spans="1:4" x14ac:dyDescent="0.25">
      <c r="A4153" t="s">
        <v>2833</v>
      </c>
      <c r="B4153">
        <v>3</v>
      </c>
      <c r="C4153" s="54">
        <v>43101</v>
      </c>
      <c r="D4153" s="3" t="str">
        <f>YEAR(Datos_Consumo[[#This Row],[FECHA]])&amp;"-"&amp;MONTH(Datos_Consumo[[#This Row],[FECHA]])</f>
        <v>2018-1</v>
      </c>
    </row>
    <row r="4154" spans="1:4" x14ac:dyDescent="0.25">
      <c r="A4154" t="s">
        <v>2833</v>
      </c>
      <c r="B4154">
        <v>1</v>
      </c>
      <c r="C4154" s="54">
        <v>43132</v>
      </c>
      <c r="D4154" s="3" t="str">
        <f>YEAR(Datos_Consumo[[#This Row],[FECHA]])&amp;"-"&amp;MONTH(Datos_Consumo[[#This Row],[FECHA]])</f>
        <v>2018-2</v>
      </c>
    </row>
    <row r="4155" spans="1:4" x14ac:dyDescent="0.25">
      <c r="A4155" t="s">
        <v>2833</v>
      </c>
      <c r="B4155">
        <v>1</v>
      </c>
      <c r="C4155" s="54">
        <v>43160</v>
      </c>
      <c r="D4155" s="3" t="str">
        <f>YEAR(Datos_Consumo[[#This Row],[FECHA]])&amp;"-"&amp;MONTH(Datos_Consumo[[#This Row],[FECHA]])</f>
        <v>2018-3</v>
      </c>
    </row>
    <row r="4156" spans="1:4" x14ac:dyDescent="0.25">
      <c r="A4156" t="s">
        <v>2833</v>
      </c>
      <c r="B4156">
        <v>6</v>
      </c>
      <c r="C4156" s="54">
        <v>43191</v>
      </c>
      <c r="D4156" s="3" t="str">
        <f>YEAR(Datos_Consumo[[#This Row],[FECHA]])&amp;"-"&amp;MONTH(Datos_Consumo[[#This Row],[FECHA]])</f>
        <v>2018-4</v>
      </c>
    </row>
    <row r="4157" spans="1:4" x14ac:dyDescent="0.25">
      <c r="A4157" t="s">
        <v>2833</v>
      </c>
      <c r="B4157">
        <v>1</v>
      </c>
      <c r="C4157" s="54">
        <v>43221</v>
      </c>
      <c r="D4157" s="3" t="str">
        <f>YEAR(Datos_Consumo[[#This Row],[FECHA]])&amp;"-"&amp;MONTH(Datos_Consumo[[#This Row],[FECHA]])</f>
        <v>2018-5</v>
      </c>
    </row>
    <row r="4158" spans="1:4" x14ac:dyDescent="0.25">
      <c r="A4158" t="s">
        <v>2834</v>
      </c>
      <c r="B4158">
        <v>2</v>
      </c>
      <c r="C4158" s="54">
        <v>43101</v>
      </c>
      <c r="D4158" s="3" t="str">
        <f>YEAR(Datos_Consumo[[#This Row],[FECHA]])&amp;"-"&amp;MONTH(Datos_Consumo[[#This Row],[FECHA]])</f>
        <v>2018-1</v>
      </c>
    </row>
    <row r="4159" spans="1:4" x14ac:dyDescent="0.25">
      <c r="A4159" t="s">
        <v>2834</v>
      </c>
      <c r="B4159">
        <v>1</v>
      </c>
      <c r="C4159" s="54">
        <v>43132</v>
      </c>
      <c r="D4159" s="3" t="str">
        <f>YEAR(Datos_Consumo[[#This Row],[FECHA]])&amp;"-"&amp;MONTH(Datos_Consumo[[#This Row],[FECHA]])</f>
        <v>2018-2</v>
      </c>
    </row>
    <row r="4160" spans="1:4" x14ac:dyDescent="0.25">
      <c r="A4160" t="s">
        <v>2834</v>
      </c>
      <c r="B4160">
        <v>1</v>
      </c>
      <c r="C4160" s="54">
        <v>43191</v>
      </c>
      <c r="D4160" s="3" t="str">
        <f>YEAR(Datos_Consumo[[#This Row],[FECHA]])&amp;"-"&amp;MONTH(Datos_Consumo[[#This Row],[FECHA]])</f>
        <v>2018-4</v>
      </c>
    </row>
    <row r="4161" spans="1:4" x14ac:dyDescent="0.25">
      <c r="A4161" t="s">
        <v>2835</v>
      </c>
      <c r="B4161">
        <v>1</v>
      </c>
      <c r="C4161" s="54">
        <v>43070</v>
      </c>
      <c r="D4161" s="3" t="str">
        <f>YEAR(Datos_Consumo[[#This Row],[FECHA]])&amp;"-"&amp;MONTH(Datos_Consumo[[#This Row],[FECHA]])</f>
        <v>2017-12</v>
      </c>
    </row>
    <row r="4162" spans="1:4" x14ac:dyDescent="0.25">
      <c r="A4162" t="s">
        <v>2835</v>
      </c>
      <c r="B4162">
        <v>4</v>
      </c>
      <c r="C4162" s="54">
        <v>43101</v>
      </c>
      <c r="D4162" s="3" t="str">
        <f>YEAR(Datos_Consumo[[#This Row],[FECHA]])&amp;"-"&amp;MONTH(Datos_Consumo[[#This Row],[FECHA]])</f>
        <v>2018-1</v>
      </c>
    </row>
    <row r="4163" spans="1:4" x14ac:dyDescent="0.25">
      <c r="A4163" t="s">
        <v>2835</v>
      </c>
      <c r="B4163">
        <v>1</v>
      </c>
      <c r="C4163" s="54">
        <v>43132</v>
      </c>
      <c r="D4163" s="3" t="str">
        <f>YEAR(Datos_Consumo[[#This Row],[FECHA]])&amp;"-"&amp;MONTH(Datos_Consumo[[#This Row],[FECHA]])</f>
        <v>2018-2</v>
      </c>
    </row>
    <row r="4164" spans="1:4" x14ac:dyDescent="0.25">
      <c r="A4164" t="s">
        <v>2835</v>
      </c>
      <c r="B4164">
        <v>2</v>
      </c>
      <c r="C4164" s="54">
        <v>43160</v>
      </c>
      <c r="D4164" s="3" t="str">
        <f>YEAR(Datos_Consumo[[#This Row],[FECHA]])&amp;"-"&amp;MONTH(Datos_Consumo[[#This Row],[FECHA]])</f>
        <v>2018-3</v>
      </c>
    </row>
    <row r="4165" spans="1:4" x14ac:dyDescent="0.25">
      <c r="A4165" t="s">
        <v>2835</v>
      </c>
      <c r="B4165">
        <v>2</v>
      </c>
      <c r="C4165" s="54">
        <v>43191</v>
      </c>
      <c r="D4165" s="3" t="str">
        <f>YEAR(Datos_Consumo[[#This Row],[FECHA]])&amp;"-"&amp;MONTH(Datos_Consumo[[#This Row],[FECHA]])</f>
        <v>2018-4</v>
      </c>
    </row>
    <row r="4166" spans="1:4" x14ac:dyDescent="0.25">
      <c r="A4166" t="s">
        <v>2835</v>
      </c>
      <c r="B4166">
        <v>1</v>
      </c>
      <c r="C4166" s="54">
        <v>43221</v>
      </c>
      <c r="D4166" s="3" t="str">
        <f>YEAR(Datos_Consumo[[#This Row],[FECHA]])&amp;"-"&amp;MONTH(Datos_Consumo[[#This Row],[FECHA]])</f>
        <v>2018-5</v>
      </c>
    </row>
    <row r="4167" spans="1:4" x14ac:dyDescent="0.25">
      <c r="A4167" t="s">
        <v>2836</v>
      </c>
      <c r="B4167">
        <v>2</v>
      </c>
      <c r="C4167" s="54">
        <v>43132</v>
      </c>
      <c r="D4167" s="3" t="str">
        <f>YEAR(Datos_Consumo[[#This Row],[FECHA]])&amp;"-"&amp;MONTH(Datos_Consumo[[#This Row],[FECHA]])</f>
        <v>2018-2</v>
      </c>
    </row>
    <row r="4168" spans="1:4" x14ac:dyDescent="0.25">
      <c r="A4168" t="s">
        <v>2837</v>
      </c>
      <c r="B4168">
        <v>1</v>
      </c>
      <c r="C4168" s="54">
        <v>43101</v>
      </c>
      <c r="D4168" s="3" t="str">
        <f>YEAR(Datos_Consumo[[#This Row],[FECHA]])&amp;"-"&amp;MONTH(Datos_Consumo[[#This Row],[FECHA]])</f>
        <v>2018-1</v>
      </c>
    </row>
    <row r="4169" spans="1:4" x14ac:dyDescent="0.25">
      <c r="A4169" t="s">
        <v>2837</v>
      </c>
      <c r="B4169">
        <v>1</v>
      </c>
      <c r="C4169" s="54">
        <v>43132</v>
      </c>
      <c r="D4169" s="3" t="str">
        <f>YEAR(Datos_Consumo[[#This Row],[FECHA]])&amp;"-"&amp;MONTH(Datos_Consumo[[#This Row],[FECHA]])</f>
        <v>2018-2</v>
      </c>
    </row>
    <row r="4170" spans="1:4" x14ac:dyDescent="0.25">
      <c r="A4170" t="s">
        <v>2837</v>
      </c>
      <c r="B4170">
        <v>1</v>
      </c>
      <c r="C4170" s="54">
        <v>43221</v>
      </c>
      <c r="D4170" s="3" t="str">
        <f>YEAR(Datos_Consumo[[#This Row],[FECHA]])&amp;"-"&amp;MONTH(Datos_Consumo[[#This Row],[FECHA]])</f>
        <v>2018-5</v>
      </c>
    </row>
    <row r="4171" spans="1:4" x14ac:dyDescent="0.25">
      <c r="A4171" t="s">
        <v>2838</v>
      </c>
      <c r="B4171">
        <v>5</v>
      </c>
      <c r="C4171" s="54">
        <v>43132</v>
      </c>
      <c r="D4171" s="3" t="str">
        <f>YEAR(Datos_Consumo[[#This Row],[FECHA]])&amp;"-"&amp;MONTH(Datos_Consumo[[#This Row],[FECHA]])</f>
        <v>2018-2</v>
      </c>
    </row>
    <row r="4172" spans="1:4" x14ac:dyDescent="0.25">
      <c r="A4172" t="s">
        <v>2838</v>
      </c>
      <c r="B4172">
        <v>1</v>
      </c>
      <c r="C4172" s="54">
        <v>43160</v>
      </c>
      <c r="D4172" s="3" t="str">
        <f>YEAR(Datos_Consumo[[#This Row],[FECHA]])&amp;"-"&amp;MONTH(Datos_Consumo[[#This Row],[FECHA]])</f>
        <v>2018-3</v>
      </c>
    </row>
    <row r="4173" spans="1:4" x14ac:dyDescent="0.25">
      <c r="A4173" t="s">
        <v>2839</v>
      </c>
      <c r="B4173">
        <v>2</v>
      </c>
      <c r="C4173" s="54">
        <v>43132</v>
      </c>
      <c r="D4173" s="3" t="str">
        <f>YEAR(Datos_Consumo[[#This Row],[FECHA]])&amp;"-"&amp;MONTH(Datos_Consumo[[#This Row],[FECHA]])</f>
        <v>2018-2</v>
      </c>
    </row>
    <row r="4174" spans="1:4" x14ac:dyDescent="0.25">
      <c r="A4174" t="s">
        <v>2839</v>
      </c>
      <c r="B4174">
        <v>2</v>
      </c>
      <c r="C4174" s="54">
        <v>43221</v>
      </c>
      <c r="D4174" s="3" t="str">
        <f>YEAR(Datos_Consumo[[#This Row],[FECHA]])&amp;"-"&amp;MONTH(Datos_Consumo[[#This Row],[FECHA]])</f>
        <v>2018-5</v>
      </c>
    </row>
    <row r="4175" spans="1:4" x14ac:dyDescent="0.25">
      <c r="A4175" t="s">
        <v>2840</v>
      </c>
      <c r="B4175">
        <v>4</v>
      </c>
      <c r="C4175" s="54">
        <v>43132</v>
      </c>
      <c r="D4175" s="3" t="str">
        <f>YEAR(Datos_Consumo[[#This Row],[FECHA]])&amp;"-"&amp;MONTH(Datos_Consumo[[#This Row],[FECHA]])</f>
        <v>2018-2</v>
      </c>
    </row>
    <row r="4176" spans="1:4" x14ac:dyDescent="0.25">
      <c r="A4176" t="s">
        <v>2840</v>
      </c>
      <c r="B4176">
        <v>2</v>
      </c>
      <c r="C4176" s="54">
        <v>43221</v>
      </c>
      <c r="D4176" s="3" t="str">
        <f>YEAR(Datos_Consumo[[#This Row],[FECHA]])&amp;"-"&amp;MONTH(Datos_Consumo[[#This Row],[FECHA]])</f>
        <v>2018-5</v>
      </c>
    </row>
    <row r="4177" spans="1:4" x14ac:dyDescent="0.25">
      <c r="A4177" t="s">
        <v>2841</v>
      </c>
      <c r="B4177">
        <v>1</v>
      </c>
      <c r="C4177" s="54">
        <v>43070</v>
      </c>
      <c r="D4177" s="3" t="str">
        <f>YEAR(Datos_Consumo[[#This Row],[FECHA]])&amp;"-"&amp;MONTH(Datos_Consumo[[#This Row],[FECHA]])</f>
        <v>2017-12</v>
      </c>
    </row>
    <row r="4178" spans="1:4" x14ac:dyDescent="0.25">
      <c r="A4178" t="s">
        <v>2841</v>
      </c>
      <c r="B4178">
        <v>2</v>
      </c>
      <c r="C4178" s="54">
        <v>43101</v>
      </c>
      <c r="D4178" s="3" t="str">
        <f>YEAR(Datos_Consumo[[#This Row],[FECHA]])&amp;"-"&amp;MONTH(Datos_Consumo[[#This Row],[FECHA]])</f>
        <v>2018-1</v>
      </c>
    </row>
    <row r="4179" spans="1:4" x14ac:dyDescent="0.25">
      <c r="A4179" t="s">
        <v>2842</v>
      </c>
      <c r="B4179">
        <v>2</v>
      </c>
      <c r="C4179" s="54">
        <v>43101</v>
      </c>
      <c r="D4179" s="3" t="str">
        <f>YEAR(Datos_Consumo[[#This Row],[FECHA]])&amp;"-"&amp;MONTH(Datos_Consumo[[#This Row],[FECHA]])</f>
        <v>2018-1</v>
      </c>
    </row>
    <row r="4180" spans="1:4" x14ac:dyDescent="0.25">
      <c r="A4180" t="s">
        <v>2842</v>
      </c>
      <c r="B4180">
        <v>2</v>
      </c>
      <c r="C4180" s="54">
        <v>43160</v>
      </c>
      <c r="D4180" s="3" t="str">
        <f>YEAR(Datos_Consumo[[#This Row],[FECHA]])&amp;"-"&amp;MONTH(Datos_Consumo[[#This Row],[FECHA]])</f>
        <v>2018-3</v>
      </c>
    </row>
    <row r="4181" spans="1:4" x14ac:dyDescent="0.25">
      <c r="A4181" t="s">
        <v>2843</v>
      </c>
      <c r="B4181">
        <v>6</v>
      </c>
      <c r="C4181" s="54">
        <v>43160</v>
      </c>
      <c r="D4181" s="3" t="str">
        <f>YEAR(Datos_Consumo[[#This Row],[FECHA]])&amp;"-"&amp;MONTH(Datos_Consumo[[#This Row],[FECHA]])</f>
        <v>2018-3</v>
      </c>
    </row>
    <row r="4182" spans="1:4" x14ac:dyDescent="0.25">
      <c r="A4182" t="s">
        <v>2844</v>
      </c>
      <c r="B4182">
        <v>2</v>
      </c>
      <c r="C4182" s="54">
        <v>43070</v>
      </c>
      <c r="D4182" s="3" t="str">
        <f>YEAR(Datos_Consumo[[#This Row],[FECHA]])&amp;"-"&amp;MONTH(Datos_Consumo[[#This Row],[FECHA]])</f>
        <v>2017-12</v>
      </c>
    </row>
    <row r="4183" spans="1:4" x14ac:dyDescent="0.25">
      <c r="A4183" t="s">
        <v>2844</v>
      </c>
      <c r="B4183">
        <v>2</v>
      </c>
      <c r="C4183" s="54">
        <v>43101</v>
      </c>
      <c r="D4183" s="3" t="str">
        <f>YEAR(Datos_Consumo[[#This Row],[FECHA]])&amp;"-"&amp;MONTH(Datos_Consumo[[#This Row],[FECHA]])</f>
        <v>2018-1</v>
      </c>
    </row>
    <row r="4184" spans="1:4" x14ac:dyDescent="0.25">
      <c r="A4184" t="s">
        <v>2844</v>
      </c>
      <c r="B4184">
        <v>1</v>
      </c>
      <c r="C4184" s="54">
        <v>43132</v>
      </c>
      <c r="D4184" s="3" t="str">
        <f>YEAR(Datos_Consumo[[#This Row],[FECHA]])&amp;"-"&amp;MONTH(Datos_Consumo[[#This Row],[FECHA]])</f>
        <v>2018-2</v>
      </c>
    </row>
    <row r="4185" spans="1:4" x14ac:dyDescent="0.25">
      <c r="A4185" t="s">
        <v>2844</v>
      </c>
      <c r="B4185">
        <v>1</v>
      </c>
      <c r="C4185" s="54">
        <v>43160</v>
      </c>
      <c r="D4185" s="3" t="str">
        <f>YEAR(Datos_Consumo[[#This Row],[FECHA]])&amp;"-"&amp;MONTH(Datos_Consumo[[#This Row],[FECHA]])</f>
        <v>2018-3</v>
      </c>
    </row>
    <row r="4186" spans="1:4" x14ac:dyDescent="0.25">
      <c r="A4186" t="s">
        <v>2844</v>
      </c>
      <c r="B4186">
        <v>3</v>
      </c>
      <c r="C4186" s="54">
        <v>43191</v>
      </c>
      <c r="D4186" s="3" t="str">
        <f>YEAR(Datos_Consumo[[#This Row],[FECHA]])&amp;"-"&amp;MONTH(Datos_Consumo[[#This Row],[FECHA]])</f>
        <v>2018-4</v>
      </c>
    </row>
    <row r="4187" spans="1:4" x14ac:dyDescent="0.25">
      <c r="A4187" t="s">
        <v>2844</v>
      </c>
      <c r="B4187">
        <v>3</v>
      </c>
      <c r="C4187" s="54">
        <v>43221</v>
      </c>
      <c r="D4187" s="3" t="str">
        <f>YEAR(Datos_Consumo[[#This Row],[FECHA]])&amp;"-"&amp;MONTH(Datos_Consumo[[#This Row],[FECHA]])</f>
        <v>2018-5</v>
      </c>
    </row>
    <row r="4188" spans="1:4" x14ac:dyDescent="0.25">
      <c r="A4188" t="s">
        <v>2845</v>
      </c>
      <c r="B4188">
        <v>1</v>
      </c>
      <c r="C4188" s="54">
        <v>43070</v>
      </c>
      <c r="D4188" s="3" t="str">
        <f>YEAR(Datos_Consumo[[#This Row],[FECHA]])&amp;"-"&amp;MONTH(Datos_Consumo[[#This Row],[FECHA]])</f>
        <v>2017-12</v>
      </c>
    </row>
    <row r="4189" spans="1:4" x14ac:dyDescent="0.25">
      <c r="A4189" t="s">
        <v>2845</v>
      </c>
      <c r="B4189">
        <v>1</v>
      </c>
      <c r="C4189" s="54">
        <v>43101</v>
      </c>
      <c r="D4189" s="3" t="str">
        <f>YEAR(Datos_Consumo[[#This Row],[FECHA]])&amp;"-"&amp;MONTH(Datos_Consumo[[#This Row],[FECHA]])</f>
        <v>2018-1</v>
      </c>
    </row>
    <row r="4190" spans="1:4" x14ac:dyDescent="0.25">
      <c r="A4190" t="s">
        <v>2845</v>
      </c>
      <c r="B4190">
        <v>3</v>
      </c>
      <c r="C4190" s="54">
        <v>43132</v>
      </c>
      <c r="D4190" s="3" t="str">
        <f>YEAR(Datos_Consumo[[#This Row],[FECHA]])&amp;"-"&amp;MONTH(Datos_Consumo[[#This Row],[FECHA]])</f>
        <v>2018-2</v>
      </c>
    </row>
    <row r="4191" spans="1:4" x14ac:dyDescent="0.25">
      <c r="A4191" t="s">
        <v>2846</v>
      </c>
      <c r="B4191">
        <v>5</v>
      </c>
      <c r="C4191" s="54">
        <v>43070</v>
      </c>
      <c r="D4191" s="3" t="str">
        <f>YEAR(Datos_Consumo[[#This Row],[FECHA]])&amp;"-"&amp;MONTH(Datos_Consumo[[#This Row],[FECHA]])</f>
        <v>2017-12</v>
      </c>
    </row>
    <row r="4192" spans="1:4" x14ac:dyDescent="0.25">
      <c r="A4192" t="s">
        <v>2846</v>
      </c>
      <c r="B4192">
        <v>11</v>
      </c>
      <c r="C4192" s="54">
        <v>43101</v>
      </c>
      <c r="D4192" s="3" t="str">
        <f>YEAR(Datos_Consumo[[#This Row],[FECHA]])&amp;"-"&amp;MONTH(Datos_Consumo[[#This Row],[FECHA]])</f>
        <v>2018-1</v>
      </c>
    </row>
    <row r="4193" spans="1:4" x14ac:dyDescent="0.25">
      <c r="A4193" t="s">
        <v>2846</v>
      </c>
      <c r="B4193">
        <v>5</v>
      </c>
      <c r="C4193" s="54">
        <v>43132</v>
      </c>
      <c r="D4193" s="3" t="str">
        <f>YEAR(Datos_Consumo[[#This Row],[FECHA]])&amp;"-"&amp;MONTH(Datos_Consumo[[#This Row],[FECHA]])</f>
        <v>2018-2</v>
      </c>
    </row>
    <row r="4194" spans="1:4" x14ac:dyDescent="0.25">
      <c r="A4194" t="s">
        <v>2846</v>
      </c>
      <c r="B4194">
        <v>13</v>
      </c>
      <c r="C4194" s="54">
        <v>43160</v>
      </c>
      <c r="D4194" s="3" t="str">
        <f>YEAR(Datos_Consumo[[#This Row],[FECHA]])&amp;"-"&amp;MONTH(Datos_Consumo[[#This Row],[FECHA]])</f>
        <v>2018-3</v>
      </c>
    </row>
    <row r="4195" spans="1:4" x14ac:dyDescent="0.25">
      <c r="A4195" t="s">
        <v>2846</v>
      </c>
      <c r="B4195">
        <v>11</v>
      </c>
      <c r="C4195" s="54">
        <v>43191</v>
      </c>
      <c r="D4195" s="3" t="str">
        <f>YEAR(Datos_Consumo[[#This Row],[FECHA]])&amp;"-"&amp;MONTH(Datos_Consumo[[#This Row],[FECHA]])</f>
        <v>2018-4</v>
      </c>
    </row>
    <row r="4196" spans="1:4" x14ac:dyDescent="0.25">
      <c r="A4196" t="s">
        <v>2846</v>
      </c>
      <c r="B4196">
        <v>1</v>
      </c>
      <c r="C4196" s="54">
        <v>43221</v>
      </c>
      <c r="D4196" s="3" t="str">
        <f>YEAR(Datos_Consumo[[#This Row],[FECHA]])&amp;"-"&amp;MONTH(Datos_Consumo[[#This Row],[FECHA]])</f>
        <v>2018-5</v>
      </c>
    </row>
    <row r="4197" spans="1:4" x14ac:dyDescent="0.25">
      <c r="A4197" t="s">
        <v>2847</v>
      </c>
      <c r="B4197">
        <v>4</v>
      </c>
      <c r="C4197" s="54">
        <v>43101</v>
      </c>
      <c r="D4197" s="3" t="str">
        <f>YEAR(Datos_Consumo[[#This Row],[FECHA]])&amp;"-"&amp;MONTH(Datos_Consumo[[#This Row],[FECHA]])</f>
        <v>2018-1</v>
      </c>
    </row>
    <row r="4198" spans="1:4" x14ac:dyDescent="0.25">
      <c r="A4198" t="s">
        <v>2847</v>
      </c>
      <c r="B4198">
        <v>2</v>
      </c>
      <c r="C4198" s="54">
        <v>43160</v>
      </c>
      <c r="D4198" s="3" t="str">
        <f>YEAR(Datos_Consumo[[#This Row],[FECHA]])&amp;"-"&amp;MONTH(Datos_Consumo[[#This Row],[FECHA]])</f>
        <v>2018-3</v>
      </c>
    </row>
    <row r="4199" spans="1:4" x14ac:dyDescent="0.25">
      <c r="A4199" t="s">
        <v>2848</v>
      </c>
      <c r="B4199">
        <v>5</v>
      </c>
      <c r="C4199" s="54">
        <v>43160</v>
      </c>
      <c r="D4199" s="3" t="str">
        <f>YEAR(Datos_Consumo[[#This Row],[FECHA]])&amp;"-"&amp;MONTH(Datos_Consumo[[#This Row],[FECHA]])</f>
        <v>2018-3</v>
      </c>
    </row>
    <row r="4200" spans="1:4" x14ac:dyDescent="0.25">
      <c r="A4200" t="s">
        <v>2848</v>
      </c>
      <c r="B4200">
        <v>2</v>
      </c>
      <c r="C4200" s="54">
        <v>43191</v>
      </c>
      <c r="D4200" s="3" t="str">
        <f>YEAR(Datos_Consumo[[#This Row],[FECHA]])&amp;"-"&amp;MONTH(Datos_Consumo[[#This Row],[FECHA]])</f>
        <v>2018-4</v>
      </c>
    </row>
    <row r="4201" spans="1:4" x14ac:dyDescent="0.25">
      <c r="A4201" t="s">
        <v>2848</v>
      </c>
      <c r="B4201">
        <v>4</v>
      </c>
      <c r="C4201" s="54">
        <v>43221</v>
      </c>
      <c r="D4201" s="3" t="str">
        <f>YEAR(Datos_Consumo[[#This Row],[FECHA]])&amp;"-"&amp;MONTH(Datos_Consumo[[#This Row],[FECHA]])</f>
        <v>2018-5</v>
      </c>
    </row>
    <row r="4202" spans="1:4" x14ac:dyDescent="0.25">
      <c r="A4202" t="s">
        <v>2849</v>
      </c>
      <c r="B4202">
        <v>3</v>
      </c>
      <c r="C4202" s="54">
        <v>43101</v>
      </c>
      <c r="D4202" s="3" t="str">
        <f>YEAR(Datos_Consumo[[#This Row],[FECHA]])&amp;"-"&amp;MONTH(Datos_Consumo[[#This Row],[FECHA]])</f>
        <v>2018-1</v>
      </c>
    </row>
    <row r="4203" spans="1:4" x14ac:dyDescent="0.25">
      <c r="A4203" t="s">
        <v>2849</v>
      </c>
      <c r="B4203">
        <v>8</v>
      </c>
      <c r="C4203" s="54">
        <v>43132</v>
      </c>
      <c r="D4203" s="3" t="str">
        <f>YEAR(Datos_Consumo[[#This Row],[FECHA]])&amp;"-"&amp;MONTH(Datos_Consumo[[#This Row],[FECHA]])</f>
        <v>2018-2</v>
      </c>
    </row>
    <row r="4204" spans="1:4" x14ac:dyDescent="0.25">
      <c r="A4204" t="s">
        <v>2850</v>
      </c>
      <c r="B4204">
        <v>2</v>
      </c>
      <c r="C4204" s="54">
        <v>43101</v>
      </c>
      <c r="D4204" s="3" t="str">
        <f>YEAR(Datos_Consumo[[#This Row],[FECHA]])&amp;"-"&amp;MONTH(Datos_Consumo[[#This Row],[FECHA]])</f>
        <v>2018-1</v>
      </c>
    </row>
    <row r="4205" spans="1:4" x14ac:dyDescent="0.25">
      <c r="A4205" t="s">
        <v>2850</v>
      </c>
      <c r="B4205">
        <v>1</v>
      </c>
      <c r="C4205" s="54">
        <v>43191</v>
      </c>
      <c r="D4205" s="3" t="str">
        <f>YEAR(Datos_Consumo[[#This Row],[FECHA]])&amp;"-"&amp;MONTH(Datos_Consumo[[#This Row],[FECHA]])</f>
        <v>2018-4</v>
      </c>
    </row>
    <row r="4206" spans="1:4" x14ac:dyDescent="0.25">
      <c r="A4206" t="s">
        <v>4093</v>
      </c>
      <c r="B4206">
        <v>3</v>
      </c>
      <c r="C4206" s="54">
        <v>43191</v>
      </c>
      <c r="D4206" s="3" t="str">
        <f>YEAR(Datos_Consumo[[#This Row],[FECHA]])&amp;"-"&amp;MONTH(Datos_Consumo[[#This Row],[FECHA]])</f>
        <v>2018-4</v>
      </c>
    </row>
    <row r="4207" spans="1:4" x14ac:dyDescent="0.25">
      <c r="A4207" t="s">
        <v>2851</v>
      </c>
      <c r="B4207">
        <v>2</v>
      </c>
      <c r="C4207" s="54">
        <v>43070</v>
      </c>
      <c r="D4207" s="3" t="str">
        <f>YEAR(Datos_Consumo[[#This Row],[FECHA]])&amp;"-"&amp;MONTH(Datos_Consumo[[#This Row],[FECHA]])</f>
        <v>2017-12</v>
      </c>
    </row>
    <row r="4208" spans="1:4" x14ac:dyDescent="0.25">
      <c r="A4208" t="s">
        <v>2851</v>
      </c>
      <c r="B4208">
        <v>8</v>
      </c>
      <c r="C4208" s="54">
        <v>43101</v>
      </c>
      <c r="D4208" s="3" t="str">
        <f>YEAR(Datos_Consumo[[#This Row],[FECHA]])&amp;"-"&amp;MONTH(Datos_Consumo[[#This Row],[FECHA]])</f>
        <v>2018-1</v>
      </c>
    </row>
    <row r="4209" spans="1:4" x14ac:dyDescent="0.25">
      <c r="A4209" t="s">
        <v>2851</v>
      </c>
      <c r="B4209">
        <v>12</v>
      </c>
      <c r="C4209" s="54">
        <v>43132</v>
      </c>
      <c r="D4209" s="3" t="str">
        <f>YEAR(Datos_Consumo[[#This Row],[FECHA]])&amp;"-"&amp;MONTH(Datos_Consumo[[#This Row],[FECHA]])</f>
        <v>2018-2</v>
      </c>
    </row>
    <row r="4210" spans="1:4" x14ac:dyDescent="0.25">
      <c r="A4210" t="s">
        <v>2851</v>
      </c>
      <c r="B4210">
        <v>4</v>
      </c>
      <c r="C4210" s="54">
        <v>43191</v>
      </c>
      <c r="D4210" s="3" t="str">
        <f>YEAR(Datos_Consumo[[#This Row],[FECHA]])&amp;"-"&amp;MONTH(Datos_Consumo[[#This Row],[FECHA]])</f>
        <v>2018-4</v>
      </c>
    </row>
    <row r="4211" spans="1:4" x14ac:dyDescent="0.25">
      <c r="A4211" t="s">
        <v>2851</v>
      </c>
      <c r="B4211">
        <v>1</v>
      </c>
      <c r="C4211" s="54">
        <v>43221</v>
      </c>
      <c r="D4211" s="3" t="str">
        <f>YEAR(Datos_Consumo[[#This Row],[FECHA]])&amp;"-"&amp;MONTH(Datos_Consumo[[#This Row],[FECHA]])</f>
        <v>2018-5</v>
      </c>
    </row>
    <row r="4212" spans="1:4" x14ac:dyDescent="0.25">
      <c r="A4212" t="s">
        <v>2852</v>
      </c>
      <c r="B4212">
        <v>1</v>
      </c>
      <c r="C4212" s="54">
        <v>43101</v>
      </c>
      <c r="D4212" s="3" t="str">
        <f>YEAR(Datos_Consumo[[#This Row],[FECHA]])&amp;"-"&amp;MONTH(Datos_Consumo[[#This Row],[FECHA]])</f>
        <v>2018-1</v>
      </c>
    </row>
    <row r="4213" spans="1:4" x14ac:dyDescent="0.25">
      <c r="A4213" t="s">
        <v>2852</v>
      </c>
      <c r="B4213">
        <v>1</v>
      </c>
      <c r="C4213" s="54">
        <v>43160</v>
      </c>
      <c r="D4213" s="3" t="str">
        <f>YEAR(Datos_Consumo[[#This Row],[FECHA]])&amp;"-"&amp;MONTH(Datos_Consumo[[#This Row],[FECHA]])</f>
        <v>2018-3</v>
      </c>
    </row>
    <row r="4214" spans="1:4" x14ac:dyDescent="0.25">
      <c r="A4214" t="s">
        <v>2852</v>
      </c>
      <c r="B4214">
        <v>1</v>
      </c>
      <c r="C4214" s="54">
        <v>43221</v>
      </c>
      <c r="D4214" s="3" t="str">
        <f>YEAR(Datos_Consumo[[#This Row],[FECHA]])&amp;"-"&amp;MONTH(Datos_Consumo[[#This Row],[FECHA]])</f>
        <v>2018-5</v>
      </c>
    </row>
    <row r="4215" spans="1:4" x14ac:dyDescent="0.25">
      <c r="A4215" t="s">
        <v>2853</v>
      </c>
      <c r="B4215">
        <v>1</v>
      </c>
      <c r="C4215" s="54">
        <v>43132</v>
      </c>
      <c r="D4215" s="3" t="str">
        <f>YEAR(Datos_Consumo[[#This Row],[FECHA]])&amp;"-"&amp;MONTH(Datos_Consumo[[#This Row],[FECHA]])</f>
        <v>2018-2</v>
      </c>
    </row>
    <row r="4216" spans="1:4" x14ac:dyDescent="0.25">
      <c r="A4216" t="s">
        <v>2854</v>
      </c>
      <c r="B4216">
        <v>1</v>
      </c>
      <c r="C4216" s="54">
        <v>43101</v>
      </c>
      <c r="D4216" s="3" t="str">
        <f>YEAR(Datos_Consumo[[#This Row],[FECHA]])&amp;"-"&amp;MONTH(Datos_Consumo[[#This Row],[FECHA]])</f>
        <v>2018-1</v>
      </c>
    </row>
    <row r="4217" spans="1:4" x14ac:dyDescent="0.25">
      <c r="A4217" t="s">
        <v>2855</v>
      </c>
      <c r="B4217">
        <v>10</v>
      </c>
      <c r="C4217" s="54">
        <v>43132</v>
      </c>
      <c r="D4217" s="3" t="str">
        <f>YEAR(Datos_Consumo[[#This Row],[FECHA]])&amp;"-"&amp;MONTH(Datos_Consumo[[#This Row],[FECHA]])</f>
        <v>2018-2</v>
      </c>
    </row>
    <row r="4218" spans="1:4" x14ac:dyDescent="0.25">
      <c r="A4218" t="s">
        <v>2855</v>
      </c>
      <c r="B4218">
        <v>4</v>
      </c>
      <c r="C4218" s="54">
        <v>43221</v>
      </c>
      <c r="D4218" s="3" t="str">
        <f>YEAR(Datos_Consumo[[#This Row],[FECHA]])&amp;"-"&amp;MONTH(Datos_Consumo[[#This Row],[FECHA]])</f>
        <v>2018-5</v>
      </c>
    </row>
    <row r="4219" spans="1:4" x14ac:dyDescent="0.25">
      <c r="A4219" t="s">
        <v>2856</v>
      </c>
      <c r="B4219">
        <v>10</v>
      </c>
      <c r="C4219" s="54">
        <v>43070</v>
      </c>
      <c r="D4219" s="3" t="str">
        <f>YEAR(Datos_Consumo[[#This Row],[FECHA]])&amp;"-"&amp;MONTH(Datos_Consumo[[#This Row],[FECHA]])</f>
        <v>2017-12</v>
      </c>
    </row>
    <row r="4220" spans="1:4" x14ac:dyDescent="0.25">
      <c r="A4220" t="s">
        <v>2856</v>
      </c>
      <c r="B4220">
        <v>2</v>
      </c>
      <c r="C4220" s="54">
        <v>43101</v>
      </c>
      <c r="D4220" s="3" t="str">
        <f>YEAR(Datos_Consumo[[#This Row],[FECHA]])&amp;"-"&amp;MONTH(Datos_Consumo[[#This Row],[FECHA]])</f>
        <v>2018-1</v>
      </c>
    </row>
    <row r="4221" spans="1:4" x14ac:dyDescent="0.25">
      <c r="A4221" t="s">
        <v>2856</v>
      </c>
      <c r="B4221">
        <v>4</v>
      </c>
      <c r="C4221" s="54">
        <v>43191</v>
      </c>
      <c r="D4221" s="3" t="str">
        <f>YEAR(Datos_Consumo[[#This Row],[FECHA]])&amp;"-"&amp;MONTH(Datos_Consumo[[#This Row],[FECHA]])</f>
        <v>2018-4</v>
      </c>
    </row>
    <row r="4222" spans="1:4" x14ac:dyDescent="0.25">
      <c r="A4222" t="s">
        <v>2857</v>
      </c>
      <c r="B4222">
        <v>1</v>
      </c>
      <c r="C4222" s="54">
        <v>43101</v>
      </c>
      <c r="D4222" s="3" t="str">
        <f>YEAR(Datos_Consumo[[#This Row],[FECHA]])&amp;"-"&amp;MONTH(Datos_Consumo[[#This Row],[FECHA]])</f>
        <v>2018-1</v>
      </c>
    </row>
    <row r="4223" spans="1:4" x14ac:dyDescent="0.25">
      <c r="A4223" t="s">
        <v>2857</v>
      </c>
      <c r="B4223">
        <v>1</v>
      </c>
      <c r="C4223" s="54">
        <v>43160</v>
      </c>
      <c r="D4223" s="3" t="str">
        <f>YEAR(Datos_Consumo[[#This Row],[FECHA]])&amp;"-"&amp;MONTH(Datos_Consumo[[#This Row],[FECHA]])</f>
        <v>2018-3</v>
      </c>
    </row>
    <row r="4224" spans="1:4" x14ac:dyDescent="0.25">
      <c r="A4224" t="s">
        <v>2857</v>
      </c>
      <c r="B4224">
        <v>2</v>
      </c>
      <c r="C4224" s="54">
        <v>43221</v>
      </c>
      <c r="D4224" s="3" t="str">
        <f>YEAR(Datos_Consumo[[#This Row],[FECHA]])&amp;"-"&amp;MONTH(Datos_Consumo[[#This Row],[FECHA]])</f>
        <v>2018-5</v>
      </c>
    </row>
    <row r="4225" spans="1:4" x14ac:dyDescent="0.25">
      <c r="A4225" t="s">
        <v>4094</v>
      </c>
      <c r="B4225">
        <v>1</v>
      </c>
      <c r="C4225" s="54">
        <v>43191</v>
      </c>
      <c r="D4225" s="3" t="str">
        <f>YEAR(Datos_Consumo[[#This Row],[FECHA]])&amp;"-"&amp;MONTH(Datos_Consumo[[#This Row],[FECHA]])</f>
        <v>2018-4</v>
      </c>
    </row>
    <row r="4226" spans="1:4" x14ac:dyDescent="0.25">
      <c r="A4226" t="s">
        <v>2858</v>
      </c>
      <c r="B4226">
        <v>1</v>
      </c>
      <c r="C4226" s="54">
        <v>43160</v>
      </c>
      <c r="D4226" s="3" t="str">
        <f>YEAR(Datos_Consumo[[#This Row],[FECHA]])&amp;"-"&amp;MONTH(Datos_Consumo[[#This Row],[FECHA]])</f>
        <v>2018-3</v>
      </c>
    </row>
    <row r="4227" spans="1:4" x14ac:dyDescent="0.25">
      <c r="A4227" t="s">
        <v>2858</v>
      </c>
      <c r="B4227">
        <v>1</v>
      </c>
      <c r="C4227" s="54">
        <v>43191</v>
      </c>
      <c r="D4227" s="3" t="str">
        <f>YEAR(Datos_Consumo[[#This Row],[FECHA]])&amp;"-"&amp;MONTH(Datos_Consumo[[#This Row],[FECHA]])</f>
        <v>2018-4</v>
      </c>
    </row>
    <row r="4228" spans="1:4" x14ac:dyDescent="0.25">
      <c r="A4228" t="s">
        <v>2859</v>
      </c>
      <c r="B4228">
        <v>1</v>
      </c>
      <c r="C4228" s="54">
        <v>43101</v>
      </c>
      <c r="D4228" s="3" t="str">
        <f>YEAR(Datos_Consumo[[#This Row],[FECHA]])&amp;"-"&amp;MONTH(Datos_Consumo[[#This Row],[FECHA]])</f>
        <v>2018-1</v>
      </c>
    </row>
    <row r="4229" spans="1:4" x14ac:dyDescent="0.25">
      <c r="A4229" t="s">
        <v>2859</v>
      </c>
      <c r="B4229">
        <v>2</v>
      </c>
      <c r="C4229" s="54">
        <v>43132</v>
      </c>
      <c r="D4229" s="3" t="str">
        <f>YEAR(Datos_Consumo[[#This Row],[FECHA]])&amp;"-"&amp;MONTH(Datos_Consumo[[#This Row],[FECHA]])</f>
        <v>2018-2</v>
      </c>
    </row>
    <row r="4230" spans="1:4" x14ac:dyDescent="0.25">
      <c r="A4230" t="s">
        <v>2860</v>
      </c>
      <c r="B4230">
        <v>5</v>
      </c>
      <c r="C4230" s="54">
        <v>43132</v>
      </c>
      <c r="D4230" s="3" t="str">
        <f>YEAR(Datos_Consumo[[#This Row],[FECHA]])&amp;"-"&amp;MONTH(Datos_Consumo[[#This Row],[FECHA]])</f>
        <v>2018-2</v>
      </c>
    </row>
    <row r="4231" spans="1:4" x14ac:dyDescent="0.25">
      <c r="A4231" t="s">
        <v>2861</v>
      </c>
      <c r="B4231">
        <v>2</v>
      </c>
      <c r="C4231" s="54">
        <v>43070</v>
      </c>
      <c r="D4231" s="3" t="str">
        <f>YEAR(Datos_Consumo[[#This Row],[FECHA]])&amp;"-"&amp;MONTH(Datos_Consumo[[#This Row],[FECHA]])</f>
        <v>2017-12</v>
      </c>
    </row>
    <row r="4232" spans="1:4" x14ac:dyDescent="0.25">
      <c r="A4232" t="s">
        <v>2862</v>
      </c>
      <c r="B4232">
        <v>1</v>
      </c>
      <c r="C4232" s="54">
        <v>43101</v>
      </c>
      <c r="D4232" s="3" t="str">
        <f>YEAR(Datos_Consumo[[#This Row],[FECHA]])&amp;"-"&amp;MONTH(Datos_Consumo[[#This Row],[FECHA]])</f>
        <v>2018-1</v>
      </c>
    </row>
    <row r="4233" spans="1:4" x14ac:dyDescent="0.25">
      <c r="A4233" t="s">
        <v>2862</v>
      </c>
      <c r="B4233">
        <v>1</v>
      </c>
      <c r="C4233" s="54">
        <v>43160</v>
      </c>
      <c r="D4233" s="3" t="str">
        <f>YEAR(Datos_Consumo[[#This Row],[FECHA]])&amp;"-"&amp;MONTH(Datos_Consumo[[#This Row],[FECHA]])</f>
        <v>2018-3</v>
      </c>
    </row>
    <row r="4234" spans="1:4" x14ac:dyDescent="0.25">
      <c r="A4234" t="s">
        <v>2863</v>
      </c>
      <c r="B4234">
        <v>1</v>
      </c>
      <c r="C4234" s="54">
        <v>43070</v>
      </c>
      <c r="D4234" s="3" t="str">
        <f>YEAR(Datos_Consumo[[#This Row],[FECHA]])&amp;"-"&amp;MONTH(Datos_Consumo[[#This Row],[FECHA]])</f>
        <v>2017-12</v>
      </c>
    </row>
    <row r="4235" spans="1:4" x14ac:dyDescent="0.25">
      <c r="A4235" t="s">
        <v>2863</v>
      </c>
      <c r="B4235">
        <v>1</v>
      </c>
      <c r="C4235" s="54">
        <v>43160</v>
      </c>
      <c r="D4235" s="3" t="str">
        <f>YEAR(Datos_Consumo[[#This Row],[FECHA]])&amp;"-"&amp;MONTH(Datos_Consumo[[#This Row],[FECHA]])</f>
        <v>2018-3</v>
      </c>
    </row>
    <row r="4236" spans="1:4" x14ac:dyDescent="0.25">
      <c r="A4236" t="s">
        <v>2864</v>
      </c>
      <c r="B4236">
        <v>1</v>
      </c>
      <c r="C4236" s="54">
        <v>43191</v>
      </c>
      <c r="D4236" s="3" t="str">
        <f>YEAR(Datos_Consumo[[#This Row],[FECHA]])&amp;"-"&amp;MONTH(Datos_Consumo[[#This Row],[FECHA]])</f>
        <v>2018-4</v>
      </c>
    </row>
    <row r="4237" spans="1:4" x14ac:dyDescent="0.25">
      <c r="A4237" t="s">
        <v>2865</v>
      </c>
      <c r="B4237">
        <v>2</v>
      </c>
      <c r="C4237" s="54">
        <v>43101</v>
      </c>
      <c r="D4237" s="3" t="str">
        <f>YEAR(Datos_Consumo[[#This Row],[FECHA]])&amp;"-"&amp;MONTH(Datos_Consumo[[#This Row],[FECHA]])</f>
        <v>2018-1</v>
      </c>
    </row>
    <row r="4238" spans="1:4" x14ac:dyDescent="0.25">
      <c r="A4238" t="s">
        <v>2866</v>
      </c>
      <c r="B4238">
        <v>1</v>
      </c>
      <c r="C4238" s="54">
        <v>43070</v>
      </c>
      <c r="D4238" s="3" t="str">
        <f>YEAR(Datos_Consumo[[#This Row],[FECHA]])&amp;"-"&amp;MONTH(Datos_Consumo[[#This Row],[FECHA]])</f>
        <v>2017-12</v>
      </c>
    </row>
    <row r="4239" spans="1:4" x14ac:dyDescent="0.25">
      <c r="A4239" t="s">
        <v>2866</v>
      </c>
      <c r="B4239">
        <v>1</v>
      </c>
      <c r="C4239" s="54">
        <v>43160</v>
      </c>
      <c r="D4239" s="3" t="str">
        <f>YEAR(Datos_Consumo[[#This Row],[FECHA]])&amp;"-"&amp;MONTH(Datos_Consumo[[#This Row],[FECHA]])</f>
        <v>2018-3</v>
      </c>
    </row>
    <row r="4240" spans="1:4" x14ac:dyDescent="0.25">
      <c r="A4240" t="s">
        <v>2867</v>
      </c>
      <c r="B4240">
        <v>1</v>
      </c>
      <c r="C4240" s="54">
        <v>43191</v>
      </c>
      <c r="D4240" s="3" t="str">
        <f>YEAR(Datos_Consumo[[#This Row],[FECHA]])&amp;"-"&amp;MONTH(Datos_Consumo[[#This Row],[FECHA]])</f>
        <v>2018-4</v>
      </c>
    </row>
    <row r="4241" spans="1:4" x14ac:dyDescent="0.25">
      <c r="A4241" t="s">
        <v>2868</v>
      </c>
      <c r="B4241">
        <v>1</v>
      </c>
      <c r="C4241" s="54">
        <v>43070</v>
      </c>
      <c r="D4241" s="3" t="str">
        <f>YEAR(Datos_Consumo[[#This Row],[FECHA]])&amp;"-"&amp;MONTH(Datos_Consumo[[#This Row],[FECHA]])</f>
        <v>2017-12</v>
      </c>
    </row>
    <row r="4242" spans="1:4" x14ac:dyDescent="0.25">
      <c r="A4242" t="s">
        <v>2868</v>
      </c>
      <c r="B4242">
        <v>1</v>
      </c>
      <c r="C4242" s="54">
        <v>43221</v>
      </c>
      <c r="D4242" s="3" t="str">
        <f>YEAR(Datos_Consumo[[#This Row],[FECHA]])&amp;"-"&amp;MONTH(Datos_Consumo[[#This Row],[FECHA]])</f>
        <v>2018-5</v>
      </c>
    </row>
    <row r="4243" spans="1:4" x14ac:dyDescent="0.25">
      <c r="A4243" t="s">
        <v>2869</v>
      </c>
      <c r="B4243">
        <v>3</v>
      </c>
      <c r="C4243" s="54">
        <v>43070</v>
      </c>
      <c r="D4243" s="3" t="str">
        <f>YEAR(Datos_Consumo[[#This Row],[FECHA]])&amp;"-"&amp;MONTH(Datos_Consumo[[#This Row],[FECHA]])</f>
        <v>2017-12</v>
      </c>
    </row>
    <row r="4244" spans="1:4" x14ac:dyDescent="0.25">
      <c r="A4244" t="s">
        <v>2869</v>
      </c>
      <c r="B4244">
        <v>1</v>
      </c>
      <c r="C4244" s="54">
        <v>43132</v>
      </c>
      <c r="D4244" s="3" t="str">
        <f>YEAR(Datos_Consumo[[#This Row],[FECHA]])&amp;"-"&amp;MONTH(Datos_Consumo[[#This Row],[FECHA]])</f>
        <v>2018-2</v>
      </c>
    </row>
    <row r="4245" spans="1:4" x14ac:dyDescent="0.25">
      <c r="A4245" t="s">
        <v>2870</v>
      </c>
      <c r="B4245">
        <v>1</v>
      </c>
      <c r="C4245" s="54">
        <v>43160</v>
      </c>
      <c r="D4245" s="3" t="str">
        <f>YEAR(Datos_Consumo[[#This Row],[FECHA]])&amp;"-"&amp;MONTH(Datos_Consumo[[#This Row],[FECHA]])</f>
        <v>2018-3</v>
      </c>
    </row>
    <row r="4246" spans="1:4" x14ac:dyDescent="0.25">
      <c r="A4246" t="s">
        <v>2871</v>
      </c>
      <c r="B4246">
        <v>1</v>
      </c>
      <c r="C4246" s="54">
        <v>43070</v>
      </c>
      <c r="D4246" s="3" t="str">
        <f>YEAR(Datos_Consumo[[#This Row],[FECHA]])&amp;"-"&amp;MONTH(Datos_Consumo[[#This Row],[FECHA]])</f>
        <v>2017-12</v>
      </c>
    </row>
    <row r="4247" spans="1:4" x14ac:dyDescent="0.25">
      <c r="A4247" t="s">
        <v>2871</v>
      </c>
      <c r="B4247">
        <v>1</v>
      </c>
      <c r="C4247" s="54">
        <v>43160</v>
      </c>
      <c r="D4247" s="3" t="str">
        <f>YEAR(Datos_Consumo[[#This Row],[FECHA]])&amp;"-"&amp;MONTH(Datos_Consumo[[#This Row],[FECHA]])</f>
        <v>2018-3</v>
      </c>
    </row>
    <row r="4248" spans="1:4" x14ac:dyDescent="0.25">
      <c r="A4248" t="s">
        <v>2872</v>
      </c>
      <c r="B4248">
        <v>1</v>
      </c>
      <c r="C4248" s="54">
        <v>43070</v>
      </c>
      <c r="D4248" s="3" t="str">
        <f>YEAR(Datos_Consumo[[#This Row],[FECHA]])&amp;"-"&amp;MONTH(Datos_Consumo[[#This Row],[FECHA]])</f>
        <v>2017-12</v>
      </c>
    </row>
    <row r="4249" spans="1:4" x14ac:dyDescent="0.25">
      <c r="A4249" t="s">
        <v>2873</v>
      </c>
      <c r="B4249">
        <v>1</v>
      </c>
      <c r="C4249" s="54">
        <v>43070</v>
      </c>
      <c r="D4249" s="3" t="str">
        <f>YEAR(Datos_Consumo[[#This Row],[FECHA]])&amp;"-"&amp;MONTH(Datos_Consumo[[#This Row],[FECHA]])</f>
        <v>2017-12</v>
      </c>
    </row>
    <row r="4250" spans="1:4" x14ac:dyDescent="0.25">
      <c r="A4250" t="s">
        <v>2874</v>
      </c>
      <c r="B4250">
        <v>2</v>
      </c>
      <c r="C4250" s="54">
        <v>43070</v>
      </c>
      <c r="D4250" s="3" t="str">
        <f>YEAR(Datos_Consumo[[#This Row],[FECHA]])&amp;"-"&amp;MONTH(Datos_Consumo[[#This Row],[FECHA]])</f>
        <v>2017-12</v>
      </c>
    </row>
    <row r="4251" spans="1:4" x14ac:dyDescent="0.25">
      <c r="A4251" t="s">
        <v>2874</v>
      </c>
      <c r="B4251">
        <v>2</v>
      </c>
      <c r="C4251" s="54">
        <v>43101</v>
      </c>
      <c r="D4251" s="3" t="str">
        <f>YEAR(Datos_Consumo[[#This Row],[FECHA]])&amp;"-"&amp;MONTH(Datos_Consumo[[#This Row],[FECHA]])</f>
        <v>2018-1</v>
      </c>
    </row>
    <row r="4252" spans="1:4" x14ac:dyDescent="0.25">
      <c r="A4252" t="s">
        <v>1426</v>
      </c>
      <c r="B4252">
        <v>2</v>
      </c>
      <c r="C4252" s="54">
        <v>43070</v>
      </c>
      <c r="D4252" s="3" t="str">
        <f>YEAR(Datos_Consumo[[#This Row],[FECHA]])&amp;"-"&amp;MONTH(Datos_Consumo[[#This Row],[FECHA]])</f>
        <v>2017-12</v>
      </c>
    </row>
    <row r="4253" spans="1:4" x14ac:dyDescent="0.25">
      <c r="A4253" t="s">
        <v>1426</v>
      </c>
      <c r="B4253">
        <v>2</v>
      </c>
      <c r="C4253" s="54">
        <v>43101</v>
      </c>
      <c r="D4253" s="3" t="str">
        <f>YEAR(Datos_Consumo[[#This Row],[FECHA]])&amp;"-"&amp;MONTH(Datos_Consumo[[#This Row],[FECHA]])</f>
        <v>2018-1</v>
      </c>
    </row>
    <row r="4254" spans="1:4" x14ac:dyDescent="0.25">
      <c r="A4254" t="s">
        <v>1426</v>
      </c>
      <c r="B4254">
        <v>12</v>
      </c>
      <c r="C4254" s="54">
        <v>43132</v>
      </c>
      <c r="D4254" s="3" t="str">
        <f>YEAR(Datos_Consumo[[#This Row],[FECHA]])&amp;"-"&amp;MONTH(Datos_Consumo[[#This Row],[FECHA]])</f>
        <v>2018-2</v>
      </c>
    </row>
    <row r="4255" spans="1:4" x14ac:dyDescent="0.25">
      <c r="A4255" t="s">
        <v>1426</v>
      </c>
      <c r="B4255">
        <v>1</v>
      </c>
      <c r="C4255" s="54">
        <v>43191</v>
      </c>
      <c r="D4255" s="3" t="str">
        <f>YEAR(Datos_Consumo[[#This Row],[FECHA]])&amp;"-"&amp;MONTH(Datos_Consumo[[#This Row],[FECHA]])</f>
        <v>2018-4</v>
      </c>
    </row>
    <row r="4256" spans="1:4" x14ac:dyDescent="0.25">
      <c r="A4256" t="s">
        <v>2875</v>
      </c>
      <c r="B4256">
        <v>28</v>
      </c>
      <c r="C4256" s="54">
        <v>43101</v>
      </c>
      <c r="D4256" s="3" t="str">
        <f>YEAR(Datos_Consumo[[#This Row],[FECHA]])&amp;"-"&amp;MONTH(Datos_Consumo[[#This Row],[FECHA]])</f>
        <v>2018-1</v>
      </c>
    </row>
    <row r="4257" spans="1:4" x14ac:dyDescent="0.25">
      <c r="A4257" t="s">
        <v>2875</v>
      </c>
      <c r="B4257">
        <v>1</v>
      </c>
      <c r="C4257" s="54">
        <v>43160</v>
      </c>
      <c r="D4257" s="3" t="str">
        <f>YEAR(Datos_Consumo[[#This Row],[FECHA]])&amp;"-"&amp;MONTH(Datos_Consumo[[#This Row],[FECHA]])</f>
        <v>2018-3</v>
      </c>
    </row>
    <row r="4258" spans="1:4" x14ac:dyDescent="0.25">
      <c r="A4258" t="s">
        <v>1427</v>
      </c>
      <c r="B4258">
        <v>6</v>
      </c>
      <c r="C4258" s="54">
        <v>43070</v>
      </c>
      <c r="D4258" s="3" t="str">
        <f>YEAR(Datos_Consumo[[#This Row],[FECHA]])&amp;"-"&amp;MONTH(Datos_Consumo[[#This Row],[FECHA]])</f>
        <v>2017-12</v>
      </c>
    </row>
    <row r="4259" spans="1:4" x14ac:dyDescent="0.25">
      <c r="A4259" t="s">
        <v>1427</v>
      </c>
      <c r="B4259">
        <v>2</v>
      </c>
      <c r="C4259" s="54">
        <v>43132</v>
      </c>
      <c r="D4259" s="3" t="str">
        <f>YEAR(Datos_Consumo[[#This Row],[FECHA]])&amp;"-"&amp;MONTH(Datos_Consumo[[#This Row],[FECHA]])</f>
        <v>2018-2</v>
      </c>
    </row>
    <row r="4260" spans="1:4" x14ac:dyDescent="0.25">
      <c r="A4260" t="s">
        <v>1427</v>
      </c>
      <c r="B4260">
        <v>4</v>
      </c>
      <c r="C4260" s="54">
        <v>43160</v>
      </c>
      <c r="D4260" s="3" t="str">
        <f>YEAR(Datos_Consumo[[#This Row],[FECHA]])&amp;"-"&amp;MONTH(Datos_Consumo[[#This Row],[FECHA]])</f>
        <v>2018-3</v>
      </c>
    </row>
    <row r="4261" spans="1:4" x14ac:dyDescent="0.25">
      <c r="A4261" t="s">
        <v>2876</v>
      </c>
      <c r="B4261">
        <v>20</v>
      </c>
      <c r="C4261" s="54">
        <v>43101</v>
      </c>
      <c r="D4261" s="3" t="str">
        <f>YEAR(Datos_Consumo[[#This Row],[FECHA]])&amp;"-"&amp;MONTH(Datos_Consumo[[#This Row],[FECHA]])</f>
        <v>2018-1</v>
      </c>
    </row>
    <row r="4262" spans="1:4" x14ac:dyDescent="0.25">
      <c r="A4262" t="s">
        <v>2876</v>
      </c>
      <c r="B4262">
        <v>4</v>
      </c>
      <c r="C4262" s="54">
        <v>43132</v>
      </c>
      <c r="D4262" s="3" t="str">
        <f>YEAR(Datos_Consumo[[#This Row],[FECHA]])&amp;"-"&amp;MONTH(Datos_Consumo[[#This Row],[FECHA]])</f>
        <v>2018-2</v>
      </c>
    </row>
    <row r="4263" spans="1:4" x14ac:dyDescent="0.25">
      <c r="A4263" t="s">
        <v>2876</v>
      </c>
      <c r="B4263">
        <v>2</v>
      </c>
      <c r="C4263" s="54">
        <v>43160</v>
      </c>
      <c r="D4263" s="3" t="str">
        <f>YEAR(Datos_Consumo[[#This Row],[FECHA]])&amp;"-"&amp;MONTH(Datos_Consumo[[#This Row],[FECHA]])</f>
        <v>2018-3</v>
      </c>
    </row>
    <row r="4264" spans="1:4" x14ac:dyDescent="0.25">
      <c r="A4264" t="s">
        <v>2876</v>
      </c>
      <c r="B4264">
        <v>2</v>
      </c>
      <c r="C4264" s="54">
        <v>43191</v>
      </c>
      <c r="D4264" s="3" t="str">
        <f>YEAR(Datos_Consumo[[#This Row],[FECHA]])&amp;"-"&amp;MONTH(Datos_Consumo[[#This Row],[FECHA]])</f>
        <v>2018-4</v>
      </c>
    </row>
    <row r="4265" spans="1:4" x14ac:dyDescent="0.25">
      <c r="A4265" t="s">
        <v>2877</v>
      </c>
      <c r="B4265">
        <v>230</v>
      </c>
      <c r="C4265" s="54">
        <v>43070</v>
      </c>
      <c r="D4265" s="3" t="str">
        <f>YEAR(Datos_Consumo[[#This Row],[FECHA]])&amp;"-"&amp;MONTH(Datos_Consumo[[#This Row],[FECHA]])</f>
        <v>2017-12</v>
      </c>
    </row>
    <row r="4266" spans="1:4" x14ac:dyDescent="0.25">
      <c r="A4266" t="s">
        <v>2877</v>
      </c>
      <c r="B4266">
        <v>13</v>
      </c>
      <c r="C4266" s="54">
        <v>43101</v>
      </c>
      <c r="D4266" s="3" t="str">
        <f>YEAR(Datos_Consumo[[#This Row],[FECHA]])&amp;"-"&amp;MONTH(Datos_Consumo[[#This Row],[FECHA]])</f>
        <v>2018-1</v>
      </c>
    </row>
    <row r="4267" spans="1:4" x14ac:dyDescent="0.25">
      <c r="A4267" t="s">
        <v>2877</v>
      </c>
      <c r="B4267">
        <v>4</v>
      </c>
      <c r="C4267" s="54">
        <v>43132</v>
      </c>
      <c r="D4267" s="3" t="str">
        <f>YEAR(Datos_Consumo[[#This Row],[FECHA]])&amp;"-"&amp;MONTH(Datos_Consumo[[#This Row],[FECHA]])</f>
        <v>2018-2</v>
      </c>
    </row>
    <row r="4268" spans="1:4" x14ac:dyDescent="0.25">
      <c r="A4268" t="s">
        <v>2877</v>
      </c>
      <c r="B4268">
        <v>55</v>
      </c>
      <c r="C4268" s="54">
        <v>43191</v>
      </c>
      <c r="D4268" s="3" t="str">
        <f>YEAR(Datos_Consumo[[#This Row],[FECHA]])&amp;"-"&amp;MONTH(Datos_Consumo[[#This Row],[FECHA]])</f>
        <v>2018-4</v>
      </c>
    </row>
    <row r="4269" spans="1:4" x14ac:dyDescent="0.25">
      <c r="A4269" t="s">
        <v>2877</v>
      </c>
      <c r="B4269">
        <v>1</v>
      </c>
      <c r="C4269" s="54">
        <v>43221</v>
      </c>
      <c r="D4269" s="3" t="str">
        <f>YEAR(Datos_Consumo[[#This Row],[FECHA]])&amp;"-"&amp;MONTH(Datos_Consumo[[#This Row],[FECHA]])</f>
        <v>2018-5</v>
      </c>
    </row>
    <row r="4270" spans="1:4" x14ac:dyDescent="0.25">
      <c r="A4270" t="s">
        <v>2878</v>
      </c>
      <c r="B4270">
        <v>1</v>
      </c>
      <c r="C4270" s="54">
        <v>43070</v>
      </c>
      <c r="D4270" s="3" t="str">
        <f>YEAR(Datos_Consumo[[#This Row],[FECHA]])&amp;"-"&amp;MONTH(Datos_Consumo[[#This Row],[FECHA]])</f>
        <v>2017-12</v>
      </c>
    </row>
    <row r="4271" spans="1:4" x14ac:dyDescent="0.25">
      <c r="A4271" t="s">
        <v>2878</v>
      </c>
      <c r="B4271">
        <v>1</v>
      </c>
      <c r="C4271" s="54">
        <v>43132</v>
      </c>
      <c r="D4271" s="3" t="str">
        <f>YEAR(Datos_Consumo[[#This Row],[FECHA]])&amp;"-"&amp;MONTH(Datos_Consumo[[#This Row],[FECHA]])</f>
        <v>2018-2</v>
      </c>
    </row>
    <row r="4272" spans="1:4" x14ac:dyDescent="0.25">
      <c r="A4272" t="s">
        <v>1428</v>
      </c>
      <c r="B4272">
        <v>1</v>
      </c>
      <c r="C4272" s="54">
        <v>43070</v>
      </c>
      <c r="D4272" s="3" t="str">
        <f>YEAR(Datos_Consumo[[#This Row],[FECHA]])&amp;"-"&amp;MONTH(Datos_Consumo[[#This Row],[FECHA]])</f>
        <v>2017-12</v>
      </c>
    </row>
    <row r="4273" spans="1:4" x14ac:dyDescent="0.25">
      <c r="A4273" t="s">
        <v>1428</v>
      </c>
      <c r="B4273">
        <v>4</v>
      </c>
      <c r="C4273" s="54">
        <v>43101</v>
      </c>
      <c r="D4273" s="3" t="str">
        <f>YEAR(Datos_Consumo[[#This Row],[FECHA]])&amp;"-"&amp;MONTH(Datos_Consumo[[#This Row],[FECHA]])</f>
        <v>2018-1</v>
      </c>
    </row>
    <row r="4274" spans="1:4" x14ac:dyDescent="0.25">
      <c r="A4274" t="s">
        <v>1428</v>
      </c>
      <c r="B4274">
        <v>2</v>
      </c>
      <c r="C4274" s="54">
        <v>43132</v>
      </c>
      <c r="D4274" s="3" t="str">
        <f>YEAR(Datos_Consumo[[#This Row],[FECHA]])&amp;"-"&amp;MONTH(Datos_Consumo[[#This Row],[FECHA]])</f>
        <v>2018-2</v>
      </c>
    </row>
    <row r="4275" spans="1:4" x14ac:dyDescent="0.25">
      <c r="A4275" t="s">
        <v>1428</v>
      </c>
      <c r="B4275">
        <v>2</v>
      </c>
      <c r="C4275" s="54">
        <v>43191</v>
      </c>
      <c r="D4275" s="3" t="str">
        <f>YEAR(Datos_Consumo[[#This Row],[FECHA]])&amp;"-"&amp;MONTH(Datos_Consumo[[#This Row],[FECHA]])</f>
        <v>2018-4</v>
      </c>
    </row>
    <row r="4276" spans="1:4" x14ac:dyDescent="0.25">
      <c r="A4276" t="s">
        <v>2879</v>
      </c>
      <c r="B4276">
        <v>1</v>
      </c>
      <c r="C4276" s="54">
        <v>43070</v>
      </c>
      <c r="D4276" s="3" t="str">
        <f>YEAR(Datos_Consumo[[#This Row],[FECHA]])&amp;"-"&amp;MONTH(Datos_Consumo[[#This Row],[FECHA]])</f>
        <v>2017-12</v>
      </c>
    </row>
    <row r="4277" spans="1:4" x14ac:dyDescent="0.25">
      <c r="A4277" t="s">
        <v>2880</v>
      </c>
      <c r="B4277">
        <v>10</v>
      </c>
      <c r="C4277" s="54">
        <v>43070</v>
      </c>
      <c r="D4277" s="3" t="str">
        <f>YEAR(Datos_Consumo[[#This Row],[FECHA]])&amp;"-"&amp;MONTH(Datos_Consumo[[#This Row],[FECHA]])</f>
        <v>2017-12</v>
      </c>
    </row>
    <row r="4278" spans="1:4" x14ac:dyDescent="0.25">
      <c r="A4278" t="s">
        <v>2880</v>
      </c>
      <c r="B4278">
        <v>2</v>
      </c>
      <c r="C4278" s="54">
        <v>43101</v>
      </c>
      <c r="D4278" s="3" t="str">
        <f>YEAR(Datos_Consumo[[#This Row],[FECHA]])&amp;"-"&amp;MONTH(Datos_Consumo[[#This Row],[FECHA]])</f>
        <v>2018-1</v>
      </c>
    </row>
    <row r="4279" spans="1:4" x14ac:dyDescent="0.25">
      <c r="A4279" t="s">
        <v>2880</v>
      </c>
      <c r="B4279">
        <v>3</v>
      </c>
      <c r="C4279" s="54">
        <v>43132</v>
      </c>
      <c r="D4279" s="3" t="str">
        <f>YEAR(Datos_Consumo[[#This Row],[FECHA]])&amp;"-"&amp;MONTH(Datos_Consumo[[#This Row],[FECHA]])</f>
        <v>2018-2</v>
      </c>
    </row>
    <row r="4280" spans="1:4" x14ac:dyDescent="0.25">
      <c r="A4280" t="s">
        <v>2880</v>
      </c>
      <c r="B4280">
        <v>1</v>
      </c>
      <c r="C4280" s="54">
        <v>43160</v>
      </c>
      <c r="D4280" s="3" t="str">
        <f>YEAR(Datos_Consumo[[#This Row],[FECHA]])&amp;"-"&amp;MONTH(Datos_Consumo[[#This Row],[FECHA]])</f>
        <v>2018-3</v>
      </c>
    </row>
    <row r="4281" spans="1:4" x14ac:dyDescent="0.25">
      <c r="A4281" t="s">
        <v>2880</v>
      </c>
      <c r="B4281">
        <v>6</v>
      </c>
      <c r="C4281" s="54">
        <v>43191</v>
      </c>
      <c r="D4281" s="3" t="str">
        <f>YEAR(Datos_Consumo[[#This Row],[FECHA]])&amp;"-"&amp;MONTH(Datos_Consumo[[#This Row],[FECHA]])</f>
        <v>2018-4</v>
      </c>
    </row>
    <row r="4282" spans="1:4" x14ac:dyDescent="0.25">
      <c r="A4282" t="s">
        <v>2880</v>
      </c>
      <c r="B4282">
        <v>2</v>
      </c>
      <c r="C4282" s="54">
        <v>43221</v>
      </c>
      <c r="D4282" s="3" t="str">
        <f>YEAR(Datos_Consumo[[#This Row],[FECHA]])&amp;"-"&amp;MONTH(Datos_Consumo[[#This Row],[FECHA]])</f>
        <v>2018-5</v>
      </c>
    </row>
    <row r="4283" spans="1:4" x14ac:dyDescent="0.25">
      <c r="A4283" t="s">
        <v>1429</v>
      </c>
      <c r="B4283">
        <v>191</v>
      </c>
      <c r="C4283" s="54">
        <v>43101</v>
      </c>
      <c r="D4283" s="3" t="str">
        <f>YEAR(Datos_Consumo[[#This Row],[FECHA]])&amp;"-"&amp;MONTH(Datos_Consumo[[#This Row],[FECHA]])</f>
        <v>2018-1</v>
      </c>
    </row>
    <row r="4284" spans="1:4" x14ac:dyDescent="0.25">
      <c r="A4284" t="s">
        <v>1429</v>
      </c>
      <c r="B4284">
        <v>52</v>
      </c>
      <c r="C4284" s="54">
        <v>43132</v>
      </c>
      <c r="D4284" s="3" t="str">
        <f>YEAR(Datos_Consumo[[#This Row],[FECHA]])&amp;"-"&amp;MONTH(Datos_Consumo[[#This Row],[FECHA]])</f>
        <v>2018-2</v>
      </c>
    </row>
    <row r="4285" spans="1:4" x14ac:dyDescent="0.25">
      <c r="A4285" t="s">
        <v>1429</v>
      </c>
      <c r="B4285">
        <v>65</v>
      </c>
      <c r="C4285" s="54">
        <v>43160</v>
      </c>
      <c r="D4285" s="3" t="str">
        <f>YEAR(Datos_Consumo[[#This Row],[FECHA]])&amp;"-"&amp;MONTH(Datos_Consumo[[#This Row],[FECHA]])</f>
        <v>2018-3</v>
      </c>
    </row>
    <row r="4286" spans="1:4" x14ac:dyDescent="0.25">
      <c r="A4286" t="s">
        <v>1429</v>
      </c>
      <c r="B4286">
        <v>62</v>
      </c>
      <c r="C4286" s="54">
        <v>43191</v>
      </c>
      <c r="D4286" s="3" t="str">
        <f>YEAR(Datos_Consumo[[#This Row],[FECHA]])&amp;"-"&amp;MONTH(Datos_Consumo[[#This Row],[FECHA]])</f>
        <v>2018-4</v>
      </c>
    </row>
    <row r="4287" spans="1:4" x14ac:dyDescent="0.25">
      <c r="A4287" t="s">
        <v>1429</v>
      </c>
      <c r="B4287">
        <v>3</v>
      </c>
      <c r="C4287" s="54">
        <v>43221</v>
      </c>
      <c r="D4287" s="3" t="str">
        <f>YEAR(Datos_Consumo[[#This Row],[FECHA]])&amp;"-"&amp;MONTH(Datos_Consumo[[#This Row],[FECHA]])</f>
        <v>2018-5</v>
      </c>
    </row>
    <row r="4288" spans="1:4" x14ac:dyDescent="0.25">
      <c r="A4288" t="s">
        <v>2881</v>
      </c>
      <c r="B4288">
        <v>2</v>
      </c>
      <c r="C4288" s="54">
        <v>43070</v>
      </c>
      <c r="D4288" s="3" t="str">
        <f>YEAR(Datos_Consumo[[#This Row],[FECHA]])&amp;"-"&amp;MONTH(Datos_Consumo[[#This Row],[FECHA]])</f>
        <v>2017-12</v>
      </c>
    </row>
    <row r="4289" spans="1:4" x14ac:dyDescent="0.25">
      <c r="A4289" t="s">
        <v>2881</v>
      </c>
      <c r="B4289">
        <v>1</v>
      </c>
      <c r="C4289" s="54">
        <v>43101</v>
      </c>
      <c r="D4289" s="3" t="str">
        <f>YEAR(Datos_Consumo[[#This Row],[FECHA]])&amp;"-"&amp;MONTH(Datos_Consumo[[#This Row],[FECHA]])</f>
        <v>2018-1</v>
      </c>
    </row>
    <row r="4290" spans="1:4" x14ac:dyDescent="0.25">
      <c r="A4290" t="s">
        <v>2881</v>
      </c>
      <c r="B4290">
        <v>3</v>
      </c>
      <c r="C4290" s="54">
        <v>43132</v>
      </c>
      <c r="D4290" s="3" t="str">
        <f>YEAR(Datos_Consumo[[#This Row],[FECHA]])&amp;"-"&amp;MONTH(Datos_Consumo[[#This Row],[FECHA]])</f>
        <v>2018-2</v>
      </c>
    </row>
    <row r="4291" spans="1:4" x14ac:dyDescent="0.25">
      <c r="A4291" t="s">
        <v>2881</v>
      </c>
      <c r="B4291">
        <v>1</v>
      </c>
      <c r="C4291" s="54">
        <v>43191</v>
      </c>
      <c r="D4291" s="3" t="str">
        <f>YEAR(Datos_Consumo[[#This Row],[FECHA]])&amp;"-"&amp;MONTH(Datos_Consumo[[#This Row],[FECHA]])</f>
        <v>2018-4</v>
      </c>
    </row>
    <row r="4292" spans="1:4" x14ac:dyDescent="0.25">
      <c r="A4292" t="s">
        <v>2881</v>
      </c>
      <c r="B4292">
        <v>1</v>
      </c>
      <c r="C4292" s="54">
        <v>43221</v>
      </c>
      <c r="D4292" s="3" t="str">
        <f>YEAR(Datos_Consumo[[#This Row],[FECHA]])&amp;"-"&amp;MONTH(Datos_Consumo[[#This Row],[FECHA]])</f>
        <v>2018-5</v>
      </c>
    </row>
    <row r="4293" spans="1:4" x14ac:dyDescent="0.25">
      <c r="A4293" t="s">
        <v>1430</v>
      </c>
      <c r="B4293">
        <v>2</v>
      </c>
      <c r="C4293" s="54">
        <v>43070</v>
      </c>
      <c r="D4293" s="3" t="str">
        <f>YEAR(Datos_Consumo[[#This Row],[FECHA]])&amp;"-"&amp;MONTH(Datos_Consumo[[#This Row],[FECHA]])</f>
        <v>2017-12</v>
      </c>
    </row>
    <row r="4294" spans="1:4" x14ac:dyDescent="0.25">
      <c r="A4294" t="s">
        <v>1430</v>
      </c>
      <c r="B4294">
        <v>4</v>
      </c>
      <c r="C4294" s="54">
        <v>43132</v>
      </c>
      <c r="D4294" s="3" t="str">
        <f>YEAR(Datos_Consumo[[#This Row],[FECHA]])&amp;"-"&amp;MONTH(Datos_Consumo[[#This Row],[FECHA]])</f>
        <v>2018-2</v>
      </c>
    </row>
    <row r="4295" spans="1:4" x14ac:dyDescent="0.25">
      <c r="A4295" t="s">
        <v>1430</v>
      </c>
      <c r="B4295">
        <v>6</v>
      </c>
      <c r="C4295" s="54">
        <v>43160</v>
      </c>
      <c r="D4295" s="3" t="str">
        <f>YEAR(Datos_Consumo[[#This Row],[FECHA]])&amp;"-"&amp;MONTH(Datos_Consumo[[#This Row],[FECHA]])</f>
        <v>2018-3</v>
      </c>
    </row>
    <row r="4296" spans="1:4" x14ac:dyDescent="0.25">
      <c r="A4296" t="s">
        <v>1430</v>
      </c>
      <c r="B4296">
        <v>3</v>
      </c>
      <c r="C4296" s="54">
        <v>43191</v>
      </c>
      <c r="D4296" s="3" t="str">
        <f>YEAR(Datos_Consumo[[#This Row],[FECHA]])&amp;"-"&amp;MONTH(Datos_Consumo[[#This Row],[FECHA]])</f>
        <v>2018-4</v>
      </c>
    </row>
    <row r="4297" spans="1:4" x14ac:dyDescent="0.25">
      <c r="A4297" t="s">
        <v>1430</v>
      </c>
      <c r="B4297">
        <v>1</v>
      </c>
      <c r="C4297" s="54">
        <v>43221</v>
      </c>
      <c r="D4297" s="3" t="str">
        <f>YEAR(Datos_Consumo[[#This Row],[FECHA]])&amp;"-"&amp;MONTH(Datos_Consumo[[#This Row],[FECHA]])</f>
        <v>2018-5</v>
      </c>
    </row>
    <row r="4298" spans="1:4" x14ac:dyDescent="0.25">
      <c r="A4298" t="s">
        <v>2882</v>
      </c>
      <c r="B4298">
        <v>7</v>
      </c>
      <c r="C4298" s="54">
        <v>43101</v>
      </c>
      <c r="D4298" s="3" t="str">
        <f>YEAR(Datos_Consumo[[#This Row],[FECHA]])&amp;"-"&amp;MONTH(Datos_Consumo[[#This Row],[FECHA]])</f>
        <v>2018-1</v>
      </c>
    </row>
    <row r="4299" spans="1:4" x14ac:dyDescent="0.25">
      <c r="A4299" t="s">
        <v>2882</v>
      </c>
      <c r="B4299">
        <v>4</v>
      </c>
      <c r="C4299" s="54">
        <v>43132</v>
      </c>
      <c r="D4299" s="3" t="str">
        <f>YEAR(Datos_Consumo[[#This Row],[FECHA]])&amp;"-"&amp;MONTH(Datos_Consumo[[#This Row],[FECHA]])</f>
        <v>2018-2</v>
      </c>
    </row>
    <row r="4300" spans="1:4" x14ac:dyDescent="0.25">
      <c r="A4300" t="s">
        <v>2882</v>
      </c>
      <c r="B4300">
        <v>3</v>
      </c>
      <c r="C4300" s="54">
        <v>43160</v>
      </c>
      <c r="D4300" s="3" t="str">
        <f>YEAR(Datos_Consumo[[#This Row],[FECHA]])&amp;"-"&amp;MONTH(Datos_Consumo[[#This Row],[FECHA]])</f>
        <v>2018-3</v>
      </c>
    </row>
    <row r="4301" spans="1:4" x14ac:dyDescent="0.25">
      <c r="A4301" t="s">
        <v>2882</v>
      </c>
      <c r="B4301">
        <v>3</v>
      </c>
      <c r="C4301" s="54">
        <v>43191</v>
      </c>
      <c r="D4301" s="3" t="str">
        <f>YEAR(Datos_Consumo[[#This Row],[FECHA]])&amp;"-"&amp;MONTH(Datos_Consumo[[#This Row],[FECHA]])</f>
        <v>2018-4</v>
      </c>
    </row>
    <row r="4302" spans="1:4" x14ac:dyDescent="0.25">
      <c r="A4302" t="s">
        <v>2882</v>
      </c>
      <c r="B4302">
        <v>1</v>
      </c>
      <c r="C4302" s="54">
        <v>43221</v>
      </c>
      <c r="D4302" s="3" t="str">
        <f>YEAR(Datos_Consumo[[#This Row],[FECHA]])&amp;"-"&amp;MONTH(Datos_Consumo[[#This Row],[FECHA]])</f>
        <v>2018-5</v>
      </c>
    </row>
    <row r="4303" spans="1:4" x14ac:dyDescent="0.25">
      <c r="A4303" t="s">
        <v>2883</v>
      </c>
      <c r="B4303">
        <v>27</v>
      </c>
      <c r="C4303" s="54">
        <v>43070</v>
      </c>
      <c r="D4303" s="3" t="str">
        <f>YEAR(Datos_Consumo[[#This Row],[FECHA]])&amp;"-"&amp;MONTH(Datos_Consumo[[#This Row],[FECHA]])</f>
        <v>2017-12</v>
      </c>
    </row>
    <row r="4304" spans="1:4" x14ac:dyDescent="0.25">
      <c r="A4304" t="s">
        <v>2883</v>
      </c>
      <c r="B4304">
        <v>42</v>
      </c>
      <c r="C4304" s="54">
        <v>43101</v>
      </c>
      <c r="D4304" s="3" t="str">
        <f>YEAR(Datos_Consumo[[#This Row],[FECHA]])&amp;"-"&amp;MONTH(Datos_Consumo[[#This Row],[FECHA]])</f>
        <v>2018-1</v>
      </c>
    </row>
    <row r="4305" spans="1:4" x14ac:dyDescent="0.25">
      <c r="A4305" t="s">
        <v>2883</v>
      </c>
      <c r="B4305">
        <v>20</v>
      </c>
      <c r="C4305" s="54">
        <v>43132</v>
      </c>
      <c r="D4305" s="3" t="str">
        <f>YEAR(Datos_Consumo[[#This Row],[FECHA]])&amp;"-"&amp;MONTH(Datos_Consumo[[#This Row],[FECHA]])</f>
        <v>2018-2</v>
      </c>
    </row>
    <row r="4306" spans="1:4" x14ac:dyDescent="0.25">
      <c r="A4306" t="s">
        <v>2883</v>
      </c>
      <c r="B4306">
        <v>8</v>
      </c>
      <c r="C4306" s="54">
        <v>43160</v>
      </c>
      <c r="D4306" s="3" t="str">
        <f>YEAR(Datos_Consumo[[#This Row],[FECHA]])&amp;"-"&amp;MONTH(Datos_Consumo[[#This Row],[FECHA]])</f>
        <v>2018-3</v>
      </c>
    </row>
    <row r="4307" spans="1:4" x14ac:dyDescent="0.25">
      <c r="A4307" t="s">
        <v>2883</v>
      </c>
      <c r="B4307">
        <v>32</v>
      </c>
      <c r="C4307" s="54">
        <v>43191</v>
      </c>
      <c r="D4307" s="3" t="str">
        <f>YEAR(Datos_Consumo[[#This Row],[FECHA]])&amp;"-"&amp;MONTH(Datos_Consumo[[#This Row],[FECHA]])</f>
        <v>2018-4</v>
      </c>
    </row>
    <row r="4308" spans="1:4" x14ac:dyDescent="0.25">
      <c r="A4308" t="s">
        <v>2883</v>
      </c>
      <c r="B4308">
        <v>9</v>
      </c>
      <c r="C4308" s="54">
        <v>43221</v>
      </c>
      <c r="D4308" s="3" t="str">
        <f>YEAR(Datos_Consumo[[#This Row],[FECHA]])&amp;"-"&amp;MONTH(Datos_Consumo[[#This Row],[FECHA]])</f>
        <v>2018-5</v>
      </c>
    </row>
    <row r="4309" spans="1:4" x14ac:dyDescent="0.25">
      <c r="A4309" t="s">
        <v>2884</v>
      </c>
      <c r="B4309">
        <v>2</v>
      </c>
      <c r="C4309" s="54">
        <v>43070</v>
      </c>
      <c r="D4309" s="3" t="str">
        <f>YEAR(Datos_Consumo[[#This Row],[FECHA]])&amp;"-"&amp;MONTH(Datos_Consumo[[#This Row],[FECHA]])</f>
        <v>2017-12</v>
      </c>
    </row>
    <row r="4310" spans="1:4" x14ac:dyDescent="0.25">
      <c r="A4310" t="s">
        <v>2885</v>
      </c>
      <c r="B4310">
        <v>3</v>
      </c>
      <c r="C4310" s="54">
        <v>43132</v>
      </c>
      <c r="D4310" s="3" t="str">
        <f>YEAR(Datos_Consumo[[#This Row],[FECHA]])&amp;"-"&amp;MONTH(Datos_Consumo[[#This Row],[FECHA]])</f>
        <v>2018-2</v>
      </c>
    </row>
    <row r="4311" spans="1:4" x14ac:dyDescent="0.25">
      <c r="A4311" t="s">
        <v>2886</v>
      </c>
      <c r="B4311">
        <v>2</v>
      </c>
      <c r="C4311" s="54">
        <v>43160</v>
      </c>
      <c r="D4311" s="3" t="str">
        <f>YEAR(Datos_Consumo[[#This Row],[FECHA]])&amp;"-"&amp;MONTH(Datos_Consumo[[#This Row],[FECHA]])</f>
        <v>2018-3</v>
      </c>
    </row>
    <row r="4312" spans="1:4" x14ac:dyDescent="0.25">
      <c r="A4312" t="s">
        <v>2887</v>
      </c>
      <c r="B4312">
        <v>4</v>
      </c>
      <c r="C4312" s="54">
        <v>43101</v>
      </c>
      <c r="D4312" s="3" t="str">
        <f>YEAR(Datos_Consumo[[#This Row],[FECHA]])&amp;"-"&amp;MONTH(Datos_Consumo[[#This Row],[FECHA]])</f>
        <v>2018-1</v>
      </c>
    </row>
    <row r="4313" spans="1:4" x14ac:dyDescent="0.25">
      <c r="A4313" t="s">
        <v>2887</v>
      </c>
      <c r="B4313">
        <v>2</v>
      </c>
      <c r="C4313" s="54">
        <v>43160</v>
      </c>
      <c r="D4313" s="3" t="str">
        <f>YEAR(Datos_Consumo[[#This Row],[FECHA]])&amp;"-"&amp;MONTH(Datos_Consumo[[#This Row],[FECHA]])</f>
        <v>2018-3</v>
      </c>
    </row>
    <row r="4314" spans="1:4" x14ac:dyDescent="0.25">
      <c r="A4314" t="s">
        <v>1431</v>
      </c>
      <c r="B4314">
        <v>2</v>
      </c>
      <c r="C4314" s="54">
        <v>43070</v>
      </c>
      <c r="D4314" s="3" t="str">
        <f>YEAR(Datos_Consumo[[#This Row],[FECHA]])&amp;"-"&amp;MONTH(Datos_Consumo[[#This Row],[FECHA]])</f>
        <v>2017-12</v>
      </c>
    </row>
    <row r="4315" spans="1:4" x14ac:dyDescent="0.25">
      <c r="A4315" t="s">
        <v>1431</v>
      </c>
      <c r="B4315">
        <v>1</v>
      </c>
      <c r="C4315" s="54">
        <v>43101</v>
      </c>
      <c r="D4315" s="3" t="str">
        <f>YEAR(Datos_Consumo[[#This Row],[FECHA]])&amp;"-"&amp;MONTH(Datos_Consumo[[#This Row],[FECHA]])</f>
        <v>2018-1</v>
      </c>
    </row>
    <row r="4316" spans="1:4" x14ac:dyDescent="0.25">
      <c r="A4316" t="s">
        <v>1431</v>
      </c>
      <c r="B4316">
        <v>2</v>
      </c>
      <c r="C4316" s="54">
        <v>43132</v>
      </c>
      <c r="D4316" s="3" t="str">
        <f>YEAR(Datos_Consumo[[#This Row],[FECHA]])&amp;"-"&amp;MONTH(Datos_Consumo[[#This Row],[FECHA]])</f>
        <v>2018-2</v>
      </c>
    </row>
    <row r="4317" spans="1:4" x14ac:dyDescent="0.25">
      <c r="A4317" t="s">
        <v>1431</v>
      </c>
      <c r="B4317">
        <v>6</v>
      </c>
      <c r="C4317" s="54">
        <v>43191</v>
      </c>
      <c r="D4317" s="3" t="str">
        <f>YEAR(Datos_Consumo[[#This Row],[FECHA]])&amp;"-"&amp;MONTH(Datos_Consumo[[#This Row],[FECHA]])</f>
        <v>2018-4</v>
      </c>
    </row>
    <row r="4318" spans="1:4" x14ac:dyDescent="0.25">
      <c r="A4318" t="s">
        <v>2888</v>
      </c>
      <c r="B4318">
        <v>4</v>
      </c>
      <c r="C4318" s="54">
        <v>43070</v>
      </c>
      <c r="D4318" s="3" t="str">
        <f>YEAR(Datos_Consumo[[#This Row],[FECHA]])&amp;"-"&amp;MONTH(Datos_Consumo[[#This Row],[FECHA]])</f>
        <v>2017-12</v>
      </c>
    </row>
    <row r="4319" spans="1:4" x14ac:dyDescent="0.25">
      <c r="A4319" t="s">
        <v>2888</v>
      </c>
      <c r="B4319">
        <v>4</v>
      </c>
      <c r="C4319" s="54">
        <v>43132</v>
      </c>
      <c r="D4319" s="3" t="str">
        <f>YEAR(Datos_Consumo[[#This Row],[FECHA]])&amp;"-"&amp;MONTH(Datos_Consumo[[#This Row],[FECHA]])</f>
        <v>2018-2</v>
      </c>
    </row>
    <row r="4320" spans="1:4" x14ac:dyDescent="0.25">
      <c r="A4320" t="s">
        <v>2888</v>
      </c>
      <c r="B4320">
        <v>1</v>
      </c>
      <c r="C4320" s="54">
        <v>43160</v>
      </c>
      <c r="D4320" s="3" t="str">
        <f>YEAR(Datos_Consumo[[#This Row],[FECHA]])&amp;"-"&amp;MONTH(Datos_Consumo[[#This Row],[FECHA]])</f>
        <v>2018-3</v>
      </c>
    </row>
    <row r="4321" spans="1:4" x14ac:dyDescent="0.25">
      <c r="A4321" t="s">
        <v>2888</v>
      </c>
      <c r="B4321">
        <v>3</v>
      </c>
      <c r="C4321" s="54">
        <v>43191</v>
      </c>
      <c r="D4321" s="3" t="str">
        <f>YEAR(Datos_Consumo[[#This Row],[FECHA]])&amp;"-"&amp;MONTH(Datos_Consumo[[#This Row],[FECHA]])</f>
        <v>2018-4</v>
      </c>
    </row>
    <row r="4322" spans="1:4" x14ac:dyDescent="0.25">
      <c r="A4322" t="s">
        <v>2888</v>
      </c>
      <c r="B4322">
        <v>3</v>
      </c>
      <c r="C4322" s="54">
        <v>43221</v>
      </c>
      <c r="D4322" s="3" t="str">
        <f>YEAR(Datos_Consumo[[#This Row],[FECHA]])&amp;"-"&amp;MONTH(Datos_Consumo[[#This Row],[FECHA]])</f>
        <v>2018-5</v>
      </c>
    </row>
    <row r="4323" spans="1:4" x14ac:dyDescent="0.25">
      <c r="A4323" t="s">
        <v>2889</v>
      </c>
      <c r="B4323">
        <v>2</v>
      </c>
      <c r="C4323" s="54">
        <v>43132</v>
      </c>
      <c r="D4323" s="3" t="str">
        <f>YEAR(Datos_Consumo[[#This Row],[FECHA]])&amp;"-"&amp;MONTH(Datos_Consumo[[#This Row],[FECHA]])</f>
        <v>2018-2</v>
      </c>
    </row>
    <row r="4324" spans="1:4" x14ac:dyDescent="0.25">
      <c r="A4324" t="s">
        <v>2889</v>
      </c>
      <c r="B4324">
        <v>1</v>
      </c>
      <c r="C4324" s="54">
        <v>43160</v>
      </c>
      <c r="D4324" s="3" t="str">
        <f>YEAR(Datos_Consumo[[#This Row],[FECHA]])&amp;"-"&amp;MONTH(Datos_Consumo[[#This Row],[FECHA]])</f>
        <v>2018-3</v>
      </c>
    </row>
    <row r="4325" spans="1:4" x14ac:dyDescent="0.25">
      <c r="A4325" t="s">
        <v>2889</v>
      </c>
      <c r="B4325">
        <v>1</v>
      </c>
      <c r="C4325" s="54">
        <v>43221</v>
      </c>
      <c r="D4325" s="3" t="str">
        <f>YEAR(Datos_Consumo[[#This Row],[FECHA]])&amp;"-"&amp;MONTH(Datos_Consumo[[#This Row],[FECHA]])</f>
        <v>2018-5</v>
      </c>
    </row>
    <row r="4326" spans="1:4" x14ac:dyDescent="0.25">
      <c r="A4326" t="s">
        <v>2890</v>
      </c>
      <c r="B4326">
        <v>7</v>
      </c>
      <c r="C4326" s="54">
        <v>43070</v>
      </c>
      <c r="D4326" s="3" t="str">
        <f>YEAR(Datos_Consumo[[#This Row],[FECHA]])&amp;"-"&amp;MONTH(Datos_Consumo[[#This Row],[FECHA]])</f>
        <v>2017-12</v>
      </c>
    </row>
    <row r="4327" spans="1:4" x14ac:dyDescent="0.25">
      <c r="A4327" t="s">
        <v>2890</v>
      </c>
      <c r="B4327">
        <v>6</v>
      </c>
      <c r="C4327" s="54">
        <v>43101</v>
      </c>
      <c r="D4327" s="3" t="str">
        <f>YEAR(Datos_Consumo[[#This Row],[FECHA]])&amp;"-"&amp;MONTH(Datos_Consumo[[#This Row],[FECHA]])</f>
        <v>2018-1</v>
      </c>
    </row>
    <row r="4328" spans="1:4" x14ac:dyDescent="0.25">
      <c r="A4328" t="s">
        <v>2890</v>
      </c>
      <c r="B4328">
        <v>4</v>
      </c>
      <c r="C4328" s="54">
        <v>43132</v>
      </c>
      <c r="D4328" s="3" t="str">
        <f>YEAR(Datos_Consumo[[#This Row],[FECHA]])&amp;"-"&amp;MONTH(Datos_Consumo[[#This Row],[FECHA]])</f>
        <v>2018-2</v>
      </c>
    </row>
    <row r="4329" spans="1:4" x14ac:dyDescent="0.25">
      <c r="A4329" t="s">
        <v>2890</v>
      </c>
      <c r="B4329">
        <v>8</v>
      </c>
      <c r="C4329" s="54">
        <v>43160</v>
      </c>
      <c r="D4329" s="3" t="str">
        <f>YEAR(Datos_Consumo[[#This Row],[FECHA]])&amp;"-"&amp;MONTH(Datos_Consumo[[#This Row],[FECHA]])</f>
        <v>2018-3</v>
      </c>
    </row>
    <row r="4330" spans="1:4" x14ac:dyDescent="0.25">
      <c r="A4330" t="s">
        <v>2890</v>
      </c>
      <c r="B4330">
        <v>1</v>
      </c>
      <c r="C4330" s="54">
        <v>43191</v>
      </c>
      <c r="D4330" s="3" t="str">
        <f>YEAR(Datos_Consumo[[#This Row],[FECHA]])&amp;"-"&amp;MONTH(Datos_Consumo[[#This Row],[FECHA]])</f>
        <v>2018-4</v>
      </c>
    </row>
    <row r="4331" spans="1:4" x14ac:dyDescent="0.25">
      <c r="A4331" t="s">
        <v>1432</v>
      </c>
      <c r="B4331">
        <v>1</v>
      </c>
      <c r="C4331" s="54">
        <v>43070</v>
      </c>
      <c r="D4331" s="3" t="str">
        <f>YEAR(Datos_Consumo[[#This Row],[FECHA]])&amp;"-"&amp;MONTH(Datos_Consumo[[#This Row],[FECHA]])</f>
        <v>2017-12</v>
      </c>
    </row>
    <row r="4332" spans="1:4" x14ac:dyDescent="0.25">
      <c r="A4332" t="s">
        <v>1432</v>
      </c>
      <c r="B4332">
        <v>1</v>
      </c>
      <c r="C4332" s="54">
        <v>43101</v>
      </c>
      <c r="D4332" s="3" t="str">
        <f>YEAR(Datos_Consumo[[#This Row],[FECHA]])&amp;"-"&amp;MONTH(Datos_Consumo[[#This Row],[FECHA]])</f>
        <v>2018-1</v>
      </c>
    </row>
    <row r="4333" spans="1:4" x14ac:dyDescent="0.25">
      <c r="A4333" t="s">
        <v>1432</v>
      </c>
      <c r="B4333">
        <v>2</v>
      </c>
      <c r="C4333" s="54">
        <v>43132</v>
      </c>
      <c r="D4333" s="3" t="str">
        <f>YEAR(Datos_Consumo[[#This Row],[FECHA]])&amp;"-"&amp;MONTH(Datos_Consumo[[#This Row],[FECHA]])</f>
        <v>2018-2</v>
      </c>
    </row>
    <row r="4334" spans="1:4" x14ac:dyDescent="0.25">
      <c r="A4334" t="s">
        <v>2891</v>
      </c>
      <c r="B4334">
        <v>1</v>
      </c>
      <c r="C4334" s="54">
        <v>43132</v>
      </c>
      <c r="D4334" s="3" t="str">
        <f>YEAR(Datos_Consumo[[#This Row],[FECHA]])&amp;"-"&amp;MONTH(Datos_Consumo[[#This Row],[FECHA]])</f>
        <v>2018-2</v>
      </c>
    </row>
    <row r="4335" spans="1:4" x14ac:dyDescent="0.25">
      <c r="A4335" t="s">
        <v>2892</v>
      </c>
      <c r="B4335">
        <v>8</v>
      </c>
      <c r="C4335" s="54">
        <v>43070</v>
      </c>
      <c r="D4335" s="3" t="str">
        <f>YEAR(Datos_Consumo[[#This Row],[FECHA]])&amp;"-"&amp;MONTH(Datos_Consumo[[#This Row],[FECHA]])</f>
        <v>2017-12</v>
      </c>
    </row>
    <row r="4336" spans="1:4" x14ac:dyDescent="0.25">
      <c r="A4336" t="s">
        <v>2892</v>
      </c>
      <c r="B4336">
        <v>3</v>
      </c>
      <c r="C4336" s="54">
        <v>43101</v>
      </c>
      <c r="D4336" s="3" t="str">
        <f>YEAR(Datos_Consumo[[#This Row],[FECHA]])&amp;"-"&amp;MONTH(Datos_Consumo[[#This Row],[FECHA]])</f>
        <v>2018-1</v>
      </c>
    </row>
    <row r="4337" spans="1:4" x14ac:dyDescent="0.25">
      <c r="A4337" t="s">
        <v>2892</v>
      </c>
      <c r="B4337">
        <v>6</v>
      </c>
      <c r="C4337" s="54">
        <v>43132</v>
      </c>
      <c r="D4337" s="3" t="str">
        <f>YEAR(Datos_Consumo[[#This Row],[FECHA]])&amp;"-"&amp;MONTH(Datos_Consumo[[#This Row],[FECHA]])</f>
        <v>2018-2</v>
      </c>
    </row>
    <row r="4338" spans="1:4" x14ac:dyDescent="0.25">
      <c r="A4338" t="s">
        <v>2892</v>
      </c>
      <c r="B4338">
        <v>1</v>
      </c>
      <c r="C4338" s="54">
        <v>43191</v>
      </c>
      <c r="D4338" s="3" t="str">
        <f>YEAR(Datos_Consumo[[#This Row],[FECHA]])&amp;"-"&amp;MONTH(Datos_Consumo[[#This Row],[FECHA]])</f>
        <v>2018-4</v>
      </c>
    </row>
    <row r="4339" spans="1:4" x14ac:dyDescent="0.25">
      <c r="A4339" t="s">
        <v>2894</v>
      </c>
      <c r="B4339">
        <v>20</v>
      </c>
      <c r="C4339" s="54">
        <v>43101</v>
      </c>
      <c r="D4339" s="3" t="str">
        <f>YEAR(Datos_Consumo[[#This Row],[FECHA]])&amp;"-"&amp;MONTH(Datos_Consumo[[#This Row],[FECHA]])</f>
        <v>2018-1</v>
      </c>
    </row>
    <row r="4340" spans="1:4" x14ac:dyDescent="0.25">
      <c r="A4340" t="s">
        <v>2894</v>
      </c>
      <c r="B4340">
        <v>1</v>
      </c>
      <c r="C4340" s="54">
        <v>43132</v>
      </c>
      <c r="D4340" s="3" t="str">
        <f>YEAR(Datos_Consumo[[#This Row],[FECHA]])&amp;"-"&amp;MONTH(Datos_Consumo[[#This Row],[FECHA]])</f>
        <v>2018-2</v>
      </c>
    </row>
    <row r="4341" spans="1:4" x14ac:dyDescent="0.25">
      <c r="A4341" t="s">
        <v>2894</v>
      </c>
      <c r="B4341">
        <v>2</v>
      </c>
      <c r="C4341" s="54">
        <v>43221</v>
      </c>
      <c r="D4341" s="3" t="str">
        <f>YEAR(Datos_Consumo[[#This Row],[FECHA]])&amp;"-"&amp;MONTH(Datos_Consumo[[#This Row],[FECHA]])</f>
        <v>2018-5</v>
      </c>
    </row>
    <row r="4342" spans="1:4" x14ac:dyDescent="0.25">
      <c r="A4342" t="s">
        <v>1433</v>
      </c>
      <c r="B4342">
        <v>6</v>
      </c>
      <c r="C4342" s="54">
        <v>43101</v>
      </c>
      <c r="D4342" s="3" t="str">
        <f>YEAR(Datos_Consumo[[#This Row],[FECHA]])&amp;"-"&amp;MONTH(Datos_Consumo[[#This Row],[FECHA]])</f>
        <v>2018-1</v>
      </c>
    </row>
    <row r="4343" spans="1:4" x14ac:dyDescent="0.25">
      <c r="A4343" t="s">
        <v>1433</v>
      </c>
      <c r="B4343">
        <v>15</v>
      </c>
      <c r="C4343" s="54">
        <v>43132</v>
      </c>
      <c r="D4343" s="3" t="str">
        <f>YEAR(Datos_Consumo[[#This Row],[FECHA]])&amp;"-"&amp;MONTH(Datos_Consumo[[#This Row],[FECHA]])</f>
        <v>2018-2</v>
      </c>
    </row>
    <row r="4344" spans="1:4" x14ac:dyDescent="0.25">
      <c r="A4344" t="s">
        <v>1433</v>
      </c>
      <c r="B4344">
        <v>2</v>
      </c>
      <c r="C4344" s="54">
        <v>43191</v>
      </c>
      <c r="D4344" s="3" t="str">
        <f>YEAR(Datos_Consumo[[#This Row],[FECHA]])&amp;"-"&amp;MONTH(Datos_Consumo[[#This Row],[FECHA]])</f>
        <v>2018-4</v>
      </c>
    </row>
    <row r="4345" spans="1:4" x14ac:dyDescent="0.25">
      <c r="A4345" t="s">
        <v>1433</v>
      </c>
      <c r="B4345">
        <v>4</v>
      </c>
      <c r="C4345" s="54">
        <v>43221</v>
      </c>
      <c r="D4345" s="3" t="str">
        <f>YEAR(Datos_Consumo[[#This Row],[FECHA]])&amp;"-"&amp;MONTH(Datos_Consumo[[#This Row],[FECHA]])</f>
        <v>2018-5</v>
      </c>
    </row>
    <row r="4346" spans="1:4" x14ac:dyDescent="0.25">
      <c r="A4346" t="s">
        <v>2895</v>
      </c>
      <c r="B4346">
        <v>1</v>
      </c>
      <c r="C4346" s="54">
        <v>43101</v>
      </c>
      <c r="D4346" s="3" t="str">
        <f>YEAR(Datos_Consumo[[#This Row],[FECHA]])&amp;"-"&amp;MONTH(Datos_Consumo[[#This Row],[FECHA]])</f>
        <v>2018-1</v>
      </c>
    </row>
    <row r="4347" spans="1:4" x14ac:dyDescent="0.25">
      <c r="A4347" t="s">
        <v>2895</v>
      </c>
      <c r="B4347">
        <v>2</v>
      </c>
      <c r="C4347" s="54">
        <v>43132</v>
      </c>
      <c r="D4347" s="3" t="str">
        <f>YEAR(Datos_Consumo[[#This Row],[FECHA]])&amp;"-"&amp;MONTH(Datos_Consumo[[#This Row],[FECHA]])</f>
        <v>2018-2</v>
      </c>
    </row>
    <row r="4348" spans="1:4" x14ac:dyDescent="0.25">
      <c r="A4348" t="s">
        <v>2896</v>
      </c>
      <c r="B4348">
        <v>20</v>
      </c>
      <c r="C4348" s="54">
        <v>43070</v>
      </c>
      <c r="D4348" s="3" t="str">
        <f>YEAR(Datos_Consumo[[#This Row],[FECHA]])&amp;"-"&amp;MONTH(Datos_Consumo[[#This Row],[FECHA]])</f>
        <v>2017-12</v>
      </c>
    </row>
    <row r="4349" spans="1:4" x14ac:dyDescent="0.25">
      <c r="A4349" t="s">
        <v>2896</v>
      </c>
      <c r="B4349">
        <v>27</v>
      </c>
      <c r="C4349" s="54">
        <v>43132</v>
      </c>
      <c r="D4349" s="3" t="str">
        <f>YEAR(Datos_Consumo[[#This Row],[FECHA]])&amp;"-"&amp;MONTH(Datos_Consumo[[#This Row],[FECHA]])</f>
        <v>2018-2</v>
      </c>
    </row>
    <row r="4350" spans="1:4" x14ac:dyDescent="0.25">
      <c r="A4350" t="s">
        <v>2897</v>
      </c>
      <c r="B4350">
        <v>1</v>
      </c>
      <c r="C4350" s="54">
        <v>43132</v>
      </c>
      <c r="D4350" s="3" t="str">
        <f>YEAR(Datos_Consumo[[#This Row],[FECHA]])&amp;"-"&amp;MONTH(Datos_Consumo[[#This Row],[FECHA]])</f>
        <v>2018-2</v>
      </c>
    </row>
    <row r="4351" spans="1:4" x14ac:dyDescent="0.25">
      <c r="A4351" t="s">
        <v>2898</v>
      </c>
      <c r="B4351">
        <v>20</v>
      </c>
      <c r="C4351" s="54">
        <v>43160</v>
      </c>
      <c r="D4351" s="3" t="str">
        <f>YEAR(Datos_Consumo[[#This Row],[FECHA]])&amp;"-"&amp;MONTH(Datos_Consumo[[#This Row],[FECHA]])</f>
        <v>2018-3</v>
      </c>
    </row>
    <row r="4352" spans="1:4" x14ac:dyDescent="0.25">
      <c r="A4352" t="s">
        <v>2899</v>
      </c>
      <c r="B4352">
        <v>20</v>
      </c>
      <c r="C4352" s="54">
        <v>43160</v>
      </c>
      <c r="D4352" s="3" t="str">
        <f>YEAR(Datos_Consumo[[#This Row],[FECHA]])&amp;"-"&amp;MONTH(Datos_Consumo[[#This Row],[FECHA]])</f>
        <v>2018-3</v>
      </c>
    </row>
    <row r="4353" spans="1:4" x14ac:dyDescent="0.25">
      <c r="A4353" t="s">
        <v>2900</v>
      </c>
      <c r="B4353">
        <v>27</v>
      </c>
      <c r="C4353" s="54">
        <v>43070</v>
      </c>
      <c r="D4353" s="3" t="str">
        <f>YEAR(Datos_Consumo[[#This Row],[FECHA]])&amp;"-"&amp;MONTH(Datos_Consumo[[#This Row],[FECHA]])</f>
        <v>2017-12</v>
      </c>
    </row>
    <row r="4354" spans="1:4" x14ac:dyDescent="0.25">
      <c r="A4354" t="s">
        <v>2900</v>
      </c>
      <c r="B4354">
        <v>54</v>
      </c>
      <c r="C4354" s="54">
        <v>43101</v>
      </c>
      <c r="D4354" s="3" t="str">
        <f>YEAR(Datos_Consumo[[#This Row],[FECHA]])&amp;"-"&amp;MONTH(Datos_Consumo[[#This Row],[FECHA]])</f>
        <v>2018-1</v>
      </c>
    </row>
    <row r="4355" spans="1:4" x14ac:dyDescent="0.25">
      <c r="A4355" t="s">
        <v>2900</v>
      </c>
      <c r="B4355">
        <v>16</v>
      </c>
      <c r="C4355" s="54">
        <v>43132</v>
      </c>
      <c r="D4355" s="3" t="str">
        <f>YEAR(Datos_Consumo[[#This Row],[FECHA]])&amp;"-"&amp;MONTH(Datos_Consumo[[#This Row],[FECHA]])</f>
        <v>2018-2</v>
      </c>
    </row>
    <row r="4356" spans="1:4" x14ac:dyDescent="0.25">
      <c r="A4356" t="s">
        <v>2900</v>
      </c>
      <c r="B4356">
        <v>93</v>
      </c>
      <c r="C4356" s="54">
        <v>43191</v>
      </c>
      <c r="D4356" s="3" t="str">
        <f>YEAR(Datos_Consumo[[#This Row],[FECHA]])&amp;"-"&amp;MONTH(Datos_Consumo[[#This Row],[FECHA]])</f>
        <v>2018-4</v>
      </c>
    </row>
    <row r="4357" spans="1:4" x14ac:dyDescent="0.25">
      <c r="A4357" t="s">
        <v>2900</v>
      </c>
      <c r="B4357">
        <v>12</v>
      </c>
      <c r="C4357" s="54">
        <v>43221</v>
      </c>
      <c r="D4357" s="3" t="str">
        <f>YEAR(Datos_Consumo[[#This Row],[FECHA]])&amp;"-"&amp;MONTH(Datos_Consumo[[#This Row],[FECHA]])</f>
        <v>2018-5</v>
      </c>
    </row>
    <row r="4358" spans="1:4" x14ac:dyDescent="0.25">
      <c r="A4358" t="s">
        <v>2901</v>
      </c>
      <c r="B4358">
        <v>16</v>
      </c>
      <c r="C4358" s="54">
        <v>43070</v>
      </c>
      <c r="D4358" s="3" t="str">
        <f>YEAR(Datos_Consumo[[#This Row],[FECHA]])&amp;"-"&amp;MONTH(Datos_Consumo[[#This Row],[FECHA]])</f>
        <v>2017-12</v>
      </c>
    </row>
    <row r="4359" spans="1:4" x14ac:dyDescent="0.25">
      <c r="A4359" t="s">
        <v>2901</v>
      </c>
      <c r="B4359">
        <v>327</v>
      </c>
      <c r="C4359" s="54">
        <v>43101</v>
      </c>
      <c r="D4359" s="3" t="str">
        <f>YEAR(Datos_Consumo[[#This Row],[FECHA]])&amp;"-"&amp;MONTH(Datos_Consumo[[#This Row],[FECHA]])</f>
        <v>2018-1</v>
      </c>
    </row>
    <row r="4360" spans="1:4" x14ac:dyDescent="0.25">
      <c r="A4360" t="s">
        <v>2901</v>
      </c>
      <c r="B4360">
        <v>203</v>
      </c>
      <c r="C4360" s="54">
        <v>43191</v>
      </c>
      <c r="D4360" s="3" t="str">
        <f>YEAR(Datos_Consumo[[#This Row],[FECHA]])&amp;"-"&amp;MONTH(Datos_Consumo[[#This Row],[FECHA]])</f>
        <v>2018-4</v>
      </c>
    </row>
    <row r="4361" spans="1:4" x14ac:dyDescent="0.25">
      <c r="A4361" t="s">
        <v>2901</v>
      </c>
      <c r="B4361">
        <v>36</v>
      </c>
      <c r="C4361" s="54">
        <v>43221</v>
      </c>
      <c r="D4361" s="3" t="str">
        <f>YEAR(Datos_Consumo[[#This Row],[FECHA]])&amp;"-"&amp;MONTH(Datos_Consumo[[#This Row],[FECHA]])</f>
        <v>2018-5</v>
      </c>
    </row>
    <row r="4362" spans="1:4" x14ac:dyDescent="0.25">
      <c r="A4362" t="s">
        <v>2902</v>
      </c>
      <c r="B4362">
        <v>8</v>
      </c>
      <c r="C4362" s="54">
        <v>43070</v>
      </c>
      <c r="D4362" s="3" t="str">
        <f>YEAR(Datos_Consumo[[#This Row],[FECHA]])&amp;"-"&amp;MONTH(Datos_Consumo[[#This Row],[FECHA]])</f>
        <v>2017-12</v>
      </c>
    </row>
    <row r="4363" spans="1:4" x14ac:dyDescent="0.25">
      <c r="A4363" t="s">
        <v>2902</v>
      </c>
      <c r="B4363">
        <v>4</v>
      </c>
      <c r="C4363" s="54">
        <v>43160</v>
      </c>
      <c r="D4363" s="3" t="str">
        <f>YEAR(Datos_Consumo[[#This Row],[FECHA]])&amp;"-"&amp;MONTH(Datos_Consumo[[#This Row],[FECHA]])</f>
        <v>2018-3</v>
      </c>
    </row>
    <row r="4364" spans="1:4" x14ac:dyDescent="0.25">
      <c r="A4364" t="s">
        <v>2903</v>
      </c>
      <c r="B4364">
        <v>1</v>
      </c>
      <c r="C4364" s="54">
        <v>43070</v>
      </c>
      <c r="D4364" s="3" t="str">
        <f>YEAR(Datos_Consumo[[#This Row],[FECHA]])&amp;"-"&amp;MONTH(Datos_Consumo[[#This Row],[FECHA]])</f>
        <v>2017-12</v>
      </c>
    </row>
    <row r="4365" spans="1:4" x14ac:dyDescent="0.25">
      <c r="A4365" t="s">
        <v>2904</v>
      </c>
      <c r="B4365">
        <v>1</v>
      </c>
      <c r="C4365" s="54">
        <v>43070</v>
      </c>
      <c r="D4365" s="3" t="str">
        <f>YEAR(Datos_Consumo[[#This Row],[FECHA]])&amp;"-"&amp;MONTH(Datos_Consumo[[#This Row],[FECHA]])</f>
        <v>2017-12</v>
      </c>
    </row>
    <row r="4366" spans="1:4" x14ac:dyDescent="0.25">
      <c r="A4366" t="s">
        <v>2905</v>
      </c>
      <c r="B4366">
        <v>1</v>
      </c>
      <c r="C4366" s="54">
        <v>43101</v>
      </c>
      <c r="D4366" s="3" t="str">
        <f>YEAR(Datos_Consumo[[#This Row],[FECHA]])&amp;"-"&amp;MONTH(Datos_Consumo[[#This Row],[FECHA]])</f>
        <v>2018-1</v>
      </c>
    </row>
    <row r="4367" spans="1:4" x14ac:dyDescent="0.25">
      <c r="A4367" t="s">
        <v>2906</v>
      </c>
      <c r="B4367">
        <v>2</v>
      </c>
      <c r="C4367" s="54">
        <v>43132</v>
      </c>
      <c r="D4367" s="3" t="str">
        <f>YEAR(Datos_Consumo[[#This Row],[FECHA]])&amp;"-"&amp;MONTH(Datos_Consumo[[#This Row],[FECHA]])</f>
        <v>2018-2</v>
      </c>
    </row>
    <row r="4368" spans="1:4" x14ac:dyDescent="0.25">
      <c r="A4368" t="s">
        <v>2906</v>
      </c>
      <c r="B4368">
        <v>1</v>
      </c>
      <c r="C4368" s="54">
        <v>43160</v>
      </c>
      <c r="D4368" s="3" t="str">
        <f>YEAR(Datos_Consumo[[#This Row],[FECHA]])&amp;"-"&amp;MONTH(Datos_Consumo[[#This Row],[FECHA]])</f>
        <v>2018-3</v>
      </c>
    </row>
    <row r="4369" spans="1:4" x14ac:dyDescent="0.25">
      <c r="A4369" t="s">
        <v>2906</v>
      </c>
      <c r="B4369">
        <v>1</v>
      </c>
      <c r="C4369" s="54">
        <v>43191</v>
      </c>
      <c r="D4369" s="3" t="str">
        <f>YEAR(Datos_Consumo[[#This Row],[FECHA]])&amp;"-"&amp;MONTH(Datos_Consumo[[#This Row],[FECHA]])</f>
        <v>2018-4</v>
      </c>
    </row>
    <row r="4370" spans="1:4" x14ac:dyDescent="0.25">
      <c r="A4370" t="s">
        <v>2907</v>
      </c>
      <c r="B4370">
        <v>1</v>
      </c>
      <c r="C4370" s="54">
        <v>43191</v>
      </c>
      <c r="D4370" s="3" t="str">
        <f>YEAR(Datos_Consumo[[#This Row],[FECHA]])&amp;"-"&amp;MONTH(Datos_Consumo[[#This Row],[FECHA]])</f>
        <v>2018-4</v>
      </c>
    </row>
    <row r="4371" spans="1:4" x14ac:dyDescent="0.25">
      <c r="A4371" t="s">
        <v>2908</v>
      </c>
      <c r="B4371">
        <v>1</v>
      </c>
      <c r="C4371" s="54">
        <v>43070</v>
      </c>
      <c r="D4371" s="3" t="str">
        <f>YEAR(Datos_Consumo[[#This Row],[FECHA]])&amp;"-"&amp;MONTH(Datos_Consumo[[#This Row],[FECHA]])</f>
        <v>2017-12</v>
      </c>
    </row>
    <row r="4372" spans="1:4" x14ac:dyDescent="0.25">
      <c r="A4372" t="s">
        <v>2908</v>
      </c>
      <c r="B4372">
        <v>2</v>
      </c>
      <c r="C4372" s="54">
        <v>43101</v>
      </c>
      <c r="D4372" s="3" t="str">
        <f>YEAR(Datos_Consumo[[#This Row],[FECHA]])&amp;"-"&amp;MONTH(Datos_Consumo[[#This Row],[FECHA]])</f>
        <v>2018-1</v>
      </c>
    </row>
    <row r="4373" spans="1:4" x14ac:dyDescent="0.25">
      <c r="A4373" t="s">
        <v>2908</v>
      </c>
      <c r="B4373">
        <v>1</v>
      </c>
      <c r="C4373" s="54">
        <v>43160</v>
      </c>
      <c r="D4373" s="3" t="str">
        <f>YEAR(Datos_Consumo[[#This Row],[FECHA]])&amp;"-"&amp;MONTH(Datos_Consumo[[#This Row],[FECHA]])</f>
        <v>2018-3</v>
      </c>
    </row>
    <row r="4374" spans="1:4" x14ac:dyDescent="0.25">
      <c r="A4374" t="s">
        <v>2908</v>
      </c>
      <c r="B4374">
        <v>1</v>
      </c>
      <c r="C4374" s="54">
        <v>43191</v>
      </c>
      <c r="D4374" s="3" t="str">
        <f>YEAR(Datos_Consumo[[#This Row],[FECHA]])&amp;"-"&amp;MONTH(Datos_Consumo[[#This Row],[FECHA]])</f>
        <v>2018-4</v>
      </c>
    </row>
    <row r="4375" spans="1:4" x14ac:dyDescent="0.25">
      <c r="A4375" t="s">
        <v>2908</v>
      </c>
      <c r="B4375">
        <v>1</v>
      </c>
      <c r="C4375" s="54">
        <v>43221</v>
      </c>
      <c r="D4375" s="3" t="str">
        <f>YEAR(Datos_Consumo[[#This Row],[FECHA]])&amp;"-"&amp;MONTH(Datos_Consumo[[#This Row],[FECHA]])</f>
        <v>2018-5</v>
      </c>
    </row>
    <row r="4376" spans="1:4" x14ac:dyDescent="0.25">
      <c r="A4376" t="s">
        <v>2909</v>
      </c>
      <c r="B4376">
        <v>5</v>
      </c>
      <c r="C4376" s="54">
        <v>43070</v>
      </c>
      <c r="D4376" s="3" t="str">
        <f>YEAR(Datos_Consumo[[#This Row],[FECHA]])&amp;"-"&amp;MONTH(Datos_Consumo[[#This Row],[FECHA]])</f>
        <v>2017-12</v>
      </c>
    </row>
    <row r="4377" spans="1:4" x14ac:dyDescent="0.25">
      <c r="A4377" t="s">
        <v>2909</v>
      </c>
      <c r="B4377">
        <v>1</v>
      </c>
      <c r="C4377" s="54">
        <v>43101</v>
      </c>
      <c r="D4377" s="3" t="str">
        <f>YEAR(Datos_Consumo[[#This Row],[FECHA]])&amp;"-"&amp;MONTH(Datos_Consumo[[#This Row],[FECHA]])</f>
        <v>2018-1</v>
      </c>
    </row>
    <row r="4378" spans="1:4" x14ac:dyDescent="0.25">
      <c r="A4378" t="s">
        <v>2909</v>
      </c>
      <c r="B4378">
        <v>2</v>
      </c>
      <c r="C4378" s="54">
        <v>43132</v>
      </c>
      <c r="D4378" s="3" t="str">
        <f>YEAR(Datos_Consumo[[#This Row],[FECHA]])&amp;"-"&amp;MONTH(Datos_Consumo[[#This Row],[FECHA]])</f>
        <v>2018-2</v>
      </c>
    </row>
    <row r="4379" spans="1:4" x14ac:dyDescent="0.25">
      <c r="A4379" t="s">
        <v>2909</v>
      </c>
      <c r="B4379">
        <v>3</v>
      </c>
      <c r="C4379" s="54">
        <v>43191</v>
      </c>
      <c r="D4379" s="3" t="str">
        <f>YEAR(Datos_Consumo[[#This Row],[FECHA]])&amp;"-"&amp;MONTH(Datos_Consumo[[#This Row],[FECHA]])</f>
        <v>2018-4</v>
      </c>
    </row>
    <row r="4380" spans="1:4" x14ac:dyDescent="0.25">
      <c r="A4380" t="s">
        <v>2910</v>
      </c>
      <c r="B4380">
        <v>6</v>
      </c>
      <c r="C4380" s="54">
        <v>43070</v>
      </c>
      <c r="D4380" s="3" t="str">
        <f>YEAR(Datos_Consumo[[#This Row],[FECHA]])&amp;"-"&amp;MONTH(Datos_Consumo[[#This Row],[FECHA]])</f>
        <v>2017-12</v>
      </c>
    </row>
    <row r="4381" spans="1:4" x14ac:dyDescent="0.25">
      <c r="A4381" t="s">
        <v>2910</v>
      </c>
      <c r="B4381">
        <v>1</v>
      </c>
      <c r="C4381" s="54">
        <v>43101</v>
      </c>
      <c r="D4381" s="3" t="str">
        <f>YEAR(Datos_Consumo[[#This Row],[FECHA]])&amp;"-"&amp;MONTH(Datos_Consumo[[#This Row],[FECHA]])</f>
        <v>2018-1</v>
      </c>
    </row>
    <row r="4382" spans="1:4" x14ac:dyDescent="0.25">
      <c r="A4382" t="s">
        <v>2910</v>
      </c>
      <c r="B4382">
        <v>2</v>
      </c>
      <c r="C4382" s="54">
        <v>43132</v>
      </c>
      <c r="D4382" s="3" t="str">
        <f>YEAR(Datos_Consumo[[#This Row],[FECHA]])&amp;"-"&amp;MONTH(Datos_Consumo[[#This Row],[FECHA]])</f>
        <v>2018-2</v>
      </c>
    </row>
    <row r="4383" spans="1:4" x14ac:dyDescent="0.25">
      <c r="A4383" t="s">
        <v>2910</v>
      </c>
      <c r="B4383">
        <v>2</v>
      </c>
      <c r="C4383" s="54">
        <v>43191</v>
      </c>
      <c r="D4383" s="3" t="str">
        <f>YEAR(Datos_Consumo[[#This Row],[FECHA]])&amp;"-"&amp;MONTH(Datos_Consumo[[#This Row],[FECHA]])</f>
        <v>2018-4</v>
      </c>
    </row>
    <row r="4384" spans="1:4" x14ac:dyDescent="0.25">
      <c r="A4384" t="s">
        <v>2911</v>
      </c>
      <c r="B4384">
        <v>5</v>
      </c>
      <c r="C4384" s="54">
        <v>43070</v>
      </c>
      <c r="D4384" s="3" t="str">
        <f>YEAR(Datos_Consumo[[#This Row],[FECHA]])&amp;"-"&amp;MONTH(Datos_Consumo[[#This Row],[FECHA]])</f>
        <v>2017-12</v>
      </c>
    </row>
    <row r="4385" spans="1:4" x14ac:dyDescent="0.25">
      <c r="A4385" t="s">
        <v>2911</v>
      </c>
      <c r="B4385">
        <v>2</v>
      </c>
      <c r="C4385" s="54">
        <v>43132</v>
      </c>
      <c r="D4385" s="3" t="str">
        <f>YEAR(Datos_Consumo[[#This Row],[FECHA]])&amp;"-"&amp;MONTH(Datos_Consumo[[#This Row],[FECHA]])</f>
        <v>2018-2</v>
      </c>
    </row>
    <row r="4386" spans="1:4" x14ac:dyDescent="0.25">
      <c r="A4386" t="s">
        <v>2911</v>
      </c>
      <c r="B4386">
        <v>2</v>
      </c>
      <c r="C4386" s="54">
        <v>43191</v>
      </c>
      <c r="D4386" s="3" t="str">
        <f>YEAR(Datos_Consumo[[#This Row],[FECHA]])&amp;"-"&amp;MONTH(Datos_Consumo[[#This Row],[FECHA]])</f>
        <v>2018-4</v>
      </c>
    </row>
    <row r="4387" spans="1:4" x14ac:dyDescent="0.25">
      <c r="A4387" t="s">
        <v>2912</v>
      </c>
      <c r="B4387">
        <v>5</v>
      </c>
      <c r="C4387" s="54">
        <v>43070</v>
      </c>
      <c r="D4387" s="3" t="str">
        <f>YEAR(Datos_Consumo[[#This Row],[FECHA]])&amp;"-"&amp;MONTH(Datos_Consumo[[#This Row],[FECHA]])</f>
        <v>2017-12</v>
      </c>
    </row>
    <row r="4388" spans="1:4" x14ac:dyDescent="0.25">
      <c r="A4388" t="s">
        <v>2912</v>
      </c>
      <c r="B4388">
        <v>2</v>
      </c>
      <c r="C4388" s="54">
        <v>43191</v>
      </c>
      <c r="D4388" s="3" t="str">
        <f>YEAR(Datos_Consumo[[#This Row],[FECHA]])&amp;"-"&amp;MONTH(Datos_Consumo[[#This Row],[FECHA]])</f>
        <v>2018-4</v>
      </c>
    </row>
    <row r="4389" spans="1:4" x14ac:dyDescent="0.25">
      <c r="A4389" t="s">
        <v>2913</v>
      </c>
      <c r="B4389">
        <v>1</v>
      </c>
      <c r="C4389" s="54">
        <v>43132</v>
      </c>
      <c r="D4389" s="3" t="str">
        <f>YEAR(Datos_Consumo[[#This Row],[FECHA]])&amp;"-"&amp;MONTH(Datos_Consumo[[#This Row],[FECHA]])</f>
        <v>2018-2</v>
      </c>
    </row>
    <row r="4390" spans="1:4" x14ac:dyDescent="0.25">
      <c r="A4390" t="s">
        <v>2914</v>
      </c>
      <c r="B4390">
        <v>1</v>
      </c>
      <c r="C4390" s="54">
        <v>43132</v>
      </c>
      <c r="D4390" s="3" t="str">
        <f>YEAR(Datos_Consumo[[#This Row],[FECHA]])&amp;"-"&amp;MONTH(Datos_Consumo[[#This Row],[FECHA]])</f>
        <v>2018-2</v>
      </c>
    </row>
    <row r="4391" spans="1:4" x14ac:dyDescent="0.25">
      <c r="A4391" t="s">
        <v>2914</v>
      </c>
      <c r="B4391">
        <v>2</v>
      </c>
      <c r="C4391" s="54">
        <v>43191</v>
      </c>
      <c r="D4391" s="3" t="str">
        <f>YEAR(Datos_Consumo[[#This Row],[FECHA]])&amp;"-"&amp;MONTH(Datos_Consumo[[#This Row],[FECHA]])</f>
        <v>2018-4</v>
      </c>
    </row>
    <row r="4392" spans="1:4" x14ac:dyDescent="0.25">
      <c r="A4392" t="s">
        <v>2915</v>
      </c>
      <c r="B4392">
        <v>1</v>
      </c>
      <c r="C4392" s="54">
        <v>43070</v>
      </c>
      <c r="D4392" s="3" t="str">
        <f>YEAR(Datos_Consumo[[#This Row],[FECHA]])&amp;"-"&amp;MONTH(Datos_Consumo[[#This Row],[FECHA]])</f>
        <v>2017-12</v>
      </c>
    </row>
    <row r="4393" spans="1:4" x14ac:dyDescent="0.25">
      <c r="A4393" t="s">
        <v>2915</v>
      </c>
      <c r="B4393">
        <v>2</v>
      </c>
      <c r="C4393" s="54">
        <v>43101</v>
      </c>
      <c r="D4393" s="3" t="str">
        <f>YEAR(Datos_Consumo[[#This Row],[FECHA]])&amp;"-"&amp;MONTH(Datos_Consumo[[#This Row],[FECHA]])</f>
        <v>2018-1</v>
      </c>
    </row>
    <row r="4394" spans="1:4" x14ac:dyDescent="0.25">
      <c r="A4394" t="s">
        <v>2915</v>
      </c>
      <c r="B4394">
        <v>1</v>
      </c>
      <c r="C4394" s="54">
        <v>43132</v>
      </c>
      <c r="D4394" s="3" t="str">
        <f>YEAR(Datos_Consumo[[#This Row],[FECHA]])&amp;"-"&amp;MONTH(Datos_Consumo[[#This Row],[FECHA]])</f>
        <v>2018-2</v>
      </c>
    </row>
    <row r="4395" spans="1:4" x14ac:dyDescent="0.25">
      <c r="A4395" t="s">
        <v>2915</v>
      </c>
      <c r="B4395">
        <v>1</v>
      </c>
      <c r="C4395" s="54">
        <v>43160</v>
      </c>
      <c r="D4395" s="3" t="str">
        <f>YEAR(Datos_Consumo[[#This Row],[FECHA]])&amp;"-"&amp;MONTH(Datos_Consumo[[#This Row],[FECHA]])</f>
        <v>2018-3</v>
      </c>
    </row>
    <row r="4396" spans="1:4" x14ac:dyDescent="0.25">
      <c r="A4396" t="s">
        <v>2915</v>
      </c>
      <c r="B4396">
        <v>1</v>
      </c>
      <c r="C4396" s="54">
        <v>43191</v>
      </c>
      <c r="D4396" s="3" t="str">
        <f>YEAR(Datos_Consumo[[#This Row],[FECHA]])&amp;"-"&amp;MONTH(Datos_Consumo[[#This Row],[FECHA]])</f>
        <v>2018-4</v>
      </c>
    </row>
    <row r="4397" spans="1:4" x14ac:dyDescent="0.25">
      <c r="A4397" t="s">
        <v>2916</v>
      </c>
      <c r="B4397">
        <v>7</v>
      </c>
      <c r="C4397" s="54">
        <v>43070</v>
      </c>
      <c r="D4397" s="3" t="str">
        <f>YEAR(Datos_Consumo[[#This Row],[FECHA]])&amp;"-"&amp;MONTH(Datos_Consumo[[#This Row],[FECHA]])</f>
        <v>2017-12</v>
      </c>
    </row>
    <row r="4398" spans="1:4" x14ac:dyDescent="0.25">
      <c r="A4398" t="s">
        <v>2916</v>
      </c>
      <c r="B4398">
        <v>1</v>
      </c>
      <c r="C4398" s="54">
        <v>43101</v>
      </c>
      <c r="D4398" s="3" t="str">
        <f>YEAR(Datos_Consumo[[#This Row],[FECHA]])&amp;"-"&amp;MONTH(Datos_Consumo[[#This Row],[FECHA]])</f>
        <v>2018-1</v>
      </c>
    </row>
    <row r="4399" spans="1:4" x14ac:dyDescent="0.25">
      <c r="A4399" t="s">
        <v>2916</v>
      </c>
      <c r="B4399">
        <v>2</v>
      </c>
      <c r="C4399" s="54">
        <v>43132</v>
      </c>
      <c r="D4399" s="3" t="str">
        <f>YEAR(Datos_Consumo[[#This Row],[FECHA]])&amp;"-"&amp;MONTH(Datos_Consumo[[#This Row],[FECHA]])</f>
        <v>2018-2</v>
      </c>
    </row>
    <row r="4400" spans="1:4" x14ac:dyDescent="0.25">
      <c r="A4400" t="s">
        <v>2916</v>
      </c>
      <c r="B4400">
        <v>4</v>
      </c>
      <c r="C4400" s="54">
        <v>43191</v>
      </c>
      <c r="D4400" s="3" t="str">
        <f>YEAR(Datos_Consumo[[#This Row],[FECHA]])&amp;"-"&amp;MONTH(Datos_Consumo[[#This Row],[FECHA]])</f>
        <v>2018-4</v>
      </c>
    </row>
    <row r="4401" spans="1:4" x14ac:dyDescent="0.25">
      <c r="A4401" t="s">
        <v>2917</v>
      </c>
      <c r="B4401">
        <v>4</v>
      </c>
      <c r="C4401" s="54">
        <v>43070</v>
      </c>
      <c r="D4401" s="3" t="str">
        <f>YEAR(Datos_Consumo[[#This Row],[FECHA]])&amp;"-"&amp;MONTH(Datos_Consumo[[#This Row],[FECHA]])</f>
        <v>2017-12</v>
      </c>
    </row>
    <row r="4402" spans="1:4" x14ac:dyDescent="0.25">
      <c r="A4402" t="s">
        <v>2917</v>
      </c>
      <c r="B4402">
        <v>2</v>
      </c>
      <c r="C4402" s="54">
        <v>43101</v>
      </c>
      <c r="D4402" s="3" t="str">
        <f>YEAR(Datos_Consumo[[#This Row],[FECHA]])&amp;"-"&amp;MONTH(Datos_Consumo[[#This Row],[FECHA]])</f>
        <v>2018-1</v>
      </c>
    </row>
    <row r="4403" spans="1:4" x14ac:dyDescent="0.25">
      <c r="A4403" t="s">
        <v>2917</v>
      </c>
      <c r="B4403">
        <v>3</v>
      </c>
      <c r="C4403" s="54">
        <v>43132</v>
      </c>
      <c r="D4403" s="3" t="str">
        <f>YEAR(Datos_Consumo[[#This Row],[FECHA]])&amp;"-"&amp;MONTH(Datos_Consumo[[#This Row],[FECHA]])</f>
        <v>2018-2</v>
      </c>
    </row>
    <row r="4404" spans="1:4" x14ac:dyDescent="0.25">
      <c r="A4404" t="s">
        <v>2917</v>
      </c>
      <c r="B4404">
        <v>4</v>
      </c>
      <c r="C4404" s="54">
        <v>43191</v>
      </c>
      <c r="D4404" s="3" t="str">
        <f>YEAR(Datos_Consumo[[#This Row],[FECHA]])&amp;"-"&amp;MONTH(Datos_Consumo[[#This Row],[FECHA]])</f>
        <v>2018-4</v>
      </c>
    </row>
    <row r="4405" spans="1:4" x14ac:dyDescent="0.25">
      <c r="A4405" t="s">
        <v>2918</v>
      </c>
      <c r="B4405">
        <v>2</v>
      </c>
      <c r="C4405" s="54">
        <v>43101</v>
      </c>
      <c r="D4405" s="3" t="str">
        <f>YEAR(Datos_Consumo[[#This Row],[FECHA]])&amp;"-"&amp;MONTH(Datos_Consumo[[#This Row],[FECHA]])</f>
        <v>2018-1</v>
      </c>
    </row>
    <row r="4406" spans="1:4" x14ac:dyDescent="0.25">
      <c r="A4406" t="s">
        <v>2918</v>
      </c>
      <c r="B4406">
        <v>1</v>
      </c>
      <c r="C4406" s="54">
        <v>43160</v>
      </c>
      <c r="D4406" s="3" t="str">
        <f>YEAR(Datos_Consumo[[#This Row],[FECHA]])&amp;"-"&amp;MONTH(Datos_Consumo[[#This Row],[FECHA]])</f>
        <v>2018-3</v>
      </c>
    </row>
    <row r="4407" spans="1:4" x14ac:dyDescent="0.25">
      <c r="A4407" t="s">
        <v>2919</v>
      </c>
      <c r="B4407">
        <v>176</v>
      </c>
      <c r="C4407" s="54">
        <v>43070</v>
      </c>
      <c r="D4407" s="3" t="str">
        <f>YEAR(Datos_Consumo[[#This Row],[FECHA]])&amp;"-"&amp;MONTH(Datos_Consumo[[#This Row],[FECHA]])</f>
        <v>2017-12</v>
      </c>
    </row>
    <row r="4408" spans="1:4" x14ac:dyDescent="0.25">
      <c r="A4408" t="s">
        <v>2920</v>
      </c>
      <c r="B4408">
        <v>3</v>
      </c>
      <c r="C4408" s="54">
        <v>43101</v>
      </c>
      <c r="D4408" s="3" t="str">
        <f>YEAR(Datos_Consumo[[#This Row],[FECHA]])&amp;"-"&amp;MONTH(Datos_Consumo[[#This Row],[FECHA]])</f>
        <v>2018-1</v>
      </c>
    </row>
    <row r="4409" spans="1:4" x14ac:dyDescent="0.25">
      <c r="A4409" t="s">
        <v>4095</v>
      </c>
      <c r="B4409">
        <v>5</v>
      </c>
      <c r="C4409" s="54">
        <v>43191</v>
      </c>
      <c r="D4409" s="3" t="str">
        <f>YEAR(Datos_Consumo[[#This Row],[FECHA]])&amp;"-"&amp;MONTH(Datos_Consumo[[#This Row],[FECHA]])</f>
        <v>2018-4</v>
      </c>
    </row>
    <row r="4410" spans="1:4" x14ac:dyDescent="0.25">
      <c r="A4410" t="s">
        <v>4096</v>
      </c>
      <c r="B4410">
        <v>100</v>
      </c>
      <c r="C4410" s="54">
        <v>43191</v>
      </c>
      <c r="D4410" s="3" t="str">
        <f>YEAR(Datos_Consumo[[#This Row],[FECHA]])&amp;"-"&amp;MONTH(Datos_Consumo[[#This Row],[FECHA]])</f>
        <v>2018-4</v>
      </c>
    </row>
    <row r="4411" spans="1:4" x14ac:dyDescent="0.25">
      <c r="A4411" t="s">
        <v>2921</v>
      </c>
      <c r="B4411">
        <v>12</v>
      </c>
      <c r="C4411" s="54">
        <v>43070</v>
      </c>
      <c r="D4411" s="3" t="str">
        <f>YEAR(Datos_Consumo[[#This Row],[FECHA]])&amp;"-"&amp;MONTH(Datos_Consumo[[#This Row],[FECHA]])</f>
        <v>2017-12</v>
      </c>
    </row>
    <row r="4412" spans="1:4" x14ac:dyDescent="0.25">
      <c r="A4412" t="s">
        <v>2921</v>
      </c>
      <c r="B4412">
        <v>1</v>
      </c>
      <c r="C4412" s="54">
        <v>43101</v>
      </c>
      <c r="D4412" s="3" t="str">
        <f>YEAR(Datos_Consumo[[#This Row],[FECHA]])&amp;"-"&amp;MONTH(Datos_Consumo[[#This Row],[FECHA]])</f>
        <v>2018-1</v>
      </c>
    </row>
    <row r="4413" spans="1:4" x14ac:dyDescent="0.25">
      <c r="A4413" t="s">
        <v>2921</v>
      </c>
      <c r="B4413">
        <v>1</v>
      </c>
      <c r="C4413" s="54">
        <v>43132</v>
      </c>
      <c r="D4413" s="3" t="str">
        <f>YEAR(Datos_Consumo[[#This Row],[FECHA]])&amp;"-"&amp;MONTH(Datos_Consumo[[#This Row],[FECHA]])</f>
        <v>2018-2</v>
      </c>
    </row>
    <row r="4414" spans="1:4" x14ac:dyDescent="0.25">
      <c r="A4414" t="s">
        <v>2921</v>
      </c>
      <c r="B4414">
        <v>9</v>
      </c>
      <c r="C4414" s="54">
        <v>43160</v>
      </c>
      <c r="D4414" s="3" t="str">
        <f>YEAR(Datos_Consumo[[#This Row],[FECHA]])&amp;"-"&amp;MONTH(Datos_Consumo[[#This Row],[FECHA]])</f>
        <v>2018-3</v>
      </c>
    </row>
    <row r="4415" spans="1:4" x14ac:dyDescent="0.25">
      <c r="A4415" t="s">
        <v>2921</v>
      </c>
      <c r="B4415">
        <v>12</v>
      </c>
      <c r="C4415" s="54">
        <v>43191</v>
      </c>
      <c r="D4415" s="3" t="str">
        <f>YEAR(Datos_Consumo[[#This Row],[FECHA]])&amp;"-"&amp;MONTH(Datos_Consumo[[#This Row],[FECHA]])</f>
        <v>2018-4</v>
      </c>
    </row>
    <row r="4416" spans="1:4" x14ac:dyDescent="0.25">
      <c r="A4416" t="s">
        <v>2922</v>
      </c>
      <c r="B4416">
        <v>4</v>
      </c>
      <c r="C4416" s="54">
        <v>43191</v>
      </c>
      <c r="D4416" s="3" t="str">
        <f>YEAR(Datos_Consumo[[#This Row],[FECHA]])&amp;"-"&amp;MONTH(Datos_Consumo[[#This Row],[FECHA]])</f>
        <v>2018-4</v>
      </c>
    </row>
    <row r="4417" spans="1:4" x14ac:dyDescent="0.25">
      <c r="A4417" t="s">
        <v>2923</v>
      </c>
      <c r="B4417">
        <v>10</v>
      </c>
      <c r="C4417" s="54">
        <v>43191</v>
      </c>
      <c r="D4417" s="3" t="str">
        <f>YEAR(Datos_Consumo[[#This Row],[FECHA]])&amp;"-"&amp;MONTH(Datos_Consumo[[#This Row],[FECHA]])</f>
        <v>2018-4</v>
      </c>
    </row>
    <row r="4418" spans="1:4" x14ac:dyDescent="0.25">
      <c r="A4418" t="s">
        <v>2924</v>
      </c>
      <c r="B4418">
        <v>7</v>
      </c>
      <c r="C4418" s="54">
        <v>43132</v>
      </c>
      <c r="D4418" s="3" t="str">
        <f>YEAR(Datos_Consumo[[#This Row],[FECHA]])&amp;"-"&amp;MONTH(Datos_Consumo[[#This Row],[FECHA]])</f>
        <v>2018-2</v>
      </c>
    </row>
    <row r="4419" spans="1:4" x14ac:dyDescent="0.25">
      <c r="A4419" t="s">
        <v>2925</v>
      </c>
      <c r="B4419">
        <v>3</v>
      </c>
      <c r="C4419" s="54">
        <v>43070</v>
      </c>
      <c r="D4419" s="3" t="str">
        <f>YEAR(Datos_Consumo[[#This Row],[FECHA]])&amp;"-"&amp;MONTH(Datos_Consumo[[#This Row],[FECHA]])</f>
        <v>2017-12</v>
      </c>
    </row>
    <row r="4420" spans="1:4" x14ac:dyDescent="0.25">
      <c r="A4420" t="s">
        <v>2925</v>
      </c>
      <c r="B4420">
        <v>5</v>
      </c>
      <c r="C4420" s="54">
        <v>43101</v>
      </c>
      <c r="D4420" s="3" t="str">
        <f>YEAR(Datos_Consumo[[#This Row],[FECHA]])&amp;"-"&amp;MONTH(Datos_Consumo[[#This Row],[FECHA]])</f>
        <v>2018-1</v>
      </c>
    </row>
    <row r="4421" spans="1:4" x14ac:dyDescent="0.25">
      <c r="A4421" t="s">
        <v>2926</v>
      </c>
      <c r="B4421">
        <v>3</v>
      </c>
      <c r="C4421" s="54">
        <v>43101</v>
      </c>
      <c r="D4421" s="3" t="str">
        <f>YEAR(Datos_Consumo[[#This Row],[FECHA]])&amp;"-"&amp;MONTH(Datos_Consumo[[#This Row],[FECHA]])</f>
        <v>2018-1</v>
      </c>
    </row>
    <row r="4422" spans="1:4" x14ac:dyDescent="0.25">
      <c r="A4422" t="s">
        <v>2926</v>
      </c>
      <c r="B4422">
        <v>6</v>
      </c>
      <c r="C4422" s="54">
        <v>43132</v>
      </c>
      <c r="D4422" s="3" t="str">
        <f>YEAR(Datos_Consumo[[#This Row],[FECHA]])&amp;"-"&amp;MONTH(Datos_Consumo[[#This Row],[FECHA]])</f>
        <v>2018-2</v>
      </c>
    </row>
    <row r="4423" spans="1:4" x14ac:dyDescent="0.25">
      <c r="A4423" t="s">
        <v>2926</v>
      </c>
      <c r="B4423">
        <v>4</v>
      </c>
      <c r="C4423" s="54">
        <v>43160</v>
      </c>
      <c r="D4423" s="3" t="str">
        <f>YEAR(Datos_Consumo[[#This Row],[FECHA]])&amp;"-"&amp;MONTH(Datos_Consumo[[#This Row],[FECHA]])</f>
        <v>2018-3</v>
      </c>
    </row>
    <row r="4424" spans="1:4" x14ac:dyDescent="0.25">
      <c r="A4424" t="s">
        <v>2926</v>
      </c>
      <c r="B4424">
        <v>2</v>
      </c>
      <c r="C4424" s="54">
        <v>43191</v>
      </c>
      <c r="D4424" s="3" t="str">
        <f>YEAR(Datos_Consumo[[#This Row],[FECHA]])&amp;"-"&amp;MONTH(Datos_Consumo[[#This Row],[FECHA]])</f>
        <v>2018-4</v>
      </c>
    </row>
    <row r="4425" spans="1:4" x14ac:dyDescent="0.25">
      <c r="A4425" t="s">
        <v>2927</v>
      </c>
      <c r="B4425">
        <v>4</v>
      </c>
      <c r="C4425" s="54">
        <v>43132</v>
      </c>
      <c r="D4425" s="3" t="str">
        <f>YEAR(Datos_Consumo[[#This Row],[FECHA]])&amp;"-"&amp;MONTH(Datos_Consumo[[#This Row],[FECHA]])</f>
        <v>2018-2</v>
      </c>
    </row>
    <row r="4426" spans="1:4" x14ac:dyDescent="0.25">
      <c r="A4426" t="s">
        <v>2928</v>
      </c>
      <c r="B4426">
        <v>1</v>
      </c>
      <c r="C4426" s="54">
        <v>43101</v>
      </c>
      <c r="D4426" s="3" t="str">
        <f>YEAR(Datos_Consumo[[#This Row],[FECHA]])&amp;"-"&amp;MONTH(Datos_Consumo[[#This Row],[FECHA]])</f>
        <v>2018-1</v>
      </c>
    </row>
    <row r="4427" spans="1:4" x14ac:dyDescent="0.25">
      <c r="A4427" t="s">
        <v>2928</v>
      </c>
      <c r="B4427">
        <v>1</v>
      </c>
      <c r="C4427" s="54">
        <v>43191</v>
      </c>
      <c r="D4427" s="3" t="str">
        <f>YEAR(Datos_Consumo[[#This Row],[FECHA]])&amp;"-"&amp;MONTH(Datos_Consumo[[#This Row],[FECHA]])</f>
        <v>2018-4</v>
      </c>
    </row>
    <row r="4428" spans="1:4" x14ac:dyDescent="0.25">
      <c r="A4428" t="s">
        <v>2929</v>
      </c>
      <c r="B4428">
        <v>1</v>
      </c>
      <c r="C4428" s="54">
        <v>43070</v>
      </c>
      <c r="D4428" s="3" t="str">
        <f>YEAR(Datos_Consumo[[#This Row],[FECHA]])&amp;"-"&amp;MONTH(Datos_Consumo[[#This Row],[FECHA]])</f>
        <v>2017-12</v>
      </c>
    </row>
    <row r="4429" spans="1:4" x14ac:dyDescent="0.25">
      <c r="A4429" t="s">
        <v>2929</v>
      </c>
      <c r="B4429">
        <v>1</v>
      </c>
      <c r="C4429" s="54">
        <v>43160</v>
      </c>
      <c r="D4429" s="3" t="str">
        <f>YEAR(Datos_Consumo[[#This Row],[FECHA]])&amp;"-"&amp;MONTH(Datos_Consumo[[#This Row],[FECHA]])</f>
        <v>2018-3</v>
      </c>
    </row>
    <row r="4430" spans="1:4" x14ac:dyDescent="0.25">
      <c r="A4430" t="s">
        <v>2929</v>
      </c>
      <c r="B4430">
        <v>1</v>
      </c>
      <c r="C4430" s="54">
        <v>43191</v>
      </c>
      <c r="D4430" s="3" t="str">
        <f>YEAR(Datos_Consumo[[#This Row],[FECHA]])&amp;"-"&amp;MONTH(Datos_Consumo[[#This Row],[FECHA]])</f>
        <v>2018-4</v>
      </c>
    </row>
    <row r="4431" spans="1:4" x14ac:dyDescent="0.25">
      <c r="A4431" t="s">
        <v>2929</v>
      </c>
      <c r="B4431">
        <v>3</v>
      </c>
      <c r="C4431" s="54">
        <v>43221</v>
      </c>
      <c r="D4431" s="3" t="str">
        <f>YEAR(Datos_Consumo[[#This Row],[FECHA]])&amp;"-"&amp;MONTH(Datos_Consumo[[#This Row],[FECHA]])</f>
        <v>2018-5</v>
      </c>
    </row>
    <row r="4432" spans="1:4" x14ac:dyDescent="0.25">
      <c r="A4432" t="s">
        <v>2930</v>
      </c>
      <c r="B4432">
        <v>1</v>
      </c>
      <c r="C4432" s="54">
        <v>43070</v>
      </c>
      <c r="D4432" s="3" t="str">
        <f>YEAR(Datos_Consumo[[#This Row],[FECHA]])&amp;"-"&amp;MONTH(Datos_Consumo[[#This Row],[FECHA]])</f>
        <v>2017-12</v>
      </c>
    </row>
    <row r="4433" spans="1:4" x14ac:dyDescent="0.25">
      <c r="A4433" t="s">
        <v>2931</v>
      </c>
      <c r="B4433">
        <v>52</v>
      </c>
      <c r="C4433" s="54">
        <v>43191</v>
      </c>
      <c r="D4433" s="3" t="str">
        <f>YEAR(Datos_Consumo[[#This Row],[FECHA]])&amp;"-"&amp;MONTH(Datos_Consumo[[#This Row],[FECHA]])</f>
        <v>2018-4</v>
      </c>
    </row>
    <row r="4434" spans="1:4" x14ac:dyDescent="0.25">
      <c r="A4434" t="s">
        <v>2932</v>
      </c>
      <c r="B4434">
        <v>1</v>
      </c>
      <c r="C4434" s="54">
        <v>43160</v>
      </c>
      <c r="D4434" s="3" t="str">
        <f>YEAR(Datos_Consumo[[#This Row],[FECHA]])&amp;"-"&amp;MONTH(Datos_Consumo[[#This Row],[FECHA]])</f>
        <v>2018-3</v>
      </c>
    </row>
    <row r="4435" spans="1:4" x14ac:dyDescent="0.25">
      <c r="A4435" t="s">
        <v>2933</v>
      </c>
      <c r="B4435">
        <v>1</v>
      </c>
      <c r="C4435" s="54">
        <v>43070</v>
      </c>
      <c r="D4435" s="3" t="str">
        <f>YEAR(Datos_Consumo[[#This Row],[FECHA]])&amp;"-"&amp;MONTH(Datos_Consumo[[#This Row],[FECHA]])</f>
        <v>2017-12</v>
      </c>
    </row>
    <row r="4436" spans="1:4" x14ac:dyDescent="0.25">
      <c r="A4436" t="s">
        <v>2933</v>
      </c>
      <c r="B4436">
        <v>1</v>
      </c>
      <c r="C4436" s="54">
        <v>43101</v>
      </c>
      <c r="D4436" s="3" t="str">
        <f>YEAR(Datos_Consumo[[#This Row],[FECHA]])&amp;"-"&amp;MONTH(Datos_Consumo[[#This Row],[FECHA]])</f>
        <v>2018-1</v>
      </c>
    </row>
    <row r="4437" spans="1:4" x14ac:dyDescent="0.25">
      <c r="A4437" t="s">
        <v>2934</v>
      </c>
      <c r="B4437">
        <v>1</v>
      </c>
      <c r="C4437" s="54">
        <v>43160</v>
      </c>
      <c r="D4437" s="3" t="str">
        <f>YEAR(Datos_Consumo[[#This Row],[FECHA]])&amp;"-"&amp;MONTH(Datos_Consumo[[#This Row],[FECHA]])</f>
        <v>2018-3</v>
      </c>
    </row>
    <row r="4438" spans="1:4" x14ac:dyDescent="0.25">
      <c r="A4438" t="s">
        <v>2934</v>
      </c>
      <c r="B4438">
        <v>1</v>
      </c>
      <c r="C4438" s="54">
        <v>43191</v>
      </c>
      <c r="D4438" s="3" t="str">
        <f>YEAR(Datos_Consumo[[#This Row],[FECHA]])&amp;"-"&amp;MONTH(Datos_Consumo[[#This Row],[FECHA]])</f>
        <v>2018-4</v>
      </c>
    </row>
    <row r="4439" spans="1:4" x14ac:dyDescent="0.25">
      <c r="A4439" t="s">
        <v>2934</v>
      </c>
      <c r="B4439">
        <v>2</v>
      </c>
      <c r="C4439" s="54">
        <v>43221</v>
      </c>
      <c r="D4439" s="3" t="str">
        <f>YEAR(Datos_Consumo[[#This Row],[FECHA]])&amp;"-"&amp;MONTH(Datos_Consumo[[#This Row],[FECHA]])</f>
        <v>2018-5</v>
      </c>
    </row>
    <row r="4440" spans="1:4" x14ac:dyDescent="0.25">
      <c r="A4440" t="s">
        <v>2935</v>
      </c>
      <c r="B4440">
        <v>1</v>
      </c>
      <c r="C4440" s="54">
        <v>43101</v>
      </c>
      <c r="D4440" s="3" t="str">
        <f>YEAR(Datos_Consumo[[#This Row],[FECHA]])&amp;"-"&amp;MONTH(Datos_Consumo[[#This Row],[FECHA]])</f>
        <v>2018-1</v>
      </c>
    </row>
    <row r="4441" spans="1:4" x14ac:dyDescent="0.25">
      <c r="A4441" t="s">
        <v>2936</v>
      </c>
      <c r="B4441">
        <v>1</v>
      </c>
      <c r="C4441" s="54">
        <v>43070</v>
      </c>
      <c r="D4441" s="3" t="str">
        <f>YEAR(Datos_Consumo[[#This Row],[FECHA]])&amp;"-"&amp;MONTH(Datos_Consumo[[#This Row],[FECHA]])</f>
        <v>2017-12</v>
      </c>
    </row>
    <row r="4442" spans="1:4" x14ac:dyDescent="0.25">
      <c r="A4442" t="s">
        <v>2936</v>
      </c>
      <c r="B4442">
        <v>3</v>
      </c>
      <c r="C4442" s="54">
        <v>43101</v>
      </c>
      <c r="D4442" s="3" t="str">
        <f>YEAR(Datos_Consumo[[#This Row],[FECHA]])&amp;"-"&amp;MONTH(Datos_Consumo[[#This Row],[FECHA]])</f>
        <v>2018-1</v>
      </c>
    </row>
    <row r="4443" spans="1:4" x14ac:dyDescent="0.25">
      <c r="A4443" t="s">
        <v>2936</v>
      </c>
      <c r="B4443">
        <v>1</v>
      </c>
      <c r="C4443" s="54">
        <v>43132</v>
      </c>
      <c r="D4443" s="3" t="str">
        <f>YEAR(Datos_Consumo[[#This Row],[FECHA]])&amp;"-"&amp;MONTH(Datos_Consumo[[#This Row],[FECHA]])</f>
        <v>2018-2</v>
      </c>
    </row>
    <row r="4444" spans="1:4" x14ac:dyDescent="0.25">
      <c r="A4444" t="s">
        <v>2936</v>
      </c>
      <c r="B4444">
        <v>2</v>
      </c>
      <c r="C4444" s="54">
        <v>43160</v>
      </c>
      <c r="D4444" s="3" t="str">
        <f>YEAR(Datos_Consumo[[#This Row],[FECHA]])&amp;"-"&amp;MONTH(Datos_Consumo[[#This Row],[FECHA]])</f>
        <v>2018-3</v>
      </c>
    </row>
    <row r="4445" spans="1:4" x14ac:dyDescent="0.25">
      <c r="A4445" t="s">
        <v>2936</v>
      </c>
      <c r="B4445">
        <v>1</v>
      </c>
      <c r="C4445" s="54">
        <v>43191</v>
      </c>
      <c r="D4445" s="3" t="str">
        <f>YEAR(Datos_Consumo[[#This Row],[FECHA]])&amp;"-"&amp;MONTH(Datos_Consumo[[#This Row],[FECHA]])</f>
        <v>2018-4</v>
      </c>
    </row>
    <row r="4446" spans="1:4" x14ac:dyDescent="0.25">
      <c r="A4446" t="s">
        <v>2937</v>
      </c>
      <c r="B4446">
        <v>69</v>
      </c>
      <c r="C4446" s="54">
        <v>43070</v>
      </c>
      <c r="D4446" s="3" t="str">
        <f>YEAR(Datos_Consumo[[#This Row],[FECHA]])&amp;"-"&amp;MONTH(Datos_Consumo[[#This Row],[FECHA]])</f>
        <v>2017-12</v>
      </c>
    </row>
    <row r="4447" spans="1:4" x14ac:dyDescent="0.25">
      <c r="A4447" t="s">
        <v>2938</v>
      </c>
      <c r="B4447">
        <v>34</v>
      </c>
      <c r="C4447" s="54">
        <v>43070</v>
      </c>
      <c r="D4447" s="3" t="str">
        <f>YEAR(Datos_Consumo[[#This Row],[FECHA]])&amp;"-"&amp;MONTH(Datos_Consumo[[#This Row],[FECHA]])</f>
        <v>2017-12</v>
      </c>
    </row>
    <row r="4448" spans="1:4" x14ac:dyDescent="0.25">
      <c r="A4448" t="s">
        <v>2938</v>
      </c>
      <c r="B4448">
        <v>18</v>
      </c>
      <c r="C4448" s="54">
        <v>43101</v>
      </c>
      <c r="D4448" s="3" t="str">
        <f>YEAR(Datos_Consumo[[#This Row],[FECHA]])&amp;"-"&amp;MONTH(Datos_Consumo[[#This Row],[FECHA]])</f>
        <v>2018-1</v>
      </c>
    </row>
    <row r="4449" spans="1:4" x14ac:dyDescent="0.25">
      <c r="A4449" t="s">
        <v>2938</v>
      </c>
      <c r="B4449">
        <v>1</v>
      </c>
      <c r="C4449" s="54">
        <v>43132</v>
      </c>
      <c r="D4449" s="3" t="str">
        <f>YEAR(Datos_Consumo[[#This Row],[FECHA]])&amp;"-"&amp;MONTH(Datos_Consumo[[#This Row],[FECHA]])</f>
        <v>2018-2</v>
      </c>
    </row>
    <row r="4450" spans="1:4" x14ac:dyDescent="0.25">
      <c r="A4450" t="s">
        <v>2939</v>
      </c>
      <c r="B4450">
        <v>2</v>
      </c>
      <c r="C4450" s="54">
        <v>43070</v>
      </c>
      <c r="D4450" s="3" t="str">
        <f>YEAR(Datos_Consumo[[#This Row],[FECHA]])&amp;"-"&amp;MONTH(Datos_Consumo[[#This Row],[FECHA]])</f>
        <v>2017-12</v>
      </c>
    </row>
    <row r="4451" spans="1:4" x14ac:dyDescent="0.25">
      <c r="A4451" t="s">
        <v>2940</v>
      </c>
      <c r="B4451">
        <v>1</v>
      </c>
      <c r="C4451" s="54">
        <v>43101</v>
      </c>
      <c r="D4451" s="3" t="str">
        <f>YEAR(Datos_Consumo[[#This Row],[FECHA]])&amp;"-"&amp;MONTH(Datos_Consumo[[#This Row],[FECHA]])</f>
        <v>2018-1</v>
      </c>
    </row>
    <row r="4452" spans="1:4" x14ac:dyDescent="0.25">
      <c r="A4452" t="s">
        <v>2941</v>
      </c>
      <c r="B4452">
        <v>2</v>
      </c>
      <c r="C4452" s="54">
        <v>43132</v>
      </c>
      <c r="D4452" s="3" t="str">
        <f>YEAR(Datos_Consumo[[#This Row],[FECHA]])&amp;"-"&amp;MONTH(Datos_Consumo[[#This Row],[FECHA]])</f>
        <v>2018-2</v>
      </c>
    </row>
    <row r="4453" spans="1:4" x14ac:dyDescent="0.25">
      <c r="A4453" t="s">
        <v>2941</v>
      </c>
      <c r="B4453">
        <v>5</v>
      </c>
      <c r="C4453" s="54">
        <v>43191</v>
      </c>
      <c r="D4453" s="3" t="str">
        <f>YEAR(Datos_Consumo[[#This Row],[FECHA]])&amp;"-"&amp;MONTH(Datos_Consumo[[#This Row],[FECHA]])</f>
        <v>2018-4</v>
      </c>
    </row>
    <row r="4454" spans="1:4" x14ac:dyDescent="0.25">
      <c r="A4454" t="s">
        <v>2942</v>
      </c>
      <c r="B4454">
        <v>2</v>
      </c>
      <c r="C4454" s="54">
        <v>43101</v>
      </c>
      <c r="D4454" s="3" t="str">
        <f>YEAR(Datos_Consumo[[#This Row],[FECHA]])&amp;"-"&amp;MONTH(Datos_Consumo[[#This Row],[FECHA]])</f>
        <v>2018-1</v>
      </c>
    </row>
    <row r="4455" spans="1:4" x14ac:dyDescent="0.25">
      <c r="A4455" t="s">
        <v>2942</v>
      </c>
      <c r="B4455">
        <v>5</v>
      </c>
      <c r="C4455" s="54">
        <v>43132</v>
      </c>
      <c r="D4455" s="3" t="str">
        <f>YEAR(Datos_Consumo[[#This Row],[FECHA]])&amp;"-"&amp;MONTH(Datos_Consumo[[#This Row],[FECHA]])</f>
        <v>2018-2</v>
      </c>
    </row>
    <row r="4456" spans="1:4" x14ac:dyDescent="0.25">
      <c r="A4456" t="s">
        <v>2942</v>
      </c>
      <c r="B4456">
        <v>11</v>
      </c>
      <c r="C4456" s="54">
        <v>43160</v>
      </c>
      <c r="D4456" s="3" t="str">
        <f>YEAR(Datos_Consumo[[#This Row],[FECHA]])&amp;"-"&amp;MONTH(Datos_Consumo[[#This Row],[FECHA]])</f>
        <v>2018-3</v>
      </c>
    </row>
    <row r="4457" spans="1:4" x14ac:dyDescent="0.25">
      <c r="A4457" t="s">
        <v>2942</v>
      </c>
      <c r="B4457">
        <v>14</v>
      </c>
      <c r="C4457" s="54">
        <v>43191</v>
      </c>
      <c r="D4457" s="3" t="str">
        <f>YEAR(Datos_Consumo[[#This Row],[FECHA]])&amp;"-"&amp;MONTH(Datos_Consumo[[#This Row],[FECHA]])</f>
        <v>2018-4</v>
      </c>
    </row>
    <row r="4458" spans="1:4" x14ac:dyDescent="0.25">
      <c r="A4458" t="s">
        <v>4097</v>
      </c>
      <c r="B4458">
        <v>1</v>
      </c>
      <c r="C4458" s="54">
        <v>43191</v>
      </c>
      <c r="D4458" s="3" t="str">
        <f>YEAR(Datos_Consumo[[#This Row],[FECHA]])&amp;"-"&amp;MONTH(Datos_Consumo[[#This Row],[FECHA]])</f>
        <v>2018-4</v>
      </c>
    </row>
    <row r="4459" spans="1:4" x14ac:dyDescent="0.25">
      <c r="A4459" t="s">
        <v>2943</v>
      </c>
      <c r="B4459">
        <v>8</v>
      </c>
      <c r="C4459" s="54">
        <v>43070</v>
      </c>
      <c r="D4459" s="3" t="str">
        <f>YEAR(Datos_Consumo[[#This Row],[FECHA]])&amp;"-"&amp;MONTH(Datos_Consumo[[#This Row],[FECHA]])</f>
        <v>2017-12</v>
      </c>
    </row>
    <row r="4460" spans="1:4" x14ac:dyDescent="0.25">
      <c r="A4460" t="s">
        <v>2944</v>
      </c>
      <c r="B4460">
        <v>4</v>
      </c>
      <c r="C4460" s="54">
        <v>43160</v>
      </c>
      <c r="D4460" s="3" t="str">
        <f>YEAR(Datos_Consumo[[#This Row],[FECHA]])&amp;"-"&amp;MONTH(Datos_Consumo[[#This Row],[FECHA]])</f>
        <v>2018-3</v>
      </c>
    </row>
    <row r="4461" spans="1:4" x14ac:dyDescent="0.25">
      <c r="A4461" t="s">
        <v>2945</v>
      </c>
      <c r="B4461">
        <v>2</v>
      </c>
      <c r="C4461" s="54">
        <v>43160</v>
      </c>
      <c r="D4461" s="3" t="str">
        <f>YEAR(Datos_Consumo[[#This Row],[FECHA]])&amp;"-"&amp;MONTH(Datos_Consumo[[#This Row],[FECHA]])</f>
        <v>2018-3</v>
      </c>
    </row>
    <row r="4462" spans="1:4" x14ac:dyDescent="0.25">
      <c r="A4462" t="s">
        <v>4098</v>
      </c>
      <c r="B4462">
        <v>1</v>
      </c>
      <c r="C4462" s="54">
        <v>43221</v>
      </c>
      <c r="D4462" s="3" t="str">
        <f>YEAR(Datos_Consumo[[#This Row],[FECHA]])&amp;"-"&amp;MONTH(Datos_Consumo[[#This Row],[FECHA]])</f>
        <v>2018-5</v>
      </c>
    </row>
    <row r="4463" spans="1:4" x14ac:dyDescent="0.25">
      <c r="A4463" t="s">
        <v>2946</v>
      </c>
      <c r="B4463">
        <v>1</v>
      </c>
      <c r="C4463" s="54">
        <v>43101</v>
      </c>
      <c r="D4463" s="3" t="str">
        <f>YEAR(Datos_Consumo[[#This Row],[FECHA]])&amp;"-"&amp;MONTH(Datos_Consumo[[#This Row],[FECHA]])</f>
        <v>2018-1</v>
      </c>
    </row>
    <row r="4464" spans="1:4" x14ac:dyDescent="0.25">
      <c r="A4464" t="s">
        <v>2947</v>
      </c>
      <c r="B4464">
        <v>4</v>
      </c>
      <c r="C4464" s="54">
        <v>43070</v>
      </c>
      <c r="D4464" s="3" t="str">
        <f>YEAR(Datos_Consumo[[#This Row],[FECHA]])&amp;"-"&amp;MONTH(Datos_Consumo[[#This Row],[FECHA]])</f>
        <v>2017-12</v>
      </c>
    </row>
    <row r="4465" spans="1:4" x14ac:dyDescent="0.25">
      <c r="A4465" t="s">
        <v>2948</v>
      </c>
      <c r="B4465">
        <v>27</v>
      </c>
      <c r="C4465" s="54">
        <v>43070</v>
      </c>
      <c r="D4465" s="3" t="str">
        <f>YEAR(Datos_Consumo[[#This Row],[FECHA]])&amp;"-"&amp;MONTH(Datos_Consumo[[#This Row],[FECHA]])</f>
        <v>2017-12</v>
      </c>
    </row>
    <row r="4466" spans="1:4" x14ac:dyDescent="0.25">
      <c r="A4466" t="s">
        <v>2948</v>
      </c>
      <c r="B4466">
        <v>153</v>
      </c>
      <c r="C4466" s="54">
        <v>43101</v>
      </c>
      <c r="D4466" s="3" t="str">
        <f>YEAR(Datos_Consumo[[#This Row],[FECHA]])&amp;"-"&amp;MONTH(Datos_Consumo[[#This Row],[FECHA]])</f>
        <v>2018-1</v>
      </c>
    </row>
    <row r="4467" spans="1:4" x14ac:dyDescent="0.25">
      <c r="A4467" t="s">
        <v>2948</v>
      </c>
      <c r="B4467">
        <v>168</v>
      </c>
      <c r="C4467" s="54">
        <v>43132</v>
      </c>
      <c r="D4467" s="3" t="str">
        <f>YEAR(Datos_Consumo[[#This Row],[FECHA]])&amp;"-"&amp;MONTH(Datos_Consumo[[#This Row],[FECHA]])</f>
        <v>2018-2</v>
      </c>
    </row>
    <row r="4468" spans="1:4" x14ac:dyDescent="0.25">
      <c r="A4468" t="s">
        <v>2948</v>
      </c>
      <c r="B4468">
        <v>178</v>
      </c>
      <c r="C4468" s="54">
        <v>43160</v>
      </c>
      <c r="D4468" s="3" t="str">
        <f>YEAR(Datos_Consumo[[#This Row],[FECHA]])&amp;"-"&amp;MONTH(Datos_Consumo[[#This Row],[FECHA]])</f>
        <v>2018-3</v>
      </c>
    </row>
    <row r="4469" spans="1:4" x14ac:dyDescent="0.25">
      <c r="A4469" t="s">
        <v>2948</v>
      </c>
      <c r="B4469">
        <v>236</v>
      </c>
      <c r="C4469" s="54">
        <v>43191</v>
      </c>
      <c r="D4469" s="3" t="str">
        <f>YEAR(Datos_Consumo[[#This Row],[FECHA]])&amp;"-"&amp;MONTH(Datos_Consumo[[#This Row],[FECHA]])</f>
        <v>2018-4</v>
      </c>
    </row>
    <row r="4470" spans="1:4" x14ac:dyDescent="0.25">
      <c r="A4470" t="s">
        <v>2949</v>
      </c>
      <c r="B4470">
        <v>16</v>
      </c>
      <c r="C4470" s="54">
        <v>43132</v>
      </c>
      <c r="D4470" s="3" t="str">
        <f>YEAR(Datos_Consumo[[#This Row],[FECHA]])&amp;"-"&amp;MONTH(Datos_Consumo[[#This Row],[FECHA]])</f>
        <v>2018-2</v>
      </c>
    </row>
    <row r="4471" spans="1:4" x14ac:dyDescent="0.25">
      <c r="A4471" t="s">
        <v>2949</v>
      </c>
      <c r="B4471">
        <v>2</v>
      </c>
      <c r="C4471" s="54">
        <v>43160</v>
      </c>
      <c r="D4471" s="3" t="str">
        <f>YEAR(Datos_Consumo[[#This Row],[FECHA]])&amp;"-"&amp;MONTH(Datos_Consumo[[#This Row],[FECHA]])</f>
        <v>2018-3</v>
      </c>
    </row>
    <row r="4472" spans="1:4" x14ac:dyDescent="0.25">
      <c r="A4472" t="s">
        <v>2949</v>
      </c>
      <c r="B4472">
        <v>3</v>
      </c>
      <c r="C4472" s="54">
        <v>43191</v>
      </c>
      <c r="D4472" s="3" t="str">
        <f>YEAR(Datos_Consumo[[#This Row],[FECHA]])&amp;"-"&amp;MONTH(Datos_Consumo[[#This Row],[FECHA]])</f>
        <v>2018-4</v>
      </c>
    </row>
    <row r="4473" spans="1:4" x14ac:dyDescent="0.25">
      <c r="A4473" t="s">
        <v>2950</v>
      </c>
      <c r="B4473">
        <v>1</v>
      </c>
      <c r="C4473" s="54">
        <v>43070</v>
      </c>
      <c r="D4473" s="3" t="str">
        <f>YEAR(Datos_Consumo[[#This Row],[FECHA]])&amp;"-"&amp;MONTH(Datos_Consumo[[#This Row],[FECHA]])</f>
        <v>2017-12</v>
      </c>
    </row>
    <row r="4474" spans="1:4" x14ac:dyDescent="0.25">
      <c r="A4474" t="s">
        <v>2950</v>
      </c>
      <c r="B4474">
        <v>10</v>
      </c>
      <c r="C4474" s="54">
        <v>43101</v>
      </c>
      <c r="D4474" s="3" t="str">
        <f>YEAR(Datos_Consumo[[#This Row],[FECHA]])&amp;"-"&amp;MONTH(Datos_Consumo[[#This Row],[FECHA]])</f>
        <v>2018-1</v>
      </c>
    </row>
    <row r="4475" spans="1:4" x14ac:dyDescent="0.25">
      <c r="A4475" t="s">
        <v>2950</v>
      </c>
      <c r="B4475">
        <v>2</v>
      </c>
      <c r="C4475" s="54">
        <v>43132</v>
      </c>
      <c r="D4475" s="3" t="str">
        <f>YEAR(Datos_Consumo[[#This Row],[FECHA]])&amp;"-"&amp;MONTH(Datos_Consumo[[#This Row],[FECHA]])</f>
        <v>2018-2</v>
      </c>
    </row>
    <row r="4476" spans="1:4" x14ac:dyDescent="0.25">
      <c r="A4476" t="s">
        <v>2950</v>
      </c>
      <c r="B4476">
        <v>4</v>
      </c>
      <c r="C4476" s="54">
        <v>43160</v>
      </c>
      <c r="D4476" s="3" t="str">
        <f>YEAR(Datos_Consumo[[#This Row],[FECHA]])&amp;"-"&amp;MONTH(Datos_Consumo[[#This Row],[FECHA]])</f>
        <v>2018-3</v>
      </c>
    </row>
    <row r="4477" spans="1:4" x14ac:dyDescent="0.25">
      <c r="A4477" t="s">
        <v>2950</v>
      </c>
      <c r="B4477">
        <v>4</v>
      </c>
      <c r="C4477" s="54">
        <v>43221</v>
      </c>
      <c r="D4477" s="3" t="str">
        <f>YEAR(Datos_Consumo[[#This Row],[FECHA]])&amp;"-"&amp;MONTH(Datos_Consumo[[#This Row],[FECHA]])</f>
        <v>2018-5</v>
      </c>
    </row>
    <row r="4478" spans="1:4" x14ac:dyDescent="0.25">
      <c r="A4478" t="s">
        <v>2951</v>
      </c>
      <c r="B4478">
        <v>1</v>
      </c>
      <c r="C4478" s="54">
        <v>43132</v>
      </c>
      <c r="D4478" s="3" t="str">
        <f>YEAR(Datos_Consumo[[#This Row],[FECHA]])&amp;"-"&amp;MONTH(Datos_Consumo[[#This Row],[FECHA]])</f>
        <v>2018-2</v>
      </c>
    </row>
    <row r="4479" spans="1:4" x14ac:dyDescent="0.25">
      <c r="A4479" t="s">
        <v>2951</v>
      </c>
      <c r="B4479">
        <v>1</v>
      </c>
      <c r="C4479" s="54">
        <v>43160</v>
      </c>
      <c r="D4479" s="3" t="str">
        <f>YEAR(Datos_Consumo[[#This Row],[FECHA]])&amp;"-"&amp;MONTH(Datos_Consumo[[#This Row],[FECHA]])</f>
        <v>2018-3</v>
      </c>
    </row>
    <row r="4480" spans="1:4" x14ac:dyDescent="0.25">
      <c r="A4480" t="s">
        <v>2952</v>
      </c>
      <c r="B4480">
        <v>1</v>
      </c>
      <c r="C4480" s="54">
        <v>43132</v>
      </c>
      <c r="D4480" s="3" t="str">
        <f>YEAR(Datos_Consumo[[#This Row],[FECHA]])&amp;"-"&amp;MONTH(Datos_Consumo[[#This Row],[FECHA]])</f>
        <v>2018-2</v>
      </c>
    </row>
    <row r="4481" spans="1:4" x14ac:dyDescent="0.25">
      <c r="A4481" t="s">
        <v>4099</v>
      </c>
      <c r="B4481">
        <v>1</v>
      </c>
      <c r="C4481" s="54">
        <v>43191</v>
      </c>
      <c r="D4481" s="3" t="str">
        <f>YEAR(Datos_Consumo[[#This Row],[FECHA]])&amp;"-"&amp;MONTH(Datos_Consumo[[#This Row],[FECHA]])</f>
        <v>2018-4</v>
      </c>
    </row>
    <row r="4482" spans="1:4" x14ac:dyDescent="0.25">
      <c r="A4482" t="s">
        <v>2953</v>
      </c>
      <c r="B4482">
        <v>366</v>
      </c>
      <c r="C4482" s="54">
        <v>43101</v>
      </c>
      <c r="D4482" s="3" t="str">
        <f>YEAR(Datos_Consumo[[#This Row],[FECHA]])&amp;"-"&amp;MONTH(Datos_Consumo[[#This Row],[FECHA]])</f>
        <v>2018-1</v>
      </c>
    </row>
    <row r="4483" spans="1:4" x14ac:dyDescent="0.25">
      <c r="A4483" t="s">
        <v>2954</v>
      </c>
      <c r="B4483">
        <v>2</v>
      </c>
      <c r="C4483" s="54">
        <v>43070</v>
      </c>
      <c r="D4483" s="3" t="str">
        <f>YEAR(Datos_Consumo[[#This Row],[FECHA]])&amp;"-"&amp;MONTH(Datos_Consumo[[#This Row],[FECHA]])</f>
        <v>2017-12</v>
      </c>
    </row>
    <row r="4484" spans="1:4" x14ac:dyDescent="0.25">
      <c r="A4484" t="s">
        <v>2955</v>
      </c>
      <c r="B4484">
        <v>47</v>
      </c>
      <c r="C4484" s="54">
        <v>43070</v>
      </c>
      <c r="D4484" s="3" t="str">
        <f>YEAR(Datos_Consumo[[#This Row],[FECHA]])&amp;"-"&amp;MONTH(Datos_Consumo[[#This Row],[FECHA]])</f>
        <v>2017-12</v>
      </c>
    </row>
    <row r="4485" spans="1:4" x14ac:dyDescent="0.25">
      <c r="A4485" t="s">
        <v>2955</v>
      </c>
      <c r="B4485">
        <v>47</v>
      </c>
      <c r="C4485" s="54">
        <v>43101</v>
      </c>
      <c r="D4485" s="3" t="str">
        <f>YEAR(Datos_Consumo[[#This Row],[FECHA]])&amp;"-"&amp;MONTH(Datos_Consumo[[#This Row],[FECHA]])</f>
        <v>2018-1</v>
      </c>
    </row>
    <row r="4486" spans="1:4" x14ac:dyDescent="0.25">
      <c r="A4486" t="s">
        <v>2955</v>
      </c>
      <c r="B4486">
        <v>7</v>
      </c>
      <c r="C4486" s="54">
        <v>43132</v>
      </c>
      <c r="D4486" s="3" t="str">
        <f>YEAR(Datos_Consumo[[#This Row],[FECHA]])&amp;"-"&amp;MONTH(Datos_Consumo[[#This Row],[FECHA]])</f>
        <v>2018-2</v>
      </c>
    </row>
    <row r="4487" spans="1:4" x14ac:dyDescent="0.25">
      <c r="A4487" t="s">
        <v>2955</v>
      </c>
      <c r="B4487">
        <v>59</v>
      </c>
      <c r="C4487" s="54">
        <v>43160</v>
      </c>
      <c r="D4487" s="3" t="str">
        <f>YEAR(Datos_Consumo[[#This Row],[FECHA]])&amp;"-"&amp;MONTH(Datos_Consumo[[#This Row],[FECHA]])</f>
        <v>2018-3</v>
      </c>
    </row>
    <row r="4488" spans="1:4" x14ac:dyDescent="0.25">
      <c r="A4488" t="s">
        <v>2955</v>
      </c>
      <c r="B4488">
        <v>56</v>
      </c>
      <c r="C4488" s="54">
        <v>43191</v>
      </c>
      <c r="D4488" s="3" t="str">
        <f>YEAR(Datos_Consumo[[#This Row],[FECHA]])&amp;"-"&amp;MONTH(Datos_Consumo[[#This Row],[FECHA]])</f>
        <v>2018-4</v>
      </c>
    </row>
    <row r="4489" spans="1:4" x14ac:dyDescent="0.25">
      <c r="A4489" t="s">
        <v>2955</v>
      </c>
      <c r="B4489">
        <v>5</v>
      </c>
      <c r="C4489" s="54">
        <v>43221</v>
      </c>
      <c r="D4489" s="3" t="str">
        <f>YEAR(Datos_Consumo[[#This Row],[FECHA]])&amp;"-"&amp;MONTH(Datos_Consumo[[#This Row],[FECHA]])</f>
        <v>2018-5</v>
      </c>
    </row>
    <row r="4490" spans="1:4" x14ac:dyDescent="0.25">
      <c r="A4490" t="s">
        <v>2956</v>
      </c>
      <c r="B4490">
        <v>15</v>
      </c>
      <c r="C4490" s="54">
        <v>43070</v>
      </c>
      <c r="D4490" s="3" t="str">
        <f>YEAR(Datos_Consumo[[#This Row],[FECHA]])&amp;"-"&amp;MONTH(Datos_Consumo[[#This Row],[FECHA]])</f>
        <v>2017-12</v>
      </c>
    </row>
    <row r="4491" spans="1:4" x14ac:dyDescent="0.25">
      <c r="A4491" t="s">
        <v>2956</v>
      </c>
      <c r="B4491">
        <v>18</v>
      </c>
      <c r="C4491" s="54">
        <v>43101</v>
      </c>
      <c r="D4491" s="3" t="str">
        <f>YEAR(Datos_Consumo[[#This Row],[FECHA]])&amp;"-"&amp;MONTH(Datos_Consumo[[#This Row],[FECHA]])</f>
        <v>2018-1</v>
      </c>
    </row>
    <row r="4492" spans="1:4" x14ac:dyDescent="0.25">
      <c r="A4492" t="s">
        <v>2956</v>
      </c>
      <c r="B4492">
        <v>15</v>
      </c>
      <c r="C4492" s="54">
        <v>43132</v>
      </c>
      <c r="D4492" s="3" t="str">
        <f>YEAR(Datos_Consumo[[#This Row],[FECHA]])&amp;"-"&amp;MONTH(Datos_Consumo[[#This Row],[FECHA]])</f>
        <v>2018-2</v>
      </c>
    </row>
    <row r="4493" spans="1:4" x14ac:dyDescent="0.25">
      <c r="A4493" t="s">
        <v>2956</v>
      </c>
      <c r="B4493">
        <v>20</v>
      </c>
      <c r="C4493" s="54">
        <v>43160</v>
      </c>
      <c r="D4493" s="3" t="str">
        <f>YEAR(Datos_Consumo[[#This Row],[FECHA]])&amp;"-"&amp;MONTH(Datos_Consumo[[#This Row],[FECHA]])</f>
        <v>2018-3</v>
      </c>
    </row>
    <row r="4494" spans="1:4" x14ac:dyDescent="0.25">
      <c r="A4494" t="s">
        <v>2956</v>
      </c>
      <c r="B4494">
        <v>1</v>
      </c>
      <c r="C4494" s="54">
        <v>43191</v>
      </c>
      <c r="D4494" s="3" t="str">
        <f>YEAR(Datos_Consumo[[#This Row],[FECHA]])&amp;"-"&amp;MONTH(Datos_Consumo[[#This Row],[FECHA]])</f>
        <v>2018-4</v>
      </c>
    </row>
    <row r="4495" spans="1:4" x14ac:dyDescent="0.25">
      <c r="A4495" t="s">
        <v>2957</v>
      </c>
      <c r="B4495">
        <v>20</v>
      </c>
      <c r="C4495" s="54">
        <v>43101</v>
      </c>
      <c r="D4495" s="3" t="str">
        <f>YEAR(Datos_Consumo[[#This Row],[FECHA]])&amp;"-"&amp;MONTH(Datos_Consumo[[#This Row],[FECHA]])</f>
        <v>2018-1</v>
      </c>
    </row>
    <row r="4496" spans="1:4" x14ac:dyDescent="0.25">
      <c r="A4496" t="s">
        <v>2958</v>
      </c>
      <c r="B4496">
        <v>1</v>
      </c>
      <c r="C4496" s="54">
        <v>43070</v>
      </c>
      <c r="D4496" s="3" t="str">
        <f>YEAR(Datos_Consumo[[#This Row],[FECHA]])&amp;"-"&amp;MONTH(Datos_Consumo[[#This Row],[FECHA]])</f>
        <v>2017-12</v>
      </c>
    </row>
    <row r="4497" spans="1:4" x14ac:dyDescent="0.25">
      <c r="A4497" t="s">
        <v>2958</v>
      </c>
      <c r="B4497">
        <v>2</v>
      </c>
      <c r="C4497" s="54">
        <v>43101</v>
      </c>
      <c r="D4497" s="3" t="str">
        <f>YEAR(Datos_Consumo[[#This Row],[FECHA]])&amp;"-"&amp;MONTH(Datos_Consumo[[#This Row],[FECHA]])</f>
        <v>2018-1</v>
      </c>
    </row>
    <row r="4498" spans="1:4" x14ac:dyDescent="0.25">
      <c r="A4498" t="s">
        <v>2958</v>
      </c>
      <c r="B4498">
        <v>1</v>
      </c>
      <c r="C4498" s="54">
        <v>43160</v>
      </c>
      <c r="D4498" s="3" t="str">
        <f>YEAR(Datos_Consumo[[#This Row],[FECHA]])&amp;"-"&amp;MONTH(Datos_Consumo[[#This Row],[FECHA]])</f>
        <v>2018-3</v>
      </c>
    </row>
    <row r="4499" spans="1:4" x14ac:dyDescent="0.25">
      <c r="A4499" t="s">
        <v>2958</v>
      </c>
      <c r="B4499">
        <v>2</v>
      </c>
      <c r="C4499" s="54">
        <v>43221</v>
      </c>
      <c r="D4499" s="3" t="str">
        <f>YEAR(Datos_Consumo[[#This Row],[FECHA]])&amp;"-"&amp;MONTH(Datos_Consumo[[#This Row],[FECHA]])</f>
        <v>2018-5</v>
      </c>
    </row>
    <row r="4500" spans="1:4" x14ac:dyDescent="0.25">
      <c r="A4500" t="s">
        <v>2959</v>
      </c>
      <c r="B4500">
        <v>4</v>
      </c>
      <c r="C4500" s="54">
        <v>43160</v>
      </c>
      <c r="D4500" s="3" t="str">
        <f>YEAR(Datos_Consumo[[#This Row],[FECHA]])&amp;"-"&amp;MONTH(Datos_Consumo[[#This Row],[FECHA]])</f>
        <v>2018-3</v>
      </c>
    </row>
    <row r="4501" spans="1:4" x14ac:dyDescent="0.25">
      <c r="A4501" t="s">
        <v>2960</v>
      </c>
      <c r="B4501">
        <v>3</v>
      </c>
      <c r="C4501" s="54">
        <v>43101</v>
      </c>
      <c r="D4501" s="3" t="str">
        <f>YEAR(Datos_Consumo[[#This Row],[FECHA]])&amp;"-"&amp;MONTH(Datos_Consumo[[#This Row],[FECHA]])</f>
        <v>2018-1</v>
      </c>
    </row>
    <row r="4502" spans="1:4" x14ac:dyDescent="0.25">
      <c r="A4502" t="s">
        <v>2961</v>
      </c>
      <c r="B4502">
        <v>2</v>
      </c>
      <c r="C4502" s="54">
        <v>43070</v>
      </c>
      <c r="D4502" s="3" t="str">
        <f>YEAR(Datos_Consumo[[#This Row],[FECHA]])&amp;"-"&amp;MONTH(Datos_Consumo[[#This Row],[FECHA]])</f>
        <v>2017-12</v>
      </c>
    </row>
    <row r="4503" spans="1:4" x14ac:dyDescent="0.25">
      <c r="A4503" t="s">
        <v>2961</v>
      </c>
      <c r="B4503">
        <v>2</v>
      </c>
      <c r="C4503" s="54">
        <v>43101</v>
      </c>
      <c r="D4503" s="3" t="str">
        <f>YEAR(Datos_Consumo[[#This Row],[FECHA]])&amp;"-"&amp;MONTH(Datos_Consumo[[#This Row],[FECHA]])</f>
        <v>2018-1</v>
      </c>
    </row>
    <row r="4504" spans="1:4" x14ac:dyDescent="0.25">
      <c r="A4504" t="s">
        <v>2962</v>
      </c>
      <c r="B4504">
        <v>3</v>
      </c>
      <c r="C4504" s="54">
        <v>43070</v>
      </c>
      <c r="D4504" s="3" t="str">
        <f>YEAR(Datos_Consumo[[#This Row],[FECHA]])&amp;"-"&amp;MONTH(Datos_Consumo[[#This Row],[FECHA]])</f>
        <v>2017-12</v>
      </c>
    </row>
    <row r="4505" spans="1:4" x14ac:dyDescent="0.25">
      <c r="A4505" t="s">
        <v>2962</v>
      </c>
      <c r="B4505">
        <v>3</v>
      </c>
      <c r="C4505" s="54">
        <v>43101</v>
      </c>
      <c r="D4505" s="3" t="str">
        <f>YEAR(Datos_Consumo[[#This Row],[FECHA]])&amp;"-"&amp;MONTH(Datos_Consumo[[#This Row],[FECHA]])</f>
        <v>2018-1</v>
      </c>
    </row>
    <row r="4506" spans="1:4" x14ac:dyDescent="0.25">
      <c r="A4506" t="s">
        <v>2962</v>
      </c>
      <c r="B4506">
        <v>1</v>
      </c>
      <c r="C4506" s="54">
        <v>43132</v>
      </c>
      <c r="D4506" s="3" t="str">
        <f>YEAR(Datos_Consumo[[#This Row],[FECHA]])&amp;"-"&amp;MONTH(Datos_Consumo[[#This Row],[FECHA]])</f>
        <v>2018-2</v>
      </c>
    </row>
    <row r="4507" spans="1:4" x14ac:dyDescent="0.25">
      <c r="A4507" t="s">
        <v>2962</v>
      </c>
      <c r="B4507">
        <v>2</v>
      </c>
      <c r="C4507" s="54">
        <v>43160</v>
      </c>
      <c r="D4507" s="3" t="str">
        <f>YEAR(Datos_Consumo[[#This Row],[FECHA]])&amp;"-"&amp;MONTH(Datos_Consumo[[#This Row],[FECHA]])</f>
        <v>2018-3</v>
      </c>
    </row>
    <row r="4508" spans="1:4" x14ac:dyDescent="0.25">
      <c r="A4508" t="s">
        <v>2962</v>
      </c>
      <c r="B4508">
        <v>3</v>
      </c>
      <c r="C4508" s="54">
        <v>43221</v>
      </c>
      <c r="D4508" s="3" t="str">
        <f>YEAR(Datos_Consumo[[#This Row],[FECHA]])&amp;"-"&amp;MONTH(Datos_Consumo[[#This Row],[FECHA]])</f>
        <v>2018-5</v>
      </c>
    </row>
    <row r="4509" spans="1:4" x14ac:dyDescent="0.25">
      <c r="A4509" t="s">
        <v>2963</v>
      </c>
      <c r="B4509">
        <v>1</v>
      </c>
      <c r="C4509" s="54">
        <v>43101</v>
      </c>
      <c r="D4509" s="3" t="str">
        <f>YEAR(Datos_Consumo[[#This Row],[FECHA]])&amp;"-"&amp;MONTH(Datos_Consumo[[#This Row],[FECHA]])</f>
        <v>2018-1</v>
      </c>
    </row>
    <row r="4510" spans="1:4" x14ac:dyDescent="0.25">
      <c r="A4510" t="s">
        <v>2964</v>
      </c>
      <c r="B4510">
        <v>2</v>
      </c>
      <c r="C4510" s="54">
        <v>43101</v>
      </c>
      <c r="D4510" s="3" t="str">
        <f>YEAR(Datos_Consumo[[#This Row],[FECHA]])&amp;"-"&amp;MONTH(Datos_Consumo[[#This Row],[FECHA]])</f>
        <v>2018-1</v>
      </c>
    </row>
    <row r="4511" spans="1:4" x14ac:dyDescent="0.25">
      <c r="A4511" t="s">
        <v>2965</v>
      </c>
      <c r="B4511">
        <v>3</v>
      </c>
      <c r="C4511" s="54">
        <v>43160</v>
      </c>
      <c r="D4511" s="3" t="str">
        <f>YEAR(Datos_Consumo[[#This Row],[FECHA]])&amp;"-"&amp;MONTH(Datos_Consumo[[#This Row],[FECHA]])</f>
        <v>2018-3</v>
      </c>
    </row>
    <row r="4512" spans="1:4" x14ac:dyDescent="0.25">
      <c r="A4512" t="s">
        <v>2965</v>
      </c>
      <c r="B4512">
        <v>3</v>
      </c>
      <c r="C4512" s="54">
        <v>43191</v>
      </c>
      <c r="D4512" s="3" t="str">
        <f>YEAR(Datos_Consumo[[#This Row],[FECHA]])&amp;"-"&amp;MONTH(Datos_Consumo[[#This Row],[FECHA]])</f>
        <v>2018-4</v>
      </c>
    </row>
    <row r="4513" spans="1:4" x14ac:dyDescent="0.25">
      <c r="A4513" t="s">
        <v>2966</v>
      </c>
      <c r="B4513">
        <v>3</v>
      </c>
      <c r="C4513" s="54">
        <v>43191</v>
      </c>
      <c r="D4513" s="3" t="str">
        <f>YEAR(Datos_Consumo[[#This Row],[FECHA]])&amp;"-"&amp;MONTH(Datos_Consumo[[#This Row],[FECHA]])</f>
        <v>2018-4</v>
      </c>
    </row>
    <row r="4514" spans="1:4" x14ac:dyDescent="0.25">
      <c r="A4514" t="s">
        <v>2967</v>
      </c>
      <c r="B4514">
        <v>2</v>
      </c>
      <c r="C4514" s="54">
        <v>43070</v>
      </c>
      <c r="D4514" s="3" t="str">
        <f>YEAR(Datos_Consumo[[#This Row],[FECHA]])&amp;"-"&amp;MONTH(Datos_Consumo[[#This Row],[FECHA]])</f>
        <v>2017-12</v>
      </c>
    </row>
    <row r="4515" spans="1:4" x14ac:dyDescent="0.25">
      <c r="A4515" t="s">
        <v>2967</v>
      </c>
      <c r="B4515">
        <v>2</v>
      </c>
      <c r="C4515" s="54">
        <v>43132</v>
      </c>
      <c r="D4515" s="3" t="str">
        <f>YEAR(Datos_Consumo[[#This Row],[FECHA]])&amp;"-"&amp;MONTH(Datos_Consumo[[#This Row],[FECHA]])</f>
        <v>2018-2</v>
      </c>
    </row>
    <row r="4516" spans="1:4" x14ac:dyDescent="0.25">
      <c r="A4516" t="s">
        <v>2968</v>
      </c>
      <c r="B4516">
        <v>1</v>
      </c>
      <c r="C4516" s="54">
        <v>43070</v>
      </c>
      <c r="D4516" s="3" t="str">
        <f>YEAR(Datos_Consumo[[#This Row],[FECHA]])&amp;"-"&amp;MONTH(Datos_Consumo[[#This Row],[FECHA]])</f>
        <v>2017-12</v>
      </c>
    </row>
    <row r="4517" spans="1:4" x14ac:dyDescent="0.25">
      <c r="A4517" t="s">
        <v>2968</v>
      </c>
      <c r="B4517">
        <v>2</v>
      </c>
      <c r="C4517" s="54">
        <v>43160</v>
      </c>
      <c r="D4517" s="3" t="str">
        <f>YEAR(Datos_Consumo[[#This Row],[FECHA]])&amp;"-"&amp;MONTH(Datos_Consumo[[#This Row],[FECHA]])</f>
        <v>2018-3</v>
      </c>
    </row>
    <row r="4518" spans="1:4" x14ac:dyDescent="0.25">
      <c r="A4518" t="s">
        <v>2969</v>
      </c>
      <c r="B4518">
        <v>3</v>
      </c>
      <c r="C4518" s="54">
        <v>43132</v>
      </c>
      <c r="D4518" s="3" t="str">
        <f>YEAR(Datos_Consumo[[#This Row],[FECHA]])&amp;"-"&amp;MONTH(Datos_Consumo[[#This Row],[FECHA]])</f>
        <v>2018-2</v>
      </c>
    </row>
    <row r="4519" spans="1:4" x14ac:dyDescent="0.25">
      <c r="A4519" t="s">
        <v>2970</v>
      </c>
      <c r="B4519">
        <v>8</v>
      </c>
      <c r="C4519" s="54">
        <v>43070</v>
      </c>
      <c r="D4519" s="3" t="str">
        <f>YEAR(Datos_Consumo[[#This Row],[FECHA]])&amp;"-"&amp;MONTH(Datos_Consumo[[#This Row],[FECHA]])</f>
        <v>2017-12</v>
      </c>
    </row>
    <row r="4520" spans="1:4" x14ac:dyDescent="0.25">
      <c r="A4520" t="s">
        <v>2970</v>
      </c>
      <c r="B4520">
        <v>6</v>
      </c>
      <c r="C4520" s="54">
        <v>43160</v>
      </c>
      <c r="D4520" s="3" t="str">
        <f>YEAR(Datos_Consumo[[#This Row],[FECHA]])&amp;"-"&amp;MONTH(Datos_Consumo[[#This Row],[FECHA]])</f>
        <v>2018-3</v>
      </c>
    </row>
    <row r="4521" spans="1:4" x14ac:dyDescent="0.25">
      <c r="A4521" t="s">
        <v>2970</v>
      </c>
      <c r="B4521">
        <v>10</v>
      </c>
      <c r="C4521" s="54">
        <v>43191</v>
      </c>
      <c r="D4521" s="3" t="str">
        <f>YEAR(Datos_Consumo[[#This Row],[FECHA]])&amp;"-"&amp;MONTH(Datos_Consumo[[#This Row],[FECHA]])</f>
        <v>2018-4</v>
      </c>
    </row>
    <row r="4522" spans="1:4" x14ac:dyDescent="0.25">
      <c r="A4522" t="s">
        <v>2971</v>
      </c>
      <c r="B4522">
        <v>2</v>
      </c>
      <c r="C4522" s="54">
        <v>43070</v>
      </c>
      <c r="D4522" s="3" t="str">
        <f>YEAR(Datos_Consumo[[#This Row],[FECHA]])&amp;"-"&amp;MONTH(Datos_Consumo[[#This Row],[FECHA]])</f>
        <v>2017-12</v>
      </c>
    </row>
    <row r="4523" spans="1:4" x14ac:dyDescent="0.25">
      <c r="A4523" t="s">
        <v>2972</v>
      </c>
      <c r="B4523">
        <v>1</v>
      </c>
      <c r="C4523" s="54">
        <v>43132</v>
      </c>
      <c r="D4523" s="3" t="str">
        <f>YEAR(Datos_Consumo[[#This Row],[FECHA]])&amp;"-"&amp;MONTH(Datos_Consumo[[#This Row],[FECHA]])</f>
        <v>2018-2</v>
      </c>
    </row>
    <row r="4524" spans="1:4" x14ac:dyDescent="0.25">
      <c r="A4524" t="s">
        <v>2973</v>
      </c>
      <c r="B4524">
        <v>1</v>
      </c>
      <c r="C4524" s="54">
        <v>43132</v>
      </c>
      <c r="D4524" s="3" t="str">
        <f>YEAR(Datos_Consumo[[#This Row],[FECHA]])&amp;"-"&amp;MONTH(Datos_Consumo[[#This Row],[FECHA]])</f>
        <v>2018-2</v>
      </c>
    </row>
    <row r="4525" spans="1:4" x14ac:dyDescent="0.25">
      <c r="A4525" t="s">
        <v>2974</v>
      </c>
      <c r="B4525">
        <v>3</v>
      </c>
      <c r="C4525" s="54">
        <v>43132</v>
      </c>
      <c r="D4525" s="3" t="str">
        <f>YEAR(Datos_Consumo[[#This Row],[FECHA]])&amp;"-"&amp;MONTH(Datos_Consumo[[#This Row],[FECHA]])</f>
        <v>2018-2</v>
      </c>
    </row>
    <row r="4526" spans="1:4" x14ac:dyDescent="0.25">
      <c r="A4526" t="s">
        <v>2975</v>
      </c>
      <c r="B4526">
        <v>1</v>
      </c>
      <c r="C4526" s="54">
        <v>43070</v>
      </c>
      <c r="D4526" s="3" t="str">
        <f>YEAR(Datos_Consumo[[#This Row],[FECHA]])&amp;"-"&amp;MONTH(Datos_Consumo[[#This Row],[FECHA]])</f>
        <v>2017-12</v>
      </c>
    </row>
    <row r="4527" spans="1:4" x14ac:dyDescent="0.25">
      <c r="A4527" t="s">
        <v>2976</v>
      </c>
      <c r="B4527">
        <v>3</v>
      </c>
      <c r="C4527" s="54">
        <v>43160</v>
      </c>
      <c r="D4527" s="3" t="str">
        <f>YEAR(Datos_Consumo[[#This Row],[FECHA]])&amp;"-"&amp;MONTH(Datos_Consumo[[#This Row],[FECHA]])</f>
        <v>2018-3</v>
      </c>
    </row>
    <row r="4528" spans="1:4" x14ac:dyDescent="0.25">
      <c r="A4528" t="s">
        <v>4100</v>
      </c>
      <c r="B4528">
        <v>5</v>
      </c>
      <c r="C4528" s="54">
        <v>43191</v>
      </c>
      <c r="D4528" s="3" t="str">
        <f>YEAR(Datos_Consumo[[#This Row],[FECHA]])&amp;"-"&amp;MONTH(Datos_Consumo[[#This Row],[FECHA]])</f>
        <v>2018-4</v>
      </c>
    </row>
    <row r="4529" spans="1:4" x14ac:dyDescent="0.25">
      <c r="A4529" t="s">
        <v>2977</v>
      </c>
      <c r="B4529">
        <v>1</v>
      </c>
      <c r="C4529" s="54">
        <v>43191</v>
      </c>
      <c r="D4529" s="3" t="str">
        <f>YEAR(Datos_Consumo[[#This Row],[FECHA]])&amp;"-"&amp;MONTH(Datos_Consumo[[#This Row],[FECHA]])</f>
        <v>2018-4</v>
      </c>
    </row>
    <row r="4530" spans="1:4" x14ac:dyDescent="0.25">
      <c r="A4530" t="s">
        <v>2978</v>
      </c>
      <c r="B4530">
        <v>1</v>
      </c>
      <c r="C4530" s="54">
        <v>43132</v>
      </c>
      <c r="D4530" s="3" t="str">
        <f>YEAR(Datos_Consumo[[#This Row],[FECHA]])&amp;"-"&amp;MONTH(Datos_Consumo[[#This Row],[FECHA]])</f>
        <v>2018-2</v>
      </c>
    </row>
    <row r="4531" spans="1:4" x14ac:dyDescent="0.25">
      <c r="A4531" t="s">
        <v>4101</v>
      </c>
      <c r="B4531">
        <v>2</v>
      </c>
      <c r="C4531" s="54">
        <v>43191</v>
      </c>
      <c r="D4531" s="3" t="str">
        <f>YEAR(Datos_Consumo[[#This Row],[FECHA]])&amp;"-"&amp;MONTH(Datos_Consumo[[#This Row],[FECHA]])</f>
        <v>2018-4</v>
      </c>
    </row>
    <row r="4532" spans="1:4" x14ac:dyDescent="0.25">
      <c r="A4532" t="s">
        <v>2979</v>
      </c>
      <c r="B4532">
        <v>8</v>
      </c>
      <c r="C4532" s="54">
        <v>43191</v>
      </c>
      <c r="D4532" s="3" t="str">
        <f>YEAR(Datos_Consumo[[#This Row],[FECHA]])&amp;"-"&amp;MONTH(Datos_Consumo[[#This Row],[FECHA]])</f>
        <v>2018-4</v>
      </c>
    </row>
    <row r="4533" spans="1:4" x14ac:dyDescent="0.25">
      <c r="A4533" t="s">
        <v>2980</v>
      </c>
      <c r="B4533">
        <v>2</v>
      </c>
      <c r="C4533" s="54">
        <v>43070</v>
      </c>
      <c r="D4533" s="3" t="str">
        <f>YEAR(Datos_Consumo[[#This Row],[FECHA]])&amp;"-"&amp;MONTH(Datos_Consumo[[#This Row],[FECHA]])</f>
        <v>2017-12</v>
      </c>
    </row>
    <row r="4534" spans="1:4" x14ac:dyDescent="0.25">
      <c r="A4534" t="s">
        <v>2981</v>
      </c>
      <c r="B4534">
        <v>14</v>
      </c>
      <c r="C4534" s="54">
        <v>43101</v>
      </c>
      <c r="D4534" s="3" t="str">
        <f>YEAR(Datos_Consumo[[#This Row],[FECHA]])&amp;"-"&amp;MONTH(Datos_Consumo[[#This Row],[FECHA]])</f>
        <v>2018-1</v>
      </c>
    </row>
    <row r="4535" spans="1:4" x14ac:dyDescent="0.25">
      <c r="A4535" t="s">
        <v>2982</v>
      </c>
      <c r="B4535">
        <v>2</v>
      </c>
      <c r="C4535" s="54">
        <v>43101</v>
      </c>
      <c r="D4535" s="3" t="str">
        <f>YEAR(Datos_Consumo[[#This Row],[FECHA]])&amp;"-"&amp;MONTH(Datos_Consumo[[#This Row],[FECHA]])</f>
        <v>2018-1</v>
      </c>
    </row>
    <row r="4536" spans="1:4" x14ac:dyDescent="0.25">
      <c r="A4536" t="s">
        <v>2982</v>
      </c>
      <c r="B4536">
        <v>2</v>
      </c>
      <c r="C4536" s="54">
        <v>43160</v>
      </c>
      <c r="D4536" s="3" t="str">
        <f>YEAR(Datos_Consumo[[#This Row],[FECHA]])&amp;"-"&amp;MONTH(Datos_Consumo[[#This Row],[FECHA]])</f>
        <v>2018-3</v>
      </c>
    </row>
    <row r="4537" spans="1:4" x14ac:dyDescent="0.25">
      <c r="A4537" t="s">
        <v>2982</v>
      </c>
      <c r="B4537">
        <v>2</v>
      </c>
      <c r="C4537" s="54">
        <v>43191</v>
      </c>
      <c r="D4537" s="3" t="str">
        <f>YEAR(Datos_Consumo[[#This Row],[FECHA]])&amp;"-"&amp;MONTH(Datos_Consumo[[#This Row],[FECHA]])</f>
        <v>2018-4</v>
      </c>
    </row>
    <row r="4538" spans="1:4" x14ac:dyDescent="0.25">
      <c r="A4538" t="s">
        <v>2983</v>
      </c>
      <c r="B4538">
        <v>1</v>
      </c>
      <c r="C4538" s="54">
        <v>43101</v>
      </c>
      <c r="D4538" s="3" t="str">
        <f>YEAR(Datos_Consumo[[#This Row],[FECHA]])&amp;"-"&amp;MONTH(Datos_Consumo[[#This Row],[FECHA]])</f>
        <v>2018-1</v>
      </c>
    </row>
    <row r="4539" spans="1:4" x14ac:dyDescent="0.25">
      <c r="A4539" t="s">
        <v>2983</v>
      </c>
      <c r="B4539">
        <v>2</v>
      </c>
      <c r="C4539" s="54">
        <v>43191</v>
      </c>
      <c r="D4539" s="3" t="str">
        <f>YEAR(Datos_Consumo[[#This Row],[FECHA]])&amp;"-"&amp;MONTH(Datos_Consumo[[#This Row],[FECHA]])</f>
        <v>2018-4</v>
      </c>
    </row>
    <row r="4540" spans="1:4" x14ac:dyDescent="0.25">
      <c r="A4540" t="s">
        <v>2984</v>
      </c>
      <c r="B4540">
        <v>1</v>
      </c>
      <c r="C4540" s="54">
        <v>43101</v>
      </c>
      <c r="D4540" s="3" t="str">
        <f>YEAR(Datos_Consumo[[#This Row],[FECHA]])&amp;"-"&amp;MONTH(Datos_Consumo[[#This Row],[FECHA]])</f>
        <v>2018-1</v>
      </c>
    </row>
    <row r="4541" spans="1:4" x14ac:dyDescent="0.25">
      <c r="A4541" t="s">
        <v>2985</v>
      </c>
      <c r="B4541">
        <v>2</v>
      </c>
      <c r="C4541" s="54">
        <v>43132</v>
      </c>
      <c r="D4541" s="3" t="str">
        <f>YEAR(Datos_Consumo[[#This Row],[FECHA]])&amp;"-"&amp;MONTH(Datos_Consumo[[#This Row],[FECHA]])</f>
        <v>2018-2</v>
      </c>
    </row>
    <row r="4542" spans="1:4" x14ac:dyDescent="0.25">
      <c r="A4542" t="s">
        <v>2985</v>
      </c>
      <c r="B4542">
        <v>1</v>
      </c>
      <c r="C4542" s="54">
        <v>43160</v>
      </c>
      <c r="D4542" s="3" t="str">
        <f>YEAR(Datos_Consumo[[#This Row],[FECHA]])&amp;"-"&amp;MONTH(Datos_Consumo[[#This Row],[FECHA]])</f>
        <v>2018-3</v>
      </c>
    </row>
    <row r="4543" spans="1:4" x14ac:dyDescent="0.25">
      <c r="A4543" t="s">
        <v>2986</v>
      </c>
      <c r="B4543">
        <v>4</v>
      </c>
      <c r="C4543" s="54">
        <v>43160</v>
      </c>
      <c r="D4543" s="3" t="str">
        <f>YEAR(Datos_Consumo[[#This Row],[FECHA]])&amp;"-"&amp;MONTH(Datos_Consumo[[#This Row],[FECHA]])</f>
        <v>2018-3</v>
      </c>
    </row>
    <row r="4544" spans="1:4" x14ac:dyDescent="0.25">
      <c r="A4544" t="s">
        <v>2986</v>
      </c>
      <c r="B4544">
        <v>4</v>
      </c>
      <c r="C4544" s="54">
        <v>43191</v>
      </c>
      <c r="D4544" s="3" t="str">
        <f>YEAR(Datos_Consumo[[#This Row],[FECHA]])&amp;"-"&amp;MONTH(Datos_Consumo[[#This Row],[FECHA]])</f>
        <v>2018-4</v>
      </c>
    </row>
    <row r="4545" spans="1:4" x14ac:dyDescent="0.25">
      <c r="A4545" t="s">
        <v>2986</v>
      </c>
      <c r="B4545">
        <v>2</v>
      </c>
      <c r="C4545" s="54">
        <v>43221</v>
      </c>
      <c r="D4545" s="3" t="str">
        <f>YEAR(Datos_Consumo[[#This Row],[FECHA]])&amp;"-"&amp;MONTH(Datos_Consumo[[#This Row],[FECHA]])</f>
        <v>2018-5</v>
      </c>
    </row>
    <row r="4546" spans="1:4" x14ac:dyDescent="0.25">
      <c r="A4546" t="s">
        <v>1434</v>
      </c>
      <c r="B4546">
        <v>150</v>
      </c>
      <c r="C4546" s="54">
        <v>43101</v>
      </c>
      <c r="D4546" s="3" t="str">
        <f>YEAR(Datos_Consumo[[#This Row],[FECHA]])&amp;"-"&amp;MONTH(Datos_Consumo[[#This Row],[FECHA]])</f>
        <v>2018-1</v>
      </c>
    </row>
    <row r="4547" spans="1:4" x14ac:dyDescent="0.25">
      <c r="A4547" t="s">
        <v>1434</v>
      </c>
      <c r="B4547">
        <v>6</v>
      </c>
      <c r="C4547" s="54">
        <v>43132</v>
      </c>
      <c r="D4547" s="3" t="str">
        <f>YEAR(Datos_Consumo[[#This Row],[FECHA]])&amp;"-"&amp;MONTH(Datos_Consumo[[#This Row],[FECHA]])</f>
        <v>2018-2</v>
      </c>
    </row>
    <row r="4548" spans="1:4" x14ac:dyDescent="0.25">
      <c r="A4548" t="s">
        <v>1434</v>
      </c>
      <c r="B4548">
        <v>44</v>
      </c>
      <c r="C4548" s="54">
        <v>43160</v>
      </c>
      <c r="D4548" s="3" t="str">
        <f>YEAR(Datos_Consumo[[#This Row],[FECHA]])&amp;"-"&amp;MONTH(Datos_Consumo[[#This Row],[FECHA]])</f>
        <v>2018-3</v>
      </c>
    </row>
    <row r="4549" spans="1:4" x14ac:dyDescent="0.25">
      <c r="A4549" t="s">
        <v>1434</v>
      </c>
      <c r="B4549">
        <v>5</v>
      </c>
      <c r="C4549" s="54">
        <v>43191</v>
      </c>
      <c r="D4549" s="3" t="str">
        <f>YEAR(Datos_Consumo[[#This Row],[FECHA]])&amp;"-"&amp;MONTH(Datos_Consumo[[#This Row],[FECHA]])</f>
        <v>2018-4</v>
      </c>
    </row>
    <row r="4550" spans="1:4" x14ac:dyDescent="0.25">
      <c r="A4550" t="s">
        <v>2987</v>
      </c>
      <c r="B4550">
        <v>1</v>
      </c>
      <c r="C4550" s="54">
        <v>43191</v>
      </c>
      <c r="D4550" s="3" t="str">
        <f>YEAR(Datos_Consumo[[#This Row],[FECHA]])&amp;"-"&amp;MONTH(Datos_Consumo[[#This Row],[FECHA]])</f>
        <v>2018-4</v>
      </c>
    </row>
    <row r="4551" spans="1:4" x14ac:dyDescent="0.25">
      <c r="A4551" t="s">
        <v>2988</v>
      </c>
      <c r="B4551">
        <v>1</v>
      </c>
      <c r="C4551" s="54">
        <v>43191</v>
      </c>
      <c r="D4551" s="3" t="str">
        <f>YEAR(Datos_Consumo[[#This Row],[FECHA]])&amp;"-"&amp;MONTH(Datos_Consumo[[#This Row],[FECHA]])</f>
        <v>2018-4</v>
      </c>
    </row>
    <row r="4552" spans="1:4" x14ac:dyDescent="0.25">
      <c r="A4552" t="s">
        <v>2989</v>
      </c>
      <c r="B4552">
        <v>1</v>
      </c>
      <c r="C4552" s="54">
        <v>43101</v>
      </c>
      <c r="D4552" s="3" t="str">
        <f>YEAR(Datos_Consumo[[#This Row],[FECHA]])&amp;"-"&amp;MONTH(Datos_Consumo[[#This Row],[FECHA]])</f>
        <v>2018-1</v>
      </c>
    </row>
    <row r="4553" spans="1:4" x14ac:dyDescent="0.25">
      <c r="A4553" t="s">
        <v>2990</v>
      </c>
      <c r="B4553">
        <v>2</v>
      </c>
      <c r="C4553" s="54">
        <v>43101</v>
      </c>
      <c r="D4553" s="3" t="str">
        <f>YEAR(Datos_Consumo[[#This Row],[FECHA]])&amp;"-"&amp;MONTH(Datos_Consumo[[#This Row],[FECHA]])</f>
        <v>2018-1</v>
      </c>
    </row>
    <row r="4554" spans="1:4" x14ac:dyDescent="0.25">
      <c r="A4554" t="s">
        <v>1435</v>
      </c>
      <c r="B4554">
        <v>63</v>
      </c>
      <c r="C4554" s="54">
        <v>43101</v>
      </c>
      <c r="D4554" s="3" t="str">
        <f>YEAR(Datos_Consumo[[#This Row],[FECHA]])&amp;"-"&amp;MONTH(Datos_Consumo[[#This Row],[FECHA]])</f>
        <v>2018-1</v>
      </c>
    </row>
    <row r="4555" spans="1:4" x14ac:dyDescent="0.25">
      <c r="A4555" t="s">
        <v>1435</v>
      </c>
      <c r="B4555">
        <v>4</v>
      </c>
      <c r="C4555" s="54">
        <v>43132</v>
      </c>
      <c r="D4555" s="3" t="str">
        <f>YEAR(Datos_Consumo[[#This Row],[FECHA]])&amp;"-"&amp;MONTH(Datos_Consumo[[#This Row],[FECHA]])</f>
        <v>2018-2</v>
      </c>
    </row>
    <row r="4556" spans="1:4" x14ac:dyDescent="0.25">
      <c r="A4556" t="s">
        <v>1435</v>
      </c>
      <c r="B4556">
        <v>6</v>
      </c>
      <c r="C4556" s="54">
        <v>43160</v>
      </c>
      <c r="D4556" s="3" t="str">
        <f>YEAR(Datos_Consumo[[#This Row],[FECHA]])&amp;"-"&amp;MONTH(Datos_Consumo[[#This Row],[FECHA]])</f>
        <v>2018-3</v>
      </c>
    </row>
    <row r="4557" spans="1:4" x14ac:dyDescent="0.25">
      <c r="A4557" t="s">
        <v>1435</v>
      </c>
      <c r="B4557">
        <v>4</v>
      </c>
      <c r="C4557" s="54">
        <v>43191</v>
      </c>
      <c r="D4557" s="3" t="str">
        <f>YEAR(Datos_Consumo[[#This Row],[FECHA]])&amp;"-"&amp;MONTH(Datos_Consumo[[#This Row],[FECHA]])</f>
        <v>2018-4</v>
      </c>
    </row>
    <row r="4558" spans="1:4" x14ac:dyDescent="0.25">
      <c r="A4558" t="s">
        <v>2991</v>
      </c>
      <c r="B4558">
        <v>3</v>
      </c>
      <c r="C4558" s="54">
        <v>43101</v>
      </c>
      <c r="D4558" s="3" t="str">
        <f>YEAR(Datos_Consumo[[#This Row],[FECHA]])&amp;"-"&amp;MONTH(Datos_Consumo[[#This Row],[FECHA]])</f>
        <v>2018-1</v>
      </c>
    </row>
    <row r="4559" spans="1:4" x14ac:dyDescent="0.25">
      <c r="A4559" t="s">
        <v>2991</v>
      </c>
      <c r="B4559">
        <v>5</v>
      </c>
      <c r="C4559" s="54">
        <v>43132</v>
      </c>
      <c r="D4559" s="3" t="str">
        <f>YEAR(Datos_Consumo[[#This Row],[FECHA]])&amp;"-"&amp;MONTH(Datos_Consumo[[#This Row],[FECHA]])</f>
        <v>2018-2</v>
      </c>
    </row>
    <row r="4560" spans="1:4" x14ac:dyDescent="0.25">
      <c r="A4560" t="s">
        <v>2991</v>
      </c>
      <c r="B4560">
        <v>2</v>
      </c>
      <c r="C4560" s="54">
        <v>43160</v>
      </c>
      <c r="D4560" s="3" t="str">
        <f>YEAR(Datos_Consumo[[#This Row],[FECHA]])&amp;"-"&amp;MONTH(Datos_Consumo[[#This Row],[FECHA]])</f>
        <v>2018-3</v>
      </c>
    </row>
    <row r="4561" spans="1:4" x14ac:dyDescent="0.25">
      <c r="A4561" t="s">
        <v>2992</v>
      </c>
      <c r="B4561">
        <v>1</v>
      </c>
      <c r="C4561" s="54">
        <v>43070</v>
      </c>
      <c r="D4561" s="3" t="str">
        <f>YEAR(Datos_Consumo[[#This Row],[FECHA]])&amp;"-"&amp;MONTH(Datos_Consumo[[#This Row],[FECHA]])</f>
        <v>2017-12</v>
      </c>
    </row>
    <row r="4562" spans="1:4" x14ac:dyDescent="0.25">
      <c r="A4562" t="s">
        <v>2993</v>
      </c>
      <c r="B4562">
        <v>4</v>
      </c>
      <c r="C4562" s="54">
        <v>43101</v>
      </c>
      <c r="D4562" s="3" t="str">
        <f>YEAR(Datos_Consumo[[#This Row],[FECHA]])&amp;"-"&amp;MONTH(Datos_Consumo[[#This Row],[FECHA]])</f>
        <v>2018-1</v>
      </c>
    </row>
    <row r="4563" spans="1:4" x14ac:dyDescent="0.25">
      <c r="A4563" t="s">
        <v>1436</v>
      </c>
      <c r="B4563">
        <v>2</v>
      </c>
      <c r="C4563" s="54">
        <v>43101</v>
      </c>
      <c r="D4563" s="3" t="str">
        <f>YEAR(Datos_Consumo[[#This Row],[FECHA]])&amp;"-"&amp;MONTH(Datos_Consumo[[#This Row],[FECHA]])</f>
        <v>2018-1</v>
      </c>
    </row>
    <row r="4564" spans="1:4" x14ac:dyDescent="0.25">
      <c r="A4564" t="s">
        <v>1436</v>
      </c>
      <c r="B4564">
        <v>2</v>
      </c>
      <c r="C4564" s="54">
        <v>43191</v>
      </c>
      <c r="D4564" s="3" t="str">
        <f>YEAR(Datos_Consumo[[#This Row],[FECHA]])&amp;"-"&amp;MONTH(Datos_Consumo[[#This Row],[FECHA]])</f>
        <v>2018-4</v>
      </c>
    </row>
    <row r="4565" spans="1:4" x14ac:dyDescent="0.25">
      <c r="A4565" t="s">
        <v>2994</v>
      </c>
      <c r="B4565">
        <v>7</v>
      </c>
      <c r="C4565" s="54">
        <v>43101</v>
      </c>
      <c r="D4565" s="3" t="str">
        <f>YEAR(Datos_Consumo[[#This Row],[FECHA]])&amp;"-"&amp;MONTH(Datos_Consumo[[#This Row],[FECHA]])</f>
        <v>2018-1</v>
      </c>
    </row>
    <row r="4566" spans="1:4" x14ac:dyDescent="0.25">
      <c r="A4566" t="s">
        <v>1437</v>
      </c>
      <c r="B4566">
        <v>40</v>
      </c>
      <c r="C4566" s="54">
        <v>43101</v>
      </c>
      <c r="D4566" s="3" t="str">
        <f>YEAR(Datos_Consumo[[#This Row],[FECHA]])&amp;"-"&amp;MONTH(Datos_Consumo[[#This Row],[FECHA]])</f>
        <v>2018-1</v>
      </c>
    </row>
    <row r="4567" spans="1:4" x14ac:dyDescent="0.25">
      <c r="A4567" t="s">
        <v>1437</v>
      </c>
      <c r="B4567">
        <v>20</v>
      </c>
      <c r="C4567" s="54">
        <v>43160</v>
      </c>
      <c r="D4567" s="3" t="str">
        <f>YEAR(Datos_Consumo[[#This Row],[FECHA]])&amp;"-"&amp;MONTH(Datos_Consumo[[#This Row],[FECHA]])</f>
        <v>2018-3</v>
      </c>
    </row>
    <row r="4568" spans="1:4" x14ac:dyDescent="0.25">
      <c r="A4568" t="s">
        <v>2995</v>
      </c>
      <c r="B4568">
        <v>9</v>
      </c>
      <c r="C4568" s="54">
        <v>43070</v>
      </c>
      <c r="D4568" s="3" t="str">
        <f>YEAR(Datos_Consumo[[#This Row],[FECHA]])&amp;"-"&amp;MONTH(Datos_Consumo[[#This Row],[FECHA]])</f>
        <v>2017-12</v>
      </c>
    </row>
    <row r="4569" spans="1:4" x14ac:dyDescent="0.25">
      <c r="A4569" t="s">
        <v>2995</v>
      </c>
      <c r="B4569">
        <v>14</v>
      </c>
      <c r="C4569" s="54">
        <v>43101</v>
      </c>
      <c r="D4569" s="3" t="str">
        <f>YEAR(Datos_Consumo[[#This Row],[FECHA]])&amp;"-"&amp;MONTH(Datos_Consumo[[#This Row],[FECHA]])</f>
        <v>2018-1</v>
      </c>
    </row>
    <row r="4570" spans="1:4" x14ac:dyDescent="0.25">
      <c r="A4570" t="s">
        <v>2995</v>
      </c>
      <c r="B4570">
        <v>20</v>
      </c>
      <c r="C4570" s="54">
        <v>43132</v>
      </c>
      <c r="D4570" s="3" t="str">
        <f>YEAR(Datos_Consumo[[#This Row],[FECHA]])&amp;"-"&amp;MONTH(Datos_Consumo[[#This Row],[FECHA]])</f>
        <v>2018-2</v>
      </c>
    </row>
    <row r="4571" spans="1:4" x14ac:dyDescent="0.25">
      <c r="A4571" t="s">
        <v>2995</v>
      </c>
      <c r="B4571">
        <v>46</v>
      </c>
      <c r="C4571" s="54">
        <v>43160</v>
      </c>
      <c r="D4571" s="3" t="str">
        <f>YEAR(Datos_Consumo[[#This Row],[FECHA]])&amp;"-"&amp;MONTH(Datos_Consumo[[#This Row],[FECHA]])</f>
        <v>2018-3</v>
      </c>
    </row>
    <row r="4572" spans="1:4" x14ac:dyDescent="0.25">
      <c r="A4572" t="s">
        <v>2995</v>
      </c>
      <c r="B4572">
        <v>3</v>
      </c>
      <c r="C4572" s="54">
        <v>43191</v>
      </c>
      <c r="D4572" s="3" t="str">
        <f>YEAR(Datos_Consumo[[#This Row],[FECHA]])&amp;"-"&amp;MONTH(Datos_Consumo[[#This Row],[FECHA]])</f>
        <v>2018-4</v>
      </c>
    </row>
    <row r="4573" spans="1:4" x14ac:dyDescent="0.25">
      <c r="A4573" t="s">
        <v>2995</v>
      </c>
      <c r="B4573">
        <v>5</v>
      </c>
      <c r="C4573" s="54">
        <v>43221</v>
      </c>
      <c r="D4573" s="3" t="str">
        <f>YEAR(Datos_Consumo[[#This Row],[FECHA]])&amp;"-"&amp;MONTH(Datos_Consumo[[#This Row],[FECHA]])</f>
        <v>2018-5</v>
      </c>
    </row>
    <row r="4574" spans="1:4" x14ac:dyDescent="0.25">
      <c r="A4574" t="s">
        <v>2996</v>
      </c>
      <c r="B4574">
        <v>1489.59</v>
      </c>
      <c r="C4574" s="54">
        <v>43101</v>
      </c>
      <c r="D4574" s="3" t="str">
        <f>YEAR(Datos_Consumo[[#This Row],[FECHA]])&amp;"-"&amp;MONTH(Datos_Consumo[[#This Row],[FECHA]])</f>
        <v>2018-1</v>
      </c>
    </row>
    <row r="4575" spans="1:4" x14ac:dyDescent="0.25">
      <c r="A4575" t="s">
        <v>2996</v>
      </c>
      <c r="B4575">
        <v>333.38</v>
      </c>
      <c r="C4575" s="54">
        <v>43132</v>
      </c>
      <c r="D4575" s="3" t="str">
        <f>YEAR(Datos_Consumo[[#This Row],[FECHA]])&amp;"-"&amp;MONTH(Datos_Consumo[[#This Row],[FECHA]])</f>
        <v>2018-2</v>
      </c>
    </row>
    <row r="4576" spans="1:4" x14ac:dyDescent="0.25">
      <c r="A4576" t="s">
        <v>2996</v>
      </c>
      <c r="B4576">
        <v>421.75</v>
      </c>
      <c r="C4576" s="54">
        <v>43160</v>
      </c>
      <c r="D4576" s="3" t="str">
        <f>YEAR(Datos_Consumo[[#This Row],[FECHA]])&amp;"-"&amp;MONTH(Datos_Consumo[[#This Row],[FECHA]])</f>
        <v>2018-3</v>
      </c>
    </row>
    <row r="4577" spans="1:4" x14ac:dyDescent="0.25">
      <c r="A4577" t="s">
        <v>2996</v>
      </c>
      <c r="B4577">
        <v>635.38</v>
      </c>
      <c r="C4577" s="54">
        <v>43191</v>
      </c>
      <c r="D4577" s="3" t="str">
        <f>YEAR(Datos_Consumo[[#This Row],[FECHA]])&amp;"-"&amp;MONTH(Datos_Consumo[[#This Row],[FECHA]])</f>
        <v>2018-4</v>
      </c>
    </row>
    <row r="4578" spans="1:4" x14ac:dyDescent="0.25">
      <c r="A4578" t="s">
        <v>2996</v>
      </c>
      <c r="B4578">
        <v>232.53</v>
      </c>
      <c r="C4578" s="54">
        <v>43221</v>
      </c>
      <c r="D4578" s="3" t="str">
        <f>YEAR(Datos_Consumo[[#This Row],[FECHA]])&amp;"-"&amp;MONTH(Datos_Consumo[[#This Row],[FECHA]])</f>
        <v>2018-5</v>
      </c>
    </row>
    <row r="4579" spans="1:4" x14ac:dyDescent="0.25">
      <c r="A4579" t="s">
        <v>2997</v>
      </c>
      <c r="B4579">
        <v>13</v>
      </c>
      <c r="C4579" s="54">
        <v>43101</v>
      </c>
      <c r="D4579" s="3" t="str">
        <f>YEAR(Datos_Consumo[[#This Row],[FECHA]])&amp;"-"&amp;MONTH(Datos_Consumo[[#This Row],[FECHA]])</f>
        <v>2018-1</v>
      </c>
    </row>
    <row r="4580" spans="1:4" x14ac:dyDescent="0.25">
      <c r="A4580" t="s">
        <v>2997</v>
      </c>
      <c r="B4580">
        <v>32</v>
      </c>
      <c r="C4580" s="54">
        <v>43132</v>
      </c>
      <c r="D4580" s="3" t="str">
        <f>YEAR(Datos_Consumo[[#This Row],[FECHA]])&amp;"-"&amp;MONTH(Datos_Consumo[[#This Row],[FECHA]])</f>
        <v>2018-2</v>
      </c>
    </row>
    <row r="4581" spans="1:4" x14ac:dyDescent="0.25">
      <c r="A4581" t="s">
        <v>2997</v>
      </c>
      <c r="B4581">
        <v>24</v>
      </c>
      <c r="C4581" s="54">
        <v>43160</v>
      </c>
      <c r="D4581" s="3" t="str">
        <f>YEAR(Datos_Consumo[[#This Row],[FECHA]])&amp;"-"&amp;MONTH(Datos_Consumo[[#This Row],[FECHA]])</f>
        <v>2018-3</v>
      </c>
    </row>
    <row r="4582" spans="1:4" x14ac:dyDescent="0.25">
      <c r="A4582" t="s">
        <v>2998</v>
      </c>
      <c r="B4582">
        <v>1</v>
      </c>
      <c r="C4582" s="54">
        <v>43070</v>
      </c>
      <c r="D4582" s="3" t="str">
        <f>YEAR(Datos_Consumo[[#This Row],[FECHA]])&amp;"-"&amp;MONTH(Datos_Consumo[[#This Row],[FECHA]])</f>
        <v>2017-12</v>
      </c>
    </row>
    <row r="4583" spans="1:4" x14ac:dyDescent="0.25">
      <c r="A4583" t="s">
        <v>2998</v>
      </c>
      <c r="B4583">
        <v>1</v>
      </c>
      <c r="C4583" s="54">
        <v>43191</v>
      </c>
      <c r="D4583" s="3" t="str">
        <f>YEAR(Datos_Consumo[[#This Row],[FECHA]])&amp;"-"&amp;MONTH(Datos_Consumo[[#This Row],[FECHA]])</f>
        <v>2018-4</v>
      </c>
    </row>
    <row r="4584" spans="1:4" x14ac:dyDescent="0.25">
      <c r="A4584" t="s">
        <v>2999</v>
      </c>
      <c r="B4584">
        <v>2</v>
      </c>
      <c r="C4584" s="54">
        <v>43070</v>
      </c>
      <c r="D4584" s="3" t="str">
        <f>YEAR(Datos_Consumo[[#This Row],[FECHA]])&amp;"-"&amp;MONTH(Datos_Consumo[[#This Row],[FECHA]])</f>
        <v>2017-12</v>
      </c>
    </row>
    <row r="4585" spans="1:4" x14ac:dyDescent="0.25">
      <c r="A4585" t="s">
        <v>2999</v>
      </c>
      <c r="B4585">
        <v>2</v>
      </c>
      <c r="C4585" s="54">
        <v>43101</v>
      </c>
      <c r="D4585" s="3" t="str">
        <f>YEAR(Datos_Consumo[[#This Row],[FECHA]])&amp;"-"&amp;MONTH(Datos_Consumo[[#This Row],[FECHA]])</f>
        <v>2018-1</v>
      </c>
    </row>
    <row r="4586" spans="1:4" x14ac:dyDescent="0.25">
      <c r="A4586" t="s">
        <v>2999</v>
      </c>
      <c r="B4586">
        <v>2</v>
      </c>
      <c r="C4586" s="54">
        <v>43132</v>
      </c>
      <c r="D4586" s="3" t="str">
        <f>YEAR(Datos_Consumo[[#This Row],[FECHA]])&amp;"-"&amp;MONTH(Datos_Consumo[[#This Row],[FECHA]])</f>
        <v>2018-2</v>
      </c>
    </row>
    <row r="4587" spans="1:4" x14ac:dyDescent="0.25">
      <c r="A4587" t="s">
        <v>2999</v>
      </c>
      <c r="B4587">
        <v>2</v>
      </c>
      <c r="C4587" s="54">
        <v>43221</v>
      </c>
      <c r="D4587" s="3" t="str">
        <f>YEAR(Datos_Consumo[[#This Row],[FECHA]])&amp;"-"&amp;MONTH(Datos_Consumo[[#This Row],[FECHA]])</f>
        <v>2018-5</v>
      </c>
    </row>
    <row r="4588" spans="1:4" x14ac:dyDescent="0.25">
      <c r="A4588" t="s">
        <v>3000</v>
      </c>
      <c r="B4588">
        <v>6</v>
      </c>
      <c r="C4588" s="54">
        <v>43070</v>
      </c>
      <c r="D4588" s="3" t="str">
        <f>YEAR(Datos_Consumo[[#This Row],[FECHA]])&amp;"-"&amp;MONTH(Datos_Consumo[[#This Row],[FECHA]])</f>
        <v>2017-12</v>
      </c>
    </row>
    <row r="4589" spans="1:4" x14ac:dyDescent="0.25">
      <c r="A4589" t="s">
        <v>3001</v>
      </c>
      <c r="B4589">
        <v>1</v>
      </c>
      <c r="C4589" s="54">
        <v>43191</v>
      </c>
      <c r="D4589" s="3" t="str">
        <f>YEAR(Datos_Consumo[[#This Row],[FECHA]])&amp;"-"&amp;MONTH(Datos_Consumo[[#This Row],[FECHA]])</f>
        <v>2018-4</v>
      </c>
    </row>
    <row r="4590" spans="1:4" x14ac:dyDescent="0.25">
      <c r="A4590" t="s">
        <v>3002</v>
      </c>
      <c r="B4590">
        <v>5</v>
      </c>
      <c r="C4590" s="54">
        <v>43101</v>
      </c>
      <c r="D4590" s="3" t="str">
        <f>YEAR(Datos_Consumo[[#This Row],[FECHA]])&amp;"-"&amp;MONTH(Datos_Consumo[[#This Row],[FECHA]])</f>
        <v>2018-1</v>
      </c>
    </row>
    <row r="4591" spans="1:4" x14ac:dyDescent="0.25">
      <c r="A4591" t="s">
        <v>3002</v>
      </c>
      <c r="B4591">
        <v>3</v>
      </c>
      <c r="C4591" s="54">
        <v>43132</v>
      </c>
      <c r="D4591" s="3" t="str">
        <f>YEAR(Datos_Consumo[[#This Row],[FECHA]])&amp;"-"&amp;MONTH(Datos_Consumo[[#This Row],[FECHA]])</f>
        <v>2018-2</v>
      </c>
    </row>
    <row r="4592" spans="1:4" x14ac:dyDescent="0.25">
      <c r="A4592" t="s">
        <v>3002</v>
      </c>
      <c r="B4592">
        <v>5</v>
      </c>
      <c r="C4592" s="54">
        <v>43191</v>
      </c>
      <c r="D4592" s="3" t="str">
        <f>YEAR(Datos_Consumo[[#This Row],[FECHA]])&amp;"-"&amp;MONTH(Datos_Consumo[[#This Row],[FECHA]])</f>
        <v>2018-4</v>
      </c>
    </row>
    <row r="4593" spans="1:4" x14ac:dyDescent="0.25">
      <c r="A4593" t="s">
        <v>3003</v>
      </c>
      <c r="B4593">
        <v>1078</v>
      </c>
      <c r="C4593" s="54">
        <v>43101</v>
      </c>
      <c r="D4593" s="3" t="str">
        <f>YEAR(Datos_Consumo[[#This Row],[FECHA]])&amp;"-"&amp;MONTH(Datos_Consumo[[#This Row],[FECHA]])</f>
        <v>2018-1</v>
      </c>
    </row>
    <row r="4594" spans="1:4" x14ac:dyDescent="0.25">
      <c r="A4594" t="s">
        <v>3003</v>
      </c>
      <c r="B4594">
        <v>329</v>
      </c>
      <c r="C4594" s="54">
        <v>43132</v>
      </c>
      <c r="D4594" s="3" t="str">
        <f>YEAR(Datos_Consumo[[#This Row],[FECHA]])&amp;"-"&amp;MONTH(Datos_Consumo[[#This Row],[FECHA]])</f>
        <v>2018-2</v>
      </c>
    </row>
    <row r="4595" spans="1:4" x14ac:dyDescent="0.25">
      <c r="A4595" t="s">
        <v>3003</v>
      </c>
      <c r="B4595">
        <v>384</v>
      </c>
      <c r="C4595" s="54">
        <v>43160</v>
      </c>
      <c r="D4595" s="3" t="str">
        <f>YEAR(Datos_Consumo[[#This Row],[FECHA]])&amp;"-"&amp;MONTH(Datos_Consumo[[#This Row],[FECHA]])</f>
        <v>2018-3</v>
      </c>
    </row>
    <row r="4596" spans="1:4" x14ac:dyDescent="0.25">
      <c r="A4596" t="s">
        <v>3003</v>
      </c>
      <c r="B4596">
        <v>259</v>
      </c>
      <c r="C4596" s="54">
        <v>43191</v>
      </c>
      <c r="D4596" s="3" t="str">
        <f>YEAR(Datos_Consumo[[#This Row],[FECHA]])&amp;"-"&amp;MONTH(Datos_Consumo[[#This Row],[FECHA]])</f>
        <v>2018-4</v>
      </c>
    </row>
    <row r="4597" spans="1:4" x14ac:dyDescent="0.25">
      <c r="A4597" t="s">
        <v>3003</v>
      </c>
      <c r="B4597">
        <v>59</v>
      </c>
      <c r="C4597" s="54">
        <v>43221</v>
      </c>
      <c r="D4597" s="3" t="str">
        <f>YEAR(Datos_Consumo[[#This Row],[FECHA]])&amp;"-"&amp;MONTH(Datos_Consumo[[#This Row],[FECHA]])</f>
        <v>2018-5</v>
      </c>
    </row>
    <row r="4598" spans="1:4" x14ac:dyDescent="0.25">
      <c r="A4598" t="s">
        <v>3004</v>
      </c>
      <c r="B4598">
        <v>879</v>
      </c>
      <c r="C4598" s="54">
        <v>43070</v>
      </c>
      <c r="D4598" s="3" t="str">
        <f>YEAR(Datos_Consumo[[#This Row],[FECHA]])&amp;"-"&amp;MONTH(Datos_Consumo[[#This Row],[FECHA]])</f>
        <v>2017-12</v>
      </c>
    </row>
    <row r="4599" spans="1:4" x14ac:dyDescent="0.25">
      <c r="A4599" t="s">
        <v>3004</v>
      </c>
      <c r="B4599">
        <v>2040</v>
      </c>
      <c r="C4599" s="54">
        <v>43101</v>
      </c>
      <c r="D4599" s="3" t="str">
        <f>YEAR(Datos_Consumo[[#This Row],[FECHA]])&amp;"-"&amp;MONTH(Datos_Consumo[[#This Row],[FECHA]])</f>
        <v>2018-1</v>
      </c>
    </row>
    <row r="4600" spans="1:4" x14ac:dyDescent="0.25">
      <c r="A4600" t="s">
        <v>3004</v>
      </c>
      <c r="B4600">
        <v>1037</v>
      </c>
      <c r="C4600" s="54">
        <v>43132</v>
      </c>
      <c r="D4600" s="3" t="str">
        <f>YEAR(Datos_Consumo[[#This Row],[FECHA]])&amp;"-"&amp;MONTH(Datos_Consumo[[#This Row],[FECHA]])</f>
        <v>2018-2</v>
      </c>
    </row>
    <row r="4601" spans="1:4" x14ac:dyDescent="0.25">
      <c r="A4601" t="s">
        <v>3004</v>
      </c>
      <c r="B4601">
        <v>1967</v>
      </c>
      <c r="C4601" s="54">
        <v>43160</v>
      </c>
      <c r="D4601" s="3" t="str">
        <f>YEAR(Datos_Consumo[[#This Row],[FECHA]])&amp;"-"&amp;MONTH(Datos_Consumo[[#This Row],[FECHA]])</f>
        <v>2018-3</v>
      </c>
    </row>
    <row r="4602" spans="1:4" x14ac:dyDescent="0.25">
      <c r="A4602" t="s">
        <v>3004</v>
      </c>
      <c r="B4602">
        <v>1604</v>
      </c>
      <c r="C4602" s="54">
        <v>43191</v>
      </c>
      <c r="D4602" s="3" t="str">
        <f>YEAR(Datos_Consumo[[#This Row],[FECHA]])&amp;"-"&amp;MONTH(Datos_Consumo[[#This Row],[FECHA]])</f>
        <v>2018-4</v>
      </c>
    </row>
    <row r="4603" spans="1:4" x14ac:dyDescent="0.25">
      <c r="A4603" t="s">
        <v>3004</v>
      </c>
      <c r="B4603">
        <v>168</v>
      </c>
      <c r="C4603" s="54">
        <v>43221</v>
      </c>
      <c r="D4603" s="3" t="str">
        <f>YEAR(Datos_Consumo[[#This Row],[FECHA]])&amp;"-"&amp;MONTH(Datos_Consumo[[#This Row],[FECHA]])</f>
        <v>2018-5</v>
      </c>
    </row>
    <row r="4604" spans="1:4" x14ac:dyDescent="0.25">
      <c r="A4604" t="s">
        <v>3005</v>
      </c>
      <c r="B4604">
        <v>18</v>
      </c>
      <c r="C4604" s="54">
        <v>43070</v>
      </c>
      <c r="D4604" s="3" t="str">
        <f>YEAR(Datos_Consumo[[#This Row],[FECHA]])&amp;"-"&amp;MONTH(Datos_Consumo[[#This Row],[FECHA]])</f>
        <v>2017-12</v>
      </c>
    </row>
    <row r="4605" spans="1:4" x14ac:dyDescent="0.25">
      <c r="A4605" t="s">
        <v>3005</v>
      </c>
      <c r="B4605">
        <v>2</v>
      </c>
      <c r="C4605" s="54">
        <v>43101</v>
      </c>
      <c r="D4605" s="3" t="str">
        <f>YEAR(Datos_Consumo[[#This Row],[FECHA]])&amp;"-"&amp;MONTH(Datos_Consumo[[#This Row],[FECHA]])</f>
        <v>2018-1</v>
      </c>
    </row>
    <row r="4606" spans="1:4" x14ac:dyDescent="0.25">
      <c r="A4606" t="s">
        <v>3006</v>
      </c>
      <c r="B4606">
        <v>1</v>
      </c>
      <c r="C4606" s="54">
        <v>43132</v>
      </c>
      <c r="D4606" s="3" t="str">
        <f>YEAR(Datos_Consumo[[#This Row],[FECHA]])&amp;"-"&amp;MONTH(Datos_Consumo[[#This Row],[FECHA]])</f>
        <v>2018-2</v>
      </c>
    </row>
    <row r="4607" spans="1:4" x14ac:dyDescent="0.25">
      <c r="A4607" t="s">
        <v>3007</v>
      </c>
      <c r="B4607">
        <v>1</v>
      </c>
      <c r="C4607" s="54">
        <v>43070</v>
      </c>
      <c r="D4607" s="3" t="str">
        <f>YEAR(Datos_Consumo[[#This Row],[FECHA]])&amp;"-"&amp;MONTH(Datos_Consumo[[#This Row],[FECHA]])</f>
        <v>2017-12</v>
      </c>
    </row>
    <row r="4608" spans="1:4" x14ac:dyDescent="0.25">
      <c r="A4608" t="s">
        <v>3008</v>
      </c>
      <c r="B4608">
        <v>2</v>
      </c>
      <c r="C4608" s="54">
        <v>43070</v>
      </c>
      <c r="D4608" s="3" t="str">
        <f>YEAR(Datos_Consumo[[#This Row],[FECHA]])&amp;"-"&amp;MONTH(Datos_Consumo[[#This Row],[FECHA]])</f>
        <v>2017-12</v>
      </c>
    </row>
    <row r="4609" spans="1:4" x14ac:dyDescent="0.25">
      <c r="A4609" t="s">
        <v>3008</v>
      </c>
      <c r="B4609">
        <v>6</v>
      </c>
      <c r="C4609" s="54">
        <v>43101</v>
      </c>
      <c r="D4609" s="3" t="str">
        <f>YEAR(Datos_Consumo[[#This Row],[FECHA]])&amp;"-"&amp;MONTH(Datos_Consumo[[#This Row],[FECHA]])</f>
        <v>2018-1</v>
      </c>
    </row>
    <row r="4610" spans="1:4" x14ac:dyDescent="0.25">
      <c r="A4610" t="s">
        <v>3008</v>
      </c>
      <c r="B4610">
        <v>2</v>
      </c>
      <c r="C4610" s="54">
        <v>43160</v>
      </c>
      <c r="D4610" s="3" t="str">
        <f>YEAR(Datos_Consumo[[#This Row],[FECHA]])&amp;"-"&amp;MONTH(Datos_Consumo[[#This Row],[FECHA]])</f>
        <v>2018-3</v>
      </c>
    </row>
    <row r="4611" spans="1:4" x14ac:dyDescent="0.25">
      <c r="A4611" t="s">
        <v>1438</v>
      </c>
      <c r="B4611">
        <v>2</v>
      </c>
      <c r="C4611" s="54">
        <v>43132</v>
      </c>
      <c r="D4611" s="3" t="str">
        <f>YEAR(Datos_Consumo[[#This Row],[FECHA]])&amp;"-"&amp;MONTH(Datos_Consumo[[#This Row],[FECHA]])</f>
        <v>2018-2</v>
      </c>
    </row>
    <row r="4612" spans="1:4" x14ac:dyDescent="0.25">
      <c r="A4612" t="s">
        <v>1438</v>
      </c>
      <c r="B4612">
        <v>1</v>
      </c>
      <c r="C4612" s="54">
        <v>43160</v>
      </c>
      <c r="D4612" s="3" t="str">
        <f>YEAR(Datos_Consumo[[#This Row],[FECHA]])&amp;"-"&amp;MONTH(Datos_Consumo[[#This Row],[FECHA]])</f>
        <v>2018-3</v>
      </c>
    </row>
    <row r="4613" spans="1:4" x14ac:dyDescent="0.25">
      <c r="A4613" t="s">
        <v>3009</v>
      </c>
      <c r="B4613">
        <v>8</v>
      </c>
      <c r="C4613" s="54">
        <v>43070</v>
      </c>
      <c r="D4613" s="3" t="str">
        <f>YEAR(Datos_Consumo[[#This Row],[FECHA]])&amp;"-"&amp;MONTH(Datos_Consumo[[#This Row],[FECHA]])</f>
        <v>2017-12</v>
      </c>
    </row>
    <row r="4614" spans="1:4" x14ac:dyDescent="0.25">
      <c r="A4614" t="s">
        <v>3009</v>
      </c>
      <c r="B4614">
        <v>10</v>
      </c>
      <c r="C4614" s="54">
        <v>43101</v>
      </c>
      <c r="D4614" s="3" t="str">
        <f>YEAR(Datos_Consumo[[#This Row],[FECHA]])&amp;"-"&amp;MONTH(Datos_Consumo[[#This Row],[FECHA]])</f>
        <v>2018-1</v>
      </c>
    </row>
    <row r="4615" spans="1:4" x14ac:dyDescent="0.25">
      <c r="A4615" t="s">
        <v>3009</v>
      </c>
      <c r="B4615">
        <v>8</v>
      </c>
      <c r="C4615" s="54">
        <v>43132</v>
      </c>
      <c r="D4615" s="3" t="str">
        <f>YEAR(Datos_Consumo[[#This Row],[FECHA]])&amp;"-"&amp;MONTH(Datos_Consumo[[#This Row],[FECHA]])</f>
        <v>2018-2</v>
      </c>
    </row>
    <row r="4616" spans="1:4" x14ac:dyDescent="0.25">
      <c r="A4616" t="s">
        <v>3009</v>
      </c>
      <c r="B4616">
        <v>14</v>
      </c>
      <c r="C4616" s="54">
        <v>43160</v>
      </c>
      <c r="D4616" s="3" t="str">
        <f>YEAR(Datos_Consumo[[#This Row],[FECHA]])&amp;"-"&amp;MONTH(Datos_Consumo[[#This Row],[FECHA]])</f>
        <v>2018-3</v>
      </c>
    </row>
    <row r="4617" spans="1:4" x14ac:dyDescent="0.25">
      <c r="A4617" t="s">
        <v>3010</v>
      </c>
      <c r="B4617">
        <v>70</v>
      </c>
      <c r="C4617" s="54">
        <v>43160</v>
      </c>
      <c r="D4617" s="3" t="str">
        <f>YEAR(Datos_Consumo[[#This Row],[FECHA]])&amp;"-"&amp;MONTH(Datos_Consumo[[#This Row],[FECHA]])</f>
        <v>2018-3</v>
      </c>
    </row>
    <row r="4618" spans="1:4" x14ac:dyDescent="0.25">
      <c r="A4618" t="s">
        <v>3010</v>
      </c>
      <c r="B4618">
        <v>44</v>
      </c>
      <c r="C4618" s="54">
        <v>43191</v>
      </c>
      <c r="D4618" s="3" t="str">
        <f>YEAR(Datos_Consumo[[#This Row],[FECHA]])&amp;"-"&amp;MONTH(Datos_Consumo[[#This Row],[FECHA]])</f>
        <v>2018-4</v>
      </c>
    </row>
    <row r="4619" spans="1:4" x14ac:dyDescent="0.25">
      <c r="A4619" t="s">
        <v>3010</v>
      </c>
      <c r="B4619">
        <v>1</v>
      </c>
      <c r="C4619" s="54">
        <v>43221</v>
      </c>
      <c r="D4619" s="3" t="str">
        <f>YEAR(Datos_Consumo[[#This Row],[FECHA]])&amp;"-"&amp;MONTH(Datos_Consumo[[#This Row],[FECHA]])</f>
        <v>2018-5</v>
      </c>
    </row>
    <row r="4620" spans="1:4" x14ac:dyDescent="0.25">
      <c r="A4620" t="s">
        <v>3011</v>
      </c>
      <c r="B4620">
        <v>70</v>
      </c>
      <c r="C4620" s="54">
        <v>43160</v>
      </c>
      <c r="D4620" s="3" t="str">
        <f>YEAR(Datos_Consumo[[#This Row],[FECHA]])&amp;"-"&amp;MONTH(Datos_Consumo[[#This Row],[FECHA]])</f>
        <v>2018-3</v>
      </c>
    </row>
    <row r="4621" spans="1:4" x14ac:dyDescent="0.25">
      <c r="A4621" t="s">
        <v>3011</v>
      </c>
      <c r="B4621">
        <v>44</v>
      </c>
      <c r="C4621" s="54">
        <v>43191</v>
      </c>
      <c r="D4621" s="3" t="str">
        <f>YEAR(Datos_Consumo[[#This Row],[FECHA]])&amp;"-"&amp;MONTH(Datos_Consumo[[#This Row],[FECHA]])</f>
        <v>2018-4</v>
      </c>
    </row>
    <row r="4622" spans="1:4" x14ac:dyDescent="0.25">
      <c r="A4622" t="s">
        <v>3011</v>
      </c>
      <c r="B4622">
        <v>3</v>
      </c>
      <c r="C4622" s="54">
        <v>43221</v>
      </c>
      <c r="D4622" s="3" t="str">
        <f>YEAR(Datos_Consumo[[#This Row],[FECHA]])&amp;"-"&amp;MONTH(Datos_Consumo[[#This Row],[FECHA]])</f>
        <v>2018-5</v>
      </c>
    </row>
    <row r="4623" spans="1:4" x14ac:dyDescent="0.25">
      <c r="A4623" t="s">
        <v>3012</v>
      </c>
      <c r="B4623">
        <v>1</v>
      </c>
      <c r="C4623" s="54">
        <v>43101</v>
      </c>
      <c r="D4623" s="3" t="str">
        <f>YEAR(Datos_Consumo[[#This Row],[FECHA]])&amp;"-"&amp;MONTH(Datos_Consumo[[#This Row],[FECHA]])</f>
        <v>2018-1</v>
      </c>
    </row>
    <row r="4624" spans="1:4" x14ac:dyDescent="0.25">
      <c r="A4624" t="s">
        <v>3012</v>
      </c>
      <c r="B4624">
        <v>4</v>
      </c>
      <c r="C4624" s="54">
        <v>43191</v>
      </c>
      <c r="D4624" s="3" t="str">
        <f>YEAR(Datos_Consumo[[#This Row],[FECHA]])&amp;"-"&amp;MONTH(Datos_Consumo[[#This Row],[FECHA]])</f>
        <v>2018-4</v>
      </c>
    </row>
    <row r="4625" spans="1:4" x14ac:dyDescent="0.25">
      <c r="A4625" t="s">
        <v>3013</v>
      </c>
      <c r="B4625">
        <v>1</v>
      </c>
      <c r="C4625" s="54">
        <v>43132</v>
      </c>
      <c r="D4625" s="3" t="str">
        <f>YEAR(Datos_Consumo[[#This Row],[FECHA]])&amp;"-"&amp;MONTH(Datos_Consumo[[#This Row],[FECHA]])</f>
        <v>2018-2</v>
      </c>
    </row>
    <row r="4626" spans="1:4" x14ac:dyDescent="0.25">
      <c r="A4626" t="s">
        <v>4102</v>
      </c>
      <c r="B4626">
        <v>1</v>
      </c>
      <c r="C4626" s="54">
        <v>43191</v>
      </c>
      <c r="D4626" s="3" t="str">
        <f>YEAR(Datos_Consumo[[#This Row],[FECHA]])&amp;"-"&amp;MONTH(Datos_Consumo[[#This Row],[FECHA]])</f>
        <v>2018-4</v>
      </c>
    </row>
    <row r="4627" spans="1:4" x14ac:dyDescent="0.25">
      <c r="A4627" t="s">
        <v>3014</v>
      </c>
      <c r="B4627">
        <v>3</v>
      </c>
      <c r="C4627" s="54">
        <v>43132</v>
      </c>
      <c r="D4627" s="3" t="str">
        <f>YEAR(Datos_Consumo[[#This Row],[FECHA]])&amp;"-"&amp;MONTH(Datos_Consumo[[#This Row],[FECHA]])</f>
        <v>2018-2</v>
      </c>
    </row>
    <row r="4628" spans="1:4" x14ac:dyDescent="0.25">
      <c r="A4628" t="s">
        <v>3015</v>
      </c>
      <c r="B4628">
        <v>1</v>
      </c>
      <c r="C4628" s="54">
        <v>43101</v>
      </c>
      <c r="D4628" s="3" t="str">
        <f>YEAR(Datos_Consumo[[#This Row],[FECHA]])&amp;"-"&amp;MONTH(Datos_Consumo[[#This Row],[FECHA]])</f>
        <v>2018-1</v>
      </c>
    </row>
    <row r="4629" spans="1:4" x14ac:dyDescent="0.25">
      <c r="A4629" t="s">
        <v>3016</v>
      </c>
      <c r="B4629">
        <v>1</v>
      </c>
      <c r="C4629" s="54">
        <v>43101</v>
      </c>
      <c r="D4629" s="3" t="str">
        <f>YEAR(Datos_Consumo[[#This Row],[FECHA]])&amp;"-"&amp;MONTH(Datos_Consumo[[#This Row],[FECHA]])</f>
        <v>2018-1</v>
      </c>
    </row>
    <row r="4630" spans="1:4" x14ac:dyDescent="0.25">
      <c r="A4630" t="s">
        <v>3017</v>
      </c>
      <c r="B4630">
        <v>1</v>
      </c>
      <c r="C4630" s="54">
        <v>43070</v>
      </c>
      <c r="D4630" s="3" t="str">
        <f>YEAR(Datos_Consumo[[#This Row],[FECHA]])&amp;"-"&amp;MONTH(Datos_Consumo[[#This Row],[FECHA]])</f>
        <v>2017-12</v>
      </c>
    </row>
    <row r="4631" spans="1:4" x14ac:dyDescent="0.25">
      <c r="A4631" t="s">
        <v>3017</v>
      </c>
      <c r="B4631">
        <v>1</v>
      </c>
      <c r="C4631" s="54">
        <v>43101</v>
      </c>
      <c r="D4631" s="3" t="str">
        <f>YEAR(Datos_Consumo[[#This Row],[FECHA]])&amp;"-"&amp;MONTH(Datos_Consumo[[#This Row],[FECHA]])</f>
        <v>2018-1</v>
      </c>
    </row>
    <row r="4632" spans="1:4" x14ac:dyDescent="0.25">
      <c r="A4632" t="s">
        <v>3017</v>
      </c>
      <c r="B4632">
        <v>1</v>
      </c>
      <c r="C4632" s="54">
        <v>43132</v>
      </c>
      <c r="D4632" s="3" t="str">
        <f>YEAR(Datos_Consumo[[#This Row],[FECHA]])&amp;"-"&amp;MONTH(Datos_Consumo[[#This Row],[FECHA]])</f>
        <v>2018-2</v>
      </c>
    </row>
    <row r="4633" spans="1:4" x14ac:dyDescent="0.25">
      <c r="A4633" t="s">
        <v>3017</v>
      </c>
      <c r="B4633">
        <v>5</v>
      </c>
      <c r="C4633" s="54">
        <v>43160</v>
      </c>
      <c r="D4633" s="3" t="str">
        <f>YEAR(Datos_Consumo[[#This Row],[FECHA]])&amp;"-"&amp;MONTH(Datos_Consumo[[#This Row],[FECHA]])</f>
        <v>2018-3</v>
      </c>
    </row>
    <row r="4634" spans="1:4" x14ac:dyDescent="0.25">
      <c r="A4634" t="s">
        <v>3017</v>
      </c>
      <c r="B4634">
        <v>2</v>
      </c>
      <c r="C4634" s="54">
        <v>43191</v>
      </c>
      <c r="D4634" s="3" t="str">
        <f>YEAR(Datos_Consumo[[#This Row],[FECHA]])&amp;"-"&amp;MONTH(Datos_Consumo[[#This Row],[FECHA]])</f>
        <v>2018-4</v>
      </c>
    </row>
    <row r="4635" spans="1:4" x14ac:dyDescent="0.25">
      <c r="A4635" t="s">
        <v>3017</v>
      </c>
      <c r="B4635">
        <v>1</v>
      </c>
      <c r="C4635" s="54">
        <v>43221</v>
      </c>
      <c r="D4635" s="3" t="str">
        <f>YEAR(Datos_Consumo[[#This Row],[FECHA]])&amp;"-"&amp;MONTH(Datos_Consumo[[#This Row],[FECHA]])</f>
        <v>2018-5</v>
      </c>
    </row>
    <row r="4636" spans="1:4" x14ac:dyDescent="0.25">
      <c r="A4636" t="s">
        <v>3018</v>
      </c>
      <c r="B4636">
        <v>19</v>
      </c>
      <c r="C4636" s="54">
        <v>43070</v>
      </c>
      <c r="D4636" s="3" t="str">
        <f>YEAR(Datos_Consumo[[#This Row],[FECHA]])&amp;"-"&amp;MONTH(Datos_Consumo[[#This Row],[FECHA]])</f>
        <v>2017-12</v>
      </c>
    </row>
    <row r="4637" spans="1:4" x14ac:dyDescent="0.25">
      <c r="A4637" t="s">
        <v>3018</v>
      </c>
      <c r="B4637">
        <v>14</v>
      </c>
      <c r="C4637" s="54">
        <v>43101</v>
      </c>
      <c r="D4637" s="3" t="str">
        <f>YEAR(Datos_Consumo[[#This Row],[FECHA]])&amp;"-"&amp;MONTH(Datos_Consumo[[#This Row],[FECHA]])</f>
        <v>2018-1</v>
      </c>
    </row>
    <row r="4638" spans="1:4" x14ac:dyDescent="0.25">
      <c r="A4638" t="s">
        <v>3018</v>
      </c>
      <c r="B4638">
        <v>12</v>
      </c>
      <c r="C4638" s="54">
        <v>43132</v>
      </c>
      <c r="D4638" s="3" t="str">
        <f>YEAR(Datos_Consumo[[#This Row],[FECHA]])&amp;"-"&amp;MONTH(Datos_Consumo[[#This Row],[FECHA]])</f>
        <v>2018-2</v>
      </c>
    </row>
    <row r="4639" spans="1:4" x14ac:dyDescent="0.25">
      <c r="A4639" t="s">
        <v>3018</v>
      </c>
      <c r="B4639">
        <v>22</v>
      </c>
      <c r="C4639" s="54">
        <v>43160</v>
      </c>
      <c r="D4639" s="3" t="str">
        <f>YEAR(Datos_Consumo[[#This Row],[FECHA]])&amp;"-"&amp;MONTH(Datos_Consumo[[#This Row],[FECHA]])</f>
        <v>2018-3</v>
      </c>
    </row>
    <row r="4640" spans="1:4" x14ac:dyDescent="0.25">
      <c r="A4640" t="s">
        <v>3018</v>
      </c>
      <c r="B4640">
        <v>1</v>
      </c>
      <c r="C4640" s="54">
        <v>43191</v>
      </c>
      <c r="D4640" s="3" t="str">
        <f>YEAR(Datos_Consumo[[#This Row],[FECHA]])&amp;"-"&amp;MONTH(Datos_Consumo[[#This Row],[FECHA]])</f>
        <v>2018-4</v>
      </c>
    </row>
    <row r="4641" spans="1:4" x14ac:dyDescent="0.25">
      <c r="A4641" t="s">
        <v>3019</v>
      </c>
      <c r="B4641">
        <v>6</v>
      </c>
      <c r="C4641" s="54">
        <v>43070</v>
      </c>
      <c r="D4641" s="3" t="str">
        <f>YEAR(Datos_Consumo[[#This Row],[FECHA]])&amp;"-"&amp;MONTH(Datos_Consumo[[#This Row],[FECHA]])</f>
        <v>2017-12</v>
      </c>
    </row>
    <row r="4642" spans="1:4" x14ac:dyDescent="0.25">
      <c r="A4642" t="s">
        <v>3019</v>
      </c>
      <c r="B4642">
        <v>4</v>
      </c>
      <c r="C4642" s="54">
        <v>43101</v>
      </c>
      <c r="D4642" s="3" t="str">
        <f>YEAR(Datos_Consumo[[#This Row],[FECHA]])&amp;"-"&amp;MONTH(Datos_Consumo[[#This Row],[FECHA]])</f>
        <v>2018-1</v>
      </c>
    </row>
    <row r="4643" spans="1:4" x14ac:dyDescent="0.25">
      <c r="A4643" t="s">
        <v>3019</v>
      </c>
      <c r="B4643">
        <v>1</v>
      </c>
      <c r="C4643" s="54">
        <v>43132</v>
      </c>
      <c r="D4643" s="3" t="str">
        <f>YEAR(Datos_Consumo[[#This Row],[FECHA]])&amp;"-"&amp;MONTH(Datos_Consumo[[#This Row],[FECHA]])</f>
        <v>2018-2</v>
      </c>
    </row>
    <row r="4644" spans="1:4" x14ac:dyDescent="0.25">
      <c r="A4644" t="s">
        <v>3019</v>
      </c>
      <c r="B4644">
        <v>4</v>
      </c>
      <c r="C4644" s="54">
        <v>43160</v>
      </c>
      <c r="D4644" s="3" t="str">
        <f>YEAR(Datos_Consumo[[#This Row],[FECHA]])&amp;"-"&amp;MONTH(Datos_Consumo[[#This Row],[FECHA]])</f>
        <v>2018-3</v>
      </c>
    </row>
    <row r="4645" spans="1:4" x14ac:dyDescent="0.25">
      <c r="A4645" t="s">
        <v>3019</v>
      </c>
      <c r="B4645">
        <v>1</v>
      </c>
      <c r="C4645" s="54">
        <v>43191</v>
      </c>
      <c r="D4645" s="3" t="str">
        <f>YEAR(Datos_Consumo[[#This Row],[FECHA]])&amp;"-"&amp;MONTH(Datos_Consumo[[#This Row],[FECHA]])</f>
        <v>2018-4</v>
      </c>
    </row>
    <row r="4646" spans="1:4" x14ac:dyDescent="0.25">
      <c r="A4646" t="s">
        <v>3019</v>
      </c>
      <c r="B4646">
        <v>4</v>
      </c>
      <c r="C4646" s="54">
        <v>43221</v>
      </c>
      <c r="D4646" s="3" t="str">
        <f>YEAR(Datos_Consumo[[#This Row],[FECHA]])&amp;"-"&amp;MONTH(Datos_Consumo[[#This Row],[FECHA]])</f>
        <v>2018-5</v>
      </c>
    </row>
    <row r="4647" spans="1:4" x14ac:dyDescent="0.25">
      <c r="A4647" t="s">
        <v>3020</v>
      </c>
      <c r="B4647">
        <v>2</v>
      </c>
      <c r="C4647" s="54">
        <v>43132</v>
      </c>
      <c r="D4647" s="3" t="str">
        <f>YEAR(Datos_Consumo[[#This Row],[FECHA]])&amp;"-"&amp;MONTH(Datos_Consumo[[#This Row],[FECHA]])</f>
        <v>2018-2</v>
      </c>
    </row>
    <row r="4648" spans="1:4" x14ac:dyDescent="0.25">
      <c r="A4648" t="s">
        <v>3020</v>
      </c>
      <c r="B4648">
        <v>16</v>
      </c>
      <c r="C4648" s="54">
        <v>43221</v>
      </c>
      <c r="D4648" s="3" t="str">
        <f>YEAR(Datos_Consumo[[#This Row],[FECHA]])&amp;"-"&amp;MONTH(Datos_Consumo[[#This Row],[FECHA]])</f>
        <v>2018-5</v>
      </c>
    </row>
    <row r="4649" spans="1:4" x14ac:dyDescent="0.25">
      <c r="A4649" t="s">
        <v>3021</v>
      </c>
      <c r="B4649">
        <v>3</v>
      </c>
      <c r="C4649" s="54">
        <v>43070</v>
      </c>
      <c r="D4649" s="3" t="str">
        <f>YEAR(Datos_Consumo[[#This Row],[FECHA]])&amp;"-"&amp;MONTH(Datos_Consumo[[#This Row],[FECHA]])</f>
        <v>2017-12</v>
      </c>
    </row>
    <row r="4650" spans="1:4" x14ac:dyDescent="0.25">
      <c r="A4650" t="s">
        <v>3021</v>
      </c>
      <c r="B4650">
        <v>1</v>
      </c>
      <c r="C4650" s="54">
        <v>43101</v>
      </c>
      <c r="D4650" s="3" t="str">
        <f>YEAR(Datos_Consumo[[#This Row],[FECHA]])&amp;"-"&amp;MONTH(Datos_Consumo[[#This Row],[FECHA]])</f>
        <v>2018-1</v>
      </c>
    </row>
    <row r="4651" spans="1:4" x14ac:dyDescent="0.25">
      <c r="A4651" t="s">
        <v>3021</v>
      </c>
      <c r="B4651">
        <v>3</v>
      </c>
      <c r="C4651" s="54">
        <v>43160</v>
      </c>
      <c r="D4651" s="3" t="str">
        <f>YEAR(Datos_Consumo[[#This Row],[FECHA]])&amp;"-"&amp;MONTH(Datos_Consumo[[#This Row],[FECHA]])</f>
        <v>2018-3</v>
      </c>
    </row>
    <row r="4652" spans="1:4" x14ac:dyDescent="0.25">
      <c r="A4652" t="s">
        <v>3022</v>
      </c>
      <c r="B4652">
        <v>1</v>
      </c>
      <c r="C4652" s="54">
        <v>43132</v>
      </c>
      <c r="D4652" s="3" t="str">
        <f>YEAR(Datos_Consumo[[#This Row],[FECHA]])&amp;"-"&amp;MONTH(Datos_Consumo[[#This Row],[FECHA]])</f>
        <v>2018-2</v>
      </c>
    </row>
    <row r="4653" spans="1:4" x14ac:dyDescent="0.25">
      <c r="A4653" t="s">
        <v>3022</v>
      </c>
      <c r="B4653">
        <v>3</v>
      </c>
      <c r="C4653" s="54">
        <v>43191</v>
      </c>
      <c r="D4653" s="3" t="str">
        <f>YEAR(Datos_Consumo[[#This Row],[FECHA]])&amp;"-"&amp;MONTH(Datos_Consumo[[#This Row],[FECHA]])</f>
        <v>2018-4</v>
      </c>
    </row>
    <row r="4654" spans="1:4" x14ac:dyDescent="0.25">
      <c r="A4654" t="s">
        <v>3022</v>
      </c>
      <c r="B4654">
        <v>1</v>
      </c>
      <c r="C4654" s="54">
        <v>43221</v>
      </c>
      <c r="D4654" s="3" t="str">
        <f>YEAR(Datos_Consumo[[#This Row],[FECHA]])&amp;"-"&amp;MONTH(Datos_Consumo[[#This Row],[FECHA]])</f>
        <v>2018-5</v>
      </c>
    </row>
    <row r="4655" spans="1:4" x14ac:dyDescent="0.25">
      <c r="A4655" t="s">
        <v>3023</v>
      </c>
      <c r="B4655">
        <v>2</v>
      </c>
      <c r="C4655" s="54">
        <v>43132</v>
      </c>
      <c r="D4655" s="3" t="str">
        <f>YEAR(Datos_Consumo[[#This Row],[FECHA]])&amp;"-"&amp;MONTH(Datos_Consumo[[#This Row],[FECHA]])</f>
        <v>2018-2</v>
      </c>
    </row>
    <row r="4656" spans="1:4" x14ac:dyDescent="0.25">
      <c r="A4656" t="s">
        <v>3023</v>
      </c>
      <c r="B4656">
        <v>24</v>
      </c>
      <c r="C4656" s="54">
        <v>43160</v>
      </c>
      <c r="D4656" s="3" t="str">
        <f>YEAR(Datos_Consumo[[#This Row],[FECHA]])&amp;"-"&amp;MONTH(Datos_Consumo[[#This Row],[FECHA]])</f>
        <v>2018-3</v>
      </c>
    </row>
    <row r="4657" spans="1:4" x14ac:dyDescent="0.25">
      <c r="A4657" t="s">
        <v>3023</v>
      </c>
      <c r="B4657">
        <v>3</v>
      </c>
      <c r="C4657" s="54">
        <v>43191</v>
      </c>
      <c r="D4657" s="3" t="str">
        <f>YEAR(Datos_Consumo[[#This Row],[FECHA]])&amp;"-"&amp;MONTH(Datos_Consumo[[#This Row],[FECHA]])</f>
        <v>2018-4</v>
      </c>
    </row>
    <row r="4658" spans="1:4" x14ac:dyDescent="0.25">
      <c r="A4658" t="s">
        <v>3024</v>
      </c>
      <c r="B4658">
        <v>6</v>
      </c>
      <c r="C4658" s="54">
        <v>43132</v>
      </c>
      <c r="D4658" s="3" t="str">
        <f>YEAR(Datos_Consumo[[#This Row],[FECHA]])&amp;"-"&amp;MONTH(Datos_Consumo[[#This Row],[FECHA]])</f>
        <v>2018-2</v>
      </c>
    </row>
    <row r="4659" spans="1:4" x14ac:dyDescent="0.25">
      <c r="A4659" t="s">
        <v>3024</v>
      </c>
      <c r="B4659">
        <v>3</v>
      </c>
      <c r="C4659" s="54">
        <v>43160</v>
      </c>
      <c r="D4659" s="3" t="str">
        <f>YEAR(Datos_Consumo[[#This Row],[FECHA]])&amp;"-"&amp;MONTH(Datos_Consumo[[#This Row],[FECHA]])</f>
        <v>2018-3</v>
      </c>
    </row>
    <row r="4660" spans="1:4" x14ac:dyDescent="0.25">
      <c r="A4660" t="s">
        <v>3024</v>
      </c>
      <c r="B4660">
        <v>4</v>
      </c>
      <c r="C4660" s="54">
        <v>43191</v>
      </c>
      <c r="D4660" s="3" t="str">
        <f>YEAR(Datos_Consumo[[#This Row],[FECHA]])&amp;"-"&amp;MONTH(Datos_Consumo[[#This Row],[FECHA]])</f>
        <v>2018-4</v>
      </c>
    </row>
    <row r="4661" spans="1:4" x14ac:dyDescent="0.25">
      <c r="A4661" t="s">
        <v>3024</v>
      </c>
      <c r="B4661">
        <v>3</v>
      </c>
      <c r="C4661" s="54">
        <v>43221</v>
      </c>
      <c r="D4661" s="3" t="str">
        <f>YEAR(Datos_Consumo[[#This Row],[FECHA]])&amp;"-"&amp;MONTH(Datos_Consumo[[#This Row],[FECHA]])</f>
        <v>2018-5</v>
      </c>
    </row>
    <row r="4662" spans="1:4" x14ac:dyDescent="0.25">
      <c r="A4662" t="s">
        <v>4103</v>
      </c>
      <c r="B4662">
        <v>15</v>
      </c>
      <c r="C4662" s="54">
        <v>43191</v>
      </c>
      <c r="D4662" s="3" t="str">
        <f>YEAR(Datos_Consumo[[#This Row],[FECHA]])&amp;"-"&amp;MONTH(Datos_Consumo[[#This Row],[FECHA]])</f>
        <v>2018-4</v>
      </c>
    </row>
    <row r="4663" spans="1:4" x14ac:dyDescent="0.25">
      <c r="A4663" t="s">
        <v>4104</v>
      </c>
      <c r="B4663">
        <v>1</v>
      </c>
      <c r="C4663" s="54">
        <v>43191</v>
      </c>
      <c r="D4663" s="3" t="str">
        <f>YEAR(Datos_Consumo[[#This Row],[FECHA]])&amp;"-"&amp;MONTH(Datos_Consumo[[#This Row],[FECHA]])</f>
        <v>2018-4</v>
      </c>
    </row>
    <row r="4664" spans="1:4" x14ac:dyDescent="0.25">
      <c r="A4664" t="s">
        <v>4104</v>
      </c>
      <c r="B4664">
        <v>1</v>
      </c>
      <c r="C4664" s="54">
        <v>43221</v>
      </c>
      <c r="D4664" s="3" t="str">
        <f>YEAR(Datos_Consumo[[#This Row],[FECHA]])&amp;"-"&amp;MONTH(Datos_Consumo[[#This Row],[FECHA]])</f>
        <v>2018-5</v>
      </c>
    </row>
    <row r="4665" spans="1:4" x14ac:dyDescent="0.25">
      <c r="A4665" t="s">
        <v>3025</v>
      </c>
      <c r="B4665">
        <v>2</v>
      </c>
      <c r="C4665" s="54">
        <v>43070</v>
      </c>
      <c r="D4665" s="3" t="str">
        <f>YEAR(Datos_Consumo[[#This Row],[FECHA]])&amp;"-"&amp;MONTH(Datos_Consumo[[#This Row],[FECHA]])</f>
        <v>2017-12</v>
      </c>
    </row>
    <row r="4666" spans="1:4" x14ac:dyDescent="0.25">
      <c r="A4666" t="s">
        <v>3025</v>
      </c>
      <c r="B4666">
        <v>2</v>
      </c>
      <c r="C4666" s="54">
        <v>43101</v>
      </c>
      <c r="D4666" s="3" t="str">
        <f>YEAR(Datos_Consumo[[#This Row],[FECHA]])&amp;"-"&amp;MONTH(Datos_Consumo[[#This Row],[FECHA]])</f>
        <v>2018-1</v>
      </c>
    </row>
    <row r="4667" spans="1:4" x14ac:dyDescent="0.25">
      <c r="A4667" t="s">
        <v>3026</v>
      </c>
      <c r="B4667">
        <v>10</v>
      </c>
      <c r="C4667" s="54">
        <v>43132</v>
      </c>
      <c r="D4667" s="3" t="str">
        <f>YEAR(Datos_Consumo[[#This Row],[FECHA]])&amp;"-"&amp;MONTH(Datos_Consumo[[#This Row],[FECHA]])</f>
        <v>2018-2</v>
      </c>
    </row>
    <row r="4668" spans="1:4" x14ac:dyDescent="0.25">
      <c r="A4668" t="s">
        <v>3027</v>
      </c>
      <c r="B4668">
        <v>1</v>
      </c>
      <c r="C4668" s="54">
        <v>43160</v>
      </c>
      <c r="D4668" s="3" t="str">
        <f>YEAR(Datos_Consumo[[#This Row],[FECHA]])&amp;"-"&amp;MONTH(Datos_Consumo[[#This Row],[FECHA]])</f>
        <v>2018-3</v>
      </c>
    </row>
    <row r="4669" spans="1:4" x14ac:dyDescent="0.25">
      <c r="A4669" t="s">
        <v>3027</v>
      </c>
      <c r="B4669">
        <v>1</v>
      </c>
      <c r="C4669" s="54">
        <v>43191</v>
      </c>
      <c r="D4669" s="3" t="str">
        <f>YEAR(Datos_Consumo[[#This Row],[FECHA]])&amp;"-"&amp;MONTH(Datos_Consumo[[#This Row],[FECHA]])</f>
        <v>2018-4</v>
      </c>
    </row>
    <row r="4670" spans="1:4" x14ac:dyDescent="0.25">
      <c r="A4670" t="s">
        <v>3027</v>
      </c>
      <c r="B4670">
        <v>3</v>
      </c>
      <c r="C4670" s="54">
        <v>43221</v>
      </c>
      <c r="D4670" s="3" t="str">
        <f>YEAR(Datos_Consumo[[#This Row],[FECHA]])&amp;"-"&amp;MONTH(Datos_Consumo[[#This Row],[FECHA]])</f>
        <v>2018-5</v>
      </c>
    </row>
    <row r="4671" spans="1:4" x14ac:dyDescent="0.25">
      <c r="A4671" t="s">
        <v>3028</v>
      </c>
      <c r="B4671">
        <v>1</v>
      </c>
      <c r="C4671" s="54">
        <v>43132</v>
      </c>
      <c r="D4671" s="3" t="str">
        <f>YEAR(Datos_Consumo[[#This Row],[FECHA]])&amp;"-"&amp;MONTH(Datos_Consumo[[#This Row],[FECHA]])</f>
        <v>2018-2</v>
      </c>
    </row>
    <row r="4672" spans="1:4" x14ac:dyDescent="0.25">
      <c r="A4672" t="s">
        <v>3028</v>
      </c>
      <c r="B4672">
        <v>9</v>
      </c>
      <c r="C4672" s="54">
        <v>43221</v>
      </c>
      <c r="D4672" s="3" t="str">
        <f>YEAR(Datos_Consumo[[#This Row],[FECHA]])&amp;"-"&amp;MONTH(Datos_Consumo[[#This Row],[FECHA]])</f>
        <v>2018-5</v>
      </c>
    </row>
    <row r="4673" spans="1:4" x14ac:dyDescent="0.25">
      <c r="A4673" t="s">
        <v>3029</v>
      </c>
      <c r="B4673">
        <v>13</v>
      </c>
      <c r="C4673" s="54">
        <v>43160</v>
      </c>
      <c r="D4673" s="3" t="str">
        <f>YEAR(Datos_Consumo[[#This Row],[FECHA]])&amp;"-"&amp;MONTH(Datos_Consumo[[#This Row],[FECHA]])</f>
        <v>2018-3</v>
      </c>
    </row>
    <row r="4674" spans="1:4" x14ac:dyDescent="0.25">
      <c r="A4674" t="s">
        <v>4105</v>
      </c>
      <c r="B4674">
        <v>6</v>
      </c>
      <c r="C4674" s="54">
        <v>43191</v>
      </c>
      <c r="D4674" s="3" t="str">
        <f>YEAR(Datos_Consumo[[#This Row],[FECHA]])&amp;"-"&amp;MONTH(Datos_Consumo[[#This Row],[FECHA]])</f>
        <v>2018-4</v>
      </c>
    </row>
    <row r="4675" spans="1:4" x14ac:dyDescent="0.25">
      <c r="A4675" t="s">
        <v>3030</v>
      </c>
      <c r="B4675">
        <v>4</v>
      </c>
      <c r="C4675" s="54">
        <v>43160</v>
      </c>
      <c r="D4675" s="3" t="str">
        <f>YEAR(Datos_Consumo[[#This Row],[FECHA]])&amp;"-"&amp;MONTH(Datos_Consumo[[#This Row],[FECHA]])</f>
        <v>2018-3</v>
      </c>
    </row>
    <row r="4676" spans="1:4" x14ac:dyDescent="0.25">
      <c r="A4676" t="s">
        <v>3031</v>
      </c>
      <c r="B4676">
        <v>10</v>
      </c>
      <c r="C4676" s="54">
        <v>43132</v>
      </c>
      <c r="D4676" s="3" t="str">
        <f>YEAR(Datos_Consumo[[#This Row],[FECHA]])&amp;"-"&amp;MONTH(Datos_Consumo[[#This Row],[FECHA]])</f>
        <v>2018-2</v>
      </c>
    </row>
    <row r="4677" spans="1:4" x14ac:dyDescent="0.25">
      <c r="A4677" t="s">
        <v>3031</v>
      </c>
      <c r="B4677">
        <v>6</v>
      </c>
      <c r="C4677" s="54">
        <v>43160</v>
      </c>
      <c r="D4677" s="3" t="str">
        <f>YEAR(Datos_Consumo[[#This Row],[FECHA]])&amp;"-"&amp;MONTH(Datos_Consumo[[#This Row],[FECHA]])</f>
        <v>2018-3</v>
      </c>
    </row>
    <row r="4678" spans="1:4" x14ac:dyDescent="0.25">
      <c r="A4678" t="s">
        <v>4106</v>
      </c>
      <c r="B4678">
        <v>6</v>
      </c>
      <c r="C4678" s="54">
        <v>43191</v>
      </c>
      <c r="D4678" s="3" t="str">
        <f>YEAR(Datos_Consumo[[#This Row],[FECHA]])&amp;"-"&amp;MONTH(Datos_Consumo[[#This Row],[FECHA]])</f>
        <v>2018-4</v>
      </c>
    </row>
    <row r="4679" spans="1:4" x14ac:dyDescent="0.25">
      <c r="A4679" t="s">
        <v>4106</v>
      </c>
      <c r="B4679">
        <v>9</v>
      </c>
      <c r="C4679" s="54">
        <v>43221</v>
      </c>
      <c r="D4679" s="3" t="str">
        <f>YEAR(Datos_Consumo[[#This Row],[FECHA]])&amp;"-"&amp;MONTH(Datos_Consumo[[#This Row],[FECHA]])</f>
        <v>2018-5</v>
      </c>
    </row>
    <row r="4680" spans="1:4" x14ac:dyDescent="0.25">
      <c r="A4680" t="s">
        <v>3032</v>
      </c>
      <c r="B4680">
        <v>3</v>
      </c>
      <c r="C4680" s="54">
        <v>43160</v>
      </c>
      <c r="D4680" s="3" t="str">
        <f>YEAR(Datos_Consumo[[#This Row],[FECHA]])&amp;"-"&amp;MONTH(Datos_Consumo[[#This Row],[FECHA]])</f>
        <v>2018-3</v>
      </c>
    </row>
    <row r="4681" spans="1:4" x14ac:dyDescent="0.25">
      <c r="A4681" t="s">
        <v>4107</v>
      </c>
      <c r="B4681">
        <v>48</v>
      </c>
      <c r="C4681" s="54">
        <v>43221</v>
      </c>
      <c r="D4681" s="3" t="str">
        <f>YEAR(Datos_Consumo[[#This Row],[FECHA]])&amp;"-"&amp;MONTH(Datos_Consumo[[#This Row],[FECHA]])</f>
        <v>2018-5</v>
      </c>
    </row>
    <row r="4682" spans="1:4" x14ac:dyDescent="0.25">
      <c r="A4682" t="s">
        <v>3033</v>
      </c>
      <c r="B4682">
        <v>2</v>
      </c>
      <c r="C4682" s="54">
        <v>43132</v>
      </c>
      <c r="D4682" s="3" t="str">
        <f>YEAR(Datos_Consumo[[#This Row],[FECHA]])&amp;"-"&amp;MONTH(Datos_Consumo[[#This Row],[FECHA]])</f>
        <v>2018-2</v>
      </c>
    </row>
    <row r="4683" spans="1:4" x14ac:dyDescent="0.25">
      <c r="A4683" t="s">
        <v>3033</v>
      </c>
      <c r="B4683">
        <v>20</v>
      </c>
      <c r="C4683" s="54">
        <v>43221</v>
      </c>
      <c r="D4683" s="3" t="str">
        <f>YEAR(Datos_Consumo[[#This Row],[FECHA]])&amp;"-"&amp;MONTH(Datos_Consumo[[#This Row],[FECHA]])</f>
        <v>2018-5</v>
      </c>
    </row>
    <row r="4684" spans="1:4" x14ac:dyDescent="0.25">
      <c r="A4684" t="s">
        <v>4108</v>
      </c>
      <c r="B4684">
        <v>15</v>
      </c>
      <c r="C4684" s="54">
        <v>43191</v>
      </c>
      <c r="D4684" s="3" t="str">
        <f>YEAR(Datos_Consumo[[#This Row],[FECHA]])&amp;"-"&amp;MONTH(Datos_Consumo[[#This Row],[FECHA]])</f>
        <v>2018-4</v>
      </c>
    </row>
    <row r="4685" spans="1:4" x14ac:dyDescent="0.25">
      <c r="A4685" t="s">
        <v>4109</v>
      </c>
      <c r="B4685">
        <v>5</v>
      </c>
      <c r="C4685" s="54">
        <v>43221</v>
      </c>
      <c r="D4685" s="3" t="str">
        <f>YEAR(Datos_Consumo[[#This Row],[FECHA]])&amp;"-"&amp;MONTH(Datos_Consumo[[#This Row],[FECHA]])</f>
        <v>2018-5</v>
      </c>
    </row>
    <row r="4686" spans="1:4" x14ac:dyDescent="0.25">
      <c r="A4686" t="s">
        <v>4110</v>
      </c>
      <c r="B4686">
        <v>1</v>
      </c>
      <c r="C4686" s="54">
        <v>43191</v>
      </c>
      <c r="D4686" s="3" t="str">
        <f>YEAR(Datos_Consumo[[#This Row],[FECHA]])&amp;"-"&amp;MONTH(Datos_Consumo[[#This Row],[FECHA]])</f>
        <v>2018-4</v>
      </c>
    </row>
    <row r="4687" spans="1:4" x14ac:dyDescent="0.25">
      <c r="A4687" t="s">
        <v>4110</v>
      </c>
      <c r="B4687">
        <v>10</v>
      </c>
      <c r="C4687" s="54">
        <v>43221</v>
      </c>
      <c r="D4687" s="3" t="str">
        <f>YEAR(Datos_Consumo[[#This Row],[FECHA]])&amp;"-"&amp;MONTH(Datos_Consumo[[#This Row],[FECHA]])</f>
        <v>2018-5</v>
      </c>
    </row>
    <row r="4688" spans="1:4" x14ac:dyDescent="0.25">
      <c r="A4688" t="s">
        <v>3034</v>
      </c>
      <c r="B4688">
        <v>2</v>
      </c>
      <c r="C4688" s="54">
        <v>43101</v>
      </c>
      <c r="D4688" s="3" t="str">
        <f>YEAR(Datos_Consumo[[#This Row],[FECHA]])&amp;"-"&amp;MONTH(Datos_Consumo[[#This Row],[FECHA]])</f>
        <v>2018-1</v>
      </c>
    </row>
    <row r="4689" spans="1:4" x14ac:dyDescent="0.25">
      <c r="A4689" t="s">
        <v>4111</v>
      </c>
      <c r="B4689">
        <v>1</v>
      </c>
      <c r="C4689" s="54">
        <v>43191</v>
      </c>
      <c r="D4689" s="3" t="str">
        <f>YEAR(Datos_Consumo[[#This Row],[FECHA]])&amp;"-"&amp;MONTH(Datos_Consumo[[#This Row],[FECHA]])</f>
        <v>2018-4</v>
      </c>
    </row>
    <row r="4690" spans="1:4" x14ac:dyDescent="0.25">
      <c r="A4690" t="s">
        <v>4111</v>
      </c>
      <c r="B4690">
        <v>1</v>
      </c>
      <c r="C4690" s="54">
        <v>43221</v>
      </c>
      <c r="D4690" s="3" t="str">
        <f>YEAR(Datos_Consumo[[#This Row],[FECHA]])&amp;"-"&amp;MONTH(Datos_Consumo[[#This Row],[FECHA]])</f>
        <v>2018-5</v>
      </c>
    </row>
    <row r="4691" spans="1:4" x14ac:dyDescent="0.25">
      <c r="A4691" t="s">
        <v>3035</v>
      </c>
      <c r="B4691">
        <v>5</v>
      </c>
      <c r="C4691" s="54">
        <v>43132</v>
      </c>
      <c r="D4691" s="3" t="str">
        <f>YEAR(Datos_Consumo[[#This Row],[FECHA]])&amp;"-"&amp;MONTH(Datos_Consumo[[#This Row],[FECHA]])</f>
        <v>2018-2</v>
      </c>
    </row>
    <row r="4692" spans="1:4" x14ac:dyDescent="0.25">
      <c r="A4692" t="s">
        <v>3035</v>
      </c>
      <c r="B4692">
        <v>10</v>
      </c>
      <c r="C4692" s="54">
        <v>43191</v>
      </c>
      <c r="D4692" s="3" t="str">
        <f>YEAR(Datos_Consumo[[#This Row],[FECHA]])&amp;"-"&amp;MONTH(Datos_Consumo[[#This Row],[FECHA]])</f>
        <v>2018-4</v>
      </c>
    </row>
    <row r="4693" spans="1:4" x14ac:dyDescent="0.25">
      <c r="A4693" t="s">
        <v>3036</v>
      </c>
      <c r="B4693">
        <v>2</v>
      </c>
      <c r="C4693" s="54">
        <v>43070</v>
      </c>
      <c r="D4693" s="3" t="str">
        <f>YEAR(Datos_Consumo[[#This Row],[FECHA]])&amp;"-"&amp;MONTH(Datos_Consumo[[#This Row],[FECHA]])</f>
        <v>2017-12</v>
      </c>
    </row>
    <row r="4694" spans="1:4" x14ac:dyDescent="0.25">
      <c r="A4694" t="s">
        <v>3037</v>
      </c>
      <c r="B4694">
        <v>10</v>
      </c>
      <c r="C4694" s="54">
        <v>43160</v>
      </c>
      <c r="D4694" s="3" t="str">
        <f>YEAR(Datos_Consumo[[#This Row],[FECHA]])&amp;"-"&amp;MONTH(Datos_Consumo[[#This Row],[FECHA]])</f>
        <v>2018-3</v>
      </c>
    </row>
    <row r="4695" spans="1:4" x14ac:dyDescent="0.25">
      <c r="A4695" t="s">
        <v>3038</v>
      </c>
      <c r="B4695">
        <v>4</v>
      </c>
      <c r="C4695" s="54">
        <v>43070</v>
      </c>
      <c r="D4695" s="3" t="str">
        <f>YEAR(Datos_Consumo[[#This Row],[FECHA]])&amp;"-"&amp;MONTH(Datos_Consumo[[#This Row],[FECHA]])</f>
        <v>2017-12</v>
      </c>
    </row>
    <row r="4696" spans="1:4" x14ac:dyDescent="0.25">
      <c r="A4696" t="s">
        <v>3038</v>
      </c>
      <c r="B4696">
        <v>14</v>
      </c>
      <c r="C4696" s="54">
        <v>43132</v>
      </c>
      <c r="D4696" s="3" t="str">
        <f>YEAR(Datos_Consumo[[#This Row],[FECHA]])&amp;"-"&amp;MONTH(Datos_Consumo[[#This Row],[FECHA]])</f>
        <v>2018-2</v>
      </c>
    </row>
    <row r="4697" spans="1:4" x14ac:dyDescent="0.25">
      <c r="A4697" t="s">
        <v>3039</v>
      </c>
      <c r="B4697">
        <v>6</v>
      </c>
      <c r="C4697" s="54">
        <v>43070</v>
      </c>
      <c r="D4697" s="3" t="str">
        <f>YEAR(Datos_Consumo[[#This Row],[FECHA]])&amp;"-"&amp;MONTH(Datos_Consumo[[#This Row],[FECHA]])</f>
        <v>2017-12</v>
      </c>
    </row>
    <row r="4698" spans="1:4" x14ac:dyDescent="0.25">
      <c r="A4698" t="s">
        <v>3039</v>
      </c>
      <c r="B4698">
        <v>4</v>
      </c>
      <c r="C4698" s="54">
        <v>43101</v>
      </c>
      <c r="D4698" s="3" t="str">
        <f>YEAR(Datos_Consumo[[#This Row],[FECHA]])&amp;"-"&amp;MONTH(Datos_Consumo[[#This Row],[FECHA]])</f>
        <v>2018-1</v>
      </c>
    </row>
    <row r="4699" spans="1:4" x14ac:dyDescent="0.25">
      <c r="A4699" t="s">
        <v>3039</v>
      </c>
      <c r="B4699">
        <v>18</v>
      </c>
      <c r="C4699" s="54">
        <v>43132</v>
      </c>
      <c r="D4699" s="3" t="str">
        <f>YEAR(Datos_Consumo[[#This Row],[FECHA]])&amp;"-"&amp;MONTH(Datos_Consumo[[#This Row],[FECHA]])</f>
        <v>2018-2</v>
      </c>
    </row>
    <row r="4700" spans="1:4" x14ac:dyDescent="0.25">
      <c r="A4700" t="s">
        <v>3040</v>
      </c>
      <c r="B4700">
        <v>1</v>
      </c>
      <c r="C4700" s="54">
        <v>43101</v>
      </c>
      <c r="D4700" s="3" t="str">
        <f>YEAR(Datos_Consumo[[#This Row],[FECHA]])&amp;"-"&amp;MONTH(Datos_Consumo[[#This Row],[FECHA]])</f>
        <v>2018-1</v>
      </c>
    </row>
    <row r="4701" spans="1:4" x14ac:dyDescent="0.25">
      <c r="A4701" t="s">
        <v>3040</v>
      </c>
      <c r="B4701">
        <v>10</v>
      </c>
      <c r="C4701" s="54">
        <v>43132</v>
      </c>
      <c r="D4701" s="3" t="str">
        <f>YEAR(Datos_Consumo[[#This Row],[FECHA]])&amp;"-"&amp;MONTH(Datos_Consumo[[#This Row],[FECHA]])</f>
        <v>2018-2</v>
      </c>
    </row>
    <row r="4702" spans="1:4" x14ac:dyDescent="0.25">
      <c r="A4702" t="s">
        <v>3041</v>
      </c>
      <c r="B4702">
        <v>1</v>
      </c>
      <c r="C4702" s="54">
        <v>43070</v>
      </c>
      <c r="D4702" s="3" t="str">
        <f>YEAR(Datos_Consumo[[#This Row],[FECHA]])&amp;"-"&amp;MONTH(Datos_Consumo[[#This Row],[FECHA]])</f>
        <v>2017-12</v>
      </c>
    </row>
    <row r="4703" spans="1:4" x14ac:dyDescent="0.25">
      <c r="A4703" t="s">
        <v>4112</v>
      </c>
      <c r="B4703">
        <v>1</v>
      </c>
      <c r="C4703" s="54">
        <v>43191</v>
      </c>
      <c r="D4703" s="3" t="str">
        <f>YEAR(Datos_Consumo[[#This Row],[FECHA]])&amp;"-"&amp;MONTH(Datos_Consumo[[#This Row],[FECHA]])</f>
        <v>2018-4</v>
      </c>
    </row>
    <row r="4704" spans="1:4" x14ac:dyDescent="0.25">
      <c r="A4704" t="s">
        <v>4112</v>
      </c>
      <c r="B4704">
        <v>1</v>
      </c>
      <c r="C4704" s="54">
        <v>43221</v>
      </c>
      <c r="D4704" s="3" t="str">
        <f>YEAR(Datos_Consumo[[#This Row],[FECHA]])&amp;"-"&amp;MONTH(Datos_Consumo[[#This Row],[FECHA]])</f>
        <v>2018-5</v>
      </c>
    </row>
    <row r="4705" spans="1:4" x14ac:dyDescent="0.25">
      <c r="A4705" t="s">
        <v>3042</v>
      </c>
      <c r="B4705">
        <v>3</v>
      </c>
      <c r="C4705" s="54">
        <v>43070</v>
      </c>
      <c r="D4705" s="3" t="str">
        <f>YEAR(Datos_Consumo[[#This Row],[FECHA]])&amp;"-"&amp;MONTH(Datos_Consumo[[#This Row],[FECHA]])</f>
        <v>2017-12</v>
      </c>
    </row>
    <row r="4706" spans="1:4" x14ac:dyDescent="0.25">
      <c r="A4706" t="s">
        <v>3042</v>
      </c>
      <c r="B4706">
        <v>1</v>
      </c>
      <c r="C4706" s="54">
        <v>43132</v>
      </c>
      <c r="D4706" s="3" t="str">
        <f>YEAR(Datos_Consumo[[#This Row],[FECHA]])&amp;"-"&amp;MONTH(Datos_Consumo[[#This Row],[FECHA]])</f>
        <v>2018-2</v>
      </c>
    </row>
    <row r="4707" spans="1:4" x14ac:dyDescent="0.25">
      <c r="A4707" t="s">
        <v>3042</v>
      </c>
      <c r="B4707">
        <v>39</v>
      </c>
      <c r="C4707" s="54">
        <v>43221</v>
      </c>
      <c r="D4707" s="3" t="str">
        <f>YEAR(Datos_Consumo[[#This Row],[FECHA]])&amp;"-"&amp;MONTH(Datos_Consumo[[#This Row],[FECHA]])</f>
        <v>2018-5</v>
      </c>
    </row>
    <row r="4708" spans="1:4" x14ac:dyDescent="0.25">
      <c r="A4708" t="s">
        <v>3043</v>
      </c>
      <c r="B4708">
        <v>4</v>
      </c>
      <c r="C4708" s="54">
        <v>43101</v>
      </c>
      <c r="D4708" s="3" t="str">
        <f>YEAR(Datos_Consumo[[#This Row],[FECHA]])&amp;"-"&amp;MONTH(Datos_Consumo[[#This Row],[FECHA]])</f>
        <v>2018-1</v>
      </c>
    </row>
    <row r="4709" spans="1:4" x14ac:dyDescent="0.25">
      <c r="A4709" t="s">
        <v>3043</v>
      </c>
      <c r="B4709">
        <v>2</v>
      </c>
      <c r="C4709" s="54">
        <v>43160</v>
      </c>
      <c r="D4709" s="3" t="str">
        <f>YEAR(Datos_Consumo[[#This Row],[FECHA]])&amp;"-"&amp;MONTH(Datos_Consumo[[#This Row],[FECHA]])</f>
        <v>2018-3</v>
      </c>
    </row>
    <row r="4710" spans="1:4" x14ac:dyDescent="0.25">
      <c r="A4710" t="s">
        <v>3043</v>
      </c>
      <c r="B4710">
        <v>15</v>
      </c>
      <c r="C4710" s="54">
        <v>43221</v>
      </c>
      <c r="D4710" s="3" t="str">
        <f>YEAR(Datos_Consumo[[#This Row],[FECHA]])&amp;"-"&amp;MONTH(Datos_Consumo[[#This Row],[FECHA]])</f>
        <v>2018-5</v>
      </c>
    </row>
    <row r="4711" spans="1:4" x14ac:dyDescent="0.25">
      <c r="A4711" t="s">
        <v>3044</v>
      </c>
      <c r="B4711">
        <v>14</v>
      </c>
      <c r="C4711" s="54">
        <v>43070</v>
      </c>
      <c r="D4711" s="3" t="str">
        <f>YEAR(Datos_Consumo[[#This Row],[FECHA]])&amp;"-"&amp;MONTH(Datos_Consumo[[#This Row],[FECHA]])</f>
        <v>2017-12</v>
      </c>
    </row>
    <row r="4712" spans="1:4" x14ac:dyDescent="0.25">
      <c r="A4712" t="s">
        <v>3044</v>
      </c>
      <c r="B4712">
        <v>5</v>
      </c>
      <c r="C4712" s="54">
        <v>43101</v>
      </c>
      <c r="D4712" s="3" t="str">
        <f>YEAR(Datos_Consumo[[#This Row],[FECHA]])&amp;"-"&amp;MONTH(Datos_Consumo[[#This Row],[FECHA]])</f>
        <v>2018-1</v>
      </c>
    </row>
    <row r="4713" spans="1:4" x14ac:dyDescent="0.25">
      <c r="A4713" t="s">
        <v>3044</v>
      </c>
      <c r="B4713">
        <v>4</v>
      </c>
      <c r="C4713" s="54">
        <v>43132</v>
      </c>
      <c r="D4713" s="3" t="str">
        <f>YEAR(Datos_Consumo[[#This Row],[FECHA]])&amp;"-"&amp;MONTH(Datos_Consumo[[#This Row],[FECHA]])</f>
        <v>2018-2</v>
      </c>
    </row>
    <row r="4714" spans="1:4" x14ac:dyDescent="0.25">
      <c r="A4714" t="s">
        <v>3044</v>
      </c>
      <c r="B4714">
        <v>6</v>
      </c>
      <c r="C4714" s="54">
        <v>43160</v>
      </c>
      <c r="D4714" s="3" t="str">
        <f>YEAR(Datos_Consumo[[#This Row],[FECHA]])&amp;"-"&amp;MONTH(Datos_Consumo[[#This Row],[FECHA]])</f>
        <v>2018-3</v>
      </c>
    </row>
    <row r="4715" spans="1:4" x14ac:dyDescent="0.25">
      <c r="A4715" t="s">
        <v>3044</v>
      </c>
      <c r="B4715">
        <v>3</v>
      </c>
      <c r="C4715" s="54">
        <v>43191</v>
      </c>
      <c r="D4715" s="3" t="str">
        <f>YEAR(Datos_Consumo[[#This Row],[FECHA]])&amp;"-"&amp;MONTH(Datos_Consumo[[#This Row],[FECHA]])</f>
        <v>2018-4</v>
      </c>
    </row>
    <row r="4716" spans="1:4" x14ac:dyDescent="0.25">
      <c r="A4716" t="s">
        <v>4113</v>
      </c>
      <c r="B4716">
        <v>2</v>
      </c>
      <c r="C4716" s="54">
        <v>43191</v>
      </c>
      <c r="D4716" s="3" t="str">
        <f>YEAR(Datos_Consumo[[#This Row],[FECHA]])&amp;"-"&amp;MONTH(Datos_Consumo[[#This Row],[FECHA]])</f>
        <v>2018-4</v>
      </c>
    </row>
    <row r="4717" spans="1:4" x14ac:dyDescent="0.25">
      <c r="A4717" t="s">
        <v>4113</v>
      </c>
      <c r="B4717">
        <v>11</v>
      </c>
      <c r="C4717" s="54">
        <v>43221</v>
      </c>
      <c r="D4717" s="3" t="str">
        <f>YEAR(Datos_Consumo[[#This Row],[FECHA]])&amp;"-"&amp;MONTH(Datos_Consumo[[#This Row],[FECHA]])</f>
        <v>2018-5</v>
      </c>
    </row>
    <row r="4718" spans="1:4" x14ac:dyDescent="0.25">
      <c r="A4718" t="s">
        <v>3045</v>
      </c>
      <c r="B4718">
        <v>3</v>
      </c>
      <c r="C4718" s="54">
        <v>43101</v>
      </c>
      <c r="D4718" s="3" t="str">
        <f>YEAR(Datos_Consumo[[#This Row],[FECHA]])&amp;"-"&amp;MONTH(Datos_Consumo[[#This Row],[FECHA]])</f>
        <v>2018-1</v>
      </c>
    </row>
    <row r="4719" spans="1:4" x14ac:dyDescent="0.25">
      <c r="A4719" t="s">
        <v>3045</v>
      </c>
      <c r="B4719">
        <v>1</v>
      </c>
      <c r="C4719" s="54">
        <v>43191</v>
      </c>
      <c r="D4719" s="3" t="str">
        <f>YEAR(Datos_Consumo[[#This Row],[FECHA]])&amp;"-"&amp;MONTH(Datos_Consumo[[#This Row],[FECHA]])</f>
        <v>2018-4</v>
      </c>
    </row>
    <row r="4720" spans="1:4" x14ac:dyDescent="0.25">
      <c r="A4720" t="s">
        <v>3046</v>
      </c>
      <c r="B4720">
        <v>4</v>
      </c>
      <c r="C4720" s="54">
        <v>43101</v>
      </c>
      <c r="D4720" s="3" t="str">
        <f>YEAR(Datos_Consumo[[#This Row],[FECHA]])&amp;"-"&amp;MONTH(Datos_Consumo[[#This Row],[FECHA]])</f>
        <v>2018-1</v>
      </c>
    </row>
    <row r="4721" spans="1:4" x14ac:dyDescent="0.25">
      <c r="A4721" t="s">
        <v>3046</v>
      </c>
      <c r="B4721">
        <v>11</v>
      </c>
      <c r="C4721" s="54">
        <v>43132</v>
      </c>
      <c r="D4721" s="3" t="str">
        <f>YEAR(Datos_Consumo[[#This Row],[FECHA]])&amp;"-"&amp;MONTH(Datos_Consumo[[#This Row],[FECHA]])</f>
        <v>2018-2</v>
      </c>
    </row>
    <row r="4722" spans="1:4" x14ac:dyDescent="0.25">
      <c r="A4722" t="s">
        <v>3046</v>
      </c>
      <c r="B4722">
        <v>5</v>
      </c>
      <c r="C4722" s="54">
        <v>43221</v>
      </c>
      <c r="D4722" s="3" t="str">
        <f>YEAR(Datos_Consumo[[#This Row],[FECHA]])&amp;"-"&amp;MONTH(Datos_Consumo[[#This Row],[FECHA]])</f>
        <v>2018-5</v>
      </c>
    </row>
    <row r="4723" spans="1:4" x14ac:dyDescent="0.25">
      <c r="A4723" t="s">
        <v>3047</v>
      </c>
      <c r="B4723">
        <v>5</v>
      </c>
      <c r="C4723" s="54">
        <v>43132</v>
      </c>
      <c r="D4723" s="3" t="str">
        <f>YEAR(Datos_Consumo[[#This Row],[FECHA]])&amp;"-"&amp;MONTH(Datos_Consumo[[#This Row],[FECHA]])</f>
        <v>2018-2</v>
      </c>
    </row>
    <row r="4724" spans="1:4" x14ac:dyDescent="0.25">
      <c r="A4724" t="s">
        <v>3048</v>
      </c>
      <c r="B4724">
        <v>20</v>
      </c>
      <c r="C4724" s="54">
        <v>43221</v>
      </c>
      <c r="D4724" s="3" t="str">
        <f>YEAR(Datos_Consumo[[#This Row],[FECHA]])&amp;"-"&amp;MONTH(Datos_Consumo[[#This Row],[FECHA]])</f>
        <v>2018-5</v>
      </c>
    </row>
    <row r="4725" spans="1:4" x14ac:dyDescent="0.25">
      <c r="A4725" t="s">
        <v>3049</v>
      </c>
      <c r="B4725">
        <v>1</v>
      </c>
      <c r="C4725" s="54">
        <v>43070</v>
      </c>
      <c r="D4725" s="3" t="str">
        <f>YEAR(Datos_Consumo[[#This Row],[FECHA]])&amp;"-"&amp;MONTH(Datos_Consumo[[#This Row],[FECHA]])</f>
        <v>2017-12</v>
      </c>
    </row>
    <row r="4726" spans="1:4" x14ac:dyDescent="0.25">
      <c r="A4726" t="s">
        <v>3049</v>
      </c>
      <c r="B4726">
        <v>6</v>
      </c>
      <c r="C4726" s="54">
        <v>43221</v>
      </c>
      <c r="D4726" s="3" t="str">
        <f>YEAR(Datos_Consumo[[#This Row],[FECHA]])&amp;"-"&amp;MONTH(Datos_Consumo[[#This Row],[FECHA]])</f>
        <v>2018-5</v>
      </c>
    </row>
    <row r="4727" spans="1:4" x14ac:dyDescent="0.25">
      <c r="A4727" t="s">
        <v>3050</v>
      </c>
      <c r="B4727">
        <v>7</v>
      </c>
      <c r="C4727" s="54">
        <v>43132</v>
      </c>
      <c r="D4727" s="3" t="str">
        <f>YEAR(Datos_Consumo[[#This Row],[FECHA]])&amp;"-"&amp;MONTH(Datos_Consumo[[#This Row],[FECHA]])</f>
        <v>2018-2</v>
      </c>
    </row>
    <row r="4728" spans="1:4" x14ac:dyDescent="0.25">
      <c r="A4728" t="s">
        <v>3050</v>
      </c>
      <c r="B4728">
        <v>10</v>
      </c>
      <c r="C4728" s="54">
        <v>43191</v>
      </c>
      <c r="D4728" s="3" t="str">
        <f>YEAR(Datos_Consumo[[#This Row],[FECHA]])&amp;"-"&amp;MONTH(Datos_Consumo[[#This Row],[FECHA]])</f>
        <v>2018-4</v>
      </c>
    </row>
    <row r="4729" spans="1:4" x14ac:dyDescent="0.25">
      <c r="A4729" t="s">
        <v>3051</v>
      </c>
      <c r="B4729">
        <v>2</v>
      </c>
      <c r="C4729" s="54">
        <v>43132</v>
      </c>
      <c r="D4729" s="3" t="str">
        <f>YEAR(Datos_Consumo[[#This Row],[FECHA]])&amp;"-"&amp;MONTH(Datos_Consumo[[#This Row],[FECHA]])</f>
        <v>2018-2</v>
      </c>
    </row>
    <row r="4730" spans="1:4" x14ac:dyDescent="0.25">
      <c r="A4730" t="s">
        <v>3052</v>
      </c>
      <c r="B4730">
        <v>10</v>
      </c>
      <c r="C4730" s="54">
        <v>43070</v>
      </c>
      <c r="D4730" s="3" t="str">
        <f>YEAR(Datos_Consumo[[#This Row],[FECHA]])&amp;"-"&amp;MONTH(Datos_Consumo[[#This Row],[FECHA]])</f>
        <v>2017-12</v>
      </c>
    </row>
    <row r="4731" spans="1:4" x14ac:dyDescent="0.25">
      <c r="A4731" t="s">
        <v>3052</v>
      </c>
      <c r="B4731">
        <v>2</v>
      </c>
      <c r="C4731" s="54">
        <v>43101</v>
      </c>
      <c r="D4731" s="3" t="str">
        <f>YEAR(Datos_Consumo[[#This Row],[FECHA]])&amp;"-"&amp;MONTH(Datos_Consumo[[#This Row],[FECHA]])</f>
        <v>2018-1</v>
      </c>
    </row>
    <row r="4732" spans="1:4" x14ac:dyDescent="0.25">
      <c r="A4732" t="s">
        <v>3052</v>
      </c>
      <c r="B4732">
        <v>18</v>
      </c>
      <c r="C4732" s="54">
        <v>43132</v>
      </c>
      <c r="D4732" s="3" t="str">
        <f>YEAR(Datos_Consumo[[#This Row],[FECHA]])&amp;"-"&amp;MONTH(Datos_Consumo[[#This Row],[FECHA]])</f>
        <v>2018-2</v>
      </c>
    </row>
    <row r="4733" spans="1:4" x14ac:dyDescent="0.25">
      <c r="A4733" t="s">
        <v>3052</v>
      </c>
      <c r="B4733">
        <v>10</v>
      </c>
      <c r="C4733" s="54">
        <v>43160</v>
      </c>
      <c r="D4733" s="3" t="str">
        <f>YEAR(Datos_Consumo[[#This Row],[FECHA]])&amp;"-"&amp;MONTH(Datos_Consumo[[#This Row],[FECHA]])</f>
        <v>2018-3</v>
      </c>
    </row>
    <row r="4734" spans="1:4" x14ac:dyDescent="0.25">
      <c r="A4734" t="s">
        <v>3053</v>
      </c>
      <c r="B4734">
        <v>4</v>
      </c>
      <c r="C4734" s="54">
        <v>43101</v>
      </c>
      <c r="D4734" s="3" t="str">
        <f>YEAR(Datos_Consumo[[#This Row],[FECHA]])&amp;"-"&amp;MONTH(Datos_Consumo[[#This Row],[FECHA]])</f>
        <v>2018-1</v>
      </c>
    </row>
    <row r="4735" spans="1:4" x14ac:dyDescent="0.25">
      <c r="A4735" t="s">
        <v>3053</v>
      </c>
      <c r="B4735">
        <v>22</v>
      </c>
      <c r="C4735" s="54">
        <v>43132</v>
      </c>
      <c r="D4735" s="3" t="str">
        <f>YEAR(Datos_Consumo[[#This Row],[FECHA]])&amp;"-"&amp;MONTH(Datos_Consumo[[#This Row],[FECHA]])</f>
        <v>2018-2</v>
      </c>
    </row>
    <row r="4736" spans="1:4" x14ac:dyDescent="0.25">
      <c r="A4736" t="s">
        <v>3053</v>
      </c>
      <c r="B4736">
        <v>5</v>
      </c>
      <c r="C4736" s="54">
        <v>43191</v>
      </c>
      <c r="D4736" s="3" t="str">
        <f>YEAR(Datos_Consumo[[#This Row],[FECHA]])&amp;"-"&amp;MONTH(Datos_Consumo[[#This Row],[FECHA]])</f>
        <v>2018-4</v>
      </c>
    </row>
    <row r="4737" spans="1:4" x14ac:dyDescent="0.25">
      <c r="A4737" t="s">
        <v>3054</v>
      </c>
      <c r="B4737">
        <v>2</v>
      </c>
      <c r="C4737" s="54">
        <v>43132</v>
      </c>
      <c r="D4737" s="3" t="str">
        <f>YEAR(Datos_Consumo[[#This Row],[FECHA]])&amp;"-"&amp;MONTH(Datos_Consumo[[#This Row],[FECHA]])</f>
        <v>2018-2</v>
      </c>
    </row>
    <row r="4738" spans="1:4" x14ac:dyDescent="0.25">
      <c r="A4738" t="s">
        <v>3054</v>
      </c>
      <c r="B4738">
        <v>12</v>
      </c>
      <c r="C4738" s="54">
        <v>43160</v>
      </c>
      <c r="D4738" s="3" t="str">
        <f>YEAR(Datos_Consumo[[#This Row],[FECHA]])&amp;"-"&amp;MONTH(Datos_Consumo[[#This Row],[FECHA]])</f>
        <v>2018-3</v>
      </c>
    </row>
    <row r="4739" spans="1:4" x14ac:dyDescent="0.25">
      <c r="A4739" t="s">
        <v>3054</v>
      </c>
      <c r="B4739">
        <v>5</v>
      </c>
      <c r="C4739" s="54">
        <v>43191</v>
      </c>
      <c r="D4739" s="3" t="str">
        <f>YEAR(Datos_Consumo[[#This Row],[FECHA]])&amp;"-"&amp;MONTH(Datos_Consumo[[#This Row],[FECHA]])</f>
        <v>2018-4</v>
      </c>
    </row>
    <row r="4740" spans="1:4" x14ac:dyDescent="0.25">
      <c r="A4740" t="s">
        <v>3054</v>
      </c>
      <c r="B4740">
        <v>41</v>
      </c>
      <c r="C4740" s="54">
        <v>43221</v>
      </c>
      <c r="D4740" s="3" t="str">
        <f>YEAR(Datos_Consumo[[#This Row],[FECHA]])&amp;"-"&amp;MONTH(Datos_Consumo[[#This Row],[FECHA]])</f>
        <v>2018-5</v>
      </c>
    </row>
    <row r="4741" spans="1:4" x14ac:dyDescent="0.25">
      <c r="A4741" t="s">
        <v>3055</v>
      </c>
      <c r="B4741">
        <v>2</v>
      </c>
      <c r="C4741" s="54">
        <v>43132</v>
      </c>
      <c r="D4741" s="3" t="str">
        <f>YEAR(Datos_Consumo[[#This Row],[FECHA]])&amp;"-"&amp;MONTH(Datos_Consumo[[#This Row],[FECHA]])</f>
        <v>2018-2</v>
      </c>
    </row>
    <row r="4742" spans="1:4" x14ac:dyDescent="0.25">
      <c r="A4742" t="s">
        <v>3056</v>
      </c>
      <c r="B4742">
        <v>10</v>
      </c>
      <c r="C4742" s="54">
        <v>43191</v>
      </c>
      <c r="D4742" s="3" t="str">
        <f>YEAR(Datos_Consumo[[#This Row],[FECHA]])&amp;"-"&amp;MONTH(Datos_Consumo[[#This Row],[FECHA]])</f>
        <v>2018-4</v>
      </c>
    </row>
    <row r="4743" spans="1:4" x14ac:dyDescent="0.25">
      <c r="A4743" t="s">
        <v>3057</v>
      </c>
      <c r="B4743">
        <v>20</v>
      </c>
      <c r="C4743" s="54">
        <v>43160</v>
      </c>
      <c r="D4743" s="3" t="str">
        <f>YEAR(Datos_Consumo[[#This Row],[FECHA]])&amp;"-"&amp;MONTH(Datos_Consumo[[#This Row],[FECHA]])</f>
        <v>2018-3</v>
      </c>
    </row>
    <row r="4744" spans="1:4" x14ac:dyDescent="0.25">
      <c r="A4744" t="s">
        <v>3058</v>
      </c>
      <c r="B4744">
        <v>19</v>
      </c>
      <c r="C4744" s="54">
        <v>43221</v>
      </c>
      <c r="D4744" s="3" t="str">
        <f>YEAR(Datos_Consumo[[#This Row],[FECHA]])&amp;"-"&amp;MONTH(Datos_Consumo[[#This Row],[FECHA]])</f>
        <v>2018-5</v>
      </c>
    </row>
    <row r="4745" spans="1:4" x14ac:dyDescent="0.25">
      <c r="A4745" t="s">
        <v>3059</v>
      </c>
      <c r="B4745">
        <v>5</v>
      </c>
      <c r="C4745" s="54">
        <v>43221</v>
      </c>
      <c r="D4745" s="3" t="str">
        <f>YEAR(Datos_Consumo[[#This Row],[FECHA]])&amp;"-"&amp;MONTH(Datos_Consumo[[#This Row],[FECHA]])</f>
        <v>2018-5</v>
      </c>
    </row>
    <row r="4746" spans="1:4" x14ac:dyDescent="0.25">
      <c r="A4746" t="s">
        <v>4114</v>
      </c>
      <c r="B4746">
        <v>5</v>
      </c>
      <c r="C4746" s="54">
        <v>43191</v>
      </c>
      <c r="D4746" s="3" t="str">
        <f>YEAR(Datos_Consumo[[#This Row],[FECHA]])&amp;"-"&amp;MONTH(Datos_Consumo[[#This Row],[FECHA]])</f>
        <v>2018-4</v>
      </c>
    </row>
    <row r="4747" spans="1:4" x14ac:dyDescent="0.25">
      <c r="A4747" t="s">
        <v>4114</v>
      </c>
      <c r="B4747">
        <v>15</v>
      </c>
      <c r="C4747" s="54">
        <v>43221</v>
      </c>
      <c r="D4747" s="3" t="str">
        <f>YEAR(Datos_Consumo[[#This Row],[FECHA]])&amp;"-"&amp;MONTH(Datos_Consumo[[#This Row],[FECHA]])</f>
        <v>2018-5</v>
      </c>
    </row>
    <row r="4748" spans="1:4" x14ac:dyDescent="0.25">
      <c r="A4748" t="s">
        <v>4115</v>
      </c>
      <c r="B4748">
        <v>3</v>
      </c>
      <c r="C4748" s="54">
        <v>43191</v>
      </c>
      <c r="D4748" s="3" t="str">
        <f>YEAR(Datos_Consumo[[#This Row],[FECHA]])&amp;"-"&amp;MONTH(Datos_Consumo[[#This Row],[FECHA]])</f>
        <v>2018-4</v>
      </c>
    </row>
    <row r="4749" spans="1:4" x14ac:dyDescent="0.25">
      <c r="A4749" t="s">
        <v>4115</v>
      </c>
      <c r="B4749">
        <v>11</v>
      </c>
      <c r="C4749" s="54">
        <v>43221</v>
      </c>
      <c r="D4749" s="3" t="str">
        <f>YEAR(Datos_Consumo[[#This Row],[FECHA]])&amp;"-"&amp;MONTH(Datos_Consumo[[#This Row],[FECHA]])</f>
        <v>2018-5</v>
      </c>
    </row>
    <row r="4750" spans="1:4" x14ac:dyDescent="0.25">
      <c r="A4750" t="s">
        <v>3060</v>
      </c>
      <c r="B4750">
        <v>14</v>
      </c>
      <c r="C4750" s="54">
        <v>43191</v>
      </c>
      <c r="D4750" s="3" t="str">
        <f>YEAR(Datos_Consumo[[#This Row],[FECHA]])&amp;"-"&amp;MONTH(Datos_Consumo[[#This Row],[FECHA]])</f>
        <v>2018-4</v>
      </c>
    </row>
    <row r="4751" spans="1:4" x14ac:dyDescent="0.25">
      <c r="A4751" t="s">
        <v>3060</v>
      </c>
      <c r="B4751">
        <v>16</v>
      </c>
      <c r="C4751" s="54">
        <v>43221</v>
      </c>
      <c r="D4751" s="3" t="str">
        <f>YEAR(Datos_Consumo[[#This Row],[FECHA]])&amp;"-"&amp;MONTH(Datos_Consumo[[#This Row],[FECHA]])</f>
        <v>2018-5</v>
      </c>
    </row>
    <row r="4752" spans="1:4" x14ac:dyDescent="0.25">
      <c r="A4752" t="s">
        <v>3061</v>
      </c>
      <c r="B4752">
        <v>11</v>
      </c>
      <c r="C4752" s="54">
        <v>43070</v>
      </c>
      <c r="D4752" s="3" t="str">
        <f>YEAR(Datos_Consumo[[#This Row],[FECHA]])&amp;"-"&amp;MONTH(Datos_Consumo[[#This Row],[FECHA]])</f>
        <v>2017-12</v>
      </c>
    </row>
    <row r="4753" spans="1:4" x14ac:dyDescent="0.25">
      <c r="A4753" t="s">
        <v>3061</v>
      </c>
      <c r="B4753">
        <v>4</v>
      </c>
      <c r="C4753" s="54">
        <v>43160</v>
      </c>
      <c r="D4753" s="3" t="str">
        <f>YEAR(Datos_Consumo[[#This Row],[FECHA]])&amp;"-"&amp;MONTH(Datos_Consumo[[#This Row],[FECHA]])</f>
        <v>2018-3</v>
      </c>
    </row>
    <row r="4754" spans="1:4" x14ac:dyDescent="0.25">
      <c r="A4754" t="s">
        <v>3061</v>
      </c>
      <c r="B4754">
        <v>7</v>
      </c>
      <c r="C4754" s="54">
        <v>43191</v>
      </c>
      <c r="D4754" s="3" t="str">
        <f>YEAR(Datos_Consumo[[#This Row],[FECHA]])&amp;"-"&amp;MONTH(Datos_Consumo[[#This Row],[FECHA]])</f>
        <v>2018-4</v>
      </c>
    </row>
    <row r="4755" spans="1:4" x14ac:dyDescent="0.25">
      <c r="A4755" t="s">
        <v>3061</v>
      </c>
      <c r="B4755">
        <v>10</v>
      </c>
      <c r="C4755" s="54">
        <v>43221</v>
      </c>
      <c r="D4755" s="3" t="str">
        <f>YEAR(Datos_Consumo[[#This Row],[FECHA]])&amp;"-"&amp;MONTH(Datos_Consumo[[#This Row],[FECHA]])</f>
        <v>2018-5</v>
      </c>
    </row>
    <row r="4756" spans="1:4" x14ac:dyDescent="0.25">
      <c r="A4756" t="s">
        <v>3062</v>
      </c>
      <c r="B4756">
        <v>5</v>
      </c>
      <c r="C4756" s="54">
        <v>43132</v>
      </c>
      <c r="D4756" s="3" t="str">
        <f>YEAR(Datos_Consumo[[#This Row],[FECHA]])&amp;"-"&amp;MONTH(Datos_Consumo[[#This Row],[FECHA]])</f>
        <v>2018-2</v>
      </c>
    </row>
    <row r="4757" spans="1:4" x14ac:dyDescent="0.25">
      <c r="A4757" t="s">
        <v>3062</v>
      </c>
      <c r="B4757">
        <v>1</v>
      </c>
      <c r="C4757" s="54">
        <v>43160</v>
      </c>
      <c r="D4757" s="3" t="str">
        <f>YEAR(Datos_Consumo[[#This Row],[FECHA]])&amp;"-"&amp;MONTH(Datos_Consumo[[#This Row],[FECHA]])</f>
        <v>2018-3</v>
      </c>
    </row>
    <row r="4758" spans="1:4" x14ac:dyDescent="0.25">
      <c r="A4758" t="s">
        <v>3062</v>
      </c>
      <c r="B4758">
        <v>1</v>
      </c>
      <c r="C4758" s="54">
        <v>43191</v>
      </c>
      <c r="D4758" s="3" t="str">
        <f>YEAR(Datos_Consumo[[#This Row],[FECHA]])&amp;"-"&amp;MONTH(Datos_Consumo[[#This Row],[FECHA]])</f>
        <v>2018-4</v>
      </c>
    </row>
    <row r="4759" spans="1:4" x14ac:dyDescent="0.25">
      <c r="A4759" t="s">
        <v>3062</v>
      </c>
      <c r="B4759">
        <v>30</v>
      </c>
      <c r="C4759" s="54">
        <v>43221</v>
      </c>
      <c r="D4759" s="3" t="str">
        <f>YEAR(Datos_Consumo[[#This Row],[FECHA]])&amp;"-"&amp;MONTH(Datos_Consumo[[#This Row],[FECHA]])</f>
        <v>2018-5</v>
      </c>
    </row>
    <row r="4760" spans="1:4" x14ac:dyDescent="0.25">
      <c r="A4760" t="s">
        <v>3063</v>
      </c>
      <c r="B4760">
        <v>10</v>
      </c>
      <c r="C4760" s="54">
        <v>43160</v>
      </c>
      <c r="D4760" s="3" t="str">
        <f>YEAR(Datos_Consumo[[#This Row],[FECHA]])&amp;"-"&amp;MONTH(Datos_Consumo[[#This Row],[FECHA]])</f>
        <v>2018-3</v>
      </c>
    </row>
    <row r="4761" spans="1:4" x14ac:dyDescent="0.25">
      <c r="A4761" t="s">
        <v>3064</v>
      </c>
      <c r="B4761">
        <v>5</v>
      </c>
      <c r="C4761" s="54">
        <v>43132</v>
      </c>
      <c r="D4761" s="3" t="str">
        <f>YEAR(Datos_Consumo[[#This Row],[FECHA]])&amp;"-"&amp;MONTH(Datos_Consumo[[#This Row],[FECHA]])</f>
        <v>2018-2</v>
      </c>
    </row>
    <row r="4762" spans="1:4" x14ac:dyDescent="0.25">
      <c r="A4762" t="s">
        <v>4116</v>
      </c>
      <c r="B4762">
        <v>13</v>
      </c>
      <c r="C4762" s="54">
        <v>43191</v>
      </c>
      <c r="D4762" s="3" t="str">
        <f>YEAR(Datos_Consumo[[#This Row],[FECHA]])&amp;"-"&amp;MONTH(Datos_Consumo[[#This Row],[FECHA]])</f>
        <v>2018-4</v>
      </c>
    </row>
    <row r="4763" spans="1:4" x14ac:dyDescent="0.25">
      <c r="A4763" t="s">
        <v>3065</v>
      </c>
      <c r="B4763">
        <v>1</v>
      </c>
      <c r="C4763" s="54">
        <v>43160</v>
      </c>
      <c r="D4763" s="3" t="str">
        <f>YEAR(Datos_Consumo[[#This Row],[FECHA]])&amp;"-"&amp;MONTH(Datos_Consumo[[#This Row],[FECHA]])</f>
        <v>2018-3</v>
      </c>
    </row>
    <row r="4764" spans="1:4" x14ac:dyDescent="0.25">
      <c r="A4764" t="s">
        <v>4117</v>
      </c>
      <c r="B4764">
        <v>20</v>
      </c>
      <c r="C4764" s="54">
        <v>43191</v>
      </c>
      <c r="D4764" s="3" t="str">
        <f>YEAR(Datos_Consumo[[#This Row],[FECHA]])&amp;"-"&amp;MONTH(Datos_Consumo[[#This Row],[FECHA]])</f>
        <v>2018-4</v>
      </c>
    </row>
    <row r="4765" spans="1:4" x14ac:dyDescent="0.25">
      <c r="A4765" t="s">
        <v>3066</v>
      </c>
      <c r="B4765">
        <v>1</v>
      </c>
      <c r="C4765" s="54">
        <v>43160</v>
      </c>
      <c r="D4765" s="3" t="str">
        <f>YEAR(Datos_Consumo[[#This Row],[FECHA]])&amp;"-"&amp;MONTH(Datos_Consumo[[#This Row],[FECHA]])</f>
        <v>2018-3</v>
      </c>
    </row>
    <row r="4766" spans="1:4" x14ac:dyDescent="0.25">
      <c r="A4766" t="s">
        <v>3067</v>
      </c>
      <c r="B4766">
        <v>3</v>
      </c>
      <c r="C4766" s="54">
        <v>43070</v>
      </c>
      <c r="D4766" s="3" t="str">
        <f>YEAR(Datos_Consumo[[#This Row],[FECHA]])&amp;"-"&amp;MONTH(Datos_Consumo[[#This Row],[FECHA]])</f>
        <v>2017-12</v>
      </c>
    </row>
    <row r="4767" spans="1:4" x14ac:dyDescent="0.25">
      <c r="A4767" t="s">
        <v>3068</v>
      </c>
      <c r="B4767">
        <v>12</v>
      </c>
      <c r="C4767" s="54">
        <v>43132</v>
      </c>
      <c r="D4767" s="3" t="str">
        <f>YEAR(Datos_Consumo[[#This Row],[FECHA]])&amp;"-"&amp;MONTH(Datos_Consumo[[#This Row],[FECHA]])</f>
        <v>2018-2</v>
      </c>
    </row>
    <row r="4768" spans="1:4" x14ac:dyDescent="0.25">
      <c r="A4768" t="s">
        <v>3069</v>
      </c>
      <c r="B4768">
        <v>4</v>
      </c>
      <c r="C4768" s="54">
        <v>43070</v>
      </c>
      <c r="D4768" s="3" t="str">
        <f>YEAR(Datos_Consumo[[#This Row],[FECHA]])&amp;"-"&amp;MONTH(Datos_Consumo[[#This Row],[FECHA]])</f>
        <v>2017-12</v>
      </c>
    </row>
    <row r="4769" spans="1:4" x14ac:dyDescent="0.25">
      <c r="A4769" t="s">
        <v>3069</v>
      </c>
      <c r="B4769">
        <v>1</v>
      </c>
      <c r="C4769" s="54">
        <v>43101</v>
      </c>
      <c r="D4769" s="3" t="str">
        <f>YEAR(Datos_Consumo[[#This Row],[FECHA]])&amp;"-"&amp;MONTH(Datos_Consumo[[#This Row],[FECHA]])</f>
        <v>2018-1</v>
      </c>
    </row>
    <row r="4770" spans="1:4" x14ac:dyDescent="0.25">
      <c r="A4770" t="s">
        <v>3069</v>
      </c>
      <c r="B4770">
        <v>5</v>
      </c>
      <c r="C4770" s="54">
        <v>43160</v>
      </c>
      <c r="D4770" s="3" t="str">
        <f>YEAR(Datos_Consumo[[#This Row],[FECHA]])&amp;"-"&amp;MONTH(Datos_Consumo[[#This Row],[FECHA]])</f>
        <v>2018-3</v>
      </c>
    </row>
    <row r="4771" spans="1:4" x14ac:dyDescent="0.25">
      <c r="A4771" t="s">
        <v>3069</v>
      </c>
      <c r="B4771">
        <v>2</v>
      </c>
      <c r="C4771" s="54">
        <v>43191</v>
      </c>
      <c r="D4771" s="3" t="str">
        <f>YEAR(Datos_Consumo[[#This Row],[FECHA]])&amp;"-"&amp;MONTH(Datos_Consumo[[#This Row],[FECHA]])</f>
        <v>2018-4</v>
      </c>
    </row>
    <row r="4772" spans="1:4" x14ac:dyDescent="0.25">
      <c r="A4772" t="s">
        <v>3070</v>
      </c>
      <c r="B4772">
        <v>3</v>
      </c>
      <c r="C4772" s="54">
        <v>43070</v>
      </c>
      <c r="D4772" s="3" t="str">
        <f>YEAR(Datos_Consumo[[#This Row],[FECHA]])&amp;"-"&amp;MONTH(Datos_Consumo[[#This Row],[FECHA]])</f>
        <v>2017-12</v>
      </c>
    </row>
    <row r="4773" spans="1:4" x14ac:dyDescent="0.25">
      <c r="A4773" t="s">
        <v>3070</v>
      </c>
      <c r="B4773">
        <v>2</v>
      </c>
      <c r="C4773" s="54">
        <v>43191</v>
      </c>
      <c r="D4773" s="3" t="str">
        <f>YEAR(Datos_Consumo[[#This Row],[FECHA]])&amp;"-"&amp;MONTH(Datos_Consumo[[#This Row],[FECHA]])</f>
        <v>2018-4</v>
      </c>
    </row>
    <row r="4774" spans="1:4" x14ac:dyDescent="0.25">
      <c r="A4774" t="s">
        <v>3071</v>
      </c>
      <c r="B4774">
        <v>2</v>
      </c>
      <c r="C4774" s="54">
        <v>43101</v>
      </c>
      <c r="D4774" s="3" t="str">
        <f>YEAR(Datos_Consumo[[#This Row],[FECHA]])&amp;"-"&amp;MONTH(Datos_Consumo[[#This Row],[FECHA]])</f>
        <v>2018-1</v>
      </c>
    </row>
    <row r="4775" spans="1:4" x14ac:dyDescent="0.25">
      <c r="A4775" t="s">
        <v>3072</v>
      </c>
      <c r="B4775">
        <v>2</v>
      </c>
      <c r="C4775" s="54">
        <v>43101</v>
      </c>
      <c r="D4775" s="3" t="str">
        <f>YEAR(Datos_Consumo[[#This Row],[FECHA]])&amp;"-"&amp;MONTH(Datos_Consumo[[#This Row],[FECHA]])</f>
        <v>2018-1</v>
      </c>
    </row>
    <row r="4776" spans="1:4" x14ac:dyDescent="0.25">
      <c r="A4776" t="s">
        <v>3073</v>
      </c>
      <c r="B4776">
        <v>6</v>
      </c>
      <c r="C4776" s="54">
        <v>43070</v>
      </c>
      <c r="D4776" s="3" t="str">
        <f>YEAR(Datos_Consumo[[#This Row],[FECHA]])&amp;"-"&amp;MONTH(Datos_Consumo[[#This Row],[FECHA]])</f>
        <v>2017-12</v>
      </c>
    </row>
    <row r="4777" spans="1:4" x14ac:dyDescent="0.25">
      <c r="A4777" t="s">
        <v>3073</v>
      </c>
      <c r="B4777">
        <v>2</v>
      </c>
      <c r="C4777" s="54">
        <v>43132</v>
      </c>
      <c r="D4777" s="3" t="str">
        <f>YEAR(Datos_Consumo[[#This Row],[FECHA]])&amp;"-"&amp;MONTH(Datos_Consumo[[#This Row],[FECHA]])</f>
        <v>2018-2</v>
      </c>
    </row>
    <row r="4778" spans="1:4" x14ac:dyDescent="0.25">
      <c r="A4778" t="s">
        <v>4118</v>
      </c>
      <c r="B4778">
        <v>3</v>
      </c>
      <c r="C4778" s="54">
        <v>43191</v>
      </c>
      <c r="D4778" s="3" t="str">
        <f>YEAR(Datos_Consumo[[#This Row],[FECHA]])&amp;"-"&amp;MONTH(Datos_Consumo[[#This Row],[FECHA]])</f>
        <v>2018-4</v>
      </c>
    </row>
    <row r="4779" spans="1:4" x14ac:dyDescent="0.25">
      <c r="A4779" t="s">
        <v>3074</v>
      </c>
      <c r="B4779">
        <v>1</v>
      </c>
      <c r="C4779" s="54">
        <v>43101</v>
      </c>
      <c r="D4779" s="3" t="str">
        <f>YEAR(Datos_Consumo[[#This Row],[FECHA]])&amp;"-"&amp;MONTH(Datos_Consumo[[#This Row],[FECHA]])</f>
        <v>2018-1</v>
      </c>
    </row>
    <row r="4780" spans="1:4" x14ac:dyDescent="0.25">
      <c r="A4780" t="s">
        <v>3074</v>
      </c>
      <c r="B4780">
        <v>3</v>
      </c>
      <c r="C4780" s="54">
        <v>43160</v>
      </c>
      <c r="D4780" s="3" t="str">
        <f>YEAR(Datos_Consumo[[#This Row],[FECHA]])&amp;"-"&amp;MONTH(Datos_Consumo[[#This Row],[FECHA]])</f>
        <v>2018-3</v>
      </c>
    </row>
    <row r="4781" spans="1:4" x14ac:dyDescent="0.25">
      <c r="A4781" t="s">
        <v>3074</v>
      </c>
      <c r="B4781">
        <v>2</v>
      </c>
      <c r="C4781" s="54">
        <v>43191</v>
      </c>
      <c r="D4781" s="3" t="str">
        <f>YEAR(Datos_Consumo[[#This Row],[FECHA]])&amp;"-"&amp;MONTH(Datos_Consumo[[#This Row],[FECHA]])</f>
        <v>2018-4</v>
      </c>
    </row>
    <row r="4782" spans="1:4" x14ac:dyDescent="0.25">
      <c r="A4782" t="s">
        <v>3075</v>
      </c>
      <c r="B4782">
        <v>3</v>
      </c>
      <c r="C4782" s="54">
        <v>43191</v>
      </c>
      <c r="D4782" s="3" t="str">
        <f>YEAR(Datos_Consumo[[#This Row],[FECHA]])&amp;"-"&amp;MONTH(Datos_Consumo[[#This Row],[FECHA]])</f>
        <v>2018-4</v>
      </c>
    </row>
    <row r="4783" spans="1:4" x14ac:dyDescent="0.25">
      <c r="A4783" t="s">
        <v>3076</v>
      </c>
      <c r="B4783">
        <v>1</v>
      </c>
      <c r="C4783" s="54">
        <v>43070</v>
      </c>
      <c r="D4783" s="3" t="str">
        <f>YEAR(Datos_Consumo[[#This Row],[FECHA]])&amp;"-"&amp;MONTH(Datos_Consumo[[#This Row],[FECHA]])</f>
        <v>2017-12</v>
      </c>
    </row>
    <row r="4784" spans="1:4" x14ac:dyDescent="0.25">
      <c r="A4784" t="s">
        <v>3076</v>
      </c>
      <c r="B4784">
        <v>1</v>
      </c>
      <c r="C4784" s="54">
        <v>43101</v>
      </c>
      <c r="D4784" s="3" t="str">
        <f>YEAR(Datos_Consumo[[#This Row],[FECHA]])&amp;"-"&amp;MONTH(Datos_Consumo[[#This Row],[FECHA]])</f>
        <v>2018-1</v>
      </c>
    </row>
    <row r="4785" spans="1:4" x14ac:dyDescent="0.25">
      <c r="A4785" t="s">
        <v>3077</v>
      </c>
      <c r="B4785">
        <v>1</v>
      </c>
      <c r="C4785" s="54">
        <v>43101</v>
      </c>
      <c r="D4785" s="3" t="str">
        <f>YEAR(Datos_Consumo[[#This Row],[FECHA]])&amp;"-"&amp;MONTH(Datos_Consumo[[#This Row],[FECHA]])</f>
        <v>2018-1</v>
      </c>
    </row>
    <row r="4786" spans="1:4" x14ac:dyDescent="0.25">
      <c r="A4786" t="s">
        <v>3078</v>
      </c>
      <c r="B4786">
        <v>3</v>
      </c>
      <c r="C4786" s="54">
        <v>43132</v>
      </c>
      <c r="D4786" s="3" t="str">
        <f>YEAR(Datos_Consumo[[#This Row],[FECHA]])&amp;"-"&amp;MONTH(Datos_Consumo[[#This Row],[FECHA]])</f>
        <v>2018-2</v>
      </c>
    </row>
    <row r="4787" spans="1:4" x14ac:dyDescent="0.25">
      <c r="A4787" t="s">
        <v>3078</v>
      </c>
      <c r="B4787">
        <v>20</v>
      </c>
      <c r="C4787" s="54">
        <v>43160</v>
      </c>
      <c r="D4787" s="3" t="str">
        <f>YEAR(Datos_Consumo[[#This Row],[FECHA]])&amp;"-"&amp;MONTH(Datos_Consumo[[#This Row],[FECHA]])</f>
        <v>2018-3</v>
      </c>
    </row>
    <row r="4788" spans="1:4" x14ac:dyDescent="0.25">
      <c r="A4788" t="s">
        <v>3079</v>
      </c>
      <c r="B4788">
        <v>4</v>
      </c>
      <c r="C4788" s="54">
        <v>43132</v>
      </c>
      <c r="D4788" s="3" t="str">
        <f>YEAR(Datos_Consumo[[#This Row],[FECHA]])&amp;"-"&amp;MONTH(Datos_Consumo[[#This Row],[FECHA]])</f>
        <v>2018-2</v>
      </c>
    </row>
    <row r="4789" spans="1:4" x14ac:dyDescent="0.25">
      <c r="A4789" t="s">
        <v>3079</v>
      </c>
      <c r="B4789">
        <v>14</v>
      </c>
      <c r="C4789" s="54">
        <v>43160</v>
      </c>
      <c r="D4789" s="3" t="str">
        <f>YEAR(Datos_Consumo[[#This Row],[FECHA]])&amp;"-"&amp;MONTH(Datos_Consumo[[#This Row],[FECHA]])</f>
        <v>2018-3</v>
      </c>
    </row>
    <row r="4790" spans="1:4" x14ac:dyDescent="0.25">
      <c r="A4790" t="s">
        <v>3080</v>
      </c>
      <c r="B4790">
        <v>4</v>
      </c>
      <c r="C4790" s="54">
        <v>43160</v>
      </c>
      <c r="D4790" s="3" t="str">
        <f>YEAR(Datos_Consumo[[#This Row],[FECHA]])&amp;"-"&amp;MONTH(Datos_Consumo[[#This Row],[FECHA]])</f>
        <v>2018-3</v>
      </c>
    </row>
    <row r="4791" spans="1:4" x14ac:dyDescent="0.25">
      <c r="A4791" t="s">
        <v>3081</v>
      </c>
      <c r="B4791">
        <v>1</v>
      </c>
      <c r="C4791" s="54">
        <v>43191</v>
      </c>
      <c r="D4791" s="3" t="str">
        <f>YEAR(Datos_Consumo[[#This Row],[FECHA]])&amp;"-"&amp;MONTH(Datos_Consumo[[#This Row],[FECHA]])</f>
        <v>2018-4</v>
      </c>
    </row>
    <row r="4792" spans="1:4" x14ac:dyDescent="0.25">
      <c r="A4792" t="s">
        <v>3082</v>
      </c>
      <c r="B4792">
        <v>1</v>
      </c>
      <c r="C4792" s="54">
        <v>43191</v>
      </c>
      <c r="D4792" s="3" t="str">
        <f>YEAR(Datos_Consumo[[#This Row],[FECHA]])&amp;"-"&amp;MONTH(Datos_Consumo[[#This Row],[FECHA]])</f>
        <v>2018-4</v>
      </c>
    </row>
    <row r="4793" spans="1:4" x14ac:dyDescent="0.25">
      <c r="A4793" t="s">
        <v>3083</v>
      </c>
      <c r="B4793">
        <v>4</v>
      </c>
      <c r="C4793" s="54">
        <v>43070</v>
      </c>
      <c r="D4793" s="3" t="str">
        <f>YEAR(Datos_Consumo[[#This Row],[FECHA]])&amp;"-"&amp;MONTH(Datos_Consumo[[#This Row],[FECHA]])</f>
        <v>2017-12</v>
      </c>
    </row>
    <row r="4794" spans="1:4" x14ac:dyDescent="0.25">
      <c r="A4794" t="s">
        <v>3083</v>
      </c>
      <c r="B4794">
        <v>6</v>
      </c>
      <c r="C4794" s="54">
        <v>43132</v>
      </c>
      <c r="D4794" s="3" t="str">
        <f>YEAR(Datos_Consumo[[#This Row],[FECHA]])&amp;"-"&amp;MONTH(Datos_Consumo[[#This Row],[FECHA]])</f>
        <v>2018-2</v>
      </c>
    </row>
    <row r="4795" spans="1:4" x14ac:dyDescent="0.25">
      <c r="A4795" t="s">
        <v>3083</v>
      </c>
      <c r="B4795">
        <v>19</v>
      </c>
      <c r="C4795" s="54">
        <v>43160</v>
      </c>
      <c r="D4795" s="3" t="str">
        <f>YEAR(Datos_Consumo[[#This Row],[FECHA]])&amp;"-"&amp;MONTH(Datos_Consumo[[#This Row],[FECHA]])</f>
        <v>2018-3</v>
      </c>
    </row>
    <row r="4796" spans="1:4" x14ac:dyDescent="0.25">
      <c r="A4796" t="s">
        <v>3084</v>
      </c>
      <c r="B4796">
        <v>4</v>
      </c>
      <c r="C4796" s="54">
        <v>43132</v>
      </c>
      <c r="D4796" s="3" t="str">
        <f>YEAR(Datos_Consumo[[#This Row],[FECHA]])&amp;"-"&amp;MONTH(Datos_Consumo[[#This Row],[FECHA]])</f>
        <v>2018-2</v>
      </c>
    </row>
    <row r="4797" spans="1:4" x14ac:dyDescent="0.25">
      <c r="A4797" t="s">
        <v>3084</v>
      </c>
      <c r="B4797">
        <v>21</v>
      </c>
      <c r="C4797" s="54">
        <v>43160</v>
      </c>
      <c r="D4797" s="3" t="str">
        <f>YEAR(Datos_Consumo[[#This Row],[FECHA]])&amp;"-"&amp;MONTH(Datos_Consumo[[#This Row],[FECHA]])</f>
        <v>2018-3</v>
      </c>
    </row>
    <row r="4798" spans="1:4" x14ac:dyDescent="0.25">
      <c r="A4798" t="s">
        <v>3085</v>
      </c>
      <c r="B4798">
        <v>2</v>
      </c>
      <c r="C4798" s="54">
        <v>43070</v>
      </c>
      <c r="D4798" s="3" t="str">
        <f>YEAR(Datos_Consumo[[#This Row],[FECHA]])&amp;"-"&amp;MONTH(Datos_Consumo[[#This Row],[FECHA]])</f>
        <v>2017-12</v>
      </c>
    </row>
    <row r="4799" spans="1:4" x14ac:dyDescent="0.25">
      <c r="A4799" t="s">
        <v>3086</v>
      </c>
      <c r="B4799">
        <v>2</v>
      </c>
      <c r="C4799" s="54">
        <v>43160</v>
      </c>
      <c r="D4799" s="3" t="str">
        <f>YEAR(Datos_Consumo[[#This Row],[FECHA]])&amp;"-"&amp;MONTH(Datos_Consumo[[#This Row],[FECHA]])</f>
        <v>2018-3</v>
      </c>
    </row>
    <row r="4800" spans="1:4" x14ac:dyDescent="0.25">
      <c r="A4800" t="s">
        <v>3086</v>
      </c>
      <c r="B4800">
        <v>6</v>
      </c>
      <c r="C4800" s="54">
        <v>43191</v>
      </c>
      <c r="D4800" s="3" t="str">
        <f>YEAR(Datos_Consumo[[#This Row],[FECHA]])&amp;"-"&amp;MONTH(Datos_Consumo[[#This Row],[FECHA]])</f>
        <v>2018-4</v>
      </c>
    </row>
    <row r="4801" spans="1:4" x14ac:dyDescent="0.25">
      <c r="A4801" t="s">
        <v>3087</v>
      </c>
      <c r="B4801">
        <v>1</v>
      </c>
      <c r="C4801" s="54">
        <v>43070</v>
      </c>
      <c r="D4801" s="3" t="str">
        <f>YEAR(Datos_Consumo[[#This Row],[FECHA]])&amp;"-"&amp;MONTH(Datos_Consumo[[#This Row],[FECHA]])</f>
        <v>2017-12</v>
      </c>
    </row>
    <row r="4802" spans="1:4" x14ac:dyDescent="0.25">
      <c r="A4802" t="s">
        <v>3087</v>
      </c>
      <c r="B4802">
        <v>1</v>
      </c>
      <c r="C4802" s="54">
        <v>43101</v>
      </c>
      <c r="D4802" s="3" t="str">
        <f>YEAR(Datos_Consumo[[#This Row],[FECHA]])&amp;"-"&amp;MONTH(Datos_Consumo[[#This Row],[FECHA]])</f>
        <v>2018-1</v>
      </c>
    </row>
    <row r="4803" spans="1:4" x14ac:dyDescent="0.25">
      <c r="A4803" t="s">
        <v>3087</v>
      </c>
      <c r="B4803">
        <v>1</v>
      </c>
      <c r="C4803" s="54">
        <v>43132</v>
      </c>
      <c r="D4803" s="3" t="str">
        <f>YEAR(Datos_Consumo[[#This Row],[FECHA]])&amp;"-"&amp;MONTH(Datos_Consumo[[#This Row],[FECHA]])</f>
        <v>2018-2</v>
      </c>
    </row>
    <row r="4804" spans="1:4" x14ac:dyDescent="0.25">
      <c r="A4804" t="s">
        <v>3088</v>
      </c>
      <c r="B4804">
        <v>1</v>
      </c>
      <c r="C4804" s="54">
        <v>43070</v>
      </c>
      <c r="D4804" s="3" t="str">
        <f>YEAR(Datos_Consumo[[#This Row],[FECHA]])&amp;"-"&amp;MONTH(Datos_Consumo[[#This Row],[FECHA]])</f>
        <v>2017-12</v>
      </c>
    </row>
    <row r="4805" spans="1:4" x14ac:dyDescent="0.25">
      <c r="A4805" t="s">
        <v>3088</v>
      </c>
      <c r="B4805">
        <v>4</v>
      </c>
      <c r="C4805" s="54">
        <v>43132</v>
      </c>
      <c r="D4805" s="3" t="str">
        <f>YEAR(Datos_Consumo[[#This Row],[FECHA]])&amp;"-"&amp;MONTH(Datos_Consumo[[#This Row],[FECHA]])</f>
        <v>2018-2</v>
      </c>
    </row>
    <row r="4806" spans="1:4" x14ac:dyDescent="0.25">
      <c r="A4806" t="s">
        <v>3088</v>
      </c>
      <c r="B4806">
        <v>4</v>
      </c>
      <c r="C4806" s="54">
        <v>43191</v>
      </c>
      <c r="D4806" s="3" t="str">
        <f>YEAR(Datos_Consumo[[#This Row],[FECHA]])&amp;"-"&amp;MONTH(Datos_Consumo[[#This Row],[FECHA]])</f>
        <v>2018-4</v>
      </c>
    </row>
    <row r="4807" spans="1:4" x14ac:dyDescent="0.25">
      <c r="A4807" t="s">
        <v>3089</v>
      </c>
      <c r="B4807">
        <v>1</v>
      </c>
      <c r="C4807" s="54">
        <v>43132</v>
      </c>
      <c r="D4807" s="3" t="str">
        <f>YEAR(Datos_Consumo[[#This Row],[FECHA]])&amp;"-"&amp;MONTH(Datos_Consumo[[#This Row],[FECHA]])</f>
        <v>2018-2</v>
      </c>
    </row>
    <row r="4808" spans="1:4" x14ac:dyDescent="0.25">
      <c r="A4808" t="s">
        <v>3089</v>
      </c>
      <c r="B4808">
        <v>2</v>
      </c>
      <c r="C4808" s="54">
        <v>43191</v>
      </c>
      <c r="D4808" s="3" t="str">
        <f>YEAR(Datos_Consumo[[#This Row],[FECHA]])&amp;"-"&amp;MONTH(Datos_Consumo[[#This Row],[FECHA]])</f>
        <v>2018-4</v>
      </c>
    </row>
    <row r="4809" spans="1:4" x14ac:dyDescent="0.25">
      <c r="A4809" t="s">
        <v>3090</v>
      </c>
      <c r="B4809">
        <v>1</v>
      </c>
      <c r="C4809" s="54">
        <v>43070</v>
      </c>
      <c r="D4809" s="3" t="str">
        <f>YEAR(Datos_Consumo[[#This Row],[FECHA]])&amp;"-"&amp;MONTH(Datos_Consumo[[#This Row],[FECHA]])</f>
        <v>2017-12</v>
      </c>
    </row>
    <row r="4810" spans="1:4" x14ac:dyDescent="0.25">
      <c r="A4810" t="s">
        <v>1439</v>
      </c>
      <c r="B4810">
        <v>20</v>
      </c>
      <c r="C4810" s="54">
        <v>43132</v>
      </c>
      <c r="D4810" s="3" t="str">
        <f>YEAR(Datos_Consumo[[#This Row],[FECHA]])&amp;"-"&amp;MONTH(Datos_Consumo[[#This Row],[FECHA]])</f>
        <v>2018-2</v>
      </c>
    </row>
    <row r="4811" spans="1:4" x14ac:dyDescent="0.25">
      <c r="A4811" t="s">
        <v>1439</v>
      </c>
      <c r="B4811">
        <v>12</v>
      </c>
      <c r="C4811" s="54">
        <v>43191</v>
      </c>
      <c r="D4811" s="3" t="str">
        <f>YEAR(Datos_Consumo[[#This Row],[FECHA]])&amp;"-"&amp;MONTH(Datos_Consumo[[#This Row],[FECHA]])</f>
        <v>2018-4</v>
      </c>
    </row>
    <row r="4812" spans="1:4" x14ac:dyDescent="0.25">
      <c r="A4812" t="s">
        <v>3091</v>
      </c>
      <c r="B4812">
        <v>1</v>
      </c>
      <c r="C4812" s="54">
        <v>43070</v>
      </c>
      <c r="D4812" s="3" t="str">
        <f>YEAR(Datos_Consumo[[#This Row],[FECHA]])&amp;"-"&amp;MONTH(Datos_Consumo[[#This Row],[FECHA]])</f>
        <v>2017-12</v>
      </c>
    </row>
    <row r="4813" spans="1:4" x14ac:dyDescent="0.25">
      <c r="A4813" t="s">
        <v>3092</v>
      </c>
      <c r="B4813">
        <v>3</v>
      </c>
      <c r="C4813" s="54">
        <v>43132</v>
      </c>
      <c r="D4813" s="3" t="str">
        <f>YEAR(Datos_Consumo[[#This Row],[FECHA]])&amp;"-"&amp;MONTH(Datos_Consumo[[#This Row],[FECHA]])</f>
        <v>2018-2</v>
      </c>
    </row>
    <row r="4814" spans="1:4" x14ac:dyDescent="0.25">
      <c r="A4814" t="s">
        <v>3092</v>
      </c>
      <c r="B4814">
        <v>8</v>
      </c>
      <c r="C4814" s="54">
        <v>43160</v>
      </c>
      <c r="D4814" s="3" t="str">
        <f>YEAR(Datos_Consumo[[#This Row],[FECHA]])&amp;"-"&amp;MONTH(Datos_Consumo[[#This Row],[FECHA]])</f>
        <v>2018-3</v>
      </c>
    </row>
    <row r="4815" spans="1:4" x14ac:dyDescent="0.25">
      <c r="A4815" t="s">
        <v>3093</v>
      </c>
      <c r="B4815">
        <v>4</v>
      </c>
      <c r="C4815" s="54">
        <v>43221</v>
      </c>
      <c r="D4815" s="3" t="str">
        <f>YEAR(Datos_Consumo[[#This Row],[FECHA]])&amp;"-"&amp;MONTH(Datos_Consumo[[#This Row],[FECHA]])</f>
        <v>2018-5</v>
      </c>
    </row>
    <row r="4816" spans="1:4" x14ac:dyDescent="0.25">
      <c r="A4816" t="s">
        <v>3094</v>
      </c>
      <c r="B4816">
        <v>1</v>
      </c>
      <c r="C4816" s="54">
        <v>43132</v>
      </c>
      <c r="D4816" s="3" t="str">
        <f>YEAR(Datos_Consumo[[#This Row],[FECHA]])&amp;"-"&amp;MONTH(Datos_Consumo[[#This Row],[FECHA]])</f>
        <v>2018-2</v>
      </c>
    </row>
    <row r="4817" spans="1:4" x14ac:dyDescent="0.25">
      <c r="A4817" t="s">
        <v>3095</v>
      </c>
      <c r="B4817">
        <v>1</v>
      </c>
      <c r="C4817" s="54">
        <v>43070</v>
      </c>
      <c r="D4817" s="3" t="str">
        <f>YEAR(Datos_Consumo[[#This Row],[FECHA]])&amp;"-"&amp;MONTH(Datos_Consumo[[#This Row],[FECHA]])</f>
        <v>2017-12</v>
      </c>
    </row>
    <row r="4818" spans="1:4" x14ac:dyDescent="0.25">
      <c r="A4818" t="s">
        <v>3095</v>
      </c>
      <c r="B4818">
        <v>2</v>
      </c>
      <c r="C4818" s="54">
        <v>43101</v>
      </c>
      <c r="D4818" s="3" t="str">
        <f>YEAR(Datos_Consumo[[#This Row],[FECHA]])&amp;"-"&amp;MONTH(Datos_Consumo[[#This Row],[FECHA]])</f>
        <v>2018-1</v>
      </c>
    </row>
    <row r="4819" spans="1:4" x14ac:dyDescent="0.25">
      <c r="A4819" t="s">
        <v>3095</v>
      </c>
      <c r="B4819">
        <v>4</v>
      </c>
      <c r="C4819" s="54">
        <v>43132</v>
      </c>
      <c r="D4819" s="3" t="str">
        <f>YEAR(Datos_Consumo[[#This Row],[FECHA]])&amp;"-"&amp;MONTH(Datos_Consumo[[#This Row],[FECHA]])</f>
        <v>2018-2</v>
      </c>
    </row>
    <row r="4820" spans="1:4" x14ac:dyDescent="0.25">
      <c r="A4820" t="s">
        <v>3095</v>
      </c>
      <c r="B4820">
        <v>2</v>
      </c>
      <c r="C4820" s="54">
        <v>43160</v>
      </c>
      <c r="D4820" s="3" t="str">
        <f>YEAR(Datos_Consumo[[#This Row],[FECHA]])&amp;"-"&amp;MONTH(Datos_Consumo[[#This Row],[FECHA]])</f>
        <v>2018-3</v>
      </c>
    </row>
    <row r="4821" spans="1:4" x14ac:dyDescent="0.25">
      <c r="A4821" t="s">
        <v>3095</v>
      </c>
      <c r="B4821">
        <v>1</v>
      </c>
      <c r="C4821" s="54">
        <v>43221</v>
      </c>
      <c r="D4821" s="3" t="str">
        <f>YEAR(Datos_Consumo[[#This Row],[FECHA]])&amp;"-"&amp;MONTH(Datos_Consumo[[#This Row],[FECHA]])</f>
        <v>2018-5</v>
      </c>
    </row>
    <row r="4822" spans="1:4" x14ac:dyDescent="0.25">
      <c r="A4822" t="s">
        <v>3096</v>
      </c>
      <c r="B4822">
        <v>2</v>
      </c>
      <c r="C4822" s="54">
        <v>43070</v>
      </c>
      <c r="D4822" s="3" t="str">
        <f>YEAR(Datos_Consumo[[#This Row],[FECHA]])&amp;"-"&amp;MONTH(Datos_Consumo[[#This Row],[FECHA]])</f>
        <v>2017-12</v>
      </c>
    </row>
    <row r="4823" spans="1:4" x14ac:dyDescent="0.25">
      <c r="A4823" t="s">
        <v>3096</v>
      </c>
      <c r="B4823">
        <v>11</v>
      </c>
      <c r="C4823" s="54">
        <v>43191</v>
      </c>
      <c r="D4823" s="3" t="str">
        <f>YEAR(Datos_Consumo[[#This Row],[FECHA]])&amp;"-"&amp;MONTH(Datos_Consumo[[#This Row],[FECHA]])</f>
        <v>2018-4</v>
      </c>
    </row>
    <row r="4824" spans="1:4" x14ac:dyDescent="0.25">
      <c r="A4824" t="s">
        <v>3097</v>
      </c>
      <c r="B4824">
        <v>21</v>
      </c>
      <c r="C4824" s="54">
        <v>43070</v>
      </c>
      <c r="D4824" s="3" t="str">
        <f>YEAR(Datos_Consumo[[#This Row],[FECHA]])&amp;"-"&amp;MONTH(Datos_Consumo[[#This Row],[FECHA]])</f>
        <v>2017-12</v>
      </c>
    </row>
    <row r="4825" spans="1:4" x14ac:dyDescent="0.25">
      <c r="A4825" t="s">
        <v>3097</v>
      </c>
      <c r="B4825">
        <v>2</v>
      </c>
      <c r="C4825" s="54">
        <v>43101</v>
      </c>
      <c r="D4825" s="3" t="str">
        <f>YEAR(Datos_Consumo[[#This Row],[FECHA]])&amp;"-"&amp;MONTH(Datos_Consumo[[#This Row],[FECHA]])</f>
        <v>2018-1</v>
      </c>
    </row>
    <row r="4826" spans="1:4" x14ac:dyDescent="0.25">
      <c r="A4826" t="s">
        <v>3097</v>
      </c>
      <c r="B4826">
        <v>9</v>
      </c>
      <c r="C4826" s="54">
        <v>43160</v>
      </c>
      <c r="D4826" s="3" t="str">
        <f>YEAR(Datos_Consumo[[#This Row],[FECHA]])&amp;"-"&amp;MONTH(Datos_Consumo[[#This Row],[FECHA]])</f>
        <v>2018-3</v>
      </c>
    </row>
    <row r="4827" spans="1:4" x14ac:dyDescent="0.25">
      <c r="A4827" t="s">
        <v>3098</v>
      </c>
      <c r="B4827">
        <v>15</v>
      </c>
      <c r="C4827" s="54">
        <v>43070</v>
      </c>
      <c r="D4827" s="3" t="str">
        <f>YEAR(Datos_Consumo[[#This Row],[FECHA]])&amp;"-"&amp;MONTH(Datos_Consumo[[#This Row],[FECHA]])</f>
        <v>2017-12</v>
      </c>
    </row>
    <row r="4828" spans="1:4" x14ac:dyDescent="0.25">
      <c r="A4828" t="s">
        <v>3099</v>
      </c>
      <c r="B4828">
        <v>4</v>
      </c>
      <c r="C4828" s="54">
        <v>43101</v>
      </c>
      <c r="D4828" s="3" t="str">
        <f>YEAR(Datos_Consumo[[#This Row],[FECHA]])&amp;"-"&amp;MONTH(Datos_Consumo[[#This Row],[FECHA]])</f>
        <v>2018-1</v>
      </c>
    </row>
    <row r="4829" spans="1:4" x14ac:dyDescent="0.25">
      <c r="A4829" t="s">
        <v>4119</v>
      </c>
      <c r="B4829">
        <v>3</v>
      </c>
      <c r="C4829" s="54">
        <v>43191</v>
      </c>
      <c r="D4829" s="3" t="str">
        <f>YEAR(Datos_Consumo[[#This Row],[FECHA]])&amp;"-"&amp;MONTH(Datos_Consumo[[#This Row],[FECHA]])</f>
        <v>2018-4</v>
      </c>
    </row>
    <row r="4830" spans="1:4" x14ac:dyDescent="0.25">
      <c r="A4830" t="s">
        <v>3100</v>
      </c>
      <c r="B4830">
        <v>2</v>
      </c>
      <c r="C4830" s="54">
        <v>43101</v>
      </c>
      <c r="D4830" s="3" t="str">
        <f>YEAR(Datos_Consumo[[#This Row],[FECHA]])&amp;"-"&amp;MONTH(Datos_Consumo[[#This Row],[FECHA]])</f>
        <v>2018-1</v>
      </c>
    </row>
    <row r="4831" spans="1:4" x14ac:dyDescent="0.25">
      <c r="A4831" t="s">
        <v>3101</v>
      </c>
      <c r="B4831">
        <v>3</v>
      </c>
      <c r="C4831" s="54">
        <v>43070</v>
      </c>
      <c r="D4831" s="3" t="str">
        <f>YEAR(Datos_Consumo[[#This Row],[FECHA]])&amp;"-"&amp;MONTH(Datos_Consumo[[#This Row],[FECHA]])</f>
        <v>2017-12</v>
      </c>
    </row>
    <row r="4832" spans="1:4" x14ac:dyDescent="0.25">
      <c r="A4832" t="s">
        <v>3101</v>
      </c>
      <c r="B4832">
        <v>10</v>
      </c>
      <c r="C4832" s="54">
        <v>43101</v>
      </c>
      <c r="D4832" s="3" t="str">
        <f>YEAR(Datos_Consumo[[#This Row],[FECHA]])&amp;"-"&amp;MONTH(Datos_Consumo[[#This Row],[FECHA]])</f>
        <v>2018-1</v>
      </c>
    </row>
    <row r="4833" spans="1:4" x14ac:dyDescent="0.25">
      <c r="A4833" t="s">
        <v>3102</v>
      </c>
      <c r="B4833">
        <v>8</v>
      </c>
      <c r="C4833" s="54">
        <v>43070</v>
      </c>
      <c r="D4833" s="3" t="str">
        <f>YEAR(Datos_Consumo[[#This Row],[FECHA]])&amp;"-"&amp;MONTH(Datos_Consumo[[#This Row],[FECHA]])</f>
        <v>2017-12</v>
      </c>
    </row>
    <row r="4834" spans="1:4" x14ac:dyDescent="0.25">
      <c r="A4834" t="s">
        <v>3102</v>
      </c>
      <c r="B4834">
        <v>2</v>
      </c>
      <c r="C4834" s="54">
        <v>43160</v>
      </c>
      <c r="D4834" s="3" t="str">
        <f>YEAR(Datos_Consumo[[#This Row],[FECHA]])&amp;"-"&amp;MONTH(Datos_Consumo[[#This Row],[FECHA]])</f>
        <v>2018-3</v>
      </c>
    </row>
    <row r="4835" spans="1:4" x14ac:dyDescent="0.25">
      <c r="A4835" t="s">
        <v>3103</v>
      </c>
      <c r="B4835">
        <v>1</v>
      </c>
      <c r="C4835" s="54">
        <v>43070</v>
      </c>
      <c r="D4835" s="3" t="str">
        <f>YEAR(Datos_Consumo[[#This Row],[FECHA]])&amp;"-"&amp;MONTH(Datos_Consumo[[#This Row],[FECHA]])</f>
        <v>2017-12</v>
      </c>
    </row>
    <row r="4836" spans="1:4" x14ac:dyDescent="0.25">
      <c r="A4836" t="s">
        <v>3103</v>
      </c>
      <c r="B4836">
        <v>7</v>
      </c>
      <c r="C4836" s="54">
        <v>43101</v>
      </c>
      <c r="D4836" s="3" t="str">
        <f>YEAR(Datos_Consumo[[#This Row],[FECHA]])&amp;"-"&amp;MONTH(Datos_Consumo[[#This Row],[FECHA]])</f>
        <v>2018-1</v>
      </c>
    </row>
    <row r="4837" spans="1:4" x14ac:dyDescent="0.25">
      <c r="A4837" t="s">
        <v>3103</v>
      </c>
      <c r="B4837">
        <v>4</v>
      </c>
      <c r="C4837" s="54">
        <v>43160</v>
      </c>
      <c r="D4837" s="3" t="str">
        <f>YEAR(Datos_Consumo[[#This Row],[FECHA]])&amp;"-"&amp;MONTH(Datos_Consumo[[#This Row],[FECHA]])</f>
        <v>2018-3</v>
      </c>
    </row>
    <row r="4838" spans="1:4" x14ac:dyDescent="0.25">
      <c r="A4838" t="s">
        <v>3103</v>
      </c>
      <c r="B4838">
        <v>8</v>
      </c>
      <c r="C4838" s="54">
        <v>43191</v>
      </c>
      <c r="D4838" s="3" t="str">
        <f>YEAR(Datos_Consumo[[#This Row],[FECHA]])&amp;"-"&amp;MONTH(Datos_Consumo[[#This Row],[FECHA]])</f>
        <v>2018-4</v>
      </c>
    </row>
    <row r="4839" spans="1:4" x14ac:dyDescent="0.25">
      <c r="A4839" t="s">
        <v>3104</v>
      </c>
      <c r="B4839">
        <v>3</v>
      </c>
      <c r="C4839" s="54">
        <v>43070</v>
      </c>
      <c r="D4839" s="3" t="str">
        <f>YEAR(Datos_Consumo[[#This Row],[FECHA]])&amp;"-"&amp;MONTH(Datos_Consumo[[#This Row],[FECHA]])</f>
        <v>2017-12</v>
      </c>
    </row>
    <row r="4840" spans="1:4" x14ac:dyDescent="0.25">
      <c r="A4840" t="s">
        <v>3104</v>
      </c>
      <c r="B4840">
        <v>2</v>
      </c>
      <c r="C4840" s="54">
        <v>43101</v>
      </c>
      <c r="D4840" s="3" t="str">
        <f>YEAR(Datos_Consumo[[#This Row],[FECHA]])&amp;"-"&amp;MONTH(Datos_Consumo[[#This Row],[FECHA]])</f>
        <v>2018-1</v>
      </c>
    </row>
    <row r="4841" spans="1:4" x14ac:dyDescent="0.25">
      <c r="A4841" t="s">
        <v>3104</v>
      </c>
      <c r="B4841">
        <v>4</v>
      </c>
      <c r="C4841" s="54">
        <v>43132</v>
      </c>
      <c r="D4841" s="3" t="str">
        <f>YEAR(Datos_Consumo[[#This Row],[FECHA]])&amp;"-"&amp;MONTH(Datos_Consumo[[#This Row],[FECHA]])</f>
        <v>2018-2</v>
      </c>
    </row>
    <row r="4842" spans="1:4" x14ac:dyDescent="0.25">
      <c r="A4842" t="s">
        <v>3104</v>
      </c>
      <c r="B4842">
        <v>1</v>
      </c>
      <c r="C4842" s="54">
        <v>43160</v>
      </c>
      <c r="D4842" s="3" t="str">
        <f>YEAR(Datos_Consumo[[#This Row],[FECHA]])&amp;"-"&amp;MONTH(Datos_Consumo[[#This Row],[FECHA]])</f>
        <v>2018-3</v>
      </c>
    </row>
    <row r="4843" spans="1:4" x14ac:dyDescent="0.25">
      <c r="A4843" t="s">
        <v>3104</v>
      </c>
      <c r="B4843">
        <v>1</v>
      </c>
      <c r="C4843" s="54">
        <v>43191</v>
      </c>
      <c r="D4843" s="3" t="str">
        <f>YEAR(Datos_Consumo[[#This Row],[FECHA]])&amp;"-"&amp;MONTH(Datos_Consumo[[#This Row],[FECHA]])</f>
        <v>2018-4</v>
      </c>
    </row>
    <row r="4844" spans="1:4" x14ac:dyDescent="0.25">
      <c r="A4844" t="s">
        <v>3105</v>
      </c>
      <c r="B4844">
        <v>2</v>
      </c>
      <c r="C4844" s="54">
        <v>43070</v>
      </c>
      <c r="D4844" s="3" t="str">
        <f>YEAR(Datos_Consumo[[#This Row],[FECHA]])&amp;"-"&amp;MONTH(Datos_Consumo[[#This Row],[FECHA]])</f>
        <v>2017-12</v>
      </c>
    </row>
    <row r="4845" spans="1:4" x14ac:dyDescent="0.25">
      <c r="A4845" t="s">
        <v>3105</v>
      </c>
      <c r="B4845">
        <v>1</v>
      </c>
      <c r="C4845" s="54">
        <v>43101</v>
      </c>
      <c r="D4845" s="3" t="str">
        <f>YEAR(Datos_Consumo[[#This Row],[FECHA]])&amp;"-"&amp;MONTH(Datos_Consumo[[#This Row],[FECHA]])</f>
        <v>2018-1</v>
      </c>
    </row>
    <row r="4846" spans="1:4" x14ac:dyDescent="0.25">
      <c r="A4846" t="s">
        <v>3106</v>
      </c>
      <c r="B4846">
        <v>20</v>
      </c>
      <c r="C4846" s="54">
        <v>43070</v>
      </c>
      <c r="D4846" s="3" t="str">
        <f>YEAR(Datos_Consumo[[#This Row],[FECHA]])&amp;"-"&amp;MONTH(Datos_Consumo[[#This Row],[FECHA]])</f>
        <v>2017-12</v>
      </c>
    </row>
    <row r="4847" spans="1:4" x14ac:dyDescent="0.25">
      <c r="A4847" t="s">
        <v>3106</v>
      </c>
      <c r="B4847">
        <v>4</v>
      </c>
      <c r="C4847" s="54">
        <v>43101</v>
      </c>
      <c r="D4847" s="3" t="str">
        <f>YEAR(Datos_Consumo[[#This Row],[FECHA]])&amp;"-"&amp;MONTH(Datos_Consumo[[#This Row],[FECHA]])</f>
        <v>2018-1</v>
      </c>
    </row>
    <row r="4848" spans="1:4" x14ac:dyDescent="0.25">
      <c r="A4848" t="s">
        <v>3106</v>
      </c>
      <c r="B4848">
        <v>4</v>
      </c>
      <c r="C4848" s="54">
        <v>43132</v>
      </c>
      <c r="D4848" s="3" t="str">
        <f>YEAR(Datos_Consumo[[#This Row],[FECHA]])&amp;"-"&amp;MONTH(Datos_Consumo[[#This Row],[FECHA]])</f>
        <v>2018-2</v>
      </c>
    </row>
    <row r="4849" spans="1:4" x14ac:dyDescent="0.25">
      <c r="A4849" t="s">
        <v>3106</v>
      </c>
      <c r="B4849">
        <v>12</v>
      </c>
      <c r="C4849" s="54">
        <v>43191</v>
      </c>
      <c r="D4849" s="3" t="str">
        <f>YEAR(Datos_Consumo[[#This Row],[FECHA]])&amp;"-"&amp;MONTH(Datos_Consumo[[#This Row],[FECHA]])</f>
        <v>2018-4</v>
      </c>
    </row>
    <row r="4850" spans="1:4" x14ac:dyDescent="0.25">
      <c r="A4850" t="s">
        <v>3106</v>
      </c>
      <c r="B4850">
        <v>4</v>
      </c>
      <c r="C4850" s="54">
        <v>43221</v>
      </c>
      <c r="D4850" s="3" t="str">
        <f>YEAR(Datos_Consumo[[#This Row],[FECHA]])&amp;"-"&amp;MONTH(Datos_Consumo[[#This Row],[FECHA]])</f>
        <v>2018-5</v>
      </c>
    </row>
    <row r="4851" spans="1:4" x14ac:dyDescent="0.25">
      <c r="A4851" t="s">
        <v>3107</v>
      </c>
      <c r="B4851">
        <v>3</v>
      </c>
      <c r="C4851" s="54">
        <v>43132</v>
      </c>
      <c r="D4851" s="3" t="str">
        <f>YEAR(Datos_Consumo[[#This Row],[FECHA]])&amp;"-"&amp;MONTH(Datos_Consumo[[#This Row],[FECHA]])</f>
        <v>2018-2</v>
      </c>
    </row>
    <row r="4852" spans="1:4" x14ac:dyDescent="0.25">
      <c r="A4852" t="s">
        <v>3108</v>
      </c>
      <c r="B4852">
        <v>10</v>
      </c>
      <c r="C4852" s="54">
        <v>43191</v>
      </c>
      <c r="D4852" s="3" t="str">
        <f>YEAR(Datos_Consumo[[#This Row],[FECHA]])&amp;"-"&amp;MONTH(Datos_Consumo[[#This Row],[FECHA]])</f>
        <v>2018-4</v>
      </c>
    </row>
    <row r="4853" spans="1:4" x14ac:dyDescent="0.25">
      <c r="A4853" t="s">
        <v>3109</v>
      </c>
      <c r="B4853">
        <v>15</v>
      </c>
      <c r="C4853" s="54">
        <v>43191</v>
      </c>
      <c r="D4853" s="3" t="str">
        <f>YEAR(Datos_Consumo[[#This Row],[FECHA]])&amp;"-"&amp;MONTH(Datos_Consumo[[#This Row],[FECHA]])</f>
        <v>2018-4</v>
      </c>
    </row>
    <row r="4854" spans="1:4" x14ac:dyDescent="0.25">
      <c r="A4854" t="s">
        <v>4120</v>
      </c>
      <c r="B4854">
        <v>5</v>
      </c>
      <c r="C4854" s="54">
        <v>43191</v>
      </c>
      <c r="D4854" s="3" t="str">
        <f>YEAR(Datos_Consumo[[#This Row],[FECHA]])&amp;"-"&amp;MONTH(Datos_Consumo[[#This Row],[FECHA]])</f>
        <v>2018-4</v>
      </c>
    </row>
    <row r="4855" spans="1:4" x14ac:dyDescent="0.25">
      <c r="A4855" t="s">
        <v>3110</v>
      </c>
      <c r="B4855">
        <v>1</v>
      </c>
      <c r="C4855" s="54">
        <v>43160</v>
      </c>
      <c r="D4855" s="3" t="str">
        <f>YEAR(Datos_Consumo[[#This Row],[FECHA]])&amp;"-"&amp;MONTH(Datos_Consumo[[#This Row],[FECHA]])</f>
        <v>2018-3</v>
      </c>
    </row>
    <row r="4856" spans="1:4" x14ac:dyDescent="0.25">
      <c r="A4856" t="s">
        <v>3110</v>
      </c>
      <c r="B4856">
        <v>3</v>
      </c>
      <c r="C4856" s="54">
        <v>43221</v>
      </c>
      <c r="D4856" s="3" t="str">
        <f>YEAR(Datos_Consumo[[#This Row],[FECHA]])&amp;"-"&amp;MONTH(Datos_Consumo[[#This Row],[FECHA]])</f>
        <v>2018-5</v>
      </c>
    </row>
    <row r="4857" spans="1:4" x14ac:dyDescent="0.25">
      <c r="A4857" t="s">
        <v>4121</v>
      </c>
      <c r="B4857">
        <v>1</v>
      </c>
      <c r="C4857" s="54">
        <v>43191</v>
      </c>
      <c r="D4857" s="3" t="str">
        <f>YEAR(Datos_Consumo[[#This Row],[FECHA]])&amp;"-"&amp;MONTH(Datos_Consumo[[#This Row],[FECHA]])</f>
        <v>2018-4</v>
      </c>
    </row>
    <row r="4858" spans="1:4" x14ac:dyDescent="0.25">
      <c r="A4858" t="s">
        <v>3111</v>
      </c>
      <c r="B4858">
        <v>10</v>
      </c>
      <c r="C4858" s="54">
        <v>43070</v>
      </c>
      <c r="D4858" s="3" t="str">
        <f>YEAR(Datos_Consumo[[#This Row],[FECHA]])&amp;"-"&amp;MONTH(Datos_Consumo[[#This Row],[FECHA]])</f>
        <v>2017-12</v>
      </c>
    </row>
    <row r="4859" spans="1:4" x14ac:dyDescent="0.25">
      <c r="A4859" t="s">
        <v>3111</v>
      </c>
      <c r="B4859">
        <v>2</v>
      </c>
      <c r="C4859" s="54">
        <v>43101</v>
      </c>
      <c r="D4859" s="3" t="str">
        <f>YEAR(Datos_Consumo[[#This Row],[FECHA]])&amp;"-"&amp;MONTH(Datos_Consumo[[#This Row],[FECHA]])</f>
        <v>2018-1</v>
      </c>
    </row>
    <row r="4860" spans="1:4" x14ac:dyDescent="0.25">
      <c r="A4860" t="s">
        <v>3111</v>
      </c>
      <c r="B4860">
        <v>2</v>
      </c>
      <c r="C4860" s="54">
        <v>43132</v>
      </c>
      <c r="D4860" s="3" t="str">
        <f>YEAR(Datos_Consumo[[#This Row],[FECHA]])&amp;"-"&amp;MONTH(Datos_Consumo[[#This Row],[FECHA]])</f>
        <v>2018-2</v>
      </c>
    </row>
    <row r="4861" spans="1:4" x14ac:dyDescent="0.25">
      <c r="A4861" t="s">
        <v>3111</v>
      </c>
      <c r="B4861">
        <v>6</v>
      </c>
      <c r="C4861" s="54">
        <v>43191</v>
      </c>
      <c r="D4861" s="3" t="str">
        <f>YEAR(Datos_Consumo[[#This Row],[FECHA]])&amp;"-"&amp;MONTH(Datos_Consumo[[#This Row],[FECHA]])</f>
        <v>2018-4</v>
      </c>
    </row>
    <row r="4862" spans="1:4" x14ac:dyDescent="0.25">
      <c r="A4862" t="s">
        <v>3111</v>
      </c>
      <c r="B4862">
        <v>2</v>
      </c>
      <c r="C4862" s="54">
        <v>43221</v>
      </c>
      <c r="D4862" s="3" t="str">
        <f>YEAR(Datos_Consumo[[#This Row],[FECHA]])&amp;"-"&amp;MONTH(Datos_Consumo[[#This Row],[FECHA]])</f>
        <v>2018-5</v>
      </c>
    </row>
    <row r="4863" spans="1:4" x14ac:dyDescent="0.25">
      <c r="A4863" t="s">
        <v>3112</v>
      </c>
      <c r="B4863">
        <v>3</v>
      </c>
      <c r="C4863" s="54">
        <v>43070</v>
      </c>
      <c r="D4863" s="3" t="str">
        <f>YEAR(Datos_Consumo[[#This Row],[FECHA]])&amp;"-"&amp;MONTH(Datos_Consumo[[#This Row],[FECHA]])</f>
        <v>2017-12</v>
      </c>
    </row>
    <row r="4864" spans="1:4" x14ac:dyDescent="0.25">
      <c r="A4864" t="s">
        <v>3112</v>
      </c>
      <c r="B4864">
        <v>1</v>
      </c>
      <c r="C4864" s="54">
        <v>43160</v>
      </c>
      <c r="D4864" s="3" t="str">
        <f>YEAR(Datos_Consumo[[#This Row],[FECHA]])&amp;"-"&amp;MONTH(Datos_Consumo[[#This Row],[FECHA]])</f>
        <v>2018-3</v>
      </c>
    </row>
    <row r="4865" spans="1:4" x14ac:dyDescent="0.25">
      <c r="A4865" t="s">
        <v>3112</v>
      </c>
      <c r="B4865">
        <v>1</v>
      </c>
      <c r="C4865" s="54">
        <v>43191</v>
      </c>
      <c r="D4865" s="3" t="str">
        <f>YEAR(Datos_Consumo[[#This Row],[FECHA]])&amp;"-"&amp;MONTH(Datos_Consumo[[#This Row],[FECHA]])</f>
        <v>2018-4</v>
      </c>
    </row>
    <row r="4866" spans="1:4" x14ac:dyDescent="0.25">
      <c r="A4866" t="s">
        <v>3113</v>
      </c>
      <c r="B4866">
        <v>2</v>
      </c>
      <c r="C4866" s="54">
        <v>43070</v>
      </c>
      <c r="D4866" s="3" t="str">
        <f>YEAR(Datos_Consumo[[#This Row],[FECHA]])&amp;"-"&amp;MONTH(Datos_Consumo[[#This Row],[FECHA]])</f>
        <v>2017-12</v>
      </c>
    </row>
    <row r="4867" spans="1:4" x14ac:dyDescent="0.25">
      <c r="A4867" t="s">
        <v>3113</v>
      </c>
      <c r="B4867">
        <v>107</v>
      </c>
      <c r="C4867" s="54">
        <v>43101</v>
      </c>
      <c r="D4867" s="3" t="str">
        <f>YEAR(Datos_Consumo[[#This Row],[FECHA]])&amp;"-"&amp;MONTH(Datos_Consumo[[#This Row],[FECHA]])</f>
        <v>2018-1</v>
      </c>
    </row>
    <row r="4868" spans="1:4" x14ac:dyDescent="0.25">
      <c r="A4868" t="s">
        <v>3113</v>
      </c>
      <c r="B4868">
        <v>103</v>
      </c>
      <c r="C4868" s="54">
        <v>43132</v>
      </c>
      <c r="D4868" s="3" t="str">
        <f>YEAR(Datos_Consumo[[#This Row],[FECHA]])&amp;"-"&amp;MONTH(Datos_Consumo[[#This Row],[FECHA]])</f>
        <v>2018-2</v>
      </c>
    </row>
    <row r="4869" spans="1:4" x14ac:dyDescent="0.25">
      <c r="A4869" t="s">
        <v>3113</v>
      </c>
      <c r="B4869">
        <v>104</v>
      </c>
      <c r="C4869" s="54">
        <v>43160</v>
      </c>
      <c r="D4869" s="3" t="str">
        <f>YEAR(Datos_Consumo[[#This Row],[FECHA]])&amp;"-"&amp;MONTH(Datos_Consumo[[#This Row],[FECHA]])</f>
        <v>2018-3</v>
      </c>
    </row>
    <row r="4870" spans="1:4" x14ac:dyDescent="0.25">
      <c r="A4870" t="s">
        <v>3113</v>
      </c>
      <c r="B4870">
        <v>98</v>
      </c>
      <c r="C4870" s="54">
        <v>43191</v>
      </c>
      <c r="D4870" s="3" t="str">
        <f>YEAR(Datos_Consumo[[#This Row],[FECHA]])&amp;"-"&amp;MONTH(Datos_Consumo[[#This Row],[FECHA]])</f>
        <v>2018-4</v>
      </c>
    </row>
    <row r="4871" spans="1:4" x14ac:dyDescent="0.25">
      <c r="A4871" t="s">
        <v>3113</v>
      </c>
      <c r="B4871">
        <v>3</v>
      </c>
      <c r="C4871" s="54">
        <v>43221</v>
      </c>
      <c r="D4871" s="3" t="str">
        <f>YEAR(Datos_Consumo[[#This Row],[FECHA]])&amp;"-"&amp;MONTH(Datos_Consumo[[#This Row],[FECHA]])</f>
        <v>2018-5</v>
      </c>
    </row>
    <row r="4872" spans="1:4" x14ac:dyDescent="0.25">
      <c r="A4872" t="s">
        <v>3114</v>
      </c>
      <c r="B4872">
        <v>2</v>
      </c>
      <c r="C4872" s="54">
        <v>43160</v>
      </c>
      <c r="D4872" s="3" t="str">
        <f>YEAR(Datos_Consumo[[#This Row],[FECHA]])&amp;"-"&amp;MONTH(Datos_Consumo[[#This Row],[FECHA]])</f>
        <v>2018-3</v>
      </c>
    </row>
    <row r="4873" spans="1:4" x14ac:dyDescent="0.25">
      <c r="A4873" t="s">
        <v>3115</v>
      </c>
      <c r="B4873">
        <v>2</v>
      </c>
      <c r="C4873" s="54">
        <v>43160</v>
      </c>
      <c r="D4873" s="3" t="str">
        <f>YEAR(Datos_Consumo[[#This Row],[FECHA]])&amp;"-"&amp;MONTH(Datos_Consumo[[#This Row],[FECHA]])</f>
        <v>2018-3</v>
      </c>
    </row>
    <row r="4874" spans="1:4" x14ac:dyDescent="0.25">
      <c r="A4874" t="s">
        <v>3116</v>
      </c>
      <c r="B4874">
        <v>2</v>
      </c>
      <c r="C4874" s="54">
        <v>43160</v>
      </c>
      <c r="D4874" s="3" t="str">
        <f>YEAR(Datos_Consumo[[#This Row],[FECHA]])&amp;"-"&amp;MONTH(Datos_Consumo[[#This Row],[FECHA]])</f>
        <v>2018-3</v>
      </c>
    </row>
    <row r="4875" spans="1:4" x14ac:dyDescent="0.25">
      <c r="A4875" t="s">
        <v>3117</v>
      </c>
      <c r="B4875">
        <v>1</v>
      </c>
      <c r="C4875" s="54">
        <v>43070</v>
      </c>
      <c r="D4875" s="3" t="str">
        <f>YEAR(Datos_Consumo[[#This Row],[FECHA]])&amp;"-"&amp;MONTH(Datos_Consumo[[#This Row],[FECHA]])</f>
        <v>2017-12</v>
      </c>
    </row>
    <row r="4876" spans="1:4" x14ac:dyDescent="0.25">
      <c r="A4876" t="s">
        <v>3117</v>
      </c>
      <c r="B4876">
        <v>1</v>
      </c>
      <c r="C4876" s="54">
        <v>43101</v>
      </c>
      <c r="D4876" s="3" t="str">
        <f>YEAR(Datos_Consumo[[#This Row],[FECHA]])&amp;"-"&amp;MONTH(Datos_Consumo[[#This Row],[FECHA]])</f>
        <v>2018-1</v>
      </c>
    </row>
    <row r="4877" spans="1:4" x14ac:dyDescent="0.25">
      <c r="A4877" t="s">
        <v>3117</v>
      </c>
      <c r="B4877">
        <v>2</v>
      </c>
      <c r="C4877" s="54">
        <v>43160</v>
      </c>
      <c r="D4877" s="3" t="str">
        <f>YEAR(Datos_Consumo[[#This Row],[FECHA]])&amp;"-"&amp;MONTH(Datos_Consumo[[#This Row],[FECHA]])</f>
        <v>2018-3</v>
      </c>
    </row>
    <row r="4878" spans="1:4" x14ac:dyDescent="0.25">
      <c r="A4878" t="s">
        <v>3118</v>
      </c>
      <c r="B4878">
        <v>2</v>
      </c>
      <c r="C4878" s="54">
        <v>43160</v>
      </c>
      <c r="D4878" s="3" t="str">
        <f>YEAR(Datos_Consumo[[#This Row],[FECHA]])&amp;"-"&amp;MONTH(Datos_Consumo[[#This Row],[FECHA]])</f>
        <v>2018-3</v>
      </c>
    </row>
    <row r="4879" spans="1:4" x14ac:dyDescent="0.25">
      <c r="A4879" t="s">
        <v>3119</v>
      </c>
      <c r="B4879">
        <v>3</v>
      </c>
      <c r="C4879" s="54">
        <v>43160</v>
      </c>
      <c r="D4879" s="3" t="str">
        <f>YEAR(Datos_Consumo[[#This Row],[FECHA]])&amp;"-"&amp;MONTH(Datos_Consumo[[#This Row],[FECHA]])</f>
        <v>2018-3</v>
      </c>
    </row>
    <row r="4880" spans="1:4" x14ac:dyDescent="0.25">
      <c r="A4880" t="s">
        <v>3120</v>
      </c>
      <c r="B4880">
        <v>1</v>
      </c>
      <c r="C4880" s="54">
        <v>43070</v>
      </c>
      <c r="D4880" s="3" t="str">
        <f>YEAR(Datos_Consumo[[#This Row],[FECHA]])&amp;"-"&amp;MONTH(Datos_Consumo[[#This Row],[FECHA]])</f>
        <v>2017-12</v>
      </c>
    </row>
    <row r="4881" spans="1:4" x14ac:dyDescent="0.25">
      <c r="A4881" t="s">
        <v>3120</v>
      </c>
      <c r="B4881">
        <v>2</v>
      </c>
      <c r="C4881" s="54">
        <v>43101</v>
      </c>
      <c r="D4881" s="3" t="str">
        <f>YEAR(Datos_Consumo[[#This Row],[FECHA]])&amp;"-"&amp;MONTH(Datos_Consumo[[#This Row],[FECHA]])</f>
        <v>2018-1</v>
      </c>
    </row>
    <row r="4882" spans="1:4" x14ac:dyDescent="0.25">
      <c r="A4882" t="s">
        <v>3120</v>
      </c>
      <c r="B4882">
        <v>1</v>
      </c>
      <c r="C4882" s="54">
        <v>43160</v>
      </c>
      <c r="D4882" s="3" t="str">
        <f>YEAR(Datos_Consumo[[#This Row],[FECHA]])&amp;"-"&amp;MONTH(Datos_Consumo[[#This Row],[FECHA]])</f>
        <v>2018-3</v>
      </c>
    </row>
    <row r="4883" spans="1:4" x14ac:dyDescent="0.25">
      <c r="A4883" t="s">
        <v>3121</v>
      </c>
      <c r="B4883">
        <v>2</v>
      </c>
      <c r="C4883" s="54">
        <v>43101</v>
      </c>
      <c r="D4883" s="3" t="str">
        <f>YEAR(Datos_Consumo[[#This Row],[FECHA]])&amp;"-"&amp;MONTH(Datos_Consumo[[#This Row],[FECHA]])</f>
        <v>2018-1</v>
      </c>
    </row>
    <row r="4884" spans="1:4" x14ac:dyDescent="0.25">
      <c r="A4884" t="s">
        <v>3121</v>
      </c>
      <c r="B4884">
        <v>2</v>
      </c>
      <c r="C4884" s="54">
        <v>43160</v>
      </c>
      <c r="D4884" s="3" t="str">
        <f>YEAR(Datos_Consumo[[#This Row],[FECHA]])&amp;"-"&amp;MONTH(Datos_Consumo[[#This Row],[FECHA]])</f>
        <v>2018-3</v>
      </c>
    </row>
    <row r="4885" spans="1:4" x14ac:dyDescent="0.25">
      <c r="A4885" t="s">
        <v>3122</v>
      </c>
      <c r="B4885">
        <v>2</v>
      </c>
      <c r="C4885" s="54">
        <v>43160</v>
      </c>
      <c r="D4885" s="3" t="str">
        <f>YEAR(Datos_Consumo[[#This Row],[FECHA]])&amp;"-"&amp;MONTH(Datos_Consumo[[#This Row],[FECHA]])</f>
        <v>2018-3</v>
      </c>
    </row>
    <row r="4886" spans="1:4" x14ac:dyDescent="0.25">
      <c r="A4886" t="s">
        <v>3123</v>
      </c>
      <c r="B4886">
        <v>1</v>
      </c>
      <c r="C4886" s="54">
        <v>43160</v>
      </c>
      <c r="D4886" s="3" t="str">
        <f>YEAR(Datos_Consumo[[#This Row],[FECHA]])&amp;"-"&amp;MONTH(Datos_Consumo[[#This Row],[FECHA]])</f>
        <v>2018-3</v>
      </c>
    </row>
    <row r="4887" spans="1:4" x14ac:dyDescent="0.25">
      <c r="A4887" t="s">
        <v>3124</v>
      </c>
      <c r="B4887">
        <v>1</v>
      </c>
      <c r="C4887" s="54">
        <v>43070</v>
      </c>
      <c r="D4887" s="3" t="str">
        <f>YEAR(Datos_Consumo[[#This Row],[FECHA]])&amp;"-"&amp;MONTH(Datos_Consumo[[#This Row],[FECHA]])</f>
        <v>2017-12</v>
      </c>
    </row>
    <row r="4888" spans="1:4" x14ac:dyDescent="0.25">
      <c r="A4888" t="s">
        <v>3124</v>
      </c>
      <c r="B4888">
        <v>1</v>
      </c>
      <c r="C4888" s="54">
        <v>43132</v>
      </c>
      <c r="D4888" s="3" t="str">
        <f>YEAR(Datos_Consumo[[#This Row],[FECHA]])&amp;"-"&amp;MONTH(Datos_Consumo[[#This Row],[FECHA]])</f>
        <v>2018-2</v>
      </c>
    </row>
    <row r="4889" spans="1:4" x14ac:dyDescent="0.25">
      <c r="A4889" t="s">
        <v>3125</v>
      </c>
      <c r="B4889">
        <v>2</v>
      </c>
      <c r="C4889" s="54">
        <v>43070</v>
      </c>
      <c r="D4889" s="3" t="str">
        <f>YEAR(Datos_Consumo[[#This Row],[FECHA]])&amp;"-"&amp;MONTH(Datos_Consumo[[#This Row],[FECHA]])</f>
        <v>2017-12</v>
      </c>
    </row>
    <row r="4890" spans="1:4" x14ac:dyDescent="0.25">
      <c r="A4890" t="s">
        <v>3126</v>
      </c>
      <c r="B4890">
        <v>1</v>
      </c>
      <c r="C4890" s="54">
        <v>43070</v>
      </c>
      <c r="D4890" s="3" t="str">
        <f>YEAR(Datos_Consumo[[#This Row],[FECHA]])&amp;"-"&amp;MONTH(Datos_Consumo[[#This Row],[FECHA]])</f>
        <v>2017-12</v>
      </c>
    </row>
    <row r="4891" spans="1:4" x14ac:dyDescent="0.25">
      <c r="A4891" t="s">
        <v>3126</v>
      </c>
      <c r="B4891">
        <v>1</v>
      </c>
      <c r="C4891" s="54">
        <v>43101</v>
      </c>
      <c r="D4891" s="3" t="str">
        <f>YEAR(Datos_Consumo[[#This Row],[FECHA]])&amp;"-"&amp;MONTH(Datos_Consumo[[#This Row],[FECHA]])</f>
        <v>2018-1</v>
      </c>
    </row>
    <row r="4892" spans="1:4" x14ac:dyDescent="0.25">
      <c r="A4892" t="s">
        <v>3127</v>
      </c>
      <c r="B4892">
        <v>2</v>
      </c>
      <c r="C4892" s="54">
        <v>43101</v>
      </c>
      <c r="D4892" s="3" t="str">
        <f>YEAR(Datos_Consumo[[#This Row],[FECHA]])&amp;"-"&amp;MONTH(Datos_Consumo[[#This Row],[FECHA]])</f>
        <v>2018-1</v>
      </c>
    </row>
    <row r="4893" spans="1:4" x14ac:dyDescent="0.25">
      <c r="A4893" t="s">
        <v>3128</v>
      </c>
      <c r="B4893">
        <v>1</v>
      </c>
      <c r="C4893" s="54">
        <v>43101</v>
      </c>
      <c r="D4893" s="3" t="str">
        <f>YEAR(Datos_Consumo[[#This Row],[FECHA]])&amp;"-"&amp;MONTH(Datos_Consumo[[#This Row],[FECHA]])</f>
        <v>2018-1</v>
      </c>
    </row>
    <row r="4894" spans="1:4" x14ac:dyDescent="0.25">
      <c r="A4894" t="s">
        <v>3129</v>
      </c>
      <c r="B4894">
        <v>2</v>
      </c>
      <c r="C4894" s="54">
        <v>43101</v>
      </c>
      <c r="D4894" s="3" t="str">
        <f>YEAR(Datos_Consumo[[#This Row],[FECHA]])&amp;"-"&amp;MONTH(Datos_Consumo[[#This Row],[FECHA]])</f>
        <v>2018-1</v>
      </c>
    </row>
    <row r="4895" spans="1:4" x14ac:dyDescent="0.25">
      <c r="A4895" t="s">
        <v>3129</v>
      </c>
      <c r="B4895">
        <v>1</v>
      </c>
      <c r="C4895" s="54">
        <v>43132</v>
      </c>
      <c r="D4895" s="3" t="str">
        <f>YEAR(Datos_Consumo[[#This Row],[FECHA]])&amp;"-"&amp;MONTH(Datos_Consumo[[#This Row],[FECHA]])</f>
        <v>2018-2</v>
      </c>
    </row>
    <row r="4896" spans="1:4" x14ac:dyDescent="0.25">
      <c r="A4896" t="s">
        <v>3130</v>
      </c>
      <c r="B4896">
        <v>2</v>
      </c>
      <c r="C4896" s="54">
        <v>43101</v>
      </c>
      <c r="D4896" s="3" t="str">
        <f>YEAR(Datos_Consumo[[#This Row],[FECHA]])&amp;"-"&amp;MONTH(Datos_Consumo[[#This Row],[FECHA]])</f>
        <v>2018-1</v>
      </c>
    </row>
    <row r="4897" spans="1:4" x14ac:dyDescent="0.25">
      <c r="A4897" t="s">
        <v>3131</v>
      </c>
      <c r="B4897">
        <v>2</v>
      </c>
      <c r="C4897" s="54">
        <v>43101</v>
      </c>
      <c r="D4897" s="3" t="str">
        <f>YEAR(Datos_Consumo[[#This Row],[FECHA]])&amp;"-"&amp;MONTH(Datos_Consumo[[#This Row],[FECHA]])</f>
        <v>2018-1</v>
      </c>
    </row>
    <row r="4898" spans="1:4" x14ac:dyDescent="0.25">
      <c r="A4898" t="s">
        <v>3132</v>
      </c>
      <c r="B4898">
        <v>8</v>
      </c>
      <c r="C4898" s="54">
        <v>43070</v>
      </c>
      <c r="D4898" s="3" t="str">
        <f>YEAR(Datos_Consumo[[#This Row],[FECHA]])&amp;"-"&amp;MONTH(Datos_Consumo[[#This Row],[FECHA]])</f>
        <v>2017-12</v>
      </c>
    </row>
    <row r="4899" spans="1:4" x14ac:dyDescent="0.25">
      <c r="A4899" t="s">
        <v>3132</v>
      </c>
      <c r="B4899">
        <v>6</v>
      </c>
      <c r="C4899" s="54">
        <v>43101</v>
      </c>
      <c r="D4899" s="3" t="str">
        <f>YEAR(Datos_Consumo[[#This Row],[FECHA]])&amp;"-"&amp;MONTH(Datos_Consumo[[#This Row],[FECHA]])</f>
        <v>2018-1</v>
      </c>
    </row>
    <row r="4900" spans="1:4" x14ac:dyDescent="0.25">
      <c r="A4900" t="s">
        <v>3132</v>
      </c>
      <c r="B4900">
        <v>3</v>
      </c>
      <c r="C4900" s="54">
        <v>43132</v>
      </c>
      <c r="D4900" s="3" t="str">
        <f>YEAR(Datos_Consumo[[#This Row],[FECHA]])&amp;"-"&amp;MONTH(Datos_Consumo[[#This Row],[FECHA]])</f>
        <v>2018-2</v>
      </c>
    </row>
    <row r="4901" spans="1:4" x14ac:dyDescent="0.25">
      <c r="A4901" t="s">
        <v>3132</v>
      </c>
      <c r="B4901">
        <v>1</v>
      </c>
      <c r="C4901" s="54">
        <v>43160</v>
      </c>
      <c r="D4901" s="3" t="str">
        <f>YEAR(Datos_Consumo[[#This Row],[FECHA]])&amp;"-"&amp;MONTH(Datos_Consumo[[#This Row],[FECHA]])</f>
        <v>2018-3</v>
      </c>
    </row>
    <row r="4902" spans="1:4" x14ac:dyDescent="0.25">
      <c r="A4902" t="s">
        <v>4122</v>
      </c>
      <c r="B4902">
        <v>2</v>
      </c>
      <c r="C4902" s="54">
        <v>43221</v>
      </c>
      <c r="D4902" s="3" t="str">
        <f>YEAR(Datos_Consumo[[#This Row],[FECHA]])&amp;"-"&amp;MONTH(Datos_Consumo[[#This Row],[FECHA]])</f>
        <v>2018-5</v>
      </c>
    </row>
    <row r="4903" spans="1:4" x14ac:dyDescent="0.25">
      <c r="A4903" t="s">
        <v>3133</v>
      </c>
      <c r="B4903">
        <v>4</v>
      </c>
      <c r="C4903" s="54">
        <v>43070</v>
      </c>
      <c r="D4903" s="3" t="str">
        <f>YEAR(Datos_Consumo[[#This Row],[FECHA]])&amp;"-"&amp;MONTH(Datos_Consumo[[#This Row],[FECHA]])</f>
        <v>2017-12</v>
      </c>
    </row>
    <row r="4904" spans="1:4" x14ac:dyDescent="0.25">
      <c r="A4904" t="s">
        <v>3133</v>
      </c>
      <c r="B4904">
        <v>2</v>
      </c>
      <c r="C4904" s="54">
        <v>43101</v>
      </c>
      <c r="D4904" s="3" t="str">
        <f>YEAR(Datos_Consumo[[#This Row],[FECHA]])&amp;"-"&amp;MONTH(Datos_Consumo[[#This Row],[FECHA]])</f>
        <v>2018-1</v>
      </c>
    </row>
    <row r="4905" spans="1:4" x14ac:dyDescent="0.25">
      <c r="A4905" t="s">
        <v>3133</v>
      </c>
      <c r="B4905">
        <v>4</v>
      </c>
      <c r="C4905" s="54">
        <v>43132</v>
      </c>
      <c r="D4905" s="3" t="str">
        <f>YEAR(Datos_Consumo[[#This Row],[FECHA]])&amp;"-"&amp;MONTH(Datos_Consumo[[#This Row],[FECHA]])</f>
        <v>2018-2</v>
      </c>
    </row>
    <row r="4906" spans="1:4" x14ac:dyDescent="0.25">
      <c r="A4906" t="s">
        <v>3133</v>
      </c>
      <c r="B4906">
        <v>9</v>
      </c>
      <c r="C4906" s="54">
        <v>43160</v>
      </c>
      <c r="D4906" s="3" t="str">
        <f>YEAR(Datos_Consumo[[#This Row],[FECHA]])&amp;"-"&amp;MONTH(Datos_Consumo[[#This Row],[FECHA]])</f>
        <v>2018-3</v>
      </c>
    </row>
    <row r="4907" spans="1:4" x14ac:dyDescent="0.25">
      <c r="A4907" t="s">
        <v>3133</v>
      </c>
      <c r="B4907">
        <v>1</v>
      </c>
      <c r="C4907" s="54">
        <v>43191</v>
      </c>
      <c r="D4907" s="3" t="str">
        <f>YEAR(Datos_Consumo[[#This Row],[FECHA]])&amp;"-"&amp;MONTH(Datos_Consumo[[#This Row],[FECHA]])</f>
        <v>2018-4</v>
      </c>
    </row>
    <row r="4908" spans="1:4" x14ac:dyDescent="0.25">
      <c r="A4908" t="s">
        <v>3134</v>
      </c>
      <c r="B4908">
        <v>4</v>
      </c>
      <c r="C4908" s="54">
        <v>43160</v>
      </c>
      <c r="D4908" s="3" t="str">
        <f>YEAR(Datos_Consumo[[#This Row],[FECHA]])&amp;"-"&amp;MONTH(Datos_Consumo[[#This Row],[FECHA]])</f>
        <v>2018-3</v>
      </c>
    </row>
    <row r="4909" spans="1:4" x14ac:dyDescent="0.25">
      <c r="A4909" t="s">
        <v>3135</v>
      </c>
      <c r="B4909">
        <v>4</v>
      </c>
      <c r="C4909" s="54">
        <v>43191</v>
      </c>
      <c r="D4909" s="3" t="str">
        <f>YEAR(Datos_Consumo[[#This Row],[FECHA]])&amp;"-"&amp;MONTH(Datos_Consumo[[#This Row],[FECHA]])</f>
        <v>2018-4</v>
      </c>
    </row>
    <row r="4910" spans="1:4" x14ac:dyDescent="0.25">
      <c r="A4910" t="s">
        <v>4123</v>
      </c>
      <c r="B4910">
        <v>100</v>
      </c>
      <c r="C4910" s="54">
        <v>43191</v>
      </c>
      <c r="D4910" s="3" t="str">
        <f>YEAR(Datos_Consumo[[#This Row],[FECHA]])&amp;"-"&amp;MONTH(Datos_Consumo[[#This Row],[FECHA]])</f>
        <v>2018-4</v>
      </c>
    </row>
    <row r="4911" spans="1:4" x14ac:dyDescent="0.25">
      <c r="A4911" t="s">
        <v>3136</v>
      </c>
      <c r="B4911">
        <v>6</v>
      </c>
      <c r="C4911" s="54">
        <v>43070</v>
      </c>
      <c r="D4911" s="3" t="str">
        <f>YEAR(Datos_Consumo[[#This Row],[FECHA]])&amp;"-"&amp;MONTH(Datos_Consumo[[#This Row],[FECHA]])</f>
        <v>2017-12</v>
      </c>
    </row>
    <row r="4912" spans="1:4" x14ac:dyDescent="0.25">
      <c r="A4912" t="s">
        <v>3136</v>
      </c>
      <c r="B4912">
        <v>2</v>
      </c>
      <c r="C4912" s="54">
        <v>43160</v>
      </c>
      <c r="D4912" s="3" t="str">
        <f>YEAR(Datos_Consumo[[#This Row],[FECHA]])&amp;"-"&amp;MONTH(Datos_Consumo[[#This Row],[FECHA]])</f>
        <v>2018-3</v>
      </c>
    </row>
    <row r="4913" spans="1:4" x14ac:dyDescent="0.25">
      <c r="A4913" t="s">
        <v>3136</v>
      </c>
      <c r="B4913">
        <v>2</v>
      </c>
      <c r="C4913" s="54">
        <v>43191</v>
      </c>
      <c r="D4913" s="3" t="str">
        <f>YEAR(Datos_Consumo[[#This Row],[FECHA]])&amp;"-"&amp;MONTH(Datos_Consumo[[#This Row],[FECHA]])</f>
        <v>2018-4</v>
      </c>
    </row>
    <row r="4914" spans="1:4" x14ac:dyDescent="0.25">
      <c r="A4914" t="s">
        <v>3137</v>
      </c>
      <c r="B4914">
        <v>1</v>
      </c>
      <c r="C4914" s="54">
        <v>43101</v>
      </c>
      <c r="D4914" s="3" t="str">
        <f>YEAR(Datos_Consumo[[#This Row],[FECHA]])&amp;"-"&amp;MONTH(Datos_Consumo[[#This Row],[FECHA]])</f>
        <v>2018-1</v>
      </c>
    </row>
    <row r="4915" spans="1:4" x14ac:dyDescent="0.25">
      <c r="A4915" t="s">
        <v>3137</v>
      </c>
      <c r="B4915">
        <v>6</v>
      </c>
      <c r="C4915" s="54">
        <v>43132</v>
      </c>
      <c r="D4915" s="3" t="str">
        <f>YEAR(Datos_Consumo[[#This Row],[FECHA]])&amp;"-"&amp;MONTH(Datos_Consumo[[#This Row],[FECHA]])</f>
        <v>2018-2</v>
      </c>
    </row>
    <row r="4916" spans="1:4" x14ac:dyDescent="0.25">
      <c r="A4916" t="s">
        <v>3137</v>
      </c>
      <c r="B4916">
        <v>2</v>
      </c>
      <c r="C4916" s="54">
        <v>43160</v>
      </c>
      <c r="D4916" s="3" t="str">
        <f>YEAR(Datos_Consumo[[#This Row],[FECHA]])&amp;"-"&amp;MONTH(Datos_Consumo[[#This Row],[FECHA]])</f>
        <v>2018-3</v>
      </c>
    </row>
    <row r="4917" spans="1:4" x14ac:dyDescent="0.25">
      <c r="A4917" t="s">
        <v>3137</v>
      </c>
      <c r="B4917">
        <v>1</v>
      </c>
      <c r="C4917" s="54">
        <v>43191</v>
      </c>
      <c r="D4917" s="3" t="str">
        <f>YEAR(Datos_Consumo[[#This Row],[FECHA]])&amp;"-"&amp;MONTH(Datos_Consumo[[#This Row],[FECHA]])</f>
        <v>2018-4</v>
      </c>
    </row>
    <row r="4918" spans="1:4" x14ac:dyDescent="0.25">
      <c r="A4918" t="s">
        <v>3138</v>
      </c>
      <c r="B4918">
        <v>1</v>
      </c>
      <c r="C4918" s="54">
        <v>43101</v>
      </c>
      <c r="D4918" s="3" t="str">
        <f>YEAR(Datos_Consumo[[#This Row],[FECHA]])&amp;"-"&amp;MONTH(Datos_Consumo[[#This Row],[FECHA]])</f>
        <v>2018-1</v>
      </c>
    </row>
    <row r="4919" spans="1:4" x14ac:dyDescent="0.25">
      <c r="A4919" t="s">
        <v>3139</v>
      </c>
      <c r="B4919">
        <v>24</v>
      </c>
      <c r="C4919" s="54">
        <v>43101</v>
      </c>
      <c r="D4919" s="3" t="str">
        <f>YEAR(Datos_Consumo[[#This Row],[FECHA]])&amp;"-"&amp;MONTH(Datos_Consumo[[#This Row],[FECHA]])</f>
        <v>2018-1</v>
      </c>
    </row>
    <row r="4920" spans="1:4" x14ac:dyDescent="0.25">
      <c r="A4920" t="s">
        <v>3140</v>
      </c>
      <c r="B4920">
        <v>1</v>
      </c>
      <c r="C4920" s="54">
        <v>43101</v>
      </c>
      <c r="D4920" s="3" t="str">
        <f>YEAR(Datos_Consumo[[#This Row],[FECHA]])&amp;"-"&amp;MONTH(Datos_Consumo[[#This Row],[FECHA]])</f>
        <v>2018-1</v>
      </c>
    </row>
    <row r="4921" spans="1:4" x14ac:dyDescent="0.25">
      <c r="A4921" t="s">
        <v>3141</v>
      </c>
      <c r="B4921">
        <v>4</v>
      </c>
      <c r="C4921" s="54">
        <v>43070</v>
      </c>
      <c r="D4921" s="3" t="str">
        <f>YEAR(Datos_Consumo[[#This Row],[FECHA]])&amp;"-"&amp;MONTH(Datos_Consumo[[#This Row],[FECHA]])</f>
        <v>2017-12</v>
      </c>
    </row>
    <row r="4922" spans="1:4" x14ac:dyDescent="0.25">
      <c r="A4922" t="s">
        <v>3141</v>
      </c>
      <c r="B4922">
        <v>2</v>
      </c>
      <c r="C4922" s="54">
        <v>43132</v>
      </c>
      <c r="D4922" s="3" t="str">
        <f>YEAR(Datos_Consumo[[#This Row],[FECHA]])&amp;"-"&amp;MONTH(Datos_Consumo[[#This Row],[FECHA]])</f>
        <v>2018-2</v>
      </c>
    </row>
    <row r="4923" spans="1:4" x14ac:dyDescent="0.25">
      <c r="A4923" t="s">
        <v>3141</v>
      </c>
      <c r="B4923">
        <v>2</v>
      </c>
      <c r="C4923" s="54">
        <v>43160</v>
      </c>
      <c r="D4923" s="3" t="str">
        <f>YEAR(Datos_Consumo[[#This Row],[FECHA]])&amp;"-"&amp;MONTH(Datos_Consumo[[#This Row],[FECHA]])</f>
        <v>2018-3</v>
      </c>
    </row>
    <row r="4924" spans="1:4" x14ac:dyDescent="0.25">
      <c r="A4924" t="s">
        <v>3141</v>
      </c>
      <c r="B4924">
        <v>1</v>
      </c>
      <c r="C4924" s="54">
        <v>43221</v>
      </c>
      <c r="D4924" s="3" t="str">
        <f>YEAR(Datos_Consumo[[#This Row],[FECHA]])&amp;"-"&amp;MONTH(Datos_Consumo[[#This Row],[FECHA]])</f>
        <v>2018-5</v>
      </c>
    </row>
    <row r="4925" spans="1:4" x14ac:dyDescent="0.25">
      <c r="A4925" t="s">
        <v>3142</v>
      </c>
      <c r="B4925">
        <v>40</v>
      </c>
      <c r="C4925" s="54">
        <v>43070</v>
      </c>
      <c r="D4925" s="3" t="str">
        <f>YEAR(Datos_Consumo[[#This Row],[FECHA]])&amp;"-"&amp;MONTH(Datos_Consumo[[#This Row],[FECHA]])</f>
        <v>2017-12</v>
      </c>
    </row>
    <row r="4926" spans="1:4" x14ac:dyDescent="0.25">
      <c r="A4926" t="s">
        <v>3142</v>
      </c>
      <c r="B4926">
        <v>42</v>
      </c>
      <c r="C4926" s="54">
        <v>43101</v>
      </c>
      <c r="D4926" s="3" t="str">
        <f>YEAR(Datos_Consumo[[#This Row],[FECHA]])&amp;"-"&amp;MONTH(Datos_Consumo[[#This Row],[FECHA]])</f>
        <v>2018-1</v>
      </c>
    </row>
    <row r="4927" spans="1:4" x14ac:dyDescent="0.25">
      <c r="A4927" t="s">
        <v>3142</v>
      </c>
      <c r="B4927">
        <v>50</v>
      </c>
      <c r="C4927" s="54">
        <v>43132</v>
      </c>
      <c r="D4927" s="3" t="str">
        <f>YEAR(Datos_Consumo[[#This Row],[FECHA]])&amp;"-"&amp;MONTH(Datos_Consumo[[#This Row],[FECHA]])</f>
        <v>2018-2</v>
      </c>
    </row>
    <row r="4928" spans="1:4" x14ac:dyDescent="0.25">
      <c r="A4928" t="s">
        <v>3142</v>
      </c>
      <c r="B4928">
        <v>44</v>
      </c>
      <c r="C4928" s="54">
        <v>43160</v>
      </c>
      <c r="D4928" s="3" t="str">
        <f>YEAR(Datos_Consumo[[#This Row],[FECHA]])&amp;"-"&amp;MONTH(Datos_Consumo[[#This Row],[FECHA]])</f>
        <v>2018-3</v>
      </c>
    </row>
    <row r="4929" spans="1:4" x14ac:dyDescent="0.25">
      <c r="A4929" t="s">
        <v>3142</v>
      </c>
      <c r="B4929">
        <v>64</v>
      </c>
      <c r="C4929" s="54">
        <v>43191</v>
      </c>
      <c r="D4929" s="3" t="str">
        <f>YEAR(Datos_Consumo[[#This Row],[FECHA]])&amp;"-"&amp;MONTH(Datos_Consumo[[#This Row],[FECHA]])</f>
        <v>2018-4</v>
      </c>
    </row>
    <row r="4930" spans="1:4" x14ac:dyDescent="0.25">
      <c r="A4930" t="s">
        <v>3142</v>
      </c>
      <c r="B4930">
        <v>17</v>
      </c>
      <c r="C4930" s="54">
        <v>43221</v>
      </c>
      <c r="D4930" s="3" t="str">
        <f>YEAR(Datos_Consumo[[#This Row],[FECHA]])&amp;"-"&amp;MONTH(Datos_Consumo[[#This Row],[FECHA]])</f>
        <v>2018-5</v>
      </c>
    </row>
    <row r="4931" spans="1:4" x14ac:dyDescent="0.25">
      <c r="A4931" t="s">
        <v>3143</v>
      </c>
      <c r="B4931">
        <v>301</v>
      </c>
      <c r="C4931" s="54">
        <v>43070</v>
      </c>
      <c r="D4931" s="3" t="str">
        <f>YEAR(Datos_Consumo[[#This Row],[FECHA]])&amp;"-"&amp;MONTH(Datos_Consumo[[#This Row],[FECHA]])</f>
        <v>2017-12</v>
      </c>
    </row>
    <row r="4932" spans="1:4" x14ac:dyDescent="0.25">
      <c r="A4932" t="s">
        <v>3143</v>
      </c>
      <c r="B4932">
        <v>372.84</v>
      </c>
      <c r="C4932" s="54">
        <v>43101</v>
      </c>
      <c r="D4932" s="3" t="str">
        <f>YEAR(Datos_Consumo[[#This Row],[FECHA]])&amp;"-"&amp;MONTH(Datos_Consumo[[#This Row],[FECHA]])</f>
        <v>2018-1</v>
      </c>
    </row>
    <row r="4933" spans="1:4" x14ac:dyDescent="0.25">
      <c r="A4933" t="s">
        <v>3143</v>
      </c>
      <c r="B4933">
        <v>291.33999999999997</v>
      </c>
      <c r="C4933" s="54">
        <v>43132</v>
      </c>
      <c r="D4933" s="3" t="str">
        <f>YEAR(Datos_Consumo[[#This Row],[FECHA]])&amp;"-"&amp;MONTH(Datos_Consumo[[#This Row],[FECHA]])</f>
        <v>2018-2</v>
      </c>
    </row>
    <row r="4934" spans="1:4" x14ac:dyDescent="0.25">
      <c r="A4934" t="s">
        <v>3143</v>
      </c>
      <c r="B4934">
        <v>329.48</v>
      </c>
      <c r="C4934" s="54">
        <v>43160</v>
      </c>
      <c r="D4934" s="3" t="str">
        <f>YEAR(Datos_Consumo[[#This Row],[FECHA]])&amp;"-"&amp;MONTH(Datos_Consumo[[#This Row],[FECHA]])</f>
        <v>2018-3</v>
      </c>
    </row>
    <row r="4935" spans="1:4" x14ac:dyDescent="0.25">
      <c r="A4935" t="s">
        <v>3143</v>
      </c>
      <c r="B4935">
        <v>400.14</v>
      </c>
      <c r="C4935" s="54">
        <v>43191</v>
      </c>
      <c r="D4935" s="3" t="str">
        <f>YEAR(Datos_Consumo[[#This Row],[FECHA]])&amp;"-"&amp;MONTH(Datos_Consumo[[#This Row],[FECHA]])</f>
        <v>2018-4</v>
      </c>
    </row>
    <row r="4936" spans="1:4" x14ac:dyDescent="0.25">
      <c r="A4936" t="s">
        <v>3143</v>
      </c>
      <c r="B4936">
        <v>159.08000000000001</v>
      </c>
      <c r="C4936" s="54">
        <v>43221</v>
      </c>
      <c r="D4936" s="3" t="str">
        <f>YEAR(Datos_Consumo[[#This Row],[FECHA]])&amp;"-"&amp;MONTH(Datos_Consumo[[#This Row],[FECHA]])</f>
        <v>2018-5</v>
      </c>
    </row>
    <row r="4937" spans="1:4" x14ac:dyDescent="0.25">
      <c r="A4937" t="s">
        <v>3144</v>
      </c>
      <c r="B4937">
        <v>16</v>
      </c>
      <c r="C4937" s="54">
        <v>43070</v>
      </c>
      <c r="D4937" s="3" t="str">
        <f>YEAR(Datos_Consumo[[#This Row],[FECHA]])&amp;"-"&amp;MONTH(Datos_Consumo[[#This Row],[FECHA]])</f>
        <v>2017-12</v>
      </c>
    </row>
    <row r="4938" spans="1:4" x14ac:dyDescent="0.25">
      <c r="A4938" t="s">
        <v>3144</v>
      </c>
      <c r="B4938">
        <v>5</v>
      </c>
      <c r="C4938" s="54">
        <v>43101</v>
      </c>
      <c r="D4938" s="3" t="str">
        <f>YEAR(Datos_Consumo[[#This Row],[FECHA]])&amp;"-"&amp;MONTH(Datos_Consumo[[#This Row],[FECHA]])</f>
        <v>2018-1</v>
      </c>
    </row>
    <row r="4939" spans="1:4" x14ac:dyDescent="0.25">
      <c r="A4939" t="s">
        <v>3144</v>
      </c>
      <c r="B4939">
        <v>4</v>
      </c>
      <c r="C4939" s="54">
        <v>43132</v>
      </c>
      <c r="D4939" s="3" t="str">
        <f>YEAR(Datos_Consumo[[#This Row],[FECHA]])&amp;"-"&amp;MONTH(Datos_Consumo[[#This Row],[FECHA]])</f>
        <v>2018-2</v>
      </c>
    </row>
    <row r="4940" spans="1:4" x14ac:dyDescent="0.25">
      <c r="A4940" t="s">
        <v>3144</v>
      </c>
      <c r="B4940">
        <v>1</v>
      </c>
      <c r="C4940" s="54">
        <v>43160</v>
      </c>
      <c r="D4940" s="3" t="str">
        <f>YEAR(Datos_Consumo[[#This Row],[FECHA]])&amp;"-"&amp;MONTH(Datos_Consumo[[#This Row],[FECHA]])</f>
        <v>2018-3</v>
      </c>
    </row>
    <row r="4941" spans="1:4" x14ac:dyDescent="0.25">
      <c r="A4941" t="s">
        <v>3144</v>
      </c>
      <c r="B4941">
        <v>8</v>
      </c>
      <c r="C4941" s="54">
        <v>43191</v>
      </c>
      <c r="D4941" s="3" t="str">
        <f>YEAR(Datos_Consumo[[#This Row],[FECHA]])&amp;"-"&amp;MONTH(Datos_Consumo[[#This Row],[FECHA]])</f>
        <v>2018-4</v>
      </c>
    </row>
    <row r="4942" spans="1:4" x14ac:dyDescent="0.25">
      <c r="A4942" t="s">
        <v>3144</v>
      </c>
      <c r="B4942">
        <v>5</v>
      </c>
      <c r="C4942" s="54">
        <v>43221</v>
      </c>
      <c r="D4942" s="3" t="str">
        <f>YEAR(Datos_Consumo[[#This Row],[FECHA]])&amp;"-"&amp;MONTH(Datos_Consumo[[#This Row],[FECHA]])</f>
        <v>2018-5</v>
      </c>
    </row>
    <row r="4943" spans="1:4" x14ac:dyDescent="0.25">
      <c r="A4943" t="s">
        <v>3145</v>
      </c>
      <c r="B4943">
        <v>3</v>
      </c>
      <c r="C4943" s="54">
        <v>43070</v>
      </c>
      <c r="D4943" s="3" t="str">
        <f>YEAR(Datos_Consumo[[#This Row],[FECHA]])&amp;"-"&amp;MONTH(Datos_Consumo[[#This Row],[FECHA]])</f>
        <v>2017-12</v>
      </c>
    </row>
    <row r="4944" spans="1:4" x14ac:dyDescent="0.25">
      <c r="A4944" t="s">
        <v>3145</v>
      </c>
      <c r="B4944">
        <v>5</v>
      </c>
      <c r="C4944" s="54">
        <v>43221</v>
      </c>
      <c r="D4944" s="3" t="str">
        <f>YEAR(Datos_Consumo[[#This Row],[FECHA]])&amp;"-"&amp;MONTH(Datos_Consumo[[#This Row],[FECHA]])</f>
        <v>2018-5</v>
      </c>
    </row>
    <row r="4945" spans="1:4" x14ac:dyDescent="0.25">
      <c r="A4945" t="s">
        <v>3146</v>
      </c>
      <c r="B4945">
        <v>6</v>
      </c>
      <c r="C4945" s="54">
        <v>43070</v>
      </c>
      <c r="D4945" s="3" t="str">
        <f>YEAR(Datos_Consumo[[#This Row],[FECHA]])&amp;"-"&amp;MONTH(Datos_Consumo[[#This Row],[FECHA]])</f>
        <v>2017-12</v>
      </c>
    </row>
    <row r="4946" spans="1:4" x14ac:dyDescent="0.25">
      <c r="A4946" t="s">
        <v>3146</v>
      </c>
      <c r="B4946">
        <v>5</v>
      </c>
      <c r="C4946" s="54">
        <v>43101</v>
      </c>
      <c r="D4946" s="3" t="str">
        <f>YEAR(Datos_Consumo[[#This Row],[FECHA]])&amp;"-"&amp;MONTH(Datos_Consumo[[#This Row],[FECHA]])</f>
        <v>2018-1</v>
      </c>
    </row>
    <row r="4947" spans="1:4" x14ac:dyDescent="0.25">
      <c r="A4947" t="s">
        <v>3146</v>
      </c>
      <c r="B4947">
        <v>2</v>
      </c>
      <c r="C4947" s="54">
        <v>43132</v>
      </c>
      <c r="D4947" s="3" t="str">
        <f>YEAR(Datos_Consumo[[#This Row],[FECHA]])&amp;"-"&amp;MONTH(Datos_Consumo[[#This Row],[FECHA]])</f>
        <v>2018-2</v>
      </c>
    </row>
    <row r="4948" spans="1:4" x14ac:dyDescent="0.25">
      <c r="A4948" t="s">
        <v>3146</v>
      </c>
      <c r="B4948">
        <v>5</v>
      </c>
      <c r="C4948" s="54">
        <v>43160</v>
      </c>
      <c r="D4948" s="3" t="str">
        <f>YEAR(Datos_Consumo[[#This Row],[FECHA]])&amp;"-"&amp;MONTH(Datos_Consumo[[#This Row],[FECHA]])</f>
        <v>2018-3</v>
      </c>
    </row>
    <row r="4949" spans="1:4" x14ac:dyDescent="0.25">
      <c r="A4949" t="s">
        <v>3146</v>
      </c>
      <c r="B4949">
        <v>4</v>
      </c>
      <c r="C4949" s="54">
        <v>43191</v>
      </c>
      <c r="D4949" s="3" t="str">
        <f>YEAR(Datos_Consumo[[#This Row],[FECHA]])&amp;"-"&amp;MONTH(Datos_Consumo[[#This Row],[FECHA]])</f>
        <v>2018-4</v>
      </c>
    </row>
    <row r="4950" spans="1:4" x14ac:dyDescent="0.25">
      <c r="A4950" t="s">
        <v>3147</v>
      </c>
      <c r="B4950">
        <v>2</v>
      </c>
      <c r="C4950" s="54">
        <v>43101</v>
      </c>
      <c r="D4950" s="3" t="str">
        <f>YEAR(Datos_Consumo[[#This Row],[FECHA]])&amp;"-"&amp;MONTH(Datos_Consumo[[#This Row],[FECHA]])</f>
        <v>2018-1</v>
      </c>
    </row>
    <row r="4951" spans="1:4" x14ac:dyDescent="0.25">
      <c r="A4951" t="s">
        <v>3148</v>
      </c>
      <c r="B4951">
        <v>3</v>
      </c>
      <c r="C4951" s="54">
        <v>43160</v>
      </c>
      <c r="D4951" s="3" t="str">
        <f>YEAR(Datos_Consumo[[#This Row],[FECHA]])&amp;"-"&amp;MONTH(Datos_Consumo[[#This Row],[FECHA]])</f>
        <v>2018-3</v>
      </c>
    </row>
    <row r="4952" spans="1:4" x14ac:dyDescent="0.25">
      <c r="A4952" t="s">
        <v>3149</v>
      </c>
      <c r="B4952">
        <v>1</v>
      </c>
      <c r="C4952" s="54">
        <v>43070</v>
      </c>
      <c r="D4952" s="3" t="str">
        <f>YEAR(Datos_Consumo[[#This Row],[FECHA]])&amp;"-"&amp;MONTH(Datos_Consumo[[#This Row],[FECHA]])</f>
        <v>2017-12</v>
      </c>
    </row>
    <row r="4953" spans="1:4" x14ac:dyDescent="0.25">
      <c r="A4953" t="s">
        <v>3149</v>
      </c>
      <c r="B4953">
        <v>1</v>
      </c>
      <c r="C4953" s="54">
        <v>43101</v>
      </c>
      <c r="D4953" s="3" t="str">
        <f>YEAR(Datos_Consumo[[#This Row],[FECHA]])&amp;"-"&amp;MONTH(Datos_Consumo[[#This Row],[FECHA]])</f>
        <v>2018-1</v>
      </c>
    </row>
    <row r="4954" spans="1:4" x14ac:dyDescent="0.25">
      <c r="A4954" t="s">
        <v>3149</v>
      </c>
      <c r="B4954">
        <v>4</v>
      </c>
      <c r="C4954" s="54">
        <v>43160</v>
      </c>
      <c r="D4954" s="3" t="str">
        <f>YEAR(Datos_Consumo[[#This Row],[FECHA]])&amp;"-"&amp;MONTH(Datos_Consumo[[#This Row],[FECHA]])</f>
        <v>2018-3</v>
      </c>
    </row>
    <row r="4955" spans="1:4" x14ac:dyDescent="0.25">
      <c r="A4955" t="s">
        <v>3149</v>
      </c>
      <c r="B4955">
        <v>1</v>
      </c>
      <c r="C4955" s="54">
        <v>43191</v>
      </c>
      <c r="D4955" s="3" t="str">
        <f>YEAR(Datos_Consumo[[#This Row],[FECHA]])&amp;"-"&amp;MONTH(Datos_Consumo[[#This Row],[FECHA]])</f>
        <v>2018-4</v>
      </c>
    </row>
    <row r="4956" spans="1:4" x14ac:dyDescent="0.25">
      <c r="A4956" t="s">
        <v>3150</v>
      </c>
      <c r="B4956">
        <v>1</v>
      </c>
      <c r="C4956" s="54">
        <v>43070</v>
      </c>
      <c r="D4956" s="3" t="str">
        <f>YEAR(Datos_Consumo[[#This Row],[FECHA]])&amp;"-"&amp;MONTH(Datos_Consumo[[#This Row],[FECHA]])</f>
        <v>2017-12</v>
      </c>
    </row>
    <row r="4957" spans="1:4" x14ac:dyDescent="0.25">
      <c r="A4957" t="s">
        <v>3151</v>
      </c>
      <c r="B4957">
        <v>1</v>
      </c>
      <c r="C4957" s="54">
        <v>43070</v>
      </c>
      <c r="D4957" s="3" t="str">
        <f>YEAR(Datos_Consumo[[#This Row],[FECHA]])&amp;"-"&amp;MONTH(Datos_Consumo[[#This Row],[FECHA]])</f>
        <v>2017-12</v>
      </c>
    </row>
    <row r="4958" spans="1:4" x14ac:dyDescent="0.25">
      <c r="A4958" t="s">
        <v>3152</v>
      </c>
      <c r="B4958">
        <v>1</v>
      </c>
      <c r="C4958" s="54">
        <v>43132</v>
      </c>
      <c r="D4958" s="3" t="str">
        <f>YEAR(Datos_Consumo[[#This Row],[FECHA]])&amp;"-"&amp;MONTH(Datos_Consumo[[#This Row],[FECHA]])</f>
        <v>2018-2</v>
      </c>
    </row>
    <row r="4959" spans="1:4" x14ac:dyDescent="0.25">
      <c r="A4959" t="s">
        <v>3153</v>
      </c>
      <c r="B4959">
        <v>3</v>
      </c>
      <c r="C4959" s="54">
        <v>43070</v>
      </c>
      <c r="D4959" s="3" t="str">
        <f>YEAR(Datos_Consumo[[#This Row],[FECHA]])&amp;"-"&amp;MONTH(Datos_Consumo[[#This Row],[FECHA]])</f>
        <v>2017-12</v>
      </c>
    </row>
    <row r="4960" spans="1:4" x14ac:dyDescent="0.25">
      <c r="A4960" t="s">
        <v>3153</v>
      </c>
      <c r="B4960">
        <v>1</v>
      </c>
      <c r="C4960" s="54">
        <v>43132</v>
      </c>
      <c r="D4960" s="3" t="str">
        <f>YEAR(Datos_Consumo[[#This Row],[FECHA]])&amp;"-"&amp;MONTH(Datos_Consumo[[#This Row],[FECHA]])</f>
        <v>2018-2</v>
      </c>
    </row>
    <row r="4961" spans="1:4" x14ac:dyDescent="0.25">
      <c r="A4961" t="s">
        <v>3154</v>
      </c>
      <c r="B4961">
        <v>18</v>
      </c>
      <c r="C4961" s="54">
        <v>43101</v>
      </c>
      <c r="D4961" s="3" t="str">
        <f>YEAR(Datos_Consumo[[#This Row],[FECHA]])&amp;"-"&amp;MONTH(Datos_Consumo[[#This Row],[FECHA]])</f>
        <v>2018-1</v>
      </c>
    </row>
    <row r="4962" spans="1:4" x14ac:dyDescent="0.25">
      <c r="A4962" t="s">
        <v>3154</v>
      </c>
      <c r="B4962">
        <v>31</v>
      </c>
      <c r="C4962" s="54">
        <v>43132</v>
      </c>
      <c r="D4962" s="3" t="str">
        <f>YEAR(Datos_Consumo[[#This Row],[FECHA]])&amp;"-"&amp;MONTH(Datos_Consumo[[#This Row],[FECHA]])</f>
        <v>2018-2</v>
      </c>
    </row>
    <row r="4963" spans="1:4" x14ac:dyDescent="0.25">
      <c r="A4963" t="s">
        <v>3154</v>
      </c>
      <c r="B4963">
        <v>59</v>
      </c>
      <c r="C4963" s="54">
        <v>43160</v>
      </c>
      <c r="D4963" s="3" t="str">
        <f>YEAR(Datos_Consumo[[#This Row],[FECHA]])&amp;"-"&amp;MONTH(Datos_Consumo[[#This Row],[FECHA]])</f>
        <v>2018-3</v>
      </c>
    </row>
    <row r="4964" spans="1:4" x14ac:dyDescent="0.25">
      <c r="A4964" t="s">
        <v>3154</v>
      </c>
      <c r="B4964">
        <v>3</v>
      </c>
      <c r="C4964" s="54">
        <v>43191</v>
      </c>
      <c r="D4964" s="3" t="str">
        <f>YEAR(Datos_Consumo[[#This Row],[FECHA]])&amp;"-"&amp;MONTH(Datos_Consumo[[#This Row],[FECHA]])</f>
        <v>2018-4</v>
      </c>
    </row>
    <row r="4965" spans="1:4" x14ac:dyDescent="0.25">
      <c r="A4965" t="s">
        <v>3155</v>
      </c>
      <c r="B4965">
        <v>9</v>
      </c>
      <c r="C4965" s="54">
        <v>43070</v>
      </c>
      <c r="D4965" s="3" t="str">
        <f>YEAR(Datos_Consumo[[#This Row],[FECHA]])&amp;"-"&amp;MONTH(Datos_Consumo[[#This Row],[FECHA]])</f>
        <v>2017-12</v>
      </c>
    </row>
    <row r="4966" spans="1:4" x14ac:dyDescent="0.25">
      <c r="A4966" t="s">
        <v>3156</v>
      </c>
      <c r="B4966">
        <v>8</v>
      </c>
      <c r="C4966" s="54">
        <v>43070</v>
      </c>
      <c r="D4966" s="3" t="str">
        <f>YEAR(Datos_Consumo[[#This Row],[FECHA]])&amp;"-"&amp;MONTH(Datos_Consumo[[#This Row],[FECHA]])</f>
        <v>2017-12</v>
      </c>
    </row>
    <row r="4967" spans="1:4" x14ac:dyDescent="0.25">
      <c r="A4967" t="s">
        <v>3156</v>
      </c>
      <c r="B4967">
        <v>1</v>
      </c>
      <c r="C4967" s="54">
        <v>43132</v>
      </c>
      <c r="D4967" s="3" t="str">
        <f>YEAR(Datos_Consumo[[#This Row],[FECHA]])&amp;"-"&amp;MONTH(Datos_Consumo[[#This Row],[FECHA]])</f>
        <v>2018-2</v>
      </c>
    </row>
    <row r="4968" spans="1:4" x14ac:dyDescent="0.25">
      <c r="A4968" t="s">
        <v>3156</v>
      </c>
      <c r="B4968">
        <v>4</v>
      </c>
      <c r="C4968" s="54">
        <v>43160</v>
      </c>
      <c r="D4968" s="3" t="str">
        <f>YEAR(Datos_Consumo[[#This Row],[FECHA]])&amp;"-"&amp;MONTH(Datos_Consumo[[#This Row],[FECHA]])</f>
        <v>2018-3</v>
      </c>
    </row>
    <row r="4969" spans="1:4" x14ac:dyDescent="0.25">
      <c r="A4969" t="s">
        <v>3156</v>
      </c>
      <c r="B4969">
        <v>2</v>
      </c>
      <c r="C4969" s="54">
        <v>43221</v>
      </c>
      <c r="D4969" s="3" t="str">
        <f>YEAR(Datos_Consumo[[#This Row],[FECHA]])&amp;"-"&amp;MONTH(Datos_Consumo[[#This Row],[FECHA]])</f>
        <v>2018-5</v>
      </c>
    </row>
    <row r="4970" spans="1:4" x14ac:dyDescent="0.25">
      <c r="A4970" t="s">
        <v>3157</v>
      </c>
      <c r="B4970">
        <v>1</v>
      </c>
      <c r="C4970" s="54">
        <v>43132</v>
      </c>
      <c r="D4970" s="3" t="str">
        <f>YEAR(Datos_Consumo[[#This Row],[FECHA]])&amp;"-"&amp;MONTH(Datos_Consumo[[#This Row],[FECHA]])</f>
        <v>2018-2</v>
      </c>
    </row>
    <row r="4971" spans="1:4" x14ac:dyDescent="0.25">
      <c r="A4971" t="s">
        <v>3158</v>
      </c>
      <c r="B4971">
        <v>16</v>
      </c>
      <c r="C4971" s="54">
        <v>43070</v>
      </c>
      <c r="D4971" s="3" t="str">
        <f>YEAR(Datos_Consumo[[#This Row],[FECHA]])&amp;"-"&amp;MONTH(Datos_Consumo[[#This Row],[FECHA]])</f>
        <v>2017-12</v>
      </c>
    </row>
    <row r="4972" spans="1:4" x14ac:dyDescent="0.25">
      <c r="A4972" t="s">
        <v>3158</v>
      </c>
      <c r="B4972">
        <v>4</v>
      </c>
      <c r="C4972" s="54">
        <v>43160</v>
      </c>
      <c r="D4972" s="3" t="str">
        <f>YEAR(Datos_Consumo[[#This Row],[FECHA]])&amp;"-"&amp;MONTH(Datos_Consumo[[#This Row],[FECHA]])</f>
        <v>2018-3</v>
      </c>
    </row>
    <row r="4973" spans="1:4" x14ac:dyDescent="0.25">
      <c r="A4973" t="s">
        <v>3159</v>
      </c>
      <c r="B4973">
        <v>2</v>
      </c>
      <c r="C4973" s="54">
        <v>43070</v>
      </c>
      <c r="D4973" s="3" t="str">
        <f>YEAR(Datos_Consumo[[#This Row],[FECHA]])&amp;"-"&amp;MONTH(Datos_Consumo[[#This Row],[FECHA]])</f>
        <v>2017-12</v>
      </c>
    </row>
    <row r="4974" spans="1:4" x14ac:dyDescent="0.25">
      <c r="A4974" t="s">
        <v>3160</v>
      </c>
      <c r="B4974">
        <v>2</v>
      </c>
      <c r="C4974" s="54">
        <v>43191</v>
      </c>
      <c r="D4974" s="3" t="str">
        <f>YEAR(Datos_Consumo[[#This Row],[FECHA]])&amp;"-"&amp;MONTH(Datos_Consumo[[#This Row],[FECHA]])</f>
        <v>2018-4</v>
      </c>
    </row>
    <row r="4975" spans="1:4" x14ac:dyDescent="0.25">
      <c r="A4975" t="s">
        <v>3161</v>
      </c>
      <c r="B4975">
        <v>4</v>
      </c>
      <c r="C4975" s="54">
        <v>43132</v>
      </c>
      <c r="D4975" s="3" t="str">
        <f>YEAR(Datos_Consumo[[#This Row],[FECHA]])&amp;"-"&amp;MONTH(Datos_Consumo[[#This Row],[FECHA]])</f>
        <v>2018-2</v>
      </c>
    </row>
    <row r="4976" spans="1:4" x14ac:dyDescent="0.25">
      <c r="A4976" t="s">
        <v>3161</v>
      </c>
      <c r="B4976">
        <v>4</v>
      </c>
      <c r="C4976" s="54">
        <v>43191</v>
      </c>
      <c r="D4976" s="3" t="str">
        <f>YEAR(Datos_Consumo[[#This Row],[FECHA]])&amp;"-"&amp;MONTH(Datos_Consumo[[#This Row],[FECHA]])</f>
        <v>2018-4</v>
      </c>
    </row>
    <row r="4977" spans="1:4" x14ac:dyDescent="0.25">
      <c r="A4977" t="s">
        <v>3162</v>
      </c>
      <c r="B4977">
        <v>2</v>
      </c>
      <c r="C4977" s="54">
        <v>43160</v>
      </c>
      <c r="D4977" s="3" t="str">
        <f>YEAR(Datos_Consumo[[#This Row],[FECHA]])&amp;"-"&amp;MONTH(Datos_Consumo[[#This Row],[FECHA]])</f>
        <v>2018-3</v>
      </c>
    </row>
    <row r="4978" spans="1:4" x14ac:dyDescent="0.25">
      <c r="A4978" t="s">
        <v>3163</v>
      </c>
      <c r="B4978">
        <v>2</v>
      </c>
      <c r="C4978" s="54">
        <v>43101</v>
      </c>
      <c r="D4978" s="3" t="str">
        <f>YEAR(Datos_Consumo[[#This Row],[FECHA]])&amp;"-"&amp;MONTH(Datos_Consumo[[#This Row],[FECHA]])</f>
        <v>2018-1</v>
      </c>
    </row>
    <row r="4979" spans="1:4" x14ac:dyDescent="0.25">
      <c r="A4979" t="s">
        <v>3163</v>
      </c>
      <c r="B4979">
        <v>1</v>
      </c>
      <c r="C4979" s="54">
        <v>43160</v>
      </c>
      <c r="D4979" s="3" t="str">
        <f>YEAR(Datos_Consumo[[#This Row],[FECHA]])&amp;"-"&amp;MONTH(Datos_Consumo[[#This Row],[FECHA]])</f>
        <v>2018-3</v>
      </c>
    </row>
    <row r="4980" spans="1:4" x14ac:dyDescent="0.25">
      <c r="A4980" t="s">
        <v>3163</v>
      </c>
      <c r="B4980">
        <v>2</v>
      </c>
      <c r="C4980" s="54">
        <v>43191</v>
      </c>
      <c r="D4980" s="3" t="str">
        <f>YEAR(Datos_Consumo[[#This Row],[FECHA]])&amp;"-"&amp;MONTH(Datos_Consumo[[#This Row],[FECHA]])</f>
        <v>2018-4</v>
      </c>
    </row>
    <row r="4981" spans="1:4" x14ac:dyDescent="0.25">
      <c r="A4981" t="s">
        <v>3163</v>
      </c>
      <c r="B4981">
        <v>6</v>
      </c>
      <c r="C4981" s="54">
        <v>43221</v>
      </c>
      <c r="D4981" s="3" t="str">
        <f>YEAR(Datos_Consumo[[#This Row],[FECHA]])&amp;"-"&amp;MONTH(Datos_Consumo[[#This Row],[FECHA]])</f>
        <v>2018-5</v>
      </c>
    </row>
    <row r="4982" spans="1:4" x14ac:dyDescent="0.25">
      <c r="A4982" t="s">
        <v>3164</v>
      </c>
      <c r="B4982">
        <v>2</v>
      </c>
      <c r="C4982" s="54">
        <v>43070</v>
      </c>
      <c r="D4982" s="3" t="str">
        <f>YEAR(Datos_Consumo[[#This Row],[FECHA]])&amp;"-"&amp;MONTH(Datos_Consumo[[#This Row],[FECHA]])</f>
        <v>2017-12</v>
      </c>
    </row>
    <row r="4983" spans="1:4" x14ac:dyDescent="0.25">
      <c r="A4983" t="s">
        <v>3164</v>
      </c>
      <c r="B4983">
        <v>6</v>
      </c>
      <c r="C4983" s="54">
        <v>43101</v>
      </c>
      <c r="D4983" s="3" t="str">
        <f>YEAR(Datos_Consumo[[#This Row],[FECHA]])&amp;"-"&amp;MONTH(Datos_Consumo[[#This Row],[FECHA]])</f>
        <v>2018-1</v>
      </c>
    </row>
    <row r="4984" spans="1:4" x14ac:dyDescent="0.25">
      <c r="A4984" t="s">
        <v>3164</v>
      </c>
      <c r="B4984">
        <v>2</v>
      </c>
      <c r="C4984" s="54">
        <v>43191</v>
      </c>
      <c r="D4984" s="3" t="str">
        <f>YEAR(Datos_Consumo[[#This Row],[FECHA]])&amp;"-"&amp;MONTH(Datos_Consumo[[#This Row],[FECHA]])</f>
        <v>2018-4</v>
      </c>
    </row>
    <row r="4985" spans="1:4" x14ac:dyDescent="0.25">
      <c r="A4985" t="s">
        <v>3165</v>
      </c>
      <c r="B4985">
        <v>1</v>
      </c>
      <c r="C4985" s="54">
        <v>43160</v>
      </c>
      <c r="D4985" s="3" t="str">
        <f>YEAR(Datos_Consumo[[#This Row],[FECHA]])&amp;"-"&amp;MONTH(Datos_Consumo[[#This Row],[FECHA]])</f>
        <v>2018-3</v>
      </c>
    </row>
    <row r="4986" spans="1:4" x14ac:dyDescent="0.25">
      <c r="A4986" t="s">
        <v>3166</v>
      </c>
      <c r="B4986">
        <v>9</v>
      </c>
      <c r="C4986" s="54">
        <v>43070</v>
      </c>
      <c r="D4986" s="3" t="str">
        <f>YEAR(Datos_Consumo[[#This Row],[FECHA]])&amp;"-"&amp;MONTH(Datos_Consumo[[#This Row],[FECHA]])</f>
        <v>2017-12</v>
      </c>
    </row>
    <row r="4987" spans="1:4" x14ac:dyDescent="0.25">
      <c r="A4987" t="s">
        <v>3166</v>
      </c>
      <c r="B4987">
        <v>2</v>
      </c>
      <c r="C4987" s="54">
        <v>43132</v>
      </c>
      <c r="D4987" s="3" t="str">
        <f>YEAR(Datos_Consumo[[#This Row],[FECHA]])&amp;"-"&amp;MONTH(Datos_Consumo[[#This Row],[FECHA]])</f>
        <v>2018-2</v>
      </c>
    </row>
    <row r="4988" spans="1:4" x14ac:dyDescent="0.25">
      <c r="A4988" t="s">
        <v>3166</v>
      </c>
      <c r="B4988">
        <v>7</v>
      </c>
      <c r="C4988" s="54">
        <v>43191</v>
      </c>
      <c r="D4988" s="3" t="str">
        <f>YEAR(Datos_Consumo[[#This Row],[FECHA]])&amp;"-"&amp;MONTH(Datos_Consumo[[#This Row],[FECHA]])</f>
        <v>2018-4</v>
      </c>
    </row>
    <row r="4989" spans="1:4" x14ac:dyDescent="0.25">
      <c r="A4989" t="s">
        <v>3166</v>
      </c>
      <c r="B4989">
        <v>1</v>
      </c>
      <c r="C4989" s="54">
        <v>43221</v>
      </c>
      <c r="D4989" s="3" t="str">
        <f>YEAR(Datos_Consumo[[#This Row],[FECHA]])&amp;"-"&amp;MONTH(Datos_Consumo[[#This Row],[FECHA]])</f>
        <v>2018-5</v>
      </c>
    </row>
    <row r="4990" spans="1:4" x14ac:dyDescent="0.25">
      <c r="A4990" t="s">
        <v>3167</v>
      </c>
      <c r="B4990">
        <v>21</v>
      </c>
      <c r="C4990" s="54">
        <v>43070</v>
      </c>
      <c r="D4990" s="3" t="str">
        <f>YEAR(Datos_Consumo[[#This Row],[FECHA]])&amp;"-"&amp;MONTH(Datos_Consumo[[#This Row],[FECHA]])</f>
        <v>2017-12</v>
      </c>
    </row>
    <row r="4991" spans="1:4" x14ac:dyDescent="0.25">
      <c r="A4991" t="s">
        <v>3168</v>
      </c>
      <c r="B4991">
        <v>1</v>
      </c>
      <c r="C4991" s="54">
        <v>43160</v>
      </c>
      <c r="D4991" s="3" t="str">
        <f>YEAR(Datos_Consumo[[#This Row],[FECHA]])&amp;"-"&amp;MONTH(Datos_Consumo[[#This Row],[FECHA]])</f>
        <v>2018-3</v>
      </c>
    </row>
    <row r="4992" spans="1:4" x14ac:dyDescent="0.25">
      <c r="A4992" t="s">
        <v>3169</v>
      </c>
      <c r="B4992">
        <v>192</v>
      </c>
      <c r="C4992" s="54">
        <v>43070</v>
      </c>
      <c r="D4992" s="3" t="str">
        <f>YEAR(Datos_Consumo[[#This Row],[FECHA]])&amp;"-"&amp;MONTH(Datos_Consumo[[#This Row],[FECHA]])</f>
        <v>2017-12</v>
      </c>
    </row>
    <row r="4993" spans="1:4" x14ac:dyDescent="0.25">
      <c r="A4993" t="s">
        <v>3169</v>
      </c>
      <c r="B4993">
        <v>816</v>
      </c>
      <c r="C4993" s="54">
        <v>43132</v>
      </c>
      <c r="D4993" s="3" t="str">
        <f>YEAR(Datos_Consumo[[#This Row],[FECHA]])&amp;"-"&amp;MONTH(Datos_Consumo[[#This Row],[FECHA]])</f>
        <v>2018-2</v>
      </c>
    </row>
    <row r="4994" spans="1:4" x14ac:dyDescent="0.25">
      <c r="A4994" t="s">
        <v>3169</v>
      </c>
      <c r="B4994">
        <v>348</v>
      </c>
      <c r="C4994" s="54">
        <v>43191</v>
      </c>
      <c r="D4994" s="3" t="str">
        <f>YEAR(Datos_Consumo[[#This Row],[FECHA]])&amp;"-"&amp;MONTH(Datos_Consumo[[#This Row],[FECHA]])</f>
        <v>2018-4</v>
      </c>
    </row>
    <row r="4995" spans="1:4" x14ac:dyDescent="0.25">
      <c r="A4995" t="s">
        <v>3169</v>
      </c>
      <c r="B4995">
        <v>14</v>
      </c>
      <c r="C4995" s="54">
        <v>43221</v>
      </c>
      <c r="D4995" s="3" t="str">
        <f>YEAR(Datos_Consumo[[#This Row],[FECHA]])&amp;"-"&amp;MONTH(Datos_Consumo[[#This Row],[FECHA]])</f>
        <v>2018-5</v>
      </c>
    </row>
    <row r="4996" spans="1:4" x14ac:dyDescent="0.25">
      <c r="A4996" t="s">
        <v>3170</v>
      </c>
      <c r="B4996">
        <v>96</v>
      </c>
      <c r="C4996" s="54">
        <v>43070</v>
      </c>
      <c r="D4996" s="3" t="str">
        <f>YEAR(Datos_Consumo[[#This Row],[FECHA]])&amp;"-"&amp;MONTH(Datos_Consumo[[#This Row],[FECHA]])</f>
        <v>2017-12</v>
      </c>
    </row>
    <row r="4997" spans="1:4" x14ac:dyDescent="0.25">
      <c r="A4997" t="s">
        <v>3170</v>
      </c>
      <c r="B4997">
        <v>96</v>
      </c>
      <c r="C4997" s="54">
        <v>43101</v>
      </c>
      <c r="D4997" s="3" t="str">
        <f>YEAR(Datos_Consumo[[#This Row],[FECHA]])&amp;"-"&amp;MONTH(Datos_Consumo[[#This Row],[FECHA]])</f>
        <v>2018-1</v>
      </c>
    </row>
    <row r="4998" spans="1:4" x14ac:dyDescent="0.25">
      <c r="A4998" t="s">
        <v>3170</v>
      </c>
      <c r="B4998">
        <v>408</v>
      </c>
      <c r="C4998" s="54">
        <v>43132</v>
      </c>
      <c r="D4998" s="3" t="str">
        <f>YEAR(Datos_Consumo[[#This Row],[FECHA]])&amp;"-"&amp;MONTH(Datos_Consumo[[#This Row],[FECHA]])</f>
        <v>2018-2</v>
      </c>
    </row>
    <row r="4999" spans="1:4" x14ac:dyDescent="0.25">
      <c r="A4999" t="s">
        <v>3170</v>
      </c>
      <c r="B4999">
        <v>48</v>
      </c>
      <c r="C4999" s="54">
        <v>43160</v>
      </c>
      <c r="D4999" s="3" t="str">
        <f>YEAR(Datos_Consumo[[#This Row],[FECHA]])&amp;"-"&amp;MONTH(Datos_Consumo[[#This Row],[FECHA]])</f>
        <v>2018-3</v>
      </c>
    </row>
    <row r="5000" spans="1:4" x14ac:dyDescent="0.25">
      <c r="A5000" t="s">
        <v>3170</v>
      </c>
      <c r="B5000">
        <v>120</v>
      </c>
      <c r="C5000" s="54">
        <v>43191</v>
      </c>
      <c r="D5000" s="3" t="str">
        <f>YEAR(Datos_Consumo[[#This Row],[FECHA]])&amp;"-"&amp;MONTH(Datos_Consumo[[#This Row],[FECHA]])</f>
        <v>2018-4</v>
      </c>
    </row>
    <row r="5001" spans="1:4" x14ac:dyDescent="0.25">
      <c r="A5001" t="s">
        <v>3171</v>
      </c>
      <c r="B5001">
        <v>2</v>
      </c>
      <c r="C5001" s="54">
        <v>43101</v>
      </c>
      <c r="D5001" s="3" t="str">
        <f>YEAR(Datos_Consumo[[#This Row],[FECHA]])&amp;"-"&amp;MONTH(Datos_Consumo[[#This Row],[FECHA]])</f>
        <v>2018-1</v>
      </c>
    </row>
    <row r="5002" spans="1:4" x14ac:dyDescent="0.25">
      <c r="A5002" t="s">
        <v>3171</v>
      </c>
      <c r="B5002">
        <v>2</v>
      </c>
      <c r="C5002" s="54">
        <v>43132</v>
      </c>
      <c r="D5002" s="3" t="str">
        <f>YEAR(Datos_Consumo[[#This Row],[FECHA]])&amp;"-"&amp;MONTH(Datos_Consumo[[#This Row],[FECHA]])</f>
        <v>2018-2</v>
      </c>
    </row>
    <row r="5003" spans="1:4" x14ac:dyDescent="0.25">
      <c r="A5003" t="s">
        <v>3171</v>
      </c>
      <c r="B5003">
        <v>1</v>
      </c>
      <c r="C5003" s="54">
        <v>43191</v>
      </c>
      <c r="D5003" s="3" t="str">
        <f>YEAR(Datos_Consumo[[#This Row],[FECHA]])&amp;"-"&amp;MONTH(Datos_Consumo[[#This Row],[FECHA]])</f>
        <v>2018-4</v>
      </c>
    </row>
    <row r="5004" spans="1:4" x14ac:dyDescent="0.25">
      <c r="A5004" t="s">
        <v>3171</v>
      </c>
      <c r="B5004">
        <v>2</v>
      </c>
      <c r="C5004" s="54">
        <v>43221</v>
      </c>
      <c r="D5004" s="3" t="str">
        <f>YEAR(Datos_Consumo[[#This Row],[FECHA]])&amp;"-"&amp;MONTH(Datos_Consumo[[#This Row],[FECHA]])</f>
        <v>2018-5</v>
      </c>
    </row>
    <row r="5005" spans="1:4" x14ac:dyDescent="0.25">
      <c r="A5005" t="s">
        <v>3172</v>
      </c>
      <c r="B5005">
        <v>46</v>
      </c>
      <c r="C5005" s="54">
        <v>43070</v>
      </c>
      <c r="D5005" s="3" t="str">
        <f>YEAR(Datos_Consumo[[#This Row],[FECHA]])&amp;"-"&amp;MONTH(Datos_Consumo[[#This Row],[FECHA]])</f>
        <v>2017-12</v>
      </c>
    </row>
    <row r="5006" spans="1:4" x14ac:dyDescent="0.25">
      <c r="A5006" t="s">
        <v>3172</v>
      </c>
      <c r="B5006">
        <v>33</v>
      </c>
      <c r="C5006" s="54">
        <v>43101</v>
      </c>
      <c r="D5006" s="3" t="str">
        <f>YEAR(Datos_Consumo[[#This Row],[FECHA]])&amp;"-"&amp;MONTH(Datos_Consumo[[#This Row],[FECHA]])</f>
        <v>2018-1</v>
      </c>
    </row>
    <row r="5007" spans="1:4" x14ac:dyDescent="0.25">
      <c r="A5007" t="s">
        <v>3172</v>
      </c>
      <c r="B5007">
        <v>23</v>
      </c>
      <c r="C5007" s="54">
        <v>43132</v>
      </c>
      <c r="D5007" s="3" t="str">
        <f>YEAR(Datos_Consumo[[#This Row],[FECHA]])&amp;"-"&amp;MONTH(Datos_Consumo[[#This Row],[FECHA]])</f>
        <v>2018-2</v>
      </c>
    </row>
    <row r="5008" spans="1:4" x14ac:dyDescent="0.25">
      <c r="A5008" t="s">
        <v>3172</v>
      </c>
      <c r="B5008">
        <v>21</v>
      </c>
      <c r="C5008" s="54">
        <v>43160</v>
      </c>
      <c r="D5008" s="3" t="str">
        <f>YEAR(Datos_Consumo[[#This Row],[FECHA]])&amp;"-"&amp;MONTH(Datos_Consumo[[#This Row],[FECHA]])</f>
        <v>2018-3</v>
      </c>
    </row>
    <row r="5009" spans="1:4" x14ac:dyDescent="0.25">
      <c r="A5009" t="s">
        <v>3172</v>
      </c>
      <c r="B5009">
        <v>2</v>
      </c>
      <c r="C5009" s="54">
        <v>43191</v>
      </c>
      <c r="D5009" s="3" t="str">
        <f>YEAR(Datos_Consumo[[#This Row],[FECHA]])&amp;"-"&amp;MONTH(Datos_Consumo[[#This Row],[FECHA]])</f>
        <v>2018-4</v>
      </c>
    </row>
    <row r="5010" spans="1:4" x14ac:dyDescent="0.25">
      <c r="A5010" t="s">
        <v>3172</v>
      </c>
      <c r="B5010">
        <v>2</v>
      </c>
      <c r="C5010" s="54">
        <v>43221</v>
      </c>
      <c r="D5010" s="3" t="str">
        <f>YEAR(Datos_Consumo[[#This Row],[FECHA]])&amp;"-"&amp;MONTH(Datos_Consumo[[#This Row],[FECHA]])</f>
        <v>2018-5</v>
      </c>
    </row>
    <row r="5011" spans="1:4" x14ac:dyDescent="0.25">
      <c r="A5011" t="s">
        <v>3173</v>
      </c>
      <c r="B5011">
        <v>1</v>
      </c>
      <c r="C5011" s="54">
        <v>43160</v>
      </c>
      <c r="D5011" s="3" t="str">
        <f>YEAR(Datos_Consumo[[#This Row],[FECHA]])&amp;"-"&amp;MONTH(Datos_Consumo[[#This Row],[FECHA]])</f>
        <v>2018-3</v>
      </c>
    </row>
    <row r="5012" spans="1:4" x14ac:dyDescent="0.25">
      <c r="A5012" t="s">
        <v>3174</v>
      </c>
      <c r="B5012">
        <v>2</v>
      </c>
      <c r="C5012" s="54">
        <v>43070</v>
      </c>
      <c r="D5012" s="3" t="str">
        <f>YEAR(Datos_Consumo[[#This Row],[FECHA]])&amp;"-"&amp;MONTH(Datos_Consumo[[#This Row],[FECHA]])</f>
        <v>2017-12</v>
      </c>
    </row>
    <row r="5013" spans="1:4" x14ac:dyDescent="0.25">
      <c r="A5013" t="s">
        <v>3174</v>
      </c>
      <c r="B5013">
        <v>2</v>
      </c>
      <c r="C5013" s="54">
        <v>43101</v>
      </c>
      <c r="D5013" s="3" t="str">
        <f>YEAR(Datos_Consumo[[#This Row],[FECHA]])&amp;"-"&amp;MONTH(Datos_Consumo[[#This Row],[FECHA]])</f>
        <v>2018-1</v>
      </c>
    </row>
    <row r="5014" spans="1:4" x14ac:dyDescent="0.25">
      <c r="A5014" t="s">
        <v>3174</v>
      </c>
      <c r="B5014">
        <v>5</v>
      </c>
      <c r="C5014" s="54">
        <v>43160</v>
      </c>
      <c r="D5014" s="3" t="str">
        <f>YEAR(Datos_Consumo[[#This Row],[FECHA]])&amp;"-"&amp;MONTH(Datos_Consumo[[#This Row],[FECHA]])</f>
        <v>2018-3</v>
      </c>
    </row>
    <row r="5015" spans="1:4" x14ac:dyDescent="0.25">
      <c r="A5015" t="s">
        <v>3175</v>
      </c>
      <c r="B5015">
        <v>2</v>
      </c>
      <c r="C5015" s="54">
        <v>43070</v>
      </c>
      <c r="D5015" s="3" t="str">
        <f>YEAR(Datos_Consumo[[#This Row],[FECHA]])&amp;"-"&amp;MONTH(Datos_Consumo[[#This Row],[FECHA]])</f>
        <v>2017-12</v>
      </c>
    </row>
    <row r="5016" spans="1:4" x14ac:dyDescent="0.25">
      <c r="A5016" t="s">
        <v>3175</v>
      </c>
      <c r="B5016">
        <v>14</v>
      </c>
      <c r="C5016" s="54">
        <v>43101</v>
      </c>
      <c r="D5016" s="3" t="str">
        <f>YEAR(Datos_Consumo[[#This Row],[FECHA]])&amp;"-"&amp;MONTH(Datos_Consumo[[#This Row],[FECHA]])</f>
        <v>2018-1</v>
      </c>
    </row>
    <row r="5017" spans="1:4" x14ac:dyDescent="0.25">
      <c r="A5017" t="s">
        <v>3175</v>
      </c>
      <c r="B5017">
        <v>10</v>
      </c>
      <c r="C5017" s="54">
        <v>43132</v>
      </c>
      <c r="D5017" s="3" t="str">
        <f>YEAR(Datos_Consumo[[#This Row],[FECHA]])&amp;"-"&amp;MONTH(Datos_Consumo[[#This Row],[FECHA]])</f>
        <v>2018-2</v>
      </c>
    </row>
    <row r="5018" spans="1:4" x14ac:dyDescent="0.25">
      <c r="A5018" t="s">
        <v>3175</v>
      </c>
      <c r="B5018">
        <v>19</v>
      </c>
      <c r="C5018" s="54">
        <v>43160</v>
      </c>
      <c r="D5018" s="3" t="str">
        <f>YEAR(Datos_Consumo[[#This Row],[FECHA]])&amp;"-"&amp;MONTH(Datos_Consumo[[#This Row],[FECHA]])</f>
        <v>2018-3</v>
      </c>
    </row>
    <row r="5019" spans="1:4" x14ac:dyDescent="0.25">
      <c r="A5019" t="s">
        <v>3175</v>
      </c>
      <c r="B5019">
        <v>16</v>
      </c>
      <c r="C5019" s="54">
        <v>43191</v>
      </c>
      <c r="D5019" s="3" t="str">
        <f>YEAR(Datos_Consumo[[#This Row],[FECHA]])&amp;"-"&amp;MONTH(Datos_Consumo[[#This Row],[FECHA]])</f>
        <v>2018-4</v>
      </c>
    </row>
    <row r="5020" spans="1:4" x14ac:dyDescent="0.25">
      <c r="A5020" t="s">
        <v>3175</v>
      </c>
      <c r="B5020">
        <v>7</v>
      </c>
      <c r="C5020" s="54">
        <v>43221</v>
      </c>
      <c r="D5020" s="3" t="str">
        <f>YEAR(Datos_Consumo[[#This Row],[FECHA]])&amp;"-"&amp;MONTH(Datos_Consumo[[#This Row],[FECHA]])</f>
        <v>2018-5</v>
      </c>
    </row>
    <row r="5021" spans="1:4" x14ac:dyDescent="0.25">
      <c r="A5021" t="s">
        <v>3176</v>
      </c>
      <c r="B5021">
        <v>11</v>
      </c>
      <c r="C5021" s="54">
        <v>43070</v>
      </c>
      <c r="D5021" s="3" t="str">
        <f>YEAR(Datos_Consumo[[#This Row],[FECHA]])&amp;"-"&amp;MONTH(Datos_Consumo[[#This Row],[FECHA]])</f>
        <v>2017-12</v>
      </c>
    </row>
    <row r="5022" spans="1:4" x14ac:dyDescent="0.25">
      <c r="A5022" t="s">
        <v>3176</v>
      </c>
      <c r="B5022">
        <v>6</v>
      </c>
      <c r="C5022" s="54">
        <v>43101</v>
      </c>
      <c r="D5022" s="3" t="str">
        <f>YEAR(Datos_Consumo[[#This Row],[FECHA]])&amp;"-"&amp;MONTH(Datos_Consumo[[#This Row],[FECHA]])</f>
        <v>2018-1</v>
      </c>
    </row>
    <row r="5023" spans="1:4" x14ac:dyDescent="0.25">
      <c r="A5023" t="s">
        <v>3176</v>
      </c>
      <c r="B5023">
        <v>1</v>
      </c>
      <c r="C5023" s="54">
        <v>43132</v>
      </c>
      <c r="D5023" s="3" t="str">
        <f>YEAR(Datos_Consumo[[#This Row],[FECHA]])&amp;"-"&amp;MONTH(Datos_Consumo[[#This Row],[FECHA]])</f>
        <v>2018-2</v>
      </c>
    </row>
    <row r="5024" spans="1:4" x14ac:dyDescent="0.25">
      <c r="A5024" t="s">
        <v>3176</v>
      </c>
      <c r="B5024">
        <v>6</v>
      </c>
      <c r="C5024" s="54">
        <v>43160</v>
      </c>
      <c r="D5024" s="3" t="str">
        <f>YEAR(Datos_Consumo[[#This Row],[FECHA]])&amp;"-"&amp;MONTH(Datos_Consumo[[#This Row],[FECHA]])</f>
        <v>2018-3</v>
      </c>
    </row>
    <row r="5025" spans="1:4" x14ac:dyDescent="0.25">
      <c r="A5025" t="s">
        <v>3176</v>
      </c>
      <c r="B5025">
        <v>40</v>
      </c>
      <c r="C5025" s="54">
        <v>43191</v>
      </c>
      <c r="D5025" s="3" t="str">
        <f>YEAR(Datos_Consumo[[#This Row],[FECHA]])&amp;"-"&amp;MONTH(Datos_Consumo[[#This Row],[FECHA]])</f>
        <v>2018-4</v>
      </c>
    </row>
    <row r="5026" spans="1:4" x14ac:dyDescent="0.25">
      <c r="A5026" t="s">
        <v>3176</v>
      </c>
      <c r="B5026">
        <v>6</v>
      </c>
      <c r="C5026" s="54">
        <v>43221</v>
      </c>
      <c r="D5026" s="3" t="str">
        <f>YEAR(Datos_Consumo[[#This Row],[FECHA]])&amp;"-"&amp;MONTH(Datos_Consumo[[#This Row],[FECHA]])</f>
        <v>2018-5</v>
      </c>
    </row>
    <row r="5027" spans="1:4" x14ac:dyDescent="0.25">
      <c r="A5027" t="s">
        <v>3177</v>
      </c>
      <c r="B5027">
        <v>12</v>
      </c>
      <c r="C5027" s="54">
        <v>43070</v>
      </c>
      <c r="D5027" s="3" t="str">
        <f>YEAR(Datos_Consumo[[#This Row],[FECHA]])&amp;"-"&amp;MONTH(Datos_Consumo[[#This Row],[FECHA]])</f>
        <v>2017-12</v>
      </c>
    </row>
    <row r="5028" spans="1:4" x14ac:dyDescent="0.25">
      <c r="A5028" t="s">
        <v>3177</v>
      </c>
      <c r="B5028">
        <v>1</v>
      </c>
      <c r="C5028" s="54">
        <v>43101</v>
      </c>
      <c r="D5028" s="3" t="str">
        <f>YEAR(Datos_Consumo[[#This Row],[FECHA]])&amp;"-"&amp;MONTH(Datos_Consumo[[#This Row],[FECHA]])</f>
        <v>2018-1</v>
      </c>
    </row>
    <row r="5029" spans="1:4" x14ac:dyDescent="0.25">
      <c r="A5029" t="s">
        <v>3177</v>
      </c>
      <c r="B5029">
        <v>13</v>
      </c>
      <c r="C5029" s="54">
        <v>43132</v>
      </c>
      <c r="D5029" s="3" t="str">
        <f>YEAR(Datos_Consumo[[#This Row],[FECHA]])&amp;"-"&amp;MONTH(Datos_Consumo[[#This Row],[FECHA]])</f>
        <v>2018-2</v>
      </c>
    </row>
    <row r="5030" spans="1:4" x14ac:dyDescent="0.25">
      <c r="A5030" t="s">
        <v>3177</v>
      </c>
      <c r="B5030">
        <v>8</v>
      </c>
      <c r="C5030" s="54">
        <v>43160</v>
      </c>
      <c r="D5030" s="3" t="str">
        <f>YEAR(Datos_Consumo[[#This Row],[FECHA]])&amp;"-"&amp;MONTH(Datos_Consumo[[#This Row],[FECHA]])</f>
        <v>2018-3</v>
      </c>
    </row>
    <row r="5031" spans="1:4" x14ac:dyDescent="0.25">
      <c r="A5031" t="s">
        <v>3177</v>
      </c>
      <c r="B5031">
        <v>7</v>
      </c>
      <c r="C5031" s="54">
        <v>43191</v>
      </c>
      <c r="D5031" s="3" t="str">
        <f>YEAR(Datos_Consumo[[#This Row],[FECHA]])&amp;"-"&amp;MONTH(Datos_Consumo[[#This Row],[FECHA]])</f>
        <v>2018-4</v>
      </c>
    </row>
    <row r="5032" spans="1:4" x14ac:dyDescent="0.25">
      <c r="A5032" t="s">
        <v>3177</v>
      </c>
      <c r="B5032">
        <v>1</v>
      </c>
      <c r="C5032" s="54">
        <v>43221</v>
      </c>
      <c r="D5032" s="3" t="str">
        <f>YEAR(Datos_Consumo[[#This Row],[FECHA]])&amp;"-"&amp;MONTH(Datos_Consumo[[#This Row],[FECHA]])</f>
        <v>2018-5</v>
      </c>
    </row>
    <row r="5033" spans="1:4" x14ac:dyDescent="0.25">
      <c r="A5033" t="s">
        <v>3178</v>
      </c>
      <c r="B5033">
        <v>3</v>
      </c>
      <c r="C5033" s="54">
        <v>43101</v>
      </c>
      <c r="D5033" s="3" t="str">
        <f>YEAR(Datos_Consumo[[#This Row],[FECHA]])&amp;"-"&amp;MONTH(Datos_Consumo[[#This Row],[FECHA]])</f>
        <v>2018-1</v>
      </c>
    </row>
    <row r="5034" spans="1:4" x14ac:dyDescent="0.25">
      <c r="A5034" t="s">
        <v>3178</v>
      </c>
      <c r="B5034">
        <v>3</v>
      </c>
      <c r="C5034" s="54">
        <v>43132</v>
      </c>
      <c r="D5034" s="3" t="str">
        <f>YEAR(Datos_Consumo[[#This Row],[FECHA]])&amp;"-"&amp;MONTH(Datos_Consumo[[#This Row],[FECHA]])</f>
        <v>2018-2</v>
      </c>
    </row>
    <row r="5035" spans="1:4" x14ac:dyDescent="0.25">
      <c r="A5035" t="s">
        <v>3178</v>
      </c>
      <c r="B5035">
        <v>5</v>
      </c>
      <c r="C5035" s="54">
        <v>43160</v>
      </c>
      <c r="D5035" s="3" t="str">
        <f>YEAR(Datos_Consumo[[#This Row],[FECHA]])&amp;"-"&amp;MONTH(Datos_Consumo[[#This Row],[FECHA]])</f>
        <v>2018-3</v>
      </c>
    </row>
    <row r="5036" spans="1:4" x14ac:dyDescent="0.25">
      <c r="A5036" t="s">
        <v>3178</v>
      </c>
      <c r="B5036">
        <v>4</v>
      </c>
      <c r="C5036" s="54">
        <v>43191</v>
      </c>
      <c r="D5036" s="3" t="str">
        <f>YEAR(Datos_Consumo[[#This Row],[FECHA]])&amp;"-"&amp;MONTH(Datos_Consumo[[#This Row],[FECHA]])</f>
        <v>2018-4</v>
      </c>
    </row>
    <row r="5037" spans="1:4" x14ac:dyDescent="0.25">
      <c r="A5037" t="s">
        <v>3179</v>
      </c>
      <c r="B5037">
        <v>1</v>
      </c>
      <c r="C5037" s="54">
        <v>43070</v>
      </c>
      <c r="D5037" s="3" t="str">
        <f>YEAR(Datos_Consumo[[#This Row],[FECHA]])&amp;"-"&amp;MONTH(Datos_Consumo[[#This Row],[FECHA]])</f>
        <v>2017-12</v>
      </c>
    </row>
    <row r="5038" spans="1:4" x14ac:dyDescent="0.25">
      <c r="A5038" t="s">
        <v>3180</v>
      </c>
      <c r="B5038">
        <v>6</v>
      </c>
      <c r="C5038" s="54">
        <v>43160</v>
      </c>
      <c r="D5038" s="3" t="str">
        <f>YEAR(Datos_Consumo[[#This Row],[FECHA]])&amp;"-"&amp;MONTH(Datos_Consumo[[#This Row],[FECHA]])</f>
        <v>2018-3</v>
      </c>
    </row>
    <row r="5039" spans="1:4" x14ac:dyDescent="0.25">
      <c r="A5039" t="s">
        <v>3180</v>
      </c>
      <c r="B5039">
        <v>4</v>
      </c>
      <c r="C5039" s="54">
        <v>43221</v>
      </c>
      <c r="D5039" s="3" t="str">
        <f>YEAR(Datos_Consumo[[#This Row],[FECHA]])&amp;"-"&amp;MONTH(Datos_Consumo[[#This Row],[FECHA]])</f>
        <v>2018-5</v>
      </c>
    </row>
    <row r="5040" spans="1:4" x14ac:dyDescent="0.25">
      <c r="A5040" t="s">
        <v>3181</v>
      </c>
      <c r="B5040">
        <v>6</v>
      </c>
      <c r="C5040" s="54">
        <v>43070</v>
      </c>
      <c r="D5040" s="3" t="str">
        <f>YEAR(Datos_Consumo[[#This Row],[FECHA]])&amp;"-"&amp;MONTH(Datos_Consumo[[#This Row],[FECHA]])</f>
        <v>2017-12</v>
      </c>
    </row>
    <row r="5041" spans="1:4" x14ac:dyDescent="0.25">
      <c r="A5041" t="s">
        <v>3182</v>
      </c>
      <c r="B5041">
        <v>1</v>
      </c>
      <c r="C5041" s="54">
        <v>43070</v>
      </c>
      <c r="D5041" s="3" t="str">
        <f>YEAR(Datos_Consumo[[#This Row],[FECHA]])&amp;"-"&amp;MONTH(Datos_Consumo[[#This Row],[FECHA]])</f>
        <v>2017-12</v>
      </c>
    </row>
    <row r="5042" spans="1:4" x14ac:dyDescent="0.25">
      <c r="A5042" t="s">
        <v>3182</v>
      </c>
      <c r="B5042">
        <v>1</v>
      </c>
      <c r="C5042" s="54">
        <v>43132</v>
      </c>
      <c r="D5042" s="3" t="str">
        <f>YEAR(Datos_Consumo[[#This Row],[FECHA]])&amp;"-"&amp;MONTH(Datos_Consumo[[#This Row],[FECHA]])</f>
        <v>2018-2</v>
      </c>
    </row>
    <row r="5043" spans="1:4" x14ac:dyDescent="0.25">
      <c r="A5043" t="s">
        <v>3182</v>
      </c>
      <c r="B5043">
        <v>9</v>
      </c>
      <c r="C5043" s="54">
        <v>43191</v>
      </c>
      <c r="D5043" s="3" t="str">
        <f>YEAR(Datos_Consumo[[#This Row],[FECHA]])&amp;"-"&amp;MONTH(Datos_Consumo[[#This Row],[FECHA]])</f>
        <v>2018-4</v>
      </c>
    </row>
    <row r="5044" spans="1:4" x14ac:dyDescent="0.25">
      <c r="A5044" t="s">
        <v>4124</v>
      </c>
      <c r="B5044">
        <v>1</v>
      </c>
      <c r="C5044" s="54">
        <v>43191</v>
      </c>
      <c r="D5044" s="3" t="str">
        <f>YEAR(Datos_Consumo[[#This Row],[FECHA]])&amp;"-"&amp;MONTH(Datos_Consumo[[#This Row],[FECHA]])</f>
        <v>2018-4</v>
      </c>
    </row>
    <row r="5045" spans="1:4" x14ac:dyDescent="0.25">
      <c r="A5045" t="s">
        <v>3183</v>
      </c>
      <c r="B5045">
        <v>1</v>
      </c>
      <c r="C5045" s="54">
        <v>43070</v>
      </c>
      <c r="D5045" s="3" t="str">
        <f>YEAR(Datos_Consumo[[#This Row],[FECHA]])&amp;"-"&amp;MONTH(Datos_Consumo[[#This Row],[FECHA]])</f>
        <v>2017-12</v>
      </c>
    </row>
    <row r="5046" spans="1:4" x14ac:dyDescent="0.25">
      <c r="A5046" t="s">
        <v>3184</v>
      </c>
      <c r="B5046">
        <v>1</v>
      </c>
      <c r="C5046" s="54">
        <v>43160</v>
      </c>
      <c r="D5046" s="3" t="str">
        <f>YEAR(Datos_Consumo[[#This Row],[FECHA]])&amp;"-"&amp;MONTH(Datos_Consumo[[#This Row],[FECHA]])</f>
        <v>2018-3</v>
      </c>
    </row>
    <row r="5047" spans="1:4" x14ac:dyDescent="0.25">
      <c r="A5047" t="s">
        <v>3185</v>
      </c>
      <c r="B5047">
        <v>1</v>
      </c>
      <c r="C5047" s="54">
        <v>43070</v>
      </c>
      <c r="D5047" s="3" t="str">
        <f>YEAR(Datos_Consumo[[#This Row],[FECHA]])&amp;"-"&amp;MONTH(Datos_Consumo[[#This Row],[FECHA]])</f>
        <v>2017-12</v>
      </c>
    </row>
    <row r="5048" spans="1:4" x14ac:dyDescent="0.25">
      <c r="A5048" t="s">
        <v>3185</v>
      </c>
      <c r="B5048">
        <v>1</v>
      </c>
      <c r="C5048" s="54">
        <v>43160</v>
      </c>
      <c r="D5048" s="3" t="str">
        <f>YEAR(Datos_Consumo[[#This Row],[FECHA]])&amp;"-"&amp;MONTH(Datos_Consumo[[#This Row],[FECHA]])</f>
        <v>2018-3</v>
      </c>
    </row>
    <row r="5049" spans="1:4" x14ac:dyDescent="0.25">
      <c r="A5049" t="s">
        <v>3185</v>
      </c>
      <c r="B5049">
        <v>1</v>
      </c>
      <c r="C5049" s="54">
        <v>43191</v>
      </c>
      <c r="D5049" s="3" t="str">
        <f>YEAR(Datos_Consumo[[#This Row],[FECHA]])&amp;"-"&amp;MONTH(Datos_Consumo[[#This Row],[FECHA]])</f>
        <v>2018-4</v>
      </c>
    </row>
    <row r="5050" spans="1:4" x14ac:dyDescent="0.25">
      <c r="A5050" t="s">
        <v>3186</v>
      </c>
      <c r="B5050">
        <v>5</v>
      </c>
      <c r="C5050" s="54">
        <v>43160</v>
      </c>
      <c r="D5050" s="3" t="str">
        <f>YEAR(Datos_Consumo[[#This Row],[FECHA]])&amp;"-"&amp;MONTH(Datos_Consumo[[#This Row],[FECHA]])</f>
        <v>2018-3</v>
      </c>
    </row>
    <row r="5051" spans="1:4" x14ac:dyDescent="0.25">
      <c r="A5051" t="s">
        <v>3187</v>
      </c>
      <c r="B5051">
        <v>5</v>
      </c>
      <c r="C5051" s="54">
        <v>43160</v>
      </c>
      <c r="D5051" s="3" t="str">
        <f>YEAR(Datos_Consumo[[#This Row],[FECHA]])&amp;"-"&amp;MONTH(Datos_Consumo[[#This Row],[FECHA]])</f>
        <v>2018-3</v>
      </c>
    </row>
    <row r="5052" spans="1:4" x14ac:dyDescent="0.25">
      <c r="A5052" t="s">
        <v>4125</v>
      </c>
      <c r="B5052">
        <v>5</v>
      </c>
      <c r="C5052" s="54">
        <v>43221</v>
      </c>
      <c r="D5052" s="3" t="str">
        <f>YEAR(Datos_Consumo[[#This Row],[FECHA]])&amp;"-"&amp;MONTH(Datos_Consumo[[#This Row],[FECHA]])</f>
        <v>2018-5</v>
      </c>
    </row>
    <row r="5053" spans="1:4" x14ac:dyDescent="0.25">
      <c r="A5053" t="s">
        <v>3188</v>
      </c>
      <c r="B5053">
        <v>2</v>
      </c>
      <c r="C5053" s="54">
        <v>43070</v>
      </c>
      <c r="D5053" s="3" t="str">
        <f>YEAR(Datos_Consumo[[#This Row],[FECHA]])&amp;"-"&amp;MONTH(Datos_Consumo[[#This Row],[FECHA]])</f>
        <v>2017-12</v>
      </c>
    </row>
    <row r="5054" spans="1:4" x14ac:dyDescent="0.25">
      <c r="A5054" t="s">
        <v>3188</v>
      </c>
      <c r="B5054">
        <v>16</v>
      </c>
      <c r="C5054" s="54">
        <v>43132</v>
      </c>
      <c r="D5054" s="3" t="str">
        <f>YEAR(Datos_Consumo[[#This Row],[FECHA]])&amp;"-"&amp;MONTH(Datos_Consumo[[#This Row],[FECHA]])</f>
        <v>2018-2</v>
      </c>
    </row>
    <row r="5055" spans="1:4" x14ac:dyDescent="0.25">
      <c r="A5055" t="s">
        <v>3188</v>
      </c>
      <c r="B5055">
        <v>11</v>
      </c>
      <c r="C5055" s="54">
        <v>43160</v>
      </c>
      <c r="D5055" s="3" t="str">
        <f>YEAR(Datos_Consumo[[#This Row],[FECHA]])&amp;"-"&amp;MONTH(Datos_Consumo[[#This Row],[FECHA]])</f>
        <v>2018-3</v>
      </c>
    </row>
    <row r="5056" spans="1:4" x14ac:dyDescent="0.25">
      <c r="A5056" t="s">
        <v>3189</v>
      </c>
      <c r="B5056">
        <v>4</v>
      </c>
      <c r="C5056" s="54">
        <v>43070</v>
      </c>
      <c r="D5056" s="3" t="str">
        <f>YEAR(Datos_Consumo[[#This Row],[FECHA]])&amp;"-"&amp;MONTH(Datos_Consumo[[#This Row],[FECHA]])</f>
        <v>2017-12</v>
      </c>
    </row>
    <row r="5057" spans="1:4" x14ac:dyDescent="0.25">
      <c r="A5057" t="s">
        <v>3189</v>
      </c>
      <c r="B5057">
        <v>2</v>
      </c>
      <c r="C5057" s="54">
        <v>43132</v>
      </c>
      <c r="D5057" s="3" t="str">
        <f>YEAR(Datos_Consumo[[#This Row],[FECHA]])&amp;"-"&amp;MONTH(Datos_Consumo[[#This Row],[FECHA]])</f>
        <v>2018-2</v>
      </c>
    </row>
    <row r="5058" spans="1:4" x14ac:dyDescent="0.25">
      <c r="A5058" t="s">
        <v>3189</v>
      </c>
      <c r="B5058">
        <v>14</v>
      </c>
      <c r="C5058" s="54">
        <v>43160</v>
      </c>
      <c r="D5058" s="3" t="str">
        <f>YEAR(Datos_Consumo[[#This Row],[FECHA]])&amp;"-"&amp;MONTH(Datos_Consumo[[#This Row],[FECHA]])</f>
        <v>2018-3</v>
      </c>
    </row>
    <row r="5059" spans="1:4" x14ac:dyDescent="0.25">
      <c r="A5059" t="s">
        <v>3189</v>
      </c>
      <c r="B5059">
        <v>10</v>
      </c>
      <c r="C5059" s="54">
        <v>43221</v>
      </c>
      <c r="D5059" s="3" t="str">
        <f>YEAR(Datos_Consumo[[#This Row],[FECHA]])&amp;"-"&amp;MONTH(Datos_Consumo[[#This Row],[FECHA]])</f>
        <v>2018-5</v>
      </c>
    </row>
    <row r="5060" spans="1:4" x14ac:dyDescent="0.25">
      <c r="A5060" t="s">
        <v>4126</v>
      </c>
      <c r="B5060">
        <v>20</v>
      </c>
      <c r="C5060" s="54">
        <v>43191</v>
      </c>
      <c r="D5060" s="3" t="str">
        <f>YEAR(Datos_Consumo[[#This Row],[FECHA]])&amp;"-"&amp;MONTH(Datos_Consumo[[#This Row],[FECHA]])</f>
        <v>2018-4</v>
      </c>
    </row>
    <row r="5061" spans="1:4" x14ac:dyDescent="0.25">
      <c r="A5061" t="s">
        <v>3190</v>
      </c>
      <c r="B5061">
        <v>2</v>
      </c>
      <c r="C5061" s="54">
        <v>43101</v>
      </c>
      <c r="D5061" s="3" t="str">
        <f>YEAR(Datos_Consumo[[#This Row],[FECHA]])&amp;"-"&amp;MONTH(Datos_Consumo[[#This Row],[FECHA]])</f>
        <v>2018-1</v>
      </c>
    </row>
    <row r="5062" spans="1:4" x14ac:dyDescent="0.25">
      <c r="A5062" t="s">
        <v>4127</v>
      </c>
      <c r="B5062">
        <v>1</v>
      </c>
      <c r="C5062" s="54">
        <v>43221</v>
      </c>
      <c r="D5062" s="3" t="str">
        <f>YEAR(Datos_Consumo[[#This Row],[FECHA]])&amp;"-"&amp;MONTH(Datos_Consumo[[#This Row],[FECHA]])</f>
        <v>2018-5</v>
      </c>
    </row>
    <row r="5063" spans="1:4" x14ac:dyDescent="0.25">
      <c r="A5063" t="s">
        <v>3191</v>
      </c>
      <c r="B5063">
        <v>2</v>
      </c>
      <c r="C5063" s="54">
        <v>43101</v>
      </c>
      <c r="D5063" s="3" t="str">
        <f>YEAR(Datos_Consumo[[#This Row],[FECHA]])&amp;"-"&amp;MONTH(Datos_Consumo[[#This Row],[FECHA]])</f>
        <v>2018-1</v>
      </c>
    </row>
    <row r="5064" spans="1:4" x14ac:dyDescent="0.25">
      <c r="A5064" t="s">
        <v>3191</v>
      </c>
      <c r="B5064">
        <v>4</v>
      </c>
      <c r="C5064" s="54">
        <v>43132</v>
      </c>
      <c r="D5064" s="3" t="str">
        <f>YEAR(Datos_Consumo[[#This Row],[FECHA]])&amp;"-"&amp;MONTH(Datos_Consumo[[#This Row],[FECHA]])</f>
        <v>2018-2</v>
      </c>
    </row>
    <row r="5065" spans="1:4" x14ac:dyDescent="0.25">
      <c r="A5065" t="s">
        <v>3191</v>
      </c>
      <c r="B5065">
        <v>22</v>
      </c>
      <c r="C5065" s="54">
        <v>43160</v>
      </c>
      <c r="D5065" s="3" t="str">
        <f>YEAR(Datos_Consumo[[#This Row],[FECHA]])&amp;"-"&amp;MONTH(Datos_Consumo[[#This Row],[FECHA]])</f>
        <v>2018-3</v>
      </c>
    </row>
    <row r="5066" spans="1:4" x14ac:dyDescent="0.25">
      <c r="A5066" t="s">
        <v>3192</v>
      </c>
      <c r="B5066">
        <v>2</v>
      </c>
      <c r="C5066" s="54">
        <v>43101</v>
      </c>
      <c r="D5066" s="3" t="str">
        <f>YEAR(Datos_Consumo[[#This Row],[FECHA]])&amp;"-"&amp;MONTH(Datos_Consumo[[#This Row],[FECHA]])</f>
        <v>2018-1</v>
      </c>
    </row>
    <row r="5067" spans="1:4" x14ac:dyDescent="0.25">
      <c r="A5067" t="s">
        <v>3192</v>
      </c>
      <c r="B5067">
        <v>4</v>
      </c>
      <c r="C5067" s="54">
        <v>43132</v>
      </c>
      <c r="D5067" s="3" t="str">
        <f>YEAR(Datos_Consumo[[#This Row],[FECHA]])&amp;"-"&amp;MONTH(Datos_Consumo[[#This Row],[FECHA]])</f>
        <v>2018-2</v>
      </c>
    </row>
    <row r="5068" spans="1:4" x14ac:dyDescent="0.25">
      <c r="A5068" t="s">
        <v>3192</v>
      </c>
      <c r="B5068">
        <v>22</v>
      </c>
      <c r="C5068" s="54">
        <v>43160</v>
      </c>
      <c r="D5068" s="3" t="str">
        <f>YEAR(Datos_Consumo[[#This Row],[FECHA]])&amp;"-"&amp;MONTH(Datos_Consumo[[#This Row],[FECHA]])</f>
        <v>2018-3</v>
      </c>
    </row>
    <row r="5069" spans="1:4" x14ac:dyDescent="0.25">
      <c r="A5069" t="s">
        <v>4128</v>
      </c>
      <c r="B5069">
        <v>19</v>
      </c>
      <c r="C5069" s="54">
        <v>43191</v>
      </c>
      <c r="D5069" s="3" t="str">
        <f>YEAR(Datos_Consumo[[#This Row],[FECHA]])&amp;"-"&amp;MONTH(Datos_Consumo[[#This Row],[FECHA]])</f>
        <v>2018-4</v>
      </c>
    </row>
    <row r="5070" spans="1:4" x14ac:dyDescent="0.25">
      <c r="A5070" t="s">
        <v>4129</v>
      </c>
      <c r="B5070">
        <v>4</v>
      </c>
      <c r="C5070" s="54">
        <v>43221</v>
      </c>
      <c r="D5070" s="3" t="str">
        <f>YEAR(Datos_Consumo[[#This Row],[FECHA]])&amp;"-"&amp;MONTH(Datos_Consumo[[#This Row],[FECHA]])</f>
        <v>2018-5</v>
      </c>
    </row>
    <row r="5071" spans="1:4" x14ac:dyDescent="0.25">
      <c r="A5071" t="s">
        <v>3193</v>
      </c>
      <c r="B5071">
        <v>8</v>
      </c>
      <c r="C5071" s="54">
        <v>43070</v>
      </c>
      <c r="D5071" s="3" t="str">
        <f>YEAR(Datos_Consumo[[#This Row],[FECHA]])&amp;"-"&amp;MONTH(Datos_Consumo[[#This Row],[FECHA]])</f>
        <v>2017-12</v>
      </c>
    </row>
    <row r="5072" spans="1:4" x14ac:dyDescent="0.25">
      <c r="A5072" t="s">
        <v>3193</v>
      </c>
      <c r="B5072">
        <v>27</v>
      </c>
      <c r="C5072" s="54">
        <v>43101</v>
      </c>
      <c r="D5072" s="3" t="str">
        <f>YEAR(Datos_Consumo[[#This Row],[FECHA]])&amp;"-"&amp;MONTH(Datos_Consumo[[#This Row],[FECHA]])</f>
        <v>2018-1</v>
      </c>
    </row>
    <row r="5073" spans="1:4" x14ac:dyDescent="0.25">
      <c r="A5073" t="s">
        <v>3193</v>
      </c>
      <c r="B5073">
        <v>18</v>
      </c>
      <c r="C5073" s="54">
        <v>43132</v>
      </c>
      <c r="D5073" s="3" t="str">
        <f>YEAR(Datos_Consumo[[#This Row],[FECHA]])&amp;"-"&amp;MONTH(Datos_Consumo[[#This Row],[FECHA]])</f>
        <v>2018-2</v>
      </c>
    </row>
    <row r="5074" spans="1:4" x14ac:dyDescent="0.25">
      <c r="A5074" t="s">
        <v>3193</v>
      </c>
      <c r="B5074">
        <v>2</v>
      </c>
      <c r="C5074" s="54">
        <v>43160</v>
      </c>
      <c r="D5074" s="3" t="str">
        <f>YEAR(Datos_Consumo[[#This Row],[FECHA]])&amp;"-"&amp;MONTH(Datos_Consumo[[#This Row],[FECHA]])</f>
        <v>2018-3</v>
      </c>
    </row>
    <row r="5075" spans="1:4" x14ac:dyDescent="0.25">
      <c r="A5075" t="s">
        <v>3193</v>
      </c>
      <c r="B5075">
        <v>3</v>
      </c>
      <c r="C5075" s="54">
        <v>43191</v>
      </c>
      <c r="D5075" s="3" t="str">
        <f>YEAR(Datos_Consumo[[#This Row],[FECHA]])&amp;"-"&amp;MONTH(Datos_Consumo[[#This Row],[FECHA]])</f>
        <v>2018-4</v>
      </c>
    </row>
    <row r="5076" spans="1:4" x14ac:dyDescent="0.25">
      <c r="A5076" t="s">
        <v>3194</v>
      </c>
      <c r="B5076">
        <v>1</v>
      </c>
      <c r="C5076" s="54">
        <v>43070</v>
      </c>
      <c r="D5076" s="3" t="str">
        <f>YEAR(Datos_Consumo[[#This Row],[FECHA]])&amp;"-"&amp;MONTH(Datos_Consumo[[#This Row],[FECHA]])</f>
        <v>2017-12</v>
      </c>
    </row>
    <row r="5077" spans="1:4" x14ac:dyDescent="0.25">
      <c r="A5077" t="s">
        <v>3194</v>
      </c>
      <c r="B5077">
        <v>1</v>
      </c>
      <c r="C5077" s="54">
        <v>43160</v>
      </c>
      <c r="D5077" s="3" t="str">
        <f>YEAR(Datos_Consumo[[#This Row],[FECHA]])&amp;"-"&amp;MONTH(Datos_Consumo[[#This Row],[FECHA]])</f>
        <v>2018-3</v>
      </c>
    </row>
    <row r="5078" spans="1:4" x14ac:dyDescent="0.25">
      <c r="A5078" t="s">
        <v>3195</v>
      </c>
      <c r="B5078">
        <v>1</v>
      </c>
      <c r="C5078" s="54">
        <v>43070</v>
      </c>
      <c r="D5078" s="3" t="str">
        <f>YEAR(Datos_Consumo[[#This Row],[FECHA]])&amp;"-"&amp;MONTH(Datos_Consumo[[#This Row],[FECHA]])</f>
        <v>2017-12</v>
      </c>
    </row>
    <row r="5079" spans="1:4" x14ac:dyDescent="0.25">
      <c r="A5079" t="s">
        <v>3195</v>
      </c>
      <c r="B5079">
        <v>1</v>
      </c>
      <c r="C5079" s="54">
        <v>43160</v>
      </c>
      <c r="D5079" s="3" t="str">
        <f>YEAR(Datos_Consumo[[#This Row],[FECHA]])&amp;"-"&amp;MONTH(Datos_Consumo[[#This Row],[FECHA]])</f>
        <v>2018-3</v>
      </c>
    </row>
    <row r="5080" spans="1:4" x14ac:dyDescent="0.25">
      <c r="A5080" t="s">
        <v>3195</v>
      </c>
      <c r="B5080">
        <v>3</v>
      </c>
      <c r="C5080" s="54">
        <v>43191</v>
      </c>
      <c r="D5080" s="3" t="str">
        <f>YEAR(Datos_Consumo[[#This Row],[FECHA]])&amp;"-"&amp;MONTH(Datos_Consumo[[#This Row],[FECHA]])</f>
        <v>2018-4</v>
      </c>
    </row>
    <row r="5081" spans="1:4" x14ac:dyDescent="0.25">
      <c r="A5081" t="s">
        <v>3195</v>
      </c>
      <c r="B5081">
        <v>3</v>
      </c>
      <c r="C5081" s="54">
        <v>43221</v>
      </c>
      <c r="D5081" s="3" t="str">
        <f>YEAR(Datos_Consumo[[#This Row],[FECHA]])&amp;"-"&amp;MONTH(Datos_Consumo[[#This Row],[FECHA]])</f>
        <v>2018-5</v>
      </c>
    </row>
    <row r="5082" spans="1:4" x14ac:dyDescent="0.25">
      <c r="A5082" t="s">
        <v>4130</v>
      </c>
      <c r="B5082">
        <v>4</v>
      </c>
      <c r="C5082" s="54">
        <v>43221</v>
      </c>
      <c r="D5082" s="3" t="str">
        <f>YEAR(Datos_Consumo[[#This Row],[FECHA]])&amp;"-"&amp;MONTH(Datos_Consumo[[#This Row],[FECHA]])</f>
        <v>2018-5</v>
      </c>
    </row>
    <row r="5083" spans="1:4" x14ac:dyDescent="0.25">
      <c r="A5083" t="s">
        <v>3196</v>
      </c>
      <c r="B5083">
        <v>1</v>
      </c>
      <c r="C5083" s="54">
        <v>43191</v>
      </c>
      <c r="D5083" s="3" t="str">
        <f>YEAR(Datos_Consumo[[#This Row],[FECHA]])&amp;"-"&amp;MONTH(Datos_Consumo[[#This Row],[FECHA]])</f>
        <v>2018-4</v>
      </c>
    </row>
    <row r="5084" spans="1:4" x14ac:dyDescent="0.25">
      <c r="A5084" t="s">
        <v>3197</v>
      </c>
      <c r="B5084">
        <v>8</v>
      </c>
      <c r="C5084" s="54">
        <v>43221</v>
      </c>
      <c r="D5084" s="3" t="str">
        <f>YEAR(Datos_Consumo[[#This Row],[FECHA]])&amp;"-"&amp;MONTH(Datos_Consumo[[#This Row],[FECHA]])</f>
        <v>2018-5</v>
      </c>
    </row>
    <row r="5085" spans="1:4" x14ac:dyDescent="0.25">
      <c r="A5085" t="s">
        <v>3198</v>
      </c>
      <c r="B5085">
        <v>1</v>
      </c>
      <c r="C5085" s="54">
        <v>43160</v>
      </c>
      <c r="D5085" s="3" t="str">
        <f>YEAR(Datos_Consumo[[#This Row],[FECHA]])&amp;"-"&amp;MONTH(Datos_Consumo[[#This Row],[FECHA]])</f>
        <v>2018-3</v>
      </c>
    </row>
    <row r="5086" spans="1:4" x14ac:dyDescent="0.25">
      <c r="A5086" t="s">
        <v>3198</v>
      </c>
      <c r="B5086">
        <v>1</v>
      </c>
      <c r="C5086" s="54">
        <v>43221</v>
      </c>
      <c r="D5086" s="3" t="str">
        <f>YEAR(Datos_Consumo[[#This Row],[FECHA]])&amp;"-"&amp;MONTH(Datos_Consumo[[#This Row],[FECHA]])</f>
        <v>2018-5</v>
      </c>
    </row>
    <row r="5087" spans="1:4" x14ac:dyDescent="0.25">
      <c r="A5087" t="s">
        <v>3199</v>
      </c>
      <c r="B5087">
        <v>2</v>
      </c>
      <c r="C5087" s="54">
        <v>43070</v>
      </c>
      <c r="D5087" s="3" t="str">
        <f>YEAR(Datos_Consumo[[#This Row],[FECHA]])&amp;"-"&amp;MONTH(Datos_Consumo[[#This Row],[FECHA]])</f>
        <v>2017-12</v>
      </c>
    </row>
    <row r="5088" spans="1:4" x14ac:dyDescent="0.25">
      <c r="A5088" t="s">
        <v>3199</v>
      </c>
      <c r="B5088">
        <v>4</v>
      </c>
      <c r="C5088" s="54">
        <v>43132</v>
      </c>
      <c r="D5088" s="3" t="str">
        <f>YEAR(Datos_Consumo[[#This Row],[FECHA]])&amp;"-"&amp;MONTH(Datos_Consumo[[#This Row],[FECHA]])</f>
        <v>2018-2</v>
      </c>
    </row>
    <row r="5089" spans="1:4" x14ac:dyDescent="0.25">
      <c r="A5089" t="s">
        <v>3199</v>
      </c>
      <c r="B5089">
        <v>2</v>
      </c>
      <c r="C5089" s="54">
        <v>43160</v>
      </c>
      <c r="D5089" s="3" t="str">
        <f>YEAR(Datos_Consumo[[#This Row],[FECHA]])&amp;"-"&amp;MONTH(Datos_Consumo[[#This Row],[FECHA]])</f>
        <v>2018-3</v>
      </c>
    </row>
    <row r="5090" spans="1:4" x14ac:dyDescent="0.25">
      <c r="A5090" t="s">
        <v>3199</v>
      </c>
      <c r="B5090">
        <v>5</v>
      </c>
      <c r="C5090" s="54">
        <v>43191</v>
      </c>
      <c r="D5090" s="3" t="str">
        <f>YEAR(Datos_Consumo[[#This Row],[FECHA]])&amp;"-"&amp;MONTH(Datos_Consumo[[#This Row],[FECHA]])</f>
        <v>2018-4</v>
      </c>
    </row>
    <row r="5091" spans="1:4" x14ac:dyDescent="0.25">
      <c r="A5091" t="s">
        <v>3199</v>
      </c>
      <c r="B5091">
        <v>18</v>
      </c>
      <c r="C5091" s="54">
        <v>43221</v>
      </c>
      <c r="D5091" s="3" t="str">
        <f>YEAR(Datos_Consumo[[#This Row],[FECHA]])&amp;"-"&amp;MONTH(Datos_Consumo[[#This Row],[FECHA]])</f>
        <v>2018-5</v>
      </c>
    </row>
    <row r="5092" spans="1:4" x14ac:dyDescent="0.25">
      <c r="A5092" t="s">
        <v>3200</v>
      </c>
      <c r="B5092">
        <v>1</v>
      </c>
      <c r="C5092" s="54">
        <v>43132</v>
      </c>
      <c r="D5092" s="3" t="str">
        <f>YEAR(Datos_Consumo[[#This Row],[FECHA]])&amp;"-"&amp;MONTH(Datos_Consumo[[#This Row],[FECHA]])</f>
        <v>2018-2</v>
      </c>
    </row>
    <row r="5093" spans="1:4" x14ac:dyDescent="0.25">
      <c r="A5093" t="s">
        <v>3200</v>
      </c>
      <c r="B5093">
        <v>1</v>
      </c>
      <c r="C5093" s="54">
        <v>43160</v>
      </c>
      <c r="D5093" s="3" t="str">
        <f>YEAR(Datos_Consumo[[#This Row],[FECHA]])&amp;"-"&amp;MONTH(Datos_Consumo[[#This Row],[FECHA]])</f>
        <v>2018-3</v>
      </c>
    </row>
    <row r="5094" spans="1:4" x14ac:dyDescent="0.25">
      <c r="A5094" t="s">
        <v>3200</v>
      </c>
      <c r="B5094">
        <v>2</v>
      </c>
      <c r="C5094" s="54">
        <v>43191</v>
      </c>
      <c r="D5094" s="3" t="str">
        <f>YEAR(Datos_Consumo[[#This Row],[FECHA]])&amp;"-"&amp;MONTH(Datos_Consumo[[#This Row],[FECHA]])</f>
        <v>2018-4</v>
      </c>
    </row>
    <row r="5095" spans="1:4" x14ac:dyDescent="0.25">
      <c r="A5095" t="s">
        <v>3200</v>
      </c>
      <c r="B5095">
        <v>7</v>
      </c>
      <c r="C5095" s="54">
        <v>43221</v>
      </c>
      <c r="D5095" s="3" t="str">
        <f>YEAR(Datos_Consumo[[#This Row],[FECHA]])&amp;"-"&amp;MONTH(Datos_Consumo[[#This Row],[FECHA]])</f>
        <v>2018-5</v>
      </c>
    </row>
    <row r="5096" spans="1:4" x14ac:dyDescent="0.25">
      <c r="A5096" t="s">
        <v>3201</v>
      </c>
      <c r="B5096">
        <v>1</v>
      </c>
      <c r="C5096" s="54">
        <v>43160</v>
      </c>
      <c r="D5096" s="3" t="str">
        <f>YEAR(Datos_Consumo[[#This Row],[FECHA]])&amp;"-"&amp;MONTH(Datos_Consumo[[#This Row],[FECHA]])</f>
        <v>2018-3</v>
      </c>
    </row>
    <row r="5097" spans="1:4" x14ac:dyDescent="0.25">
      <c r="A5097" t="s">
        <v>3202</v>
      </c>
      <c r="B5097">
        <v>2</v>
      </c>
      <c r="C5097" s="54">
        <v>43101</v>
      </c>
      <c r="D5097" s="3" t="str">
        <f>YEAR(Datos_Consumo[[#This Row],[FECHA]])&amp;"-"&amp;MONTH(Datos_Consumo[[#This Row],[FECHA]])</f>
        <v>2018-1</v>
      </c>
    </row>
    <row r="5098" spans="1:4" x14ac:dyDescent="0.25">
      <c r="A5098" t="s">
        <v>3203</v>
      </c>
      <c r="B5098">
        <v>2</v>
      </c>
      <c r="C5098" s="54">
        <v>43132</v>
      </c>
      <c r="D5098" s="3" t="str">
        <f>YEAR(Datos_Consumo[[#This Row],[FECHA]])&amp;"-"&amp;MONTH(Datos_Consumo[[#This Row],[FECHA]])</f>
        <v>2018-2</v>
      </c>
    </row>
    <row r="5099" spans="1:4" x14ac:dyDescent="0.25">
      <c r="A5099" t="s">
        <v>3203</v>
      </c>
      <c r="B5099">
        <v>1</v>
      </c>
      <c r="C5099" s="54">
        <v>43160</v>
      </c>
      <c r="D5099" s="3" t="str">
        <f>YEAR(Datos_Consumo[[#This Row],[FECHA]])&amp;"-"&amp;MONTH(Datos_Consumo[[#This Row],[FECHA]])</f>
        <v>2018-3</v>
      </c>
    </row>
    <row r="5100" spans="1:4" x14ac:dyDescent="0.25">
      <c r="A5100" t="s">
        <v>3203</v>
      </c>
      <c r="B5100">
        <v>2</v>
      </c>
      <c r="C5100" s="54">
        <v>43191</v>
      </c>
      <c r="D5100" s="3" t="str">
        <f>YEAR(Datos_Consumo[[#This Row],[FECHA]])&amp;"-"&amp;MONTH(Datos_Consumo[[#This Row],[FECHA]])</f>
        <v>2018-4</v>
      </c>
    </row>
    <row r="5101" spans="1:4" x14ac:dyDescent="0.25">
      <c r="A5101" t="s">
        <v>3204</v>
      </c>
      <c r="B5101">
        <v>1</v>
      </c>
      <c r="C5101" s="54">
        <v>43160</v>
      </c>
      <c r="D5101" s="3" t="str">
        <f>YEAR(Datos_Consumo[[#This Row],[FECHA]])&amp;"-"&amp;MONTH(Datos_Consumo[[#This Row],[FECHA]])</f>
        <v>2018-3</v>
      </c>
    </row>
    <row r="5102" spans="1:4" x14ac:dyDescent="0.25">
      <c r="A5102" t="s">
        <v>3204</v>
      </c>
      <c r="B5102">
        <v>3</v>
      </c>
      <c r="C5102" s="54">
        <v>43191</v>
      </c>
      <c r="D5102" s="3" t="str">
        <f>YEAR(Datos_Consumo[[#This Row],[FECHA]])&amp;"-"&amp;MONTH(Datos_Consumo[[#This Row],[FECHA]])</f>
        <v>2018-4</v>
      </c>
    </row>
    <row r="5103" spans="1:4" x14ac:dyDescent="0.25">
      <c r="A5103" t="s">
        <v>3205</v>
      </c>
      <c r="B5103">
        <v>1</v>
      </c>
      <c r="C5103" s="54">
        <v>43160</v>
      </c>
      <c r="D5103" s="3" t="str">
        <f>YEAR(Datos_Consumo[[#This Row],[FECHA]])&amp;"-"&amp;MONTH(Datos_Consumo[[#This Row],[FECHA]])</f>
        <v>2018-3</v>
      </c>
    </row>
    <row r="5104" spans="1:4" x14ac:dyDescent="0.25">
      <c r="A5104" t="s">
        <v>3205</v>
      </c>
      <c r="B5104">
        <v>1</v>
      </c>
      <c r="C5104" s="54">
        <v>43221</v>
      </c>
      <c r="D5104" s="3" t="str">
        <f>YEAR(Datos_Consumo[[#This Row],[FECHA]])&amp;"-"&amp;MONTH(Datos_Consumo[[#This Row],[FECHA]])</f>
        <v>2018-5</v>
      </c>
    </row>
    <row r="5105" spans="1:4" x14ac:dyDescent="0.25">
      <c r="A5105" t="s">
        <v>3206</v>
      </c>
      <c r="B5105">
        <v>6</v>
      </c>
      <c r="C5105" s="54">
        <v>43160</v>
      </c>
      <c r="D5105" s="3" t="str">
        <f>YEAR(Datos_Consumo[[#This Row],[FECHA]])&amp;"-"&amp;MONTH(Datos_Consumo[[#This Row],[FECHA]])</f>
        <v>2018-3</v>
      </c>
    </row>
    <row r="5106" spans="1:4" x14ac:dyDescent="0.25">
      <c r="A5106" t="s">
        <v>3207</v>
      </c>
      <c r="B5106">
        <v>2</v>
      </c>
      <c r="C5106" s="54">
        <v>43132</v>
      </c>
      <c r="D5106" s="3" t="str">
        <f>YEAR(Datos_Consumo[[#This Row],[FECHA]])&amp;"-"&amp;MONTH(Datos_Consumo[[#This Row],[FECHA]])</f>
        <v>2018-2</v>
      </c>
    </row>
    <row r="5107" spans="1:4" x14ac:dyDescent="0.25">
      <c r="A5107" t="s">
        <v>3207</v>
      </c>
      <c r="B5107">
        <v>1</v>
      </c>
      <c r="C5107" s="54">
        <v>43160</v>
      </c>
      <c r="D5107" s="3" t="str">
        <f>YEAR(Datos_Consumo[[#This Row],[FECHA]])&amp;"-"&amp;MONTH(Datos_Consumo[[#This Row],[FECHA]])</f>
        <v>2018-3</v>
      </c>
    </row>
    <row r="5108" spans="1:4" x14ac:dyDescent="0.25">
      <c r="A5108" t="s">
        <v>3208</v>
      </c>
      <c r="B5108">
        <v>1</v>
      </c>
      <c r="C5108" s="54">
        <v>43070</v>
      </c>
      <c r="D5108" s="3" t="str">
        <f>YEAR(Datos_Consumo[[#This Row],[FECHA]])&amp;"-"&amp;MONTH(Datos_Consumo[[#This Row],[FECHA]])</f>
        <v>2017-12</v>
      </c>
    </row>
    <row r="5109" spans="1:4" x14ac:dyDescent="0.25">
      <c r="A5109" t="s">
        <v>3208</v>
      </c>
      <c r="B5109">
        <v>12</v>
      </c>
      <c r="C5109" s="54">
        <v>43191</v>
      </c>
      <c r="D5109" s="3" t="str">
        <f>YEAR(Datos_Consumo[[#This Row],[FECHA]])&amp;"-"&amp;MONTH(Datos_Consumo[[#This Row],[FECHA]])</f>
        <v>2018-4</v>
      </c>
    </row>
    <row r="5110" spans="1:4" x14ac:dyDescent="0.25">
      <c r="A5110" t="s">
        <v>3209</v>
      </c>
      <c r="B5110">
        <v>1</v>
      </c>
      <c r="C5110" s="54">
        <v>43070</v>
      </c>
      <c r="D5110" s="3" t="str">
        <f>YEAR(Datos_Consumo[[#This Row],[FECHA]])&amp;"-"&amp;MONTH(Datos_Consumo[[#This Row],[FECHA]])</f>
        <v>2017-12</v>
      </c>
    </row>
    <row r="5111" spans="1:4" x14ac:dyDescent="0.25">
      <c r="A5111" t="s">
        <v>3210</v>
      </c>
      <c r="B5111">
        <v>1</v>
      </c>
      <c r="C5111" s="54">
        <v>43160</v>
      </c>
      <c r="D5111" s="3" t="str">
        <f>YEAR(Datos_Consumo[[#This Row],[FECHA]])&amp;"-"&amp;MONTH(Datos_Consumo[[#This Row],[FECHA]])</f>
        <v>2018-3</v>
      </c>
    </row>
    <row r="5112" spans="1:4" x14ac:dyDescent="0.25">
      <c r="A5112" t="s">
        <v>3211</v>
      </c>
      <c r="B5112">
        <v>2</v>
      </c>
      <c r="C5112" s="54">
        <v>43132</v>
      </c>
      <c r="D5112" s="3" t="str">
        <f>YEAR(Datos_Consumo[[#This Row],[FECHA]])&amp;"-"&amp;MONTH(Datos_Consumo[[#This Row],[FECHA]])</f>
        <v>2018-2</v>
      </c>
    </row>
    <row r="5113" spans="1:4" x14ac:dyDescent="0.25">
      <c r="A5113" t="s">
        <v>3211</v>
      </c>
      <c r="B5113">
        <v>1</v>
      </c>
      <c r="C5113" s="54">
        <v>43160</v>
      </c>
      <c r="D5113" s="3" t="str">
        <f>YEAR(Datos_Consumo[[#This Row],[FECHA]])&amp;"-"&amp;MONTH(Datos_Consumo[[#This Row],[FECHA]])</f>
        <v>2018-3</v>
      </c>
    </row>
    <row r="5114" spans="1:4" x14ac:dyDescent="0.25">
      <c r="A5114" t="s">
        <v>3211</v>
      </c>
      <c r="B5114">
        <v>1</v>
      </c>
      <c r="C5114" s="54">
        <v>43191</v>
      </c>
      <c r="D5114" s="3" t="str">
        <f>YEAR(Datos_Consumo[[#This Row],[FECHA]])&amp;"-"&amp;MONTH(Datos_Consumo[[#This Row],[FECHA]])</f>
        <v>2018-4</v>
      </c>
    </row>
    <row r="5115" spans="1:4" x14ac:dyDescent="0.25">
      <c r="A5115" t="s">
        <v>3212</v>
      </c>
      <c r="B5115">
        <v>1</v>
      </c>
      <c r="C5115" s="54">
        <v>43160</v>
      </c>
      <c r="D5115" s="3" t="str">
        <f>YEAR(Datos_Consumo[[#This Row],[FECHA]])&amp;"-"&amp;MONTH(Datos_Consumo[[#This Row],[FECHA]])</f>
        <v>2018-3</v>
      </c>
    </row>
    <row r="5116" spans="1:4" x14ac:dyDescent="0.25">
      <c r="A5116" t="s">
        <v>3213</v>
      </c>
      <c r="B5116">
        <v>1</v>
      </c>
      <c r="C5116" s="54">
        <v>43160</v>
      </c>
      <c r="D5116" s="3" t="str">
        <f>YEAR(Datos_Consumo[[#This Row],[FECHA]])&amp;"-"&amp;MONTH(Datos_Consumo[[#This Row],[FECHA]])</f>
        <v>2018-3</v>
      </c>
    </row>
    <row r="5117" spans="1:4" x14ac:dyDescent="0.25">
      <c r="A5117" t="s">
        <v>3213</v>
      </c>
      <c r="B5117">
        <v>9</v>
      </c>
      <c r="C5117" s="54">
        <v>43191</v>
      </c>
      <c r="D5117" s="3" t="str">
        <f>YEAR(Datos_Consumo[[#This Row],[FECHA]])&amp;"-"&amp;MONTH(Datos_Consumo[[#This Row],[FECHA]])</f>
        <v>2018-4</v>
      </c>
    </row>
    <row r="5118" spans="1:4" x14ac:dyDescent="0.25">
      <c r="A5118" t="s">
        <v>3214</v>
      </c>
      <c r="B5118">
        <v>5</v>
      </c>
      <c r="C5118" s="54">
        <v>43160</v>
      </c>
      <c r="D5118" s="3" t="str">
        <f>YEAR(Datos_Consumo[[#This Row],[FECHA]])&amp;"-"&amp;MONTH(Datos_Consumo[[#This Row],[FECHA]])</f>
        <v>2018-3</v>
      </c>
    </row>
    <row r="5119" spans="1:4" x14ac:dyDescent="0.25">
      <c r="A5119" t="s">
        <v>3215</v>
      </c>
      <c r="B5119">
        <v>1</v>
      </c>
      <c r="C5119" s="54">
        <v>43070</v>
      </c>
      <c r="D5119" s="3" t="str">
        <f>YEAR(Datos_Consumo[[#This Row],[FECHA]])&amp;"-"&amp;MONTH(Datos_Consumo[[#This Row],[FECHA]])</f>
        <v>2017-12</v>
      </c>
    </row>
    <row r="5120" spans="1:4" x14ac:dyDescent="0.25">
      <c r="A5120" t="s">
        <v>3216</v>
      </c>
      <c r="B5120">
        <v>1</v>
      </c>
      <c r="C5120" s="54">
        <v>43070</v>
      </c>
      <c r="D5120" s="3" t="str">
        <f>YEAR(Datos_Consumo[[#This Row],[FECHA]])&amp;"-"&amp;MONTH(Datos_Consumo[[#This Row],[FECHA]])</f>
        <v>2017-12</v>
      </c>
    </row>
    <row r="5121" spans="1:4" x14ac:dyDescent="0.25">
      <c r="A5121" t="s">
        <v>3216</v>
      </c>
      <c r="B5121">
        <v>1</v>
      </c>
      <c r="C5121" s="54">
        <v>43160</v>
      </c>
      <c r="D5121" s="3" t="str">
        <f>YEAR(Datos_Consumo[[#This Row],[FECHA]])&amp;"-"&amp;MONTH(Datos_Consumo[[#This Row],[FECHA]])</f>
        <v>2018-3</v>
      </c>
    </row>
    <row r="5122" spans="1:4" x14ac:dyDescent="0.25">
      <c r="A5122" t="s">
        <v>3217</v>
      </c>
      <c r="B5122">
        <v>1</v>
      </c>
      <c r="C5122" s="54">
        <v>43070</v>
      </c>
      <c r="D5122" s="3" t="str">
        <f>YEAR(Datos_Consumo[[#This Row],[FECHA]])&amp;"-"&amp;MONTH(Datos_Consumo[[#This Row],[FECHA]])</f>
        <v>2017-12</v>
      </c>
    </row>
    <row r="5123" spans="1:4" x14ac:dyDescent="0.25">
      <c r="A5123" t="s">
        <v>3217</v>
      </c>
      <c r="B5123">
        <v>1</v>
      </c>
      <c r="C5123" s="54">
        <v>43132</v>
      </c>
      <c r="D5123" s="3" t="str">
        <f>YEAR(Datos_Consumo[[#This Row],[FECHA]])&amp;"-"&amp;MONTH(Datos_Consumo[[#This Row],[FECHA]])</f>
        <v>2018-2</v>
      </c>
    </row>
    <row r="5124" spans="1:4" x14ac:dyDescent="0.25">
      <c r="A5124" t="s">
        <v>3217</v>
      </c>
      <c r="B5124">
        <v>29</v>
      </c>
      <c r="C5124" s="54">
        <v>43191</v>
      </c>
      <c r="D5124" s="3" t="str">
        <f>YEAR(Datos_Consumo[[#This Row],[FECHA]])&amp;"-"&amp;MONTH(Datos_Consumo[[#This Row],[FECHA]])</f>
        <v>2018-4</v>
      </c>
    </row>
    <row r="5125" spans="1:4" x14ac:dyDescent="0.25">
      <c r="A5125" t="s">
        <v>3218</v>
      </c>
      <c r="B5125">
        <v>16</v>
      </c>
      <c r="C5125" s="54">
        <v>43160</v>
      </c>
      <c r="D5125" s="3" t="str">
        <f>YEAR(Datos_Consumo[[#This Row],[FECHA]])&amp;"-"&amp;MONTH(Datos_Consumo[[#This Row],[FECHA]])</f>
        <v>2018-3</v>
      </c>
    </row>
    <row r="5126" spans="1:4" x14ac:dyDescent="0.25">
      <c r="A5126" t="s">
        <v>3219</v>
      </c>
      <c r="B5126">
        <v>1</v>
      </c>
      <c r="C5126" s="54">
        <v>43070</v>
      </c>
      <c r="D5126" s="3" t="str">
        <f>YEAR(Datos_Consumo[[#This Row],[FECHA]])&amp;"-"&amp;MONTH(Datos_Consumo[[#This Row],[FECHA]])</f>
        <v>2017-12</v>
      </c>
    </row>
    <row r="5127" spans="1:4" x14ac:dyDescent="0.25">
      <c r="A5127" t="s">
        <v>3219</v>
      </c>
      <c r="B5127">
        <v>2</v>
      </c>
      <c r="C5127" s="54">
        <v>43132</v>
      </c>
      <c r="D5127" s="3" t="str">
        <f>YEAR(Datos_Consumo[[#This Row],[FECHA]])&amp;"-"&amp;MONTH(Datos_Consumo[[#This Row],[FECHA]])</f>
        <v>2018-2</v>
      </c>
    </row>
    <row r="5128" spans="1:4" x14ac:dyDescent="0.25">
      <c r="A5128" t="s">
        <v>3219</v>
      </c>
      <c r="B5128">
        <v>10</v>
      </c>
      <c r="C5128" s="54">
        <v>43160</v>
      </c>
      <c r="D5128" s="3" t="str">
        <f>YEAR(Datos_Consumo[[#This Row],[FECHA]])&amp;"-"&amp;MONTH(Datos_Consumo[[#This Row],[FECHA]])</f>
        <v>2018-3</v>
      </c>
    </row>
    <row r="5129" spans="1:4" x14ac:dyDescent="0.25">
      <c r="A5129" t="s">
        <v>3220</v>
      </c>
      <c r="B5129">
        <v>1</v>
      </c>
      <c r="C5129" s="54">
        <v>43070</v>
      </c>
      <c r="D5129" s="3" t="str">
        <f>YEAR(Datos_Consumo[[#This Row],[FECHA]])&amp;"-"&amp;MONTH(Datos_Consumo[[#This Row],[FECHA]])</f>
        <v>2017-12</v>
      </c>
    </row>
    <row r="5130" spans="1:4" x14ac:dyDescent="0.25">
      <c r="A5130" t="s">
        <v>3221</v>
      </c>
      <c r="B5130">
        <v>1</v>
      </c>
      <c r="C5130" s="54">
        <v>43070</v>
      </c>
      <c r="D5130" s="3" t="str">
        <f>YEAR(Datos_Consumo[[#This Row],[FECHA]])&amp;"-"&amp;MONTH(Datos_Consumo[[#This Row],[FECHA]])</f>
        <v>2017-12</v>
      </c>
    </row>
    <row r="5131" spans="1:4" x14ac:dyDescent="0.25">
      <c r="A5131" t="s">
        <v>3222</v>
      </c>
      <c r="B5131">
        <v>10</v>
      </c>
      <c r="C5131" s="54">
        <v>43191</v>
      </c>
      <c r="D5131" s="3" t="str">
        <f>YEAR(Datos_Consumo[[#This Row],[FECHA]])&amp;"-"&amp;MONTH(Datos_Consumo[[#This Row],[FECHA]])</f>
        <v>2018-4</v>
      </c>
    </row>
    <row r="5132" spans="1:4" x14ac:dyDescent="0.25">
      <c r="A5132" t="s">
        <v>3223</v>
      </c>
      <c r="B5132">
        <v>1</v>
      </c>
      <c r="C5132" s="54">
        <v>43070</v>
      </c>
      <c r="D5132" s="3" t="str">
        <f>YEAR(Datos_Consumo[[#This Row],[FECHA]])&amp;"-"&amp;MONTH(Datos_Consumo[[#This Row],[FECHA]])</f>
        <v>2017-12</v>
      </c>
    </row>
    <row r="5133" spans="1:4" x14ac:dyDescent="0.25">
      <c r="A5133" t="s">
        <v>3224</v>
      </c>
      <c r="B5133">
        <v>1</v>
      </c>
      <c r="C5133" s="54">
        <v>43070</v>
      </c>
      <c r="D5133" s="3" t="str">
        <f>YEAR(Datos_Consumo[[#This Row],[FECHA]])&amp;"-"&amp;MONTH(Datos_Consumo[[#This Row],[FECHA]])</f>
        <v>2017-12</v>
      </c>
    </row>
    <row r="5134" spans="1:4" x14ac:dyDescent="0.25">
      <c r="A5134" t="s">
        <v>3225</v>
      </c>
      <c r="B5134">
        <v>1</v>
      </c>
      <c r="C5134" s="54">
        <v>43070</v>
      </c>
      <c r="D5134" s="3" t="str">
        <f>YEAR(Datos_Consumo[[#This Row],[FECHA]])&amp;"-"&amp;MONTH(Datos_Consumo[[#This Row],[FECHA]])</f>
        <v>2017-12</v>
      </c>
    </row>
    <row r="5135" spans="1:4" x14ac:dyDescent="0.25">
      <c r="A5135" t="s">
        <v>3226</v>
      </c>
      <c r="B5135">
        <v>2</v>
      </c>
      <c r="C5135" s="54">
        <v>43070</v>
      </c>
      <c r="D5135" s="3" t="str">
        <f>YEAR(Datos_Consumo[[#This Row],[FECHA]])&amp;"-"&amp;MONTH(Datos_Consumo[[#This Row],[FECHA]])</f>
        <v>2017-12</v>
      </c>
    </row>
    <row r="5136" spans="1:4" x14ac:dyDescent="0.25">
      <c r="A5136" t="s">
        <v>3227</v>
      </c>
      <c r="B5136">
        <v>9</v>
      </c>
      <c r="C5136" s="54">
        <v>43070</v>
      </c>
      <c r="D5136" s="3" t="str">
        <f>YEAR(Datos_Consumo[[#This Row],[FECHA]])&amp;"-"&amp;MONTH(Datos_Consumo[[#This Row],[FECHA]])</f>
        <v>2017-12</v>
      </c>
    </row>
    <row r="5137" spans="1:4" x14ac:dyDescent="0.25">
      <c r="A5137" t="s">
        <v>3227</v>
      </c>
      <c r="B5137">
        <v>1</v>
      </c>
      <c r="C5137" s="54">
        <v>43191</v>
      </c>
      <c r="D5137" s="3" t="str">
        <f>YEAR(Datos_Consumo[[#This Row],[FECHA]])&amp;"-"&amp;MONTH(Datos_Consumo[[#This Row],[FECHA]])</f>
        <v>2018-4</v>
      </c>
    </row>
    <row r="5138" spans="1:4" x14ac:dyDescent="0.25">
      <c r="A5138" t="s">
        <v>4131</v>
      </c>
      <c r="B5138">
        <v>5</v>
      </c>
      <c r="C5138" s="54">
        <v>43191</v>
      </c>
      <c r="D5138" s="3" t="str">
        <f>YEAR(Datos_Consumo[[#This Row],[FECHA]])&amp;"-"&amp;MONTH(Datos_Consumo[[#This Row],[FECHA]])</f>
        <v>2018-4</v>
      </c>
    </row>
    <row r="5139" spans="1:4" x14ac:dyDescent="0.25">
      <c r="A5139" t="s">
        <v>3228</v>
      </c>
      <c r="B5139">
        <v>1</v>
      </c>
      <c r="C5139" s="54">
        <v>43070</v>
      </c>
      <c r="D5139" s="3" t="str">
        <f>YEAR(Datos_Consumo[[#This Row],[FECHA]])&amp;"-"&amp;MONTH(Datos_Consumo[[#This Row],[FECHA]])</f>
        <v>2017-12</v>
      </c>
    </row>
    <row r="5140" spans="1:4" x14ac:dyDescent="0.25">
      <c r="A5140" t="s">
        <v>4132</v>
      </c>
      <c r="B5140">
        <v>5</v>
      </c>
      <c r="C5140" s="54">
        <v>43191</v>
      </c>
      <c r="D5140" s="3" t="str">
        <f>YEAR(Datos_Consumo[[#This Row],[FECHA]])&amp;"-"&amp;MONTH(Datos_Consumo[[#This Row],[FECHA]])</f>
        <v>2018-4</v>
      </c>
    </row>
    <row r="5141" spans="1:4" x14ac:dyDescent="0.25">
      <c r="A5141" t="s">
        <v>4133</v>
      </c>
      <c r="B5141">
        <v>2</v>
      </c>
      <c r="C5141" s="54">
        <v>43191</v>
      </c>
      <c r="D5141" s="3" t="str">
        <f>YEAR(Datos_Consumo[[#This Row],[FECHA]])&amp;"-"&amp;MONTH(Datos_Consumo[[#This Row],[FECHA]])</f>
        <v>2018-4</v>
      </c>
    </row>
    <row r="5142" spans="1:4" x14ac:dyDescent="0.25">
      <c r="A5142" t="s">
        <v>3229</v>
      </c>
      <c r="B5142">
        <v>5</v>
      </c>
      <c r="C5142" s="54">
        <v>43160</v>
      </c>
      <c r="D5142" s="3" t="str">
        <f>YEAR(Datos_Consumo[[#This Row],[FECHA]])&amp;"-"&amp;MONTH(Datos_Consumo[[#This Row],[FECHA]])</f>
        <v>2018-3</v>
      </c>
    </row>
    <row r="5143" spans="1:4" x14ac:dyDescent="0.25">
      <c r="A5143" t="s">
        <v>3230</v>
      </c>
      <c r="B5143">
        <v>2</v>
      </c>
      <c r="C5143" s="54">
        <v>43160</v>
      </c>
      <c r="D5143" s="3" t="str">
        <f>YEAR(Datos_Consumo[[#This Row],[FECHA]])&amp;"-"&amp;MONTH(Datos_Consumo[[#This Row],[FECHA]])</f>
        <v>2018-3</v>
      </c>
    </row>
    <row r="5144" spans="1:4" x14ac:dyDescent="0.25">
      <c r="A5144" t="s">
        <v>3230</v>
      </c>
      <c r="B5144">
        <v>2</v>
      </c>
      <c r="C5144" s="54">
        <v>43191</v>
      </c>
      <c r="D5144" s="3" t="str">
        <f>YEAR(Datos_Consumo[[#This Row],[FECHA]])&amp;"-"&amp;MONTH(Datos_Consumo[[#This Row],[FECHA]])</f>
        <v>2018-4</v>
      </c>
    </row>
    <row r="5145" spans="1:4" x14ac:dyDescent="0.25">
      <c r="A5145" t="s">
        <v>3231</v>
      </c>
      <c r="B5145">
        <v>1</v>
      </c>
      <c r="C5145" s="54">
        <v>43070</v>
      </c>
      <c r="D5145" s="3" t="str">
        <f>YEAR(Datos_Consumo[[#This Row],[FECHA]])&amp;"-"&amp;MONTH(Datos_Consumo[[#This Row],[FECHA]])</f>
        <v>2017-12</v>
      </c>
    </row>
    <row r="5146" spans="1:4" x14ac:dyDescent="0.25">
      <c r="A5146" t="s">
        <v>3231</v>
      </c>
      <c r="B5146">
        <v>3</v>
      </c>
      <c r="C5146" s="54">
        <v>43132</v>
      </c>
      <c r="D5146" s="3" t="str">
        <f>YEAR(Datos_Consumo[[#This Row],[FECHA]])&amp;"-"&amp;MONTH(Datos_Consumo[[#This Row],[FECHA]])</f>
        <v>2018-2</v>
      </c>
    </row>
    <row r="5147" spans="1:4" x14ac:dyDescent="0.25">
      <c r="A5147" t="s">
        <v>3232</v>
      </c>
      <c r="B5147">
        <v>1</v>
      </c>
      <c r="C5147" s="54">
        <v>43070</v>
      </c>
      <c r="D5147" s="3" t="str">
        <f>YEAR(Datos_Consumo[[#This Row],[FECHA]])&amp;"-"&amp;MONTH(Datos_Consumo[[#This Row],[FECHA]])</f>
        <v>2017-12</v>
      </c>
    </row>
    <row r="5148" spans="1:4" x14ac:dyDescent="0.25">
      <c r="A5148" t="s">
        <v>3233</v>
      </c>
      <c r="B5148">
        <v>1</v>
      </c>
      <c r="C5148" s="54">
        <v>43132</v>
      </c>
      <c r="D5148" s="3" t="str">
        <f>YEAR(Datos_Consumo[[#This Row],[FECHA]])&amp;"-"&amp;MONTH(Datos_Consumo[[#This Row],[FECHA]])</f>
        <v>2018-2</v>
      </c>
    </row>
    <row r="5149" spans="1:4" x14ac:dyDescent="0.25">
      <c r="A5149" t="s">
        <v>3234</v>
      </c>
      <c r="B5149">
        <v>1</v>
      </c>
      <c r="C5149" s="54">
        <v>43070</v>
      </c>
      <c r="D5149" s="3" t="str">
        <f>YEAR(Datos_Consumo[[#This Row],[FECHA]])&amp;"-"&amp;MONTH(Datos_Consumo[[#This Row],[FECHA]])</f>
        <v>2017-12</v>
      </c>
    </row>
    <row r="5150" spans="1:4" x14ac:dyDescent="0.25">
      <c r="A5150" t="s">
        <v>4134</v>
      </c>
      <c r="B5150">
        <v>40</v>
      </c>
      <c r="C5150" s="54">
        <v>43221</v>
      </c>
      <c r="D5150" s="3" t="str">
        <f>YEAR(Datos_Consumo[[#This Row],[FECHA]])&amp;"-"&amp;MONTH(Datos_Consumo[[#This Row],[FECHA]])</f>
        <v>2018-5</v>
      </c>
    </row>
    <row r="5151" spans="1:4" x14ac:dyDescent="0.25">
      <c r="A5151" t="s">
        <v>3235</v>
      </c>
      <c r="B5151">
        <v>5</v>
      </c>
      <c r="C5151" s="54">
        <v>43160</v>
      </c>
      <c r="D5151" s="3" t="str">
        <f>YEAR(Datos_Consumo[[#This Row],[FECHA]])&amp;"-"&amp;MONTH(Datos_Consumo[[#This Row],[FECHA]])</f>
        <v>2018-3</v>
      </c>
    </row>
    <row r="5152" spans="1:4" x14ac:dyDescent="0.25">
      <c r="A5152" t="s">
        <v>3236</v>
      </c>
      <c r="B5152">
        <v>1</v>
      </c>
      <c r="C5152" s="54">
        <v>43070</v>
      </c>
      <c r="D5152" s="3" t="str">
        <f>YEAR(Datos_Consumo[[#This Row],[FECHA]])&amp;"-"&amp;MONTH(Datos_Consumo[[#This Row],[FECHA]])</f>
        <v>2017-12</v>
      </c>
    </row>
    <row r="5153" spans="1:4" x14ac:dyDescent="0.25">
      <c r="A5153" t="s">
        <v>3236</v>
      </c>
      <c r="B5153">
        <v>1</v>
      </c>
      <c r="C5153" s="54">
        <v>43132</v>
      </c>
      <c r="D5153" s="3" t="str">
        <f>YEAR(Datos_Consumo[[#This Row],[FECHA]])&amp;"-"&amp;MONTH(Datos_Consumo[[#This Row],[FECHA]])</f>
        <v>2018-2</v>
      </c>
    </row>
    <row r="5154" spans="1:4" x14ac:dyDescent="0.25">
      <c r="A5154" t="s">
        <v>3236</v>
      </c>
      <c r="B5154">
        <v>7</v>
      </c>
      <c r="C5154" s="54">
        <v>43160</v>
      </c>
      <c r="D5154" s="3" t="str">
        <f>YEAR(Datos_Consumo[[#This Row],[FECHA]])&amp;"-"&amp;MONTH(Datos_Consumo[[#This Row],[FECHA]])</f>
        <v>2018-3</v>
      </c>
    </row>
    <row r="5155" spans="1:4" x14ac:dyDescent="0.25">
      <c r="A5155" t="s">
        <v>3237</v>
      </c>
      <c r="B5155">
        <v>3</v>
      </c>
      <c r="C5155" s="54">
        <v>43160</v>
      </c>
      <c r="D5155" s="3" t="str">
        <f>YEAR(Datos_Consumo[[#This Row],[FECHA]])&amp;"-"&amp;MONTH(Datos_Consumo[[#This Row],[FECHA]])</f>
        <v>2018-3</v>
      </c>
    </row>
    <row r="5156" spans="1:4" x14ac:dyDescent="0.25">
      <c r="A5156" t="s">
        <v>3238</v>
      </c>
      <c r="B5156">
        <v>3</v>
      </c>
      <c r="C5156" s="54">
        <v>43132</v>
      </c>
      <c r="D5156" s="3" t="str">
        <f>YEAR(Datos_Consumo[[#This Row],[FECHA]])&amp;"-"&amp;MONTH(Datos_Consumo[[#This Row],[FECHA]])</f>
        <v>2018-2</v>
      </c>
    </row>
    <row r="5157" spans="1:4" x14ac:dyDescent="0.25">
      <c r="A5157" t="s">
        <v>3238</v>
      </c>
      <c r="B5157">
        <v>4</v>
      </c>
      <c r="C5157" s="54">
        <v>43160</v>
      </c>
      <c r="D5157" s="3" t="str">
        <f>YEAR(Datos_Consumo[[#This Row],[FECHA]])&amp;"-"&amp;MONTH(Datos_Consumo[[#This Row],[FECHA]])</f>
        <v>2018-3</v>
      </c>
    </row>
    <row r="5158" spans="1:4" x14ac:dyDescent="0.25">
      <c r="A5158" t="s">
        <v>3239</v>
      </c>
      <c r="B5158">
        <v>1</v>
      </c>
      <c r="C5158" s="54">
        <v>43132</v>
      </c>
      <c r="D5158" s="3" t="str">
        <f>YEAR(Datos_Consumo[[#This Row],[FECHA]])&amp;"-"&amp;MONTH(Datos_Consumo[[#This Row],[FECHA]])</f>
        <v>2018-2</v>
      </c>
    </row>
    <row r="5159" spans="1:4" x14ac:dyDescent="0.25">
      <c r="A5159" t="s">
        <v>3239</v>
      </c>
      <c r="B5159">
        <v>6</v>
      </c>
      <c r="C5159" s="54">
        <v>43191</v>
      </c>
      <c r="D5159" s="3" t="str">
        <f>YEAR(Datos_Consumo[[#This Row],[FECHA]])&amp;"-"&amp;MONTH(Datos_Consumo[[#This Row],[FECHA]])</f>
        <v>2018-4</v>
      </c>
    </row>
    <row r="5160" spans="1:4" x14ac:dyDescent="0.25">
      <c r="A5160" t="s">
        <v>3240</v>
      </c>
      <c r="B5160">
        <v>2</v>
      </c>
      <c r="C5160" s="54">
        <v>43191</v>
      </c>
      <c r="D5160" s="3" t="str">
        <f>YEAR(Datos_Consumo[[#This Row],[FECHA]])&amp;"-"&amp;MONTH(Datos_Consumo[[#This Row],[FECHA]])</f>
        <v>2018-4</v>
      </c>
    </row>
    <row r="5161" spans="1:4" x14ac:dyDescent="0.25">
      <c r="A5161" t="s">
        <v>3240</v>
      </c>
      <c r="B5161">
        <v>10</v>
      </c>
      <c r="C5161" s="54">
        <v>43221</v>
      </c>
      <c r="D5161" s="3" t="str">
        <f>YEAR(Datos_Consumo[[#This Row],[FECHA]])&amp;"-"&amp;MONTH(Datos_Consumo[[#This Row],[FECHA]])</f>
        <v>2018-5</v>
      </c>
    </row>
    <row r="5162" spans="1:4" x14ac:dyDescent="0.25">
      <c r="A5162" t="s">
        <v>3241</v>
      </c>
      <c r="B5162">
        <v>1</v>
      </c>
      <c r="C5162" s="54">
        <v>43101</v>
      </c>
      <c r="D5162" s="3" t="str">
        <f>YEAR(Datos_Consumo[[#This Row],[FECHA]])&amp;"-"&amp;MONTH(Datos_Consumo[[#This Row],[FECHA]])</f>
        <v>2018-1</v>
      </c>
    </row>
    <row r="5163" spans="1:4" x14ac:dyDescent="0.25">
      <c r="A5163" t="s">
        <v>3241</v>
      </c>
      <c r="B5163">
        <v>5</v>
      </c>
      <c r="C5163" s="54">
        <v>43191</v>
      </c>
      <c r="D5163" s="3" t="str">
        <f>YEAR(Datos_Consumo[[#This Row],[FECHA]])&amp;"-"&amp;MONTH(Datos_Consumo[[#This Row],[FECHA]])</f>
        <v>2018-4</v>
      </c>
    </row>
    <row r="5164" spans="1:4" x14ac:dyDescent="0.25">
      <c r="A5164" t="s">
        <v>3241</v>
      </c>
      <c r="B5164">
        <v>10</v>
      </c>
      <c r="C5164" s="54">
        <v>43221</v>
      </c>
      <c r="D5164" s="3" t="str">
        <f>YEAR(Datos_Consumo[[#This Row],[FECHA]])&amp;"-"&amp;MONTH(Datos_Consumo[[#This Row],[FECHA]])</f>
        <v>2018-5</v>
      </c>
    </row>
    <row r="5165" spans="1:4" x14ac:dyDescent="0.25">
      <c r="A5165" t="s">
        <v>4135</v>
      </c>
      <c r="B5165">
        <v>3</v>
      </c>
      <c r="C5165" s="54">
        <v>43221</v>
      </c>
      <c r="D5165" s="3" t="str">
        <f>YEAR(Datos_Consumo[[#This Row],[FECHA]])&amp;"-"&amp;MONTH(Datos_Consumo[[#This Row],[FECHA]])</f>
        <v>2018-5</v>
      </c>
    </row>
    <row r="5166" spans="1:4" x14ac:dyDescent="0.25">
      <c r="A5166" t="s">
        <v>3242</v>
      </c>
      <c r="B5166">
        <v>12</v>
      </c>
      <c r="C5166" s="54">
        <v>43070</v>
      </c>
      <c r="D5166" s="3" t="str">
        <f>YEAR(Datos_Consumo[[#This Row],[FECHA]])&amp;"-"&amp;MONTH(Datos_Consumo[[#This Row],[FECHA]])</f>
        <v>2017-12</v>
      </c>
    </row>
    <row r="5167" spans="1:4" x14ac:dyDescent="0.25">
      <c r="A5167" t="s">
        <v>3242</v>
      </c>
      <c r="B5167">
        <v>2</v>
      </c>
      <c r="C5167" s="54">
        <v>43160</v>
      </c>
      <c r="D5167" s="3" t="str">
        <f>YEAR(Datos_Consumo[[#This Row],[FECHA]])&amp;"-"&amp;MONTH(Datos_Consumo[[#This Row],[FECHA]])</f>
        <v>2018-3</v>
      </c>
    </row>
    <row r="5168" spans="1:4" x14ac:dyDescent="0.25">
      <c r="A5168" t="s">
        <v>3243</v>
      </c>
      <c r="B5168">
        <v>11</v>
      </c>
      <c r="C5168" s="54">
        <v>43101</v>
      </c>
      <c r="D5168" s="3" t="str">
        <f>YEAR(Datos_Consumo[[#This Row],[FECHA]])&amp;"-"&amp;MONTH(Datos_Consumo[[#This Row],[FECHA]])</f>
        <v>2018-1</v>
      </c>
    </row>
    <row r="5169" spans="1:4" x14ac:dyDescent="0.25">
      <c r="A5169" t="s">
        <v>3243</v>
      </c>
      <c r="B5169">
        <v>3</v>
      </c>
      <c r="C5169" s="54">
        <v>43132</v>
      </c>
      <c r="D5169" s="3" t="str">
        <f>YEAR(Datos_Consumo[[#This Row],[FECHA]])&amp;"-"&amp;MONTH(Datos_Consumo[[#This Row],[FECHA]])</f>
        <v>2018-2</v>
      </c>
    </row>
    <row r="5170" spans="1:4" x14ac:dyDescent="0.25">
      <c r="A5170" t="s">
        <v>3243</v>
      </c>
      <c r="B5170">
        <v>5</v>
      </c>
      <c r="C5170" s="54">
        <v>43160</v>
      </c>
      <c r="D5170" s="3" t="str">
        <f>YEAR(Datos_Consumo[[#This Row],[FECHA]])&amp;"-"&amp;MONTH(Datos_Consumo[[#This Row],[FECHA]])</f>
        <v>2018-3</v>
      </c>
    </row>
    <row r="5171" spans="1:4" x14ac:dyDescent="0.25">
      <c r="A5171" t="s">
        <v>3243</v>
      </c>
      <c r="B5171">
        <v>30</v>
      </c>
      <c r="C5171" s="54">
        <v>43191</v>
      </c>
      <c r="D5171" s="3" t="str">
        <f>YEAR(Datos_Consumo[[#This Row],[FECHA]])&amp;"-"&amp;MONTH(Datos_Consumo[[#This Row],[FECHA]])</f>
        <v>2018-4</v>
      </c>
    </row>
    <row r="5172" spans="1:4" x14ac:dyDescent="0.25">
      <c r="A5172" t="s">
        <v>3243</v>
      </c>
      <c r="B5172">
        <v>1</v>
      </c>
      <c r="C5172" s="54">
        <v>43221</v>
      </c>
      <c r="D5172" s="3" t="str">
        <f>YEAR(Datos_Consumo[[#This Row],[FECHA]])&amp;"-"&amp;MONTH(Datos_Consumo[[#This Row],[FECHA]])</f>
        <v>2018-5</v>
      </c>
    </row>
    <row r="5173" spans="1:4" x14ac:dyDescent="0.25">
      <c r="A5173" t="s">
        <v>3244</v>
      </c>
      <c r="B5173">
        <v>2</v>
      </c>
      <c r="C5173" s="54">
        <v>43160</v>
      </c>
      <c r="D5173" s="3" t="str">
        <f>YEAR(Datos_Consumo[[#This Row],[FECHA]])&amp;"-"&amp;MONTH(Datos_Consumo[[#This Row],[FECHA]])</f>
        <v>2018-3</v>
      </c>
    </row>
    <row r="5174" spans="1:4" x14ac:dyDescent="0.25">
      <c r="A5174" t="s">
        <v>3245</v>
      </c>
      <c r="B5174">
        <v>14</v>
      </c>
      <c r="C5174" s="54">
        <v>43101</v>
      </c>
      <c r="D5174" s="3" t="str">
        <f>YEAR(Datos_Consumo[[#This Row],[FECHA]])&amp;"-"&amp;MONTH(Datos_Consumo[[#This Row],[FECHA]])</f>
        <v>2018-1</v>
      </c>
    </row>
    <row r="5175" spans="1:4" x14ac:dyDescent="0.25">
      <c r="A5175" t="s">
        <v>3246</v>
      </c>
      <c r="B5175">
        <v>5</v>
      </c>
      <c r="C5175" s="54">
        <v>43070</v>
      </c>
      <c r="D5175" s="3" t="str">
        <f>YEAR(Datos_Consumo[[#This Row],[FECHA]])&amp;"-"&amp;MONTH(Datos_Consumo[[#This Row],[FECHA]])</f>
        <v>2017-12</v>
      </c>
    </row>
    <row r="5176" spans="1:4" x14ac:dyDescent="0.25">
      <c r="A5176" t="s">
        <v>3246</v>
      </c>
      <c r="B5176">
        <v>16</v>
      </c>
      <c r="C5176" s="54">
        <v>43101</v>
      </c>
      <c r="D5176" s="3" t="str">
        <f>YEAR(Datos_Consumo[[#This Row],[FECHA]])&amp;"-"&amp;MONTH(Datos_Consumo[[#This Row],[FECHA]])</f>
        <v>2018-1</v>
      </c>
    </row>
    <row r="5177" spans="1:4" x14ac:dyDescent="0.25">
      <c r="A5177" t="s">
        <v>3246</v>
      </c>
      <c r="B5177">
        <v>24</v>
      </c>
      <c r="C5177" s="54">
        <v>43132</v>
      </c>
      <c r="D5177" s="3" t="str">
        <f>YEAR(Datos_Consumo[[#This Row],[FECHA]])&amp;"-"&amp;MONTH(Datos_Consumo[[#This Row],[FECHA]])</f>
        <v>2018-2</v>
      </c>
    </row>
    <row r="5178" spans="1:4" x14ac:dyDescent="0.25">
      <c r="A5178" t="s">
        <v>3246</v>
      </c>
      <c r="B5178">
        <v>31</v>
      </c>
      <c r="C5178" s="54">
        <v>43160</v>
      </c>
      <c r="D5178" s="3" t="str">
        <f>YEAR(Datos_Consumo[[#This Row],[FECHA]])&amp;"-"&amp;MONTH(Datos_Consumo[[#This Row],[FECHA]])</f>
        <v>2018-3</v>
      </c>
    </row>
    <row r="5179" spans="1:4" x14ac:dyDescent="0.25">
      <c r="A5179" t="s">
        <v>3246</v>
      </c>
      <c r="B5179">
        <v>10</v>
      </c>
      <c r="C5179" s="54">
        <v>43191</v>
      </c>
      <c r="D5179" s="3" t="str">
        <f>YEAR(Datos_Consumo[[#This Row],[FECHA]])&amp;"-"&amp;MONTH(Datos_Consumo[[#This Row],[FECHA]])</f>
        <v>2018-4</v>
      </c>
    </row>
    <row r="5180" spans="1:4" x14ac:dyDescent="0.25">
      <c r="A5180" t="s">
        <v>3246</v>
      </c>
      <c r="B5180">
        <v>4</v>
      </c>
      <c r="C5180" s="54">
        <v>43221</v>
      </c>
      <c r="D5180" s="3" t="str">
        <f>YEAR(Datos_Consumo[[#This Row],[FECHA]])&amp;"-"&amp;MONTH(Datos_Consumo[[#This Row],[FECHA]])</f>
        <v>2018-5</v>
      </c>
    </row>
    <row r="5181" spans="1:4" x14ac:dyDescent="0.25">
      <c r="A5181" t="s">
        <v>3247</v>
      </c>
      <c r="B5181">
        <v>23</v>
      </c>
      <c r="C5181" s="54">
        <v>43070</v>
      </c>
      <c r="D5181" s="3" t="str">
        <f>YEAR(Datos_Consumo[[#This Row],[FECHA]])&amp;"-"&amp;MONTH(Datos_Consumo[[#This Row],[FECHA]])</f>
        <v>2017-12</v>
      </c>
    </row>
    <row r="5182" spans="1:4" x14ac:dyDescent="0.25">
      <c r="A5182" t="s">
        <v>3248</v>
      </c>
      <c r="B5182">
        <v>4</v>
      </c>
      <c r="C5182" s="54">
        <v>43101</v>
      </c>
      <c r="D5182" s="3" t="str">
        <f>YEAR(Datos_Consumo[[#This Row],[FECHA]])&amp;"-"&amp;MONTH(Datos_Consumo[[#This Row],[FECHA]])</f>
        <v>2018-1</v>
      </c>
    </row>
    <row r="5183" spans="1:4" x14ac:dyDescent="0.25">
      <c r="A5183" t="s">
        <v>3249</v>
      </c>
      <c r="B5183">
        <v>1</v>
      </c>
      <c r="C5183" s="54">
        <v>43070</v>
      </c>
      <c r="D5183" s="3" t="str">
        <f>YEAR(Datos_Consumo[[#This Row],[FECHA]])&amp;"-"&amp;MONTH(Datos_Consumo[[#This Row],[FECHA]])</f>
        <v>2017-12</v>
      </c>
    </row>
    <row r="5184" spans="1:4" x14ac:dyDescent="0.25">
      <c r="A5184" t="s">
        <v>3249</v>
      </c>
      <c r="B5184">
        <v>1</v>
      </c>
      <c r="C5184" s="54">
        <v>43101</v>
      </c>
      <c r="D5184" s="3" t="str">
        <f>YEAR(Datos_Consumo[[#This Row],[FECHA]])&amp;"-"&amp;MONTH(Datos_Consumo[[#This Row],[FECHA]])</f>
        <v>2018-1</v>
      </c>
    </row>
    <row r="5185" spans="1:4" x14ac:dyDescent="0.25">
      <c r="A5185" t="s">
        <v>3249</v>
      </c>
      <c r="B5185">
        <v>1</v>
      </c>
      <c r="C5185" s="54">
        <v>43132</v>
      </c>
      <c r="D5185" s="3" t="str">
        <f>YEAR(Datos_Consumo[[#This Row],[FECHA]])&amp;"-"&amp;MONTH(Datos_Consumo[[#This Row],[FECHA]])</f>
        <v>2018-2</v>
      </c>
    </row>
    <row r="5186" spans="1:4" x14ac:dyDescent="0.25">
      <c r="A5186" t="s">
        <v>3249</v>
      </c>
      <c r="B5186">
        <v>2</v>
      </c>
      <c r="C5186" s="54">
        <v>43160</v>
      </c>
      <c r="D5186" s="3" t="str">
        <f>YEAR(Datos_Consumo[[#This Row],[FECHA]])&amp;"-"&amp;MONTH(Datos_Consumo[[#This Row],[FECHA]])</f>
        <v>2018-3</v>
      </c>
    </row>
    <row r="5187" spans="1:4" x14ac:dyDescent="0.25">
      <c r="A5187" t="s">
        <v>3249</v>
      </c>
      <c r="B5187">
        <v>1</v>
      </c>
      <c r="C5187" s="54">
        <v>43191</v>
      </c>
      <c r="D5187" s="3" t="str">
        <f>YEAR(Datos_Consumo[[#This Row],[FECHA]])&amp;"-"&amp;MONTH(Datos_Consumo[[#This Row],[FECHA]])</f>
        <v>2018-4</v>
      </c>
    </row>
    <row r="5188" spans="1:4" x14ac:dyDescent="0.25">
      <c r="A5188" t="s">
        <v>3250</v>
      </c>
      <c r="B5188">
        <v>1</v>
      </c>
      <c r="C5188" s="54">
        <v>43070</v>
      </c>
      <c r="D5188" s="3" t="str">
        <f>YEAR(Datos_Consumo[[#This Row],[FECHA]])&amp;"-"&amp;MONTH(Datos_Consumo[[#This Row],[FECHA]])</f>
        <v>2017-12</v>
      </c>
    </row>
    <row r="5189" spans="1:4" x14ac:dyDescent="0.25">
      <c r="A5189" t="s">
        <v>3250</v>
      </c>
      <c r="B5189">
        <v>1</v>
      </c>
      <c r="C5189" s="54">
        <v>43101</v>
      </c>
      <c r="D5189" s="3" t="str">
        <f>YEAR(Datos_Consumo[[#This Row],[FECHA]])&amp;"-"&amp;MONTH(Datos_Consumo[[#This Row],[FECHA]])</f>
        <v>2018-1</v>
      </c>
    </row>
    <row r="5190" spans="1:4" x14ac:dyDescent="0.25">
      <c r="A5190" t="s">
        <v>3251</v>
      </c>
      <c r="B5190">
        <v>1</v>
      </c>
      <c r="C5190" s="54">
        <v>43070</v>
      </c>
      <c r="D5190" s="3" t="str">
        <f>YEAR(Datos_Consumo[[#This Row],[FECHA]])&amp;"-"&amp;MONTH(Datos_Consumo[[#This Row],[FECHA]])</f>
        <v>2017-12</v>
      </c>
    </row>
    <row r="5191" spans="1:4" x14ac:dyDescent="0.25">
      <c r="A5191" t="s">
        <v>3251</v>
      </c>
      <c r="B5191">
        <v>3</v>
      </c>
      <c r="C5191" s="54">
        <v>43101</v>
      </c>
      <c r="D5191" s="3" t="str">
        <f>YEAR(Datos_Consumo[[#This Row],[FECHA]])&amp;"-"&amp;MONTH(Datos_Consumo[[#This Row],[FECHA]])</f>
        <v>2018-1</v>
      </c>
    </row>
    <row r="5192" spans="1:4" x14ac:dyDescent="0.25">
      <c r="A5192" t="s">
        <v>3251</v>
      </c>
      <c r="B5192">
        <v>4</v>
      </c>
      <c r="C5192" s="54">
        <v>43132</v>
      </c>
      <c r="D5192" s="3" t="str">
        <f>YEAR(Datos_Consumo[[#This Row],[FECHA]])&amp;"-"&amp;MONTH(Datos_Consumo[[#This Row],[FECHA]])</f>
        <v>2018-2</v>
      </c>
    </row>
    <row r="5193" spans="1:4" x14ac:dyDescent="0.25">
      <c r="A5193" t="s">
        <v>3251</v>
      </c>
      <c r="B5193">
        <v>3</v>
      </c>
      <c r="C5193" s="54">
        <v>43160</v>
      </c>
      <c r="D5193" s="3" t="str">
        <f>YEAR(Datos_Consumo[[#This Row],[FECHA]])&amp;"-"&amp;MONTH(Datos_Consumo[[#This Row],[FECHA]])</f>
        <v>2018-3</v>
      </c>
    </row>
    <row r="5194" spans="1:4" x14ac:dyDescent="0.25">
      <c r="A5194" t="s">
        <v>3252</v>
      </c>
      <c r="B5194">
        <v>4</v>
      </c>
      <c r="C5194" s="54">
        <v>43070</v>
      </c>
      <c r="D5194" s="3" t="str">
        <f>YEAR(Datos_Consumo[[#This Row],[FECHA]])&amp;"-"&amp;MONTH(Datos_Consumo[[#This Row],[FECHA]])</f>
        <v>2017-12</v>
      </c>
    </row>
    <row r="5195" spans="1:4" x14ac:dyDescent="0.25">
      <c r="A5195" t="s">
        <v>3252</v>
      </c>
      <c r="B5195">
        <v>39</v>
      </c>
      <c r="C5195" s="54">
        <v>43101</v>
      </c>
      <c r="D5195" s="3" t="str">
        <f>YEAR(Datos_Consumo[[#This Row],[FECHA]])&amp;"-"&amp;MONTH(Datos_Consumo[[#This Row],[FECHA]])</f>
        <v>2018-1</v>
      </c>
    </row>
    <row r="5196" spans="1:4" x14ac:dyDescent="0.25">
      <c r="A5196" t="s">
        <v>3252</v>
      </c>
      <c r="B5196">
        <v>2</v>
      </c>
      <c r="C5196" s="54">
        <v>43132</v>
      </c>
      <c r="D5196" s="3" t="str">
        <f>YEAR(Datos_Consumo[[#This Row],[FECHA]])&amp;"-"&amp;MONTH(Datos_Consumo[[#This Row],[FECHA]])</f>
        <v>2018-2</v>
      </c>
    </row>
    <row r="5197" spans="1:4" x14ac:dyDescent="0.25">
      <c r="A5197" t="s">
        <v>3252</v>
      </c>
      <c r="B5197">
        <v>5</v>
      </c>
      <c r="C5197" s="54">
        <v>43160</v>
      </c>
      <c r="D5197" s="3" t="str">
        <f>YEAR(Datos_Consumo[[#This Row],[FECHA]])&amp;"-"&amp;MONTH(Datos_Consumo[[#This Row],[FECHA]])</f>
        <v>2018-3</v>
      </c>
    </row>
    <row r="5198" spans="1:4" x14ac:dyDescent="0.25">
      <c r="A5198" t="s">
        <v>3252</v>
      </c>
      <c r="B5198">
        <v>3</v>
      </c>
      <c r="C5198" s="54">
        <v>43191</v>
      </c>
      <c r="D5198" s="3" t="str">
        <f>YEAR(Datos_Consumo[[#This Row],[FECHA]])&amp;"-"&amp;MONTH(Datos_Consumo[[#This Row],[FECHA]])</f>
        <v>2018-4</v>
      </c>
    </row>
    <row r="5199" spans="1:4" x14ac:dyDescent="0.25">
      <c r="A5199" t="s">
        <v>3253</v>
      </c>
      <c r="B5199">
        <v>42</v>
      </c>
      <c r="C5199" s="54">
        <v>43070</v>
      </c>
      <c r="D5199" s="3" t="str">
        <f>YEAR(Datos_Consumo[[#This Row],[FECHA]])&amp;"-"&amp;MONTH(Datos_Consumo[[#This Row],[FECHA]])</f>
        <v>2017-12</v>
      </c>
    </row>
    <row r="5200" spans="1:4" x14ac:dyDescent="0.25">
      <c r="A5200" t="s">
        <v>3253</v>
      </c>
      <c r="B5200">
        <v>157</v>
      </c>
      <c r="C5200" s="54">
        <v>43101</v>
      </c>
      <c r="D5200" s="3" t="str">
        <f>YEAR(Datos_Consumo[[#This Row],[FECHA]])&amp;"-"&amp;MONTH(Datos_Consumo[[#This Row],[FECHA]])</f>
        <v>2018-1</v>
      </c>
    </row>
    <row r="5201" spans="1:4" x14ac:dyDescent="0.25">
      <c r="A5201" t="s">
        <v>3253</v>
      </c>
      <c r="B5201">
        <v>61</v>
      </c>
      <c r="C5201" s="54">
        <v>43132</v>
      </c>
      <c r="D5201" s="3" t="str">
        <f>YEAR(Datos_Consumo[[#This Row],[FECHA]])&amp;"-"&amp;MONTH(Datos_Consumo[[#This Row],[FECHA]])</f>
        <v>2018-2</v>
      </c>
    </row>
    <row r="5202" spans="1:4" x14ac:dyDescent="0.25">
      <c r="A5202" t="s">
        <v>3253</v>
      </c>
      <c r="B5202">
        <v>36</v>
      </c>
      <c r="C5202" s="54">
        <v>43160</v>
      </c>
      <c r="D5202" s="3" t="str">
        <f>YEAR(Datos_Consumo[[#This Row],[FECHA]])&amp;"-"&amp;MONTH(Datos_Consumo[[#This Row],[FECHA]])</f>
        <v>2018-3</v>
      </c>
    </row>
    <row r="5203" spans="1:4" x14ac:dyDescent="0.25">
      <c r="A5203" t="s">
        <v>3253</v>
      </c>
      <c r="B5203">
        <v>13</v>
      </c>
      <c r="C5203" s="54">
        <v>43191</v>
      </c>
      <c r="D5203" s="3" t="str">
        <f>YEAR(Datos_Consumo[[#This Row],[FECHA]])&amp;"-"&amp;MONTH(Datos_Consumo[[#This Row],[FECHA]])</f>
        <v>2018-4</v>
      </c>
    </row>
    <row r="5204" spans="1:4" x14ac:dyDescent="0.25">
      <c r="A5204" t="s">
        <v>3253</v>
      </c>
      <c r="B5204">
        <v>3</v>
      </c>
      <c r="C5204" s="54">
        <v>43221</v>
      </c>
      <c r="D5204" s="3" t="str">
        <f>YEAR(Datos_Consumo[[#This Row],[FECHA]])&amp;"-"&amp;MONTH(Datos_Consumo[[#This Row],[FECHA]])</f>
        <v>2018-5</v>
      </c>
    </row>
    <row r="5205" spans="1:4" x14ac:dyDescent="0.25">
      <c r="A5205" t="s">
        <v>3254</v>
      </c>
      <c r="B5205">
        <v>2</v>
      </c>
      <c r="C5205" s="54">
        <v>43070</v>
      </c>
      <c r="D5205" s="3" t="str">
        <f>YEAR(Datos_Consumo[[#This Row],[FECHA]])&amp;"-"&amp;MONTH(Datos_Consumo[[#This Row],[FECHA]])</f>
        <v>2017-12</v>
      </c>
    </row>
    <row r="5206" spans="1:4" x14ac:dyDescent="0.25">
      <c r="A5206" t="s">
        <v>3254</v>
      </c>
      <c r="B5206">
        <v>3</v>
      </c>
      <c r="C5206" s="54">
        <v>43101</v>
      </c>
      <c r="D5206" s="3" t="str">
        <f>YEAR(Datos_Consumo[[#This Row],[FECHA]])&amp;"-"&amp;MONTH(Datos_Consumo[[#This Row],[FECHA]])</f>
        <v>2018-1</v>
      </c>
    </row>
    <row r="5207" spans="1:4" x14ac:dyDescent="0.25">
      <c r="A5207" t="s">
        <v>3254</v>
      </c>
      <c r="B5207">
        <v>1</v>
      </c>
      <c r="C5207" s="54">
        <v>43191</v>
      </c>
      <c r="D5207" s="3" t="str">
        <f>YEAR(Datos_Consumo[[#This Row],[FECHA]])&amp;"-"&amp;MONTH(Datos_Consumo[[#This Row],[FECHA]])</f>
        <v>2018-4</v>
      </c>
    </row>
    <row r="5208" spans="1:4" x14ac:dyDescent="0.25">
      <c r="A5208" t="s">
        <v>3254</v>
      </c>
      <c r="B5208">
        <v>3</v>
      </c>
      <c r="C5208" s="54">
        <v>43221</v>
      </c>
      <c r="D5208" s="3" t="str">
        <f>YEAR(Datos_Consumo[[#This Row],[FECHA]])&amp;"-"&amp;MONTH(Datos_Consumo[[#This Row],[FECHA]])</f>
        <v>2018-5</v>
      </c>
    </row>
    <row r="5209" spans="1:4" x14ac:dyDescent="0.25">
      <c r="A5209" t="s">
        <v>1440</v>
      </c>
      <c r="B5209">
        <v>40</v>
      </c>
      <c r="C5209" s="54">
        <v>43101</v>
      </c>
      <c r="D5209" s="3" t="str">
        <f>YEAR(Datos_Consumo[[#This Row],[FECHA]])&amp;"-"&amp;MONTH(Datos_Consumo[[#This Row],[FECHA]])</f>
        <v>2018-1</v>
      </c>
    </row>
    <row r="5210" spans="1:4" x14ac:dyDescent="0.25">
      <c r="A5210" t="s">
        <v>1440</v>
      </c>
      <c r="B5210">
        <v>5</v>
      </c>
      <c r="C5210" s="54">
        <v>43132</v>
      </c>
      <c r="D5210" s="3" t="str">
        <f>YEAR(Datos_Consumo[[#This Row],[FECHA]])&amp;"-"&amp;MONTH(Datos_Consumo[[#This Row],[FECHA]])</f>
        <v>2018-2</v>
      </c>
    </row>
    <row r="5211" spans="1:4" x14ac:dyDescent="0.25">
      <c r="A5211" t="s">
        <v>1440</v>
      </c>
      <c r="B5211">
        <v>100</v>
      </c>
      <c r="C5211" s="54">
        <v>43160</v>
      </c>
      <c r="D5211" s="3" t="str">
        <f>YEAR(Datos_Consumo[[#This Row],[FECHA]])&amp;"-"&amp;MONTH(Datos_Consumo[[#This Row],[FECHA]])</f>
        <v>2018-3</v>
      </c>
    </row>
    <row r="5212" spans="1:4" x14ac:dyDescent="0.25">
      <c r="A5212" t="s">
        <v>1440</v>
      </c>
      <c r="B5212">
        <v>50</v>
      </c>
      <c r="C5212" s="54">
        <v>43221</v>
      </c>
      <c r="D5212" s="3" t="str">
        <f>YEAR(Datos_Consumo[[#This Row],[FECHA]])&amp;"-"&amp;MONTH(Datos_Consumo[[#This Row],[FECHA]])</f>
        <v>2018-5</v>
      </c>
    </row>
    <row r="5213" spans="1:4" x14ac:dyDescent="0.25">
      <c r="A5213" t="s">
        <v>1441</v>
      </c>
      <c r="B5213">
        <v>20</v>
      </c>
      <c r="C5213" s="54">
        <v>43132</v>
      </c>
      <c r="D5213" s="3" t="str">
        <f>YEAR(Datos_Consumo[[#This Row],[FECHA]])&amp;"-"&amp;MONTH(Datos_Consumo[[#This Row],[FECHA]])</f>
        <v>2018-2</v>
      </c>
    </row>
    <row r="5214" spans="1:4" x14ac:dyDescent="0.25">
      <c r="A5214" t="s">
        <v>3255</v>
      </c>
      <c r="B5214">
        <v>1</v>
      </c>
      <c r="C5214" s="54">
        <v>43070</v>
      </c>
      <c r="D5214" s="3" t="str">
        <f>YEAR(Datos_Consumo[[#This Row],[FECHA]])&amp;"-"&amp;MONTH(Datos_Consumo[[#This Row],[FECHA]])</f>
        <v>2017-12</v>
      </c>
    </row>
    <row r="5215" spans="1:4" x14ac:dyDescent="0.25">
      <c r="A5215" t="s">
        <v>3255</v>
      </c>
      <c r="B5215">
        <v>1</v>
      </c>
      <c r="C5215" s="54">
        <v>43101</v>
      </c>
      <c r="D5215" s="3" t="str">
        <f>YEAR(Datos_Consumo[[#This Row],[FECHA]])&amp;"-"&amp;MONTH(Datos_Consumo[[#This Row],[FECHA]])</f>
        <v>2018-1</v>
      </c>
    </row>
    <row r="5216" spans="1:4" x14ac:dyDescent="0.25">
      <c r="A5216" t="s">
        <v>3255</v>
      </c>
      <c r="B5216">
        <v>2</v>
      </c>
      <c r="C5216" s="54">
        <v>43191</v>
      </c>
      <c r="D5216" s="3" t="str">
        <f>YEAR(Datos_Consumo[[#This Row],[FECHA]])&amp;"-"&amp;MONTH(Datos_Consumo[[#This Row],[FECHA]])</f>
        <v>2018-4</v>
      </c>
    </row>
    <row r="5217" spans="1:4" x14ac:dyDescent="0.25">
      <c r="A5217" t="s">
        <v>3256</v>
      </c>
      <c r="B5217">
        <v>26</v>
      </c>
      <c r="C5217" s="54">
        <v>43070</v>
      </c>
      <c r="D5217" s="3" t="str">
        <f>YEAR(Datos_Consumo[[#This Row],[FECHA]])&amp;"-"&amp;MONTH(Datos_Consumo[[#This Row],[FECHA]])</f>
        <v>2017-12</v>
      </c>
    </row>
    <row r="5218" spans="1:4" x14ac:dyDescent="0.25">
      <c r="A5218" t="s">
        <v>3256</v>
      </c>
      <c r="B5218">
        <v>6</v>
      </c>
      <c r="C5218" s="54">
        <v>43101</v>
      </c>
      <c r="D5218" s="3" t="str">
        <f>YEAR(Datos_Consumo[[#This Row],[FECHA]])&amp;"-"&amp;MONTH(Datos_Consumo[[#This Row],[FECHA]])</f>
        <v>2018-1</v>
      </c>
    </row>
    <row r="5219" spans="1:4" x14ac:dyDescent="0.25">
      <c r="A5219" t="s">
        <v>3256</v>
      </c>
      <c r="B5219">
        <v>4</v>
      </c>
      <c r="C5219" s="54">
        <v>43132</v>
      </c>
      <c r="D5219" s="3" t="str">
        <f>YEAR(Datos_Consumo[[#This Row],[FECHA]])&amp;"-"&amp;MONTH(Datos_Consumo[[#This Row],[FECHA]])</f>
        <v>2018-2</v>
      </c>
    </row>
    <row r="5220" spans="1:4" x14ac:dyDescent="0.25">
      <c r="A5220" t="s">
        <v>3256</v>
      </c>
      <c r="B5220">
        <v>8</v>
      </c>
      <c r="C5220" s="54">
        <v>43160</v>
      </c>
      <c r="D5220" s="3" t="str">
        <f>YEAR(Datos_Consumo[[#This Row],[FECHA]])&amp;"-"&amp;MONTH(Datos_Consumo[[#This Row],[FECHA]])</f>
        <v>2018-3</v>
      </c>
    </row>
    <row r="5221" spans="1:4" x14ac:dyDescent="0.25">
      <c r="A5221" t="s">
        <v>3256</v>
      </c>
      <c r="B5221">
        <v>7</v>
      </c>
      <c r="C5221" s="54">
        <v>43191</v>
      </c>
      <c r="D5221" s="3" t="str">
        <f>YEAR(Datos_Consumo[[#This Row],[FECHA]])&amp;"-"&amp;MONTH(Datos_Consumo[[#This Row],[FECHA]])</f>
        <v>2018-4</v>
      </c>
    </row>
    <row r="5222" spans="1:4" x14ac:dyDescent="0.25">
      <c r="A5222" t="s">
        <v>3256</v>
      </c>
      <c r="B5222">
        <v>14</v>
      </c>
      <c r="C5222" s="54">
        <v>43221</v>
      </c>
      <c r="D5222" s="3" t="str">
        <f>YEAR(Datos_Consumo[[#This Row],[FECHA]])&amp;"-"&amp;MONTH(Datos_Consumo[[#This Row],[FECHA]])</f>
        <v>2018-5</v>
      </c>
    </row>
    <row r="5223" spans="1:4" x14ac:dyDescent="0.25">
      <c r="A5223" t="s">
        <v>3257</v>
      </c>
      <c r="B5223">
        <v>21</v>
      </c>
      <c r="C5223" s="54">
        <v>43070</v>
      </c>
      <c r="D5223" s="3" t="str">
        <f>YEAR(Datos_Consumo[[#This Row],[FECHA]])&amp;"-"&amp;MONTH(Datos_Consumo[[#This Row],[FECHA]])</f>
        <v>2017-12</v>
      </c>
    </row>
    <row r="5224" spans="1:4" x14ac:dyDescent="0.25">
      <c r="A5224" t="s">
        <v>3258</v>
      </c>
      <c r="B5224">
        <v>20</v>
      </c>
      <c r="C5224" s="54">
        <v>43132</v>
      </c>
      <c r="D5224" s="3" t="str">
        <f>YEAR(Datos_Consumo[[#This Row],[FECHA]])&amp;"-"&amp;MONTH(Datos_Consumo[[#This Row],[FECHA]])</f>
        <v>2018-2</v>
      </c>
    </row>
    <row r="5225" spans="1:4" x14ac:dyDescent="0.25">
      <c r="A5225" t="s">
        <v>3258</v>
      </c>
      <c r="B5225">
        <v>46</v>
      </c>
      <c r="C5225" s="54">
        <v>43160</v>
      </c>
      <c r="D5225" s="3" t="str">
        <f>YEAR(Datos_Consumo[[#This Row],[FECHA]])&amp;"-"&amp;MONTH(Datos_Consumo[[#This Row],[FECHA]])</f>
        <v>2018-3</v>
      </c>
    </row>
    <row r="5226" spans="1:4" x14ac:dyDescent="0.25">
      <c r="A5226" t="s">
        <v>3258</v>
      </c>
      <c r="B5226">
        <v>12</v>
      </c>
      <c r="C5226" s="54">
        <v>43191</v>
      </c>
      <c r="D5226" s="3" t="str">
        <f>YEAR(Datos_Consumo[[#This Row],[FECHA]])&amp;"-"&amp;MONTH(Datos_Consumo[[#This Row],[FECHA]])</f>
        <v>2018-4</v>
      </c>
    </row>
    <row r="5227" spans="1:4" x14ac:dyDescent="0.25">
      <c r="A5227" t="s">
        <v>3258</v>
      </c>
      <c r="B5227">
        <v>47</v>
      </c>
      <c r="C5227" s="54">
        <v>43221</v>
      </c>
      <c r="D5227" s="3" t="str">
        <f>YEAR(Datos_Consumo[[#This Row],[FECHA]])&amp;"-"&amp;MONTH(Datos_Consumo[[#This Row],[FECHA]])</f>
        <v>2018-5</v>
      </c>
    </row>
    <row r="5228" spans="1:4" x14ac:dyDescent="0.25">
      <c r="A5228" t="s">
        <v>3259</v>
      </c>
      <c r="B5228">
        <v>31</v>
      </c>
      <c r="C5228" s="54">
        <v>43132</v>
      </c>
      <c r="D5228" s="3" t="str">
        <f>YEAR(Datos_Consumo[[#This Row],[FECHA]])&amp;"-"&amp;MONTH(Datos_Consumo[[#This Row],[FECHA]])</f>
        <v>2018-2</v>
      </c>
    </row>
    <row r="5229" spans="1:4" x14ac:dyDescent="0.25">
      <c r="A5229" t="s">
        <v>3259</v>
      </c>
      <c r="B5229">
        <v>67</v>
      </c>
      <c r="C5229" s="54">
        <v>43160</v>
      </c>
      <c r="D5229" s="3" t="str">
        <f>YEAR(Datos_Consumo[[#This Row],[FECHA]])&amp;"-"&amp;MONTH(Datos_Consumo[[#This Row],[FECHA]])</f>
        <v>2018-3</v>
      </c>
    </row>
    <row r="5230" spans="1:4" x14ac:dyDescent="0.25">
      <c r="A5230" t="s">
        <v>3259</v>
      </c>
      <c r="B5230">
        <v>14</v>
      </c>
      <c r="C5230" s="54">
        <v>43191</v>
      </c>
      <c r="D5230" s="3" t="str">
        <f>YEAR(Datos_Consumo[[#This Row],[FECHA]])&amp;"-"&amp;MONTH(Datos_Consumo[[#This Row],[FECHA]])</f>
        <v>2018-4</v>
      </c>
    </row>
    <row r="5231" spans="1:4" x14ac:dyDescent="0.25">
      <c r="A5231" t="s">
        <v>3259</v>
      </c>
      <c r="B5231">
        <v>1</v>
      </c>
      <c r="C5231" s="54">
        <v>43221</v>
      </c>
      <c r="D5231" s="3" t="str">
        <f>YEAR(Datos_Consumo[[#This Row],[FECHA]])&amp;"-"&amp;MONTH(Datos_Consumo[[#This Row],[FECHA]])</f>
        <v>2018-5</v>
      </c>
    </row>
    <row r="5232" spans="1:4" x14ac:dyDescent="0.25">
      <c r="A5232" t="s">
        <v>3260</v>
      </c>
      <c r="B5232">
        <v>46</v>
      </c>
      <c r="C5232" s="54">
        <v>43132</v>
      </c>
      <c r="D5232" s="3" t="str">
        <f>YEAR(Datos_Consumo[[#This Row],[FECHA]])&amp;"-"&amp;MONTH(Datos_Consumo[[#This Row],[FECHA]])</f>
        <v>2018-2</v>
      </c>
    </row>
    <row r="5233" spans="1:4" x14ac:dyDescent="0.25">
      <c r="A5233" t="s">
        <v>3260</v>
      </c>
      <c r="B5233">
        <v>61</v>
      </c>
      <c r="C5233" s="54">
        <v>43160</v>
      </c>
      <c r="D5233" s="3" t="str">
        <f>YEAR(Datos_Consumo[[#This Row],[FECHA]])&amp;"-"&amp;MONTH(Datos_Consumo[[#This Row],[FECHA]])</f>
        <v>2018-3</v>
      </c>
    </row>
    <row r="5234" spans="1:4" x14ac:dyDescent="0.25">
      <c r="A5234" t="s">
        <v>3260</v>
      </c>
      <c r="B5234">
        <v>8</v>
      </c>
      <c r="C5234" s="54">
        <v>43191</v>
      </c>
      <c r="D5234" s="3" t="str">
        <f>YEAR(Datos_Consumo[[#This Row],[FECHA]])&amp;"-"&amp;MONTH(Datos_Consumo[[#This Row],[FECHA]])</f>
        <v>2018-4</v>
      </c>
    </row>
    <row r="5235" spans="1:4" x14ac:dyDescent="0.25">
      <c r="A5235" t="s">
        <v>3260</v>
      </c>
      <c r="B5235">
        <v>23</v>
      </c>
      <c r="C5235" s="54">
        <v>43221</v>
      </c>
      <c r="D5235" s="3" t="str">
        <f>YEAR(Datos_Consumo[[#This Row],[FECHA]])&amp;"-"&amp;MONTH(Datos_Consumo[[#This Row],[FECHA]])</f>
        <v>2018-5</v>
      </c>
    </row>
    <row r="5236" spans="1:4" x14ac:dyDescent="0.25">
      <c r="A5236" t="s">
        <v>4136</v>
      </c>
      <c r="B5236">
        <v>2</v>
      </c>
      <c r="C5236" s="54">
        <v>43221</v>
      </c>
      <c r="D5236" s="3" t="str">
        <f>YEAR(Datos_Consumo[[#This Row],[FECHA]])&amp;"-"&amp;MONTH(Datos_Consumo[[#This Row],[FECHA]])</f>
        <v>2018-5</v>
      </c>
    </row>
    <row r="5237" spans="1:4" x14ac:dyDescent="0.25">
      <c r="A5237" t="s">
        <v>3261</v>
      </c>
      <c r="B5237">
        <v>8</v>
      </c>
      <c r="C5237" s="54">
        <v>43070</v>
      </c>
      <c r="D5237" s="3" t="str">
        <f>YEAR(Datos_Consumo[[#This Row],[FECHA]])&amp;"-"&amp;MONTH(Datos_Consumo[[#This Row],[FECHA]])</f>
        <v>2017-12</v>
      </c>
    </row>
    <row r="5238" spans="1:4" x14ac:dyDescent="0.25">
      <c r="A5238" t="s">
        <v>3261</v>
      </c>
      <c r="B5238">
        <v>2</v>
      </c>
      <c r="C5238" s="54">
        <v>43101</v>
      </c>
      <c r="D5238" s="3" t="str">
        <f>YEAR(Datos_Consumo[[#This Row],[FECHA]])&amp;"-"&amp;MONTH(Datos_Consumo[[#This Row],[FECHA]])</f>
        <v>2018-1</v>
      </c>
    </row>
    <row r="5239" spans="1:4" x14ac:dyDescent="0.25">
      <c r="A5239" t="s">
        <v>3261</v>
      </c>
      <c r="B5239">
        <v>6</v>
      </c>
      <c r="C5239" s="54">
        <v>43132</v>
      </c>
      <c r="D5239" s="3" t="str">
        <f>YEAR(Datos_Consumo[[#This Row],[FECHA]])&amp;"-"&amp;MONTH(Datos_Consumo[[#This Row],[FECHA]])</f>
        <v>2018-2</v>
      </c>
    </row>
    <row r="5240" spans="1:4" x14ac:dyDescent="0.25">
      <c r="A5240" t="s">
        <v>3261</v>
      </c>
      <c r="B5240">
        <v>14</v>
      </c>
      <c r="C5240" s="54">
        <v>43160</v>
      </c>
      <c r="D5240" s="3" t="str">
        <f>YEAR(Datos_Consumo[[#This Row],[FECHA]])&amp;"-"&amp;MONTH(Datos_Consumo[[#This Row],[FECHA]])</f>
        <v>2018-3</v>
      </c>
    </row>
    <row r="5241" spans="1:4" x14ac:dyDescent="0.25">
      <c r="A5241" t="s">
        <v>3261</v>
      </c>
      <c r="B5241">
        <v>9</v>
      </c>
      <c r="C5241" s="54">
        <v>43191</v>
      </c>
      <c r="D5241" s="3" t="str">
        <f>YEAR(Datos_Consumo[[#This Row],[FECHA]])&amp;"-"&amp;MONTH(Datos_Consumo[[#This Row],[FECHA]])</f>
        <v>2018-4</v>
      </c>
    </row>
    <row r="5242" spans="1:4" x14ac:dyDescent="0.25">
      <c r="A5242" t="s">
        <v>3261</v>
      </c>
      <c r="B5242">
        <v>1</v>
      </c>
      <c r="C5242" s="54">
        <v>43221</v>
      </c>
      <c r="D5242" s="3" t="str">
        <f>YEAR(Datos_Consumo[[#This Row],[FECHA]])&amp;"-"&amp;MONTH(Datos_Consumo[[#This Row],[FECHA]])</f>
        <v>2018-5</v>
      </c>
    </row>
    <row r="5243" spans="1:4" x14ac:dyDescent="0.25">
      <c r="A5243" t="s">
        <v>3262</v>
      </c>
      <c r="B5243">
        <v>5</v>
      </c>
      <c r="C5243" s="54">
        <v>43132</v>
      </c>
      <c r="D5243" s="3" t="str">
        <f>YEAR(Datos_Consumo[[#This Row],[FECHA]])&amp;"-"&amp;MONTH(Datos_Consumo[[#This Row],[FECHA]])</f>
        <v>2018-2</v>
      </c>
    </row>
    <row r="5244" spans="1:4" x14ac:dyDescent="0.25">
      <c r="A5244" t="s">
        <v>3262</v>
      </c>
      <c r="B5244">
        <v>1</v>
      </c>
      <c r="C5244" s="54">
        <v>43191</v>
      </c>
      <c r="D5244" s="3" t="str">
        <f>YEAR(Datos_Consumo[[#This Row],[FECHA]])&amp;"-"&amp;MONTH(Datos_Consumo[[#This Row],[FECHA]])</f>
        <v>2018-4</v>
      </c>
    </row>
    <row r="5245" spans="1:4" x14ac:dyDescent="0.25">
      <c r="A5245" t="s">
        <v>3263</v>
      </c>
      <c r="B5245">
        <v>10</v>
      </c>
      <c r="C5245" s="54">
        <v>43191</v>
      </c>
      <c r="D5245" s="3" t="str">
        <f>YEAR(Datos_Consumo[[#This Row],[FECHA]])&amp;"-"&amp;MONTH(Datos_Consumo[[#This Row],[FECHA]])</f>
        <v>2018-4</v>
      </c>
    </row>
    <row r="5246" spans="1:4" x14ac:dyDescent="0.25">
      <c r="A5246" t="s">
        <v>3264</v>
      </c>
      <c r="B5246">
        <v>6</v>
      </c>
      <c r="C5246" s="54">
        <v>43160</v>
      </c>
      <c r="D5246" s="3" t="str">
        <f>YEAR(Datos_Consumo[[#This Row],[FECHA]])&amp;"-"&amp;MONTH(Datos_Consumo[[#This Row],[FECHA]])</f>
        <v>2018-3</v>
      </c>
    </row>
    <row r="5247" spans="1:4" x14ac:dyDescent="0.25">
      <c r="A5247" t="s">
        <v>3265</v>
      </c>
      <c r="B5247">
        <v>20</v>
      </c>
      <c r="C5247" s="54">
        <v>43160</v>
      </c>
      <c r="D5247" s="3" t="str">
        <f>YEAR(Datos_Consumo[[#This Row],[FECHA]])&amp;"-"&amp;MONTH(Datos_Consumo[[#This Row],[FECHA]])</f>
        <v>2018-3</v>
      </c>
    </row>
    <row r="5248" spans="1:4" x14ac:dyDescent="0.25">
      <c r="A5248" t="s">
        <v>3265</v>
      </c>
      <c r="B5248">
        <v>15</v>
      </c>
      <c r="C5248" s="54">
        <v>43191</v>
      </c>
      <c r="D5248" s="3" t="str">
        <f>YEAR(Datos_Consumo[[#This Row],[FECHA]])&amp;"-"&amp;MONTH(Datos_Consumo[[#This Row],[FECHA]])</f>
        <v>2018-4</v>
      </c>
    </row>
    <row r="5249" spans="1:4" x14ac:dyDescent="0.25">
      <c r="A5249" t="s">
        <v>3265</v>
      </c>
      <c r="B5249">
        <v>5</v>
      </c>
      <c r="C5249" s="54">
        <v>43221</v>
      </c>
      <c r="D5249" s="3" t="str">
        <f>YEAR(Datos_Consumo[[#This Row],[FECHA]])&amp;"-"&amp;MONTH(Datos_Consumo[[#This Row],[FECHA]])</f>
        <v>2018-5</v>
      </c>
    </row>
    <row r="5250" spans="1:4" x14ac:dyDescent="0.25">
      <c r="A5250" t="s">
        <v>3266</v>
      </c>
      <c r="B5250">
        <v>2</v>
      </c>
      <c r="C5250" s="54">
        <v>43070</v>
      </c>
      <c r="D5250" s="3" t="str">
        <f>YEAR(Datos_Consumo[[#This Row],[FECHA]])&amp;"-"&amp;MONTH(Datos_Consumo[[#This Row],[FECHA]])</f>
        <v>2017-12</v>
      </c>
    </row>
    <row r="5251" spans="1:4" x14ac:dyDescent="0.25">
      <c r="A5251" t="s">
        <v>3266</v>
      </c>
      <c r="B5251">
        <v>6</v>
      </c>
      <c r="C5251" s="54">
        <v>43101</v>
      </c>
      <c r="D5251" s="3" t="str">
        <f>YEAR(Datos_Consumo[[#This Row],[FECHA]])&amp;"-"&amp;MONTH(Datos_Consumo[[#This Row],[FECHA]])</f>
        <v>2018-1</v>
      </c>
    </row>
    <row r="5252" spans="1:4" x14ac:dyDescent="0.25">
      <c r="A5252" t="s">
        <v>3267</v>
      </c>
      <c r="B5252">
        <v>5</v>
      </c>
      <c r="C5252" s="54">
        <v>43101</v>
      </c>
      <c r="D5252" s="3" t="str">
        <f>YEAR(Datos_Consumo[[#This Row],[FECHA]])&amp;"-"&amp;MONTH(Datos_Consumo[[#This Row],[FECHA]])</f>
        <v>2018-1</v>
      </c>
    </row>
    <row r="5253" spans="1:4" x14ac:dyDescent="0.25">
      <c r="A5253" t="s">
        <v>3267</v>
      </c>
      <c r="B5253">
        <v>1</v>
      </c>
      <c r="C5253" s="54">
        <v>43132</v>
      </c>
      <c r="D5253" s="3" t="str">
        <f>YEAR(Datos_Consumo[[#This Row],[FECHA]])&amp;"-"&amp;MONTH(Datos_Consumo[[#This Row],[FECHA]])</f>
        <v>2018-2</v>
      </c>
    </row>
    <row r="5254" spans="1:4" x14ac:dyDescent="0.25">
      <c r="A5254" t="s">
        <v>3268</v>
      </c>
      <c r="B5254">
        <v>5</v>
      </c>
      <c r="C5254" s="54">
        <v>43070</v>
      </c>
      <c r="D5254" s="3" t="str">
        <f>YEAR(Datos_Consumo[[#This Row],[FECHA]])&amp;"-"&amp;MONTH(Datos_Consumo[[#This Row],[FECHA]])</f>
        <v>2017-12</v>
      </c>
    </row>
    <row r="5255" spans="1:4" x14ac:dyDescent="0.25">
      <c r="A5255" t="s">
        <v>3269</v>
      </c>
      <c r="B5255">
        <v>11</v>
      </c>
      <c r="C5255" s="54">
        <v>43070</v>
      </c>
      <c r="D5255" s="3" t="str">
        <f>YEAR(Datos_Consumo[[#This Row],[FECHA]])&amp;"-"&amp;MONTH(Datos_Consumo[[#This Row],[FECHA]])</f>
        <v>2017-12</v>
      </c>
    </row>
    <row r="5256" spans="1:4" x14ac:dyDescent="0.25">
      <c r="A5256" t="s">
        <v>3270</v>
      </c>
      <c r="B5256">
        <v>30</v>
      </c>
      <c r="C5256" s="54">
        <v>43070</v>
      </c>
      <c r="D5256" s="3" t="str">
        <f>YEAR(Datos_Consumo[[#This Row],[FECHA]])&amp;"-"&amp;MONTH(Datos_Consumo[[#This Row],[FECHA]])</f>
        <v>2017-12</v>
      </c>
    </row>
    <row r="5257" spans="1:4" x14ac:dyDescent="0.25">
      <c r="A5257" t="s">
        <v>3270</v>
      </c>
      <c r="B5257">
        <v>6</v>
      </c>
      <c r="C5257" s="54">
        <v>43101</v>
      </c>
      <c r="D5257" s="3" t="str">
        <f>YEAR(Datos_Consumo[[#This Row],[FECHA]])&amp;"-"&amp;MONTH(Datos_Consumo[[#This Row],[FECHA]])</f>
        <v>2018-1</v>
      </c>
    </row>
    <row r="5258" spans="1:4" x14ac:dyDescent="0.25">
      <c r="A5258" t="s">
        <v>3270</v>
      </c>
      <c r="B5258">
        <v>12</v>
      </c>
      <c r="C5258" s="54">
        <v>43132</v>
      </c>
      <c r="D5258" s="3" t="str">
        <f>YEAR(Datos_Consumo[[#This Row],[FECHA]])&amp;"-"&amp;MONTH(Datos_Consumo[[#This Row],[FECHA]])</f>
        <v>2018-2</v>
      </c>
    </row>
    <row r="5259" spans="1:4" x14ac:dyDescent="0.25">
      <c r="A5259" t="s">
        <v>3270</v>
      </c>
      <c r="B5259">
        <v>44</v>
      </c>
      <c r="C5259" s="54">
        <v>43160</v>
      </c>
      <c r="D5259" s="3" t="str">
        <f>YEAR(Datos_Consumo[[#This Row],[FECHA]])&amp;"-"&amp;MONTH(Datos_Consumo[[#This Row],[FECHA]])</f>
        <v>2018-3</v>
      </c>
    </row>
    <row r="5260" spans="1:4" x14ac:dyDescent="0.25">
      <c r="A5260" t="s">
        <v>3270</v>
      </c>
      <c r="B5260">
        <v>124</v>
      </c>
      <c r="C5260" s="54">
        <v>43191</v>
      </c>
      <c r="D5260" s="3" t="str">
        <f>YEAR(Datos_Consumo[[#This Row],[FECHA]])&amp;"-"&amp;MONTH(Datos_Consumo[[#This Row],[FECHA]])</f>
        <v>2018-4</v>
      </c>
    </row>
    <row r="5261" spans="1:4" x14ac:dyDescent="0.25">
      <c r="A5261" t="s">
        <v>3271</v>
      </c>
      <c r="B5261">
        <v>1</v>
      </c>
      <c r="C5261" s="54">
        <v>43101</v>
      </c>
      <c r="D5261" s="3" t="str">
        <f>YEAR(Datos_Consumo[[#This Row],[FECHA]])&amp;"-"&amp;MONTH(Datos_Consumo[[#This Row],[FECHA]])</f>
        <v>2018-1</v>
      </c>
    </row>
    <row r="5262" spans="1:4" x14ac:dyDescent="0.25">
      <c r="A5262" t="s">
        <v>3272</v>
      </c>
      <c r="B5262">
        <v>1</v>
      </c>
      <c r="C5262" s="54">
        <v>43160</v>
      </c>
      <c r="D5262" s="3" t="str">
        <f>YEAR(Datos_Consumo[[#This Row],[FECHA]])&amp;"-"&amp;MONTH(Datos_Consumo[[#This Row],[FECHA]])</f>
        <v>2018-3</v>
      </c>
    </row>
    <row r="5263" spans="1:4" x14ac:dyDescent="0.25">
      <c r="A5263" t="s">
        <v>3273</v>
      </c>
      <c r="B5263">
        <v>2</v>
      </c>
      <c r="C5263" s="54">
        <v>43132</v>
      </c>
      <c r="D5263" s="3" t="str">
        <f>YEAR(Datos_Consumo[[#This Row],[FECHA]])&amp;"-"&amp;MONTH(Datos_Consumo[[#This Row],[FECHA]])</f>
        <v>2018-2</v>
      </c>
    </row>
    <row r="5264" spans="1:4" x14ac:dyDescent="0.25">
      <c r="A5264" t="s">
        <v>3274</v>
      </c>
      <c r="B5264">
        <v>4</v>
      </c>
      <c r="C5264" s="54">
        <v>43191</v>
      </c>
      <c r="D5264" s="3" t="str">
        <f>YEAR(Datos_Consumo[[#This Row],[FECHA]])&amp;"-"&amp;MONTH(Datos_Consumo[[#This Row],[FECHA]])</f>
        <v>2018-4</v>
      </c>
    </row>
    <row r="5265" spans="1:4" x14ac:dyDescent="0.25">
      <c r="A5265" t="s">
        <v>3275</v>
      </c>
      <c r="B5265">
        <v>8</v>
      </c>
      <c r="C5265" s="54">
        <v>43160</v>
      </c>
      <c r="D5265" s="3" t="str">
        <f>YEAR(Datos_Consumo[[#This Row],[FECHA]])&amp;"-"&amp;MONTH(Datos_Consumo[[#This Row],[FECHA]])</f>
        <v>2018-3</v>
      </c>
    </row>
    <row r="5266" spans="1:4" x14ac:dyDescent="0.25">
      <c r="A5266" t="s">
        <v>3276</v>
      </c>
      <c r="B5266">
        <v>17</v>
      </c>
      <c r="C5266" s="54">
        <v>43101</v>
      </c>
      <c r="D5266" s="3" t="str">
        <f>YEAR(Datos_Consumo[[#This Row],[FECHA]])&amp;"-"&amp;MONTH(Datos_Consumo[[#This Row],[FECHA]])</f>
        <v>2018-1</v>
      </c>
    </row>
    <row r="5267" spans="1:4" x14ac:dyDescent="0.25">
      <c r="A5267" t="s">
        <v>3277</v>
      </c>
      <c r="B5267">
        <v>7</v>
      </c>
      <c r="C5267" s="54">
        <v>43070</v>
      </c>
      <c r="D5267" s="3" t="str">
        <f>YEAR(Datos_Consumo[[#This Row],[FECHA]])&amp;"-"&amp;MONTH(Datos_Consumo[[#This Row],[FECHA]])</f>
        <v>2017-12</v>
      </c>
    </row>
    <row r="5268" spans="1:4" x14ac:dyDescent="0.25">
      <c r="A5268" t="s">
        <v>3277</v>
      </c>
      <c r="B5268">
        <v>8</v>
      </c>
      <c r="C5268" s="54">
        <v>43101</v>
      </c>
      <c r="D5268" s="3" t="str">
        <f>YEAR(Datos_Consumo[[#This Row],[FECHA]])&amp;"-"&amp;MONTH(Datos_Consumo[[#This Row],[FECHA]])</f>
        <v>2018-1</v>
      </c>
    </row>
    <row r="5269" spans="1:4" x14ac:dyDescent="0.25">
      <c r="A5269" t="s">
        <v>3277</v>
      </c>
      <c r="B5269">
        <v>20</v>
      </c>
      <c r="C5269" s="54">
        <v>43132</v>
      </c>
      <c r="D5269" s="3" t="str">
        <f>YEAR(Datos_Consumo[[#This Row],[FECHA]])&amp;"-"&amp;MONTH(Datos_Consumo[[#This Row],[FECHA]])</f>
        <v>2018-2</v>
      </c>
    </row>
    <row r="5270" spans="1:4" x14ac:dyDescent="0.25">
      <c r="A5270" t="s">
        <v>3277</v>
      </c>
      <c r="B5270">
        <v>25</v>
      </c>
      <c r="C5270" s="54">
        <v>43160</v>
      </c>
      <c r="D5270" s="3" t="str">
        <f>YEAR(Datos_Consumo[[#This Row],[FECHA]])&amp;"-"&amp;MONTH(Datos_Consumo[[#This Row],[FECHA]])</f>
        <v>2018-3</v>
      </c>
    </row>
    <row r="5271" spans="1:4" x14ac:dyDescent="0.25">
      <c r="A5271" t="s">
        <v>3277</v>
      </c>
      <c r="B5271">
        <v>23</v>
      </c>
      <c r="C5271" s="54">
        <v>43191</v>
      </c>
      <c r="D5271" s="3" t="str">
        <f>YEAR(Datos_Consumo[[#This Row],[FECHA]])&amp;"-"&amp;MONTH(Datos_Consumo[[#This Row],[FECHA]])</f>
        <v>2018-4</v>
      </c>
    </row>
    <row r="5272" spans="1:4" x14ac:dyDescent="0.25">
      <c r="A5272" t="s">
        <v>3278</v>
      </c>
      <c r="B5272">
        <v>1</v>
      </c>
      <c r="C5272" s="54">
        <v>43070</v>
      </c>
      <c r="D5272" s="3" t="str">
        <f>YEAR(Datos_Consumo[[#This Row],[FECHA]])&amp;"-"&amp;MONTH(Datos_Consumo[[#This Row],[FECHA]])</f>
        <v>2017-12</v>
      </c>
    </row>
    <row r="5273" spans="1:4" x14ac:dyDescent="0.25">
      <c r="A5273" t="s">
        <v>3278</v>
      </c>
      <c r="B5273">
        <v>2</v>
      </c>
      <c r="C5273" s="54">
        <v>43101</v>
      </c>
      <c r="D5273" s="3" t="str">
        <f>YEAR(Datos_Consumo[[#This Row],[FECHA]])&amp;"-"&amp;MONTH(Datos_Consumo[[#This Row],[FECHA]])</f>
        <v>2018-1</v>
      </c>
    </row>
    <row r="5274" spans="1:4" x14ac:dyDescent="0.25">
      <c r="A5274" t="s">
        <v>3278</v>
      </c>
      <c r="B5274">
        <v>1</v>
      </c>
      <c r="C5274" s="54">
        <v>43132</v>
      </c>
      <c r="D5274" s="3" t="str">
        <f>YEAR(Datos_Consumo[[#This Row],[FECHA]])&amp;"-"&amp;MONTH(Datos_Consumo[[#This Row],[FECHA]])</f>
        <v>2018-2</v>
      </c>
    </row>
    <row r="5275" spans="1:4" x14ac:dyDescent="0.25">
      <c r="A5275" t="s">
        <v>3278</v>
      </c>
      <c r="B5275">
        <v>4</v>
      </c>
      <c r="C5275" s="54">
        <v>43160</v>
      </c>
      <c r="D5275" s="3" t="str">
        <f>YEAR(Datos_Consumo[[#This Row],[FECHA]])&amp;"-"&amp;MONTH(Datos_Consumo[[#This Row],[FECHA]])</f>
        <v>2018-3</v>
      </c>
    </row>
    <row r="5276" spans="1:4" x14ac:dyDescent="0.25">
      <c r="A5276" t="s">
        <v>3279</v>
      </c>
      <c r="B5276">
        <v>10</v>
      </c>
      <c r="C5276" s="54">
        <v>43191</v>
      </c>
      <c r="D5276" s="3" t="str">
        <f>YEAR(Datos_Consumo[[#This Row],[FECHA]])&amp;"-"&amp;MONTH(Datos_Consumo[[#This Row],[FECHA]])</f>
        <v>2018-4</v>
      </c>
    </row>
    <row r="5277" spans="1:4" x14ac:dyDescent="0.25">
      <c r="A5277" t="s">
        <v>4137</v>
      </c>
      <c r="B5277">
        <v>1</v>
      </c>
      <c r="C5277" s="54">
        <v>43191</v>
      </c>
      <c r="D5277" s="3" t="str">
        <f>YEAR(Datos_Consumo[[#This Row],[FECHA]])&amp;"-"&amp;MONTH(Datos_Consumo[[#This Row],[FECHA]])</f>
        <v>2018-4</v>
      </c>
    </row>
    <row r="5278" spans="1:4" x14ac:dyDescent="0.25">
      <c r="A5278" t="s">
        <v>3280</v>
      </c>
      <c r="B5278">
        <v>2</v>
      </c>
      <c r="C5278" s="54">
        <v>43070</v>
      </c>
      <c r="D5278" s="3" t="str">
        <f>YEAR(Datos_Consumo[[#This Row],[FECHA]])&amp;"-"&amp;MONTH(Datos_Consumo[[#This Row],[FECHA]])</f>
        <v>2017-12</v>
      </c>
    </row>
    <row r="5279" spans="1:4" x14ac:dyDescent="0.25">
      <c r="A5279" t="s">
        <v>3280</v>
      </c>
      <c r="B5279">
        <v>1</v>
      </c>
      <c r="C5279" s="54">
        <v>43101</v>
      </c>
      <c r="D5279" s="3" t="str">
        <f>YEAR(Datos_Consumo[[#This Row],[FECHA]])&amp;"-"&amp;MONTH(Datos_Consumo[[#This Row],[FECHA]])</f>
        <v>2018-1</v>
      </c>
    </row>
    <row r="5280" spans="1:4" x14ac:dyDescent="0.25">
      <c r="A5280" t="s">
        <v>3280</v>
      </c>
      <c r="B5280">
        <v>2</v>
      </c>
      <c r="C5280" s="54">
        <v>43132</v>
      </c>
      <c r="D5280" s="3" t="str">
        <f>YEAR(Datos_Consumo[[#This Row],[FECHA]])&amp;"-"&amp;MONTH(Datos_Consumo[[#This Row],[FECHA]])</f>
        <v>2018-2</v>
      </c>
    </row>
    <row r="5281" spans="1:4" x14ac:dyDescent="0.25">
      <c r="A5281" t="s">
        <v>3281</v>
      </c>
      <c r="B5281">
        <v>17</v>
      </c>
      <c r="C5281" s="54">
        <v>43101</v>
      </c>
      <c r="D5281" s="3" t="str">
        <f>YEAR(Datos_Consumo[[#This Row],[FECHA]])&amp;"-"&amp;MONTH(Datos_Consumo[[#This Row],[FECHA]])</f>
        <v>2018-1</v>
      </c>
    </row>
    <row r="5282" spans="1:4" x14ac:dyDescent="0.25">
      <c r="A5282" t="s">
        <v>3281</v>
      </c>
      <c r="B5282">
        <v>2</v>
      </c>
      <c r="C5282" s="54">
        <v>43132</v>
      </c>
      <c r="D5282" s="3" t="str">
        <f>YEAR(Datos_Consumo[[#This Row],[FECHA]])&amp;"-"&amp;MONTH(Datos_Consumo[[#This Row],[FECHA]])</f>
        <v>2018-2</v>
      </c>
    </row>
    <row r="5283" spans="1:4" x14ac:dyDescent="0.25">
      <c r="A5283" t="s">
        <v>3281</v>
      </c>
      <c r="B5283">
        <v>2</v>
      </c>
      <c r="C5283" s="54">
        <v>43191</v>
      </c>
      <c r="D5283" s="3" t="str">
        <f>YEAR(Datos_Consumo[[#This Row],[FECHA]])&amp;"-"&amp;MONTH(Datos_Consumo[[#This Row],[FECHA]])</f>
        <v>2018-4</v>
      </c>
    </row>
    <row r="5284" spans="1:4" x14ac:dyDescent="0.25">
      <c r="A5284" t="s">
        <v>3282</v>
      </c>
      <c r="B5284">
        <v>5</v>
      </c>
      <c r="C5284" s="54">
        <v>43101</v>
      </c>
      <c r="D5284" s="3" t="str">
        <f>YEAR(Datos_Consumo[[#This Row],[FECHA]])&amp;"-"&amp;MONTH(Datos_Consumo[[#This Row],[FECHA]])</f>
        <v>2018-1</v>
      </c>
    </row>
    <row r="5285" spans="1:4" x14ac:dyDescent="0.25">
      <c r="A5285" t="s">
        <v>3282</v>
      </c>
      <c r="B5285">
        <v>10</v>
      </c>
      <c r="C5285" s="54">
        <v>43191</v>
      </c>
      <c r="D5285" s="3" t="str">
        <f>YEAR(Datos_Consumo[[#This Row],[FECHA]])&amp;"-"&amp;MONTH(Datos_Consumo[[#This Row],[FECHA]])</f>
        <v>2018-4</v>
      </c>
    </row>
    <row r="5286" spans="1:4" x14ac:dyDescent="0.25">
      <c r="A5286" t="s">
        <v>3283</v>
      </c>
      <c r="B5286">
        <v>3</v>
      </c>
      <c r="C5286" s="54">
        <v>43070</v>
      </c>
      <c r="D5286" s="3" t="str">
        <f>YEAR(Datos_Consumo[[#This Row],[FECHA]])&amp;"-"&amp;MONTH(Datos_Consumo[[#This Row],[FECHA]])</f>
        <v>2017-12</v>
      </c>
    </row>
    <row r="5287" spans="1:4" x14ac:dyDescent="0.25">
      <c r="A5287" t="s">
        <v>3284</v>
      </c>
      <c r="B5287">
        <v>2</v>
      </c>
      <c r="C5287" s="54">
        <v>43101</v>
      </c>
      <c r="D5287" s="3" t="str">
        <f>YEAR(Datos_Consumo[[#This Row],[FECHA]])&amp;"-"&amp;MONTH(Datos_Consumo[[#This Row],[FECHA]])</f>
        <v>2018-1</v>
      </c>
    </row>
    <row r="5288" spans="1:4" x14ac:dyDescent="0.25">
      <c r="A5288" t="s">
        <v>3284</v>
      </c>
      <c r="B5288">
        <v>2</v>
      </c>
      <c r="C5288" s="54">
        <v>43191</v>
      </c>
      <c r="D5288" s="3" t="str">
        <f>YEAR(Datos_Consumo[[#This Row],[FECHA]])&amp;"-"&amp;MONTH(Datos_Consumo[[#This Row],[FECHA]])</f>
        <v>2018-4</v>
      </c>
    </row>
    <row r="5289" spans="1:4" x14ac:dyDescent="0.25">
      <c r="A5289" t="s">
        <v>3285</v>
      </c>
      <c r="B5289">
        <v>86</v>
      </c>
      <c r="C5289" s="54">
        <v>43070</v>
      </c>
      <c r="D5289" s="3" t="str">
        <f>YEAR(Datos_Consumo[[#This Row],[FECHA]])&amp;"-"&amp;MONTH(Datos_Consumo[[#This Row],[FECHA]])</f>
        <v>2017-12</v>
      </c>
    </row>
    <row r="5290" spans="1:4" x14ac:dyDescent="0.25">
      <c r="A5290" t="s">
        <v>3285</v>
      </c>
      <c r="B5290">
        <v>200</v>
      </c>
      <c r="C5290" s="54">
        <v>43101</v>
      </c>
      <c r="D5290" s="3" t="str">
        <f>YEAR(Datos_Consumo[[#This Row],[FECHA]])&amp;"-"&amp;MONTH(Datos_Consumo[[#This Row],[FECHA]])</f>
        <v>2018-1</v>
      </c>
    </row>
    <row r="5291" spans="1:4" x14ac:dyDescent="0.25">
      <c r="A5291" t="s">
        <v>3285</v>
      </c>
      <c r="B5291">
        <v>120</v>
      </c>
      <c r="C5291" s="54">
        <v>43132</v>
      </c>
      <c r="D5291" s="3" t="str">
        <f>YEAR(Datos_Consumo[[#This Row],[FECHA]])&amp;"-"&amp;MONTH(Datos_Consumo[[#This Row],[FECHA]])</f>
        <v>2018-2</v>
      </c>
    </row>
    <row r="5292" spans="1:4" x14ac:dyDescent="0.25">
      <c r="A5292" t="s">
        <v>3285</v>
      </c>
      <c r="B5292">
        <v>150</v>
      </c>
      <c r="C5292" s="54">
        <v>43160</v>
      </c>
      <c r="D5292" s="3" t="str">
        <f>YEAR(Datos_Consumo[[#This Row],[FECHA]])&amp;"-"&amp;MONTH(Datos_Consumo[[#This Row],[FECHA]])</f>
        <v>2018-3</v>
      </c>
    </row>
    <row r="5293" spans="1:4" x14ac:dyDescent="0.25">
      <c r="A5293" t="s">
        <v>3285</v>
      </c>
      <c r="B5293">
        <v>258</v>
      </c>
      <c r="C5293" s="54">
        <v>43191</v>
      </c>
      <c r="D5293" s="3" t="str">
        <f>YEAR(Datos_Consumo[[#This Row],[FECHA]])&amp;"-"&amp;MONTH(Datos_Consumo[[#This Row],[FECHA]])</f>
        <v>2018-4</v>
      </c>
    </row>
    <row r="5294" spans="1:4" x14ac:dyDescent="0.25">
      <c r="A5294" t="s">
        <v>3285</v>
      </c>
      <c r="B5294">
        <v>68</v>
      </c>
      <c r="C5294" s="54">
        <v>43221</v>
      </c>
      <c r="D5294" s="3" t="str">
        <f>YEAR(Datos_Consumo[[#This Row],[FECHA]])&amp;"-"&amp;MONTH(Datos_Consumo[[#This Row],[FECHA]])</f>
        <v>2018-5</v>
      </c>
    </row>
    <row r="5295" spans="1:4" x14ac:dyDescent="0.25">
      <c r="A5295" t="s">
        <v>3286</v>
      </c>
      <c r="B5295">
        <v>24</v>
      </c>
      <c r="C5295" s="54">
        <v>43070</v>
      </c>
      <c r="D5295" s="3" t="str">
        <f>YEAR(Datos_Consumo[[#This Row],[FECHA]])&amp;"-"&amp;MONTH(Datos_Consumo[[#This Row],[FECHA]])</f>
        <v>2017-12</v>
      </c>
    </row>
    <row r="5296" spans="1:4" x14ac:dyDescent="0.25">
      <c r="A5296" t="s">
        <v>3286</v>
      </c>
      <c r="B5296">
        <v>31</v>
      </c>
      <c r="C5296" s="54">
        <v>43101</v>
      </c>
      <c r="D5296" s="3" t="str">
        <f>YEAR(Datos_Consumo[[#This Row],[FECHA]])&amp;"-"&amp;MONTH(Datos_Consumo[[#This Row],[FECHA]])</f>
        <v>2018-1</v>
      </c>
    </row>
    <row r="5297" spans="1:4" x14ac:dyDescent="0.25">
      <c r="A5297" t="s">
        <v>3286</v>
      </c>
      <c r="B5297">
        <v>56</v>
      </c>
      <c r="C5297" s="54">
        <v>43132</v>
      </c>
      <c r="D5297" s="3" t="str">
        <f>YEAR(Datos_Consumo[[#This Row],[FECHA]])&amp;"-"&amp;MONTH(Datos_Consumo[[#This Row],[FECHA]])</f>
        <v>2018-2</v>
      </c>
    </row>
    <row r="5298" spans="1:4" x14ac:dyDescent="0.25">
      <c r="A5298" t="s">
        <v>3286</v>
      </c>
      <c r="B5298">
        <v>8</v>
      </c>
      <c r="C5298" s="54">
        <v>43160</v>
      </c>
      <c r="D5298" s="3" t="str">
        <f>YEAR(Datos_Consumo[[#This Row],[FECHA]])&amp;"-"&amp;MONTH(Datos_Consumo[[#This Row],[FECHA]])</f>
        <v>2018-3</v>
      </c>
    </row>
    <row r="5299" spans="1:4" x14ac:dyDescent="0.25">
      <c r="A5299" t="s">
        <v>3286</v>
      </c>
      <c r="B5299">
        <v>68</v>
      </c>
      <c r="C5299" s="54">
        <v>43191</v>
      </c>
      <c r="D5299" s="3" t="str">
        <f>YEAR(Datos_Consumo[[#This Row],[FECHA]])&amp;"-"&amp;MONTH(Datos_Consumo[[#This Row],[FECHA]])</f>
        <v>2018-4</v>
      </c>
    </row>
    <row r="5300" spans="1:4" x14ac:dyDescent="0.25">
      <c r="A5300" t="s">
        <v>3286</v>
      </c>
      <c r="B5300">
        <v>12</v>
      </c>
      <c r="C5300" s="54">
        <v>43221</v>
      </c>
      <c r="D5300" s="3" t="str">
        <f>YEAR(Datos_Consumo[[#This Row],[FECHA]])&amp;"-"&amp;MONTH(Datos_Consumo[[#This Row],[FECHA]])</f>
        <v>2018-5</v>
      </c>
    </row>
    <row r="5301" spans="1:4" x14ac:dyDescent="0.25">
      <c r="A5301" t="s">
        <v>3287</v>
      </c>
      <c r="B5301">
        <v>6</v>
      </c>
      <c r="C5301" s="54">
        <v>43101</v>
      </c>
      <c r="D5301" s="3" t="str">
        <f>YEAR(Datos_Consumo[[#This Row],[FECHA]])&amp;"-"&amp;MONTH(Datos_Consumo[[#This Row],[FECHA]])</f>
        <v>2018-1</v>
      </c>
    </row>
    <row r="5302" spans="1:4" x14ac:dyDescent="0.25">
      <c r="A5302" t="s">
        <v>3288</v>
      </c>
      <c r="B5302">
        <v>1</v>
      </c>
      <c r="C5302" s="54">
        <v>43132</v>
      </c>
      <c r="D5302" s="3" t="str">
        <f>YEAR(Datos_Consumo[[#This Row],[FECHA]])&amp;"-"&amp;MONTH(Datos_Consumo[[#This Row],[FECHA]])</f>
        <v>2018-2</v>
      </c>
    </row>
    <row r="5303" spans="1:4" x14ac:dyDescent="0.25">
      <c r="A5303" t="s">
        <v>3288</v>
      </c>
      <c r="B5303">
        <v>3</v>
      </c>
      <c r="C5303" s="54">
        <v>43160</v>
      </c>
      <c r="D5303" s="3" t="str">
        <f>YEAR(Datos_Consumo[[#This Row],[FECHA]])&amp;"-"&amp;MONTH(Datos_Consumo[[#This Row],[FECHA]])</f>
        <v>2018-3</v>
      </c>
    </row>
    <row r="5304" spans="1:4" x14ac:dyDescent="0.25">
      <c r="A5304" t="s">
        <v>3289</v>
      </c>
      <c r="B5304">
        <v>1</v>
      </c>
      <c r="C5304" s="54">
        <v>43070</v>
      </c>
      <c r="D5304" s="3" t="str">
        <f>YEAR(Datos_Consumo[[#This Row],[FECHA]])&amp;"-"&amp;MONTH(Datos_Consumo[[#This Row],[FECHA]])</f>
        <v>2017-12</v>
      </c>
    </row>
    <row r="5305" spans="1:4" x14ac:dyDescent="0.25">
      <c r="A5305" t="s">
        <v>3289</v>
      </c>
      <c r="B5305">
        <v>2</v>
      </c>
      <c r="C5305" s="54">
        <v>43101</v>
      </c>
      <c r="D5305" s="3" t="str">
        <f>YEAR(Datos_Consumo[[#This Row],[FECHA]])&amp;"-"&amp;MONTH(Datos_Consumo[[#This Row],[FECHA]])</f>
        <v>2018-1</v>
      </c>
    </row>
    <row r="5306" spans="1:4" x14ac:dyDescent="0.25">
      <c r="A5306" t="s">
        <v>3289</v>
      </c>
      <c r="B5306">
        <v>3</v>
      </c>
      <c r="C5306" s="54">
        <v>43132</v>
      </c>
      <c r="D5306" s="3" t="str">
        <f>YEAR(Datos_Consumo[[#This Row],[FECHA]])&amp;"-"&amp;MONTH(Datos_Consumo[[#This Row],[FECHA]])</f>
        <v>2018-2</v>
      </c>
    </row>
    <row r="5307" spans="1:4" x14ac:dyDescent="0.25">
      <c r="A5307" t="s">
        <v>3289</v>
      </c>
      <c r="B5307">
        <v>3</v>
      </c>
      <c r="C5307" s="54">
        <v>43160</v>
      </c>
      <c r="D5307" s="3" t="str">
        <f>YEAR(Datos_Consumo[[#This Row],[FECHA]])&amp;"-"&amp;MONTH(Datos_Consumo[[#This Row],[FECHA]])</f>
        <v>2018-3</v>
      </c>
    </row>
    <row r="5308" spans="1:4" x14ac:dyDescent="0.25">
      <c r="A5308" t="s">
        <v>3289</v>
      </c>
      <c r="B5308">
        <v>1</v>
      </c>
      <c r="C5308" s="54">
        <v>43191</v>
      </c>
      <c r="D5308" s="3" t="str">
        <f>YEAR(Datos_Consumo[[#This Row],[FECHA]])&amp;"-"&amp;MONTH(Datos_Consumo[[#This Row],[FECHA]])</f>
        <v>2018-4</v>
      </c>
    </row>
    <row r="5309" spans="1:4" x14ac:dyDescent="0.25">
      <c r="A5309" t="s">
        <v>3289</v>
      </c>
      <c r="B5309">
        <v>1</v>
      </c>
      <c r="C5309" s="54">
        <v>43221</v>
      </c>
      <c r="D5309" s="3" t="str">
        <f>YEAR(Datos_Consumo[[#This Row],[FECHA]])&amp;"-"&amp;MONTH(Datos_Consumo[[#This Row],[FECHA]])</f>
        <v>2018-5</v>
      </c>
    </row>
    <row r="5310" spans="1:4" x14ac:dyDescent="0.25">
      <c r="A5310" t="s">
        <v>3290</v>
      </c>
      <c r="B5310">
        <v>2</v>
      </c>
      <c r="C5310" s="54">
        <v>43070</v>
      </c>
      <c r="D5310" s="3" t="str">
        <f>YEAR(Datos_Consumo[[#This Row],[FECHA]])&amp;"-"&amp;MONTH(Datos_Consumo[[#This Row],[FECHA]])</f>
        <v>2017-12</v>
      </c>
    </row>
    <row r="5311" spans="1:4" x14ac:dyDescent="0.25">
      <c r="A5311" t="s">
        <v>3290</v>
      </c>
      <c r="B5311">
        <v>1</v>
      </c>
      <c r="C5311" s="54">
        <v>43101</v>
      </c>
      <c r="D5311" s="3" t="str">
        <f>YEAR(Datos_Consumo[[#This Row],[FECHA]])&amp;"-"&amp;MONTH(Datos_Consumo[[#This Row],[FECHA]])</f>
        <v>2018-1</v>
      </c>
    </row>
    <row r="5312" spans="1:4" x14ac:dyDescent="0.25">
      <c r="A5312" t="s">
        <v>3290</v>
      </c>
      <c r="B5312">
        <v>1</v>
      </c>
      <c r="C5312" s="54">
        <v>43132</v>
      </c>
      <c r="D5312" s="3" t="str">
        <f>YEAR(Datos_Consumo[[#This Row],[FECHA]])&amp;"-"&amp;MONTH(Datos_Consumo[[#This Row],[FECHA]])</f>
        <v>2018-2</v>
      </c>
    </row>
    <row r="5313" spans="1:4" x14ac:dyDescent="0.25">
      <c r="A5313" t="s">
        <v>3290</v>
      </c>
      <c r="B5313">
        <v>1</v>
      </c>
      <c r="C5313" s="54">
        <v>43160</v>
      </c>
      <c r="D5313" s="3" t="str">
        <f>YEAR(Datos_Consumo[[#This Row],[FECHA]])&amp;"-"&amp;MONTH(Datos_Consumo[[#This Row],[FECHA]])</f>
        <v>2018-3</v>
      </c>
    </row>
    <row r="5314" spans="1:4" x14ac:dyDescent="0.25">
      <c r="A5314" t="s">
        <v>3290</v>
      </c>
      <c r="B5314">
        <v>5</v>
      </c>
      <c r="C5314" s="54">
        <v>43191</v>
      </c>
      <c r="D5314" s="3" t="str">
        <f>YEAR(Datos_Consumo[[#This Row],[FECHA]])&amp;"-"&amp;MONTH(Datos_Consumo[[#This Row],[FECHA]])</f>
        <v>2018-4</v>
      </c>
    </row>
    <row r="5315" spans="1:4" x14ac:dyDescent="0.25">
      <c r="A5315" t="s">
        <v>3291</v>
      </c>
      <c r="B5315">
        <v>2</v>
      </c>
      <c r="C5315" s="54">
        <v>43070</v>
      </c>
      <c r="D5315" s="3" t="str">
        <f>YEAR(Datos_Consumo[[#This Row],[FECHA]])&amp;"-"&amp;MONTH(Datos_Consumo[[#This Row],[FECHA]])</f>
        <v>2017-12</v>
      </c>
    </row>
    <row r="5316" spans="1:4" x14ac:dyDescent="0.25">
      <c r="A5316" t="s">
        <v>3291</v>
      </c>
      <c r="B5316">
        <v>2</v>
      </c>
      <c r="C5316" s="54">
        <v>43101</v>
      </c>
      <c r="D5316" s="3" t="str">
        <f>YEAR(Datos_Consumo[[#This Row],[FECHA]])&amp;"-"&amp;MONTH(Datos_Consumo[[#This Row],[FECHA]])</f>
        <v>2018-1</v>
      </c>
    </row>
    <row r="5317" spans="1:4" x14ac:dyDescent="0.25">
      <c r="A5317" t="s">
        <v>3291</v>
      </c>
      <c r="B5317">
        <v>4</v>
      </c>
      <c r="C5317" s="54">
        <v>43132</v>
      </c>
      <c r="D5317" s="3" t="str">
        <f>YEAR(Datos_Consumo[[#This Row],[FECHA]])&amp;"-"&amp;MONTH(Datos_Consumo[[#This Row],[FECHA]])</f>
        <v>2018-2</v>
      </c>
    </row>
    <row r="5318" spans="1:4" x14ac:dyDescent="0.25">
      <c r="A5318" t="s">
        <v>3291</v>
      </c>
      <c r="B5318">
        <v>3</v>
      </c>
      <c r="C5318" s="54">
        <v>43160</v>
      </c>
      <c r="D5318" s="3" t="str">
        <f>YEAR(Datos_Consumo[[#This Row],[FECHA]])&amp;"-"&amp;MONTH(Datos_Consumo[[#This Row],[FECHA]])</f>
        <v>2018-3</v>
      </c>
    </row>
    <row r="5319" spans="1:4" x14ac:dyDescent="0.25">
      <c r="A5319" t="s">
        <v>3291</v>
      </c>
      <c r="B5319">
        <v>5</v>
      </c>
      <c r="C5319" s="54">
        <v>43191</v>
      </c>
      <c r="D5319" s="3" t="str">
        <f>YEAR(Datos_Consumo[[#This Row],[FECHA]])&amp;"-"&amp;MONTH(Datos_Consumo[[#This Row],[FECHA]])</f>
        <v>2018-4</v>
      </c>
    </row>
    <row r="5320" spans="1:4" x14ac:dyDescent="0.25">
      <c r="A5320" t="s">
        <v>3291</v>
      </c>
      <c r="B5320">
        <v>1</v>
      </c>
      <c r="C5320" s="54">
        <v>43221</v>
      </c>
      <c r="D5320" s="3" t="str">
        <f>YEAR(Datos_Consumo[[#This Row],[FECHA]])&amp;"-"&amp;MONTH(Datos_Consumo[[#This Row],[FECHA]])</f>
        <v>2018-5</v>
      </c>
    </row>
    <row r="5321" spans="1:4" x14ac:dyDescent="0.25">
      <c r="A5321" t="s">
        <v>3292</v>
      </c>
      <c r="B5321">
        <v>4</v>
      </c>
      <c r="C5321" s="54">
        <v>43132</v>
      </c>
      <c r="D5321" s="3" t="str">
        <f>YEAR(Datos_Consumo[[#This Row],[FECHA]])&amp;"-"&amp;MONTH(Datos_Consumo[[#This Row],[FECHA]])</f>
        <v>2018-2</v>
      </c>
    </row>
    <row r="5322" spans="1:4" x14ac:dyDescent="0.25">
      <c r="A5322" t="s">
        <v>3292</v>
      </c>
      <c r="B5322">
        <v>2</v>
      </c>
      <c r="C5322" s="54">
        <v>43160</v>
      </c>
      <c r="D5322" s="3" t="str">
        <f>YEAR(Datos_Consumo[[#This Row],[FECHA]])&amp;"-"&amp;MONTH(Datos_Consumo[[#This Row],[FECHA]])</f>
        <v>2018-3</v>
      </c>
    </row>
    <row r="5323" spans="1:4" x14ac:dyDescent="0.25">
      <c r="A5323" t="s">
        <v>3293</v>
      </c>
      <c r="B5323">
        <v>1</v>
      </c>
      <c r="C5323" s="54">
        <v>43070</v>
      </c>
      <c r="D5323" s="3" t="str">
        <f>YEAR(Datos_Consumo[[#This Row],[FECHA]])&amp;"-"&amp;MONTH(Datos_Consumo[[#This Row],[FECHA]])</f>
        <v>2017-12</v>
      </c>
    </row>
    <row r="5324" spans="1:4" x14ac:dyDescent="0.25">
      <c r="A5324" t="s">
        <v>3293</v>
      </c>
      <c r="B5324">
        <v>4</v>
      </c>
      <c r="C5324" s="54">
        <v>43101</v>
      </c>
      <c r="D5324" s="3" t="str">
        <f>YEAR(Datos_Consumo[[#This Row],[FECHA]])&amp;"-"&amp;MONTH(Datos_Consumo[[#This Row],[FECHA]])</f>
        <v>2018-1</v>
      </c>
    </row>
    <row r="5325" spans="1:4" x14ac:dyDescent="0.25">
      <c r="A5325" t="s">
        <v>3293</v>
      </c>
      <c r="B5325">
        <v>2</v>
      </c>
      <c r="C5325" s="54">
        <v>43132</v>
      </c>
      <c r="D5325" s="3" t="str">
        <f>YEAR(Datos_Consumo[[#This Row],[FECHA]])&amp;"-"&amp;MONTH(Datos_Consumo[[#This Row],[FECHA]])</f>
        <v>2018-2</v>
      </c>
    </row>
    <row r="5326" spans="1:4" x14ac:dyDescent="0.25">
      <c r="A5326" t="s">
        <v>3293</v>
      </c>
      <c r="B5326">
        <v>2</v>
      </c>
      <c r="C5326" s="54">
        <v>43160</v>
      </c>
      <c r="D5326" s="3" t="str">
        <f>YEAR(Datos_Consumo[[#This Row],[FECHA]])&amp;"-"&amp;MONTH(Datos_Consumo[[#This Row],[FECHA]])</f>
        <v>2018-3</v>
      </c>
    </row>
    <row r="5327" spans="1:4" x14ac:dyDescent="0.25">
      <c r="A5327" t="s">
        <v>3293</v>
      </c>
      <c r="B5327">
        <v>5</v>
      </c>
      <c r="C5327" s="54">
        <v>43191</v>
      </c>
      <c r="D5327" s="3" t="str">
        <f>YEAR(Datos_Consumo[[#This Row],[FECHA]])&amp;"-"&amp;MONTH(Datos_Consumo[[#This Row],[FECHA]])</f>
        <v>2018-4</v>
      </c>
    </row>
    <row r="5328" spans="1:4" x14ac:dyDescent="0.25">
      <c r="A5328" t="s">
        <v>3293</v>
      </c>
      <c r="B5328">
        <v>2</v>
      </c>
      <c r="C5328" s="54">
        <v>43221</v>
      </c>
      <c r="D5328" s="3" t="str">
        <f>YEAR(Datos_Consumo[[#This Row],[FECHA]])&amp;"-"&amp;MONTH(Datos_Consumo[[#This Row],[FECHA]])</f>
        <v>2018-5</v>
      </c>
    </row>
    <row r="5329" spans="1:4" x14ac:dyDescent="0.25">
      <c r="A5329" t="s">
        <v>3294</v>
      </c>
      <c r="B5329">
        <v>2</v>
      </c>
      <c r="C5329" s="54">
        <v>43070</v>
      </c>
      <c r="D5329" s="3" t="str">
        <f>YEAR(Datos_Consumo[[#This Row],[FECHA]])&amp;"-"&amp;MONTH(Datos_Consumo[[#This Row],[FECHA]])</f>
        <v>2017-12</v>
      </c>
    </row>
    <row r="5330" spans="1:4" x14ac:dyDescent="0.25">
      <c r="A5330" t="s">
        <v>3294</v>
      </c>
      <c r="B5330">
        <v>7</v>
      </c>
      <c r="C5330" s="54">
        <v>43132</v>
      </c>
      <c r="D5330" s="3" t="str">
        <f>YEAR(Datos_Consumo[[#This Row],[FECHA]])&amp;"-"&amp;MONTH(Datos_Consumo[[#This Row],[FECHA]])</f>
        <v>2018-2</v>
      </c>
    </row>
    <row r="5331" spans="1:4" x14ac:dyDescent="0.25">
      <c r="A5331" t="s">
        <v>3294</v>
      </c>
      <c r="B5331">
        <v>8</v>
      </c>
      <c r="C5331" s="54">
        <v>43160</v>
      </c>
      <c r="D5331" s="3" t="str">
        <f>YEAR(Datos_Consumo[[#This Row],[FECHA]])&amp;"-"&amp;MONTH(Datos_Consumo[[#This Row],[FECHA]])</f>
        <v>2018-3</v>
      </c>
    </row>
    <row r="5332" spans="1:4" x14ac:dyDescent="0.25">
      <c r="A5332" t="s">
        <v>3295</v>
      </c>
      <c r="B5332">
        <v>5</v>
      </c>
      <c r="C5332" s="54">
        <v>43160</v>
      </c>
      <c r="D5332" s="3" t="str">
        <f>YEAR(Datos_Consumo[[#This Row],[FECHA]])&amp;"-"&amp;MONTH(Datos_Consumo[[#This Row],[FECHA]])</f>
        <v>2018-3</v>
      </c>
    </row>
    <row r="5333" spans="1:4" x14ac:dyDescent="0.25">
      <c r="A5333" t="s">
        <v>3296</v>
      </c>
      <c r="B5333">
        <v>4</v>
      </c>
      <c r="C5333" s="54">
        <v>43070</v>
      </c>
      <c r="D5333" s="3" t="str">
        <f>YEAR(Datos_Consumo[[#This Row],[FECHA]])&amp;"-"&amp;MONTH(Datos_Consumo[[#This Row],[FECHA]])</f>
        <v>2017-12</v>
      </c>
    </row>
    <row r="5334" spans="1:4" x14ac:dyDescent="0.25">
      <c r="A5334" t="s">
        <v>3296</v>
      </c>
      <c r="B5334">
        <v>4</v>
      </c>
      <c r="C5334" s="54">
        <v>43191</v>
      </c>
      <c r="D5334" s="3" t="str">
        <f>YEAR(Datos_Consumo[[#This Row],[FECHA]])&amp;"-"&amp;MONTH(Datos_Consumo[[#This Row],[FECHA]])</f>
        <v>2018-4</v>
      </c>
    </row>
    <row r="5335" spans="1:4" x14ac:dyDescent="0.25">
      <c r="A5335" t="s">
        <v>3297</v>
      </c>
      <c r="B5335">
        <v>15</v>
      </c>
      <c r="C5335" s="54">
        <v>43070</v>
      </c>
      <c r="D5335" s="3" t="str">
        <f>YEAR(Datos_Consumo[[#This Row],[FECHA]])&amp;"-"&amp;MONTH(Datos_Consumo[[#This Row],[FECHA]])</f>
        <v>2017-12</v>
      </c>
    </row>
    <row r="5336" spans="1:4" x14ac:dyDescent="0.25">
      <c r="A5336" t="s">
        <v>3297</v>
      </c>
      <c r="B5336">
        <v>2</v>
      </c>
      <c r="C5336" s="54">
        <v>43101</v>
      </c>
      <c r="D5336" s="3" t="str">
        <f>YEAR(Datos_Consumo[[#This Row],[FECHA]])&amp;"-"&amp;MONTH(Datos_Consumo[[#This Row],[FECHA]])</f>
        <v>2018-1</v>
      </c>
    </row>
    <row r="5337" spans="1:4" x14ac:dyDescent="0.25">
      <c r="A5337" t="s">
        <v>3297</v>
      </c>
      <c r="B5337">
        <v>1</v>
      </c>
      <c r="C5337" s="54">
        <v>43191</v>
      </c>
      <c r="D5337" s="3" t="str">
        <f>YEAR(Datos_Consumo[[#This Row],[FECHA]])&amp;"-"&amp;MONTH(Datos_Consumo[[#This Row],[FECHA]])</f>
        <v>2018-4</v>
      </c>
    </row>
    <row r="5338" spans="1:4" x14ac:dyDescent="0.25">
      <c r="A5338" t="s">
        <v>3298</v>
      </c>
      <c r="B5338">
        <v>2</v>
      </c>
      <c r="C5338" s="54">
        <v>43070</v>
      </c>
      <c r="D5338" s="3" t="str">
        <f>YEAR(Datos_Consumo[[#This Row],[FECHA]])&amp;"-"&amp;MONTH(Datos_Consumo[[#This Row],[FECHA]])</f>
        <v>2017-12</v>
      </c>
    </row>
    <row r="5339" spans="1:4" x14ac:dyDescent="0.25">
      <c r="A5339" t="s">
        <v>3298</v>
      </c>
      <c r="B5339">
        <v>1</v>
      </c>
      <c r="C5339" s="54">
        <v>43101</v>
      </c>
      <c r="D5339" s="3" t="str">
        <f>YEAR(Datos_Consumo[[#This Row],[FECHA]])&amp;"-"&amp;MONTH(Datos_Consumo[[#This Row],[FECHA]])</f>
        <v>2018-1</v>
      </c>
    </row>
    <row r="5340" spans="1:4" x14ac:dyDescent="0.25">
      <c r="A5340" t="s">
        <v>3298</v>
      </c>
      <c r="B5340">
        <v>1</v>
      </c>
      <c r="C5340" s="54">
        <v>43132</v>
      </c>
      <c r="D5340" s="3" t="str">
        <f>YEAR(Datos_Consumo[[#This Row],[FECHA]])&amp;"-"&amp;MONTH(Datos_Consumo[[#This Row],[FECHA]])</f>
        <v>2018-2</v>
      </c>
    </row>
    <row r="5341" spans="1:4" x14ac:dyDescent="0.25">
      <c r="A5341" t="s">
        <v>3298</v>
      </c>
      <c r="B5341">
        <v>12</v>
      </c>
      <c r="C5341" s="54">
        <v>43160</v>
      </c>
      <c r="D5341" s="3" t="str">
        <f>YEAR(Datos_Consumo[[#This Row],[FECHA]])&amp;"-"&amp;MONTH(Datos_Consumo[[#This Row],[FECHA]])</f>
        <v>2018-3</v>
      </c>
    </row>
    <row r="5342" spans="1:4" x14ac:dyDescent="0.25">
      <c r="A5342" t="s">
        <v>3298</v>
      </c>
      <c r="B5342">
        <v>1</v>
      </c>
      <c r="C5342" s="54">
        <v>43191</v>
      </c>
      <c r="D5342" s="3" t="str">
        <f>YEAR(Datos_Consumo[[#This Row],[FECHA]])&amp;"-"&amp;MONTH(Datos_Consumo[[#This Row],[FECHA]])</f>
        <v>2018-4</v>
      </c>
    </row>
    <row r="5343" spans="1:4" x14ac:dyDescent="0.25">
      <c r="A5343" t="s">
        <v>4138</v>
      </c>
      <c r="B5343">
        <v>1</v>
      </c>
      <c r="C5343" s="54">
        <v>43191</v>
      </c>
      <c r="D5343" s="3" t="str">
        <f>YEAR(Datos_Consumo[[#This Row],[FECHA]])&amp;"-"&amp;MONTH(Datos_Consumo[[#This Row],[FECHA]])</f>
        <v>2018-4</v>
      </c>
    </row>
    <row r="5344" spans="1:4" x14ac:dyDescent="0.25">
      <c r="A5344" t="s">
        <v>4139</v>
      </c>
      <c r="B5344">
        <v>1</v>
      </c>
      <c r="C5344" s="54">
        <v>43191</v>
      </c>
      <c r="D5344" s="3" t="str">
        <f>YEAR(Datos_Consumo[[#This Row],[FECHA]])&amp;"-"&amp;MONTH(Datos_Consumo[[#This Row],[FECHA]])</f>
        <v>2018-4</v>
      </c>
    </row>
    <row r="5345" spans="1:4" x14ac:dyDescent="0.25">
      <c r="A5345" t="s">
        <v>3299</v>
      </c>
      <c r="B5345">
        <v>1</v>
      </c>
      <c r="C5345" s="54">
        <v>43070</v>
      </c>
      <c r="D5345" s="3" t="str">
        <f>YEAR(Datos_Consumo[[#This Row],[FECHA]])&amp;"-"&amp;MONTH(Datos_Consumo[[#This Row],[FECHA]])</f>
        <v>2017-12</v>
      </c>
    </row>
    <row r="5346" spans="1:4" x14ac:dyDescent="0.25">
      <c r="A5346" t="s">
        <v>3299</v>
      </c>
      <c r="B5346">
        <v>1</v>
      </c>
      <c r="C5346" s="54">
        <v>43101</v>
      </c>
      <c r="D5346" s="3" t="str">
        <f>YEAR(Datos_Consumo[[#This Row],[FECHA]])&amp;"-"&amp;MONTH(Datos_Consumo[[#This Row],[FECHA]])</f>
        <v>2018-1</v>
      </c>
    </row>
    <row r="5347" spans="1:4" x14ac:dyDescent="0.25">
      <c r="A5347" t="s">
        <v>3300</v>
      </c>
      <c r="B5347">
        <v>21</v>
      </c>
      <c r="C5347" s="54">
        <v>43160</v>
      </c>
      <c r="D5347" s="3" t="str">
        <f>YEAR(Datos_Consumo[[#This Row],[FECHA]])&amp;"-"&amp;MONTH(Datos_Consumo[[#This Row],[FECHA]])</f>
        <v>2018-3</v>
      </c>
    </row>
    <row r="5348" spans="1:4" x14ac:dyDescent="0.25">
      <c r="A5348" t="s">
        <v>3301</v>
      </c>
      <c r="B5348">
        <v>2208</v>
      </c>
      <c r="C5348" s="54">
        <v>43070</v>
      </c>
      <c r="D5348" s="3" t="str">
        <f>YEAR(Datos_Consumo[[#This Row],[FECHA]])&amp;"-"&amp;MONTH(Datos_Consumo[[#This Row],[FECHA]])</f>
        <v>2017-12</v>
      </c>
    </row>
    <row r="5349" spans="1:4" x14ac:dyDescent="0.25">
      <c r="A5349" t="s">
        <v>3301</v>
      </c>
      <c r="B5349">
        <v>2532</v>
      </c>
      <c r="C5349" s="54">
        <v>43101</v>
      </c>
      <c r="D5349" s="3" t="str">
        <f>YEAR(Datos_Consumo[[#This Row],[FECHA]])&amp;"-"&amp;MONTH(Datos_Consumo[[#This Row],[FECHA]])</f>
        <v>2018-1</v>
      </c>
    </row>
    <row r="5350" spans="1:4" x14ac:dyDescent="0.25">
      <c r="A5350" t="s">
        <v>3301</v>
      </c>
      <c r="B5350">
        <v>2106</v>
      </c>
      <c r="C5350" s="54">
        <v>43132</v>
      </c>
      <c r="D5350" s="3" t="str">
        <f>YEAR(Datos_Consumo[[#This Row],[FECHA]])&amp;"-"&amp;MONTH(Datos_Consumo[[#This Row],[FECHA]])</f>
        <v>2018-2</v>
      </c>
    </row>
    <row r="5351" spans="1:4" x14ac:dyDescent="0.25">
      <c r="A5351" t="s">
        <v>3301</v>
      </c>
      <c r="B5351">
        <v>1490</v>
      </c>
      <c r="C5351" s="54">
        <v>43160</v>
      </c>
      <c r="D5351" s="3" t="str">
        <f>YEAR(Datos_Consumo[[#This Row],[FECHA]])&amp;"-"&amp;MONTH(Datos_Consumo[[#This Row],[FECHA]])</f>
        <v>2018-3</v>
      </c>
    </row>
    <row r="5352" spans="1:4" x14ac:dyDescent="0.25">
      <c r="A5352" t="s">
        <v>3301</v>
      </c>
      <c r="B5352">
        <v>2056</v>
      </c>
      <c r="C5352" s="54">
        <v>43191</v>
      </c>
      <c r="D5352" s="3" t="str">
        <f>YEAR(Datos_Consumo[[#This Row],[FECHA]])&amp;"-"&amp;MONTH(Datos_Consumo[[#This Row],[FECHA]])</f>
        <v>2018-4</v>
      </c>
    </row>
    <row r="5353" spans="1:4" x14ac:dyDescent="0.25">
      <c r="A5353" t="s">
        <v>3301</v>
      </c>
      <c r="B5353">
        <v>247</v>
      </c>
      <c r="C5353" s="54">
        <v>43221</v>
      </c>
      <c r="D5353" s="3" t="str">
        <f>YEAR(Datos_Consumo[[#This Row],[FECHA]])&amp;"-"&amp;MONTH(Datos_Consumo[[#This Row],[FECHA]])</f>
        <v>2018-5</v>
      </c>
    </row>
    <row r="5354" spans="1:4" x14ac:dyDescent="0.25">
      <c r="A5354" t="s">
        <v>3302</v>
      </c>
      <c r="B5354">
        <v>1480</v>
      </c>
      <c r="C5354" s="54">
        <v>43070</v>
      </c>
      <c r="D5354" s="3" t="str">
        <f>YEAR(Datos_Consumo[[#This Row],[FECHA]])&amp;"-"&amp;MONTH(Datos_Consumo[[#This Row],[FECHA]])</f>
        <v>2017-12</v>
      </c>
    </row>
    <row r="5355" spans="1:4" x14ac:dyDescent="0.25">
      <c r="A5355" t="s">
        <v>3302</v>
      </c>
      <c r="B5355">
        <v>264</v>
      </c>
      <c r="C5355" s="54">
        <v>43101</v>
      </c>
      <c r="D5355" s="3" t="str">
        <f>YEAR(Datos_Consumo[[#This Row],[FECHA]])&amp;"-"&amp;MONTH(Datos_Consumo[[#This Row],[FECHA]])</f>
        <v>2018-1</v>
      </c>
    </row>
    <row r="5356" spans="1:4" x14ac:dyDescent="0.25">
      <c r="A5356" t="s">
        <v>3302</v>
      </c>
      <c r="B5356">
        <v>13</v>
      </c>
      <c r="C5356" s="54">
        <v>43160</v>
      </c>
      <c r="D5356" s="3" t="str">
        <f>YEAR(Datos_Consumo[[#This Row],[FECHA]])&amp;"-"&amp;MONTH(Datos_Consumo[[#This Row],[FECHA]])</f>
        <v>2018-3</v>
      </c>
    </row>
    <row r="5357" spans="1:4" x14ac:dyDescent="0.25">
      <c r="A5357" t="s">
        <v>3302</v>
      </c>
      <c r="B5357">
        <v>36</v>
      </c>
      <c r="C5357" s="54">
        <v>43191</v>
      </c>
      <c r="D5357" s="3" t="str">
        <f>YEAR(Datos_Consumo[[#This Row],[FECHA]])&amp;"-"&amp;MONTH(Datos_Consumo[[#This Row],[FECHA]])</f>
        <v>2018-4</v>
      </c>
    </row>
    <row r="5358" spans="1:4" x14ac:dyDescent="0.25">
      <c r="A5358" t="s">
        <v>3303</v>
      </c>
      <c r="B5358">
        <v>8</v>
      </c>
      <c r="C5358" s="54">
        <v>43160</v>
      </c>
      <c r="D5358" s="3" t="str">
        <f>YEAR(Datos_Consumo[[#This Row],[FECHA]])&amp;"-"&amp;MONTH(Datos_Consumo[[#This Row],[FECHA]])</f>
        <v>2018-3</v>
      </c>
    </row>
    <row r="5359" spans="1:4" x14ac:dyDescent="0.25">
      <c r="A5359" t="s">
        <v>3303</v>
      </c>
      <c r="B5359">
        <v>1</v>
      </c>
      <c r="C5359" s="54">
        <v>43191</v>
      </c>
      <c r="D5359" s="3" t="str">
        <f>YEAR(Datos_Consumo[[#This Row],[FECHA]])&amp;"-"&amp;MONTH(Datos_Consumo[[#This Row],[FECHA]])</f>
        <v>2018-4</v>
      </c>
    </row>
    <row r="5360" spans="1:4" x14ac:dyDescent="0.25">
      <c r="A5360" t="s">
        <v>3304</v>
      </c>
      <c r="B5360">
        <v>1</v>
      </c>
      <c r="C5360" s="54">
        <v>43070</v>
      </c>
      <c r="D5360" s="3" t="str">
        <f>YEAR(Datos_Consumo[[#This Row],[FECHA]])&amp;"-"&amp;MONTH(Datos_Consumo[[#This Row],[FECHA]])</f>
        <v>2017-12</v>
      </c>
    </row>
    <row r="5361" spans="1:4" x14ac:dyDescent="0.25">
      <c r="A5361" t="s">
        <v>3304</v>
      </c>
      <c r="B5361">
        <v>1</v>
      </c>
      <c r="C5361" s="54">
        <v>43101</v>
      </c>
      <c r="D5361" s="3" t="str">
        <f>YEAR(Datos_Consumo[[#This Row],[FECHA]])&amp;"-"&amp;MONTH(Datos_Consumo[[#This Row],[FECHA]])</f>
        <v>2018-1</v>
      </c>
    </row>
    <row r="5362" spans="1:4" x14ac:dyDescent="0.25">
      <c r="A5362" t="s">
        <v>3304</v>
      </c>
      <c r="B5362">
        <v>2</v>
      </c>
      <c r="C5362" s="54">
        <v>43132</v>
      </c>
      <c r="D5362" s="3" t="str">
        <f>YEAR(Datos_Consumo[[#This Row],[FECHA]])&amp;"-"&amp;MONTH(Datos_Consumo[[#This Row],[FECHA]])</f>
        <v>2018-2</v>
      </c>
    </row>
    <row r="5363" spans="1:4" x14ac:dyDescent="0.25">
      <c r="A5363" t="s">
        <v>3304</v>
      </c>
      <c r="B5363">
        <v>1</v>
      </c>
      <c r="C5363" s="54">
        <v>43160</v>
      </c>
      <c r="D5363" s="3" t="str">
        <f>YEAR(Datos_Consumo[[#This Row],[FECHA]])&amp;"-"&amp;MONTH(Datos_Consumo[[#This Row],[FECHA]])</f>
        <v>2018-3</v>
      </c>
    </row>
    <row r="5364" spans="1:4" x14ac:dyDescent="0.25">
      <c r="A5364" t="s">
        <v>3304</v>
      </c>
      <c r="B5364">
        <v>3</v>
      </c>
      <c r="C5364" s="54">
        <v>43221</v>
      </c>
      <c r="D5364" s="3" t="str">
        <f>YEAR(Datos_Consumo[[#This Row],[FECHA]])&amp;"-"&amp;MONTH(Datos_Consumo[[#This Row],[FECHA]])</f>
        <v>2018-5</v>
      </c>
    </row>
    <row r="5365" spans="1:4" x14ac:dyDescent="0.25">
      <c r="A5365" t="s">
        <v>3305</v>
      </c>
      <c r="B5365">
        <v>2</v>
      </c>
      <c r="C5365" s="54">
        <v>43070</v>
      </c>
      <c r="D5365" s="3" t="str">
        <f>YEAR(Datos_Consumo[[#This Row],[FECHA]])&amp;"-"&amp;MONTH(Datos_Consumo[[#This Row],[FECHA]])</f>
        <v>2017-12</v>
      </c>
    </row>
    <row r="5366" spans="1:4" x14ac:dyDescent="0.25">
      <c r="A5366" t="s">
        <v>3305</v>
      </c>
      <c r="B5366">
        <v>1</v>
      </c>
      <c r="C5366" s="54">
        <v>43101</v>
      </c>
      <c r="D5366" s="3" t="str">
        <f>YEAR(Datos_Consumo[[#This Row],[FECHA]])&amp;"-"&amp;MONTH(Datos_Consumo[[#This Row],[FECHA]])</f>
        <v>2018-1</v>
      </c>
    </row>
    <row r="5367" spans="1:4" x14ac:dyDescent="0.25">
      <c r="A5367" t="s">
        <v>3306</v>
      </c>
      <c r="B5367">
        <v>4</v>
      </c>
      <c r="C5367" s="54">
        <v>43101</v>
      </c>
      <c r="D5367" s="3" t="str">
        <f>YEAR(Datos_Consumo[[#This Row],[FECHA]])&amp;"-"&amp;MONTH(Datos_Consumo[[#This Row],[FECHA]])</f>
        <v>2018-1</v>
      </c>
    </row>
    <row r="5368" spans="1:4" x14ac:dyDescent="0.25">
      <c r="A5368" t="s">
        <v>3306</v>
      </c>
      <c r="B5368">
        <v>3</v>
      </c>
      <c r="C5368" s="54">
        <v>43191</v>
      </c>
      <c r="D5368" s="3" t="str">
        <f>YEAR(Datos_Consumo[[#This Row],[FECHA]])&amp;"-"&amp;MONTH(Datos_Consumo[[#This Row],[FECHA]])</f>
        <v>2018-4</v>
      </c>
    </row>
    <row r="5369" spans="1:4" x14ac:dyDescent="0.25">
      <c r="A5369" t="s">
        <v>3307</v>
      </c>
      <c r="B5369">
        <v>6</v>
      </c>
      <c r="C5369" s="54">
        <v>43160</v>
      </c>
      <c r="D5369" s="3" t="str">
        <f>YEAR(Datos_Consumo[[#This Row],[FECHA]])&amp;"-"&amp;MONTH(Datos_Consumo[[#This Row],[FECHA]])</f>
        <v>2018-3</v>
      </c>
    </row>
    <row r="5370" spans="1:4" x14ac:dyDescent="0.25">
      <c r="A5370" t="s">
        <v>3308</v>
      </c>
      <c r="B5370">
        <v>1</v>
      </c>
      <c r="C5370" s="54">
        <v>43070</v>
      </c>
      <c r="D5370" s="3" t="str">
        <f>YEAR(Datos_Consumo[[#This Row],[FECHA]])&amp;"-"&amp;MONTH(Datos_Consumo[[#This Row],[FECHA]])</f>
        <v>2017-12</v>
      </c>
    </row>
    <row r="5371" spans="1:4" x14ac:dyDescent="0.25">
      <c r="A5371" t="s">
        <v>3308</v>
      </c>
      <c r="B5371">
        <v>3</v>
      </c>
      <c r="C5371" s="54">
        <v>43132</v>
      </c>
      <c r="D5371" s="3" t="str">
        <f>YEAR(Datos_Consumo[[#This Row],[FECHA]])&amp;"-"&amp;MONTH(Datos_Consumo[[#This Row],[FECHA]])</f>
        <v>2018-2</v>
      </c>
    </row>
    <row r="5372" spans="1:4" x14ac:dyDescent="0.25">
      <c r="A5372" t="s">
        <v>3308</v>
      </c>
      <c r="B5372">
        <v>7</v>
      </c>
      <c r="C5372" s="54">
        <v>43160</v>
      </c>
      <c r="D5372" s="3" t="str">
        <f>YEAR(Datos_Consumo[[#This Row],[FECHA]])&amp;"-"&amp;MONTH(Datos_Consumo[[#This Row],[FECHA]])</f>
        <v>2018-3</v>
      </c>
    </row>
    <row r="5373" spans="1:4" x14ac:dyDescent="0.25">
      <c r="A5373" t="s">
        <v>3309</v>
      </c>
      <c r="B5373">
        <v>41</v>
      </c>
      <c r="C5373" s="54">
        <v>43070</v>
      </c>
      <c r="D5373" s="3" t="str">
        <f>YEAR(Datos_Consumo[[#This Row],[FECHA]])&amp;"-"&amp;MONTH(Datos_Consumo[[#This Row],[FECHA]])</f>
        <v>2017-12</v>
      </c>
    </row>
    <row r="5374" spans="1:4" x14ac:dyDescent="0.25">
      <c r="A5374" t="s">
        <v>3309</v>
      </c>
      <c r="B5374">
        <v>22</v>
      </c>
      <c r="C5374" s="54">
        <v>43101</v>
      </c>
      <c r="D5374" s="3" t="str">
        <f>YEAR(Datos_Consumo[[#This Row],[FECHA]])&amp;"-"&amp;MONTH(Datos_Consumo[[#This Row],[FECHA]])</f>
        <v>2018-1</v>
      </c>
    </row>
    <row r="5375" spans="1:4" x14ac:dyDescent="0.25">
      <c r="A5375" t="s">
        <v>3309</v>
      </c>
      <c r="B5375">
        <v>40</v>
      </c>
      <c r="C5375" s="54">
        <v>43132</v>
      </c>
      <c r="D5375" s="3" t="str">
        <f>YEAR(Datos_Consumo[[#This Row],[FECHA]])&amp;"-"&amp;MONTH(Datos_Consumo[[#This Row],[FECHA]])</f>
        <v>2018-2</v>
      </c>
    </row>
    <row r="5376" spans="1:4" x14ac:dyDescent="0.25">
      <c r="A5376" t="s">
        <v>3309</v>
      </c>
      <c r="B5376">
        <v>6</v>
      </c>
      <c r="C5376" s="54">
        <v>43160</v>
      </c>
      <c r="D5376" s="3" t="str">
        <f>YEAR(Datos_Consumo[[#This Row],[FECHA]])&amp;"-"&amp;MONTH(Datos_Consumo[[#This Row],[FECHA]])</f>
        <v>2018-3</v>
      </c>
    </row>
    <row r="5377" spans="1:4" x14ac:dyDescent="0.25">
      <c r="A5377" t="s">
        <v>3310</v>
      </c>
      <c r="B5377">
        <v>1</v>
      </c>
      <c r="C5377" s="54">
        <v>43132</v>
      </c>
      <c r="D5377" s="3" t="str">
        <f>YEAR(Datos_Consumo[[#This Row],[FECHA]])&amp;"-"&amp;MONTH(Datos_Consumo[[#This Row],[FECHA]])</f>
        <v>2018-2</v>
      </c>
    </row>
    <row r="5378" spans="1:4" x14ac:dyDescent="0.25">
      <c r="A5378" t="s">
        <v>3310</v>
      </c>
      <c r="B5378">
        <v>2</v>
      </c>
      <c r="C5378" s="54">
        <v>43221</v>
      </c>
      <c r="D5378" s="3" t="str">
        <f>YEAR(Datos_Consumo[[#This Row],[FECHA]])&amp;"-"&amp;MONTH(Datos_Consumo[[#This Row],[FECHA]])</f>
        <v>2018-5</v>
      </c>
    </row>
    <row r="5379" spans="1:4" x14ac:dyDescent="0.25">
      <c r="A5379" t="s">
        <v>3311</v>
      </c>
      <c r="B5379">
        <v>2</v>
      </c>
      <c r="C5379" s="54">
        <v>43160</v>
      </c>
      <c r="D5379" s="3" t="str">
        <f>YEAR(Datos_Consumo[[#This Row],[FECHA]])&amp;"-"&amp;MONTH(Datos_Consumo[[#This Row],[FECHA]])</f>
        <v>2018-3</v>
      </c>
    </row>
    <row r="5380" spans="1:4" x14ac:dyDescent="0.25">
      <c r="A5380" t="s">
        <v>3312</v>
      </c>
      <c r="B5380">
        <v>1</v>
      </c>
      <c r="C5380" s="54">
        <v>43160</v>
      </c>
      <c r="D5380" s="3" t="str">
        <f>YEAR(Datos_Consumo[[#This Row],[FECHA]])&amp;"-"&amp;MONTH(Datos_Consumo[[#This Row],[FECHA]])</f>
        <v>2018-3</v>
      </c>
    </row>
    <row r="5381" spans="1:4" x14ac:dyDescent="0.25">
      <c r="A5381" t="s">
        <v>3313</v>
      </c>
      <c r="B5381">
        <v>1</v>
      </c>
      <c r="C5381" s="54">
        <v>43160</v>
      </c>
      <c r="D5381" s="3" t="str">
        <f>YEAR(Datos_Consumo[[#This Row],[FECHA]])&amp;"-"&amp;MONTH(Datos_Consumo[[#This Row],[FECHA]])</f>
        <v>2018-3</v>
      </c>
    </row>
    <row r="5382" spans="1:4" x14ac:dyDescent="0.25">
      <c r="A5382" t="s">
        <v>4140</v>
      </c>
      <c r="B5382">
        <v>1</v>
      </c>
      <c r="C5382" s="54">
        <v>43191</v>
      </c>
      <c r="D5382" s="3" t="str">
        <f>YEAR(Datos_Consumo[[#This Row],[FECHA]])&amp;"-"&amp;MONTH(Datos_Consumo[[#This Row],[FECHA]])</f>
        <v>2018-4</v>
      </c>
    </row>
    <row r="5383" spans="1:4" x14ac:dyDescent="0.25">
      <c r="A5383" t="s">
        <v>3314</v>
      </c>
      <c r="B5383">
        <v>2</v>
      </c>
      <c r="C5383" s="54">
        <v>43132</v>
      </c>
      <c r="D5383" s="3" t="str">
        <f>YEAR(Datos_Consumo[[#This Row],[FECHA]])&amp;"-"&amp;MONTH(Datos_Consumo[[#This Row],[FECHA]])</f>
        <v>2018-2</v>
      </c>
    </row>
    <row r="5384" spans="1:4" x14ac:dyDescent="0.25">
      <c r="A5384" t="s">
        <v>4141</v>
      </c>
      <c r="B5384">
        <v>1</v>
      </c>
      <c r="C5384" s="54">
        <v>43221</v>
      </c>
      <c r="D5384" s="3" t="str">
        <f>YEAR(Datos_Consumo[[#This Row],[FECHA]])&amp;"-"&amp;MONTH(Datos_Consumo[[#This Row],[FECHA]])</f>
        <v>2018-5</v>
      </c>
    </row>
    <row r="5385" spans="1:4" x14ac:dyDescent="0.25">
      <c r="A5385" t="s">
        <v>3315</v>
      </c>
      <c r="B5385">
        <v>1</v>
      </c>
      <c r="C5385" s="54">
        <v>43101</v>
      </c>
      <c r="D5385" s="3" t="str">
        <f>YEAR(Datos_Consumo[[#This Row],[FECHA]])&amp;"-"&amp;MONTH(Datos_Consumo[[#This Row],[FECHA]])</f>
        <v>2018-1</v>
      </c>
    </row>
    <row r="5386" spans="1:4" x14ac:dyDescent="0.25">
      <c r="A5386" t="s">
        <v>3316</v>
      </c>
      <c r="B5386">
        <v>1</v>
      </c>
      <c r="C5386" s="54">
        <v>43160</v>
      </c>
      <c r="D5386" s="3" t="str">
        <f>YEAR(Datos_Consumo[[#This Row],[FECHA]])&amp;"-"&amp;MONTH(Datos_Consumo[[#This Row],[FECHA]])</f>
        <v>2018-3</v>
      </c>
    </row>
    <row r="5387" spans="1:4" x14ac:dyDescent="0.25">
      <c r="A5387" t="s">
        <v>3317</v>
      </c>
      <c r="B5387">
        <v>2</v>
      </c>
      <c r="C5387" s="54">
        <v>43101</v>
      </c>
      <c r="D5387" s="3" t="str">
        <f>YEAR(Datos_Consumo[[#This Row],[FECHA]])&amp;"-"&amp;MONTH(Datos_Consumo[[#This Row],[FECHA]])</f>
        <v>2018-1</v>
      </c>
    </row>
    <row r="5388" spans="1:4" x14ac:dyDescent="0.25">
      <c r="A5388" t="s">
        <v>3317</v>
      </c>
      <c r="B5388">
        <v>8</v>
      </c>
      <c r="C5388" s="54">
        <v>43160</v>
      </c>
      <c r="D5388" s="3" t="str">
        <f>YEAR(Datos_Consumo[[#This Row],[FECHA]])&amp;"-"&amp;MONTH(Datos_Consumo[[#This Row],[FECHA]])</f>
        <v>2018-3</v>
      </c>
    </row>
    <row r="5389" spans="1:4" x14ac:dyDescent="0.25">
      <c r="A5389" t="s">
        <v>3318</v>
      </c>
      <c r="B5389">
        <v>4</v>
      </c>
      <c r="C5389" s="54">
        <v>43070</v>
      </c>
      <c r="D5389" s="3" t="str">
        <f>YEAR(Datos_Consumo[[#This Row],[FECHA]])&amp;"-"&amp;MONTH(Datos_Consumo[[#This Row],[FECHA]])</f>
        <v>2017-12</v>
      </c>
    </row>
    <row r="5390" spans="1:4" x14ac:dyDescent="0.25">
      <c r="A5390" t="s">
        <v>3319</v>
      </c>
      <c r="B5390">
        <v>1</v>
      </c>
      <c r="C5390" s="54">
        <v>43101</v>
      </c>
      <c r="D5390" s="3" t="str">
        <f>YEAR(Datos_Consumo[[#This Row],[FECHA]])&amp;"-"&amp;MONTH(Datos_Consumo[[#This Row],[FECHA]])</f>
        <v>2018-1</v>
      </c>
    </row>
    <row r="5391" spans="1:4" x14ac:dyDescent="0.25">
      <c r="A5391" t="s">
        <v>3319</v>
      </c>
      <c r="B5391">
        <v>1</v>
      </c>
      <c r="C5391" s="54">
        <v>43221</v>
      </c>
      <c r="D5391" s="3" t="str">
        <f>YEAR(Datos_Consumo[[#This Row],[FECHA]])&amp;"-"&amp;MONTH(Datos_Consumo[[#This Row],[FECHA]])</f>
        <v>2018-5</v>
      </c>
    </row>
    <row r="5392" spans="1:4" x14ac:dyDescent="0.25">
      <c r="A5392" t="s">
        <v>3320</v>
      </c>
      <c r="B5392">
        <v>7</v>
      </c>
      <c r="C5392" s="54">
        <v>43070</v>
      </c>
      <c r="D5392" s="3" t="str">
        <f>YEAR(Datos_Consumo[[#This Row],[FECHA]])&amp;"-"&amp;MONTH(Datos_Consumo[[#This Row],[FECHA]])</f>
        <v>2017-12</v>
      </c>
    </row>
    <row r="5393" spans="1:4" x14ac:dyDescent="0.25">
      <c r="A5393" t="s">
        <v>3320</v>
      </c>
      <c r="B5393">
        <v>8</v>
      </c>
      <c r="C5393" s="54">
        <v>43132</v>
      </c>
      <c r="D5393" s="3" t="str">
        <f>YEAR(Datos_Consumo[[#This Row],[FECHA]])&amp;"-"&amp;MONTH(Datos_Consumo[[#This Row],[FECHA]])</f>
        <v>2018-2</v>
      </c>
    </row>
    <row r="5394" spans="1:4" x14ac:dyDescent="0.25">
      <c r="A5394" t="s">
        <v>3321</v>
      </c>
      <c r="B5394">
        <v>51</v>
      </c>
      <c r="C5394" s="54">
        <v>43132</v>
      </c>
      <c r="D5394" s="3" t="str">
        <f>YEAR(Datos_Consumo[[#This Row],[FECHA]])&amp;"-"&amp;MONTH(Datos_Consumo[[#This Row],[FECHA]])</f>
        <v>2018-2</v>
      </c>
    </row>
    <row r="5395" spans="1:4" x14ac:dyDescent="0.25">
      <c r="A5395" t="s">
        <v>3321</v>
      </c>
      <c r="B5395">
        <v>75</v>
      </c>
      <c r="C5395" s="54">
        <v>43160</v>
      </c>
      <c r="D5395" s="3" t="str">
        <f>YEAR(Datos_Consumo[[#This Row],[FECHA]])&amp;"-"&amp;MONTH(Datos_Consumo[[#This Row],[FECHA]])</f>
        <v>2018-3</v>
      </c>
    </row>
    <row r="5396" spans="1:4" x14ac:dyDescent="0.25">
      <c r="A5396" t="s">
        <v>3321</v>
      </c>
      <c r="B5396">
        <v>14</v>
      </c>
      <c r="C5396" s="54">
        <v>43191</v>
      </c>
      <c r="D5396" s="3" t="str">
        <f>YEAR(Datos_Consumo[[#This Row],[FECHA]])&amp;"-"&amp;MONTH(Datos_Consumo[[#This Row],[FECHA]])</f>
        <v>2018-4</v>
      </c>
    </row>
    <row r="5397" spans="1:4" x14ac:dyDescent="0.25">
      <c r="A5397" t="s">
        <v>3321</v>
      </c>
      <c r="B5397">
        <v>23</v>
      </c>
      <c r="C5397" s="54">
        <v>43221</v>
      </c>
      <c r="D5397" s="3" t="str">
        <f>YEAR(Datos_Consumo[[#This Row],[FECHA]])&amp;"-"&amp;MONTH(Datos_Consumo[[#This Row],[FECHA]])</f>
        <v>2018-5</v>
      </c>
    </row>
    <row r="5398" spans="1:4" x14ac:dyDescent="0.25">
      <c r="A5398" t="s">
        <v>3322</v>
      </c>
      <c r="B5398">
        <v>64</v>
      </c>
      <c r="C5398" s="54">
        <v>43132</v>
      </c>
      <c r="D5398" s="3" t="str">
        <f>YEAR(Datos_Consumo[[#This Row],[FECHA]])&amp;"-"&amp;MONTH(Datos_Consumo[[#This Row],[FECHA]])</f>
        <v>2018-2</v>
      </c>
    </row>
    <row r="5399" spans="1:4" x14ac:dyDescent="0.25">
      <c r="A5399" t="s">
        <v>3322</v>
      </c>
      <c r="B5399">
        <v>37</v>
      </c>
      <c r="C5399" s="54">
        <v>43160</v>
      </c>
      <c r="D5399" s="3" t="str">
        <f>YEAR(Datos_Consumo[[#This Row],[FECHA]])&amp;"-"&amp;MONTH(Datos_Consumo[[#This Row],[FECHA]])</f>
        <v>2018-3</v>
      </c>
    </row>
    <row r="5400" spans="1:4" x14ac:dyDescent="0.25">
      <c r="A5400" t="s">
        <v>3322</v>
      </c>
      <c r="B5400">
        <v>14</v>
      </c>
      <c r="C5400" s="54">
        <v>43191</v>
      </c>
      <c r="D5400" s="3" t="str">
        <f>YEAR(Datos_Consumo[[#This Row],[FECHA]])&amp;"-"&amp;MONTH(Datos_Consumo[[#This Row],[FECHA]])</f>
        <v>2018-4</v>
      </c>
    </row>
    <row r="5401" spans="1:4" x14ac:dyDescent="0.25">
      <c r="A5401" t="s">
        <v>3322</v>
      </c>
      <c r="B5401">
        <v>11</v>
      </c>
      <c r="C5401" s="54">
        <v>43221</v>
      </c>
      <c r="D5401" s="3" t="str">
        <f>YEAR(Datos_Consumo[[#This Row],[FECHA]])&amp;"-"&amp;MONTH(Datos_Consumo[[#This Row],[FECHA]])</f>
        <v>2018-5</v>
      </c>
    </row>
    <row r="5402" spans="1:4" x14ac:dyDescent="0.25">
      <c r="A5402" t="s">
        <v>3323</v>
      </c>
      <c r="B5402">
        <v>97</v>
      </c>
      <c r="C5402" s="54">
        <v>43132</v>
      </c>
      <c r="D5402" s="3" t="str">
        <f>YEAR(Datos_Consumo[[#This Row],[FECHA]])&amp;"-"&amp;MONTH(Datos_Consumo[[#This Row],[FECHA]])</f>
        <v>2018-2</v>
      </c>
    </row>
    <row r="5403" spans="1:4" x14ac:dyDescent="0.25">
      <c r="A5403" t="s">
        <v>3324</v>
      </c>
      <c r="B5403">
        <v>1</v>
      </c>
      <c r="C5403" s="54">
        <v>43070</v>
      </c>
      <c r="D5403" s="3" t="str">
        <f>YEAR(Datos_Consumo[[#This Row],[FECHA]])&amp;"-"&amp;MONTH(Datos_Consumo[[#This Row],[FECHA]])</f>
        <v>2017-12</v>
      </c>
    </row>
    <row r="5404" spans="1:4" x14ac:dyDescent="0.25">
      <c r="A5404" t="s">
        <v>3324</v>
      </c>
      <c r="B5404">
        <v>1</v>
      </c>
      <c r="C5404" s="54">
        <v>43101</v>
      </c>
      <c r="D5404" s="3" t="str">
        <f>YEAR(Datos_Consumo[[#This Row],[FECHA]])&amp;"-"&amp;MONTH(Datos_Consumo[[#This Row],[FECHA]])</f>
        <v>2018-1</v>
      </c>
    </row>
    <row r="5405" spans="1:4" x14ac:dyDescent="0.25">
      <c r="A5405" t="s">
        <v>3324</v>
      </c>
      <c r="B5405">
        <v>101</v>
      </c>
      <c r="C5405" s="54">
        <v>43132</v>
      </c>
      <c r="D5405" s="3" t="str">
        <f>YEAR(Datos_Consumo[[#This Row],[FECHA]])&amp;"-"&amp;MONTH(Datos_Consumo[[#This Row],[FECHA]])</f>
        <v>2018-2</v>
      </c>
    </row>
    <row r="5406" spans="1:4" x14ac:dyDescent="0.25">
      <c r="A5406" t="s">
        <v>3325</v>
      </c>
      <c r="B5406">
        <v>2</v>
      </c>
      <c r="C5406" s="54">
        <v>43132</v>
      </c>
      <c r="D5406" s="3" t="str">
        <f>YEAR(Datos_Consumo[[#This Row],[FECHA]])&amp;"-"&amp;MONTH(Datos_Consumo[[#This Row],[FECHA]])</f>
        <v>2018-2</v>
      </c>
    </row>
    <row r="5407" spans="1:4" x14ac:dyDescent="0.25">
      <c r="A5407" t="s">
        <v>3326</v>
      </c>
      <c r="B5407">
        <v>1</v>
      </c>
      <c r="C5407" s="54">
        <v>43070</v>
      </c>
      <c r="D5407" s="3" t="str">
        <f>YEAR(Datos_Consumo[[#This Row],[FECHA]])&amp;"-"&amp;MONTH(Datos_Consumo[[#This Row],[FECHA]])</f>
        <v>2017-12</v>
      </c>
    </row>
    <row r="5408" spans="1:4" x14ac:dyDescent="0.25">
      <c r="A5408" t="s">
        <v>3327</v>
      </c>
      <c r="B5408">
        <v>2</v>
      </c>
      <c r="C5408" s="54">
        <v>43160</v>
      </c>
      <c r="D5408" s="3" t="str">
        <f>YEAR(Datos_Consumo[[#This Row],[FECHA]])&amp;"-"&amp;MONTH(Datos_Consumo[[#This Row],[FECHA]])</f>
        <v>2018-3</v>
      </c>
    </row>
    <row r="5409" spans="1:4" x14ac:dyDescent="0.25">
      <c r="A5409" t="s">
        <v>3327</v>
      </c>
      <c r="B5409">
        <v>2</v>
      </c>
      <c r="C5409" s="54">
        <v>43191</v>
      </c>
      <c r="D5409" s="3" t="str">
        <f>YEAR(Datos_Consumo[[#This Row],[FECHA]])&amp;"-"&amp;MONTH(Datos_Consumo[[#This Row],[FECHA]])</f>
        <v>2018-4</v>
      </c>
    </row>
    <row r="5410" spans="1:4" x14ac:dyDescent="0.25">
      <c r="A5410" t="s">
        <v>3328</v>
      </c>
      <c r="B5410">
        <v>1</v>
      </c>
      <c r="C5410" s="54">
        <v>43070</v>
      </c>
      <c r="D5410" s="3" t="str">
        <f>YEAR(Datos_Consumo[[#This Row],[FECHA]])&amp;"-"&amp;MONTH(Datos_Consumo[[#This Row],[FECHA]])</f>
        <v>2017-12</v>
      </c>
    </row>
    <row r="5411" spans="1:4" x14ac:dyDescent="0.25">
      <c r="A5411" t="s">
        <v>3328</v>
      </c>
      <c r="B5411">
        <v>5</v>
      </c>
      <c r="C5411" s="54">
        <v>43132</v>
      </c>
      <c r="D5411" s="3" t="str">
        <f>YEAR(Datos_Consumo[[#This Row],[FECHA]])&amp;"-"&amp;MONTH(Datos_Consumo[[#This Row],[FECHA]])</f>
        <v>2018-2</v>
      </c>
    </row>
    <row r="5412" spans="1:4" x14ac:dyDescent="0.25">
      <c r="A5412" t="s">
        <v>3328</v>
      </c>
      <c r="B5412">
        <v>2</v>
      </c>
      <c r="C5412" s="54">
        <v>43221</v>
      </c>
      <c r="D5412" s="3" t="str">
        <f>YEAR(Datos_Consumo[[#This Row],[FECHA]])&amp;"-"&amp;MONTH(Datos_Consumo[[#This Row],[FECHA]])</f>
        <v>2018-5</v>
      </c>
    </row>
    <row r="5413" spans="1:4" x14ac:dyDescent="0.25">
      <c r="A5413" t="s">
        <v>3329</v>
      </c>
      <c r="B5413">
        <v>10</v>
      </c>
      <c r="C5413" s="54">
        <v>43070</v>
      </c>
      <c r="D5413" s="3" t="str">
        <f>YEAR(Datos_Consumo[[#This Row],[FECHA]])&amp;"-"&amp;MONTH(Datos_Consumo[[#This Row],[FECHA]])</f>
        <v>2017-12</v>
      </c>
    </row>
    <row r="5414" spans="1:4" x14ac:dyDescent="0.25">
      <c r="A5414" t="s">
        <v>3329</v>
      </c>
      <c r="B5414">
        <v>14</v>
      </c>
      <c r="C5414" s="54">
        <v>43101</v>
      </c>
      <c r="D5414" s="3" t="str">
        <f>YEAR(Datos_Consumo[[#This Row],[FECHA]])&amp;"-"&amp;MONTH(Datos_Consumo[[#This Row],[FECHA]])</f>
        <v>2018-1</v>
      </c>
    </row>
    <row r="5415" spans="1:4" x14ac:dyDescent="0.25">
      <c r="A5415" t="s">
        <v>3329</v>
      </c>
      <c r="B5415">
        <v>15</v>
      </c>
      <c r="C5415" s="54">
        <v>43160</v>
      </c>
      <c r="D5415" s="3" t="str">
        <f>YEAR(Datos_Consumo[[#This Row],[FECHA]])&amp;"-"&amp;MONTH(Datos_Consumo[[#This Row],[FECHA]])</f>
        <v>2018-3</v>
      </c>
    </row>
    <row r="5416" spans="1:4" x14ac:dyDescent="0.25">
      <c r="A5416" t="s">
        <v>3329</v>
      </c>
      <c r="B5416">
        <v>2</v>
      </c>
      <c r="C5416" s="54">
        <v>43191</v>
      </c>
      <c r="D5416" s="3" t="str">
        <f>YEAR(Datos_Consumo[[#This Row],[FECHA]])&amp;"-"&amp;MONTH(Datos_Consumo[[#This Row],[FECHA]])</f>
        <v>2018-4</v>
      </c>
    </row>
    <row r="5417" spans="1:4" x14ac:dyDescent="0.25">
      <c r="A5417" t="s">
        <v>3330</v>
      </c>
      <c r="B5417">
        <v>3</v>
      </c>
      <c r="C5417" s="54">
        <v>43132</v>
      </c>
      <c r="D5417" s="3" t="str">
        <f>YEAR(Datos_Consumo[[#This Row],[FECHA]])&amp;"-"&amp;MONTH(Datos_Consumo[[#This Row],[FECHA]])</f>
        <v>2018-2</v>
      </c>
    </row>
    <row r="5418" spans="1:4" x14ac:dyDescent="0.25">
      <c r="A5418" t="s">
        <v>3330</v>
      </c>
      <c r="B5418">
        <v>3</v>
      </c>
      <c r="C5418" s="54">
        <v>43191</v>
      </c>
      <c r="D5418" s="3" t="str">
        <f>YEAR(Datos_Consumo[[#This Row],[FECHA]])&amp;"-"&amp;MONTH(Datos_Consumo[[#This Row],[FECHA]])</f>
        <v>2018-4</v>
      </c>
    </row>
    <row r="5419" spans="1:4" x14ac:dyDescent="0.25">
      <c r="A5419" t="s">
        <v>3331</v>
      </c>
      <c r="B5419">
        <v>2</v>
      </c>
      <c r="C5419" s="54">
        <v>43070</v>
      </c>
      <c r="D5419" s="3" t="str">
        <f>YEAR(Datos_Consumo[[#This Row],[FECHA]])&amp;"-"&amp;MONTH(Datos_Consumo[[#This Row],[FECHA]])</f>
        <v>2017-12</v>
      </c>
    </row>
    <row r="5420" spans="1:4" x14ac:dyDescent="0.25">
      <c r="A5420" t="s">
        <v>3331</v>
      </c>
      <c r="B5420">
        <v>3</v>
      </c>
      <c r="C5420" s="54">
        <v>43101</v>
      </c>
      <c r="D5420" s="3" t="str">
        <f>YEAR(Datos_Consumo[[#This Row],[FECHA]])&amp;"-"&amp;MONTH(Datos_Consumo[[#This Row],[FECHA]])</f>
        <v>2018-1</v>
      </c>
    </row>
    <row r="5421" spans="1:4" x14ac:dyDescent="0.25">
      <c r="A5421" t="s">
        <v>3331</v>
      </c>
      <c r="B5421">
        <v>3</v>
      </c>
      <c r="C5421" s="54">
        <v>43132</v>
      </c>
      <c r="D5421" s="3" t="str">
        <f>YEAR(Datos_Consumo[[#This Row],[FECHA]])&amp;"-"&amp;MONTH(Datos_Consumo[[#This Row],[FECHA]])</f>
        <v>2018-2</v>
      </c>
    </row>
    <row r="5422" spans="1:4" x14ac:dyDescent="0.25">
      <c r="A5422" t="s">
        <v>3331</v>
      </c>
      <c r="B5422">
        <v>2</v>
      </c>
      <c r="C5422" s="54">
        <v>43191</v>
      </c>
      <c r="D5422" s="3" t="str">
        <f>YEAR(Datos_Consumo[[#This Row],[FECHA]])&amp;"-"&amp;MONTH(Datos_Consumo[[#This Row],[FECHA]])</f>
        <v>2018-4</v>
      </c>
    </row>
    <row r="5423" spans="1:4" x14ac:dyDescent="0.25">
      <c r="A5423" t="s">
        <v>3332</v>
      </c>
      <c r="B5423">
        <v>2</v>
      </c>
      <c r="C5423" s="54">
        <v>43160</v>
      </c>
      <c r="D5423" s="3" t="str">
        <f>YEAR(Datos_Consumo[[#This Row],[FECHA]])&amp;"-"&amp;MONTH(Datos_Consumo[[#This Row],[FECHA]])</f>
        <v>2018-3</v>
      </c>
    </row>
    <row r="5424" spans="1:4" x14ac:dyDescent="0.25">
      <c r="A5424" t="s">
        <v>3333</v>
      </c>
      <c r="B5424">
        <v>3</v>
      </c>
      <c r="C5424" s="54">
        <v>43070</v>
      </c>
      <c r="D5424" s="3" t="str">
        <f>YEAR(Datos_Consumo[[#This Row],[FECHA]])&amp;"-"&amp;MONTH(Datos_Consumo[[#This Row],[FECHA]])</f>
        <v>2017-12</v>
      </c>
    </row>
    <row r="5425" spans="1:4" x14ac:dyDescent="0.25">
      <c r="A5425" t="s">
        <v>3333</v>
      </c>
      <c r="B5425">
        <v>3</v>
      </c>
      <c r="C5425" s="54">
        <v>43101</v>
      </c>
      <c r="D5425" s="3" t="str">
        <f>YEAR(Datos_Consumo[[#This Row],[FECHA]])&amp;"-"&amp;MONTH(Datos_Consumo[[#This Row],[FECHA]])</f>
        <v>2018-1</v>
      </c>
    </row>
    <row r="5426" spans="1:4" x14ac:dyDescent="0.25">
      <c r="A5426" t="s">
        <v>3333</v>
      </c>
      <c r="B5426">
        <v>10</v>
      </c>
      <c r="C5426" s="54">
        <v>43132</v>
      </c>
      <c r="D5426" s="3" t="str">
        <f>YEAR(Datos_Consumo[[#This Row],[FECHA]])&amp;"-"&amp;MONTH(Datos_Consumo[[#This Row],[FECHA]])</f>
        <v>2018-2</v>
      </c>
    </row>
    <row r="5427" spans="1:4" x14ac:dyDescent="0.25">
      <c r="A5427" t="s">
        <v>3333</v>
      </c>
      <c r="B5427">
        <v>1</v>
      </c>
      <c r="C5427" s="54">
        <v>43160</v>
      </c>
      <c r="D5427" s="3" t="str">
        <f>YEAR(Datos_Consumo[[#This Row],[FECHA]])&amp;"-"&amp;MONTH(Datos_Consumo[[#This Row],[FECHA]])</f>
        <v>2018-3</v>
      </c>
    </row>
    <row r="5428" spans="1:4" x14ac:dyDescent="0.25">
      <c r="A5428" t="s">
        <v>3333</v>
      </c>
      <c r="B5428">
        <v>6</v>
      </c>
      <c r="C5428" s="54">
        <v>43191</v>
      </c>
      <c r="D5428" s="3" t="str">
        <f>YEAR(Datos_Consumo[[#This Row],[FECHA]])&amp;"-"&amp;MONTH(Datos_Consumo[[#This Row],[FECHA]])</f>
        <v>2018-4</v>
      </c>
    </row>
    <row r="5429" spans="1:4" x14ac:dyDescent="0.25">
      <c r="A5429" t="s">
        <v>3334</v>
      </c>
      <c r="B5429">
        <v>4</v>
      </c>
      <c r="C5429" s="54">
        <v>43070</v>
      </c>
      <c r="D5429" s="3" t="str">
        <f>YEAR(Datos_Consumo[[#This Row],[FECHA]])&amp;"-"&amp;MONTH(Datos_Consumo[[#This Row],[FECHA]])</f>
        <v>2017-12</v>
      </c>
    </row>
    <row r="5430" spans="1:4" x14ac:dyDescent="0.25">
      <c r="A5430" t="s">
        <v>3334</v>
      </c>
      <c r="B5430">
        <v>3</v>
      </c>
      <c r="C5430" s="54">
        <v>43101</v>
      </c>
      <c r="D5430" s="3" t="str">
        <f>YEAR(Datos_Consumo[[#This Row],[FECHA]])&amp;"-"&amp;MONTH(Datos_Consumo[[#This Row],[FECHA]])</f>
        <v>2018-1</v>
      </c>
    </row>
    <row r="5431" spans="1:4" x14ac:dyDescent="0.25">
      <c r="A5431" t="s">
        <v>3334</v>
      </c>
      <c r="B5431">
        <v>9</v>
      </c>
      <c r="C5431" s="54">
        <v>43132</v>
      </c>
      <c r="D5431" s="3" t="str">
        <f>YEAR(Datos_Consumo[[#This Row],[FECHA]])&amp;"-"&amp;MONTH(Datos_Consumo[[#This Row],[FECHA]])</f>
        <v>2018-2</v>
      </c>
    </row>
    <row r="5432" spans="1:4" x14ac:dyDescent="0.25">
      <c r="A5432" t="s">
        <v>3334</v>
      </c>
      <c r="B5432">
        <v>4</v>
      </c>
      <c r="C5432" s="54">
        <v>43191</v>
      </c>
      <c r="D5432" s="3" t="str">
        <f>YEAR(Datos_Consumo[[#This Row],[FECHA]])&amp;"-"&amp;MONTH(Datos_Consumo[[#This Row],[FECHA]])</f>
        <v>2018-4</v>
      </c>
    </row>
    <row r="5433" spans="1:4" x14ac:dyDescent="0.25">
      <c r="A5433" t="s">
        <v>3335</v>
      </c>
      <c r="B5433">
        <v>1</v>
      </c>
      <c r="C5433" s="54">
        <v>43160</v>
      </c>
      <c r="D5433" s="3" t="str">
        <f>YEAR(Datos_Consumo[[#This Row],[FECHA]])&amp;"-"&amp;MONTH(Datos_Consumo[[#This Row],[FECHA]])</f>
        <v>2018-3</v>
      </c>
    </row>
    <row r="5434" spans="1:4" x14ac:dyDescent="0.25">
      <c r="A5434" t="s">
        <v>3335</v>
      </c>
      <c r="B5434">
        <v>2</v>
      </c>
      <c r="C5434" s="54">
        <v>43191</v>
      </c>
      <c r="D5434" s="3" t="str">
        <f>YEAR(Datos_Consumo[[#This Row],[FECHA]])&amp;"-"&amp;MONTH(Datos_Consumo[[#This Row],[FECHA]])</f>
        <v>2018-4</v>
      </c>
    </row>
    <row r="5435" spans="1:4" x14ac:dyDescent="0.25">
      <c r="A5435" t="s">
        <v>3336</v>
      </c>
      <c r="B5435">
        <v>11</v>
      </c>
      <c r="C5435" s="54">
        <v>43070</v>
      </c>
      <c r="D5435" s="3" t="str">
        <f>YEAR(Datos_Consumo[[#This Row],[FECHA]])&amp;"-"&amp;MONTH(Datos_Consumo[[#This Row],[FECHA]])</f>
        <v>2017-12</v>
      </c>
    </row>
    <row r="5436" spans="1:4" x14ac:dyDescent="0.25">
      <c r="A5436" t="s">
        <v>3336</v>
      </c>
      <c r="B5436">
        <v>6</v>
      </c>
      <c r="C5436" s="54">
        <v>43101</v>
      </c>
      <c r="D5436" s="3" t="str">
        <f>YEAR(Datos_Consumo[[#This Row],[FECHA]])&amp;"-"&amp;MONTH(Datos_Consumo[[#This Row],[FECHA]])</f>
        <v>2018-1</v>
      </c>
    </row>
    <row r="5437" spans="1:4" x14ac:dyDescent="0.25">
      <c r="A5437" t="s">
        <v>3336</v>
      </c>
      <c r="B5437">
        <v>2</v>
      </c>
      <c r="C5437" s="54">
        <v>43132</v>
      </c>
      <c r="D5437" s="3" t="str">
        <f>YEAR(Datos_Consumo[[#This Row],[FECHA]])&amp;"-"&amp;MONTH(Datos_Consumo[[#This Row],[FECHA]])</f>
        <v>2018-2</v>
      </c>
    </row>
    <row r="5438" spans="1:4" x14ac:dyDescent="0.25">
      <c r="A5438" t="s">
        <v>3336</v>
      </c>
      <c r="B5438">
        <v>4</v>
      </c>
      <c r="C5438" s="54">
        <v>43160</v>
      </c>
      <c r="D5438" s="3" t="str">
        <f>YEAR(Datos_Consumo[[#This Row],[FECHA]])&amp;"-"&amp;MONTH(Datos_Consumo[[#This Row],[FECHA]])</f>
        <v>2018-3</v>
      </c>
    </row>
    <row r="5439" spans="1:4" x14ac:dyDescent="0.25">
      <c r="A5439" t="s">
        <v>3337</v>
      </c>
      <c r="B5439">
        <v>1</v>
      </c>
      <c r="C5439" s="54">
        <v>43132</v>
      </c>
      <c r="D5439" s="3" t="str">
        <f>YEAR(Datos_Consumo[[#This Row],[FECHA]])&amp;"-"&amp;MONTH(Datos_Consumo[[#This Row],[FECHA]])</f>
        <v>2018-2</v>
      </c>
    </row>
    <row r="5440" spans="1:4" x14ac:dyDescent="0.25">
      <c r="A5440" t="s">
        <v>3338</v>
      </c>
      <c r="B5440">
        <v>1</v>
      </c>
      <c r="C5440" s="54">
        <v>43132</v>
      </c>
      <c r="D5440" s="3" t="str">
        <f>YEAR(Datos_Consumo[[#This Row],[FECHA]])&amp;"-"&amp;MONTH(Datos_Consumo[[#This Row],[FECHA]])</f>
        <v>2018-2</v>
      </c>
    </row>
    <row r="5441" spans="1:4" x14ac:dyDescent="0.25">
      <c r="A5441" t="s">
        <v>3339</v>
      </c>
      <c r="B5441">
        <v>1</v>
      </c>
      <c r="C5441" s="54">
        <v>43132</v>
      </c>
      <c r="D5441" s="3" t="str">
        <f>YEAR(Datos_Consumo[[#This Row],[FECHA]])&amp;"-"&amp;MONTH(Datos_Consumo[[#This Row],[FECHA]])</f>
        <v>2018-2</v>
      </c>
    </row>
    <row r="5442" spans="1:4" x14ac:dyDescent="0.25">
      <c r="A5442" t="s">
        <v>3340</v>
      </c>
      <c r="B5442">
        <v>3</v>
      </c>
      <c r="C5442" s="54">
        <v>43101</v>
      </c>
      <c r="D5442" s="3" t="str">
        <f>YEAR(Datos_Consumo[[#This Row],[FECHA]])&amp;"-"&amp;MONTH(Datos_Consumo[[#This Row],[FECHA]])</f>
        <v>2018-1</v>
      </c>
    </row>
    <row r="5443" spans="1:4" x14ac:dyDescent="0.25">
      <c r="A5443" t="s">
        <v>3341</v>
      </c>
      <c r="B5443">
        <v>2</v>
      </c>
      <c r="C5443" s="54">
        <v>43101</v>
      </c>
      <c r="D5443" s="3" t="str">
        <f>YEAR(Datos_Consumo[[#This Row],[FECHA]])&amp;"-"&amp;MONTH(Datos_Consumo[[#This Row],[FECHA]])</f>
        <v>2018-1</v>
      </c>
    </row>
    <row r="5444" spans="1:4" x14ac:dyDescent="0.25">
      <c r="A5444" t="s">
        <v>3342</v>
      </c>
      <c r="B5444">
        <v>1</v>
      </c>
      <c r="C5444" s="54">
        <v>43070</v>
      </c>
      <c r="D5444" s="3" t="str">
        <f>YEAR(Datos_Consumo[[#This Row],[FECHA]])&amp;"-"&amp;MONTH(Datos_Consumo[[#This Row],[FECHA]])</f>
        <v>2017-12</v>
      </c>
    </row>
    <row r="5445" spans="1:4" x14ac:dyDescent="0.25">
      <c r="A5445" t="s">
        <v>3342</v>
      </c>
      <c r="B5445">
        <v>12</v>
      </c>
      <c r="C5445" s="54">
        <v>43101</v>
      </c>
      <c r="D5445" s="3" t="str">
        <f>YEAR(Datos_Consumo[[#This Row],[FECHA]])&amp;"-"&amp;MONTH(Datos_Consumo[[#This Row],[FECHA]])</f>
        <v>2018-1</v>
      </c>
    </row>
    <row r="5446" spans="1:4" x14ac:dyDescent="0.25">
      <c r="A5446" t="s">
        <v>3342</v>
      </c>
      <c r="B5446">
        <v>6</v>
      </c>
      <c r="C5446" s="54">
        <v>43132</v>
      </c>
      <c r="D5446" s="3" t="str">
        <f>YEAR(Datos_Consumo[[#This Row],[FECHA]])&amp;"-"&amp;MONTH(Datos_Consumo[[#This Row],[FECHA]])</f>
        <v>2018-2</v>
      </c>
    </row>
    <row r="5447" spans="1:4" x14ac:dyDescent="0.25">
      <c r="A5447" t="s">
        <v>3342</v>
      </c>
      <c r="B5447">
        <v>4</v>
      </c>
      <c r="C5447" s="54">
        <v>43160</v>
      </c>
      <c r="D5447" s="3" t="str">
        <f>YEAR(Datos_Consumo[[#This Row],[FECHA]])&amp;"-"&amp;MONTH(Datos_Consumo[[#This Row],[FECHA]])</f>
        <v>2018-3</v>
      </c>
    </row>
    <row r="5448" spans="1:4" x14ac:dyDescent="0.25">
      <c r="A5448" t="s">
        <v>3343</v>
      </c>
      <c r="B5448">
        <v>1</v>
      </c>
      <c r="C5448" s="54">
        <v>43070</v>
      </c>
      <c r="D5448" s="3" t="str">
        <f>YEAR(Datos_Consumo[[#This Row],[FECHA]])&amp;"-"&amp;MONTH(Datos_Consumo[[#This Row],[FECHA]])</f>
        <v>2017-12</v>
      </c>
    </row>
    <row r="5449" spans="1:4" x14ac:dyDescent="0.25">
      <c r="A5449" t="s">
        <v>3343</v>
      </c>
      <c r="B5449">
        <v>8</v>
      </c>
      <c r="C5449" s="54">
        <v>43101</v>
      </c>
      <c r="D5449" s="3" t="str">
        <f>YEAR(Datos_Consumo[[#This Row],[FECHA]])&amp;"-"&amp;MONTH(Datos_Consumo[[#This Row],[FECHA]])</f>
        <v>2018-1</v>
      </c>
    </row>
    <row r="5450" spans="1:4" x14ac:dyDescent="0.25">
      <c r="A5450" t="s">
        <v>3344</v>
      </c>
      <c r="B5450">
        <v>2</v>
      </c>
      <c r="C5450" s="54">
        <v>43070</v>
      </c>
      <c r="D5450" s="3" t="str">
        <f>YEAR(Datos_Consumo[[#This Row],[FECHA]])&amp;"-"&amp;MONTH(Datos_Consumo[[#This Row],[FECHA]])</f>
        <v>2017-12</v>
      </c>
    </row>
    <row r="5451" spans="1:4" x14ac:dyDescent="0.25">
      <c r="A5451" t="s">
        <v>3345</v>
      </c>
      <c r="B5451">
        <v>2</v>
      </c>
      <c r="C5451" s="54">
        <v>43191</v>
      </c>
      <c r="D5451" s="3" t="str">
        <f>YEAR(Datos_Consumo[[#This Row],[FECHA]])&amp;"-"&amp;MONTH(Datos_Consumo[[#This Row],[FECHA]])</f>
        <v>2018-4</v>
      </c>
    </row>
    <row r="5452" spans="1:4" x14ac:dyDescent="0.25">
      <c r="A5452" t="s">
        <v>3346</v>
      </c>
      <c r="B5452">
        <v>1</v>
      </c>
      <c r="C5452" s="54">
        <v>43160</v>
      </c>
      <c r="D5452" s="3" t="str">
        <f>YEAR(Datos_Consumo[[#This Row],[FECHA]])&amp;"-"&amp;MONTH(Datos_Consumo[[#This Row],[FECHA]])</f>
        <v>2018-3</v>
      </c>
    </row>
    <row r="5453" spans="1:4" x14ac:dyDescent="0.25">
      <c r="A5453" t="s">
        <v>3347</v>
      </c>
      <c r="B5453">
        <v>1</v>
      </c>
      <c r="C5453" s="54">
        <v>43160</v>
      </c>
      <c r="D5453" s="3" t="str">
        <f>YEAR(Datos_Consumo[[#This Row],[FECHA]])&amp;"-"&amp;MONTH(Datos_Consumo[[#This Row],[FECHA]])</f>
        <v>2018-3</v>
      </c>
    </row>
    <row r="5454" spans="1:4" x14ac:dyDescent="0.25">
      <c r="A5454" t="s">
        <v>3348</v>
      </c>
      <c r="B5454">
        <v>1</v>
      </c>
      <c r="C5454" s="54">
        <v>43070</v>
      </c>
      <c r="D5454" s="3" t="str">
        <f>YEAR(Datos_Consumo[[#This Row],[FECHA]])&amp;"-"&amp;MONTH(Datos_Consumo[[#This Row],[FECHA]])</f>
        <v>2017-12</v>
      </c>
    </row>
    <row r="5455" spans="1:4" x14ac:dyDescent="0.25">
      <c r="A5455" t="s">
        <v>3348</v>
      </c>
      <c r="B5455">
        <v>1</v>
      </c>
      <c r="C5455" s="54">
        <v>43160</v>
      </c>
      <c r="D5455" s="3" t="str">
        <f>YEAR(Datos_Consumo[[#This Row],[FECHA]])&amp;"-"&amp;MONTH(Datos_Consumo[[#This Row],[FECHA]])</f>
        <v>2018-3</v>
      </c>
    </row>
    <row r="5456" spans="1:4" x14ac:dyDescent="0.25">
      <c r="A5456" t="s">
        <v>3348</v>
      </c>
      <c r="B5456">
        <v>1</v>
      </c>
      <c r="C5456" s="54">
        <v>43191</v>
      </c>
      <c r="D5456" s="3" t="str">
        <f>YEAR(Datos_Consumo[[#This Row],[FECHA]])&amp;"-"&amp;MONTH(Datos_Consumo[[#This Row],[FECHA]])</f>
        <v>2018-4</v>
      </c>
    </row>
    <row r="5457" spans="1:4" x14ac:dyDescent="0.25">
      <c r="A5457" t="s">
        <v>3349</v>
      </c>
      <c r="B5457">
        <v>6</v>
      </c>
      <c r="C5457" s="54">
        <v>43070</v>
      </c>
      <c r="D5457" s="3" t="str">
        <f>YEAR(Datos_Consumo[[#This Row],[FECHA]])&amp;"-"&amp;MONTH(Datos_Consumo[[#This Row],[FECHA]])</f>
        <v>2017-12</v>
      </c>
    </row>
    <row r="5458" spans="1:4" x14ac:dyDescent="0.25">
      <c r="A5458" t="s">
        <v>3349</v>
      </c>
      <c r="B5458">
        <v>1</v>
      </c>
      <c r="C5458" s="54">
        <v>43101</v>
      </c>
      <c r="D5458" s="3" t="str">
        <f>YEAR(Datos_Consumo[[#This Row],[FECHA]])&amp;"-"&amp;MONTH(Datos_Consumo[[#This Row],[FECHA]])</f>
        <v>2018-1</v>
      </c>
    </row>
    <row r="5459" spans="1:4" x14ac:dyDescent="0.25">
      <c r="A5459" t="s">
        <v>3349</v>
      </c>
      <c r="B5459">
        <v>3</v>
      </c>
      <c r="C5459" s="54">
        <v>43132</v>
      </c>
      <c r="D5459" s="3" t="str">
        <f>YEAR(Datos_Consumo[[#This Row],[FECHA]])&amp;"-"&amp;MONTH(Datos_Consumo[[#This Row],[FECHA]])</f>
        <v>2018-2</v>
      </c>
    </row>
    <row r="5460" spans="1:4" x14ac:dyDescent="0.25">
      <c r="A5460" t="s">
        <v>3349</v>
      </c>
      <c r="B5460">
        <v>2</v>
      </c>
      <c r="C5460" s="54">
        <v>43160</v>
      </c>
      <c r="D5460" s="3" t="str">
        <f>YEAR(Datos_Consumo[[#This Row],[FECHA]])&amp;"-"&amp;MONTH(Datos_Consumo[[#This Row],[FECHA]])</f>
        <v>2018-3</v>
      </c>
    </row>
    <row r="5461" spans="1:4" x14ac:dyDescent="0.25">
      <c r="A5461" t="s">
        <v>3349</v>
      </c>
      <c r="B5461">
        <v>4</v>
      </c>
      <c r="C5461" s="54">
        <v>43191</v>
      </c>
      <c r="D5461" s="3" t="str">
        <f>YEAR(Datos_Consumo[[#This Row],[FECHA]])&amp;"-"&amp;MONTH(Datos_Consumo[[#This Row],[FECHA]])</f>
        <v>2018-4</v>
      </c>
    </row>
    <row r="5462" spans="1:4" x14ac:dyDescent="0.25">
      <c r="A5462" t="s">
        <v>3349</v>
      </c>
      <c r="B5462">
        <v>24</v>
      </c>
      <c r="C5462" s="54">
        <v>43221</v>
      </c>
      <c r="D5462" s="3" t="str">
        <f>YEAR(Datos_Consumo[[#This Row],[FECHA]])&amp;"-"&amp;MONTH(Datos_Consumo[[#This Row],[FECHA]])</f>
        <v>2018-5</v>
      </c>
    </row>
    <row r="5463" spans="1:4" x14ac:dyDescent="0.25">
      <c r="A5463" t="s">
        <v>3350</v>
      </c>
      <c r="B5463">
        <v>3</v>
      </c>
      <c r="C5463" s="54">
        <v>43132</v>
      </c>
      <c r="D5463" s="3" t="str">
        <f>YEAR(Datos_Consumo[[#This Row],[FECHA]])&amp;"-"&amp;MONTH(Datos_Consumo[[#This Row],[FECHA]])</f>
        <v>2018-2</v>
      </c>
    </row>
    <row r="5464" spans="1:4" x14ac:dyDescent="0.25">
      <c r="A5464" t="s">
        <v>3350</v>
      </c>
      <c r="B5464">
        <v>1</v>
      </c>
      <c r="C5464" s="54">
        <v>43160</v>
      </c>
      <c r="D5464" s="3" t="str">
        <f>YEAR(Datos_Consumo[[#This Row],[FECHA]])&amp;"-"&amp;MONTH(Datos_Consumo[[#This Row],[FECHA]])</f>
        <v>2018-3</v>
      </c>
    </row>
    <row r="5465" spans="1:4" x14ac:dyDescent="0.25">
      <c r="A5465" t="s">
        <v>3350</v>
      </c>
      <c r="B5465">
        <v>4</v>
      </c>
      <c r="C5465" s="54">
        <v>43191</v>
      </c>
      <c r="D5465" s="3" t="str">
        <f>YEAR(Datos_Consumo[[#This Row],[FECHA]])&amp;"-"&amp;MONTH(Datos_Consumo[[#This Row],[FECHA]])</f>
        <v>2018-4</v>
      </c>
    </row>
    <row r="5466" spans="1:4" x14ac:dyDescent="0.25">
      <c r="A5466" t="s">
        <v>3350</v>
      </c>
      <c r="B5466">
        <v>3</v>
      </c>
      <c r="C5466" s="54">
        <v>43221</v>
      </c>
      <c r="D5466" s="3" t="str">
        <f>YEAR(Datos_Consumo[[#This Row],[FECHA]])&amp;"-"&amp;MONTH(Datos_Consumo[[#This Row],[FECHA]])</f>
        <v>2018-5</v>
      </c>
    </row>
    <row r="5467" spans="1:4" x14ac:dyDescent="0.25">
      <c r="A5467" t="s">
        <v>3351</v>
      </c>
      <c r="B5467">
        <v>37</v>
      </c>
      <c r="C5467" s="54">
        <v>43132</v>
      </c>
      <c r="D5467" s="3" t="str">
        <f>YEAR(Datos_Consumo[[#This Row],[FECHA]])&amp;"-"&amp;MONTH(Datos_Consumo[[#This Row],[FECHA]])</f>
        <v>2018-2</v>
      </c>
    </row>
    <row r="5468" spans="1:4" x14ac:dyDescent="0.25">
      <c r="A5468" t="s">
        <v>3351</v>
      </c>
      <c r="B5468">
        <v>43</v>
      </c>
      <c r="C5468" s="54">
        <v>43160</v>
      </c>
      <c r="D5468" s="3" t="str">
        <f>YEAR(Datos_Consumo[[#This Row],[FECHA]])&amp;"-"&amp;MONTH(Datos_Consumo[[#This Row],[FECHA]])</f>
        <v>2018-3</v>
      </c>
    </row>
    <row r="5469" spans="1:4" x14ac:dyDescent="0.25">
      <c r="A5469" t="s">
        <v>3351</v>
      </c>
      <c r="B5469">
        <v>4</v>
      </c>
      <c r="C5469" s="54">
        <v>43191</v>
      </c>
      <c r="D5469" s="3" t="str">
        <f>YEAR(Datos_Consumo[[#This Row],[FECHA]])&amp;"-"&amp;MONTH(Datos_Consumo[[#This Row],[FECHA]])</f>
        <v>2018-4</v>
      </c>
    </row>
    <row r="5470" spans="1:4" x14ac:dyDescent="0.25">
      <c r="A5470" t="s">
        <v>3352</v>
      </c>
      <c r="B5470">
        <v>11</v>
      </c>
      <c r="C5470" s="54">
        <v>43132</v>
      </c>
      <c r="D5470" s="3" t="str">
        <f>YEAR(Datos_Consumo[[#This Row],[FECHA]])&amp;"-"&amp;MONTH(Datos_Consumo[[#This Row],[FECHA]])</f>
        <v>2018-2</v>
      </c>
    </row>
    <row r="5471" spans="1:4" x14ac:dyDescent="0.25">
      <c r="A5471" t="s">
        <v>3353</v>
      </c>
      <c r="B5471">
        <v>1</v>
      </c>
      <c r="C5471" s="54">
        <v>43132</v>
      </c>
      <c r="D5471" s="3" t="str">
        <f>YEAR(Datos_Consumo[[#This Row],[FECHA]])&amp;"-"&amp;MONTH(Datos_Consumo[[#This Row],[FECHA]])</f>
        <v>2018-2</v>
      </c>
    </row>
    <row r="5472" spans="1:4" x14ac:dyDescent="0.25">
      <c r="A5472" t="s">
        <v>1442</v>
      </c>
      <c r="B5472">
        <v>1</v>
      </c>
      <c r="C5472" s="54">
        <v>43132</v>
      </c>
      <c r="D5472" s="3" t="str">
        <f>YEAR(Datos_Consumo[[#This Row],[FECHA]])&amp;"-"&amp;MONTH(Datos_Consumo[[#This Row],[FECHA]])</f>
        <v>2018-2</v>
      </c>
    </row>
    <row r="5473" spans="1:4" x14ac:dyDescent="0.25">
      <c r="A5473" t="s">
        <v>1442</v>
      </c>
      <c r="B5473">
        <v>2</v>
      </c>
      <c r="C5473" s="54">
        <v>43191</v>
      </c>
      <c r="D5473" s="3" t="str">
        <f>YEAR(Datos_Consumo[[#This Row],[FECHA]])&amp;"-"&amp;MONTH(Datos_Consumo[[#This Row],[FECHA]])</f>
        <v>2018-4</v>
      </c>
    </row>
    <row r="5474" spans="1:4" x14ac:dyDescent="0.25">
      <c r="A5474" t="s">
        <v>3354</v>
      </c>
      <c r="B5474">
        <v>276.45</v>
      </c>
      <c r="C5474" s="54">
        <v>43070</v>
      </c>
      <c r="D5474" s="3" t="str">
        <f>YEAR(Datos_Consumo[[#This Row],[FECHA]])&amp;"-"&amp;MONTH(Datos_Consumo[[#This Row],[FECHA]])</f>
        <v>2017-12</v>
      </c>
    </row>
    <row r="5475" spans="1:4" x14ac:dyDescent="0.25">
      <c r="A5475" t="s">
        <v>3354</v>
      </c>
      <c r="B5475">
        <v>398.93</v>
      </c>
      <c r="C5475" s="54">
        <v>43101</v>
      </c>
      <c r="D5475" s="3" t="str">
        <f>YEAR(Datos_Consumo[[#This Row],[FECHA]])&amp;"-"&amp;MONTH(Datos_Consumo[[#This Row],[FECHA]])</f>
        <v>2018-1</v>
      </c>
    </row>
    <row r="5476" spans="1:4" x14ac:dyDescent="0.25">
      <c r="A5476" t="s">
        <v>3354</v>
      </c>
      <c r="B5476">
        <v>447.93</v>
      </c>
      <c r="C5476" s="54">
        <v>43132</v>
      </c>
      <c r="D5476" s="3" t="str">
        <f>YEAR(Datos_Consumo[[#This Row],[FECHA]])&amp;"-"&amp;MONTH(Datos_Consumo[[#This Row],[FECHA]])</f>
        <v>2018-2</v>
      </c>
    </row>
    <row r="5477" spans="1:4" x14ac:dyDescent="0.25">
      <c r="A5477" t="s">
        <v>3354</v>
      </c>
      <c r="B5477">
        <v>359.65</v>
      </c>
      <c r="C5477" s="54">
        <v>43160</v>
      </c>
      <c r="D5477" s="3" t="str">
        <f>YEAR(Datos_Consumo[[#This Row],[FECHA]])&amp;"-"&amp;MONTH(Datos_Consumo[[#This Row],[FECHA]])</f>
        <v>2018-3</v>
      </c>
    </row>
    <row r="5478" spans="1:4" x14ac:dyDescent="0.25">
      <c r="A5478" t="s">
        <v>3354</v>
      </c>
      <c r="B5478">
        <v>440.32</v>
      </c>
      <c r="C5478" s="54">
        <v>43191</v>
      </c>
      <c r="D5478" s="3" t="str">
        <f>YEAR(Datos_Consumo[[#This Row],[FECHA]])&amp;"-"&amp;MONTH(Datos_Consumo[[#This Row],[FECHA]])</f>
        <v>2018-4</v>
      </c>
    </row>
    <row r="5479" spans="1:4" x14ac:dyDescent="0.25">
      <c r="A5479" t="s">
        <v>3354</v>
      </c>
      <c r="B5479">
        <v>228.17</v>
      </c>
      <c r="C5479" s="54">
        <v>43221</v>
      </c>
      <c r="D5479" s="3" t="str">
        <f>YEAR(Datos_Consumo[[#This Row],[FECHA]])&amp;"-"&amp;MONTH(Datos_Consumo[[#This Row],[FECHA]])</f>
        <v>2018-5</v>
      </c>
    </row>
    <row r="5480" spans="1:4" x14ac:dyDescent="0.25">
      <c r="A5480" t="s">
        <v>3355</v>
      </c>
      <c r="B5480">
        <v>1</v>
      </c>
      <c r="C5480" s="54">
        <v>43070</v>
      </c>
      <c r="D5480" s="3" t="str">
        <f>YEAR(Datos_Consumo[[#This Row],[FECHA]])&amp;"-"&amp;MONTH(Datos_Consumo[[#This Row],[FECHA]])</f>
        <v>2017-12</v>
      </c>
    </row>
    <row r="5481" spans="1:4" x14ac:dyDescent="0.25">
      <c r="A5481" t="s">
        <v>3355</v>
      </c>
      <c r="B5481">
        <v>3</v>
      </c>
      <c r="C5481" s="54">
        <v>43101</v>
      </c>
      <c r="D5481" s="3" t="str">
        <f>YEAR(Datos_Consumo[[#This Row],[FECHA]])&amp;"-"&amp;MONTH(Datos_Consumo[[#This Row],[FECHA]])</f>
        <v>2018-1</v>
      </c>
    </row>
    <row r="5482" spans="1:4" x14ac:dyDescent="0.25">
      <c r="A5482" t="s">
        <v>3355</v>
      </c>
      <c r="B5482">
        <v>1</v>
      </c>
      <c r="C5482" s="54">
        <v>43132</v>
      </c>
      <c r="D5482" s="3" t="str">
        <f>YEAR(Datos_Consumo[[#This Row],[FECHA]])&amp;"-"&amp;MONTH(Datos_Consumo[[#This Row],[FECHA]])</f>
        <v>2018-2</v>
      </c>
    </row>
    <row r="5483" spans="1:4" x14ac:dyDescent="0.25">
      <c r="A5483" t="s">
        <v>3356</v>
      </c>
      <c r="B5483">
        <v>5</v>
      </c>
      <c r="C5483" s="54">
        <v>43101</v>
      </c>
      <c r="D5483" s="3" t="str">
        <f>YEAR(Datos_Consumo[[#This Row],[FECHA]])&amp;"-"&amp;MONTH(Datos_Consumo[[#This Row],[FECHA]])</f>
        <v>2018-1</v>
      </c>
    </row>
    <row r="5484" spans="1:4" x14ac:dyDescent="0.25">
      <c r="A5484" t="s">
        <v>3356</v>
      </c>
      <c r="B5484">
        <v>5</v>
      </c>
      <c r="C5484" s="54">
        <v>43132</v>
      </c>
      <c r="D5484" s="3" t="str">
        <f>YEAR(Datos_Consumo[[#This Row],[FECHA]])&amp;"-"&amp;MONTH(Datos_Consumo[[#This Row],[FECHA]])</f>
        <v>2018-2</v>
      </c>
    </row>
    <row r="5485" spans="1:4" x14ac:dyDescent="0.25">
      <c r="A5485" t="s">
        <v>3356</v>
      </c>
      <c r="B5485">
        <v>21</v>
      </c>
      <c r="C5485" s="54">
        <v>43160</v>
      </c>
      <c r="D5485" s="3" t="str">
        <f>YEAR(Datos_Consumo[[#This Row],[FECHA]])&amp;"-"&amp;MONTH(Datos_Consumo[[#This Row],[FECHA]])</f>
        <v>2018-3</v>
      </c>
    </row>
    <row r="5486" spans="1:4" x14ac:dyDescent="0.25">
      <c r="A5486" t="s">
        <v>3356</v>
      </c>
      <c r="B5486">
        <v>4</v>
      </c>
      <c r="C5486" s="54">
        <v>43191</v>
      </c>
      <c r="D5486" s="3" t="str">
        <f>YEAR(Datos_Consumo[[#This Row],[FECHA]])&amp;"-"&amp;MONTH(Datos_Consumo[[#This Row],[FECHA]])</f>
        <v>2018-4</v>
      </c>
    </row>
    <row r="5487" spans="1:4" x14ac:dyDescent="0.25">
      <c r="A5487" t="s">
        <v>3357</v>
      </c>
      <c r="B5487">
        <v>6</v>
      </c>
      <c r="C5487" s="54">
        <v>43070</v>
      </c>
      <c r="D5487" s="3" t="str">
        <f>YEAR(Datos_Consumo[[#This Row],[FECHA]])&amp;"-"&amp;MONTH(Datos_Consumo[[#This Row],[FECHA]])</f>
        <v>2017-12</v>
      </c>
    </row>
    <row r="5488" spans="1:4" x14ac:dyDescent="0.25">
      <c r="A5488" t="s">
        <v>3357</v>
      </c>
      <c r="B5488">
        <v>7</v>
      </c>
      <c r="C5488" s="54">
        <v>43101</v>
      </c>
      <c r="D5488" s="3" t="str">
        <f>YEAR(Datos_Consumo[[#This Row],[FECHA]])&amp;"-"&amp;MONTH(Datos_Consumo[[#This Row],[FECHA]])</f>
        <v>2018-1</v>
      </c>
    </row>
    <row r="5489" spans="1:4" x14ac:dyDescent="0.25">
      <c r="A5489" t="s">
        <v>3357</v>
      </c>
      <c r="B5489">
        <v>2</v>
      </c>
      <c r="C5489" s="54">
        <v>43132</v>
      </c>
      <c r="D5489" s="3" t="str">
        <f>YEAR(Datos_Consumo[[#This Row],[FECHA]])&amp;"-"&amp;MONTH(Datos_Consumo[[#This Row],[FECHA]])</f>
        <v>2018-2</v>
      </c>
    </row>
    <row r="5490" spans="1:4" x14ac:dyDescent="0.25">
      <c r="A5490" t="s">
        <v>3357</v>
      </c>
      <c r="B5490">
        <v>4</v>
      </c>
      <c r="C5490" s="54">
        <v>43160</v>
      </c>
      <c r="D5490" s="3" t="str">
        <f>YEAR(Datos_Consumo[[#This Row],[FECHA]])&amp;"-"&amp;MONTH(Datos_Consumo[[#This Row],[FECHA]])</f>
        <v>2018-3</v>
      </c>
    </row>
    <row r="5491" spans="1:4" x14ac:dyDescent="0.25">
      <c r="A5491" t="s">
        <v>3357</v>
      </c>
      <c r="B5491">
        <v>5</v>
      </c>
      <c r="C5491" s="54">
        <v>43191</v>
      </c>
      <c r="D5491" s="3" t="str">
        <f>YEAR(Datos_Consumo[[#This Row],[FECHA]])&amp;"-"&amp;MONTH(Datos_Consumo[[#This Row],[FECHA]])</f>
        <v>2018-4</v>
      </c>
    </row>
    <row r="5492" spans="1:4" x14ac:dyDescent="0.25">
      <c r="A5492" t="s">
        <v>3357</v>
      </c>
      <c r="B5492">
        <v>2</v>
      </c>
      <c r="C5492" s="54">
        <v>43221</v>
      </c>
      <c r="D5492" s="3" t="str">
        <f>YEAR(Datos_Consumo[[#This Row],[FECHA]])&amp;"-"&amp;MONTH(Datos_Consumo[[#This Row],[FECHA]])</f>
        <v>2018-5</v>
      </c>
    </row>
    <row r="5493" spans="1:4" x14ac:dyDescent="0.25">
      <c r="A5493" t="s">
        <v>3358</v>
      </c>
      <c r="B5493">
        <v>4</v>
      </c>
      <c r="C5493" s="54">
        <v>43101</v>
      </c>
      <c r="D5493" s="3" t="str">
        <f>YEAR(Datos_Consumo[[#This Row],[FECHA]])&amp;"-"&amp;MONTH(Datos_Consumo[[#This Row],[FECHA]])</f>
        <v>2018-1</v>
      </c>
    </row>
    <row r="5494" spans="1:4" x14ac:dyDescent="0.25">
      <c r="A5494" t="s">
        <v>3359</v>
      </c>
      <c r="B5494">
        <v>6</v>
      </c>
      <c r="C5494" s="54">
        <v>43132</v>
      </c>
      <c r="D5494" s="3" t="str">
        <f>YEAR(Datos_Consumo[[#This Row],[FECHA]])&amp;"-"&amp;MONTH(Datos_Consumo[[#This Row],[FECHA]])</f>
        <v>2018-2</v>
      </c>
    </row>
    <row r="5495" spans="1:4" x14ac:dyDescent="0.25">
      <c r="A5495" t="s">
        <v>3360</v>
      </c>
      <c r="B5495">
        <v>1</v>
      </c>
      <c r="C5495" s="54">
        <v>43101</v>
      </c>
      <c r="D5495" s="3" t="str">
        <f>YEAR(Datos_Consumo[[#This Row],[FECHA]])&amp;"-"&amp;MONTH(Datos_Consumo[[#This Row],[FECHA]])</f>
        <v>2018-1</v>
      </c>
    </row>
    <row r="5496" spans="1:4" x14ac:dyDescent="0.25">
      <c r="A5496" t="s">
        <v>3361</v>
      </c>
      <c r="B5496">
        <v>2</v>
      </c>
      <c r="C5496" s="54">
        <v>43101</v>
      </c>
      <c r="D5496" s="3" t="str">
        <f>YEAR(Datos_Consumo[[#This Row],[FECHA]])&amp;"-"&amp;MONTH(Datos_Consumo[[#This Row],[FECHA]])</f>
        <v>2018-1</v>
      </c>
    </row>
    <row r="5497" spans="1:4" x14ac:dyDescent="0.25">
      <c r="A5497" t="s">
        <v>3362</v>
      </c>
      <c r="B5497">
        <v>1</v>
      </c>
      <c r="C5497" s="54">
        <v>43160</v>
      </c>
      <c r="D5497" s="3" t="str">
        <f>YEAR(Datos_Consumo[[#This Row],[FECHA]])&amp;"-"&amp;MONTH(Datos_Consumo[[#This Row],[FECHA]])</f>
        <v>2018-3</v>
      </c>
    </row>
    <row r="5498" spans="1:4" x14ac:dyDescent="0.25">
      <c r="A5498" t="s">
        <v>3363</v>
      </c>
      <c r="B5498">
        <v>4</v>
      </c>
      <c r="C5498" s="54">
        <v>43101</v>
      </c>
      <c r="D5498" s="3" t="str">
        <f>YEAR(Datos_Consumo[[#This Row],[FECHA]])&amp;"-"&amp;MONTH(Datos_Consumo[[#This Row],[FECHA]])</f>
        <v>2018-1</v>
      </c>
    </row>
    <row r="5499" spans="1:4" x14ac:dyDescent="0.25">
      <c r="A5499" t="s">
        <v>3363</v>
      </c>
      <c r="B5499">
        <v>2</v>
      </c>
      <c r="C5499" s="54">
        <v>43132</v>
      </c>
      <c r="D5499" s="3" t="str">
        <f>YEAR(Datos_Consumo[[#This Row],[FECHA]])&amp;"-"&amp;MONTH(Datos_Consumo[[#This Row],[FECHA]])</f>
        <v>2018-2</v>
      </c>
    </row>
    <row r="5500" spans="1:4" x14ac:dyDescent="0.25">
      <c r="A5500" t="s">
        <v>3364</v>
      </c>
      <c r="B5500">
        <v>1</v>
      </c>
      <c r="C5500" s="54">
        <v>43101</v>
      </c>
      <c r="D5500" s="3" t="str">
        <f>YEAR(Datos_Consumo[[#This Row],[FECHA]])&amp;"-"&amp;MONTH(Datos_Consumo[[#This Row],[FECHA]])</f>
        <v>2018-1</v>
      </c>
    </row>
    <row r="5501" spans="1:4" x14ac:dyDescent="0.25">
      <c r="A5501" t="s">
        <v>3364</v>
      </c>
      <c r="B5501">
        <v>1</v>
      </c>
      <c r="C5501" s="54">
        <v>43132</v>
      </c>
      <c r="D5501" s="3" t="str">
        <f>YEAR(Datos_Consumo[[#This Row],[FECHA]])&amp;"-"&amp;MONTH(Datos_Consumo[[#This Row],[FECHA]])</f>
        <v>2018-2</v>
      </c>
    </row>
    <row r="5502" spans="1:4" x14ac:dyDescent="0.25">
      <c r="A5502" t="s">
        <v>3365</v>
      </c>
      <c r="B5502">
        <v>1</v>
      </c>
      <c r="C5502" s="54">
        <v>43070</v>
      </c>
      <c r="D5502" s="3" t="str">
        <f>YEAR(Datos_Consumo[[#This Row],[FECHA]])&amp;"-"&amp;MONTH(Datos_Consumo[[#This Row],[FECHA]])</f>
        <v>2017-12</v>
      </c>
    </row>
    <row r="5503" spans="1:4" x14ac:dyDescent="0.25">
      <c r="A5503" t="s">
        <v>3365</v>
      </c>
      <c r="B5503">
        <v>3</v>
      </c>
      <c r="C5503" s="54">
        <v>43101</v>
      </c>
      <c r="D5503" s="3" t="str">
        <f>YEAR(Datos_Consumo[[#This Row],[FECHA]])&amp;"-"&amp;MONTH(Datos_Consumo[[#This Row],[FECHA]])</f>
        <v>2018-1</v>
      </c>
    </row>
    <row r="5504" spans="1:4" x14ac:dyDescent="0.25">
      <c r="A5504" t="s">
        <v>3365</v>
      </c>
      <c r="B5504">
        <v>1</v>
      </c>
      <c r="C5504" s="54">
        <v>43191</v>
      </c>
      <c r="D5504" s="3" t="str">
        <f>YEAR(Datos_Consumo[[#This Row],[FECHA]])&amp;"-"&amp;MONTH(Datos_Consumo[[#This Row],[FECHA]])</f>
        <v>2018-4</v>
      </c>
    </row>
    <row r="5505" spans="1:4" x14ac:dyDescent="0.25">
      <c r="A5505" t="s">
        <v>3366</v>
      </c>
      <c r="B5505">
        <v>1</v>
      </c>
      <c r="C5505" s="54">
        <v>43132</v>
      </c>
      <c r="D5505" s="3" t="str">
        <f>YEAR(Datos_Consumo[[#This Row],[FECHA]])&amp;"-"&amp;MONTH(Datos_Consumo[[#This Row],[FECHA]])</f>
        <v>2018-2</v>
      </c>
    </row>
    <row r="5506" spans="1:4" x14ac:dyDescent="0.25">
      <c r="A5506" t="s">
        <v>3366</v>
      </c>
      <c r="B5506">
        <v>1</v>
      </c>
      <c r="C5506" s="54">
        <v>43191</v>
      </c>
      <c r="D5506" s="3" t="str">
        <f>YEAR(Datos_Consumo[[#This Row],[FECHA]])&amp;"-"&amp;MONTH(Datos_Consumo[[#This Row],[FECHA]])</f>
        <v>2018-4</v>
      </c>
    </row>
    <row r="5507" spans="1:4" x14ac:dyDescent="0.25">
      <c r="A5507" t="s">
        <v>4142</v>
      </c>
      <c r="B5507">
        <v>4</v>
      </c>
      <c r="C5507" s="54">
        <v>43221</v>
      </c>
      <c r="D5507" s="3" t="str">
        <f>YEAR(Datos_Consumo[[#This Row],[FECHA]])&amp;"-"&amp;MONTH(Datos_Consumo[[#This Row],[FECHA]])</f>
        <v>2018-5</v>
      </c>
    </row>
    <row r="5508" spans="1:4" x14ac:dyDescent="0.25">
      <c r="A5508" t="s">
        <v>3367</v>
      </c>
      <c r="B5508">
        <v>2</v>
      </c>
      <c r="C5508" s="54">
        <v>43101</v>
      </c>
      <c r="D5508" s="3" t="str">
        <f>YEAR(Datos_Consumo[[#This Row],[FECHA]])&amp;"-"&amp;MONTH(Datos_Consumo[[#This Row],[FECHA]])</f>
        <v>2018-1</v>
      </c>
    </row>
    <row r="5509" spans="1:4" x14ac:dyDescent="0.25">
      <c r="A5509" t="s">
        <v>3368</v>
      </c>
      <c r="B5509">
        <v>3</v>
      </c>
      <c r="C5509" s="54">
        <v>43070</v>
      </c>
      <c r="D5509" s="3" t="str">
        <f>YEAR(Datos_Consumo[[#This Row],[FECHA]])&amp;"-"&amp;MONTH(Datos_Consumo[[#This Row],[FECHA]])</f>
        <v>2017-12</v>
      </c>
    </row>
    <row r="5510" spans="1:4" x14ac:dyDescent="0.25">
      <c r="A5510" t="s">
        <v>3368</v>
      </c>
      <c r="B5510">
        <v>2</v>
      </c>
      <c r="C5510" s="54">
        <v>43160</v>
      </c>
      <c r="D5510" s="3" t="str">
        <f>YEAR(Datos_Consumo[[#This Row],[FECHA]])&amp;"-"&amp;MONTH(Datos_Consumo[[#This Row],[FECHA]])</f>
        <v>2018-3</v>
      </c>
    </row>
    <row r="5511" spans="1:4" x14ac:dyDescent="0.25">
      <c r="A5511" t="s">
        <v>4143</v>
      </c>
      <c r="B5511">
        <v>1</v>
      </c>
      <c r="C5511" s="54">
        <v>43191</v>
      </c>
      <c r="D5511" s="3" t="str">
        <f>YEAR(Datos_Consumo[[#This Row],[FECHA]])&amp;"-"&amp;MONTH(Datos_Consumo[[#This Row],[FECHA]])</f>
        <v>2018-4</v>
      </c>
    </row>
    <row r="5512" spans="1:4" x14ac:dyDescent="0.25">
      <c r="A5512" t="s">
        <v>4144</v>
      </c>
      <c r="B5512">
        <v>1</v>
      </c>
      <c r="C5512" s="54">
        <v>43191</v>
      </c>
      <c r="D5512" s="3" t="str">
        <f>YEAR(Datos_Consumo[[#This Row],[FECHA]])&amp;"-"&amp;MONTH(Datos_Consumo[[#This Row],[FECHA]])</f>
        <v>2018-4</v>
      </c>
    </row>
    <row r="5513" spans="1:4" x14ac:dyDescent="0.25">
      <c r="A5513" t="s">
        <v>3369</v>
      </c>
      <c r="B5513">
        <v>1</v>
      </c>
      <c r="C5513" s="54">
        <v>43132</v>
      </c>
      <c r="D5513" s="3" t="str">
        <f>YEAR(Datos_Consumo[[#This Row],[FECHA]])&amp;"-"&amp;MONTH(Datos_Consumo[[#This Row],[FECHA]])</f>
        <v>2018-2</v>
      </c>
    </row>
    <row r="5514" spans="1:4" x14ac:dyDescent="0.25">
      <c r="A5514" t="s">
        <v>3370</v>
      </c>
      <c r="B5514">
        <v>1</v>
      </c>
      <c r="C5514" s="54">
        <v>43070</v>
      </c>
      <c r="D5514" s="3" t="str">
        <f>YEAR(Datos_Consumo[[#This Row],[FECHA]])&amp;"-"&amp;MONTH(Datos_Consumo[[#This Row],[FECHA]])</f>
        <v>2017-12</v>
      </c>
    </row>
    <row r="5515" spans="1:4" x14ac:dyDescent="0.25">
      <c r="A5515" t="s">
        <v>3370</v>
      </c>
      <c r="B5515">
        <v>1</v>
      </c>
      <c r="C5515" s="54">
        <v>43101</v>
      </c>
      <c r="D5515" s="3" t="str">
        <f>YEAR(Datos_Consumo[[#This Row],[FECHA]])&amp;"-"&amp;MONTH(Datos_Consumo[[#This Row],[FECHA]])</f>
        <v>2018-1</v>
      </c>
    </row>
    <row r="5516" spans="1:4" x14ac:dyDescent="0.25">
      <c r="A5516" t="s">
        <v>3371</v>
      </c>
      <c r="B5516">
        <v>18</v>
      </c>
      <c r="C5516" s="54">
        <v>43070</v>
      </c>
      <c r="D5516" s="3" t="str">
        <f>YEAR(Datos_Consumo[[#This Row],[FECHA]])&amp;"-"&amp;MONTH(Datos_Consumo[[#This Row],[FECHA]])</f>
        <v>2017-12</v>
      </c>
    </row>
    <row r="5517" spans="1:4" x14ac:dyDescent="0.25">
      <c r="A5517" t="s">
        <v>3371</v>
      </c>
      <c r="B5517">
        <v>21</v>
      </c>
      <c r="C5517" s="54">
        <v>43101</v>
      </c>
      <c r="D5517" s="3" t="str">
        <f>YEAR(Datos_Consumo[[#This Row],[FECHA]])&amp;"-"&amp;MONTH(Datos_Consumo[[#This Row],[FECHA]])</f>
        <v>2018-1</v>
      </c>
    </row>
    <row r="5518" spans="1:4" x14ac:dyDescent="0.25">
      <c r="A5518" t="s">
        <v>3371</v>
      </c>
      <c r="B5518">
        <v>103</v>
      </c>
      <c r="C5518" s="54">
        <v>43132</v>
      </c>
      <c r="D5518" s="3" t="str">
        <f>YEAR(Datos_Consumo[[#This Row],[FECHA]])&amp;"-"&amp;MONTH(Datos_Consumo[[#This Row],[FECHA]])</f>
        <v>2018-2</v>
      </c>
    </row>
    <row r="5519" spans="1:4" x14ac:dyDescent="0.25">
      <c r="A5519" t="s">
        <v>3371</v>
      </c>
      <c r="B5519">
        <v>57</v>
      </c>
      <c r="C5519" s="54">
        <v>43160</v>
      </c>
      <c r="D5519" s="3" t="str">
        <f>YEAR(Datos_Consumo[[#This Row],[FECHA]])&amp;"-"&amp;MONTH(Datos_Consumo[[#This Row],[FECHA]])</f>
        <v>2018-3</v>
      </c>
    </row>
    <row r="5520" spans="1:4" x14ac:dyDescent="0.25">
      <c r="A5520" t="s">
        <v>3371</v>
      </c>
      <c r="B5520">
        <v>138</v>
      </c>
      <c r="C5520" s="54">
        <v>43191</v>
      </c>
      <c r="D5520" s="3" t="str">
        <f>YEAR(Datos_Consumo[[#This Row],[FECHA]])&amp;"-"&amp;MONTH(Datos_Consumo[[#This Row],[FECHA]])</f>
        <v>2018-4</v>
      </c>
    </row>
    <row r="5521" spans="1:4" x14ac:dyDescent="0.25">
      <c r="A5521" t="s">
        <v>3371</v>
      </c>
      <c r="B5521">
        <v>2</v>
      </c>
      <c r="C5521" s="54">
        <v>43221</v>
      </c>
      <c r="D5521" s="3" t="str">
        <f>YEAR(Datos_Consumo[[#This Row],[FECHA]])&amp;"-"&amp;MONTH(Datos_Consumo[[#This Row],[FECHA]])</f>
        <v>2018-5</v>
      </c>
    </row>
    <row r="5522" spans="1:4" x14ac:dyDescent="0.25">
      <c r="A5522" t="s">
        <v>3372</v>
      </c>
      <c r="B5522">
        <v>9</v>
      </c>
      <c r="C5522" s="54">
        <v>43101</v>
      </c>
      <c r="D5522" s="3" t="str">
        <f>YEAR(Datos_Consumo[[#This Row],[FECHA]])&amp;"-"&amp;MONTH(Datos_Consumo[[#This Row],[FECHA]])</f>
        <v>2018-1</v>
      </c>
    </row>
    <row r="5523" spans="1:4" x14ac:dyDescent="0.25">
      <c r="A5523" t="s">
        <v>3372</v>
      </c>
      <c r="B5523">
        <v>11</v>
      </c>
      <c r="C5523" s="54">
        <v>43132</v>
      </c>
      <c r="D5523" s="3" t="str">
        <f>YEAR(Datos_Consumo[[#This Row],[FECHA]])&amp;"-"&amp;MONTH(Datos_Consumo[[#This Row],[FECHA]])</f>
        <v>2018-2</v>
      </c>
    </row>
    <row r="5524" spans="1:4" x14ac:dyDescent="0.25">
      <c r="A5524" t="s">
        <v>3372</v>
      </c>
      <c r="B5524">
        <v>16</v>
      </c>
      <c r="C5524" s="54">
        <v>43160</v>
      </c>
      <c r="D5524" s="3" t="str">
        <f>YEAR(Datos_Consumo[[#This Row],[FECHA]])&amp;"-"&amp;MONTH(Datos_Consumo[[#This Row],[FECHA]])</f>
        <v>2018-3</v>
      </c>
    </row>
    <row r="5525" spans="1:4" x14ac:dyDescent="0.25">
      <c r="A5525" t="s">
        <v>3372</v>
      </c>
      <c r="B5525">
        <v>20</v>
      </c>
      <c r="C5525" s="54">
        <v>43191</v>
      </c>
      <c r="D5525" s="3" t="str">
        <f>YEAR(Datos_Consumo[[#This Row],[FECHA]])&amp;"-"&amp;MONTH(Datos_Consumo[[#This Row],[FECHA]])</f>
        <v>2018-4</v>
      </c>
    </row>
    <row r="5526" spans="1:4" x14ac:dyDescent="0.25">
      <c r="A5526" t="s">
        <v>3372</v>
      </c>
      <c r="B5526">
        <v>1</v>
      </c>
      <c r="C5526" s="54">
        <v>43221</v>
      </c>
      <c r="D5526" s="3" t="str">
        <f>YEAR(Datos_Consumo[[#This Row],[FECHA]])&amp;"-"&amp;MONTH(Datos_Consumo[[#This Row],[FECHA]])</f>
        <v>2018-5</v>
      </c>
    </row>
    <row r="5527" spans="1:4" x14ac:dyDescent="0.25">
      <c r="A5527" t="s">
        <v>3373</v>
      </c>
      <c r="B5527">
        <v>1</v>
      </c>
      <c r="C5527" s="54">
        <v>43132</v>
      </c>
      <c r="D5527" s="3" t="str">
        <f>YEAR(Datos_Consumo[[#This Row],[FECHA]])&amp;"-"&amp;MONTH(Datos_Consumo[[#This Row],[FECHA]])</f>
        <v>2018-2</v>
      </c>
    </row>
    <row r="5528" spans="1:4" x14ac:dyDescent="0.25">
      <c r="A5528" t="s">
        <v>3374</v>
      </c>
      <c r="B5528">
        <v>1</v>
      </c>
      <c r="C5528" s="54">
        <v>43132</v>
      </c>
      <c r="D5528" s="3" t="str">
        <f>YEAR(Datos_Consumo[[#This Row],[FECHA]])&amp;"-"&amp;MONTH(Datos_Consumo[[#This Row],[FECHA]])</f>
        <v>2018-2</v>
      </c>
    </row>
    <row r="5529" spans="1:4" x14ac:dyDescent="0.25">
      <c r="A5529" t="s">
        <v>3375</v>
      </c>
      <c r="B5529">
        <v>40</v>
      </c>
      <c r="C5529" s="54">
        <v>43101</v>
      </c>
      <c r="D5529" s="3" t="str">
        <f>YEAR(Datos_Consumo[[#This Row],[FECHA]])&amp;"-"&amp;MONTH(Datos_Consumo[[#This Row],[FECHA]])</f>
        <v>2018-1</v>
      </c>
    </row>
    <row r="5530" spans="1:4" x14ac:dyDescent="0.25">
      <c r="A5530" t="s">
        <v>3376</v>
      </c>
      <c r="B5530">
        <v>40</v>
      </c>
      <c r="C5530" s="54">
        <v>43101</v>
      </c>
      <c r="D5530" s="3" t="str">
        <f>YEAR(Datos_Consumo[[#This Row],[FECHA]])&amp;"-"&amp;MONTH(Datos_Consumo[[#This Row],[FECHA]])</f>
        <v>2018-1</v>
      </c>
    </row>
    <row r="5531" spans="1:4" x14ac:dyDescent="0.25">
      <c r="A5531" t="s">
        <v>3377</v>
      </c>
      <c r="B5531">
        <v>2</v>
      </c>
      <c r="C5531" s="54">
        <v>43070</v>
      </c>
      <c r="D5531" s="3" t="str">
        <f>YEAR(Datos_Consumo[[#This Row],[FECHA]])&amp;"-"&amp;MONTH(Datos_Consumo[[#This Row],[FECHA]])</f>
        <v>2017-12</v>
      </c>
    </row>
    <row r="5532" spans="1:4" x14ac:dyDescent="0.25">
      <c r="A5532" t="s">
        <v>3378</v>
      </c>
      <c r="B5532">
        <v>2</v>
      </c>
      <c r="C5532" s="54">
        <v>43132</v>
      </c>
      <c r="D5532" s="3" t="str">
        <f>YEAR(Datos_Consumo[[#This Row],[FECHA]])&amp;"-"&amp;MONTH(Datos_Consumo[[#This Row],[FECHA]])</f>
        <v>2018-2</v>
      </c>
    </row>
    <row r="5533" spans="1:4" x14ac:dyDescent="0.25">
      <c r="A5533" t="s">
        <v>3378</v>
      </c>
      <c r="B5533">
        <v>1</v>
      </c>
      <c r="C5533" s="54">
        <v>43160</v>
      </c>
      <c r="D5533" s="3" t="str">
        <f>YEAR(Datos_Consumo[[#This Row],[FECHA]])&amp;"-"&amp;MONTH(Datos_Consumo[[#This Row],[FECHA]])</f>
        <v>2018-3</v>
      </c>
    </row>
    <row r="5534" spans="1:4" x14ac:dyDescent="0.25">
      <c r="A5534" t="s">
        <v>3379</v>
      </c>
      <c r="B5534">
        <v>4</v>
      </c>
      <c r="C5534" s="54">
        <v>43070</v>
      </c>
      <c r="D5534" s="3" t="str">
        <f>YEAR(Datos_Consumo[[#This Row],[FECHA]])&amp;"-"&amp;MONTH(Datos_Consumo[[#This Row],[FECHA]])</f>
        <v>2017-12</v>
      </c>
    </row>
    <row r="5535" spans="1:4" x14ac:dyDescent="0.25">
      <c r="A5535" t="s">
        <v>3379</v>
      </c>
      <c r="B5535">
        <v>5</v>
      </c>
      <c r="C5535" s="54">
        <v>43101</v>
      </c>
      <c r="D5535" s="3" t="str">
        <f>YEAR(Datos_Consumo[[#This Row],[FECHA]])&amp;"-"&amp;MONTH(Datos_Consumo[[#This Row],[FECHA]])</f>
        <v>2018-1</v>
      </c>
    </row>
    <row r="5536" spans="1:4" x14ac:dyDescent="0.25">
      <c r="A5536" t="s">
        <v>3379</v>
      </c>
      <c r="B5536">
        <v>4</v>
      </c>
      <c r="C5536" s="54">
        <v>43132</v>
      </c>
      <c r="D5536" s="3" t="str">
        <f>YEAR(Datos_Consumo[[#This Row],[FECHA]])&amp;"-"&amp;MONTH(Datos_Consumo[[#This Row],[FECHA]])</f>
        <v>2018-2</v>
      </c>
    </row>
    <row r="5537" spans="1:4" x14ac:dyDescent="0.25">
      <c r="A5537" t="s">
        <v>3379</v>
      </c>
      <c r="B5537">
        <v>3</v>
      </c>
      <c r="C5537" s="54">
        <v>43160</v>
      </c>
      <c r="D5537" s="3" t="str">
        <f>YEAR(Datos_Consumo[[#This Row],[FECHA]])&amp;"-"&amp;MONTH(Datos_Consumo[[#This Row],[FECHA]])</f>
        <v>2018-3</v>
      </c>
    </row>
    <row r="5538" spans="1:4" x14ac:dyDescent="0.25">
      <c r="A5538" t="s">
        <v>4145</v>
      </c>
      <c r="B5538">
        <v>2</v>
      </c>
      <c r="C5538" s="54">
        <v>43191</v>
      </c>
      <c r="D5538" s="3" t="str">
        <f>YEAR(Datos_Consumo[[#This Row],[FECHA]])&amp;"-"&amp;MONTH(Datos_Consumo[[#This Row],[FECHA]])</f>
        <v>2018-4</v>
      </c>
    </row>
    <row r="5539" spans="1:4" x14ac:dyDescent="0.25">
      <c r="A5539" t="s">
        <v>4146</v>
      </c>
      <c r="B5539">
        <v>1</v>
      </c>
      <c r="C5539" s="54">
        <v>43191</v>
      </c>
      <c r="D5539" s="3" t="str">
        <f>YEAR(Datos_Consumo[[#This Row],[FECHA]])&amp;"-"&amp;MONTH(Datos_Consumo[[#This Row],[FECHA]])</f>
        <v>2018-4</v>
      </c>
    </row>
    <row r="5540" spans="1:4" x14ac:dyDescent="0.25">
      <c r="A5540" t="s">
        <v>1443</v>
      </c>
      <c r="B5540">
        <v>7</v>
      </c>
      <c r="C5540" s="54">
        <v>43070</v>
      </c>
      <c r="D5540" s="3" t="str">
        <f>YEAR(Datos_Consumo[[#This Row],[FECHA]])&amp;"-"&amp;MONTH(Datos_Consumo[[#This Row],[FECHA]])</f>
        <v>2017-12</v>
      </c>
    </row>
    <row r="5541" spans="1:4" x14ac:dyDescent="0.25">
      <c r="A5541" t="s">
        <v>1443</v>
      </c>
      <c r="B5541">
        <v>6</v>
      </c>
      <c r="C5541" s="54">
        <v>43101</v>
      </c>
      <c r="D5541" s="3" t="str">
        <f>YEAR(Datos_Consumo[[#This Row],[FECHA]])&amp;"-"&amp;MONTH(Datos_Consumo[[#This Row],[FECHA]])</f>
        <v>2018-1</v>
      </c>
    </row>
    <row r="5542" spans="1:4" x14ac:dyDescent="0.25">
      <c r="A5542" t="s">
        <v>1443</v>
      </c>
      <c r="B5542">
        <v>1</v>
      </c>
      <c r="C5542" s="54">
        <v>43160</v>
      </c>
      <c r="D5542" s="3" t="str">
        <f>YEAR(Datos_Consumo[[#This Row],[FECHA]])&amp;"-"&amp;MONTH(Datos_Consumo[[#This Row],[FECHA]])</f>
        <v>2018-3</v>
      </c>
    </row>
    <row r="5543" spans="1:4" x14ac:dyDescent="0.25">
      <c r="A5543" t="s">
        <v>1443</v>
      </c>
      <c r="B5543">
        <v>3</v>
      </c>
      <c r="C5543" s="54">
        <v>43191</v>
      </c>
      <c r="D5543" s="3" t="str">
        <f>YEAR(Datos_Consumo[[#This Row],[FECHA]])&amp;"-"&amp;MONTH(Datos_Consumo[[#This Row],[FECHA]])</f>
        <v>2018-4</v>
      </c>
    </row>
    <row r="5544" spans="1:4" x14ac:dyDescent="0.25">
      <c r="A5544" t="s">
        <v>3380</v>
      </c>
      <c r="B5544">
        <v>10</v>
      </c>
      <c r="C5544" s="54">
        <v>43132</v>
      </c>
      <c r="D5544" s="3" t="str">
        <f>YEAR(Datos_Consumo[[#This Row],[FECHA]])&amp;"-"&amp;MONTH(Datos_Consumo[[#This Row],[FECHA]])</f>
        <v>2018-2</v>
      </c>
    </row>
    <row r="5545" spans="1:4" x14ac:dyDescent="0.25">
      <c r="A5545" t="s">
        <v>3381</v>
      </c>
      <c r="B5545">
        <v>1</v>
      </c>
      <c r="C5545" s="54">
        <v>43101</v>
      </c>
      <c r="D5545" s="3" t="str">
        <f>YEAR(Datos_Consumo[[#This Row],[FECHA]])&amp;"-"&amp;MONTH(Datos_Consumo[[#This Row],[FECHA]])</f>
        <v>2018-1</v>
      </c>
    </row>
    <row r="5546" spans="1:4" x14ac:dyDescent="0.25">
      <c r="A5546" t="s">
        <v>3382</v>
      </c>
      <c r="B5546">
        <v>1</v>
      </c>
      <c r="C5546" s="54">
        <v>43132</v>
      </c>
      <c r="D5546" s="3" t="str">
        <f>YEAR(Datos_Consumo[[#This Row],[FECHA]])&amp;"-"&amp;MONTH(Datos_Consumo[[#This Row],[FECHA]])</f>
        <v>2018-2</v>
      </c>
    </row>
    <row r="5547" spans="1:4" x14ac:dyDescent="0.25">
      <c r="A5547" t="s">
        <v>3382</v>
      </c>
      <c r="B5547">
        <v>1</v>
      </c>
      <c r="C5547" s="54">
        <v>43160</v>
      </c>
      <c r="D5547" s="3" t="str">
        <f>YEAR(Datos_Consumo[[#This Row],[FECHA]])&amp;"-"&amp;MONTH(Datos_Consumo[[#This Row],[FECHA]])</f>
        <v>2018-3</v>
      </c>
    </row>
    <row r="5548" spans="1:4" x14ac:dyDescent="0.25">
      <c r="A5548" t="s">
        <v>3382</v>
      </c>
      <c r="B5548">
        <v>7</v>
      </c>
      <c r="C5548" s="54">
        <v>43191</v>
      </c>
      <c r="D5548" s="3" t="str">
        <f>YEAR(Datos_Consumo[[#This Row],[FECHA]])&amp;"-"&amp;MONTH(Datos_Consumo[[#This Row],[FECHA]])</f>
        <v>2018-4</v>
      </c>
    </row>
    <row r="5549" spans="1:4" x14ac:dyDescent="0.25">
      <c r="A5549" t="s">
        <v>3382</v>
      </c>
      <c r="B5549">
        <v>2</v>
      </c>
      <c r="C5549" s="54">
        <v>43221</v>
      </c>
      <c r="D5549" s="3" t="str">
        <f>YEAR(Datos_Consumo[[#This Row],[FECHA]])&amp;"-"&amp;MONTH(Datos_Consumo[[#This Row],[FECHA]])</f>
        <v>2018-5</v>
      </c>
    </row>
    <row r="5550" spans="1:4" x14ac:dyDescent="0.25">
      <c r="A5550" t="s">
        <v>3383</v>
      </c>
      <c r="B5550">
        <v>506</v>
      </c>
      <c r="C5550" s="54">
        <v>43070</v>
      </c>
      <c r="D5550" s="3" t="str">
        <f>YEAR(Datos_Consumo[[#This Row],[FECHA]])&amp;"-"&amp;MONTH(Datos_Consumo[[#This Row],[FECHA]])</f>
        <v>2017-12</v>
      </c>
    </row>
    <row r="5551" spans="1:4" x14ac:dyDescent="0.25">
      <c r="A5551" t="s">
        <v>3383</v>
      </c>
      <c r="B5551">
        <v>370</v>
      </c>
      <c r="C5551" s="54">
        <v>43101</v>
      </c>
      <c r="D5551" s="3" t="str">
        <f>YEAR(Datos_Consumo[[#This Row],[FECHA]])&amp;"-"&amp;MONTH(Datos_Consumo[[#This Row],[FECHA]])</f>
        <v>2018-1</v>
      </c>
    </row>
    <row r="5552" spans="1:4" x14ac:dyDescent="0.25">
      <c r="A5552" t="s">
        <v>3383</v>
      </c>
      <c r="B5552">
        <v>394</v>
      </c>
      <c r="C5552" s="54">
        <v>43132</v>
      </c>
      <c r="D5552" s="3" t="str">
        <f>YEAR(Datos_Consumo[[#This Row],[FECHA]])&amp;"-"&amp;MONTH(Datos_Consumo[[#This Row],[FECHA]])</f>
        <v>2018-2</v>
      </c>
    </row>
    <row r="5553" spans="1:4" x14ac:dyDescent="0.25">
      <c r="A5553" t="s">
        <v>3383</v>
      </c>
      <c r="B5553">
        <v>294</v>
      </c>
      <c r="C5553" s="54">
        <v>43160</v>
      </c>
      <c r="D5553" s="3" t="str">
        <f>YEAR(Datos_Consumo[[#This Row],[FECHA]])&amp;"-"&amp;MONTH(Datos_Consumo[[#This Row],[FECHA]])</f>
        <v>2018-3</v>
      </c>
    </row>
    <row r="5554" spans="1:4" x14ac:dyDescent="0.25">
      <c r="A5554" t="s">
        <v>3383</v>
      </c>
      <c r="B5554">
        <v>272</v>
      </c>
      <c r="C5554" s="54">
        <v>43191</v>
      </c>
      <c r="D5554" s="3" t="str">
        <f>YEAR(Datos_Consumo[[#This Row],[FECHA]])&amp;"-"&amp;MONTH(Datos_Consumo[[#This Row],[FECHA]])</f>
        <v>2018-4</v>
      </c>
    </row>
    <row r="5555" spans="1:4" x14ac:dyDescent="0.25">
      <c r="A5555" t="s">
        <v>3383</v>
      </c>
      <c r="B5555">
        <v>54</v>
      </c>
      <c r="C5555" s="54">
        <v>43221</v>
      </c>
      <c r="D5555" s="3" t="str">
        <f>YEAR(Datos_Consumo[[#This Row],[FECHA]])&amp;"-"&amp;MONTH(Datos_Consumo[[#This Row],[FECHA]])</f>
        <v>2018-5</v>
      </c>
    </row>
    <row r="5556" spans="1:4" x14ac:dyDescent="0.25">
      <c r="A5556" t="s">
        <v>3384</v>
      </c>
      <c r="B5556">
        <v>3</v>
      </c>
      <c r="C5556" s="54">
        <v>43160</v>
      </c>
      <c r="D5556" s="3" t="str">
        <f>YEAR(Datos_Consumo[[#This Row],[FECHA]])&amp;"-"&amp;MONTH(Datos_Consumo[[#This Row],[FECHA]])</f>
        <v>2018-3</v>
      </c>
    </row>
    <row r="5557" spans="1:4" x14ac:dyDescent="0.25">
      <c r="A5557" t="s">
        <v>3385</v>
      </c>
      <c r="B5557">
        <v>86</v>
      </c>
      <c r="C5557" s="54">
        <v>43070</v>
      </c>
      <c r="D5557" s="3" t="str">
        <f>YEAR(Datos_Consumo[[#This Row],[FECHA]])&amp;"-"&amp;MONTH(Datos_Consumo[[#This Row],[FECHA]])</f>
        <v>2017-12</v>
      </c>
    </row>
    <row r="5558" spans="1:4" x14ac:dyDescent="0.25">
      <c r="A5558" t="s">
        <v>3385</v>
      </c>
      <c r="B5558">
        <v>200</v>
      </c>
      <c r="C5558" s="54">
        <v>43101</v>
      </c>
      <c r="D5558" s="3" t="str">
        <f>YEAR(Datos_Consumo[[#This Row],[FECHA]])&amp;"-"&amp;MONTH(Datos_Consumo[[#This Row],[FECHA]])</f>
        <v>2018-1</v>
      </c>
    </row>
    <row r="5559" spans="1:4" x14ac:dyDescent="0.25">
      <c r="A5559" t="s">
        <v>3385</v>
      </c>
      <c r="B5559">
        <v>110</v>
      </c>
      <c r="C5559" s="54">
        <v>43160</v>
      </c>
      <c r="D5559" s="3" t="str">
        <f>YEAR(Datos_Consumo[[#This Row],[FECHA]])&amp;"-"&amp;MONTH(Datos_Consumo[[#This Row],[FECHA]])</f>
        <v>2018-3</v>
      </c>
    </row>
    <row r="5560" spans="1:4" x14ac:dyDescent="0.25">
      <c r="A5560" t="s">
        <v>3385</v>
      </c>
      <c r="B5560">
        <v>258</v>
      </c>
      <c r="C5560" s="54">
        <v>43191</v>
      </c>
      <c r="D5560" s="3" t="str">
        <f>YEAR(Datos_Consumo[[#This Row],[FECHA]])&amp;"-"&amp;MONTH(Datos_Consumo[[#This Row],[FECHA]])</f>
        <v>2018-4</v>
      </c>
    </row>
    <row r="5561" spans="1:4" x14ac:dyDescent="0.25">
      <c r="A5561" t="s">
        <v>3385</v>
      </c>
      <c r="B5561">
        <v>68</v>
      </c>
      <c r="C5561" s="54">
        <v>43221</v>
      </c>
      <c r="D5561" s="3" t="str">
        <f>YEAR(Datos_Consumo[[#This Row],[FECHA]])&amp;"-"&amp;MONTH(Datos_Consumo[[#This Row],[FECHA]])</f>
        <v>2018-5</v>
      </c>
    </row>
    <row r="5562" spans="1:4" x14ac:dyDescent="0.25">
      <c r="A5562" t="s">
        <v>3386</v>
      </c>
      <c r="B5562">
        <v>86</v>
      </c>
      <c r="C5562" s="54">
        <v>43070</v>
      </c>
      <c r="D5562" s="3" t="str">
        <f>YEAR(Datos_Consumo[[#This Row],[FECHA]])&amp;"-"&amp;MONTH(Datos_Consumo[[#This Row],[FECHA]])</f>
        <v>2017-12</v>
      </c>
    </row>
    <row r="5563" spans="1:4" x14ac:dyDescent="0.25">
      <c r="A5563" t="s">
        <v>3386</v>
      </c>
      <c r="B5563">
        <v>200</v>
      </c>
      <c r="C5563" s="54">
        <v>43101</v>
      </c>
      <c r="D5563" s="3" t="str">
        <f>YEAR(Datos_Consumo[[#This Row],[FECHA]])&amp;"-"&amp;MONTH(Datos_Consumo[[#This Row],[FECHA]])</f>
        <v>2018-1</v>
      </c>
    </row>
    <row r="5564" spans="1:4" x14ac:dyDescent="0.25">
      <c r="A5564" t="s">
        <v>3386</v>
      </c>
      <c r="B5564">
        <v>110</v>
      </c>
      <c r="C5564" s="54">
        <v>43160</v>
      </c>
      <c r="D5564" s="3" t="str">
        <f>YEAR(Datos_Consumo[[#This Row],[FECHA]])&amp;"-"&amp;MONTH(Datos_Consumo[[#This Row],[FECHA]])</f>
        <v>2018-3</v>
      </c>
    </row>
    <row r="5565" spans="1:4" x14ac:dyDescent="0.25">
      <c r="A5565" t="s">
        <v>3386</v>
      </c>
      <c r="B5565">
        <v>258</v>
      </c>
      <c r="C5565" s="54">
        <v>43191</v>
      </c>
      <c r="D5565" s="3" t="str">
        <f>YEAR(Datos_Consumo[[#This Row],[FECHA]])&amp;"-"&amp;MONTH(Datos_Consumo[[#This Row],[FECHA]])</f>
        <v>2018-4</v>
      </c>
    </row>
    <row r="5566" spans="1:4" x14ac:dyDescent="0.25">
      <c r="A5566" t="s">
        <v>3386</v>
      </c>
      <c r="B5566">
        <v>68</v>
      </c>
      <c r="C5566" s="54">
        <v>43221</v>
      </c>
      <c r="D5566" s="3" t="str">
        <f>YEAR(Datos_Consumo[[#This Row],[FECHA]])&amp;"-"&amp;MONTH(Datos_Consumo[[#This Row],[FECHA]])</f>
        <v>2018-5</v>
      </c>
    </row>
    <row r="5567" spans="1:4" x14ac:dyDescent="0.25">
      <c r="A5567" t="s">
        <v>3387</v>
      </c>
      <c r="B5567">
        <v>1</v>
      </c>
      <c r="C5567" s="54">
        <v>43070</v>
      </c>
      <c r="D5567" s="3" t="str">
        <f>YEAR(Datos_Consumo[[#This Row],[FECHA]])&amp;"-"&amp;MONTH(Datos_Consumo[[#This Row],[FECHA]])</f>
        <v>2017-12</v>
      </c>
    </row>
    <row r="5568" spans="1:4" x14ac:dyDescent="0.25">
      <c r="A5568" t="s">
        <v>3387</v>
      </c>
      <c r="B5568">
        <v>4</v>
      </c>
      <c r="C5568" s="54">
        <v>43101</v>
      </c>
      <c r="D5568" s="3" t="str">
        <f>YEAR(Datos_Consumo[[#This Row],[FECHA]])&amp;"-"&amp;MONTH(Datos_Consumo[[#This Row],[FECHA]])</f>
        <v>2018-1</v>
      </c>
    </row>
    <row r="5569" spans="1:4" x14ac:dyDescent="0.25">
      <c r="A5569" t="s">
        <v>3388</v>
      </c>
      <c r="B5569">
        <v>1</v>
      </c>
      <c r="C5569" s="54">
        <v>43191</v>
      </c>
      <c r="D5569" s="3" t="str">
        <f>YEAR(Datos_Consumo[[#This Row],[FECHA]])&amp;"-"&amp;MONTH(Datos_Consumo[[#This Row],[FECHA]])</f>
        <v>2018-4</v>
      </c>
    </row>
    <row r="5570" spans="1:4" x14ac:dyDescent="0.25">
      <c r="A5570" t="s">
        <v>4147</v>
      </c>
      <c r="B5570">
        <v>1</v>
      </c>
      <c r="C5570" s="54">
        <v>43221</v>
      </c>
      <c r="D5570" s="3" t="str">
        <f>YEAR(Datos_Consumo[[#This Row],[FECHA]])&amp;"-"&amp;MONTH(Datos_Consumo[[#This Row],[FECHA]])</f>
        <v>2018-5</v>
      </c>
    </row>
    <row r="5571" spans="1:4" x14ac:dyDescent="0.25">
      <c r="A5571" t="s">
        <v>3389</v>
      </c>
      <c r="B5571">
        <v>33</v>
      </c>
      <c r="C5571" s="54">
        <v>43101</v>
      </c>
      <c r="D5571" s="3" t="str">
        <f>YEAR(Datos_Consumo[[#This Row],[FECHA]])&amp;"-"&amp;MONTH(Datos_Consumo[[#This Row],[FECHA]])</f>
        <v>2018-1</v>
      </c>
    </row>
    <row r="5572" spans="1:4" x14ac:dyDescent="0.25">
      <c r="A5572" t="s">
        <v>3390</v>
      </c>
      <c r="B5572">
        <v>2</v>
      </c>
      <c r="C5572" s="54">
        <v>43070</v>
      </c>
      <c r="D5572" s="3" t="str">
        <f>YEAR(Datos_Consumo[[#This Row],[FECHA]])&amp;"-"&amp;MONTH(Datos_Consumo[[#This Row],[FECHA]])</f>
        <v>2017-12</v>
      </c>
    </row>
    <row r="5573" spans="1:4" x14ac:dyDescent="0.25">
      <c r="A5573" t="s">
        <v>3391</v>
      </c>
      <c r="B5573">
        <v>5</v>
      </c>
      <c r="C5573" s="54">
        <v>43101</v>
      </c>
      <c r="D5573" s="3" t="str">
        <f>YEAR(Datos_Consumo[[#This Row],[FECHA]])&amp;"-"&amp;MONTH(Datos_Consumo[[#This Row],[FECHA]])</f>
        <v>2018-1</v>
      </c>
    </row>
    <row r="5574" spans="1:4" x14ac:dyDescent="0.25">
      <c r="A5574" t="s">
        <v>3392</v>
      </c>
      <c r="B5574">
        <v>10</v>
      </c>
      <c r="C5574" s="54">
        <v>43160</v>
      </c>
      <c r="D5574" s="3" t="str">
        <f>YEAR(Datos_Consumo[[#This Row],[FECHA]])&amp;"-"&amp;MONTH(Datos_Consumo[[#This Row],[FECHA]])</f>
        <v>2018-3</v>
      </c>
    </row>
    <row r="5575" spans="1:4" x14ac:dyDescent="0.25">
      <c r="A5575" t="s">
        <v>3393</v>
      </c>
      <c r="B5575">
        <v>2</v>
      </c>
      <c r="C5575" s="54">
        <v>43160</v>
      </c>
      <c r="D5575" s="3" t="str">
        <f>YEAR(Datos_Consumo[[#This Row],[FECHA]])&amp;"-"&amp;MONTH(Datos_Consumo[[#This Row],[FECHA]])</f>
        <v>2018-3</v>
      </c>
    </row>
    <row r="5576" spans="1:4" x14ac:dyDescent="0.25">
      <c r="A5576" t="s">
        <v>3394</v>
      </c>
      <c r="B5576">
        <v>5</v>
      </c>
      <c r="C5576" s="54">
        <v>43132</v>
      </c>
      <c r="D5576" s="3" t="str">
        <f>YEAR(Datos_Consumo[[#This Row],[FECHA]])&amp;"-"&amp;MONTH(Datos_Consumo[[#This Row],[FECHA]])</f>
        <v>2018-2</v>
      </c>
    </row>
    <row r="5577" spans="1:4" x14ac:dyDescent="0.25">
      <c r="A5577" t="s">
        <v>3394</v>
      </c>
      <c r="B5577">
        <v>11</v>
      </c>
      <c r="C5577" s="54">
        <v>43160</v>
      </c>
      <c r="D5577" s="3" t="str">
        <f>YEAR(Datos_Consumo[[#This Row],[FECHA]])&amp;"-"&amp;MONTH(Datos_Consumo[[#This Row],[FECHA]])</f>
        <v>2018-3</v>
      </c>
    </row>
    <row r="5578" spans="1:4" x14ac:dyDescent="0.25">
      <c r="A5578" t="s">
        <v>3394</v>
      </c>
      <c r="B5578">
        <v>1</v>
      </c>
      <c r="C5578" s="54">
        <v>43191</v>
      </c>
      <c r="D5578" s="3" t="str">
        <f>YEAR(Datos_Consumo[[#This Row],[FECHA]])&amp;"-"&amp;MONTH(Datos_Consumo[[#This Row],[FECHA]])</f>
        <v>2018-4</v>
      </c>
    </row>
    <row r="5579" spans="1:4" x14ac:dyDescent="0.25">
      <c r="A5579" t="s">
        <v>3395</v>
      </c>
      <c r="B5579">
        <v>1</v>
      </c>
      <c r="C5579" s="54">
        <v>43132</v>
      </c>
      <c r="D5579" s="3" t="str">
        <f>YEAR(Datos_Consumo[[#This Row],[FECHA]])&amp;"-"&amp;MONTH(Datos_Consumo[[#This Row],[FECHA]])</f>
        <v>2018-2</v>
      </c>
    </row>
    <row r="5580" spans="1:4" x14ac:dyDescent="0.25">
      <c r="A5580" t="s">
        <v>3396</v>
      </c>
      <c r="B5580">
        <v>25</v>
      </c>
      <c r="C5580" s="54">
        <v>43070</v>
      </c>
      <c r="D5580" s="3" t="str">
        <f>YEAR(Datos_Consumo[[#This Row],[FECHA]])&amp;"-"&amp;MONTH(Datos_Consumo[[#This Row],[FECHA]])</f>
        <v>2017-12</v>
      </c>
    </row>
    <row r="5581" spans="1:4" x14ac:dyDescent="0.25">
      <c r="A5581" t="s">
        <v>3396</v>
      </c>
      <c r="B5581">
        <v>3</v>
      </c>
      <c r="C5581" s="54">
        <v>43101</v>
      </c>
      <c r="D5581" s="3" t="str">
        <f>YEAR(Datos_Consumo[[#This Row],[FECHA]])&amp;"-"&amp;MONTH(Datos_Consumo[[#This Row],[FECHA]])</f>
        <v>2018-1</v>
      </c>
    </row>
    <row r="5582" spans="1:4" x14ac:dyDescent="0.25">
      <c r="A5582" t="s">
        <v>3396</v>
      </c>
      <c r="B5582">
        <v>162</v>
      </c>
      <c r="C5582" s="54">
        <v>43132</v>
      </c>
      <c r="D5582" s="3" t="str">
        <f>YEAR(Datos_Consumo[[#This Row],[FECHA]])&amp;"-"&amp;MONTH(Datos_Consumo[[#This Row],[FECHA]])</f>
        <v>2018-2</v>
      </c>
    </row>
    <row r="5583" spans="1:4" x14ac:dyDescent="0.25">
      <c r="A5583" t="s">
        <v>3396</v>
      </c>
      <c r="B5583">
        <v>72</v>
      </c>
      <c r="C5583" s="54">
        <v>43160</v>
      </c>
      <c r="D5583" s="3" t="str">
        <f>YEAR(Datos_Consumo[[#This Row],[FECHA]])&amp;"-"&amp;MONTH(Datos_Consumo[[#This Row],[FECHA]])</f>
        <v>2018-3</v>
      </c>
    </row>
    <row r="5584" spans="1:4" x14ac:dyDescent="0.25">
      <c r="A5584" t="s">
        <v>3396</v>
      </c>
      <c r="B5584">
        <v>1</v>
      </c>
      <c r="C5584" s="54">
        <v>43191</v>
      </c>
      <c r="D5584" s="3" t="str">
        <f>YEAR(Datos_Consumo[[#This Row],[FECHA]])&amp;"-"&amp;MONTH(Datos_Consumo[[#This Row],[FECHA]])</f>
        <v>2018-4</v>
      </c>
    </row>
    <row r="5585" spans="1:4" x14ac:dyDescent="0.25">
      <c r="A5585" t="s">
        <v>3397</v>
      </c>
      <c r="B5585">
        <v>1</v>
      </c>
      <c r="C5585" s="54">
        <v>43132</v>
      </c>
      <c r="D5585" s="3" t="str">
        <f>YEAR(Datos_Consumo[[#This Row],[FECHA]])&amp;"-"&amp;MONTH(Datos_Consumo[[#This Row],[FECHA]])</f>
        <v>2018-2</v>
      </c>
    </row>
    <row r="5586" spans="1:4" x14ac:dyDescent="0.25">
      <c r="A5586" t="s">
        <v>3398</v>
      </c>
      <c r="B5586">
        <v>1</v>
      </c>
      <c r="C5586" s="54">
        <v>43132</v>
      </c>
      <c r="D5586" s="3" t="str">
        <f>YEAR(Datos_Consumo[[#This Row],[FECHA]])&amp;"-"&amp;MONTH(Datos_Consumo[[#This Row],[FECHA]])</f>
        <v>2018-2</v>
      </c>
    </row>
    <row r="5587" spans="1:4" x14ac:dyDescent="0.25">
      <c r="A5587" t="s">
        <v>3398</v>
      </c>
      <c r="B5587">
        <v>1</v>
      </c>
      <c r="C5587" s="54">
        <v>43191</v>
      </c>
      <c r="D5587" s="3" t="str">
        <f>YEAR(Datos_Consumo[[#This Row],[FECHA]])&amp;"-"&amp;MONTH(Datos_Consumo[[#This Row],[FECHA]])</f>
        <v>2018-4</v>
      </c>
    </row>
    <row r="5588" spans="1:4" x14ac:dyDescent="0.25">
      <c r="A5588" t="s">
        <v>4148</v>
      </c>
      <c r="B5588">
        <v>1</v>
      </c>
      <c r="C5588" s="54">
        <v>43221</v>
      </c>
      <c r="D5588" s="3" t="str">
        <f>YEAR(Datos_Consumo[[#This Row],[FECHA]])&amp;"-"&amp;MONTH(Datos_Consumo[[#This Row],[FECHA]])</f>
        <v>2018-5</v>
      </c>
    </row>
    <row r="5589" spans="1:4" x14ac:dyDescent="0.25">
      <c r="A5589" t="s">
        <v>4149</v>
      </c>
      <c r="B5589">
        <v>2</v>
      </c>
      <c r="C5589" s="54">
        <v>43221</v>
      </c>
      <c r="D5589" s="3" t="str">
        <f>YEAR(Datos_Consumo[[#This Row],[FECHA]])&amp;"-"&amp;MONTH(Datos_Consumo[[#This Row],[FECHA]])</f>
        <v>2018-5</v>
      </c>
    </row>
    <row r="5590" spans="1:4" x14ac:dyDescent="0.25">
      <c r="A5590" t="s">
        <v>3399</v>
      </c>
      <c r="B5590">
        <v>3</v>
      </c>
      <c r="C5590" s="54">
        <v>43160</v>
      </c>
      <c r="D5590" s="3" t="str">
        <f>YEAR(Datos_Consumo[[#This Row],[FECHA]])&amp;"-"&amp;MONTH(Datos_Consumo[[#This Row],[FECHA]])</f>
        <v>2018-3</v>
      </c>
    </row>
    <row r="5591" spans="1:4" x14ac:dyDescent="0.25">
      <c r="A5591" t="s">
        <v>4150</v>
      </c>
      <c r="B5591">
        <v>4</v>
      </c>
      <c r="C5591" s="54">
        <v>43191</v>
      </c>
      <c r="D5591" s="3" t="str">
        <f>YEAR(Datos_Consumo[[#This Row],[FECHA]])&amp;"-"&amp;MONTH(Datos_Consumo[[#This Row],[FECHA]])</f>
        <v>2018-4</v>
      </c>
    </row>
    <row r="5592" spans="1:4" x14ac:dyDescent="0.25">
      <c r="A5592" t="s">
        <v>3400</v>
      </c>
      <c r="B5592">
        <v>2</v>
      </c>
      <c r="C5592" s="54">
        <v>43191</v>
      </c>
      <c r="D5592" s="3" t="str">
        <f>YEAR(Datos_Consumo[[#This Row],[FECHA]])&amp;"-"&amp;MONTH(Datos_Consumo[[#This Row],[FECHA]])</f>
        <v>2018-4</v>
      </c>
    </row>
    <row r="5593" spans="1:4" x14ac:dyDescent="0.25">
      <c r="A5593" t="s">
        <v>4151</v>
      </c>
      <c r="B5593">
        <v>1</v>
      </c>
      <c r="C5593" s="54">
        <v>43191</v>
      </c>
      <c r="D5593" s="3" t="str">
        <f>YEAR(Datos_Consumo[[#This Row],[FECHA]])&amp;"-"&amp;MONTH(Datos_Consumo[[#This Row],[FECHA]])</f>
        <v>2018-4</v>
      </c>
    </row>
    <row r="5594" spans="1:4" x14ac:dyDescent="0.25">
      <c r="A5594" t="s">
        <v>3401</v>
      </c>
      <c r="B5594">
        <v>5</v>
      </c>
      <c r="C5594" s="54">
        <v>43191</v>
      </c>
      <c r="D5594" s="3" t="str">
        <f>YEAR(Datos_Consumo[[#This Row],[FECHA]])&amp;"-"&amp;MONTH(Datos_Consumo[[#This Row],[FECHA]])</f>
        <v>2018-4</v>
      </c>
    </row>
    <row r="5595" spans="1:4" x14ac:dyDescent="0.25">
      <c r="A5595" t="s">
        <v>3402</v>
      </c>
      <c r="B5595">
        <v>2</v>
      </c>
      <c r="C5595" s="54">
        <v>43070</v>
      </c>
      <c r="D5595" s="3" t="str">
        <f>YEAR(Datos_Consumo[[#This Row],[FECHA]])&amp;"-"&amp;MONTH(Datos_Consumo[[#This Row],[FECHA]])</f>
        <v>2017-12</v>
      </c>
    </row>
    <row r="5596" spans="1:4" x14ac:dyDescent="0.25">
      <c r="A5596" t="s">
        <v>3402</v>
      </c>
      <c r="B5596">
        <v>2</v>
      </c>
      <c r="C5596" s="54">
        <v>43101</v>
      </c>
      <c r="D5596" s="3" t="str">
        <f>YEAR(Datos_Consumo[[#This Row],[FECHA]])&amp;"-"&amp;MONTH(Datos_Consumo[[#This Row],[FECHA]])</f>
        <v>2018-1</v>
      </c>
    </row>
    <row r="5597" spans="1:4" x14ac:dyDescent="0.25">
      <c r="A5597" t="s">
        <v>3402</v>
      </c>
      <c r="B5597">
        <v>1</v>
      </c>
      <c r="C5597" s="54">
        <v>43132</v>
      </c>
      <c r="D5597" s="3" t="str">
        <f>YEAR(Datos_Consumo[[#This Row],[FECHA]])&amp;"-"&amp;MONTH(Datos_Consumo[[#This Row],[FECHA]])</f>
        <v>2018-2</v>
      </c>
    </row>
    <row r="5598" spans="1:4" x14ac:dyDescent="0.25">
      <c r="A5598" t="s">
        <v>3402</v>
      </c>
      <c r="B5598">
        <v>4</v>
      </c>
      <c r="C5598" s="54">
        <v>43160</v>
      </c>
      <c r="D5598" s="3" t="str">
        <f>YEAR(Datos_Consumo[[#This Row],[FECHA]])&amp;"-"&amp;MONTH(Datos_Consumo[[#This Row],[FECHA]])</f>
        <v>2018-3</v>
      </c>
    </row>
    <row r="5599" spans="1:4" x14ac:dyDescent="0.25">
      <c r="A5599" t="s">
        <v>3402</v>
      </c>
      <c r="B5599">
        <v>1</v>
      </c>
      <c r="C5599" s="54">
        <v>43191</v>
      </c>
      <c r="D5599" s="3" t="str">
        <f>YEAR(Datos_Consumo[[#This Row],[FECHA]])&amp;"-"&amp;MONTH(Datos_Consumo[[#This Row],[FECHA]])</f>
        <v>2018-4</v>
      </c>
    </row>
    <row r="5600" spans="1:4" x14ac:dyDescent="0.25">
      <c r="A5600" t="s">
        <v>3402</v>
      </c>
      <c r="B5600">
        <v>1</v>
      </c>
      <c r="C5600" s="54">
        <v>43221</v>
      </c>
      <c r="D5600" s="3" t="str">
        <f>YEAR(Datos_Consumo[[#This Row],[FECHA]])&amp;"-"&amp;MONTH(Datos_Consumo[[#This Row],[FECHA]])</f>
        <v>2018-5</v>
      </c>
    </row>
    <row r="5601" spans="1:4" x14ac:dyDescent="0.25">
      <c r="A5601" t="s">
        <v>4152</v>
      </c>
      <c r="B5601">
        <v>1</v>
      </c>
      <c r="C5601" s="54">
        <v>43191</v>
      </c>
      <c r="D5601" s="3" t="str">
        <f>YEAR(Datos_Consumo[[#This Row],[FECHA]])&amp;"-"&amp;MONTH(Datos_Consumo[[#This Row],[FECHA]])</f>
        <v>2018-4</v>
      </c>
    </row>
    <row r="5602" spans="1:4" x14ac:dyDescent="0.25">
      <c r="A5602" t="s">
        <v>4153</v>
      </c>
      <c r="B5602">
        <v>1</v>
      </c>
      <c r="C5602" s="54">
        <v>43191</v>
      </c>
      <c r="D5602" s="3" t="str">
        <f>YEAR(Datos_Consumo[[#This Row],[FECHA]])&amp;"-"&amp;MONTH(Datos_Consumo[[#This Row],[FECHA]])</f>
        <v>2018-4</v>
      </c>
    </row>
    <row r="5603" spans="1:4" x14ac:dyDescent="0.25">
      <c r="A5603" t="s">
        <v>3403</v>
      </c>
      <c r="B5603">
        <v>1</v>
      </c>
      <c r="C5603" s="54">
        <v>43132</v>
      </c>
      <c r="D5603" s="3" t="str">
        <f>YEAR(Datos_Consumo[[#This Row],[FECHA]])&amp;"-"&amp;MONTH(Datos_Consumo[[#This Row],[FECHA]])</f>
        <v>2018-2</v>
      </c>
    </row>
    <row r="5604" spans="1:4" x14ac:dyDescent="0.25">
      <c r="A5604" t="s">
        <v>3403</v>
      </c>
      <c r="B5604">
        <v>2</v>
      </c>
      <c r="C5604" s="54">
        <v>43160</v>
      </c>
      <c r="D5604" s="3" t="str">
        <f>YEAR(Datos_Consumo[[#This Row],[FECHA]])&amp;"-"&amp;MONTH(Datos_Consumo[[#This Row],[FECHA]])</f>
        <v>2018-3</v>
      </c>
    </row>
    <row r="5605" spans="1:4" x14ac:dyDescent="0.25">
      <c r="A5605" t="s">
        <v>3403</v>
      </c>
      <c r="B5605">
        <v>1</v>
      </c>
      <c r="C5605" s="54">
        <v>43191</v>
      </c>
      <c r="D5605" s="3" t="str">
        <f>YEAR(Datos_Consumo[[#This Row],[FECHA]])&amp;"-"&amp;MONTH(Datos_Consumo[[#This Row],[FECHA]])</f>
        <v>2018-4</v>
      </c>
    </row>
    <row r="5606" spans="1:4" x14ac:dyDescent="0.25">
      <c r="A5606" t="s">
        <v>3403</v>
      </c>
      <c r="B5606">
        <v>1</v>
      </c>
      <c r="C5606" s="54">
        <v>43221</v>
      </c>
      <c r="D5606" s="3" t="str">
        <f>YEAR(Datos_Consumo[[#This Row],[FECHA]])&amp;"-"&amp;MONTH(Datos_Consumo[[#This Row],[FECHA]])</f>
        <v>2018-5</v>
      </c>
    </row>
    <row r="5607" spans="1:4" x14ac:dyDescent="0.25">
      <c r="A5607" t="s">
        <v>4154</v>
      </c>
      <c r="B5607">
        <v>1</v>
      </c>
      <c r="C5607" s="54">
        <v>43191</v>
      </c>
      <c r="D5607" s="3" t="str">
        <f>YEAR(Datos_Consumo[[#This Row],[FECHA]])&amp;"-"&amp;MONTH(Datos_Consumo[[#This Row],[FECHA]])</f>
        <v>2018-4</v>
      </c>
    </row>
    <row r="5608" spans="1:4" x14ac:dyDescent="0.25">
      <c r="A5608" t="s">
        <v>4155</v>
      </c>
      <c r="B5608">
        <v>1</v>
      </c>
      <c r="C5608" s="54">
        <v>43191</v>
      </c>
      <c r="D5608" s="3" t="str">
        <f>YEAR(Datos_Consumo[[#This Row],[FECHA]])&amp;"-"&amp;MONTH(Datos_Consumo[[#This Row],[FECHA]])</f>
        <v>2018-4</v>
      </c>
    </row>
    <row r="5609" spans="1:4" x14ac:dyDescent="0.25">
      <c r="A5609" t="s">
        <v>3404</v>
      </c>
      <c r="B5609">
        <v>1</v>
      </c>
      <c r="C5609" s="54">
        <v>43101</v>
      </c>
      <c r="D5609" s="3" t="str">
        <f>YEAR(Datos_Consumo[[#This Row],[FECHA]])&amp;"-"&amp;MONTH(Datos_Consumo[[#This Row],[FECHA]])</f>
        <v>2018-1</v>
      </c>
    </row>
    <row r="5610" spans="1:4" x14ac:dyDescent="0.25">
      <c r="A5610" t="s">
        <v>3405</v>
      </c>
      <c r="B5610">
        <v>5</v>
      </c>
      <c r="C5610" s="54">
        <v>43132</v>
      </c>
      <c r="D5610" s="3" t="str">
        <f>YEAR(Datos_Consumo[[#This Row],[FECHA]])&amp;"-"&amp;MONTH(Datos_Consumo[[#This Row],[FECHA]])</f>
        <v>2018-2</v>
      </c>
    </row>
    <row r="5611" spans="1:4" x14ac:dyDescent="0.25">
      <c r="A5611" t="s">
        <v>3406</v>
      </c>
      <c r="B5611">
        <v>2</v>
      </c>
      <c r="C5611" s="54">
        <v>43160</v>
      </c>
      <c r="D5611" s="3" t="str">
        <f>YEAR(Datos_Consumo[[#This Row],[FECHA]])&amp;"-"&amp;MONTH(Datos_Consumo[[#This Row],[FECHA]])</f>
        <v>2018-3</v>
      </c>
    </row>
    <row r="5612" spans="1:4" x14ac:dyDescent="0.25">
      <c r="A5612" t="s">
        <v>3407</v>
      </c>
      <c r="B5612">
        <v>1</v>
      </c>
      <c r="C5612" s="54">
        <v>43070</v>
      </c>
      <c r="D5612" s="3" t="str">
        <f>YEAR(Datos_Consumo[[#This Row],[FECHA]])&amp;"-"&amp;MONTH(Datos_Consumo[[#This Row],[FECHA]])</f>
        <v>2017-12</v>
      </c>
    </row>
    <row r="5613" spans="1:4" x14ac:dyDescent="0.25">
      <c r="A5613" t="s">
        <v>4156</v>
      </c>
      <c r="B5613">
        <v>1</v>
      </c>
      <c r="C5613" s="54">
        <v>43191</v>
      </c>
      <c r="D5613" s="3" t="str">
        <f>YEAR(Datos_Consumo[[#This Row],[FECHA]])&amp;"-"&amp;MONTH(Datos_Consumo[[#This Row],[FECHA]])</f>
        <v>2018-4</v>
      </c>
    </row>
    <row r="5614" spans="1:4" x14ac:dyDescent="0.25">
      <c r="A5614" t="s">
        <v>4157</v>
      </c>
      <c r="B5614">
        <v>1</v>
      </c>
      <c r="C5614" s="54">
        <v>43191</v>
      </c>
      <c r="D5614" s="3" t="str">
        <f>YEAR(Datos_Consumo[[#This Row],[FECHA]])&amp;"-"&amp;MONTH(Datos_Consumo[[#This Row],[FECHA]])</f>
        <v>2018-4</v>
      </c>
    </row>
    <row r="5615" spans="1:4" x14ac:dyDescent="0.25">
      <c r="A5615" t="s">
        <v>3408</v>
      </c>
      <c r="B5615">
        <v>2</v>
      </c>
      <c r="C5615" s="54">
        <v>43160</v>
      </c>
      <c r="D5615" s="3" t="str">
        <f>YEAR(Datos_Consumo[[#This Row],[FECHA]])&amp;"-"&amp;MONTH(Datos_Consumo[[#This Row],[FECHA]])</f>
        <v>2018-3</v>
      </c>
    </row>
    <row r="5616" spans="1:4" x14ac:dyDescent="0.25">
      <c r="A5616" t="s">
        <v>3408</v>
      </c>
      <c r="B5616">
        <v>1</v>
      </c>
      <c r="C5616" s="54">
        <v>43221</v>
      </c>
      <c r="D5616" s="3" t="str">
        <f>YEAR(Datos_Consumo[[#This Row],[FECHA]])&amp;"-"&amp;MONTH(Datos_Consumo[[#This Row],[FECHA]])</f>
        <v>2018-5</v>
      </c>
    </row>
    <row r="5617" spans="1:4" x14ac:dyDescent="0.25">
      <c r="A5617" t="s">
        <v>4158</v>
      </c>
      <c r="B5617">
        <v>1</v>
      </c>
      <c r="C5617" s="54">
        <v>43191</v>
      </c>
      <c r="D5617" s="3" t="str">
        <f>YEAR(Datos_Consumo[[#This Row],[FECHA]])&amp;"-"&amp;MONTH(Datos_Consumo[[#This Row],[FECHA]])</f>
        <v>2018-4</v>
      </c>
    </row>
    <row r="5618" spans="1:4" x14ac:dyDescent="0.25">
      <c r="A5618" t="s">
        <v>3409</v>
      </c>
      <c r="B5618">
        <v>3</v>
      </c>
      <c r="C5618" s="54">
        <v>43101</v>
      </c>
      <c r="D5618" s="3" t="str">
        <f>YEAR(Datos_Consumo[[#This Row],[FECHA]])&amp;"-"&amp;MONTH(Datos_Consumo[[#This Row],[FECHA]])</f>
        <v>2018-1</v>
      </c>
    </row>
    <row r="5619" spans="1:4" x14ac:dyDescent="0.25">
      <c r="A5619" t="s">
        <v>3410</v>
      </c>
      <c r="B5619">
        <v>1</v>
      </c>
      <c r="C5619" s="54">
        <v>43070</v>
      </c>
      <c r="D5619" s="3" t="str">
        <f>YEAR(Datos_Consumo[[#This Row],[FECHA]])&amp;"-"&amp;MONTH(Datos_Consumo[[#This Row],[FECHA]])</f>
        <v>2017-12</v>
      </c>
    </row>
    <row r="5620" spans="1:4" x14ac:dyDescent="0.25">
      <c r="A5620" t="s">
        <v>3410</v>
      </c>
      <c r="B5620">
        <v>3</v>
      </c>
      <c r="C5620" s="54">
        <v>43132</v>
      </c>
      <c r="D5620" s="3" t="str">
        <f>YEAR(Datos_Consumo[[#This Row],[FECHA]])&amp;"-"&amp;MONTH(Datos_Consumo[[#This Row],[FECHA]])</f>
        <v>2018-2</v>
      </c>
    </row>
    <row r="5621" spans="1:4" x14ac:dyDescent="0.25">
      <c r="A5621" t="s">
        <v>3411</v>
      </c>
      <c r="B5621">
        <v>5</v>
      </c>
      <c r="C5621" s="54">
        <v>43070</v>
      </c>
      <c r="D5621" s="3" t="str">
        <f>YEAR(Datos_Consumo[[#This Row],[FECHA]])&amp;"-"&amp;MONTH(Datos_Consumo[[#This Row],[FECHA]])</f>
        <v>2017-12</v>
      </c>
    </row>
    <row r="5622" spans="1:4" x14ac:dyDescent="0.25">
      <c r="A5622" t="s">
        <v>3411</v>
      </c>
      <c r="B5622">
        <v>8</v>
      </c>
      <c r="C5622" s="54">
        <v>43101</v>
      </c>
      <c r="D5622" s="3" t="str">
        <f>YEAR(Datos_Consumo[[#This Row],[FECHA]])&amp;"-"&amp;MONTH(Datos_Consumo[[#This Row],[FECHA]])</f>
        <v>2018-1</v>
      </c>
    </row>
    <row r="5623" spans="1:4" x14ac:dyDescent="0.25">
      <c r="A5623" t="s">
        <v>3411</v>
      </c>
      <c r="B5623">
        <v>2</v>
      </c>
      <c r="C5623" s="54">
        <v>43132</v>
      </c>
      <c r="D5623" s="3" t="str">
        <f>YEAR(Datos_Consumo[[#This Row],[FECHA]])&amp;"-"&amp;MONTH(Datos_Consumo[[#This Row],[FECHA]])</f>
        <v>2018-2</v>
      </c>
    </row>
    <row r="5624" spans="1:4" x14ac:dyDescent="0.25">
      <c r="A5624" t="s">
        <v>3412</v>
      </c>
      <c r="B5624">
        <v>3</v>
      </c>
      <c r="C5624" s="54">
        <v>43070</v>
      </c>
      <c r="D5624" s="3" t="str">
        <f>YEAR(Datos_Consumo[[#This Row],[FECHA]])&amp;"-"&amp;MONTH(Datos_Consumo[[#This Row],[FECHA]])</f>
        <v>2017-12</v>
      </c>
    </row>
    <row r="5625" spans="1:4" x14ac:dyDescent="0.25">
      <c r="A5625" t="s">
        <v>3412</v>
      </c>
      <c r="B5625">
        <v>5</v>
      </c>
      <c r="C5625" s="54">
        <v>43101</v>
      </c>
      <c r="D5625" s="3" t="str">
        <f>YEAR(Datos_Consumo[[#This Row],[FECHA]])&amp;"-"&amp;MONTH(Datos_Consumo[[#This Row],[FECHA]])</f>
        <v>2018-1</v>
      </c>
    </row>
    <row r="5626" spans="1:4" x14ac:dyDescent="0.25">
      <c r="A5626" t="s">
        <v>3412</v>
      </c>
      <c r="B5626">
        <v>20</v>
      </c>
      <c r="C5626" s="54">
        <v>43132</v>
      </c>
      <c r="D5626" s="3" t="str">
        <f>YEAR(Datos_Consumo[[#This Row],[FECHA]])&amp;"-"&amp;MONTH(Datos_Consumo[[#This Row],[FECHA]])</f>
        <v>2018-2</v>
      </c>
    </row>
    <row r="5627" spans="1:4" x14ac:dyDescent="0.25">
      <c r="A5627" t="s">
        <v>3412</v>
      </c>
      <c r="B5627">
        <v>22</v>
      </c>
      <c r="C5627" s="54">
        <v>43160</v>
      </c>
      <c r="D5627" s="3" t="str">
        <f>YEAR(Datos_Consumo[[#This Row],[FECHA]])&amp;"-"&amp;MONTH(Datos_Consumo[[#This Row],[FECHA]])</f>
        <v>2018-3</v>
      </c>
    </row>
    <row r="5628" spans="1:4" x14ac:dyDescent="0.25">
      <c r="A5628" t="s">
        <v>3413</v>
      </c>
      <c r="B5628">
        <v>2</v>
      </c>
      <c r="C5628" s="54">
        <v>43132</v>
      </c>
      <c r="D5628" s="3" t="str">
        <f>YEAR(Datos_Consumo[[#This Row],[FECHA]])&amp;"-"&amp;MONTH(Datos_Consumo[[#This Row],[FECHA]])</f>
        <v>2018-2</v>
      </c>
    </row>
    <row r="5629" spans="1:4" x14ac:dyDescent="0.25">
      <c r="A5629" t="s">
        <v>3414</v>
      </c>
      <c r="B5629">
        <v>2</v>
      </c>
      <c r="C5629" s="54">
        <v>43160</v>
      </c>
      <c r="D5629" s="3" t="str">
        <f>YEAR(Datos_Consumo[[#This Row],[FECHA]])&amp;"-"&amp;MONTH(Datos_Consumo[[#This Row],[FECHA]])</f>
        <v>2018-3</v>
      </c>
    </row>
    <row r="5630" spans="1:4" x14ac:dyDescent="0.25">
      <c r="A5630" t="s">
        <v>4159</v>
      </c>
      <c r="B5630">
        <v>1</v>
      </c>
      <c r="C5630" s="54">
        <v>43191</v>
      </c>
      <c r="D5630" s="3" t="str">
        <f>YEAR(Datos_Consumo[[#This Row],[FECHA]])&amp;"-"&amp;MONTH(Datos_Consumo[[#This Row],[FECHA]])</f>
        <v>2018-4</v>
      </c>
    </row>
    <row r="5631" spans="1:4" x14ac:dyDescent="0.25">
      <c r="A5631" t="s">
        <v>3415</v>
      </c>
      <c r="B5631">
        <v>1</v>
      </c>
      <c r="C5631" s="54">
        <v>43070</v>
      </c>
      <c r="D5631" s="3" t="str">
        <f>YEAR(Datos_Consumo[[#This Row],[FECHA]])&amp;"-"&amp;MONTH(Datos_Consumo[[#This Row],[FECHA]])</f>
        <v>2017-12</v>
      </c>
    </row>
    <row r="5632" spans="1:4" x14ac:dyDescent="0.25">
      <c r="A5632" t="s">
        <v>3415</v>
      </c>
      <c r="B5632">
        <v>1</v>
      </c>
      <c r="C5632" s="54">
        <v>43132</v>
      </c>
      <c r="D5632" s="3" t="str">
        <f>YEAR(Datos_Consumo[[#This Row],[FECHA]])&amp;"-"&amp;MONTH(Datos_Consumo[[#This Row],[FECHA]])</f>
        <v>2018-2</v>
      </c>
    </row>
    <row r="5633" spans="1:4" x14ac:dyDescent="0.25">
      <c r="A5633" t="s">
        <v>3415</v>
      </c>
      <c r="B5633">
        <v>1</v>
      </c>
      <c r="C5633" s="54">
        <v>43160</v>
      </c>
      <c r="D5633" s="3" t="str">
        <f>YEAR(Datos_Consumo[[#This Row],[FECHA]])&amp;"-"&amp;MONTH(Datos_Consumo[[#This Row],[FECHA]])</f>
        <v>2018-3</v>
      </c>
    </row>
    <row r="5634" spans="1:4" x14ac:dyDescent="0.25">
      <c r="A5634" t="s">
        <v>3416</v>
      </c>
      <c r="B5634">
        <v>1</v>
      </c>
      <c r="C5634" s="54">
        <v>43101</v>
      </c>
      <c r="D5634" s="3" t="str">
        <f>YEAR(Datos_Consumo[[#This Row],[FECHA]])&amp;"-"&amp;MONTH(Datos_Consumo[[#This Row],[FECHA]])</f>
        <v>2018-1</v>
      </c>
    </row>
    <row r="5635" spans="1:4" x14ac:dyDescent="0.25">
      <c r="A5635" t="s">
        <v>3417</v>
      </c>
      <c r="B5635">
        <v>4</v>
      </c>
      <c r="C5635" s="54">
        <v>43101</v>
      </c>
      <c r="D5635" s="3" t="str">
        <f>YEAR(Datos_Consumo[[#This Row],[FECHA]])&amp;"-"&amp;MONTH(Datos_Consumo[[#This Row],[FECHA]])</f>
        <v>2018-1</v>
      </c>
    </row>
    <row r="5636" spans="1:4" x14ac:dyDescent="0.25">
      <c r="A5636" t="s">
        <v>4160</v>
      </c>
      <c r="B5636">
        <v>1</v>
      </c>
      <c r="C5636" s="54">
        <v>43191</v>
      </c>
      <c r="D5636" s="3" t="str">
        <f>YEAR(Datos_Consumo[[#This Row],[FECHA]])&amp;"-"&amp;MONTH(Datos_Consumo[[#This Row],[FECHA]])</f>
        <v>2018-4</v>
      </c>
    </row>
    <row r="5637" spans="1:4" x14ac:dyDescent="0.25">
      <c r="A5637" t="s">
        <v>4161</v>
      </c>
      <c r="B5637">
        <v>4</v>
      </c>
      <c r="C5637" s="54">
        <v>43191</v>
      </c>
      <c r="D5637" s="3" t="str">
        <f>YEAR(Datos_Consumo[[#This Row],[FECHA]])&amp;"-"&amp;MONTH(Datos_Consumo[[#This Row],[FECHA]])</f>
        <v>2018-4</v>
      </c>
    </row>
    <row r="5638" spans="1:4" x14ac:dyDescent="0.25">
      <c r="A5638" t="s">
        <v>3418</v>
      </c>
      <c r="B5638">
        <v>1</v>
      </c>
      <c r="C5638" s="54">
        <v>43160</v>
      </c>
      <c r="D5638" s="3" t="str">
        <f>YEAR(Datos_Consumo[[#This Row],[FECHA]])&amp;"-"&amp;MONTH(Datos_Consumo[[#This Row],[FECHA]])</f>
        <v>2018-3</v>
      </c>
    </row>
    <row r="5639" spans="1:4" x14ac:dyDescent="0.25">
      <c r="A5639" t="s">
        <v>3419</v>
      </c>
      <c r="B5639">
        <v>3</v>
      </c>
      <c r="C5639" s="54">
        <v>43070</v>
      </c>
      <c r="D5639" s="3" t="str">
        <f>YEAR(Datos_Consumo[[#This Row],[FECHA]])&amp;"-"&amp;MONTH(Datos_Consumo[[#This Row],[FECHA]])</f>
        <v>2017-12</v>
      </c>
    </row>
    <row r="5640" spans="1:4" x14ac:dyDescent="0.25">
      <c r="A5640" t="s">
        <v>3419</v>
      </c>
      <c r="B5640">
        <v>5</v>
      </c>
      <c r="C5640" s="54">
        <v>43101</v>
      </c>
      <c r="D5640" s="3" t="str">
        <f>YEAR(Datos_Consumo[[#This Row],[FECHA]])&amp;"-"&amp;MONTH(Datos_Consumo[[#This Row],[FECHA]])</f>
        <v>2018-1</v>
      </c>
    </row>
    <row r="5641" spans="1:4" x14ac:dyDescent="0.25">
      <c r="A5641" t="s">
        <v>3419</v>
      </c>
      <c r="B5641">
        <v>8</v>
      </c>
      <c r="C5641" s="54">
        <v>43132</v>
      </c>
      <c r="D5641" s="3" t="str">
        <f>YEAR(Datos_Consumo[[#This Row],[FECHA]])&amp;"-"&amp;MONTH(Datos_Consumo[[#This Row],[FECHA]])</f>
        <v>2018-2</v>
      </c>
    </row>
    <row r="5642" spans="1:4" x14ac:dyDescent="0.25">
      <c r="A5642" t="s">
        <v>3419</v>
      </c>
      <c r="B5642">
        <v>15</v>
      </c>
      <c r="C5642" s="54">
        <v>43160</v>
      </c>
      <c r="D5642" s="3" t="str">
        <f>YEAR(Datos_Consumo[[#This Row],[FECHA]])&amp;"-"&amp;MONTH(Datos_Consumo[[#This Row],[FECHA]])</f>
        <v>2018-3</v>
      </c>
    </row>
    <row r="5643" spans="1:4" x14ac:dyDescent="0.25">
      <c r="A5643" t="s">
        <v>3419</v>
      </c>
      <c r="B5643">
        <v>9</v>
      </c>
      <c r="C5643" s="54">
        <v>43191</v>
      </c>
      <c r="D5643" s="3" t="str">
        <f>YEAR(Datos_Consumo[[#This Row],[FECHA]])&amp;"-"&amp;MONTH(Datos_Consumo[[#This Row],[FECHA]])</f>
        <v>2018-4</v>
      </c>
    </row>
    <row r="5644" spans="1:4" x14ac:dyDescent="0.25">
      <c r="A5644" t="s">
        <v>3419</v>
      </c>
      <c r="B5644">
        <v>2</v>
      </c>
      <c r="C5644" s="54">
        <v>43221</v>
      </c>
      <c r="D5644" s="3" t="str">
        <f>YEAR(Datos_Consumo[[#This Row],[FECHA]])&amp;"-"&amp;MONTH(Datos_Consumo[[#This Row],[FECHA]])</f>
        <v>2018-5</v>
      </c>
    </row>
    <row r="5645" spans="1:4" x14ac:dyDescent="0.25">
      <c r="A5645" t="s">
        <v>3420</v>
      </c>
      <c r="B5645">
        <v>1</v>
      </c>
      <c r="C5645" s="54">
        <v>43132</v>
      </c>
      <c r="D5645" s="3" t="str">
        <f>YEAR(Datos_Consumo[[#This Row],[FECHA]])&amp;"-"&amp;MONTH(Datos_Consumo[[#This Row],[FECHA]])</f>
        <v>2018-2</v>
      </c>
    </row>
    <row r="5646" spans="1:4" x14ac:dyDescent="0.25">
      <c r="A5646" t="s">
        <v>4162</v>
      </c>
      <c r="B5646">
        <v>5</v>
      </c>
      <c r="C5646" s="54">
        <v>43221</v>
      </c>
      <c r="D5646" s="3" t="str">
        <f>YEAR(Datos_Consumo[[#This Row],[FECHA]])&amp;"-"&amp;MONTH(Datos_Consumo[[#This Row],[FECHA]])</f>
        <v>2018-5</v>
      </c>
    </row>
    <row r="5647" spans="1:4" x14ac:dyDescent="0.25">
      <c r="A5647" t="s">
        <v>4163</v>
      </c>
      <c r="B5647">
        <v>2</v>
      </c>
      <c r="C5647" s="54">
        <v>43191</v>
      </c>
      <c r="D5647" s="3" t="str">
        <f>YEAR(Datos_Consumo[[#This Row],[FECHA]])&amp;"-"&amp;MONTH(Datos_Consumo[[#This Row],[FECHA]])</f>
        <v>2018-4</v>
      </c>
    </row>
    <row r="5648" spans="1:4" x14ac:dyDescent="0.25">
      <c r="A5648" t="s">
        <v>3421</v>
      </c>
      <c r="B5648">
        <v>17</v>
      </c>
      <c r="C5648" s="54">
        <v>43101</v>
      </c>
      <c r="D5648" s="3" t="str">
        <f>YEAR(Datos_Consumo[[#This Row],[FECHA]])&amp;"-"&amp;MONTH(Datos_Consumo[[#This Row],[FECHA]])</f>
        <v>2018-1</v>
      </c>
    </row>
    <row r="5649" spans="1:4" x14ac:dyDescent="0.25">
      <c r="A5649" t="s">
        <v>3422</v>
      </c>
      <c r="B5649">
        <v>3</v>
      </c>
      <c r="C5649" s="54">
        <v>43101</v>
      </c>
      <c r="D5649" s="3" t="str">
        <f>YEAR(Datos_Consumo[[#This Row],[FECHA]])&amp;"-"&amp;MONTH(Datos_Consumo[[#This Row],[FECHA]])</f>
        <v>2018-1</v>
      </c>
    </row>
    <row r="5650" spans="1:4" x14ac:dyDescent="0.25">
      <c r="A5650" t="s">
        <v>3423</v>
      </c>
      <c r="B5650">
        <v>25</v>
      </c>
      <c r="C5650" s="54">
        <v>43070</v>
      </c>
      <c r="D5650" s="3" t="str">
        <f>YEAR(Datos_Consumo[[#This Row],[FECHA]])&amp;"-"&amp;MONTH(Datos_Consumo[[#This Row],[FECHA]])</f>
        <v>2017-12</v>
      </c>
    </row>
    <row r="5651" spans="1:4" x14ac:dyDescent="0.25">
      <c r="A5651" t="s">
        <v>3423</v>
      </c>
      <c r="B5651">
        <v>14</v>
      </c>
      <c r="C5651" s="54">
        <v>43101</v>
      </c>
      <c r="D5651" s="3" t="str">
        <f>YEAR(Datos_Consumo[[#This Row],[FECHA]])&amp;"-"&amp;MONTH(Datos_Consumo[[#This Row],[FECHA]])</f>
        <v>2018-1</v>
      </c>
    </row>
    <row r="5652" spans="1:4" x14ac:dyDescent="0.25">
      <c r="A5652" t="s">
        <v>3423</v>
      </c>
      <c r="B5652">
        <v>58</v>
      </c>
      <c r="C5652" s="54">
        <v>43132</v>
      </c>
      <c r="D5652" s="3" t="str">
        <f>YEAR(Datos_Consumo[[#This Row],[FECHA]])&amp;"-"&amp;MONTH(Datos_Consumo[[#This Row],[FECHA]])</f>
        <v>2018-2</v>
      </c>
    </row>
    <row r="5653" spans="1:4" x14ac:dyDescent="0.25">
      <c r="A5653" t="s">
        <v>3423</v>
      </c>
      <c r="B5653">
        <v>34</v>
      </c>
      <c r="C5653" s="54">
        <v>43160</v>
      </c>
      <c r="D5653" s="3" t="str">
        <f>YEAR(Datos_Consumo[[#This Row],[FECHA]])&amp;"-"&amp;MONTH(Datos_Consumo[[#This Row],[FECHA]])</f>
        <v>2018-3</v>
      </c>
    </row>
    <row r="5654" spans="1:4" x14ac:dyDescent="0.25">
      <c r="A5654" t="s">
        <v>3423</v>
      </c>
      <c r="B5654">
        <v>27</v>
      </c>
      <c r="C5654" s="54">
        <v>43191</v>
      </c>
      <c r="D5654" s="3" t="str">
        <f>YEAR(Datos_Consumo[[#This Row],[FECHA]])&amp;"-"&amp;MONTH(Datos_Consumo[[#This Row],[FECHA]])</f>
        <v>2018-4</v>
      </c>
    </row>
    <row r="5655" spans="1:4" x14ac:dyDescent="0.25">
      <c r="A5655" t="s">
        <v>3423</v>
      </c>
      <c r="B5655">
        <v>12</v>
      </c>
      <c r="C5655" s="54">
        <v>43221</v>
      </c>
      <c r="D5655" s="3" t="str">
        <f>YEAR(Datos_Consumo[[#This Row],[FECHA]])&amp;"-"&amp;MONTH(Datos_Consumo[[#This Row],[FECHA]])</f>
        <v>2018-5</v>
      </c>
    </row>
    <row r="5656" spans="1:4" x14ac:dyDescent="0.25">
      <c r="A5656" t="s">
        <v>3424</v>
      </c>
      <c r="B5656">
        <v>185</v>
      </c>
      <c r="C5656" s="54">
        <v>43070</v>
      </c>
      <c r="D5656" s="3" t="str">
        <f>YEAR(Datos_Consumo[[#This Row],[FECHA]])&amp;"-"&amp;MONTH(Datos_Consumo[[#This Row],[FECHA]])</f>
        <v>2017-12</v>
      </c>
    </row>
    <row r="5657" spans="1:4" x14ac:dyDescent="0.25">
      <c r="A5657" t="s">
        <v>3424</v>
      </c>
      <c r="B5657">
        <v>94</v>
      </c>
      <c r="C5657" s="54">
        <v>43101</v>
      </c>
      <c r="D5657" s="3" t="str">
        <f>YEAR(Datos_Consumo[[#This Row],[FECHA]])&amp;"-"&amp;MONTH(Datos_Consumo[[#This Row],[FECHA]])</f>
        <v>2018-1</v>
      </c>
    </row>
    <row r="5658" spans="1:4" x14ac:dyDescent="0.25">
      <c r="A5658" t="s">
        <v>3424</v>
      </c>
      <c r="B5658">
        <v>204</v>
      </c>
      <c r="C5658" s="54">
        <v>43132</v>
      </c>
      <c r="D5658" s="3" t="str">
        <f>YEAR(Datos_Consumo[[#This Row],[FECHA]])&amp;"-"&amp;MONTH(Datos_Consumo[[#This Row],[FECHA]])</f>
        <v>2018-2</v>
      </c>
    </row>
    <row r="5659" spans="1:4" x14ac:dyDescent="0.25">
      <c r="A5659" t="s">
        <v>3424</v>
      </c>
      <c r="B5659">
        <v>77</v>
      </c>
      <c r="C5659" s="54">
        <v>43160</v>
      </c>
      <c r="D5659" s="3" t="str">
        <f>YEAR(Datos_Consumo[[#This Row],[FECHA]])&amp;"-"&amp;MONTH(Datos_Consumo[[#This Row],[FECHA]])</f>
        <v>2018-3</v>
      </c>
    </row>
    <row r="5660" spans="1:4" x14ac:dyDescent="0.25">
      <c r="A5660" t="s">
        <v>3424</v>
      </c>
      <c r="B5660">
        <v>68</v>
      </c>
      <c r="C5660" s="54">
        <v>43191</v>
      </c>
      <c r="D5660" s="3" t="str">
        <f>YEAR(Datos_Consumo[[#This Row],[FECHA]])&amp;"-"&amp;MONTH(Datos_Consumo[[#This Row],[FECHA]])</f>
        <v>2018-4</v>
      </c>
    </row>
    <row r="5661" spans="1:4" x14ac:dyDescent="0.25">
      <c r="A5661" t="s">
        <v>3424</v>
      </c>
      <c r="B5661">
        <v>49</v>
      </c>
      <c r="C5661" s="54">
        <v>43221</v>
      </c>
      <c r="D5661" s="3" t="str">
        <f>YEAR(Datos_Consumo[[#This Row],[FECHA]])&amp;"-"&amp;MONTH(Datos_Consumo[[#This Row],[FECHA]])</f>
        <v>2018-5</v>
      </c>
    </row>
    <row r="5662" spans="1:4" x14ac:dyDescent="0.25">
      <c r="A5662" t="s">
        <v>3425</v>
      </c>
      <c r="B5662">
        <v>19</v>
      </c>
      <c r="C5662" s="54">
        <v>43070</v>
      </c>
      <c r="D5662" s="3" t="str">
        <f>YEAR(Datos_Consumo[[#This Row],[FECHA]])&amp;"-"&amp;MONTH(Datos_Consumo[[#This Row],[FECHA]])</f>
        <v>2017-12</v>
      </c>
    </row>
    <row r="5663" spans="1:4" x14ac:dyDescent="0.25">
      <c r="A5663" t="s">
        <v>3425</v>
      </c>
      <c r="B5663">
        <v>3</v>
      </c>
      <c r="C5663" s="54">
        <v>43101</v>
      </c>
      <c r="D5663" s="3" t="str">
        <f>YEAR(Datos_Consumo[[#This Row],[FECHA]])&amp;"-"&amp;MONTH(Datos_Consumo[[#This Row],[FECHA]])</f>
        <v>2018-1</v>
      </c>
    </row>
    <row r="5664" spans="1:4" x14ac:dyDescent="0.25">
      <c r="A5664" t="s">
        <v>3425</v>
      </c>
      <c r="B5664">
        <v>4</v>
      </c>
      <c r="C5664" s="54">
        <v>43132</v>
      </c>
      <c r="D5664" s="3" t="str">
        <f>YEAR(Datos_Consumo[[#This Row],[FECHA]])&amp;"-"&amp;MONTH(Datos_Consumo[[#This Row],[FECHA]])</f>
        <v>2018-2</v>
      </c>
    </row>
    <row r="5665" spans="1:4" x14ac:dyDescent="0.25">
      <c r="A5665" t="s">
        <v>3425</v>
      </c>
      <c r="B5665">
        <v>5</v>
      </c>
      <c r="C5665" s="54">
        <v>43160</v>
      </c>
      <c r="D5665" s="3" t="str">
        <f>YEAR(Datos_Consumo[[#This Row],[FECHA]])&amp;"-"&amp;MONTH(Datos_Consumo[[#This Row],[FECHA]])</f>
        <v>2018-3</v>
      </c>
    </row>
    <row r="5666" spans="1:4" x14ac:dyDescent="0.25">
      <c r="A5666" t="s">
        <v>3425</v>
      </c>
      <c r="B5666">
        <v>2</v>
      </c>
      <c r="C5666" s="54">
        <v>43191</v>
      </c>
      <c r="D5666" s="3" t="str">
        <f>YEAR(Datos_Consumo[[#This Row],[FECHA]])&amp;"-"&amp;MONTH(Datos_Consumo[[#This Row],[FECHA]])</f>
        <v>2018-4</v>
      </c>
    </row>
    <row r="5667" spans="1:4" x14ac:dyDescent="0.25">
      <c r="A5667" t="s">
        <v>3426</v>
      </c>
      <c r="B5667">
        <v>25</v>
      </c>
      <c r="C5667" s="54">
        <v>43070</v>
      </c>
      <c r="D5667" s="3" t="str">
        <f>YEAR(Datos_Consumo[[#This Row],[FECHA]])&amp;"-"&amp;MONTH(Datos_Consumo[[#This Row],[FECHA]])</f>
        <v>2017-12</v>
      </c>
    </row>
    <row r="5668" spans="1:4" x14ac:dyDescent="0.25">
      <c r="A5668" t="s">
        <v>3426</v>
      </c>
      <c r="B5668">
        <v>74</v>
      </c>
      <c r="C5668" s="54">
        <v>43101</v>
      </c>
      <c r="D5668" s="3" t="str">
        <f>YEAR(Datos_Consumo[[#This Row],[FECHA]])&amp;"-"&amp;MONTH(Datos_Consumo[[#This Row],[FECHA]])</f>
        <v>2018-1</v>
      </c>
    </row>
    <row r="5669" spans="1:4" x14ac:dyDescent="0.25">
      <c r="A5669" t="s">
        <v>3426</v>
      </c>
      <c r="B5669">
        <v>25</v>
      </c>
      <c r="C5669" s="54">
        <v>43132</v>
      </c>
      <c r="D5669" s="3" t="str">
        <f>YEAR(Datos_Consumo[[#This Row],[FECHA]])&amp;"-"&amp;MONTH(Datos_Consumo[[#This Row],[FECHA]])</f>
        <v>2018-2</v>
      </c>
    </row>
    <row r="5670" spans="1:4" x14ac:dyDescent="0.25">
      <c r="A5670" t="s">
        <v>3426</v>
      </c>
      <c r="B5670">
        <v>14</v>
      </c>
      <c r="C5670" s="54">
        <v>43160</v>
      </c>
      <c r="D5670" s="3" t="str">
        <f>YEAR(Datos_Consumo[[#This Row],[FECHA]])&amp;"-"&amp;MONTH(Datos_Consumo[[#This Row],[FECHA]])</f>
        <v>2018-3</v>
      </c>
    </row>
    <row r="5671" spans="1:4" x14ac:dyDescent="0.25">
      <c r="A5671" t="s">
        <v>3426</v>
      </c>
      <c r="B5671">
        <v>2</v>
      </c>
      <c r="C5671" s="54">
        <v>43191</v>
      </c>
      <c r="D5671" s="3" t="str">
        <f>YEAR(Datos_Consumo[[#This Row],[FECHA]])&amp;"-"&amp;MONTH(Datos_Consumo[[#This Row],[FECHA]])</f>
        <v>2018-4</v>
      </c>
    </row>
    <row r="5672" spans="1:4" x14ac:dyDescent="0.25">
      <c r="A5672" t="s">
        <v>3427</v>
      </c>
      <c r="B5672">
        <v>1</v>
      </c>
      <c r="C5672" s="54">
        <v>43101</v>
      </c>
      <c r="D5672" s="3" t="str">
        <f>YEAR(Datos_Consumo[[#This Row],[FECHA]])&amp;"-"&amp;MONTH(Datos_Consumo[[#This Row],[FECHA]])</f>
        <v>2018-1</v>
      </c>
    </row>
    <row r="5673" spans="1:4" x14ac:dyDescent="0.25">
      <c r="A5673" t="s">
        <v>3428</v>
      </c>
      <c r="B5673">
        <v>25</v>
      </c>
      <c r="C5673" s="54">
        <v>43070</v>
      </c>
      <c r="D5673" s="3" t="str">
        <f>YEAR(Datos_Consumo[[#This Row],[FECHA]])&amp;"-"&amp;MONTH(Datos_Consumo[[#This Row],[FECHA]])</f>
        <v>2017-12</v>
      </c>
    </row>
    <row r="5674" spans="1:4" x14ac:dyDescent="0.25">
      <c r="A5674" t="s">
        <v>3428</v>
      </c>
      <c r="B5674">
        <v>46</v>
      </c>
      <c r="C5674" s="54">
        <v>43101</v>
      </c>
      <c r="D5674" s="3" t="str">
        <f>YEAR(Datos_Consumo[[#This Row],[FECHA]])&amp;"-"&amp;MONTH(Datos_Consumo[[#This Row],[FECHA]])</f>
        <v>2018-1</v>
      </c>
    </row>
    <row r="5675" spans="1:4" x14ac:dyDescent="0.25">
      <c r="A5675" t="s">
        <v>3428</v>
      </c>
      <c r="B5675">
        <v>22</v>
      </c>
      <c r="C5675" s="54">
        <v>43132</v>
      </c>
      <c r="D5675" s="3" t="str">
        <f>YEAR(Datos_Consumo[[#This Row],[FECHA]])&amp;"-"&amp;MONTH(Datos_Consumo[[#This Row],[FECHA]])</f>
        <v>2018-2</v>
      </c>
    </row>
    <row r="5676" spans="1:4" x14ac:dyDescent="0.25">
      <c r="A5676" t="s">
        <v>3428</v>
      </c>
      <c r="B5676">
        <v>42</v>
      </c>
      <c r="C5676" s="54">
        <v>43160</v>
      </c>
      <c r="D5676" s="3" t="str">
        <f>YEAR(Datos_Consumo[[#This Row],[FECHA]])&amp;"-"&amp;MONTH(Datos_Consumo[[#This Row],[FECHA]])</f>
        <v>2018-3</v>
      </c>
    </row>
    <row r="5677" spans="1:4" x14ac:dyDescent="0.25">
      <c r="A5677" t="s">
        <v>3428</v>
      </c>
      <c r="B5677">
        <v>20</v>
      </c>
      <c r="C5677" s="54">
        <v>43191</v>
      </c>
      <c r="D5677" s="3" t="str">
        <f>YEAR(Datos_Consumo[[#This Row],[FECHA]])&amp;"-"&amp;MONTH(Datos_Consumo[[#This Row],[FECHA]])</f>
        <v>2018-4</v>
      </c>
    </row>
    <row r="5678" spans="1:4" x14ac:dyDescent="0.25">
      <c r="A5678" t="s">
        <v>3429</v>
      </c>
      <c r="B5678">
        <v>1</v>
      </c>
      <c r="C5678" s="54">
        <v>43070</v>
      </c>
      <c r="D5678" s="3" t="str">
        <f>YEAR(Datos_Consumo[[#This Row],[FECHA]])&amp;"-"&amp;MONTH(Datos_Consumo[[#This Row],[FECHA]])</f>
        <v>2017-12</v>
      </c>
    </row>
    <row r="5679" spans="1:4" x14ac:dyDescent="0.25">
      <c r="A5679" t="s">
        <v>3429</v>
      </c>
      <c r="B5679">
        <v>3</v>
      </c>
      <c r="C5679" s="54">
        <v>43160</v>
      </c>
      <c r="D5679" s="3" t="str">
        <f>YEAR(Datos_Consumo[[#This Row],[FECHA]])&amp;"-"&amp;MONTH(Datos_Consumo[[#This Row],[FECHA]])</f>
        <v>2018-3</v>
      </c>
    </row>
    <row r="5680" spans="1:4" x14ac:dyDescent="0.25">
      <c r="A5680" t="s">
        <v>3430</v>
      </c>
      <c r="B5680">
        <v>10</v>
      </c>
      <c r="C5680" s="54">
        <v>43070</v>
      </c>
      <c r="D5680" s="3" t="str">
        <f>YEAR(Datos_Consumo[[#This Row],[FECHA]])&amp;"-"&amp;MONTH(Datos_Consumo[[#This Row],[FECHA]])</f>
        <v>2017-12</v>
      </c>
    </row>
    <row r="5681" spans="1:4" x14ac:dyDescent="0.25">
      <c r="A5681" t="s">
        <v>3430</v>
      </c>
      <c r="B5681">
        <v>102</v>
      </c>
      <c r="C5681" s="54">
        <v>43191</v>
      </c>
      <c r="D5681" s="3" t="str">
        <f>YEAR(Datos_Consumo[[#This Row],[FECHA]])&amp;"-"&amp;MONTH(Datos_Consumo[[#This Row],[FECHA]])</f>
        <v>2018-4</v>
      </c>
    </row>
    <row r="5682" spans="1:4" x14ac:dyDescent="0.25">
      <c r="A5682" t="s">
        <v>3430</v>
      </c>
      <c r="B5682">
        <v>45</v>
      </c>
      <c r="C5682" s="54">
        <v>43221</v>
      </c>
      <c r="D5682" s="3" t="str">
        <f>YEAR(Datos_Consumo[[#This Row],[FECHA]])&amp;"-"&amp;MONTH(Datos_Consumo[[#This Row],[FECHA]])</f>
        <v>2018-5</v>
      </c>
    </row>
    <row r="5683" spans="1:4" x14ac:dyDescent="0.25">
      <c r="A5683" t="s">
        <v>4164</v>
      </c>
      <c r="B5683">
        <v>1</v>
      </c>
      <c r="C5683" s="54">
        <v>43191</v>
      </c>
      <c r="D5683" s="3" t="str">
        <f>YEAR(Datos_Consumo[[#This Row],[FECHA]])&amp;"-"&amp;MONTH(Datos_Consumo[[#This Row],[FECHA]])</f>
        <v>2018-4</v>
      </c>
    </row>
    <row r="5684" spans="1:4" x14ac:dyDescent="0.25">
      <c r="A5684" t="s">
        <v>3431</v>
      </c>
      <c r="B5684">
        <v>1</v>
      </c>
      <c r="C5684" s="54">
        <v>43160</v>
      </c>
      <c r="D5684" s="3" t="str">
        <f>YEAR(Datos_Consumo[[#This Row],[FECHA]])&amp;"-"&amp;MONTH(Datos_Consumo[[#This Row],[FECHA]])</f>
        <v>2018-3</v>
      </c>
    </row>
    <row r="5685" spans="1:4" x14ac:dyDescent="0.25">
      <c r="A5685" t="s">
        <v>3432</v>
      </c>
      <c r="B5685">
        <v>4</v>
      </c>
      <c r="C5685" s="54">
        <v>43070</v>
      </c>
      <c r="D5685" s="3" t="str">
        <f>YEAR(Datos_Consumo[[#This Row],[FECHA]])&amp;"-"&amp;MONTH(Datos_Consumo[[#This Row],[FECHA]])</f>
        <v>2017-12</v>
      </c>
    </row>
    <row r="5686" spans="1:4" x14ac:dyDescent="0.25">
      <c r="A5686" t="s">
        <v>3432</v>
      </c>
      <c r="B5686">
        <v>1</v>
      </c>
      <c r="C5686" s="54">
        <v>43132</v>
      </c>
      <c r="D5686" s="3" t="str">
        <f>YEAR(Datos_Consumo[[#This Row],[FECHA]])&amp;"-"&amp;MONTH(Datos_Consumo[[#This Row],[FECHA]])</f>
        <v>2018-2</v>
      </c>
    </row>
    <row r="5687" spans="1:4" x14ac:dyDescent="0.25">
      <c r="A5687" t="s">
        <v>3432</v>
      </c>
      <c r="B5687">
        <v>2</v>
      </c>
      <c r="C5687" s="54">
        <v>43160</v>
      </c>
      <c r="D5687" s="3" t="str">
        <f>YEAR(Datos_Consumo[[#This Row],[FECHA]])&amp;"-"&amp;MONTH(Datos_Consumo[[#This Row],[FECHA]])</f>
        <v>2018-3</v>
      </c>
    </row>
    <row r="5688" spans="1:4" x14ac:dyDescent="0.25">
      <c r="A5688" t="s">
        <v>3433</v>
      </c>
      <c r="B5688">
        <v>28</v>
      </c>
      <c r="C5688" s="54">
        <v>43070</v>
      </c>
      <c r="D5688" s="3" t="str">
        <f>YEAR(Datos_Consumo[[#This Row],[FECHA]])&amp;"-"&amp;MONTH(Datos_Consumo[[#This Row],[FECHA]])</f>
        <v>2017-12</v>
      </c>
    </row>
    <row r="5689" spans="1:4" x14ac:dyDescent="0.25">
      <c r="A5689" t="s">
        <v>3433</v>
      </c>
      <c r="B5689">
        <v>25</v>
      </c>
      <c r="C5689" s="54">
        <v>43101</v>
      </c>
      <c r="D5689" s="3" t="str">
        <f>YEAR(Datos_Consumo[[#This Row],[FECHA]])&amp;"-"&amp;MONTH(Datos_Consumo[[#This Row],[FECHA]])</f>
        <v>2018-1</v>
      </c>
    </row>
    <row r="5690" spans="1:4" x14ac:dyDescent="0.25">
      <c r="A5690" t="s">
        <v>3433</v>
      </c>
      <c r="B5690">
        <v>10</v>
      </c>
      <c r="C5690" s="54">
        <v>43132</v>
      </c>
      <c r="D5690" s="3" t="str">
        <f>YEAR(Datos_Consumo[[#This Row],[FECHA]])&amp;"-"&amp;MONTH(Datos_Consumo[[#This Row],[FECHA]])</f>
        <v>2018-2</v>
      </c>
    </row>
    <row r="5691" spans="1:4" x14ac:dyDescent="0.25">
      <c r="A5691" t="s">
        <v>3433</v>
      </c>
      <c r="B5691">
        <v>20</v>
      </c>
      <c r="C5691" s="54">
        <v>43160</v>
      </c>
      <c r="D5691" s="3" t="str">
        <f>YEAR(Datos_Consumo[[#This Row],[FECHA]])&amp;"-"&amp;MONTH(Datos_Consumo[[#This Row],[FECHA]])</f>
        <v>2018-3</v>
      </c>
    </row>
    <row r="5692" spans="1:4" x14ac:dyDescent="0.25">
      <c r="A5692" t="s">
        <v>3433</v>
      </c>
      <c r="B5692">
        <v>12</v>
      </c>
      <c r="C5692" s="54">
        <v>43191</v>
      </c>
      <c r="D5692" s="3" t="str">
        <f>YEAR(Datos_Consumo[[#This Row],[FECHA]])&amp;"-"&amp;MONTH(Datos_Consumo[[#This Row],[FECHA]])</f>
        <v>2018-4</v>
      </c>
    </row>
    <row r="5693" spans="1:4" x14ac:dyDescent="0.25">
      <c r="A5693" t="s">
        <v>3433</v>
      </c>
      <c r="B5693">
        <v>1</v>
      </c>
      <c r="C5693" s="54">
        <v>43221</v>
      </c>
      <c r="D5693" s="3" t="str">
        <f>YEAR(Datos_Consumo[[#This Row],[FECHA]])&amp;"-"&amp;MONTH(Datos_Consumo[[#This Row],[FECHA]])</f>
        <v>2018-5</v>
      </c>
    </row>
    <row r="5694" spans="1:4" x14ac:dyDescent="0.25">
      <c r="A5694" t="s">
        <v>3434</v>
      </c>
      <c r="B5694">
        <v>1</v>
      </c>
      <c r="C5694" s="54">
        <v>43070</v>
      </c>
      <c r="D5694" s="3" t="str">
        <f>YEAR(Datos_Consumo[[#This Row],[FECHA]])&amp;"-"&amp;MONTH(Datos_Consumo[[#This Row],[FECHA]])</f>
        <v>2017-12</v>
      </c>
    </row>
    <row r="5695" spans="1:4" x14ac:dyDescent="0.25">
      <c r="A5695" t="s">
        <v>3434</v>
      </c>
      <c r="B5695">
        <v>1</v>
      </c>
      <c r="C5695" s="54">
        <v>43101</v>
      </c>
      <c r="D5695" s="3" t="str">
        <f>YEAR(Datos_Consumo[[#This Row],[FECHA]])&amp;"-"&amp;MONTH(Datos_Consumo[[#This Row],[FECHA]])</f>
        <v>2018-1</v>
      </c>
    </row>
    <row r="5696" spans="1:4" x14ac:dyDescent="0.25">
      <c r="A5696" t="s">
        <v>3434</v>
      </c>
      <c r="B5696">
        <v>35</v>
      </c>
      <c r="C5696" s="54">
        <v>43132</v>
      </c>
      <c r="D5696" s="3" t="str">
        <f>YEAR(Datos_Consumo[[#This Row],[FECHA]])&amp;"-"&amp;MONTH(Datos_Consumo[[#This Row],[FECHA]])</f>
        <v>2018-2</v>
      </c>
    </row>
    <row r="5697" spans="1:4" x14ac:dyDescent="0.25">
      <c r="A5697" t="s">
        <v>3434</v>
      </c>
      <c r="B5697">
        <v>10</v>
      </c>
      <c r="C5697" s="54">
        <v>43160</v>
      </c>
      <c r="D5697" s="3" t="str">
        <f>YEAR(Datos_Consumo[[#This Row],[FECHA]])&amp;"-"&amp;MONTH(Datos_Consumo[[#This Row],[FECHA]])</f>
        <v>2018-3</v>
      </c>
    </row>
    <row r="5698" spans="1:4" x14ac:dyDescent="0.25">
      <c r="A5698" t="s">
        <v>3434</v>
      </c>
      <c r="B5698">
        <v>2</v>
      </c>
      <c r="C5698" s="54">
        <v>43191</v>
      </c>
      <c r="D5698" s="3" t="str">
        <f>YEAR(Datos_Consumo[[#This Row],[FECHA]])&amp;"-"&amp;MONTH(Datos_Consumo[[#This Row],[FECHA]])</f>
        <v>2018-4</v>
      </c>
    </row>
    <row r="5699" spans="1:4" x14ac:dyDescent="0.25">
      <c r="A5699" t="s">
        <v>3434</v>
      </c>
      <c r="B5699">
        <v>1</v>
      </c>
      <c r="C5699" s="54">
        <v>43221</v>
      </c>
      <c r="D5699" s="3" t="str">
        <f>YEAR(Datos_Consumo[[#This Row],[FECHA]])&amp;"-"&amp;MONTH(Datos_Consumo[[#This Row],[FECHA]])</f>
        <v>2018-5</v>
      </c>
    </row>
    <row r="5700" spans="1:4" x14ac:dyDescent="0.25">
      <c r="A5700" t="s">
        <v>3435</v>
      </c>
      <c r="B5700">
        <v>40</v>
      </c>
      <c r="C5700" s="54">
        <v>43132</v>
      </c>
      <c r="D5700" s="3" t="str">
        <f>YEAR(Datos_Consumo[[#This Row],[FECHA]])&amp;"-"&amp;MONTH(Datos_Consumo[[#This Row],[FECHA]])</f>
        <v>2018-2</v>
      </c>
    </row>
    <row r="5701" spans="1:4" x14ac:dyDescent="0.25">
      <c r="A5701" t="s">
        <v>3435</v>
      </c>
      <c r="B5701">
        <v>5</v>
      </c>
      <c r="C5701" s="54">
        <v>43160</v>
      </c>
      <c r="D5701" s="3" t="str">
        <f>YEAR(Datos_Consumo[[#This Row],[FECHA]])&amp;"-"&amp;MONTH(Datos_Consumo[[#This Row],[FECHA]])</f>
        <v>2018-3</v>
      </c>
    </row>
    <row r="5702" spans="1:4" x14ac:dyDescent="0.25">
      <c r="A5702" t="s">
        <v>3435</v>
      </c>
      <c r="B5702">
        <v>1</v>
      </c>
      <c r="C5702" s="54">
        <v>43221</v>
      </c>
      <c r="D5702" s="3" t="str">
        <f>YEAR(Datos_Consumo[[#This Row],[FECHA]])&amp;"-"&amp;MONTH(Datos_Consumo[[#This Row],[FECHA]])</f>
        <v>2018-5</v>
      </c>
    </row>
    <row r="5703" spans="1:4" x14ac:dyDescent="0.25">
      <c r="A5703" t="s">
        <v>3436</v>
      </c>
      <c r="B5703">
        <v>243</v>
      </c>
      <c r="C5703" s="54">
        <v>43221</v>
      </c>
      <c r="D5703" s="3" t="str">
        <f>YEAR(Datos_Consumo[[#This Row],[FECHA]])&amp;"-"&amp;MONTH(Datos_Consumo[[#This Row],[FECHA]])</f>
        <v>2018-5</v>
      </c>
    </row>
    <row r="5704" spans="1:4" x14ac:dyDescent="0.25">
      <c r="A5704" t="s">
        <v>3437</v>
      </c>
      <c r="B5704">
        <v>2</v>
      </c>
      <c r="C5704" s="54">
        <v>43132</v>
      </c>
      <c r="D5704" s="3" t="str">
        <f>YEAR(Datos_Consumo[[#This Row],[FECHA]])&amp;"-"&amp;MONTH(Datos_Consumo[[#This Row],[FECHA]])</f>
        <v>2018-2</v>
      </c>
    </row>
    <row r="5705" spans="1:4" x14ac:dyDescent="0.25">
      <c r="A5705" t="s">
        <v>3438</v>
      </c>
      <c r="B5705">
        <v>14</v>
      </c>
      <c r="C5705" s="54">
        <v>43070</v>
      </c>
      <c r="D5705" s="3" t="str">
        <f>YEAR(Datos_Consumo[[#This Row],[FECHA]])&amp;"-"&amp;MONTH(Datos_Consumo[[#This Row],[FECHA]])</f>
        <v>2017-12</v>
      </c>
    </row>
    <row r="5706" spans="1:4" x14ac:dyDescent="0.25">
      <c r="A5706" t="s">
        <v>3438</v>
      </c>
      <c r="B5706">
        <v>3</v>
      </c>
      <c r="C5706" s="54">
        <v>43101</v>
      </c>
      <c r="D5706" s="3" t="str">
        <f>YEAR(Datos_Consumo[[#This Row],[FECHA]])&amp;"-"&amp;MONTH(Datos_Consumo[[#This Row],[FECHA]])</f>
        <v>2018-1</v>
      </c>
    </row>
    <row r="5707" spans="1:4" x14ac:dyDescent="0.25">
      <c r="A5707" t="s">
        <v>3438</v>
      </c>
      <c r="B5707">
        <v>4</v>
      </c>
      <c r="C5707" s="54">
        <v>43132</v>
      </c>
      <c r="D5707" s="3" t="str">
        <f>YEAR(Datos_Consumo[[#This Row],[FECHA]])&amp;"-"&amp;MONTH(Datos_Consumo[[#This Row],[FECHA]])</f>
        <v>2018-2</v>
      </c>
    </row>
    <row r="5708" spans="1:4" x14ac:dyDescent="0.25">
      <c r="A5708" t="s">
        <v>3438</v>
      </c>
      <c r="B5708">
        <v>2</v>
      </c>
      <c r="C5708" s="54">
        <v>43160</v>
      </c>
      <c r="D5708" s="3" t="str">
        <f>YEAR(Datos_Consumo[[#This Row],[FECHA]])&amp;"-"&amp;MONTH(Datos_Consumo[[#This Row],[FECHA]])</f>
        <v>2018-3</v>
      </c>
    </row>
    <row r="5709" spans="1:4" x14ac:dyDescent="0.25">
      <c r="A5709" t="s">
        <v>3438</v>
      </c>
      <c r="B5709">
        <v>13</v>
      </c>
      <c r="C5709" s="54">
        <v>43191</v>
      </c>
      <c r="D5709" s="3" t="str">
        <f>YEAR(Datos_Consumo[[#This Row],[FECHA]])&amp;"-"&amp;MONTH(Datos_Consumo[[#This Row],[FECHA]])</f>
        <v>2018-4</v>
      </c>
    </row>
    <row r="5710" spans="1:4" x14ac:dyDescent="0.25">
      <c r="A5710" t="s">
        <v>3438</v>
      </c>
      <c r="B5710">
        <v>2</v>
      </c>
      <c r="C5710" s="54">
        <v>43221</v>
      </c>
      <c r="D5710" s="3" t="str">
        <f>YEAR(Datos_Consumo[[#This Row],[FECHA]])&amp;"-"&amp;MONTH(Datos_Consumo[[#This Row],[FECHA]])</f>
        <v>2018-5</v>
      </c>
    </row>
    <row r="5711" spans="1:4" x14ac:dyDescent="0.25">
      <c r="A5711" t="s">
        <v>3439</v>
      </c>
      <c r="B5711">
        <v>12</v>
      </c>
      <c r="C5711" s="54">
        <v>43070</v>
      </c>
      <c r="D5711" s="3" t="str">
        <f>YEAR(Datos_Consumo[[#This Row],[FECHA]])&amp;"-"&amp;MONTH(Datos_Consumo[[#This Row],[FECHA]])</f>
        <v>2017-12</v>
      </c>
    </row>
    <row r="5712" spans="1:4" x14ac:dyDescent="0.25">
      <c r="A5712" t="s">
        <v>3439</v>
      </c>
      <c r="B5712">
        <v>2</v>
      </c>
      <c r="C5712" s="54">
        <v>43132</v>
      </c>
      <c r="D5712" s="3" t="str">
        <f>YEAR(Datos_Consumo[[#This Row],[FECHA]])&amp;"-"&amp;MONTH(Datos_Consumo[[#This Row],[FECHA]])</f>
        <v>2018-2</v>
      </c>
    </row>
    <row r="5713" spans="1:4" x14ac:dyDescent="0.25">
      <c r="A5713" t="s">
        <v>3439</v>
      </c>
      <c r="B5713">
        <v>24</v>
      </c>
      <c r="C5713" s="54">
        <v>43160</v>
      </c>
      <c r="D5713" s="3" t="str">
        <f>YEAR(Datos_Consumo[[#This Row],[FECHA]])&amp;"-"&amp;MONTH(Datos_Consumo[[#This Row],[FECHA]])</f>
        <v>2018-3</v>
      </c>
    </row>
    <row r="5714" spans="1:4" x14ac:dyDescent="0.25">
      <c r="A5714" t="s">
        <v>3439</v>
      </c>
      <c r="B5714">
        <v>24</v>
      </c>
      <c r="C5714" s="54">
        <v>43191</v>
      </c>
      <c r="D5714" s="3" t="str">
        <f>YEAR(Datos_Consumo[[#This Row],[FECHA]])&amp;"-"&amp;MONTH(Datos_Consumo[[#This Row],[FECHA]])</f>
        <v>2018-4</v>
      </c>
    </row>
    <row r="5715" spans="1:4" x14ac:dyDescent="0.25">
      <c r="A5715" t="s">
        <v>3440</v>
      </c>
      <c r="B5715">
        <v>11</v>
      </c>
      <c r="C5715" s="54">
        <v>43160</v>
      </c>
      <c r="D5715" s="3" t="str">
        <f>YEAR(Datos_Consumo[[#This Row],[FECHA]])&amp;"-"&amp;MONTH(Datos_Consumo[[#This Row],[FECHA]])</f>
        <v>2018-3</v>
      </c>
    </row>
    <row r="5716" spans="1:4" x14ac:dyDescent="0.25">
      <c r="A5716" t="s">
        <v>3441</v>
      </c>
      <c r="B5716">
        <v>1</v>
      </c>
      <c r="C5716" s="54">
        <v>43132</v>
      </c>
      <c r="D5716" s="3" t="str">
        <f>YEAR(Datos_Consumo[[#This Row],[FECHA]])&amp;"-"&amp;MONTH(Datos_Consumo[[#This Row],[FECHA]])</f>
        <v>2018-2</v>
      </c>
    </row>
    <row r="5717" spans="1:4" x14ac:dyDescent="0.25">
      <c r="A5717" t="s">
        <v>3441</v>
      </c>
      <c r="B5717">
        <v>11</v>
      </c>
      <c r="C5717" s="54">
        <v>43160</v>
      </c>
      <c r="D5717" s="3" t="str">
        <f>YEAR(Datos_Consumo[[#This Row],[FECHA]])&amp;"-"&amp;MONTH(Datos_Consumo[[#This Row],[FECHA]])</f>
        <v>2018-3</v>
      </c>
    </row>
    <row r="5718" spans="1:4" x14ac:dyDescent="0.25">
      <c r="A5718" t="s">
        <v>3441</v>
      </c>
      <c r="B5718">
        <v>2</v>
      </c>
      <c r="C5718" s="54">
        <v>43221</v>
      </c>
      <c r="D5718" s="3" t="str">
        <f>YEAR(Datos_Consumo[[#This Row],[FECHA]])&amp;"-"&amp;MONTH(Datos_Consumo[[#This Row],[FECHA]])</f>
        <v>2018-5</v>
      </c>
    </row>
    <row r="5719" spans="1:4" x14ac:dyDescent="0.25">
      <c r="A5719" t="s">
        <v>3442</v>
      </c>
      <c r="B5719">
        <v>1</v>
      </c>
      <c r="C5719" s="54">
        <v>43132</v>
      </c>
      <c r="D5719" s="3" t="str">
        <f>YEAR(Datos_Consumo[[#This Row],[FECHA]])&amp;"-"&amp;MONTH(Datos_Consumo[[#This Row],[FECHA]])</f>
        <v>2018-2</v>
      </c>
    </row>
    <row r="5720" spans="1:4" x14ac:dyDescent="0.25">
      <c r="A5720" t="s">
        <v>3442</v>
      </c>
      <c r="B5720">
        <v>5</v>
      </c>
      <c r="C5720" s="54">
        <v>43221</v>
      </c>
      <c r="D5720" s="3" t="str">
        <f>YEAR(Datos_Consumo[[#This Row],[FECHA]])&amp;"-"&amp;MONTH(Datos_Consumo[[#This Row],[FECHA]])</f>
        <v>2018-5</v>
      </c>
    </row>
    <row r="5721" spans="1:4" x14ac:dyDescent="0.25">
      <c r="A5721" t="s">
        <v>3443</v>
      </c>
      <c r="B5721">
        <v>6</v>
      </c>
      <c r="C5721" s="54">
        <v>43160</v>
      </c>
      <c r="D5721" s="3" t="str">
        <f>YEAR(Datos_Consumo[[#This Row],[FECHA]])&amp;"-"&amp;MONTH(Datos_Consumo[[#This Row],[FECHA]])</f>
        <v>2018-3</v>
      </c>
    </row>
    <row r="5722" spans="1:4" x14ac:dyDescent="0.25">
      <c r="A5722" t="s">
        <v>3444</v>
      </c>
      <c r="B5722">
        <v>114</v>
      </c>
      <c r="C5722" s="54">
        <v>43221</v>
      </c>
      <c r="D5722" s="3" t="str">
        <f>YEAR(Datos_Consumo[[#This Row],[FECHA]])&amp;"-"&amp;MONTH(Datos_Consumo[[#This Row],[FECHA]])</f>
        <v>2018-5</v>
      </c>
    </row>
    <row r="5723" spans="1:4" x14ac:dyDescent="0.25">
      <c r="A5723" t="s">
        <v>3445</v>
      </c>
      <c r="B5723">
        <v>2</v>
      </c>
      <c r="C5723" s="54">
        <v>43070</v>
      </c>
      <c r="D5723" s="3" t="str">
        <f>YEAR(Datos_Consumo[[#This Row],[FECHA]])&amp;"-"&amp;MONTH(Datos_Consumo[[#This Row],[FECHA]])</f>
        <v>2017-12</v>
      </c>
    </row>
    <row r="5724" spans="1:4" x14ac:dyDescent="0.25">
      <c r="A5724" t="s">
        <v>3445</v>
      </c>
      <c r="B5724">
        <v>1</v>
      </c>
      <c r="C5724" s="54">
        <v>43101</v>
      </c>
      <c r="D5724" s="3" t="str">
        <f>YEAR(Datos_Consumo[[#This Row],[FECHA]])&amp;"-"&amp;MONTH(Datos_Consumo[[#This Row],[FECHA]])</f>
        <v>2018-1</v>
      </c>
    </row>
    <row r="5725" spans="1:4" x14ac:dyDescent="0.25">
      <c r="A5725" t="s">
        <v>3445</v>
      </c>
      <c r="B5725">
        <v>1</v>
      </c>
      <c r="C5725" s="54">
        <v>43132</v>
      </c>
      <c r="D5725" s="3" t="str">
        <f>YEAR(Datos_Consumo[[#This Row],[FECHA]])&amp;"-"&amp;MONTH(Datos_Consumo[[#This Row],[FECHA]])</f>
        <v>2018-2</v>
      </c>
    </row>
    <row r="5726" spans="1:4" x14ac:dyDescent="0.25">
      <c r="A5726" t="s">
        <v>3445</v>
      </c>
      <c r="B5726">
        <v>1</v>
      </c>
      <c r="C5726" s="54">
        <v>43160</v>
      </c>
      <c r="D5726" s="3" t="str">
        <f>YEAR(Datos_Consumo[[#This Row],[FECHA]])&amp;"-"&amp;MONTH(Datos_Consumo[[#This Row],[FECHA]])</f>
        <v>2018-3</v>
      </c>
    </row>
    <row r="5727" spans="1:4" x14ac:dyDescent="0.25">
      <c r="A5727" t="s">
        <v>3446</v>
      </c>
      <c r="B5727">
        <v>4</v>
      </c>
      <c r="C5727" s="54">
        <v>43101</v>
      </c>
      <c r="D5727" s="3" t="str">
        <f>YEAR(Datos_Consumo[[#This Row],[FECHA]])&amp;"-"&amp;MONTH(Datos_Consumo[[#This Row],[FECHA]])</f>
        <v>2018-1</v>
      </c>
    </row>
    <row r="5728" spans="1:4" x14ac:dyDescent="0.25">
      <c r="A5728" t="s">
        <v>3447</v>
      </c>
      <c r="B5728">
        <v>1</v>
      </c>
      <c r="C5728" s="54">
        <v>43132</v>
      </c>
      <c r="D5728" s="3" t="str">
        <f>YEAR(Datos_Consumo[[#This Row],[FECHA]])&amp;"-"&amp;MONTH(Datos_Consumo[[#This Row],[FECHA]])</f>
        <v>2018-2</v>
      </c>
    </row>
    <row r="5729" spans="1:4" x14ac:dyDescent="0.25">
      <c r="A5729" t="s">
        <v>3448</v>
      </c>
      <c r="B5729">
        <v>1</v>
      </c>
      <c r="C5729" s="54">
        <v>43132</v>
      </c>
      <c r="D5729" s="3" t="str">
        <f>YEAR(Datos_Consumo[[#This Row],[FECHA]])&amp;"-"&amp;MONTH(Datos_Consumo[[#This Row],[FECHA]])</f>
        <v>2018-2</v>
      </c>
    </row>
    <row r="5730" spans="1:4" x14ac:dyDescent="0.25">
      <c r="A5730" t="s">
        <v>3448</v>
      </c>
      <c r="B5730">
        <v>35</v>
      </c>
      <c r="C5730" s="54">
        <v>43191</v>
      </c>
      <c r="D5730" s="3" t="str">
        <f>YEAR(Datos_Consumo[[#This Row],[FECHA]])&amp;"-"&amp;MONTH(Datos_Consumo[[#This Row],[FECHA]])</f>
        <v>2018-4</v>
      </c>
    </row>
    <row r="5731" spans="1:4" x14ac:dyDescent="0.25">
      <c r="A5731" t="s">
        <v>3449</v>
      </c>
      <c r="B5731">
        <v>1</v>
      </c>
      <c r="C5731" s="54">
        <v>43132</v>
      </c>
      <c r="D5731" s="3" t="str">
        <f>YEAR(Datos_Consumo[[#This Row],[FECHA]])&amp;"-"&amp;MONTH(Datos_Consumo[[#This Row],[FECHA]])</f>
        <v>2018-2</v>
      </c>
    </row>
    <row r="5732" spans="1:4" x14ac:dyDescent="0.25">
      <c r="A5732" t="s">
        <v>3450</v>
      </c>
      <c r="B5732">
        <v>1</v>
      </c>
      <c r="C5732" s="54">
        <v>43160</v>
      </c>
      <c r="D5732" s="3" t="str">
        <f>YEAR(Datos_Consumo[[#This Row],[FECHA]])&amp;"-"&amp;MONTH(Datos_Consumo[[#This Row],[FECHA]])</f>
        <v>2018-3</v>
      </c>
    </row>
    <row r="5733" spans="1:4" x14ac:dyDescent="0.25">
      <c r="A5733" t="s">
        <v>3451</v>
      </c>
      <c r="B5733">
        <v>2</v>
      </c>
      <c r="C5733" s="54">
        <v>43160</v>
      </c>
      <c r="D5733" s="3" t="str">
        <f>YEAR(Datos_Consumo[[#This Row],[FECHA]])&amp;"-"&amp;MONTH(Datos_Consumo[[#This Row],[FECHA]])</f>
        <v>2018-3</v>
      </c>
    </row>
    <row r="5734" spans="1:4" x14ac:dyDescent="0.25">
      <c r="A5734" t="s">
        <v>3452</v>
      </c>
      <c r="B5734">
        <v>2</v>
      </c>
      <c r="C5734" s="54">
        <v>43070</v>
      </c>
      <c r="D5734" s="3" t="str">
        <f>YEAR(Datos_Consumo[[#This Row],[FECHA]])&amp;"-"&amp;MONTH(Datos_Consumo[[#This Row],[FECHA]])</f>
        <v>2017-12</v>
      </c>
    </row>
    <row r="5735" spans="1:4" x14ac:dyDescent="0.25">
      <c r="A5735" t="s">
        <v>3453</v>
      </c>
      <c r="B5735">
        <v>4</v>
      </c>
      <c r="C5735" s="54">
        <v>43070</v>
      </c>
      <c r="D5735" s="3" t="str">
        <f>YEAR(Datos_Consumo[[#This Row],[FECHA]])&amp;"-"&amp;MONTH(Datos_Consumo[[#This Row],[FECHA]])</f>
        <v>2017-12</v>
      </c>
    </row>
    <row r="5736" spans="1:4" x14ac:dyDescent="0.25">
      <c r="A5736" t="s">
        <v>3454</v>
      </c>
      <c r="B5736">
        <v>1</v>
      </c>
      <c r="C5736" s="54">
        <v>43191</v>
      </c>
      <c r="D5736" s="3" t="str">
        <f>YEAR(Datos_Consumo[[#This Row],[FECHA]])&amp;"-"&amp;MONTH(Datos_Consumo[[#This Row],[FECHA]])</f>
        <v>2018-4</v>
      </c>
    </row>
    <row r="5737" spans="1:4" x14ac:dyDescent="0.25">
      <c r="A5737" t="s">
        <v>3455</v>
      </c>
      <c r="B5737">
        <v>1</v>
      </c>
      <c r="C5737" s="54">
        <v>43070</v>
      </c>
      <c r="D5737" s="3" t="str">
        <f>YEAR(Datos_Consumo[[#This Row],[FECHA]])&amp;"-"&amp;MONTH(Datos_Consumo[[#This Row],[FECHA]])</f>
        <v>2017-12</v>
      </c>
    </row>
    <row r="5738" spans="1:4" x14ac:dyDescent="0.25">
      <c r="A5738" t="s">
        <v>3455</v>
      </c>
      <c r="B5738">
        <v>1</v>
      </c>
      <c r="C5738" s="54">
        <v>43160</v>
      </c>
      <c r="D5738" s="3" t="str">
        <f>YEAR(Datos_Consumo[[#This Row],[FECHA]])&amp;"-"&amp;MONTH(Datos_Consumo[[#This Row],[FECHA]])</f>
        <v>2018-3</v>
      </c>
    </row>
    <row r="5739" spans="1:4" x14ac:dyDescent="0.25">
      <c r="A5739" t="s">
        <v>3456</v>
      </c>
      <c r="B5739">
        <v>1</v>
      </c>
      <c r="C5739" s="54">
        <v>43070</v>
      </c>
      <c r="D5739" s="3" t="str">
        <f>YEAR(Datos_Consumo[[#This Row],[FECHA]])&amp;"-"&amp;MONTH(Datos_Consumo[[#This Row],[FECHA]])</f>
        <v>2017-12</v>
      </c>
    </row>
    <row r="5740" spans="1:4" x14ac:dyDescent="0.25">
      <c r="A5740" t="s">
        <v>3457</v>
      </c>
      <c r="B5740">
        <v>1</v>
      </c>
      <c r="C5740" s="54">
        <v>43132</v>
      </c>
      <c r="D5740" s="3" t="str">
        <f>YEAR(Datos_Consumo[[#This Row],[FECHA]])&amp;"-"&amp;MONTH(Datos_Consumo[[#This Row],[FECHA]])</f>
        <v>2018-2</v>
      </c>
    </row>
    <row r="5741" spans="1:4" x14ac:dyDescent="0.25">
      <c r="A5741" t="s">
        <v>3458</v>
      </c>
      <c r="B5741">
        <v>1</v>
      </c>
      <c r="C5741" s="54">
        <v>43101</v>
      </c>
      <c r="D5741" s="3" t="str">
        <f>YEAR(Datos_Consumo[[#This Row],[FECHA]])&amp;"-"&amp;MONTH(Datos_Consumo[[#This Row],[FECHA]])</f>
        <v>2018-1</v>
      </c>
    </row>
    <row r="5742" spans="1:4" x14ac:dyDescent="0.25">
      <c r="A5742" t="s">
        <v>3459</v>
      </c>
      <c r="B5742">
        <v>1</v>
      </c>
      <c r="C5742" s="54">
        <v>43101</v>
      </c>
      <c r="D5742" s="3" t="str">
        <f>YEAR(Datos_Consumo[[#This Row],[FECHA]])&amp;"-"&amp;MONTH(Datos_Consumo[[#This Row],[FECHA]])</f>
        <v>2018-1</v>
      </c>
    </row>
    <row r="5743" spans="1:4" x14ac:dyDescent="0.25">
      <c r="A5743" t="s">
        <v>1444</v>
      </c>
      <c r="B5743">
        <v>21</v>
      </c>
      <c r="C5743" s="54">
        <v>43101</v>
      </c>
      <c r="D5743" s="3" t="str">
        <f>YEAR(Datos_Consumo[[#This Row],[FECHA]])&amp;"-"&amp;MONTH(Datos_Consumo[[#This Row],[FECHA]])</f>
        <v>2018-1</v>
      </c>
    </row>
    <row r="5744" spans="1:4" x14ac:dyDescent="0.25">
      <c r="A5744" t="s">
        <v>1444</v>
      </c>
      <c r="B5744">
        <v>21</v>
      </c>
      <c r="C5744" s="54">
        <v>43132</v>
      </c>
      <c r="D5744" s="3" t="str">
        <f>YEAR(Datos_Consumo[[#This Row],[FECHA]])&amp;"-"&amp;MONTH(Datos_Consumo[[#This Row],[FECHA]])</f>
        <v>2018-2</v>
      </c>
    </row>
    <row r="5745" spans="1:4" x14ac:dyDescent="0.25">
      <c r="A5745" t="s">
        <v>1444</v>
      </c>
      <c r="B5745">
        <v>5</v>
      </c>
      <c r="C5745" s="54">
        <v>43160</v>
      </c>
      <c r="D5745" s="3" t="str">
        <f>YEAR(Datos_Consumo[[#This Row],[FECHA]])&amp;"-"&amp;MONTH(Datos_Consumo[[#This Row],[FECHA]])</f>
        <v>2018-3</v>
      </c>
    </row>
    <row r="5746" spans="1:4" x14ac:dyDescent="0.25">
      <c r="A5746" t="s">
        <v>1444</v>
      </c>
      <c r="B5746">
        <v>6</v>
      </c>
      <c r="C5746" s="54">
        <v>43191</v>
      </c>
      <c r="D5746" s="3" t="str">
        <f>YEAR(Datos_Consumo[[#This Row],[FECHA]])&amp;"-"&amp;MONTH(Datos_Consumo[[#This Row],[FECHA]])</f>
        <v>2018-4</v>
      </c>
    </row>
    <row r="5747" spans="1:4" x14ac:dyDescent="0.25">
      <c r="A5747" t="s">
        <v>3460</v>
      </c>
      <c r="B5747">
        <v>3</v>
      </c>
      <c r="C5747" s="54">
        <v>43101</v>
      </c>
      <c r="D5747" s="3" t="str">
        <f>YEAR(Datos_Consumo[[#This Row],[FECHA]])&amp;"-"&amp;MONTH(Datos_Consumo[[#This Row],[FECHA]])</f>
        <v>2018-1</v>
      </c>
    </row>
    <row r="5748" spans="1:4" x14ac:dyDescent="0.25">
      <c r="A5748" t="s">
        <v>3461</v>
      </c>
      <c r="B5748">
        <v>3</v>
      </c>
      <c r="C5748" s="54">
        <v>43132</v>
      </c>
      <c r="D5748" s="3" t="str">
        <f>YEAR(Datos_Consumo[[#This Row],[FECHA]])&amp;"-"&amp;MONTH(Datos_Consumo[[#This Row],[FECHA]])</f>
        <v>2018-2</v>
      </c>
    </row>
    <row r="5749" spans="1:4" x14ac:dyDescent="0.25">
      <c r="A5749" t="s">
        <v>3461</v>
      </c>
      <c r="B5749">
        <v>5</v>
      </c>
      <c r="C5749" s="54">
        <v>43191</v>
      </c>
      <c r="D5749" s="3" t="str">
        <f>YEAR(Datos_Consumo[[#This Row],[FECHA]])&amp;"-"&amp;MONTH(Datos_Consumo[[#This Row],[FECHA]])</f>
        <v>2018-4</v>
      </c>
    </row>
    <row r="5750" spans="1:4" x14ac:dyDescent="0.25">
      <c r="A5750" t="s">
        <v>4165</v>
      </c>
      <c r="B5750">
        <v>1</v>
      </c>
      <c r="C5750" s="54">
        <v>43221</v>
      </c>
      <c r="D5750" s="3" t="str">
        <f>YEAR(Datos_Consumo[[#This Row],[FECHA]])&amp;"-"&amp;MONTH(Datos_Consumo[[#This Row],[FECHA]])</f>
        <v>2018-5</v>
      </c>
    </row>
    <row r="5751" spans="1:4" x14ac:dyDescent="0.25">
      <c r="A5751" t="s">
        <v>3462</v>
      </c>
      <c r="B5751">
        <v>3</v>
      </c>
      <c r="C5751" s="54">
        <v>43160</v>
      </c>
      <c r="D5751" s="3" t="str">
        <f>YEAR(Datos_Consumo[[#This Row],[FECHA]])&amp;"-"&amp;MONTH(Datos_Consumo[[#This Row],[FECHA]])</f>
        <v>2018-3</v>
      </c>
    </row>
    <row r="5752" spans="1:4" x14ac:dyDescent="0.25">
      <c r="A5752" t="s">
        <v>3463</v>
      </c>
      <c r="B5752">
        <v>1</v>
      </c>
      <c r="C5752" s="54">
        <v>43070</v>
      </c>
      <c r="D5752" s="3" t="str">
        <f>YEAR(Datos_Consumo[[#This Row],[FECHA]])&amp;"-"&amp;MONTH(Datos_Consumo[[#This Row],[FECHA]])</f>
        <v>2017-12</v>
      </c>
    </row>
    <row r="5753" spans="1:4" x14ac:dyDescent="0.25">
      <c r="A5753" t="s">
        <v>3463</v>
      </c>
      <c r="B5753">
        <v>4</v>
      </c>
      <c r="C5753" s="54">
        <v>43191</v>
      </c>
      <c r="D5753" s="3" t="str">
        <f>YEAR(Datos_Consumo[[#This Row],[FECHA]])&amp;"-"&amp;MONTH(Datos_Consumo[[#This Row],[FECHA]])</f>
        <v>2018-4</v>
      </c>
    </row>
    <row r="5754" spans="1:4" x14ac:dyDescent="0.25">
      <c r="A5754" t="s">
        <v>3463</v>
      </c>
      <c r="B5754">
        <v>1</v>
      </c>
      <c r="C5754" s="54">
        <v>43221</v>
      </c>
      <c r="D5754" s="3" t="str">
        <f>YEAR(Datos_Consumo[[#This Row],[FECHA]])&amp;"-"&amp;MONTH(Datos_Consumo[[#This Row],[FECHA]])</f>
        <v>2018-5</v>
      </c>
    </row>
    <row r="5755" spans="1:4" x14ac:dyDescent="0.25">
      <c r="A5755" t="s">
        <v>3464</v>
      </c>
      <c r="B5755">
        <v>1</v>
      </c>
      <c r="C5755" s="54">
        <v>43191</v>
      </c>
      <c r="D5755" s="3" t="str">
        <f>YEAR(Datos_Consumo[[#This Row],[FECHA]])&amp;"-"&amp;MONTH(Datos_Consumo[[#This Row],[FECHA]])</f>
        <v>2018-4</v>
      </c>
    </row>
    <row r="5756" spans="1:4" x14ac:dyDescent="0.25">
      <c r="A5756" t="s">
        <v>3464</v>
      </c>
      <c r="B5756">
        <v>4</v>
      </c>
      <c r="C5756" s="54">
        <v>43221</v>
      </c>
      <c r="D5756" s="3" t="str">
        <f>YEAR(Datos_Consumo[[#This Row],[FECHA]])&amp;"-"&amp;MONTH(Datos_Consumo[[#This Row],[FECHA]])</f>
        <v>2018-5</v>
      </c>
    </row>
    <row r="5757" spans="1:4" x14ac:dyDescent="0.25">
      <c r="A5757" t="s">
        <v>3465</v>
      </c>
      <c r="B5757">
        <v>1</v>
      </c>
      <c r="C5757" s="54">
        <v>43070</v>
      </c>
      <c r="D5757" s="3" t="str">
        <f>YEAR(Datos_Consumo[[#This Row],[FECHA]])&amp;"-"&amp;MONTH(Datos_Consumo[[#This Row],[FECHA]])</f>
        <v>2017-12</v>
      </c>
    </row>
    <row r="5758" spans="1:4" x14ac:dyDescent="0.25">
      <c r="A5758" t="s">
        <v>3466</v>
      </c>
      <c r="B5758">
        <v>1</v>
      </c>
      <c r="C5758" s="54">
        <v>43070</v>
      </c>
      <c r="D5758" s="3" t="str">
        <f>YEAR(Datos_Consumo[[#This Row],[FECHA]])&amp;"-"&amp;MONTH(Datos_Consumo[[#This Row],[FECHA]])</f>
        <v>2017-12</v>
      </c>
    </row>
    <row r="5759" spans="1:4" x14ac:dyDescent="0.25">
      <c r="A5759" t="s">
        <v>3467</v>
      </c>
      <c r="B5759">
        <v>1</v>
      </c>
      <c r="C5759" s="54">
        <v>43070</v>
      </c>
      <c r="D5759" s="3" t="str">
        <f>YEAR(Datos_Consumo[[#This Row],[FECHA]])&amp;"-"&amp;MONTH(Datos_Consumo[[#This Row],[FECHA]])</f>
        <v>2017-12</v>
      </c>
    </row>
    <row r="5760" spans="1:4" x14ac:dyDescent="0.25">
      <c r="A5760" t="s">
        <v>3468</v>
      </c>
      <c r="B5760">
        <v>5</v>
      </c>
      <c r="C5760" s="54">
        <v>43160</v>
      </c>
      <c r="D5760" s="3" t="str">
        <f>YEAR(Datos_Consumo[[#This Row],[FECHA]])&amp;"-"&amp;MONTH(Datos_Consumo[[#This Row],[FECHA]])</f>
        <v>2018-3</v>
      </c>
    </row>
    <row r="5761" spans="1:4" x14ac:dyDescent="0.25">
      <c r="A5761" t="s">
        <v>3469</v>
      </c>
      <c r="B5761">
        <v>1</v>
      </c>
      <c r="C5761" s="54">
        <v>43160</v>
      </c>
      <c r="D5761" s="3" t="str">
        <f>YEAR(Datos_Consumo[[#This Row],[FECHA]])&amp;"-"&amp;MONTH(Datos_Consumo[[#This Row],[FECHA]])</f>
        <v>2018-3</v>
      </c>
    </row>
    <row r="5762" spans="1:4" x14ac:dyDescent="0.25">
      <c r="A5762" t="s">
        <v>3470</v>
      </c>
      <c r="B5762">
        <v>1</v>
      </c>
      <c r="C5762" s="54">
        <v>43160</v>
      </c>
      <c r="D5762" s="3" t="str">
        <f>YEAR(Datos_Consumo[[#This Row],[FECHA]])&amp;"-"&amp;MONTH(Datos_Consumo[[#This Row],[FECHA]])</f>
        <v>2018-3</v>
      </c>
    </row>
    <row r="5763" spans="1:4" x14ac:dyDescent="0.25">
      <c r="A5763" t="s">
        <v>3470</v>
      </c>
      <c r="B5763">
        <v>2</v>
      </c>
      <c r="C5763" s="54">
        <v>43191</v>
      </c>
      <c r="D5763" s="3" t="str">
        <f>YEAR(Datos_Consumo[[#This Row],[FECHA]])&amp;"-"&amp;MONTH(Datos_Consumo[[#This Row],[FECHA]])</f>
        <v>2018-4</v>
      </c>
    </row>
    <row r="5764" spans="1:4" x14ac:dyDescent="0.25">
      <c r="A5764" t="s">
        <v>3471</v>
      </c>
      <c r="B5764">
        <v>1</v>
      </c>
      <c r="C5764" s="54">
        <v>43191</v>
      </c>
      <c r="D5764" s="3" t="str">
        <f>YEAR(Datos_Consumo[[#This Row],[FECHA]])&amp;"-"&amp;MONTH(Datos_Consumo[[#This Row],[FECHA]])</f>
        <v>2018-4</v>
      </c>
    </row>
    <row r="5765" spans="1:4" x14ac:dyDescent="0.25">
      <c r="A5765" t="s">
        <v>3472</v>
      </c>
      <c r="B5765">
        <v>2</v>
      </c>
      <c r="C5765" s="54">
        <v>43070</v>
      </c>
      <c r="D5765" s="3" t="str">
        <f>YEAR(Datos_Consumo[[#This Row],[FECHA]])&amp;"-"&amp;MONTH(Datos_Consumo[[#This Row],[FECHA]])</f>
        <v>2017-12</v>
      </c>
    </row>
    <row r="5766" spans="1:4" x14ac:dyDescent="0.25">
      <c r="A5766" t="s">
        <v>3473</v>
      </c>
      <c r="B5766">
        <v>1</v>
      </c>
      <c r="C5766" s="54">
        <v>43191</v>
      </c>
      <c r="D5766" s="3" t="str">
        <f>YEAR(Datos_Consumo[[#This Row],[FECHA]])&amp;"-"&amp;MONTH(Datos_Consumo[[#This Row],[FECHA]])</f>
        <v>2018-4</v>
      </c>
    </row>
    <row r="5767" spans="1:4" x14ac:dyDescent="0.25">
      <c r="A5767" t="s">
        <v>3474</v>
      </c>
      <c r="B5767">
        <v>6</v>
      </c>
      <c r="C5767" s="54">
        <v>43101</v>
      </c>
      <c r="D5767" s="3" t="str">
        <f>YEAR(Datos_Consumo[[#This Row],[FECHA]])&amp;"-"&amp;MONTH(Datos_Consumo[[#This Row],[FECHA]])</f>
        <v>2018-1</v>
      </c>
    </row>
    <row r="5768" spans="1:4" x14ac:dyDescent="0.25">
      <c r="A5768" t="s">
        <v>3475</v>
      </c>
      <c r="B5768">
        <v>1</v>
      </c>
      <c r="C5768" s="54">
        <v>43132</v>
      </c>
      <c r="D5768" s="3" t="str">
        <f>YEAR(Datos_Consumo[[#This Row],[FECHA]])&amp;"-"&amp;MONTH(Datos_Consumo[[#This Row],[FECHA]])</f>
        <v>2018-2</v>
      </c>
    </row>
    <row r="5769" spans="1:4" x14ac:dyDescent="0.25">
      <c r="A5769" t="s">
        <v>3476</v>
      </c>
      <c r="B5769">
        <v>1</v>
      </c>
      <c r="C5769" s="54">
        <v>43132</v>
      </c>
      <c r="D5769" s="3" t="str">
        <f>YEAR(Datos_Consumo[[#This Row],[FECHA]])&amp;"-"&amp;MONTH(Datos_Consumo[[#This Row],[FECHA]])</f>
        <v>2018-2</v>
      </c>
    </row>
    <row r="5770" spans="1:4" x14ac:dyDescent="0.25">
      <c r="A5770" t="s">
        <v>3477</v>
      </c>
      <c r="B5770">
        <v>3</v>
      </c>
      <c r="C5770" s="54">
        <v>43101</v>
      </c>
      <c r="D5770" s="3" t="str">
        <f>YEAR(Datos_Consumo[[#This Row],[FECHA]])&amp;"-"&amp;MONTH(Datos_Consumo[[#This Row],[FECHA]])</f>
        <v>2018-1</v>
      </c>
    </row>
    <row r="5771" spans="1:4" x14ac:dyDescent="0.25">
      <c r="A5771" t="s">
        <v>3478</v>
      </c>
      <c r="B5771">
        <v>3</v>
      </c>
      <c r="C5771" s="54">
        <v>43160</v>
      </c>
      <c r="D5771" s="3" t="str">
        <f>YEAR(Datos_Consumo[[#This Row],[FECHA]])&amp;"-"&amp;MONTH(Datos_Consumo[[#This Row],[FECHA]])</f>
        <v>2018-3</v>
      </c>
    </row>
    <row r="5772" spans="1:4" x14ac:dyDescent="0.25">
      <c r="A5772" t="s">
        <v>3478</v>
      </c>
      <c r="B5772">
        <v>1</v>
      </c>
      <c r="C5772" s="54">
        <v>43221</v>
      </c>
      <c r="D5772" s="3" t="str">
        <f>YEAR(Datos_Consumo[[#This Row],[FECHA]])&amp;"-"&amp;MONTH(Datos_Consumo[[#This Row],[FECHA]])</f>
        <v>2018-5</v>
      </c>
    </row>
    <row r="5773" spans="1:4" x14ac:dyDescent="0.25">
      <c r="A5773" t="s">
        <v>3479</v>
      </c>
      <c r="B5773">
        <v>3</v>
      </c>
      <c r="C5773" s="54">
        <v>43160</v>
      </c>
      <c r="D5773" s="3" t="str">
        <f>YEAR(Datos_Consumo[[#This Row],[FECHA]])&amp;"-"&amp;MONTH(Datos_Consumo[[#This Row],[FECHA]])</f>
        <v>2018-3</v>
      </c>
    </row>
    <row r="5774" spans="1:4" x14ac:dyDescent="0.25">
      <c r="A5774" t="s">
        <v>3479</v>
      </c>
      <c r="B5774">
        <v>1</v>
      </c>
      <c r="C5774" s="54">
        <v>43221</v>
      </c>
      <c r="D5774" s="3" t="str">
        <f>YEAR(Datos_Consumo[[#This Row],[FECHA]])&amp;"-"&amp;MONTH(Datos_Consumo[[#This Row],[FECHA]])</f>
        <v>2018-5</v>
      </c>
    </row>
    <row r="5775" spans="1:4" x14ac:dyDescent="0.25">
      <c r="A5775" t="s">
        <v>3480</v>
      </c>
      <c r="B5775">
        <v>2</v>
      </c>
      <c r="C5775" s="54">
        <v>43070</v>
      </c>
      <c r="D5775" s="3" t="str">
        <f>YEAR(Datos_Consumo[[#This Row],[FECHA]])&amp;"-"&amp;MONTH(Datos_Consumo[[#This Row],[FECHA]])</f>
        <v>2017-12</v>
      </c>
    </row>
    <row r="5776" spans="1:4" x14ac:dyDescent="0.25">
      <c r="A5776" t="s">
        <v>3480</v>
      </c>
      <c r="B5776">
        <v>4</v>
      </c>
      <c r="C5776" s="54">
        <v>43160</v>
      </c>
      <c r="D5776" s="3" t="str">
        <f>YEAR(Datos_Consumo[[#This Row],[FECHA]])&amp;"-"&amp;MONTH(Datos_Consumo[[#This Row],[FECHA]])</f>
        <v>2018-3</v>
      </c>
    </row>
    <row r="5777" spans="1:4" x14ac:dyDescent="0.25">
      <c r="A5777" t="s">
        <v>3481</v>
      </c>
      <c r="B5777">
        <v>1</v>
      </c>
      <c r="C5777" s="54">
        <v>43160</v>
      </c>
      <c r="D5777" s="3" t="str">
        <f>YEAR(Datos_Consumo[[#This Row],[FECHA]])&amp;"-"&amp;MONTH(Datos_Consumo[[#This Row],[FECHA]])</f>
        <v>2018-3</v>
      </c>
    </row>
    <row r="5778" spans="1:4" x14ac:dyDescent="0.25">
      <c r="A5778" t="s">
        <v>3482</v>
      </c>
      <c r="B5778">
        <v>1</v>
      </c>
      <c r="C5778" s="54">
        <v>43191</v>
      </c>
      <c r="D5778" s="3" t="str">
        <f>YEAR(Datos_Consumo[[#This Row],[FECHA]])&amp;"-"&amp;MONTH(Datos_Consumo[[#This Row],[FECHA]])</f>
        <v>2018-4</v>
      </c>
    </row>
    <row r="5779" spans="1:4" x14ac:dyDescent="0.25">
      <c r="A5779" t="s">
        <v>3483</v>
      </c>
      <c r="B5779">
        <v>3</v>
      </c>
      <c r="C5779" s="54">
        <v>43101</v>
      </c>
      <c r="D5779" s="3" t="str">
        <f>YEAR(Datos_Consumo[[#This Row],[FECHA]])&amp;"-"&amp;MONTH(Datos_Consumo[[#This Row],[FECHA]])</f>
        <v>2018-1</v>
      </c>
    </row>
    <row r="5780" spans="1:4" x14ac:dyDescent="0.25">
      <c r="A5780" t="s">
        <v>3484</v>
      </c>
      <c r="B5780">
        <v>1</v>
      </c>
      <c r="C5780" s="54">
        <v>43101</v>
      </c>
      <c r="D5780" s="3" t="str">
        <f>YEAR(Datos_Consumo[[#This Row],[FECHA]])&amp;"-"&amp;MONTH(Datos_Consumo[[#This Row],[FECHA]])</f>
        <v>2018-1</v>
      </c>
    </row>
    <row r="5781" spans="1:4" x14ac:dyDescent="0.25">
      <c r="A5781" t="s">
        <v>3485</v>
      </c>
      <c r="B5781">
        <v>1</v>
      </c>
      <c r="C5781" s="54">
        <v>43101</v>
      </c>
      <c r="D5781" s="3" t="str">
        <f>YEAR(Datos_Consumo[[#This Row],[FECHA]])&amp;"-"&amp;MONTH(Datos_Consumo[[#This Row],[FECHA]])</f>
        <v>2018-1</v>
      </c>
    </row>
    <row r="5782" spans="1:4" x14ac:dyDescent="0.25">
      <c r="A5782" t="s">
        <v>3485</v>
      </c>
      <c r="B5782">
        <v>2</v>
      </c>
      <c r="C5782" s="54">
        <v>43132</v>
      </c>
      <c r="D5782" s="3" t="str">
        <f>YEAR(Datos_Consumo[[#This Row],[FECHA]])&amp;"-"&amp;MONTH(Datos_Consumo[[#This Row],[FECHA]])</f>
        <v>2018-2</v>
      </c>
    </row>
    <row r="5783" spans="1:4" x14ac:dyDescent="0.25">
      <c r="A5783" t="s">
        <v>3486</v>
      </c>
      <c r="B5783">
        <v>1</v>
      </c>
      <c r="C5783" s="54">
        <v>43101</v>
      </c>
      <c r="D5783" s="3" t="str">
        <f>YEAR(Datos_Consumo[[#This Row],[FECHA]])&amp;"-"&amp;MONTH(Datos_Consumo[[#This Row],[FECHA]])</f>
        <v>2018-1</v>
      </c>
    </row>
    <row r="5784" spans="1:4" x14ac:dyDescent="0.25">
      <c r="A5784" t="s">
        <v>3486</v>
      </c>
      <c r="B5784">
        <v>2</v>
      </c>
      <c r="C5784" s="54">
        <v>43160</v>
      </c>
      <c r="D5784" s="3" t="str">
        <f>YEAR(Datos_Consumo[[#This Row],[FECHA]])&amp;"-"&amp;MONTH(Datos_Consumo[[#This Row],[FECHA]])</f>
        <v>2018-3</v>
      </c>
    </row>
    <row r="5785" spans="1:4" x14ac:dyDescent="0.25">
      <c r="A5785" t="s">
        <v>3487</v>
      </c>
      <c r="B5785">
        <v>1</v>
      </c>
      <c r="C5785" s="54">
        <v>43101</v>
      </c>
      <c r="D5785" s="3" t="str">
        <f>YEAR(Datos_Consumo[[#This Row],[FECHA]])&amp;"-"&amp;MONTH(Datos_Consumo[[#This Row],[FECHA]])</f>
        <v>2018-1</v>
      </c>
    </row>
    <row r="5786" spans="1:4" x14ac:dyDescent="0.25">
      <c r="A5786" t="s">
        <v>3487</v>
      </c>
      <c r="B5786">
        <v>2</v>
      </c>
      <c r="C5786" s="54">
        <v>43160</v>
      </c>
      <c r="D5786" s="3" t="str">
        <f>YEAR(Datos_Consumo[[#This Row],[FECHA]])&amp;"-"&amp;MONTH(Datos_Consumo[[#This Row],[FECHA]])</f>
        <v>2018-3</v>
      </c>
    </row>
    <row r="5787" spans="1:4" x14ac:dyDescent="0.25">
      <c r="A5787" t="s">
        <v>3488</v>
      </c>
      <c r="B5787">
        <v>1</v>
      </c>
      <c r="C5787" s="54">
        <v>43101</v>
      </c>
      <c r="D5787" s="3" t="str">
        <f>YEAR(Datos_Consumo[[#This Row],[FECHA]])&amp;"-"&amp;MONTH(Datos_Consumo[[#This Row],[FECHA]])</f>
        <v>2018-1</v>
      </c>
    </row>
    <row r="5788" spans="1:4" x14ac:dyDescent="0.25">
      <c r="A5788" t="s">
        <v>3488</v>
      </c>
      <c r="B5788">
        <v>2</v>
      </c>
      <c r="C5788" s="54">
        <v>43160</v>
      </c>
      <c r="D5788" s="3" t="str">
        <f>YEAR(Datos_Consumo[[#This Row],[FECHA]])&amp;"-"&amp;MONTH(Datos_Consumo[[#This Row],[FECHA]])</f>
        <v>2018-3</v>
      </c>
    </row>
    <row r="5789" spans="1:4" x14ac:dyDescent="0.25">
      <c r="A5789" t="s">
        <v>3489</v>
      </c>
      <c r="B5789">
        <v>1</v>
      </c>
      <c r="C5789" s="54">
        <v>43101</v>
      </c>
      <c r="D5789" s="3" t="str">
        <f>YEAR(Datos_Consumo[[#This Row],[FECHA]])&amp;"-"&amp;MONTH(Datos_Consumo[[#This Row],[FECHA]])</f>
        <v>2018-1</v>
      </c>
    </row>
    <row r="5790" spans="1:4" x14ac:dyDescent="0.25">
      <c r="A5790" t="s">
        <v>3489</v>
      </c>
      <c r="B5790">
        <v>2</v>
      </c>
      <c r="C5790" s="54">
        <v>43160</v>
      </c>
      <c r="D5790" s="3" t="str">
        <f>YEAR(Datos_Consumo[[#This Row],[FECHA]])&amp;"-"&amp;MONTH(Datos_Consumo[[#This Row],[FECHA]])</f>
        <v>2018-3</v>
      </c>
    </row>
    <row r="5791" spans="1:4" x14ac:dyDescent="0.25">
      <c r="A5791" t="s">
        <v>3490</v>
      </c>
      <c r="B5791">
        <v>1</v>
      </c>
      <c r="C5791" s="54">
        <v>43101</v>
      </c>
      <c r="D5791" s="3" t="str">
        <f>YEAR(Datos_Consumo[[#This Row],[FECHA]])&amp;"-"&amp;MONTH(Datos_Consumo[[#This Row],[FECHA]])</f>
        <v>2018-1</v>
      </c>
    </row>
    <row r="5792" spans="1:4" x14ac:dyDescent="0.25">
      <c r="A5792" t="s">
        <v>4166</v>
      </c>
      <c r="B5792">
        <v>10</v>
      </c>
      <c r="C5792" s="54">
        <v>43221</v>
      </c>
      <c r="D5792" s="3" t="str">
        <f>YEAR(Datos_Consumo[[#This Row],[FECHA]])&amp;"-"&amp;MONTH(Datos_Consumo[[#This Row],[FECHA]])</f>
        <v>2018-5</v>
      </c>
    </row>
    <row r="5793" spans="1:4" x14ac:dyDescent="0.25">
      <c r="A5793" t="s">
        <v>4167</v>
      </c>
      <c r="B5793">
        <v>10</v>
      </c>
      <c r="C5793" s="54">
        <v>43191</v>
      </c>
      <c r="D5793" s="3" t="str">
        <f>YEAR(Datos_Consumo[[#This Row],[FECHA]])&amp;"-"&amp;MONTH(Datos_Consumo[[#This Row],[FECHA]])</f>
        <v>2018-4</v>
      </c>
    </row>
    <row r="5794" spans="1:4" x14ac:dyDescent="0.25">
      <c r="A5794" t="s">
        <v>4168</v>
      </c>
      <c r="B5794">
        <v>10</v>
      </c>
      <c r="C5794" s="54">
        <v>43221</v>
      </c>
      <c r="D5794" s="3" t="str">
        <f>YEAR(Datos_Consumo[[#This Row],[FECHA]])&amp;"-"&amp;MONTH(Datos_Consumo[[#This Row],[FECHA]])</f>
        <v>2018-5</v>
      </c>
    </row>
    <row r="5795" spans="1:4" x14ac:dyDescent="0.25">
      <c r="A5795" t="s">
        <v>4169</v>
      </c>
      <c r="B5795">
        <v>5</v>
      </c>
      <c r="C5795" s="54">
        <v>43221</v>
      </c>
      <c r="D5795" s="3" t="str">
        <f>YEAR(Datos_Consumo[[#This Row],[FECHA]])&amp;"-"&amp;MONTH(Datos_Consumo[[#This Row],[FECHA]])</f>
        <v>2018-5</v>
      </c>
    </row>
    <row r="5796" spans="1:4" x14ac:dyDescent="0.25">
      <c r="A5796" t="s">
        <v>4170</v>
      </c>
      <c r="B5796">
        <v>5</v>
      </c>
      <c r="C5796" s="54">
        <v>43191</v>
      </c>
      <c r="D5796" s="3" t="str">
        <f>YEAR(Datos_Consumo[[#This Row],[FECHA]])&amp;"-"&amp;MONTH(Datos_Consumo[[#This Row],[FECHA]])</f>
        <v>2018-4</v>
      </c>
    </row>
    <row r="5797" spans="1:4" x14ac:dyDescent="0.25">
      <c r="A5797" t="s">
        <v>3491</v>
      </c>
      <c r="B5797">
        <v>10</v>
      </c>
      <c r="C5797" s="54">
        <v>43132</v>
      </c>
      <c r="D5797" s="3" t="str">
        <f>YEAR(Datos_Consumo[[#This Row],[FECHA]])&amp;"-"&amp;MONTH(Datos_Consumo[[#This Row],[FECHA]])</f>
        <v>2018-2</v>
      </c>
    </row>
    <row r="5798" spans="1:4" x14ac:dyDescent="0.25">
      <c r="A5798" t="s">
        <v>3492</v>
      </c>
      <c r="B5798">
        <v>10</v>
      </c>
      <c r="C5798" s="54">
        <v>43160</v>
      </c>
      <c r="D5798" s="3" t="str">
        <f>YEAR(Datos_Consumo[[#This Row],[FECHA]])&amp;"-"&amp;MONTH(Datos_Consumo[[#This Row],[FECHA]])</f>
        <v>2018-3</v>
      </c>
    </row>
    <row r="5799" spans="1:4" x14ac:dyDescent="0.25">
      <c r="A5799" t="s">
        <v>3493</v>
      </c>
      <c r="B5799">
        <v>4</v>
      </c>
      <c r="C5799" s="54">
        <v>43101</v>
      </c>
      <c r="D5799" s="3" t="str">
        <f>YEAR(Datos_Consumo[[#This Row],[FECHA]])&amp;"-"&amp;MONTH(Datos_Consumo[[#This Row],[FECHA]])</f>
        <v>2018-1</v>
      </c>
    </row>
    <row r="5800" spans="1:4" x14ac:dyDescent="0.25">
      <c r="A5800" t="s">
        <v>3493</v>
      </c>
      <c r="B5800">
        <v>2</v>
      </c>
      <c r="C5800" s="54">
        <v>43132</v>
      </c>
      <c r="D5800" s="3" t="str">
        <f>YEAR(Datos_Consumo[[#This Row],[FECHA]])&amp;"-"&amp;MONTH(Datos_Consumo[[#This Row],[FECHA]])</f>
        <v>2018-2</v>
      </c>
    </row>
    <row r="5801" spans="1:4" x14ac:dyDescent="0.25">
      <c r="A5801" t="s">
        <v>3494</v>
      </c>
      <c r="B5801">
        <v>4</v>
      </c>
      <c r="C5801" s="54">
        <v>43101</v>
      </c>
      <c r="D5801" s="3" t="str">
        <f>YEAR(Datos_Consumo[[#This Row],[FECHA]])&amp;"-"&amp;MONTH(Datos_Consumo[[#This Row],[FECHA]])</f>
        <v>2018-1</v>
      </c>
    </row>
    <row r="5802" spans="1:4" x14ac:dyDescent="0.25">
      <c r="A5802" t="s">
        <v>3494</v>
      </c>
      <c r="B5802">
        <v>2</v>
      </c>
      <c r="C5802" s="54">
        <v>43132</v>
      </c>
      <c r="D5802" s="3" t="str">
        <f>YEAR(Datos_Consumo[[#This Row],[FECHA]])&amp;"-"&amp;MONTH(Datos_Consumo[[#This Row],[FECHA]])</f>
        <v>2018-2</v>
      </c>
    </row>
    <row r="5803" spans="1:4" x14ac:dyDescent="0.25">
      <c r="A5803" t="s">
        <v>3495</v>
      </c>
      <c r="B5803">
        <v>4</v>
      </c>
      <c r="C5803" s="54">
        <v>43101</v>
      </c>
      <c r="D5803" s="3" t="str">
        <f>YEAR(Datos_Consumo[[#This Row],[FECHA]])&amp;"-"&amp;MONTH(Datos_Consumo[[#This Row],[FECHA]])</f>
        <v>2018-1</v>
      </c>
    </row>
    <row r="5804" spans="1:4" x14ac:dyDescent="0.25">
      <c r="A5804" t="s">
        <v>3495</v>
      </c>
      <c r="B5804">
        <v>2</v>
      </c>
      <c r="C5804" s="54">
        <v>43132</v>
      </c>
      <c r="D5804" s="3" t="str">
        <f>YEAR(Datos_Consumo[[#This Row],[FECHA]])&amp;"-"&amp;MONTH(Datos_Consumo[[#This Row],[FECHA]])</f>
        <v>2018-2</v>
      </c>
    </row>
    <row r="5805" spans="1:4" x14ac:dyDescent="0.25">
      <c r="A5805" t="s">
        <v>3496</v>
      </c>
      <c r="B5805">
        <v>16</v>
      </c>
      <c r="C5805" s="54">
        <v>43101</v>
      </c>
      <c r="D5805" s="3" t="str">
        <f>YEAR(Datos_Consumo[[#This Row],[FECHA]])&amp;"-"&amp;MONTH(Datos_Consumo[[#This Row],[FECHA]])</f>
        <v>2018-1</v>
      </c>
    </row>
    <row r="5806" spans="1:4" x14ac:dyDescent="0.25">
      <c r="A5806" t="s">
        <v>3496</v>
      </c>
      <c r="B5806">
        <v>8</v>
      </c>
      <c r="C5806" s="54">
        <v>43132</v>
      </c>
      <c r="D5806" s="3" t="str">
        <f>YEAR(Datos_Consumo[[#This Row],[FECHA]])&amp;"-"&amp;MONTH(Datos_Consumo[[#This Row],[FECHA]])</f>
        <v>2018-2</v>
      </c>
    </row>
    <row r="5807" spans="1:4" x14ac:dyDescent="0.25">
      <c r="A5807" t="s">
        <v>3497</v>
      </c>
      <c r="B5807">
        <v>4</v>
      </c>
      <c r="C5807" s="54">
        <v>43101</v>
      </c>
      <c r="D5807" s="3" t="str">
        <f>YEAR(Datos_Consumo[[#This Row],[FECHA]])&amp;"-"&amp;MONTH(Datos_Consumo[[#This Row],[FECHA]])</f>
        <v>2018-1</v>
      </c>
    </row>
    <row r="5808" spans="1:4" x14ac:dyDescent="0.25">
      <c r="A5808" t="s">
        <v>3497</v>
      </c>
      <c r="B5808">
        <v>2</v>
      </c>
      <c r="C5808" s="54">
        <v>43132</v>
      </c>
      <c r="D5808" s="3" t="str">
        <f>YEAR(Datos_Consumo[[#This Row],[FECHA]])&amp;"-"&amp;MONTH(Datos_Consumo[[#This Row],[FECHA]])</f>
        <v>2018-2</v>
      </c>
    </row>
    <row r="5809" spans="1:4" x14ac:dyDescent="0.25">
      <c r="A5809" t="s">
        <v>3498</v>
      </c>
      <c r="B5809">
        <v>4</v>
      </c>
      <c r="C5809" s="54">
        <v>43101</v>
      </c>
      <c r="D5809" s="3" t="str">
        <f>YEAR(Datos_Consumo[[#This Row],[FECHA]])&amp;"-"&amp;MONTH(Datos_Consumo[[#This Row],[FECHA]])</f>
        <v>2018-1</v>
      </c>
    </row>
    <row r="5810" spans="1:4" x14ac:dyDescent="0.25">
      <c r="A5810" t="s">
        <v>3498</v>
      </c>
      <c r="B5810">
        <v>2</v>
      </c>
      <c r="C5810" s="54">
        <v>43132</v>
      </c>
      <c r="D5810" s="3" t="str">
        <f>YEAR(Datos_Consumo[[#This Row],[FECHA]])&amp;"-"&amp;MONTH(Datos_Consumo[[#This Row],[FECHA]])</f>
        <v>2018-2</v>
      </c>
    </row>
    <row r="5811" spans="1:4" x14ac:dyDescent="0.25">
      <c r="A5811" t="s">
        <v>3499</v>
      </c>
      <c r="B5811">
        <v>4</v>
      </c>
      <c r="C5811" s="54">
        <v>43101</v>
      </c>
      <c r="D5811" s="3" t="str">
        <f>YEAR(Datos_Consumo[[#This Row],[FECHA]])&amp;"-"&amp;MONTH(Datos_Consumo[[#This Row],[FECHA]])</f>
        <v>2018-1</v>
      </c>
    </row>
    <row r="5812" spans="1:4" x14ac:dyDescent="0.25">
      <c r="A5812" t="s">
        <v>3499</v>
      </c>
      <c r="B5812">
        <v>2</v>
      </c>
      <c r="C5812" s="54">
        <v>43132</v>
      </c>
      <c r="D5812" s="3" t="str">
        <f>YEAR(Datos_Consumo[[#This Row],[FECHA]])&amp;"-"&amp;MONTH(Datos_Consumo[[#This Row],[FECHA]])</f>
        <v>2018-2</v>
      </c>
    </row>
    <row r="5813" spans="1:4" x14ac:dyDescent="0.25">
      <c r="A5813" t="s">
        <v>3500</v>
      </c>
      <c r="B5813">
        <v>4</v>
      </c>
      <c r="C5813" s="54">
        <v>43101</v>
      </c>
      <c r="D5813" s="3" t="str">
        <f>YEAR(Datos_Consumo[[#This Row],[FECHA]])&amp;"-"&amp;MONTH(Datos_Consumo[[#This Row],[FECHA]])</f>
        <v>2018-1</v>
      </c>
    </row>
    <row r="5814" spans="1:4" x14ac:dyDescent="0.25">
      <c r="A5814" t="s">
        <v>3500</v>
      </c>
      <c r="B5814">
        <v>2</v>
      </c>
      <c r="C5814" s="54">
        <v>43132</v>
      </c>
      <c r="D5814" s="3" t="str">
        <f>YEAR(Datos_Consumo[[#This Row],[FECHA]])&amp;"-"&amp;MONTH(Datos_Consumo[[#This Row],[FECHA]])</f>
        <v>2018-2</v>
      </c>
    </row>
    <row r="5815" spans="1:4" x14ac:dyDescent="0.25">
      <c r="A5815" t="s">
        <v>3501</v>
      </c>
      <c r="B5815">
        <v>1</v>
      </c>
      <c r="C5815" s="54">
        <v>43160</v>
      </c>
      <c r="D5815" s="3" t="str">
        <f>YEAR(Datos_Consumo[[#This Row],[FECHA]])&amp;"-"&amp;MONTH(Datos_Consumo[[#This Row],[FECHA]])</f>
        <v>2018-3</v>
      </c>
    </row>
    <row r="5816" spans="1:4" x14ac:dyDescent="0.25">
      <c r="A5816" t="s">
        <v>3502</v>
      </c>
      <c r="B5816">
        <v>20</v>
      </c>
      <c r="C5816" s="54">
        <v>43101</v>
      </c>
      <c r="D5816" s="3" t="str">
        <f>YEAR(Datos_Consumo[[#This Row],[FECHA]])&amp;"-"&amp;MONTH(Datos_Consumo[[#This Row],[FECHA]])</f>
        <v>2018-1</v>
      </c>
    </row>
    <row r="5817" spans="1:4" x14ac:dyDescent="0.25">
      <c r="A5817" t="s">
        <v>3503</v>
      </c>
      <c r="B5817">
        <v>16</v>
      </c>
      <c r="C5817" s="54">
        <v>43101</v>
      </c>
      <c r="D5817" s="3" t="str">
        <f>YEAR(Datos_Consumo[[#This Row],[FECHA]])&amp;"-"&amp;MONTH(Datos_Consumo[[#This Row],[FECHA]])</f>
        <v>2018-1</v>
      </c>
    </row>
    <row r="5818" spans="1:4" x14ac:dyDescent="0.25">
      <c r="A5818" t="s">
        <v>3503</v>
      </c>
      <c r="B5818">
        <v>8</v>
      </c>
      <c r="C5818" s="54">
        <v>43132</v>
      </c>
      <c r="D5818" s="3" t="str">
        <f>YEAR(Datos_Consumo[[#This Row],[FECHA]])&amp;"-"&amp;MONTH(Datos_Consumo[[#This Row],[FECHA]])</f>
        <v>2018-2</v>
      </c>
    </row>
    <row r="5819" spans="1:4" x14ac:dyDescent="0.25">
      <c r="A5819" t="s">
        <v>3504</v>
      </c>
      <c r="B5819">
        <v>4</v>
      </c>
      <c r="C5819" s="54">
        <v>43101</v>
      </c>
      <c r="D5819" s="3" t="str">
        <f>YEAR(Datos_Consumo[[#This Row],[FECHA]])&amp;"-"&amp;MONTH(Datos_Consumo[[#This Row],[FECHA]])</f>
        <v>2018-1</v>
      </c>
    </row>
    <row r="5820" spans="1:4" x14ac:dyDescent="0.25">
      <c r="A5820" t="s">
        <v>3504</v>
      </c>
      <c r="B5820">
        <v>2</v>
      </c>
      <c r="C5820" s="54">
        <v>43132</v>
      </c>
      <c r="D5820" s="3" t="str">
        <f>YEAR(Datos_Consumo[[#This Row],[FECHA]])&amp;"-"&amp;MONTH(Datos_Consumo[[#This Row],[FECHA]])</f>
        <v>2018-2</v>
      </c>
    </row>
    <row r="5821" spans="1:4" x14ac:dyDescent="0.25">
      <c r="A5821" t="s">
        <v>3505</v>
      </c>
      <c r="B5821">
        <v>4</v>
      </c>
      <c r="C5821" s="54">
        <v>43101</v>
      </c>
      <c r="D5821" s="3" t="str">
        <f>YEAR(Datos_Consumo[[#This Row],[FECHA]])&amp;"-"&amp;MONTH(Datos_Consumo[[#This Row],[FECHA]])</f>
        <v>2018-1</v>
      </c>
    </row>
    <row r="5822" spans="1:4" x14ac:dyDescent="0.25">
      <c r="A5822" t="s">
        <v>3505</v>
      </c>
      <c r="B5822">
        <v>2</v>
      </c>
      <c r="C5822" s="54">
        <v>43132</v>
      </c>
      <c r="D5822" s="3" t="str">
        <f>YEAR(Datos_Consumo[[#This Row],[FECHA]])&amp;"-"&amp;MONTH(Datos_Consumo[[#This Row],[FECHA]])</f>
        <v>2018-2</v>
      </c>
    </row>
    <row r="5823" spans="1:4" x14ac:dyDescent="0.25">
      <c r="A5823" t="s">
        <v>3506</v>
      </c>
      <c r="B5823">
        <v>4</v>
      </c>
      <c r="C5823" s="54">
        <v>43101</v>
      </c>
      <c r="D5823" s="3" t="str">
        <f>YEAR(Datos_Consumo[[#This Row],[FECHA]])&amp;"-"&amp;MONTH(Datos_Consumo[[#This Row],[FECHA]])</f>
        <v>2018-1</v>
      </c>
    </row>
    <row r="5824" spans="1:4" x14ac:dyDescent="0.25">
      <c r="A5824" t="s">
        <v>3506</v>
      </c>
      <c r="B5824">
        <v>2</v>
      </c>
      <c r="C5824" s="54">
        <v>43132</v>
      </c>
      <c r="D5824" s="3" t="str">
        <f>YEAR(Datos_Consumo[[#This Row],[FECHA]])&amp;"-"&amp;MONTH(Datos_Consumo[[#This Row],[FECHA]])</f>
        <v>2018-2</v>
      </c>
    </row>
    <row r="5825" spans="1:4" x14ac:dyDescent="0.25">
      <c r="A5825" t="s">
        <v>3507</v>
      </c>
      <c r="B5825">
        <v>2</v>
      </c>
      <c r="C5825" s="54">
        <v>43101</v>
      </c>
      <c r="D5825" s="3" t="str">
        <f>YEAR(Datos_Consumo[[#This Row],[FECHA]])&amp;"-"&amp;MONTH(Datos_Consumo[[#This Row],[FECHA]])</f>
        <v>2018-1</v>
      </c>
    </row>
    <row r="5826" spans="1:4" x14ac:dyDescent="0.25">
      <c r="A5826" t="s">
        <v>3508</v>
      </c>
      <c r="B5826">
        <v>2</v>
      </c>
      <c r="C5826" s="54">
        <v>43070</v>
      </c>
      <c r="D5826" s="3" t="str">
        <f>YEAR(Datos_Consumo[[#This Row],[FECHA]])&amp;"-"&amp;MONTH(Datos_Consumo[[#This Row],[FECHA]])</f>
        <v>2017-12</v>
      </c>
    </row>
    <row r="5827" spans="1:4" x14ac:dyDescent="0.25">
      <c r="A5827" t="s">
        <v>3508</v>
      </c>
      <c r="B5827">
        <v>48</v>
      </c>
      <c r="C5827" s="54">
        <v>43101</v>
      </c>
      <c r="D5827" s="3" t="str">
        <f>YEAR(Datos_Consumo[[#This Row],[FECHA]])&amp;"-"&amp;MONTH(Datos_Consumo[[#This Row],[FECHA]])</f>
        <v>2018-1</v>
      </c>
    </row>
    <row r="5828" spans="1:4" x14ac:dyDescent="0.25">
      <c r="A5828" t="s">
        <v>3508</v>
      </c>
      <c r="B5828">
        <v>1</v>
      </c>
      <c r="C5828" s="54">
        <v>43191</v>
      </c>
      <c r="D5828" s="3" t="str">
        <f>YEAR(Datos_Consumo[[#This Row],[FECHA]])&amp;"-"&amp;MONTH(Datos_Consumo[[#This Row],[FECHA]])</f>
        <v>2018-4</v>
      </c>
    </row>
    <row r="5829" spans="1:4" x14ac:dyDescent="0.25">
      <c r="A5829" t="s">
        <v>3509</v>
      </c>
      <c r="B5829">
        <v>80</v>
      </c>
      <c r="C5829" s="54">
        <v>43101</v>
      </c>
      <c r="D5829" s="3" t="str">
        <f>YEAR(Datos_Consumo[[#This Row],[FECHA]])&amp;"-"&amp;MONTH(Datos_Consumo[[#This Row],[FECHA]])</f>
        <v>2018-1</v>
      </c>
    </row>
    <row r="5830" spans="1:4" x14ac:dyDescent="0.25">
      <c r="A5830" t="s">
        <v>3510</v>
      </c>
      <c r="B5830">
        <v>4</v>
      </c>
      <c r="C5830" s="54">
        <v>43101</v>
      </c>
      <c r="D5830" s="3" t="str">
        <f>YEAR(Datos_Consumo[[#This Row],[FECHA]])&amp;"-"&amp;MONTH(Datos_Consumo[[#This Row],[FECHA]])</f>
        <v>2018-1</v>
      </c>
    </row>
    <row r="5831" spans="1:4" x14ac:dyDescent="0.25">
      <c r="A5831" t="s">
        <v>3510</v>
      </c>
      <c r="B5831">
        <v>2</v>
      </c>
      <c r="C5831" s="54">
        <v>43132</v>
      </c>
      <c r="D5831" s="3" t="str">
        <f>YEAR(Datos_Consumo[[#This Row],[FECHA]])&amp;"-"&amp;MONTH(Datos_Consumo[[#This Row],[FECHA]])</f>
        <v>2018-2</v>
      </c>
    </row>
    <row r="5832" spans="1:4" x14ac:dyDescent="0.25">
      <c r="A5832" t="s">
        <v>3511</v>
      </c>
      <c r="B5832">
        <v>4</v>
      </c>
      <c r="C5832" s="54">
        <v>43101</v>
      </c>
      <c r="D5832" s="3" t="str">
        <f>YEAR(Datos_Consumo[[#This Row],[FECHA]])&amp;"-"&amp;MONTH(Datos_Consumo[[#This Row],[FECHA]])</f>
        <v>2018-1</v>
      </c>
    </row>
    <row r="5833" spans="1:4" x14ac:dyDescent="0.25">
      <c r="A5833" t="s">
        <v>3512</v>
      </c>
      <c r="B5833">
        <v>2</v>
      </c>
      <c r="C5833" s="54">
        <v>43191</v>
      </c>
      <c r="D5833" s="3" t="str">
        <f>YEAR(Datos_Consumo[[#This Row],[FECHA]])&amp;"-"&amp;MONTH(Datos_Consumo[[#This Row],[FECHA]])</f>
        <v>2018-4</v>
      </c>
    </row>
    <row r="5834" spans="1:4" x14ac:dyDescent="0.25">
      <c r="A5834" t="s">
        <v>3512</v>
      </c>
      <c r="B5834">
        <v>1</v>
      </c>
      <c r="C5834" s="54">
        <v>43221</v>
      </c>
      <c r="D5834" s="3" t="str">
        <f>YEAR(Datos_Consumo[[#This Row],[FECHA]])&amp;"-"&amp;MONTH(Datos_Consumo[[#This Row],[FECHA]])</f>
        <v>2018-5</v>
      </c>
    </row>
    <row r="5835" spans="1:4" x14ac:dyDescent="0.25">
      <c r="A5835" t="s">
        <v>3513</v>
      </c>
      <c r="B5835">
        <v>1</v>
      </c>
      <c r="C5835" s="54">
        <v>43160</v>
      </c>
      <c r="D5835" s="3" t="str">
        <f>YEAR(Datos_Consumo[[#This Row],[FECHA]])&amp;"-"&amp;MONTH(Datos_Consumo[[#This Row],[FECHA]])</f>
        <v>2018-3</v>
      </c>
    </row>
    <row r="5836" spans="1:4" x14ac:dyDescent="0.25">
      <c r="A5836" t="s">
        <v>3514</v>
      </c>
      <c r="B5836">
        <v>17</v>
      </c>
      <c r="C5836" s="54">
        <v>43070</v>
      </c>
      <c r="D5836" s="3" t="str">
        <f>YEAR(Datos_Consumo[[#This Row],[FECHA]])&amp;"-"&amp;MONTH(Datos_Consumo[[#This Row],[FECHA]])</f>
        <v>2017-12</v>
      </c>
    </row>
    <row r="5837" spans="1:4" x14ac:dyDescent="0.25">
      <c r="A5837" t="s">
        <v>3514</v>
      </c>
      <c r="B5837">
        <v>1</v>
      </c>
      <c r="C5837" s="54">
        <v>43101</v>
      </c>
      <c r="D5837" s="3" t="str">
        <f>YEAR(Datos_Consumo[[#This Row],[FECHA]])&amp;"-"&amp;MONTH(Datos_Consumo[[#This Row],[FECHA]])</f>
        <v>2018-1</v>
      </c>
    </row>
    <row r="5838" spans="1:4" x14ac:dyDescent="0.25">
      <c r="A5838" t="s">
        <v>3514</v>
      </c>
      <c r="B5838">
        <v>14</v>
      </c>
      <c r="C5838" s="54">
        <v>43160</v>
      </c>
      <c r="D5838" s="3" t="str">
        <f>YEAR(Datos_Consumo[[#This Row],[FECHA]])&amp;"-"&amp;MONTH(Datos_Consumo[[#This Row],[FECHA]])</f>
        <v>2018-3</v>
      </c>
    </row>
    <row r="5839" spans="1:4" x14ac:dyDescent="0.25">
      <c r="A5839" t="s">
        <v>3514</v>
      </c>
      <c r="B5839">
        <v>7</v>
      </c>
      <c r="C5839" s="54">
        <v>43191</v>
      </c>
      <c r="D5839" s="3" t="str">
        <f>YEAR(Datos_Consumo[[#This Row],[FECHA]])&amp;"-"&amp;MONTH(Datos_Consumo[[#This Row],[FECHA]])</f>
        <v>2018-4</v>
      </c>
    </row>
    <row r="5840" spans="1:4" x14ac:dyDescent="0.25">
      <c r="A5840" t="s">
        <v>3514</v>
      </c>
      <c r="B5840">
        <v>1</v>
      </c>
      <c r="C5840" s="54">
        <v>43221</v>
      </c>
      <c r="D5840" s="3" t="str">
        <f>YEAR(Datos_Consumo[[#This Row],[FECHA]])&amp;"-"&amp;MONTH(Datos_Consumo[[#This Row],[FECHA]])</f>
        <v>2018-5</v>
      </c>
    </row>
    <row r="5841" spans="1:4" x14ac:dyDescent="0.25">
      <c r="A5841" t="s">
        <v>3515</v>
      </c>
      <c r="B5841">
        <v>3</v>
      </c>
      <c r="C5841" s="54">
        <v>43160</v>
      </c>
      <c r="D5841" s="3" t="str">
        <f>YEAR(Datos_Consumo[[#This Row],[FECHA]])&amp;"-"&amp;MONTH(Datos_Consumo[[#This Row],[FECHA]])</f>
        <v>2018-3</v>
      </c>
    </row>
    <row r="5842" spans="1:4" x14ac:dyDescent="0.25">
      <c r="A5842" t="s">
        <v>3516</v>
      </c>
      <c r="B5842">
        <v>1</v>
      </c>
      <c r="C5842" s="54">
        <v>43160</v>
      </c>
      <c r="D5842" s="3" t="str">
        <f>YEAR(Datos_Consumo[[#This Row],[FECHA]])&amp;"-"&amp;MONTH(Datos_Consumo[[#This Row],[FECHA]])</f>
        <v>2018-3</v>
      </c>
    </row>
    <row r="5843" spans="1:4" x14ac:dyDescent="0.25">
      <c r="A5843" t="s">
        <v>3517</v>
      </c>
      <c r="B5843">
        <v>1</v>
      </c>
      <c r="C5843" s="54">
        <v>43132</v>
      </c>
      <c r="D5843" s="3" t="str">
        <f>YEAR(Datos_Consumo[[#This Row],[FECHA]])&amp;"-"&amp;MONTH(Datos_Consumo[[#This Row],[FECHA]])</f>
        <v>2018-2</v>
      </c>
    </row>
    <row r="5844" spans="1:4" x14ac:dyDescent="0.25">
      <c r="A5844" t="s">
        <v>3517</v>
      </c>
      <c r="B5844">
        <v>4</v>
      </c>
      <c r="C5844" s="54">
        <v>43160</v>
      </c>
      <c r="D5844" s="3" t="str">
        <f>YEAR(Datos_Consumo[[#This Row],[FECHA]])&amp;"-"&amp;MONTH(Datos_Consumo[[#This Row],[FECHA]])</f>
        <v>2018-3</v>
      </c>
    </row>
    <row r="5845" spans="1:4" x14ac:dyDescent="0.25">
      <c r="A5845" t="s">
        <v>3517</v>
      </c>
      <c r="B5845">
        <v>6</v>
      </c>
      <c r="C5845" s="54">
        <v>43191</v>
      </c>
      <c r="D5845" s="3" t="str">
        <f>YEAR(Datos_Consumo[[#This Row],[FECHA]])&amp;"-"&amp;MONTH(Datos_Consumo[[#This Row],[FECHA]])</f>
        <v>2018-4</v>
      </c>
    </row>
    <row r="5846" spans="1:4" x14ac:dyDescent="0.25">
      <c r="A5846" t="s">
        <v>3517</v>
      </c>
      <c r="B5846">
        <v>7</v>
      </c>
      <c r="C5846" s="54">
        <v>43221</v>
      </c>
      <c r="D5846" s="3" t="str">
        <f>YEAR(Datos_Consumo[[#This Row],[FECHA]])&amp;"-"&amp;MONTH(Datos_Consumo[[#This Row],[FECHA]])</f>
        <v>2018-5</v>
      </c>
    </row>
    <row r="5847" spans="1:4" x14ac:dyDescent="0.25">
      <c r="A5847" t="s">
        <v>3518</v>
      </c>
      <c r="B5847">
        <v>1</v>
      </c>
      <c r="C5847" s="54">
        <v>43160</v>
      </c>
      <c r="D5847" s="3" t="str">
        <f>YEAR(Datos_Consumo[[#This Row],[FECHA]])&amp;"-"&amp;MONTH(Datos_Consumo[[#This Row],[FECHA]])</f>
        <v>2018-3</v>
      </c>
    </row>
    <row r="5848" spans="1:4" x14ac:dyDescent="0.25">
      <c r="A5848" t="s">
        <v>3519</v>
      </c>
      <c r="B5848">
        <v>1</v>
      </c>
      <c r="C5848" s="54">
        <v>43070</v>
      </c>
      <c r="D5848" s="3" t="str">
        <f>YEAR(Datos_Consumo[[#This Row],[FECHA]])&amp;"-"&amp;MONTH(Datos_Consumo[[#This Row],[FECHA]])</f>
        <v>2017-12</v>
      </c>
    </row>
    <row r="5849" spans="1:4" x14ac:dyDescent="0.25">
      <c r="A5849" t="s">
        <v>3520</v>
      </c>
      <c r="B5849">
        <v>3</v>
      </c>
      <c r="C5849" s="54">
        <v>43132</v>
      </c>
      <c r="D5849" s="3" t="str">
        <f>YEAR(Datos_Consumo[[#This Row],[FECHA]])&amp;"-"&amp;MONTH(Datos_Consumo[[#This Row],[FECHA]])</f>
        <v>2018-2</v>
      </c>
    </row>
    <row r="5850" spans="1:4" x14ac:dyDescent="0.25">
      <c r="A5850" t="s">
        <v>3521</v>
      </c>
      <c r="B5850">
        <v>1</v>
      </c>
      <c r="C5850" s="54">
        <v>43160</v>
      </c>
      <c r="D5850" s="3" t="str">
        <f>YEAR(Datos_Consumo[[#This Row],[FECHA]])&amp;"-"&amp;MONTH(Datos_Consumo[[#This Row],[FECHA]])</f>
        <v>2018-3</v>
      </c>
    </row>
    <row r="5851" spans="1:4" x14ac:dyDescent="0.25">
      <c r="A5851" t="s">
        <v>3522</v>
      </c>
      <c r="B5851">
        <v>2</v>
      </c>
      <c r="C5851" s="54">
        <v>43070</v>
      </c>
      <c r="D5851" s="3" t="str">
        <f>YEAR(Datos_Consumo[[#This Row],[FECHA]])&amp;"-"&amp;MONTH(Datos_Consumo[[#This Row],[FECHA]])</f>
        <v>2017-12</v>
      </c>
    </row>
    <row r="5852" spans="1:4" x14ac:dyDescent="0.25">
      <c r="A5852" t="s">
        <v>3522</v>
      </c>
      <c r="B5852">
        <v>15</v>
      </c>
      <c r="C5852" s="54">
        <v>43101</v>
      </c>
      <c r="D5852" s="3" t="str">
        <f>YEAR(Datos_Consumo[[#This Row],[FECHA]])&amp;"-"&amp;MONTH(Datos_Consumo[[#This Row],[FECHA]])</f>
        <v>2018-1</v>
      </c>
    </row>
    <row r="5853" spans="1:4" x14ac:dyDescent="0.25">
      <c r="A5853" t="s">
        <v>3522</v>
      </c>
      <c r="B5853">
        <v>7</v>
      </c>
      <c r="C5853" s="54">
        <v>43132</v>
      </c>
      <c r="D5853" s="3" t="str">
        <f>YEAR(Datos_Consumo[[#This Row],[FECHA]])&amp;"-"&amp;MONTH(Datos_Consumo[[#This Row],[FECHA]])</f>
        <v>2018-2</v>
      </c>
    </row>
    <row r="5854" spans="1:4" x14ac:dyDescent="0.25">
      <c r="A5854" t="s">
        <v>3522</v>
      </c>
      <c r="B5854">
        <v>2</v>
      </c>
      <c r="C5854" s="54">
        <v>43160</v>
      </c>
      <c r="D5854" s="3" t="str">
        <f>YEAR(Datos_Consumo[[#This Row],[FECHA]])&amp;"-"&amp;MONTH(Datos_Consumo[[#This Row],[FECHA]])</f>
        <v>2018-3</v>
      </c>
    </row>
    <row r="5855" spans="1:4" x14ac:dyDescent="0.25">
      <c r="A5855" t="s">
        <v>3522</v>
      </c>
      <c r="B5855">
        <v>9</v>
      </c>
      <c r="C5855" s="54">
        <v>43191</v>
      </c>
      <c r="D5855" s="3" t="str">
        <f>YEAR(Datos_Consumo[[#This Row],[FECHA]])&amp;"-"&amp;MONTH(Datos_Consumo[[#This Row],[FECHA]])</f>
        <v>2018-4</v>
      </c>
    </row>
    <row r="5856" spans="1:4" x14ac:dyDescent="0.25">
      <c r="A5856" t="s">
        <v>3522</v>
      </c>
      <c r="B5856">
        <v>4</v>
      </c>
      <c r="C5856" s="54">
        <v>43221</v>
      </c>
      <c r="D5856" s="3" t="str">
        <f>YEAR(Datos_Consumo[[#This Row],[FECHA]])&amp;"-"&amp;MONTH(Datos_Consumo[[#This Row],[FECHA]])</f>
        <v>2018-5</v>
      </c>
    </row>
    <row r="5857" spans="1:4" x14ac:dyDescent="0.25">
      <c r="A5857" t="s">
        <v>4171</v>
      </c>
      <c r="B5857">
        <v>1</v>
      </c>
      <c r="C5857" s="54">
        <v>43191</v>
      </c>
      <c r="D5857" s="3" t="str">
        <f>YEAR(Datos_Consumo[[#This Row],[FECHA]])&amp;"-"&amp;MONTH(Datos_Consumo[[#This Row],[FECHA]])</f>
        <v>2018-4</v>
      </c>
    </row>
    <row r="5858" spans="1:4" x14ac:dyDescent="0.25">
      <c r="A5858" t="s">
        <v>3523</v>
      </c>
      <c r="B5858">
        <v>4</v>
      </c>
      <c r="C5858" s="54">
        <v>43070</v>
      </c>
      <c r="D5858" s="3" t="str">
        <f>YEAR(Datos_Consumo[[#This Row],[FECHA]])&amp;"-"&amp;MONTH(Datos_Consumo[[#This Row],[FECHA]])</f>
        <v>2017-12</v>
      </c>
    </row>
    <row r="5859" spans="1:4" x14ac:dyDescent="0.25">
      <c r="A5859" t="s">
        <v>3524</v>
      </c>
      <c r="B5859">
        <v>1</v>
      </c>
      <c r="C5859" s="54">
        <v>43070</v>
      </c>
      <c r="D5859" s="3" t="str">
        <f>YEAR(Datos_Consumo[[#This Row],[FECHA]])&amp;"-"&amp;MONTH(Datos_Consumo[[#This Row],[FECHA]])</f>
        <v>2017-12</v>
      </c>
    </row>
    <row r="5860" spans="1:4" x14ac:dyDescent="0.25">
      <c r="A5860" t="s">
        <v>3525</v>
      </c>
      <c r="B5860">
        <v>1</v>
      </c>
      <c r="C5860" s="54">
        <v>43070</v>
      </c>
      <c r="D5860" s="3" t="str">
        <f>YEAR(Datos_Consumo[[#This Row],[FECHA]])&amp;"-"&amp;MONTH(Datos_Consumo[[#This Row],[FECHA]])</f>
        <v>2017-12</v>
      </c>
    </row>
    <row r="5861" spans="1:4" x14ac:dyDescent="0.25">
      <c r="A5861" t="s">
        <v>3526</v>
      </c>
      <c r="B5861">
        <v>4</v>
      </c>
      <c r="C5861" s="54">
        <v>43070</v>
      </c>
      <c r="D5861" s="3" t="str">
        <f>YEAR(Datos_Consumo[[#This Row],[FECHA]])&amp;"-"&amp;MONTH(Datos_Consumo[[#This Row],[FECHA]])</f>
        <v>2017-12</v>
      </c>
    </row>
    <row r="5862" spans="1:4" x14ac:dyDescent="0.25">
      <c r="A5862" t="s">
        <v>3527</v>
      </c>
      <c r="B5862">
        <v>1</v>
      </c>
      <c r="C5862" s="54">
        <v>43070</v>
      </c>
      <c r="D5862" s="3" t="str">
        <f>YEAR(Datos_Consumo[[#This Row],[FECHA]])&amp;"-"&amp;MONTH(Datos_Consumo[[#This Row],[FECHA]])</f>
        <v>2017-12</v>
      </c>
    </row>
    <row r="5863" spans="1:4" x14ac:dyDescent="0.25">
      <c r="A5863" t="s">
        <v>3528</v>
      </c>
      <c r="B5863">
        <v>1</v>
      </c>
      <c r="C5863" s="54">
        <v>43070</v>
      </c>
      <c r="D5863" s="3" t="str">
        <f>YEAR(Datos_Consumo[[#This Row],[FECHA]])&amp;"-"&amp;MONTH(Datos_Consumo[[#This Row],[FECHA]])</f>
        <v>2017-12</v>
      </c>
    </row>
    <row r="5864" spans="1:4" x14ac:dyDescent="0.25">
      <c r="A5864" t="s">
        <v>4172</v>
      </c>
      <c r="B5864">
        <v>1</v>
      </c>
      <c r="C5864" s="54">
        <v>43221</v>
      </c>
      <c r="D5864" s="3" t="str">
        <f>YEAR(Datos_Consumo[[#This Row],[FECHA]])&amp;"-"&amp;MONTH(Datos_Consumo[[#This Row],[FECHA]])</f>
        <v>2018-5</v>
      </c>
    </row>
    <row r="5865" spans="1:4" x14ac:dyDescent="0.25">
      <c r="A5865" t="s">
        <v>3529</v>
      </c>
      <c r="B5865">
        <v>1</v>
      </c>
      <c r="C5865" s="54">
        <v>43070</v>
      </c>
      <c r="D5865" s="3" t="str">
        <f>YEAR(Datos_Consumo[[#This Row],[FECHA]])&amp;"-"&amp;MONTH(Datos_Consumo[[#This Row],[FECHA]])</f>
        <v>2017-12</v>
      </c>
    </row>
    <row r="5866" spans="1:4" x14ac:dyDescent="0.25">
      <c r="A5866" t="s">
        <v>3530</v>
      </c>
      <c r="B5866">
        <v>4</v>
      </c>
      <c r="C5866" s="54">
        <v>43101</v>
      </c>
      <c r="D5866" s="3" t="str">
        <f>YEAR(Datos_Consumo[[#This Row],[FECHA]])&amp;"-"&amp;MONTH(Datos_Consumo[[#This Row],[FECHA]])</f>
        <v>2018-1</v>
      </c>
    </row>
    <row r="5867" spans="1:4" x14ac:dyDescent="0.25">
      <c r="A5867" t="s">
        <v>3530</v>
      </c>
      <c r="B5867">
        <v>1</v>
      </c>
      <c r="C5867" s="54">
        <v>43132</v>
      </c>
      <c r="D5867" s="3" t="str">
        <f>YEAR(Datos_Consumo[[#This Row],[FECHA]])&amp;"-"&amp;MONTH(Datos_Consumo[[#This Row],[FECHA]])</f>
        <v>2018-2</v>
      </c>
    </row>
    <row r="5868" spans="1:4" x14ac:dyDescent="0.25">
      <c r="A5868" t="s">
        <v>3530</v>
      </c>
      <c r="B5868">
        <v>5</v>
      </c>
      <c r="C5868" s="54">
        <v>43160</v>
      </c>
      <c r="D5868" s="3" t="str">
        <f>YEAR(Datos_Consumo[[#This Row],[FECHA]])&amp;"-"&amp;MONTH(Datos_Consumo[[#This Row],[FECHA]])</f>
        <v>2018-3</v>
      </c>
    </row>
    <row r="5869" spans="1:4" x14ac:dyDescent="0.25">
      <c r="A5869" t="s">
        <v>3530</v>
      </c>
      <c r="B5869">
        <v>1</v>
      </c>
      <c r="C5869" s="54">
        <v>43191</v>
      </c>
      <c r="D5869" s="3" t="str">
        <f>YEAR(Datos_Consumo[[#This Row],[FECHA]])&amp;"-"&amp;MONTH(Datos_Consumo[[#This Row],[FECHA]])</f>
        <v>2018-4</v>
      </c>
    </row>
    <row r="5870" spans="1:4" x14ac:dyDescent="0.25">
      <c r="A5870" t="s">
        <v>3531</v>
      </c>
      <c r="B5870">
        <v>1</v>
      </c>
      <c r="C5870" s="54">
        <v>43132</v>
      </c>
      <c r="D5870" s="3" t="str">
        <f>YEAR(Datos_Consumo[[#This Row],[FECHA]])&amp;"-"&amp;MONTH(Datos_Consumo[[#This Row],[FECHA]])</f>
        <v>2018-2</v>
      </c>
    </row>
    <row r="5871" spans="1:4" x14ac:dyDescent="0.25">
      <c r="A5871" t="s">
        <v>3532</v>
      </c>
      <c r="B5871">
        <v>1</v>
      </c>
      <c r="C5871" s="54">
        <v>43191</v>
      </c>
      <c r="D5871" s="3" t="str">
        <f>YEAR(Datos_Consumo[[#This Row],[FECHA]])&amp;"-"&amp;MONTH(Datos_Consumo[[#This Row],[FECHA]])</f>
        <v>2018-4</v>
      </c>
    </row>
    <row r="5872" spans="1:4" x14ac:dyDescent="0.25">
      <c r="A5872" t="s">
        <v>3533</v>
      </c>
      <c r="B5872">
        <v>1</v>
      </c>
      <c r="C5872" s="54">
        <v>43160</v>
      </c>
      <c r="D5872" s="3" t="str">
        <f>YEAR(Datos_Consumo[[#This Row],[FECHA]])&amp;"-"&amp;MONTH(Datos_Consumo[[#This Row],[FECHA]])</f>
        <v>2018-3</v>
      </c>
    </row>
    <row r="5873" spans="1:4" x14ac:dyDescent="0.25">
      <c r="A5873" t="s">
        <v>3534</v>
      </c>
      <c r="B5873">
        <v>1</v>
      </c>
      <c r="C5873" s="54">
        <v>43160</v>
      </c>
      <c r="D5873" s="3" t="str">
        <f>YEAR(Datos_Consumo[[#This Row],[FECHA]])&amp;"-"&amp;MONTH(Datos_Consumo[[#This Row],[FECHA]])</f>
        <v>2018-3</v>
      </c>
    </row>
    <row r="5874" spans="1:4" x14ac:dyDescent="0.25">
      <c r="A5874" t="s">
        <v>3535</v>
      </c>
      <c r="B5874">
        <v>1</v>
      </c>
      <c r="C5874" s="54">
        <v>43160</v>
      </c>
      <c r="D5874" s="3" t="str">
        <f>YEAR(Datos_Consumo[[#This Row],[FECHA]])&amp;"-"&amp;MONTH(Datos_Consumo[[#This Row],[FECHA]])</f>
        <v>2018-3</v>
      </c>
    </row>
    <row r="5875" spans="1:4" x14ac:dyDescent="0.25">
      <c r="A5875" t="s">
        <v>3536</v>
      </c>
      <c r="B5875">
        <v>1</v>
      </c>
      <c r="C5875" s="54">
        <v>43160</v>
      </c>
      <c r="D5875" s="3" t="str">
        <f>YEAR(Datos_Consumo[[#This Row],[FECHA]])&amp;"-"&amp;MONTH(Datos_Consumo[[#This Row],[FECHA]])</f>
        <v>2018-3</v>
      </c>
    </row>
    <row r="5876" spans="1:4" x14ac:dyDescent="0.25">
      <c r="A5876" t="s">
        <v>3537</v>
      </c>
      <c r="B5876">
        <v>4</v>
      </c>
      <c r="C5876" s="54">
        <v>43070</v>
      </c>
      <c r="D5876" s="3" t="str">
        <f>YEAR(Datos_Consumo[[#This Row],[FECHA]])&amp;"-"&amp;MONTH(Datos_Consumo[[#This Row],[FECHA]])</f>
        <v>2017-12</v>
      </c>
    </row>
    <row r="5877" spans="1:4" x14ac:dyDescent="0.25">
      <c r="A5877" t="s">
        <v>3538</v>
      </c>
      <c r="B5877">
        <v>12</v>
      </c>
      <c r="C5877" s="54">
        <v>43070</v>
      </c>
      <c r="D5877" s="3" t="str">
        <f>YEAR(Datos_Consumo[[#This Row],[FECHA]])&amp;"-"&amp;MONTH(Datos_Consumo[[#This Row],[FECHA]])</f>
        <v>2017-12</v>
      </c>
    </row>
    <row r="5878" spans="1:4" x14ac:dyDescent="0.25">
      <c r="A5878" t="s">
        <v>3539</v>
      </c>
      <c r="B5878">
        <v>3</v>
      </c>
      <c r="C5878" s="54">
        <v>43070</v>
      </c>
      <c r="D5878" s="3" t="str">
        <f>YEAR(Datos_Consumo[[#This Row],[FECHA]])&amp;"-"&amp;MONTH(Datos_Consumo[[#This Row],[FECHA]])</f>
        <v>2017-12</v>
      </c>
    </row>
    <row r="5879" spans="1:4" x14ac:dyDescent="0.25">
      <c r="A5879" t="s">
        <v>3540</v>
      </c>
      <c r="B5879">
        <v>1</v>
      </c>
      <c r="C5879" s="54">
        <v>43070</v>
      </c>
      <c r="D5879" s="3" t="str">
        <f>YEAR(Datos_Consumo[[#This Row],[FECHA]])&amp;"-"&amp;MONTH(Datos_Consumo[[#This Row],[FECHA]])</f>
        <v>2017-12</v>
      </c>
    </row>
    <row r="5880" spans="1:4" x14ac:dyDescent="0.25">
      <c r="A5880" t="s">
        <v>3541</v>
      </c>
      <c r="B5880">
        <v>4</v>
      </c>
      <c r="C5880" s="54">
        <v>43070</v>
      </c>
      <c r="D5880" s="3" t="str">
        <f>YEAR(Datos_Consumo[[#This Row],[FECHA]])&amp;"-"&amp;MONTH(Datos_Consumo[[#This Row],[FECHA]])</f>
        <v>2017-12</v>
      </c>
    </row>
    <row r="5881" spans="1:4" x14ac:dyDescent="0.25">
      <c r="A5881" t="s">
        <v>3542</v>
      </c>
      <c r="B5881">
        <v>1</v>
      </c>
      <c r="C5881" s="54">
        <v>43132</v>
      </c>
      <c r="D5881" s="3" t="str">
        <f>YEAR(Datos_Consumo[[#This Row],[FECHA]])&amp;"-"&amp;MONTH(Datos_Consumo[[#This Row],[FECHA]])</f>
        <v>2018-2</v>
      </c>
    </row>
    <row r="5882" spans="1:4" x14ac:dyDescent="0.25">
      <c r="A5882" t="s">
        <v>4173</v>
      </c>
      <c r="B5882">
        <v>2</v>
      </c>
      <c r="C5882" s="54">
        <v>43191</v>
      </c>
      <c r="D5882" s="3" t="str">
        <f>YEAR(Datos_Consumo[[#This Row],[FECHA]])&amp;"-"&amp;MONTH(Datos_Consumo[[#This Row],[FECHA]])</f>
        <v>2018-4</v>
      </c>
    </row>
    <row r="5883" spans="1:4" x14ac:dyDescent="0.25">
      <c r="A5883" t="s">
        <v>3543</v>
      </c>
      <c r="B5883">
        <v>14</v>
      </c>
      <c r="C5883" s="54">
        <v>43101</v>
      </c>
      <c r="D5883" s="3" t="str">
        <f>YEAR(Datos_Consumo[[#This Row],[FECHA]])&amp;"-"&amp;MONTH(Datos_Consumo[[#This Row],[FECHA]])</f>
        <v>2018-1</v>
      </c>
    </row>
    <row r="5884" spans="1:4" x14ac:dyDescent="0.25">
      <c r="A5884" t="s">
        <v>3544</v>
      </c>
      <c r="B5884">
        <v>20</v>
      </c>
      <c r="C5884" s="54">
        <v>43101</v>
      </c>
      <c r="D5884" s="3" t="str">
        <f>YEAR(Datos_Consumo[[#This Row],[FECHA]])&amp;"-"&amp;MONTH(Datos_Consumo[[#This Row],[FECHA]])</f>
        <v>2018-1</v>
      </c>
    </row>
    <row r="5885" spans="1:4" x14ac:dyDescent="0.25">
      <c r="A5885" t="s">
        <v>3545</v>
      </c>
      <c r="B5885">
        <v>60</v>
      </c>
      <c r="C5885" s="54">
        <v>43101</v>
      </c>
      <c r="D5885" s="3" t="str">
        <f>YEAR(Datos_Consumo[[#This Row],[FECHA]])&amp;"-"&amp;MONTH(Datos_Consumo[[#This Row],[FECHA]])</f>
        <v>2018-1</v>
      </c>
    </row>
    <row r="5886" spans="1:4" x14ac:dyDescent="0.25">
      <c r="A5886" t="s">
        <v>3545</v>
      </c>
      <c r="B5886">
        <v>1</v>
      </c>
      <c r="C5886" s="54">
        <v>43191</v>
      </c>
      <c r="D5886" s="3" t="str">
        <f>YEAR(Datos_Consumo[[#This Row],[FECHA]])&amp;"-"&amp;MONTH(Datos_Consumo[[#This Row],[FECHA]])</f>
        <v>2018-4</v>
      </c>
    </row>
    <row r="5887" spans="1:4" x14ac:dyDescent="0.25">
      <c r="A5887" t="s">
        <v>3545</v>
      </c>
      <c r="B5887">
        <v>1</v>
      </c>
      <c r="C5887" s="54">
        <v>43221</v>
      </c>
      <c r="D5887" s="3" t="str">
        <f>YEAR(Datos_Consumo[[#This Row],[FECHA]])&amp;"-"&amp;MONTH(Datos_Consumo[[#This Row],[FECHA]])</f>
        <v>2018-5</v>
      </c>
    </row>
    <row r="5888" spans="1:4" x14ac:dyDescent="0.25">
      <c r="A5888" t="s">
        <v>3546</v>
      </c>
      <c r="B5888">
        <v>20</v>
      </c>
      <c r="C5888" s="54">
        <v>43101</v>
      </c>
      <c r="D5888" s="3" t="str">
        <f>YEAR(Datos_Consumo[[#This Row],[FECHA]])&amp;"-"&amp;MONTH(Datos_Consumo[[#This Row],[FECHA]])</f>
        <v>2018-1</v>
      </c>
    </row>
    <row r="5889" spans="1:4" x14ac:dyDescent="0.25">
      <c r="A5889" t="s">
        <v>3546</v>
      </c>
      <c r="B5889">
        <v>1</v>
      </c>
      <c r="C5889" s="54">
        <v>43160</v>
      </c>
      <c r="D5889" s="3" t="str">
        <f>YEAR(Datos_Consumo[[#This Row],[FECHA]])&amp;"-"&amp;MONTH(Datos_Consumo[[#This Row],[FECHA]])</f>
        <v>2018-3</v>
      </c>
    </row>
    <row r="5890" spans="1:4" x14ac:dyDescent="0.25">
      <c r="A5890" t="s">
        <v>3546</v>
      </c>
      <c r="B5890">
        <v>1</v>
      </c>
      <c r="C5890" s="54">
        <v>43191</v>
      </c>
      <c r="D5890" s="3" t="str">
        <f>YEAR(Datos_Consumo[[#This Row],[FECHA]])&amp;"-"&amp;MONTH(Datos_Consumo[[#This Row],[FECHA]])</f>
        <v>2018-4</v>
      </c>
    </row>
    <row r="5891" spans="1:4" x14ac:dyDescent="0.25">
      <c r="A5891" t="s">
        <v>3547</v>
      </c>
      <c r="B5891">
        <v>5</v>
      </c>
      <c r="C5891" s="54">
        <v>43101</v>
      </c>
      <c r="D5891" s="3" t="str">
        <f>YEAR(Datos_Consumo[[#This Row],[FECHA]])&amp;"-"&amp;MONTH(Datos_Consumo[[#This Row],[FECHA]])</f>
        <v>2018-1</v>
      </c>
    </row>
    <row r="5892" spans="1:4" x14ac:dyDescent="0.25">
      <c r="A5892" t="s">
        <v>3548</v>
      </c>
      <c r="B5892">
        <v>1</v>
      </c>
      <c r="C5892" s="54">
        <v>43132</v>
      </c>
      <c r="D5892" s="3" t="str">
        <f>YEAR(Datos_Consumo[[#This Row],[FECHA]])&amp;"-"&amp;MONTH(Datos_Consumo[[#This Row],[FECHA]])</f>
        <v>2018-2</v>
      </c>
    </row>
    <row r="5893" spans="1:4" x14ac:dyDescent="0.25">
      <c r="A5893" t="s">
        <v>3549</v>
      </c>
      <c r="B5893">
        <v>4</v>
      </c>
      <c r="C5893" s="54">
        <v>43070</v>
      </c>
      <c r="D5893" s="3" t="str">
        <f>YEAR(Datos_Consumo[[#This Row],[FECHA]])&amp;"-"&amp;MONTH(Datos_Consumo[[#This Row],[FECHA]])</f>
        <v>2017-12</v>
      </c>
    </row>
    <row r="5894" spans="1:4" x14ac:dyDescent="0.25">
      <c r="A5894" t="s">
        <v>4174</v>
      </c>
      <c r="B5894">
        <v>2</v>
      </c>
      <c r="C5894" s="54">
        <v>43191</v>
      </c>
      <c r="D5894" s="3" t="str">
        <f>YEAR(Datos_Consumo[[#This Row],[FECHA]])&amp;"-"&amp;MONTH(Datos_Consumo[[#This Row],[FECHA]])</f>
        <v>2018-4</v>
      </c>
    </row>
    <row r="5895" spans="1:4" x14ac:dyDescent="0.25">
      <c r="A5895" t="s">
        <v>4175</v>
      </c>
      <c r="B5895">
        <v>2</v>
      </c>
      <c r="C5895" s="54">
        <v>43191</v>
      </c>
      <c r="D5895" s="3" t="str">
        <f>YEAR(Datos_Consumo[[#This Row],[FECHA]])&amp;"-"&amp;MONTH(Datos_Consumo[[#This Row],[FECHA]])</f>
        <v>2018-4</v>
      </c>
    </row>
    <row r="5896" spans="1:4" x14ac:dyDescent="0.25">
      <c r="A5896" t="s">
        <v>3550</v>
      </c>
      <c r="B5896">
        <v>6</v>
      </c>
      <c r="C5896" s="54">
        <v>43070</v>
      </c>
      <c r="D5896" s="3" t="str">
        <f>YEAR(Datos_Consumo[[#This Row],[FECHA]])&amp;"-"&amp;MONTH(Datos_Consumo[[#This Row],[FECHA]])</f>
        <v>2017-12</v>
      </c>
    </row>
    <row r="5897" spans="1:4" x14ac:dyDescent="0.25">
      <c r="A5897" t="s">
        <v>3551</v>
      </c>
      <c r="B5897">
        <v>1</v>
      </c>
      <c r="C5897" s="54">
        <v>43070</v>
      </c>
      <c r="D5897" s="3" t="str">
        <f>YEAR(Datos_Consumo[[#This Row],[FECHA]])&amp;"-"&amp;MONTH(Datos_Consumo[[#This Row],[FECHA]])</f>
        <v>2017-12</v>
      </c>
    </row>
    <row r="5898" spans="1:4" x14ac:dyDescent="0.25">
      <c r="A5898" t="s">
        <v>3552</v>
      </c>
      <c r="B5898">
        <v>25</v>
      </c>
      <c r="C5898" s="54">
        <v>43070</v>
      </c>
      <c r="D5898" s="3" t="str">
        <f>YEAR(Datos_Consumo[[#This Row],[FECHA]])&amp;"-"&amp;MONTH(Datos_Consumo[[#This Row],[FECHA]])</f>
        <v>2017-12</v>
      </c>
    </row>
    <row r="5899" spans="1:4" x14ac:dyDescent="0.25">
      <c r="A5899" t="s">
        <v>3553</v>
      </c>
      <c r="B5899">
        <v>1</v>
      </c>
      <c r="C5899" s="54">
        <v>43070</v>
      </c>
      <c r="D5899" s="3" t="str">
        <f>YEAR(Datos_Consumo[[#This Row],[FECHA]])&amp;"-"&amp;MONTH(Datos_Consumo[[#This Row],[FECHA]])</f>
        <v>2017-12</v>
      </c>
    </row>
    <row r="5900" spans="1:4" x14ac:dyDescent="0.25">
      <c r="A5900" t="s">
        <v>3554</v>
      </c>
      <c r="B5900">
        <v>1</v>
      </c>
      <c r="C5900" s="54">
        <v>43101</v>
      </c>
      <c r="D5900" s="3" t="str">
        <f>YEAR(Datos_Consumo[[#This Row],[FECHA]])&amp;"-"&amp;MONTH(Datos_Consumo[[#This Row],[FECHA]])</f>
        <v>2018-1</v>
      </c>
    </row>
    <row r="5901" spans="1:4" x14ac:dyDescent="0.25">
      <c r="A5901" t="s">
        <v>3555</v>
      </c>
      <c r="B5901">
        <v>8</v>
      </c>
      <c r="C5901" s="54">
        <v>43132</v>
      </c>
      <c r="D5901" s="3" t="str">
        <f>YEAR(Datos_Consumo[[#This Row],[FECHA]])&amp;"-"&amp;MONTH(Datos_Consumo[[#This Row],[FECHA]])</f>
        <v>2018-2</v>
      </c>
    </row>
    <row r="5902" spans="1:4" x14ac:dyDescent="0.25">
      <c r="A5902" t="s">
        <v>3555</v>
      </c>
      <c r="B5902">
        <v>2</v>
      </c>
      <c r="C5902" s="54">
        <v>43160</v>
      </c>
      <c r="D5902" s="3" t="str">
        <f>YEAR(Datos_Consumo[[#This Row],[FECHA]])&amp;"-"&amp;MONTH(Datos_Consumo[[#This Row],[FECHA]])</f>
        <v>2018-3</v>
      </c>
    </row>
    <row r="5903" spans="1:4" x14ac:dyDescent="0.25">
      <c r="A5903" t="s">
        <v>3556</v>
      </c>
      <c r="B5903">
        <v>10</v>
      </c>
      <c r="C5903" s="54">
        <v>43070</v>
      </c>
      <c r="D5903" s="3" t="str">
        <f>YEAR(Datos_Consumo[[#This Row],[FECHA]])&amp;"-"&amp;MONTH(Datos_Consumo[[#This Row],[FECHA]])</f>
        <v>2017-12</v>
      </c>
    </row>
    <row r="5904" spans="1:4" x14ac:dyDescent="0.25">
      <c r="A5904" t="s">
        <v>3557</v>
      </c>
      <c r="B5904">
        <v>1</v>
      </c>
      <c r="C5904" s="54">
        <v>43101</v>
      </c>
      <c r="D5904" s="3" t="str">
        <f>YEAR(Datos_Consumo[[#This Row],[FECHA]])&amp;"-"&amp;MONTH(Datos_Consumo[[#This Row],[FECHA]])</f>
        <v>2018-1</v>
      </c>
    </row>
    <row r="5905" spans="1:4" x14ac:dyDescent="0.25">
      <c r="A5905" t="s">
        <v>3557</v>
      </c>
      <c r="B5905">
        <v>2</v>
      </c>
      <c r="C5905" s="54">
        <v>43160</v>
      </c>
      <c r="D5905" s="3" t="str">
        <f>YEAR(Datos_Consumo[[#This Row],[FECHA]])&amp;"-"&amp;MONTH(Datos_Consumo[[#This Row],[FECHA]])</f>
        <v>2018-3</v>
      </c>
    </row>
    <row r="5906" spans="1:4" x14ac:dyDescent="0.25">
      <c r="A5906" t="s">
        <v>3558</v>
      </c>
      <c r="B5906">
        <v>1</v>
      </c>
      <c r="C5906" s="54">
        <v>43101</v>
      </c>
      <c r="D5906" s="3" t="str">
        <f>YEAR(Datos_Consumo[[#This Row],[FECHA]])&amp;"-"&amp;MONTH(Datos_Consumo[[#This Row],[FECHA]])</f>
        <v>2018-1</v>
      </c>
    </row>
    <row r="5907" spans="1:4" x14ac:dyDescent="0.25">
      <c r="A5907" t="s">
        <v>3558</v>
      </c>
      <c r="B5907">
        <v>4</v>
      </c>
      <c r="C5907" s="54">
        <v>43191</v>
      </c>
      <c r="D5907" s="3" t="str">
        <f>YEAR(Datos_Consumo[[#This Row],[FECHA]])&amp;"-"&amp;MONTH(Datos_Consumo[[#This Row],[FECHA]])</f>
        <v>2018-4</v>
      </c>
    </row>
    <row r="5908" spans="1:4" x14ac:dyDescent="0.25">
      <c r="A5908" t="s">
        <v>3559</v>
      </c>
      <c r="B5908">
        <v>1</v>
      </c>
      <c r="C5908" s="54">
        <v>43101</v>
      </c>
      <c r="D5908" s="3" t="str">
        <f>YEAR(Datos_Consumo[[#This Row],[FECHA]])&amp;"-"&amp;MONTH(Datos_Consumo[[#This Row],[FECHA]])</f>
        <v>2018-1</v>
      </c>
    </row>
    <row r="5909" spans="1:4" x14ac:dyDescent="0.25">
      <c r="A5909" t="s">
        <v>3560</v>
      </c>
      <c r="B5909">
        <v>1</v>
      </c>
      <c r="C5909" s="54">
        <v>43070</v>
      </c>
      <c r="D5909" s="3" t="str">
        <f>YEAR(Datos_Consumo[[#This Row],[FECHA]])&amp;"-"&amp;MONTH(Datos_Consumo[[#This Row],[FECHA]])</f>
        <v>2017-12</v>
      </c>
    </row>
    <row r="5910" spans="1:4" x14ac:dyDescent="0.25">
      <c r="A5910" t="s">
        <v>3561</v>
      </c>
      <c r="B5910">
        <v>2</v>
      </c>
      <c r="C5910" s="54">
        <v>43070</v>
      </c>
      <c r="D5910" s="3" t="str">
        <f>YEAR(Datos_Consumo[[#This Row],[FECHA]])&amp;"-"&amp;MONTH(Datos_Consumo[[#This Row],[FECHA]])</f>
        <v>2017-12</v>
      </c>
    </row>
    <row r="5911" spans="1:4" x14ac:dyDescent="0.25">
      <c r="A5911" t="s">
        <v>3562</v>
      </c>
      <c r="B5911">
        <v>1</v>
      </c>
      <c r="C5911" s="54">
        <v>43070</v>
      </c>
      <c r="D5911" s="3" t="str">
        <f>YEAR(Datos_Consumo[[#This Row],[FECHA]])&amp;"-"&amp;MONTH(Datos_Consumo[[#This Row],[FECHA]])</f>
        <v>2017-12</v>
      </c>
    </row>
    <row r="5912" spans="1:4" x14ac:dyDescent="0.25">
      <c r="A5912" t="s">
        <v>3563</v>
      </c>
      <c r="B5912">
        <v>1</v>
      </c>
      <c r="C5912" s="54">
        <v>43070</v>
      </c>
      <c r="D5912" s="3" t="str">
        <f>YEAR(Datos_Consumo[[#This Row],[FECHA]])&amp;"-"&amp;MONTH(Datos_Consumo[[#This Row],[FECHA]])</f>
        <v>2017-12</v>
      </c>
    </row>
    <row r="5913" spans="1:4" x14ac:dyDescent="0.25">
      <c r="A5913" t="s">
        <v>3564</v>
      </c>
      <c r="B5913">
        <v>2</v>
      </c>
      <c r="C5913" s="54">
        <v>43070</v>
      </c>
      <c r="D5913" s="3" t="str">
        <f>YEAR(Datos_Consumo[[#This Row],[FECHA]])&amp;"-"&amp;MONTH(Datos_Consumo[[#This Row],[FECHA]])</f>
        <v>2017-12</v>
      </c>
    </row>
    <row r="5914" spans="1:4" x14ac:dyDescent="0.25">
      <c r="A5914" t="s">
        <v>3565</v>
      </c>
      <c r="B5914">
        <v>11</v>
      </c>
      <c r="C5914" s="54">
        <v>43101</v>
      </c>
      <c r="D5914" s="3" t="str">
        <f>YEAR(Datos_Consumo[[#This Row],[FECHA]])&amp;"-"&amp;MONTH(Datos_Consumo[[#This Row],[FECHA]])</f>
        <v>2018-1</v>
      </c>
    </row>
    <row r="5915" spans="1:4" x14ac:dyDescent="0.25">
      <c r="A5915" t="s">
        <v>3566</v>
      </c>
      <c r="B5915">
        <v>10</v>
      </c>
      <c r="C5915" s="54">
        <v>43101</v>
      </c>
      <c r="D5915" s="3" t="str">
        <f>YEAR(Datos_Consumo[[#This Row],[FECHA]])&amp;"-"&amp;MONTH(Datos_Consumo[[#This Row],[FECHA]])</f>
        <v>2018-1</v>
      </c>
    </row>
    <row r="5916" spans="1:4" x14ac:dyDescent="0.25">
      <c r="A5916" t="s">
        <v>3567</v>
      </c>
      <c r="B5916">
        <v>10</v>
      </c>
      <c r="C5916" s="54">
        <v>43101</v>
      </c>
      <c r="D5916" s="3" t="str">
        <f>YEAR(Datos_Consumo[[#This Row],[FECHA]])&amp;"-"&amp;MONTH(Datos_Consumo[[#This Row],[FECHA]])</f>
        <v>2018-1</v>
      </c>
    </row>
    <row r="5917" spans="1:4" x14ac:dyDescent="0.25">
      <c r="A5917" t="s">
        <v>3568</v>
      </c>
      <c r="B5917">
        <v>4</v>
      </c>
      <c r="C5917" s="54">
        <v>43101</v>
      </c>
      <c r="D5917" s="3" t="str">
        <f>YEAR(Datos_Consumo[[#This Row],[FECHA]])&amp;"-"&amp;MONTH(Datos_Consumo[[#This Row],[FECHA]])</f>
        <v>2018-1</v>
      </c>
    </row>
    <row r="5918" spans="1:4" x14ac:dyDescent="0.25">
      <c r="A5918" t="s">
        <v>3569</v>
      </c>
      <c r="B5918">
        <v>1</v>
      </c>
      <c r="C5918" s="54">
        <v>43101</v>
      </c>
      <c r="D5918" s="3" t="str">
        <f>YEAR(Datos_Consumo[[#This Row],[FECHA]])&amp;"-"&amp;MONTH(Datos_Consumo[[#This Row],[FECHA]])</f>
        <v>2018-1</v>
      </c>
    </row>
    <row r="5919" spans="1:4" x14ac:dyDescent="0.25">
      <c r="A5919" t="s">
        <v>3570</v>
      </c>
      <c r="B5919">
        <v>268</v>
      </c>
      <c r="C5919" s="54">
        <v>43101</v>
      </c>
      <c r="D5919" s="3" t="str">
        <f>YEAR(Datos_Consumo[[#This Row],[FECHA]])&amp;"-"&amp;MONTH(Datos_Consumo[[#This Row],[FECHA]])</f>
        <v>2018-1</v>
      </c>
    </row>
    <row r="5920" spans="1:4" x14ac:dyDescent="0.25">
      <c r="A5920" t="s">
        <v>3570</v>
      </c>
      <c r="B5920">
        <v>62</v>
      </c>
      <c r="C5920" s="54">
        <v>43132</v>
      </c>
      <c r="D5920" s="3" t="str">
        <f>YEAR(Datos_Consumo[[#This Row],[FECHA]])&amp;"-"&amp;MONTH(Datos_Consumo[[#This Row],[FECHA]])</f>
        <v>2018-2</v>
      </c>
    </row>
    <row r="5921" spans="1:4" x14ac:dyDescent="0.25">
      <c r="A5921" t="s">
        <v>3570</v>
      </c>
      <c r="B5921">
        <v>133</v>
      </c>
      <c r="C5921" s="54">
        <v>43160</v>
      </c>
      <c r="D5921" s="3" t="str">
        <f>YEAR(Datos_Consumo[[#This Row],[FECHA]])&amp;"-"&amp;MONTH(Datos_Consumo[[#This Row],[FECHA]])</f>
        <v>2018-3</v>
      </c>
    </row>
    <row r="5922" spans="1:4" x14ac:dyDescent="0.25">
      <c r="A5922" t="s">
        <v>3570</v>
      </c>
      <c r="B5922">
        <v>84</v>
      </c>
      <c r="C5922" s="54">
        <v>43191</v>
      </c>
      <c r="D5922" s="3" t="str">
        <f>YEAR(Datos_Consumo[[#This Row],[FECHA]])&amp;"-"&amp;MONTH(Datos_Consumo[[#This Row],[FECHA]])</f>
        <v>2018-4</v>
      </c>
    </row>
    <row r="5923" spans="1:4" x14ac:dyDescent="0.25">
      <c r="A5923" t="s">
        <v>3570</v>
      </c>
      <c r="B5923">
        <v>1</v>
      </c>
      <c r="C5923" s="54">
        <v>43221</v>
      </c>
      <c r="D5923" s="3" t="str">
        <f>YEAR(Datos_Consumo[[#This Row],[FECHA]])&amp;"-"&amp;MONTH(Datos_Consumo[[#This Row],[FECHA]])</f>
        <v>2018-5</v>
      </c>
    </row>
    <row r="5924" spans="1:4" x14ac:dyDescent="0.25">
      <c r="A5924" t="s">
        <v>4176</v>
      </c>
      <c r="B5924">
        <v>540.20000000000005</v>
      </c>
      <c r="C5924" s="54">
        <v>43191</v>
      </c>
      <c r="D5924" s="3" t="str">
        <f>YEAR(Datos_Consumo[[#This Row],[FECHA]])&amp;"-"&amp;MONTH(Datos_Consumo[[#This Row],[FECHA]])</f>
        <v>2018-4</v>
      </c>
    </row>
    <row r="5925" spans="1:4" x14ac:dyDescent="0.25">
      <c r="A5925" t="s">
        <v>3571</v>
      </c>
      <c r="B5925">
        <v>2</v>
      </c>
      <c r="C5925" s="54">
        <v>43191</v>
      </c>
      <c r="D5925" s="3" t="str">
        <f>YEAR(Datos_Consumo[[#This Row],[FECHA]])&amp;"-"&amp;MONTH(Datos_Consumo[[#This Row],[FECHA]])</f>
        <v>2018-4</v>
      </c>
    </row>
    <row r="5926" spans="1:4" x14ac:dyDescent="0.25">
      <c r="A5926" t="s">
        <v>3572</v>
      </c>
      <c r="B5926">
        <v>1</v>
      </c>
      <c r="C5926" s="54">
        <v>43160</v>
      </c>
      <c r="D5926" s="3" t="str">
        <f>YEAR(Datos_Consumo[[#This Row],[FECHA]])&amp;"-"&amp;MONTH(Datos_Consumo[[#This Row],[FECHA]])</f>
        <v>2018-3</v>
      </c>
    </row>
    <row r="5927" spans="1:4" x14ac:dyDescent="0.25">
      <c r="A5927" t="s">
        <v>3573</v>
      </c>
      <c r="B5927">
        <v>4</v>
      </c>
      <c r="C5927" s="54">
        <v>43160</v>
      </c>
      <c r="D5927" s="3" t="str">
        <f>YEAR(Datos_Consumo[[#This Row],[FECHA]])&amp;"-"&amp;MONTH(Datos_Consumo[[#This Row],[FECHA]])</f>
        <v>2018-3</v>
      </c>
    </row>
    <row r="5928" spans="1:4" x14ac:dyDescent="0.25">
      <c r="A5928" t="s">
        <v>3573</v>
      </c>
      <c r="B5928">
        <v>5</v>
      </c>
      <c r="C5928" s="54">
        <v>43191</v>
      </c>
      <c r="D5928" s="3" t="str">
        <f>YEAR(Datos_Consumo[[#This Row],[FECHA]])&amp;"-"&amp;MONTH(Datos_Consumo[[#This Row],[FECHA]])</f>
        <v>2018-4</v>
      </c>
    </row>
    <row r="5929" spans="1:4" x14ac:dyDescent="0.25">
      <c r="A5929" t="s">
        <v>3573</v>
      </c>
      <c r="B5929">
        <v>3</v>
      </c>
      <c r="C5929" s="54">
        <v>43221</v>
      </c>
      <c r="D5929" s="3" t="str">
        <f>YEAR(Datos_Consumo[[#This Row],[FECHA]])&amp;"-"&amp;MONTH(Datos_Consumo[[#This Row],[FECHA]])</f>
        <v>2018-5</v>
      </c>
    </row>
    <row r="5930" spans="1:4" x14ac:dyDescent="0.25">
      <c r="A5930" t="s">
        <v>4177</v>
      </c>
      <c r="B5930">
        <v>1</v>
      </c>
      <c r="C5930" s="54">
        <v>43191</v>
      </c>
      <c r="D5930" s="3" t="str">
        <f>YEAR(Datos_Consumo[[#This Row],[FECHA]])&amp;"-"&amp;MONTH(Datos_Consumo[[#This Row],[FECHA]])</f>
        <v>2018-4</v>
      </c>
    </row>
    <row r="5931" spans="1:4" x14ac:dyDescent="0.25">
      <c r="A5931" t="s">
        <v>4178</v>
      </c>
      <c r="B5931">
        <v>1</v>
      </c>
      <c r="C5931" s="54">
        <v>43221</v>
      </c>
      <c r="D5931" s="3" t="str">
        <f>YEAR(Datos_Consumo[[#This Row],[FECHA]])&amp;"-"&amp;MONTH(Datos_Consumo[[#This Row],[FECHA]])</f>
        <v>2018-5</v>
      </c>
    </row>
    <row r="5932" spans="1:4" x14ac:dyDescent="0.25">
      <c r="A5932" t="s">
        <v>4179</v>
      </c>
      <c r="B5932">
        <v>1</v>
      </c>
      <c r="C5932" s="54">
        <v>43221</v>
      </c>
      <c r="D5932" s="3" t="str">
        <f>YEAR(Datos_Consumo[[#This Row],[FECHA]])&amp;"-"&amp;MONTH(Datos_Consumo[[#This Row],[FECHA]])</f>
        <v>2018-5</v>
      </c>
    </row>
    <row r="5933" spans="1:4" x14ac:dyDescent="0.25">
      <c r="A5933" t="s">
        <v>3574</v>
      </c>
      <c r="B5933">
        <v>2</v>
      </c>
      <c r="C5933" s="54">
        <v>43101</v>
      </c>
      <c r="D5933" s="3" t="str">
        <f>YEAR(Datos_Consumo[[#This Row],[FECHA]])&amp;"-"&amp;MONTH(Datos_Consumo[[#This Row],[FECHA]])</f>
        <v>2018-1</v>
      </c>
    </row>
    <row r="5934" spans="1:4" x14ac:dyDescent="0.25">
      <c r="A5934" t="s">
        <v>3575</v>
      </c>
      <c r="B5934">
        <v>1</v>
      </c>
      <c r="C5934" s="54">
        <v>43160</v>
      </c>
      <c r="D5934" s="3" t="str">
        <f>YEAR(Datos_Consumo[[#This Row],[FECHA]])&amp;"-"&amp;MONTH(Datos_Consumo[[#This Row],[FECHA]])</f>
        <v>2018-3</v>
      </c>
    </row>
    <row r="5935" spans="1:4" x14ac:dyDescent="0.25">
      <c r="A5935" t="s">
        <v>4180</v>
      </c>
      <c r="B5935">
        <v>1</v>
      </c>
      <c r="C5935" s="54">
        <v>43191</v>
      </c>
      <c r="D5935" s="3" t="str">
        <f>YEAR(Datos_Consumo[[#This Row],[FECHA]])&amp;"-"&amp;MONTH(Datos_Consumo[[#This Row],[FECHA]])</f>
        <v>2018-4</v>
      </c>
    </row>
    <row r="5936" spans="1:4" x14ac:dyDescent="0.25">
      <c r="A5936" t="s">
        <v>4181</v>
      </c>
      <c r="B5936">
        <v>1</v>
      </c>
      <c r="C5936" s="54">
        <v>43191</v>
      </c>
      <c r="D5936" s="3" t="str">
        <f>YEAR(Datos_Consumo[[#This Row],[FECHA]])&amp;"-"&amp;MONTH(Datos_Consumo[[#This Row],[FECHA]])</f>
        <v>2018-4</v>
      </c>
    </row>
    <row r="5937" spans="1:4" x14ac:dyDescent="0.25">
      <c r="A5937" t="s">
        <v>4182</v>
      </c>
      <c r="B5937">
        <v>1</v>
      </c>
      <c r="C5937" s="54">
        <v>43221</v>
      </c>
      <c r="D5937" s="3" t="str">
        <f>YEAR(Datos_Consumo[[#This Row],[FECHA]])&amp;"-"&amp;MONTH(Datos_Consumo[[#This Row],[FECHA]])</f>
        <v>2018-5</v>
      </c>
    </row>
    <row r="5938" spans="1:4" x14ac:dyDescent="0.25">
      <c r="A5938" t="s">
        <v>3576</v>
      </c>
      <c r="B5938">
        <v>6</v>
      </c>
      <c r="C5938" s="54">
        <v>43160</v>
      </c>
      <c r="D5938" s="3" t="str">
        <f>YEAR(Datos_Consumo[[#This Row],[FECHA]])&amp;"-"&amp;MONTH(Datos_Consumo[[#This Row],[FECHA]])</f>
        <v>2018-3</v>
      </c>
    </row>
    <row r="5939" spans="1:4" x14ac:dyDescent="0.25">
      <c r="A5939" t="s">
        <v>3576</v>
      </c>
      <c r="B5939">
        <v>7</v>
      </c>
      <c r="C5939" s="54">
        <v>43191</v>
      </c>
      <c r="D5939" s="3" t="str">
        <f>YEAR(Datos_Consumo[[#This Row],[FECHA]])&amp;"-"&amp;MONTH(Datos_Consumo[[#This Row],[FECHA]])</f>
        <v>2018-4</v>
      </c>
    </row>
    <row r="5940" spans="1:4" x14ac:dyDescent="0.25">
      <c r="A5940" t="s">
        <v>3577</v>
      </c>
      <c r="B5940">
        <v>7</v>
      </c>
      <c r="C5940" s="54">
        <v>43160</v>
      </c>
      <c r="D5940" s="3" t="str">
        <f>YEAR(Datos_Consumo[[#This Row],[FECHA]])&amp;"-"&amp;MONTH(Datos_Consumo[[#This Row],[FECHA]])</f>
        <v>2018-3</v>
      </c>
    </row>
    <row r="5941" spans="1:4" x14ac:dyDescent="0.25">
      <c r="A5941" t="s">
        <v>3577</v>
      </c>
      <c r="B5941">
        <v>12</v>
      </c>
      <c r="C5941" s="54">
        <v>43191</v>
      </c>
      <c r="D5941" s="3" t="str">
        <f>YEAR(Datos_Consumo[[#This Row],[FECHA]])&amp;"-"&amp;MONTH(Datos_Consumo[[#This Row],[FECHA]])</f>
        <v>2018-4</v>
      </c>
    </row>
    <row r="5942" spans="1:4" x14ac:dyDescent="0.25">
      <c r="A5942" t="s">
        <v>3578</v>
      </c>
      <c r="B5942">
        <v>2</v>
      </c>
      <c r="C5942" s="54">
        <v>43160</v>
      </c>
      <c r="D5942" s="3" t="str">
        <f>YEAR(Datos_Consumo[[#This Row],[FECHA]])&amp;"-"&amp;MONTH(Datos_Consumo[[#This Row],[FECHA]])</f>
        <v>2018-3</v>
      </c>
    </row>
    <row r="5943" spans="1:4" x14ac:dyDescent="0.25">
      <c r="A5943" t="s">
        <v>3579</v>
      </c>
      <c r="B5943">
        <v>2</v>
      </c>
      <c r="C5943" s="54">
        <v>43160</v>
      </c>
      <c r="D5943" s="3" t="str">
        <f>YEAR(Datos_Consumo[[#This Row],[FECHA]])&amp;"-"&amp;MONTH(Datos_Consumo[[#This Row],[FECHA]])</f>
        <v>2018-3</v>
      </c>
    </row>
    <row r="5944" spans="1:4" x14ac:dyDescent="0.25">
      <c r="A5944" t="s">
        <v>3580</v>
      </c>
      <c r="B5944">
        <v>2</v>
      </c>
      <c r="C5944" s="54">
        <v>43160</v>
      </c>
      <c r="D5944" s="3" t="str">
        <f>YEAR(Datos_Consumo[[#This Row],[FECHA]])&amp;"-"&amp;MONTH(Datos_Consumo[[#This Row],[FECHA]])</f>
        <v>2018-3</v>
      </c>
    </row>
    <row r="5945" spans="1:4" x14ac:dyDescent="0.25">
      <c r="A5945" t="s">
        <v>3581</v>
      </c>
      <c r="B5945">
        <v>1</v>
      </c>
      <c r="C5945" s="54">
        <v>43160</v>
      </c>
      <c r="D5945" s="3" t="str">
        <f>YEAR(Datos_Consumo[[#This Row],[FECHA]])&amp;"-"&amp;MONTH(Datos_Consumo[[#This Row],[FECHA]])</f>
        <v>2018-3</v>
      </c>
    </row>
    <row r="5946" spans="1:4" x14ac:dyDescent="0.25">
      <c r="A5946" t="s">
        <v>3582</v>
      </c>
      <c r="B5946">
        <v>1</v>
      </c>
      <c r="C5946" s="54">
        <v>43132</v>
      </c>
      <c r="D5946" s="3" t="str">
        <f>YEAR(Datos_Consumo[[#This Row],[FECHA]])&amp;"-"&amp;MONTH(Datos_Consumo[[#This Row],[FECHA]])</f>
        <v>2018-2</v>
      </c>
    </row>
    <row r="5947" spans="1:4" x14ac:dyDescent="0.25">
      <c r="A5947" t="s">
        <v>3582</v>
      </c>
      <c r="B5947">
        <v>3</v>
      </c>
      <c r="C5947" s="54">
        <v>43221</v>
      </c>
      <c r="D5947" s="3" t="str">
        <f>YEAR(Datos_Consumo[[#This Row],[FECHA]])&amp;"-"&amp;MONTH(Datos_Consumo[[#This Row],[FECHA]])</f>
        <v>2018-5</v>
      </c>
    </row>
    <row r="5948" spans="1:4" x14ac:dyDescent="0.25">
      <c r="A5948" t="s">
        <v>3583</v>
      </c>
      <c r="B5948">
        <v>4</v>
      </c>
      <c r="C5948" s="54">
        <v>43132</v>
      </c>
      <c r="D5948" s="3" t="str">
        <f>YEAR(Datos_Consumo[[#This Row],[FECHA]])&amp;"-"&amp;MONTH(Datos_Consumo[[#This Row],[FECHA]])</f>
        <v>2018-2</v>
      </c>
    </row>
    <row r="5949" spans="1:4" x14ac:dyDescent="0.25">
      <c r="A5949" t="s">
        <v>3584</v>
      </c>
      <c r="B5949">
        <v>2</v>
      </c>
      <c r="C5949" s="54">
        <v>43160</v>
      </c>
      <c r="D5949" s="3" t="str">
        <f>YEAR(Datos_Consumo[[#This Row],[FECHA]])&amp;"-"&amp;MONTH(Datos_Consumo[[#This Row],[FECHA]])</f>
        <v>2018-3</v>
      </c>
    </row>
    <row r="5950" spans="1:4" x14ac:dyDescent="0.25">
      <c r="A5950" t="s">
        <v>3585</v>
      </c>
      <c r="B5950">
        <v>1</v>
      </c>
      <c r="C5950" s="54">
        <v>43160</v>
      </c>
      <c r="D5950" s="3" t="str">
        <f>YEAR(Datos_Consumo[[#This Row],[FECHA]])&amp;"-"&amp;MONTH(Datos_Consumo[[#This Row],[FECHA]])</f>
        <v>2018-3</v>
      </c>
    </row>
    <row r="5951" spans="1:4" x14ac:dyDescent="0.25">
      <c r="A5951" t="s">
        <v>3585</v>
      </c>
      <c r="B5951">
        <v>8</v>
      </c>
      <c r="C5951" s="54">
        <v>43191</v>
      </c>
      <c r="D5951" s="3" t="str">
        <f>YEAR(Datos_Consumo[[#This Row],[FECHA]])&amp;"-"&amp;MONTH(Datos_Consumo[[#This Row],[FECHA]])</f>
        <v>2018-4</v>
      </c>
    </row>
    <row r="5952" spans="1:4" x14ac:dyDescent="0.25">
      <c r="A5952" t="s">
        <v>3586</v>
      </c>
      <c r="B5952">
        <v>1</v>
      </c>
      <c r="C5952" s="54">
        <v>43160</v>
      </c>
      <c r="D5952" s="3" t="str">
        <f>YEAR(Datos_Consumo[[#This Row],[FECHA]])&amp;"-"&amp;MONTH(Datos_Consumo[[#This Row],[FECHA]])</f>
        <v>2018-3</v>
      </c>
    </row>
    <row r="5953" spans="1:4" x14ac:dyDescent="0.25">
      <c r="A5953" t="s">
        <v>3586</v>
      </c>
      <c r="B5953">
        <v>6</v>
      </c>
      <c r="C5953" s="54">
        <v>43191</v>
      </c>
      <c r="D5953" s="3" t="str">
        <f>YEAR(Datos_Consumo[[#This Row],[FECHA]])&amp;"-"&amp;MONTH(Datos_Consumo[[#This Row],[FECHA]])</f>
        <v>2018-4</v>
      </c>
    </row>
    <row r="5954" spans="1:4" x14ac:dyDescent="0.25">
      <c r="A5954" t="s">
        <v>3587</v>
      </c>
      <c r="B5954">
        <v>25</v>
      </c>
      <c r="C5954" s="54">
        <v>43191</v>
      </c>
      <c r="D5954" s="3" t="str">
        <f>YEAR(Datos_Consumo[[#This Row],[FECHA]])&amp;"-"&amp;MONTH(Datos_Consumo[[#This Row],[FECHA]])</f>
        <v>2018-4</v>
      </c>
    </row>
    <row r="5955" spans="1:4" x14ac:dyDescent="0.25">
      <c r="A5955" t="s">
        <v>3588</v>
      </c>
      <c r="B5955">
        <v>21</v>
      </c>
      <c r="C5955" s="54">
        <v>43191</v>
      </c>
      <c r="D5955" s="3" t="str">
        <f>YEAR(Datos_Consumo[[#This Row],[FECHA]])&amp;"-"&amp;MONTH(Datos_Consumo[[#This Row],[FECHA]])</f>
        <v>2018-4</v>
      </c>
    </row>
    <row r="5956" spans="1:4" x14ac:dyDescent="0.25">
      <c r="A5956" t="s">
        <v>3589</v>
      </c>
      <c r="B5956">
        <v>6</v>
      </c>
      <c r="C5956" s="54">
        <v>43101</v>
      </c>
      <c r="D5956" s="3" t="str">
        <f>YEAR(Datos_Consumo[[#This Row],[FECHA]])&amp;"-"&amp;MONTH(Datos_Consumo[[#This Row],[FECHA]])</f>
        <v>2018-1</v>
      </c>
    </row>
    <row r="5957" spans="1:4" x14ac:dyDescent="0.25">
      <c r="A5957" t="s">
        <v>3589</v>
      </c>
      <c r="B5957">
        <v>2</v>
      </c>
      <c r="C5957" s="54">
        <v>43132</v>
      </c>
      <c r="D5957" s="3" t="str">
        <f>YEAR(Datos_Consumo[[#This Row],[FECHA]])&amp;"-"&amp;MONTH(Datos_Consumo[[#This Row],[FECHA]])</f>
        <v>2018-2</v>
      </c>
    </row>
    <row r="5958" spans="1:4" x14ac:dyDescent="0.25">
      <c r="A5958" t="s">
        <v>3590</v>
      </c>
      <c r="B5958">
        <v>6</v>
      </c>
      <c r="C5958" s="54">
        <v>43101</v>
      </c>
      <c r="D5958" s="3" t="str">
        <f>YEAR(Datos_Consumo[[#This Row],[FECHA]])&amp;"-"&amp;MONTH(Datos_Consumo[[#This Row],[FECHA]])</f>
        <v>2018-1</v>
      </c>
    </row>
    <row r="5959" spans="1:4" x14ac:dyDescent="0.25">
      <c r="A5959" t="s">
        <v>3590</v>
      </c>
      <c r="B5959">
        <v>2</v>
      </c>
      <c r="C5959" s="54">
        <v>43132</v>
      </c>
      <c r="D5959" s="3" t="str">
        <f>YEAR(Datos_Consumo[[#This Row],[FECHA]])&amp;"-"&amp;MONTH(Datos_Consumo[[#This Row],[FECHA]])</f>
        <v>2018-2</v>
      </c>
    </row>
    <row r="5960" spans="1:4" x14ac:dyDescent="0.25">
      <c r="A5960" t="s">
        <v>3591</v>
      </c>
      <c r="B5960">
        <v>1</v>
      </c>
      <c r="C5960" s="54">
        <v>43101</v>
      </c>
      <c r="D5960" s="3" t="str">
        <f>YEAR(Datos_Consumo[[#This Row],[FECHA]])&amp;"-"&amp;MONTH(Datos_Consumo[[#This Row],[FECHA]])</f>
        <v>2018-1</v>
      </c>
    </row>
    <row r="5961" spans="1:4" x14ac:dyDescent="0.25">
      <c r="A5961" t="s">
        <v>4183</v>
      </c>
      <c r="B5961">
        <v>2</v>
      </c>
      <c r="C5961" s="54">
        <v>43191</v>
      </c>
      <c r="D5961" s="3" t="str">
        <f>YEAR(Datos_Consumo[[#This Row],[FECHA]])&amp;"-"&amp;MONTH(Datos_Consumo[[#This Row],[FECHA]])</f>
        <v>2018-4</v>
      </c>
    </row>
    <row r="5962" spans="1:4" x14ac:dyDescent="0.25">
      <c r="A5962" t="s">
        <v>4183</v>
      </c>
      <c r="B5962">
        <v>4</v>
      </c>
      <c r="C5962" s="54">
        <v>43221</v>
      </c>
      <c r="D5962" s="3" t="str">
        <f>YEAR(Datos_Consumo[[#This Row],[FECHA]])&amp;"-"&amp;MONTH(Datos_Consumo[[#This Row],[FECHA]])</f>
        <v>2018-5</v>
      </c>
    </row>
    <row r="5963" spans="1:4" x14ac:dyDescent="0.25">
      <c r="A5963" t="s">
        <v>3592</v>
      </c>
      <c r="B5963">
        <v>2</v>
      </c>
      <c r="C5963" s="54">
        <v>43160</v>
      </c>
      <c r="D5963" s="3" t="str">
        <f>YEAR(Datos_Consumo[[#This Row],[FECHA]])&amp;"-"&amp;MONTH(Datos_Consumo[[#This Row],[FECHA]])</f>
        <v>2018-3</v>
      </c>
    </row>
    <row r="5964" spans="1:4" x14ac:dyDescent="0.25">
      <c r="A5964" t="s">
        <v>4184</v>
      </c>
      <c r="B5964">
        <v>5</v>
      </c>
      <c r="C5964" s="54">
        <v>43221</v>
      </c>
      <c r="D5964" s="3" t="str">
        <f>YEAR(Datos_Consumo[[#This Row],[FECHA]])&amp;"-"&amp;MONTH(Datos_Consumo[[#This Row],[FECHA]])</f>
        <v>2018-5</v>
      </c>
    </row>
    <row r="5965" spans="1:4" x14ac:dyDescent="0.25">
      <c r="A5965" t="s">
        <v>4185</v>
      </c>
      <c r="B5965">
        <v>10</v>
      </c>
      <c r="C5965" s="54">
        <v>43221</v>
      </c>
      <c r="D5965" s="3" t="str">
        <f>YEAR(Datos_Consumo[[#This Row],[FECHA]])&amp;"-"&amp;MONTH(Datos_Consumo[[#This Row],[FECHA]])</f>
        <v>2018-5</v>
      </c>
    </row>
    <row r="5966" spans="1:4" x14ac:dyDescent="0.25">
      <c r="A5966" t="s">
        <v>4186</v>
      </c>
      <c r="B5966">
        <v>2</v>
      </c>
      <c r="C5966" s="54">
        <v>43221</v>
      </c>
      <c r="D5966" s="3" t="str">
        <f>YEAR(Datos_Consumo[[#This Row],[FECHA]])&amp;"-"&amp;MONTH(Datos_Consumo[[#This Row],[FECHA]])</f>
        <v>2018-5</v>
      </c>
    </row>
    <row r="5967" spans="1:4" x14ac:dyDescent="0.25">
      <c r="A5967" t="s">
        <v>3593</v>
      </c>
      <c r="B5967">
        <v>2</v>
      </c>
      <c r="C5967" s="54">
        <v>43191</v>
      </c>
      <c r="D5967" s="3" t="str">
        <f>YEAR(Datos_Consumo[[#This Row],[FECHA]])&amp;"-"&amp;MONTH(Datos_Consumo[[#This Row],[FECHA]])</f>
        <v>2018-4</v>
      </c>
    </row>
    <row r="5968" spans="1:4" x14ac:dyDescent="0.25">
      <c r="A5968" t="s">
        <v>3593</v>
      </c>
      <c r="B5968">
        <v>8</v>
      </c>
      <c r="C5968" s="54">
        <v>43221</v>
      </c>
      <c r="D5968" s="3" t="str">
        <f>YEAR(Datos_Consumo[[#This Row],[FECHA]])&amp;"-"&amp;MONTH(Datos_Consumo[[#This Row],[FECHA]])</f>
        <v>2018-5</v>
      </c>
    </row>
    <row r="5969" spans="1:4" x14ac:dyDescent="0.25">
      <c r="A5969" t="s">
        <v>3594</v>
      </c>
      <c r="B5969">
        <v>4</v>
      </c>
      <c r="C5969" s="54">
        <v>43191</v>
      </c>
      <c r="D5969" s="3" t="str">
        <f>YEAR(Datos_Consumo[[#This Row],[FECHA]])&amp;"-"&amp;MONTH(Datos_Consumo[[#This Row],[FECHA]])</f>
        <v>2018-4</v>
      </c>
    </row>
    <row r="5970" spans="1:4" x14ac:dyDescent="0.25">
      <c r="A5970" t="s">
        <v>3594</v>
      </c>
      <c r="B5970">
        <v>6</v>
      </c>
      <c r="C5970" s="54">
        <v>43221</v>
      </c>
      <c r="D5970" s="3" t="str">
        <f>YEAR(Datos_Consumo[[#This Row],[FECHA]])&amp;"-"&amp;MONTH(Datos_Consumo[[#This Row],[FECHA]])</f>
        <v>2018-5</v>
      </c>
    </row>
    <row r="5971" spans="1:4" x14ac:dyDescent="0.25">
      <c r="A5971" t="s">
        <v>3595</v>
      </c>
      <c r="B5971">
        <v>2</v>
      </c>
      <c r="C5971" s="54">
        <v>43160</v>
      </c>
      <c r="D5971" s="3" t="str">
        <f>YEAR(Datos_Consumo[[#This Row],[FECHA]])&amp;"-"&amp;MONTH(Datos_Consumo[[#This Row],[FECHA]])</f>
        <v>2018-3</v>
      </c>
    </row>
    <row r="5972" spans="1:4" x14ac:dyDescent="0.25">
      <c r="A5972" t="s">
        <v>3595</v>
      </c>
      <c r="B5972">
        <v>2</v>
      </c>
      <c r="C5972" s="54">
        <v>43191</v>
      </c>
      <c r="D5972" s="3" t="str">
        <f>YEAR(Datos_Consumo[[#This Row],[FECHA]])&amp;"-"&amp;MONTH(Datos_Consumo[[#This Row],[FECHA]])</f>
        <v>2018-4</v>
      </c>
    </row>
    <row r="5973" spans="1:4" x14ac:dyDescent="0.25">
      <c r="A5973" t="s">
        <v>3595</v>
      </c>
      <c r="B5973">
        <v>7</v>
      </c>
      <c r="C5973" s="54">
        <v>43221</v>
      </c>
      <c r="D5973" s="3" t="str">
        <f>YEAR(Datos_Consumo[[#This Row],[FECHA]])&amp;"-"&amp;MONTH(Datos_Consumo[[#This Row],[FECHA]])</f>
        <v>2018-5</v>
      </c>
    </row>
    <row r="5974" spans="1:4" x14ac:dyDescent="0.25">
      <c r="A5974" t="s">
        <v>4187</v>
      </c>
      <c r="B5974">
        <v>5</v>
      </c>
      <c r="C5974" s="54">
        <v>43221</v>
      </c>
      <c r="D5974" s="3" t="str">
        <f>YEAR(Datos_Consumo[[#This Row],[FECHA]])&amp;"-"&amp;MONTH(Datos_Consumo[[#This Row],[FECHA]])</f>
        <v>2018-5</v>
      </c>
    </row>
    <row r="5975" spans="1:4" x14ac:dyDescent="0.25">
      <c r="A5975" t="s">
        <v>3596</v>
      </c>
      <c r="B5975">
        <v>3</v>
      </c>
      <c r="C5975" s="54">
        <v>43160</v>
      </c>
      <c r="D5975" s="3" t="str">
        <f>YEAR(Datos_Consumo[[#This Row],[FECHA]])&amp;"-"&amp;MONTH(Datos_Consumo[[#This Row],[FECHA]])</f>
        <v>2018-3</v>
      </c>
    </row>
    <row r="5976" spans="1:4" x14ac:dyDescent="0.25">
      <c r="A5976" t="s">
        <v>4188</v>
      </c>
      <c r="B5976">
        <v>5</v>
      </c>
      <c r="C5976" s="54">
        <v>43191</v>
      </c>
      <c r="D5976" s="3" t="str">
        <f>YEAR(Datos_Consumo[[#This Row],[FECHA]])&amp;"-"&amp;MONTH(Datos_Consumo[[#This Row],[FECHA]])</f>
        <v>2018-4</v>
      </c>
    </row>
    <row r="5977" spans="1:4" x14ac:dyDescent="0.25">
      <c r="A5977" t="s">
        <v>4189</v>
      </c>
      <c r="B5977">
        <v>5</v>
      </c>
      <c r="C5977" s="54">
        <v>43191</v>
      </c>
      <c r="D5977" s="3" t="str">
        <f>YEAR(Datos_Consumo[[#This Row],[FECHA]])&amp;"-"&amp;MONTH(Datos_Consumo[[#This Row],[FECHA]])</f>
        <v>2018-4</v>
      </c>
    </row>
    <row r="5978" spans="1:4" x14ac:dyDescent="0.25">
      <c r="A5978" t="s">
        <v>3597</v>
      </c>
      <c r="B5978">
        <v>5</v>
      </c>
      <c r="C5978" s="54">
        <v>43160</v>
      </c>
      <c r="D5978" s="3" t="str">
        <f>YEAR(Datos_Consumo[[#This Row],[FECHA]])&amp;"-"&amp;MONTH(Datos_Consumo[[#This Row],[FECHA]])</f>
        <v>2018-3</v>
      </c>
    </row>
    <row r="5979" spans="1:4" x14ac:dyDescent="0.25">
      <c r="A5979" t="s">
        <v>3598</v>
      </c>
      <c r="B5979">
        <v>5</v>
      </c>
      <c r="C5979" s="54">
        <v>43160</v>
      </c>
      <c r="D5979" s="3" t="str">
        <f>YEAR(Datos_Consumo[[#This Row],[FECHA]])&amp;"-"&amp;MONTH(Datos_Consumo[[#This Row],[FECHA]])</f>
        <v>2018-3</v>
      </c>
    </row>
    <row r="5980" spans="1:4" x14ac:dyDescent="0.25">
      <c r="A5980" t="s">
        <v>3598</v>
      </c>
      <c r="B5980">
        <v>4</v>
      </c>
      <c r="C5980" s="54">
        <v>43221</v>
      </c>
      <c r="D5980" s="3" t="str">
        <f>YEAR(Datos_Consumo[[#This Row],[FECHA]])&amp;"-"&amp;MONTH(Datos_Consumo[[#This Row],[FECHA]])</f>
        <v>2018-5</v>
      </c>
    </row>
    <row r="5981" spans="1:4" x14ac:dyDescent="0.25">
      <c r="A5981" t="s">
        <v>3599</v>
      </c>
      <c r="B5981">
        <v>20</v>
      </c>
      <c r="C5981" s="54">
        <v>43132</v>
      </c>
      <c r="D5981" s="3" t="str">
        <f>YEAR(Datos_Consumo[[#This Row],[FECHA]])&amp;"-"&amp;MONTH(Datos_Consumo[[#This Row],[FECHA]])</f>
        <v>2018-2</v>
      </c>
    </row>
    <row r="5982" spans="1:4" x14ac:dyDescent="0.25">
      <c r="A5982" t="s">
        <v>3599</v>
      </c>
      <c r="B5982">
        <v>8</v>
      </c>
      <c r="C5982" s="54">
        <v>43160</v>
      </c>
      <c r="D5982" s="3" t="str">
        <f>YEAR(Datos_Consumo[[#This Row],[FECHA]])&amp;"-"&amp;MONTH(Datos_Consumo[[#This Row],[FECHA]])</f>
        <v>2018-3</v>
      </c>
    </row>
    <row r="5983" spans="1:4" x14ac:dyDescent="0.25">
      <c r="A5983" t="s">
        <v>3599</v>
      </c>
      <c r="B5983">
        <v>12</v>
      </c>
      <c r="C5983" s="54">
        <v>43191</v>
      </c>
      <c r="D5983" s="3" t="str">
        <f>YEAR(Datos_Consumo[[#This Row],[FECHA]])&amp;"-"&amp;MONTH(Datos_Consumo[[#This Row],[FECHA]])</f>
        <v>2018-4</v>
      </c>
    </row>
    <row r="5984" spans="1:4" x14ac:dyDescent="0.25">
      <c r="A5984" t="s">
        <v>3600</v>
      </c>
      <c r="B5984">
        <v>20</v>
      </c>
      <c r="C5984" s="54">
        <v>43132</v>
      </c>
      <c r="D5984" s="3" t="str">
        <f>YEAR(Datos_Consumo[[#This Row],[FECHA]])&amp;"-"&amp;MONTH(Datos_Consumo[[#This Row],[FECHA]])</f>
        <v>2018-2</v>
      </c>
    </row>
    <row r="5985" spans="1:4" x14ac:dyDescent="0.25">
      <c r="A5985" t="s">
        <v>3600</v>
      </c>
      <c r="B5985">
        <v>7</v>
      </c>
      <c r="C5985" s="54">
        <v>43160</v>
      </c>
      <c r="D5985" s="3" t="str">
        <f>YEAR(Datos_Consumo[[#This Row],[FECHA]])&amp;"-"&amp;MONTH(Datos_Consumo[[#This Row],[FECHA]])</f>
        <v>2018-3</v>
      </c>
    </row>
    <row r="5986" spans="1:4" x14ac:dyDescent="0.25">
      <c r="A5986" t="s">
        <v>3600</v>
      </c>
      <c r="B5986">
        <v>4</v>
      </c>
      <c r="C5986" s="54">
        <v>43191</v>
      </c>
      <c r="D5986" s="3" t="str">
        <f>YEAR(Datos_Consumo[[#This Row],[FECHA]])&amp;"-"&amp;MONTH(Datos_Consumo[[#This Row],[FECHA]])</f>
        <v>2018-4</v>
      </c>
    </row>
    <row r="5987" spans="1:4" x14ac:dyDescent="0.25">
      <c r="A5987" t="s">
        <v>3600</v>
      </c>
      <c r="B5987">
        <v>29</v>
      </c>
      <c r="C5987" s="54">
        <v>43221</v>
      </c>
      <c r="D5987" s="3" t="str">
        <f>YEAR(Datos_Consumo[[#This Row],[FECHA]])&amp;"-"&amp;MONTH(Datos_Consumo[[#This Row],[FECHA]])</f>
        <v>2018-5</v>
      </c>
    </row>
    <row r="5988" spans="1:4" x14ac:dyDescent="0.25">
      <c r="A5988" t="s">
        <v>3601</v>
      </c>
      <c r="B5988">
        <v>2</v>
      </c>
      <c r="C5988" s="54">
        <v>43132</v>
      </c>
      <c r="D5988" s="3" t="str">
        <f>YEAR(Datos_Consumo[[#This Row],[FECHA]])&amp;"-"&amp;MONTH(Datos_Consumo[[#This Row],[FECHA]])</f>
        <v>2018-2</v>
      </c>
    </row>
    <row r="5989" spans="1:4" x14ac:dyDescent="0.25">
      <c r="A5989" t="s">
        <v>3601</v>
      </c>
      <c r="B5989">
        <v>3</v>
      </c>
      <c r="C5989" s="54">
        <v>43221</v>
      </c>
      <c r="D5989" s="3" t="str">
        <f>YEAR(Datos_Consumo[[#This Row],[FECHA]])&amp;"-"&amp;MONTH(Datos_Consumo[[#This Row],[FECHA]])</f>
        <v>2018-5</v>
      </c>
    </row>
    <row r="5990" spans="1:4" x14ac:dyDescent="0.25">
      <c r="A5990" t="s">
        <v>3602</v>
      </c>
      <c r="B5990">
        <v>2</v>
      </c>
      <c r="C5990" s="54">
        <v>43160</v>
      </c>
      <c r="D5990" s="3" t="str">
        <f>YEAR(Datos_Consumo[[#This Row],[FECHA]])&amp;"-"&amp;MONTH(Datos_Consumo[[#This Row],[FECHA]])</f>
        <v>2018-3</v>
      </c>
    </row>
    <row r="5991" spans="1:4" x14ac:dyDescent="0.25">
      <c r="A5991" t="s">
        <v>3603</v>
      </c>
      <c r="B5991">
        <v>1</v>
      </c>
      <c r="C5991" s="54">
        <v>43191</v>
      </c>
      <c r="D5991" s="3" t="str">
        <f>YEAR(Datos_Consumo[[#This Row],[FECHA]])&amp;"-"&amp;MONTH(Datos_Consumo[[#This Row],[FECHA]])</f>
        <v>2018-4</v>
      </c>
    </row>
    <row r="5992" spans="1:4" x14ac:dyDescent="0.25">
      <c r="A5992" t="s">
        <v>3604</v>
      </c>
      <c r="B5992">
        <v>1</v>
      </c>
      <c r="C5992" s="54">
        <v>43191</v>
      </c>
      <c r="D5992" s="3" t="str">
        <f>YEAR(Datos_Consumo[[#This Row],[FECHA]])&amp;"-"&amp;MONTH(Datos_Consumo[[#This Row],[FECHA]])</f>
        <v>2018-4</v>
      </c>
    </row>
    <row r="5993" spans="1:4" x14ac:dyDescent="0.25">
      <c r="A5993" t="s">
        <v>3605</v>
      </c>
      <c r="B5993">
        <v>1</v>
      </c>
      <c r="C5993" s="54">
        <v>43191</v>
      </c>
      <c r="D5993" s="3" t="str">
        <f>YEAR(Datos_Consumo[[#This Row],[FECHA]])&amp;"-"&amp;MONTH(Datos_Consumo[[#This Row],[FECHA]])</f>
        <v>2018-4</v>
      </c>
    </row>
    <row r="5994" spans="1:4" x14ac:dyDescent="0.25">
      <c r="A5994" t="s">
        <v>3606</v>
      </c>
      <c r="B5994">
        <v>1</v>
      </c>
      <c r="C5994" s="54">
        <v>43191</v>
      </c>
      <c r="D5994" s="3" t="str">
        <f>YEAR(Datos_Consumo[[#This Row],[FECHA]])&amp;"-"&amp;MONTH(Datos_Consumo[[#This Row],[FECHA]])</f>
        <v>2018-4</v>
      </c>
    </row>
    <row r="5995" spans="1:4" x14ac:dyDescent="0.25">
      <c r="A5995" t="s">
        <v>3607</v>
      </c>
      <c r="B5995">
        <v>2</v>
      </c>
      <c r="C5995" s="54">
        <v>43101</v>
      </c>
      <c r="D5995" s="3" t="str">
        <f>YEAR(Datos_Consumo[[#This Row],[FECHA]])&amp;"-"&amp;MONTH(Datos_Consumo[[#This Row],[FECHA]])</f>
        <v>2018-1</v>
      </c>
    </row>
    <row r="5996" spans="1:4" x14ac:dyDescent="0.25">
      <c r="A5996" t="s">
        <v>3607</v>
      </c>
      <c r="B5996">
        <v>2</v>
      </c>
      <c r="C5996" s="54">
        <v>43160</v>
      </c>
      <c r="D5996" s="3" t="str">
        <f>YEAR(Datos_Consumo[[#This Row],[FECHA]])&amp;"-"&amp;MONTH(Datos_Consumo[[#This Row],[FECHA]])</f>
        <v>2018-3</v>
      </c>
    </row>
    <row r="5997" spans="1:4" x14ac:dyDescent="0.25">
      <c r="A5997" t="s">
        <v>3608</v>
      </c>
      <c r="B5997">
        <v>4</v>
      </c>
      <c r="C5997" s="54">
        <v>43101</v>
      </c>
      <c r="D5997" s="3" t="str">
        <f>YEAR(Datos_Consumo[[#This Row],[FECHA]])&amp;"-"&amp;MONTH(Datos_Consumo[[#This Row],[FECHA]])</f>
        <v>2018-1</v>
      </c>
    </row>
    <row r="5998" spans="1:4" x14ac:dyDescent="0.25">
      <c r="A5998" t="s">
        <v>3608</v>
      </c>
      <c r="B5998">
        <v>2</v>
      </c>
      <c r="C5998" s="54">
        <v>43132</v>
      </c>
      <c r="D5998" s="3" t="str">
        <f>YEAR(Datos_Consumo[[#This Row],[FECHA]])&amp;"-"&amp;MONTH(Datos_Consumo[[#This Row],[FECHA]])</f>
        <v>2018-2</v>
      </c>
    </row>
    <row r="5999" spans="1:4" x14ac:dyDescent="0.25">
      <c r="A5999" t="s">
        <v>3609</v>
      </c>
      <c r="B5999">
        <v>4</v>
      </c>
      <c r="C5999" s="54">
        <v>43101</v>
      </c>
      <c r="D5999" s="3" t="str">
        <f>YEAR(Datos_Consumo[[#This Row],[FECHA]])&amp;"-"&amp;MONTH(Datos_Consumo[[#This Row],[FECHA]])</f>
        <v>2018-1</v>
      </c>
    </row>
    <row r="6000" spans="1:4" x14ac:dyDescent="0.25">
      <c r="A6000" t="s">
        <v>3609</v>
      </c>
      <c r="B6000">
        <v>2</v>
      </c>
      <c r="C6000" s="54">
        <v>43132</v>
      </c>
      <c r="D6000" s="3" t="str">
        <f>YEAR(Datos_Consumo[[#This Row],[FECHA]])&amp;"-"&amp;MONTH(Datos_Consumo[[#This Row],[FECHA]])</f>
        <v>2018-2</v>
      </c>
    </row>
    <row r="6001" spans="1:4" x14ac:dyDescent="0.25">
      <c r="A6001" t="s">
        <v>3610</v>
      </c>
      <c r="B6001">
        <v>1</v>
      </c>
      <c r="C6001" s="54">
        <v>43160</v>
      </c>
      <c r="D6001" s="3" t="str">
        <f>YEAR(Datos_Consumo[[#This Row],[FECHA]])&amp;"-"&amp;MONTH(Datos_Consumo[[#This Row],[FECHA]])</f>
        <v>2018-3</v>
      </c>
    </row>
    <row r="6002" spans="1:4" x14ac:dyDescent="0.25">
      <c r="A6002" t="s">
        <v>3611</v>
      </c>
      <c r="B6002">
        <v>1</v>
      </c>
      <c r="C6002" s="54">
        <v>43191</v>
      </c>
      <c r="D6002" s="3" t="str">
        <f>YEAR(Datos_Consumo[[#This Row],[FECHA]])&amp;"-"&amp;MONTH(Datos_Consumo[[#This Row],[FECHA]])</f>
        <v>2018-4</v>
      </c>
    </row>
    <row r="6003" spans="1:4" x14ac:dyDescent="0.25">
      <c r="A6003" t="s">
        <v>3612</v>
      </c>
      <c r="B6003">
        <v>1</v>
      </c>
      <c r="C6003" s="54">
        <v>43191</v>
      </c>
      <c r="D6003" s="3" t="str">
        <f>YEAR(Datos_Consumo[[#This Row],[FECHA]])&amp;"-"&amp;MONTH(Datos_Consumo[[#This Row],[FECHA]])</f>
        <v>2018-4</v>
      </c>
    </row>
    <row r="6004" spans="1:4" x14ac:dyDescent="0.25">
      <c r="A6004" t="s">
        <v>3613</v>
      </c>
      <c r="B6004">
        <v>1</v>
      </c>
      <c r="C6004" s="54">
        <v>43191</v>
      </c>
      <c r="D6004" s="3" t="str">
        <f>YEAR(Datos_Consumo[[#This Row],[FECHA]])&amp;"-"&amp;MONTH(Datos_Consumo[[#This Row],[FECHA]])</f>
        <v>2018-4</v>
      </c>
    </row>
    <row r="6005" spans="1:4" x14ac:dyDescent="0.25">
      <c r="A6005" t="s">
        <v>3614</v>
      </c>
      <c r="B6005">
        <v>1</v>
      </c>
      <c r="C6005" s="54">
        <v>43191</v>
      </c>
      <c r="D6005" s="3" t="str">
        <f>YEAR(Datos_Consumo[[#This Row],[FECHA]])&amp;"-"&amp;MONTH(Datos_Consumo[[#This Row],[FECHA]])</f>
        <v>2018-4</v>
      </c>
    </row>
    <row r="6006" spans="1:4" x14ac:dyDescent="0.25">
      <c r="A6006" t="s">
        <v>3615</v>
      </c>
      <c r="B6006">
        <v>1</v>
      </c>
      <c r="C6006" s="54">
        <v>43191</v>
      </c>
      <c r="D6006" s="3" t="str">
        <f>YEAR(Datos_Consumo[[#This Row],[FECHA]])&amp;"-"&amp;MONTH(Datos_Consumo[[#This Row],[FECHA]])</f>
        <v>2018-4</v>
      </c>
    </row>
    <row r="6007" spans="1:4" x14ac:dyDescent="0.25">
      <c r="A6007" t="s">
        <v>3616</v>
      </c>
      <c r="B6007">
        <v>1</v>
      </c>
      <c r="C6007" s="54">
        <v>43191</v>
      </c>
      <c r="D6007" s="3" t="str">
        <f>YEAR(Datos_Consumo[[#This Row],[FECHA]])&amp;"-"&amp;MONTH(Datos_Consumo[[#This Row],[FECHA]])</f>
        <v>2018-4</v>
      </c>
    </row>
    <row r="6008" spans="1:4" x14ac:dyDescent="0.25">
      <c r="A6008" t="s">
        <v>3617</v>
      </c>
      <c r="B6008">
        <v>1</v>
      </c>
      <c r="C6008" s="54">
        <v>43191</v>
      </c>
      <c r="D6008" s="3" t="str">
        <f>YEAR(Datos_Consumo[[#This Row],[FECHA]])&amp;"-"&amp;MONTH(Datos_Consumo[[#This Row],[FECHA]])</f>
        <v>2018-4</v>
      </c>
    </row>
    <row r="6009" spans="1:4" x14ac:dyDescent="0.25">
      <c r="A6009" t="s">
        <v>3618</v>
      </c>
      <c r="B6009">
        <v>1</v>
      </c>
      <c r="C6009" s="54">
        <v>43191</v>
      </c>
      <c r="D6009" s="3" t="str">
        <f>YEAR(Datos_Consumo[[#This Row],[FECHA]])&amp;"-"&amp;MONTH(Datos_Consumo[[#This Row],[FECHA]])</f>
        <v>2018-4</v>
      </c>
    </row>
    <row r="6010" spans="1:4" x14ac:dyDescent="0.25">
      <c r="A6010" t="s">
        <v>3619</v>
      </c>
      <c r="B6010">
        <v>1</v>
      </c>
      <c r="C6010" s="54">
        <v>43191</v>
      </c>
      <c r="D6010" s="3" t="str">
        <f>YEAR(Datos_Consumo[[#This Row],[FECHA]])&amp;"-"&amp;MONTH(Datos_Consumo[[#This Row],[FECHA]])</f>
        <v>2018-4</v>
      </c>
    </row>
    <row r="6011" spans="1:4" x14ac:dyDescent="0.25">
      <c r="A6011" t="s">
        <v>3620</v>
      </c>
      <c r="B6011">
        <v>1</v>
      </c>
      <c r="C6011" s="54">
        <v>43191</v>
      </c>
      <c r="D6011" s="3" t="str">
        <f>YEAR(Datos_Consumo[[#This Row],[FECHA]])&amp;"-"&amp;MONTH(Datos_Consumo[[#This Row],[FECHA]])</f>
        <v>2018-4</v>
      </c>
    </row>
    <row r="6012" spans="1:4" x14ac:dyDescent="0.25">
      <c r="A6012" t="s">
        <v>3621</v>
      </c>
      <c r="B6012">
        <v>1</v>
      </c>
      <c r="C6012" s="54">
        <v>43191</v>
      </c>
      <c r="D6012" s="3" t="str">
        <f>YEAR(Datos_Consumo[[#This Row],[FECHA]])&amp;"-"&amp;MONTH(Datos_Consumo[[#This Row],[FECHA]])</f>
        <v>2018-4</v>
      </c>
    </row>
    <row r="6013" spans="1:4" x14ac:dyDescent="0.25">
      <c r="A6013" t="s">
        <v>3622</v>
      </c>
      <c r="B6013">
        <v>1</v>
      </c>
      <c r="C6013" s="54">
        <v>43191</v>
      </c>
      <c r="D6013" s="3" t="str">
        <f>YEAR(Datos_Consumo[[#This Row],[FECHA]])&amp;"-"&amp;MONTH(Datos_Consumo[[#This Row],[FECHA]])</f>
        <v>2018-4</v>
      </c>
    </row>
    <row r="6014" spans="1:4" x14ac:dyDescent="0.25">
      <c r="A6014" t="s">
        <v>3623</v>
      </c>
      <c r="B6014">
        <v>1</v>
      </c>
      <c r="C6014" s="54">
        <v>43191</v>
      </c>
      <c r="D6014" s="3" t="str">
        <f>YEAR(Datos_Consumo[[#This Row],[FECHA]])&amp;"-"&amp;MONTH(Datos_Consumo[[#This Row],[FECHA]])</f>
        <v>2018-4</v>
      </c>
    </row>
    <row r="6015" spans="1:4" x14ac:dyDescent="0.25">
      <c r="A6015" t="s">
        <v>3624</v>
      </c>
      <c r="B6015">
        <v>1</v>
      </c>
      <c r="C6015" s="54">
        <v>43191</v>
      </c>
      <c r="D6015" s="3" t="str">
        <f>YEAR(Datos_Consumo[[#This Row],[FECHA]])&amp;"-"&amp;MONTH(Datos_Consumo[[#This Row],[FECHA]])</f>
        <v>2018-4</v>
      </c>
    </row>
    <row r="6016" spans="1:4" x14ac:dyDescent="0.25">
      <c r="A6016" t="s">
        <v>3625</v>
      </c>
      <c r="B6016">
        <v>1</v>
      </c>
      <c r="C6016" s="54">
        <v>43191</v>
      </c>
      <c r="D6016" s="3" t="str">
        <f>YEAR(Datos_Consumo[[#This Row],[FECHA]])&amp;"-"&amp;MONTH(Datos_Consumo[[#This Row],[FECHA]])</f>
        <v>2018-4</v>
      </c>
    </row>
    <row r="6017" spans="1:4" x14ac:dyDescent="0.25">
      <c r="A6017" t="s">
        <v>3626</v>
      </c>
      <c r="B6017">
        <v>1</v>
      </c>
      <c r="C6017" s="54">
        <v>43191</v>
      </c>
      <c r="D6017" s="3" t="str">
        <f>YEAR(Datos_Consumo[[#This Row],[FECHA]])&amp;"-"&amp;MONTH(Datos_Consumo[[#This Row],[FECHA]])</f>
        <v>2018-4</v>
      </c>
    </row>
    <row r="6018" spans="1:4" x14ac:dyDescent="0.25">
      <c r="A6018" t="s">
        <v>3627</v>
      </c>
      <c r="B6018">
        <v>1</v>
      </c>
      <c r="C6018" s="54">
        <v>43191</v>
      </c>
      <c r="D6018" s="3" t="str">
        <f>YEAR(Datos_Consumo[[#This Row],[FECHA]])&amp;"-"&amp;MONTH(Datos_Consumo[[#This Row],[FECHA]])</f>
        <v>2018-4</v>
      </c>
    </row>
    <row r="6019" spans="1:4" x14ac:dyDescent="0.25">
      <c r="A6019" t="s">
        <v>3628</v>
      </c>
      <c r="B6019">
        <v>1</v>
      </c>
      <c r="C6019" s="54">
        <v>43191</v>
      </c>
      <c r="D6019" s="3" t="str">
        <f>YEAR(Datos_Consumo[[#This Row],[FECHA]])&amp;"-"&amp;MONTH(Datos_Consumo[[#This Row],[FECHA]])</f>
        <v>2018-4</v>
      </c>
    </row>
    <row r="6020" spans="1:4" x14ac:dyDescent="0.25">
      <c r="A6020" t="s">
        <v>3629</v>
      </c>
      <c r="B6020">
        <v>1</v>
      </c>
      <c r="C6020" s="54">
        <v>43191</v>
      </c>
      <c r="D6020" s="3" t="str">
        <f>YEAR(Datos_Consumo[[#This Row],[FECHA]])&amp;"-"&amp;MONTH(Datos_Consumo[[#This Row],[FECHA]])</f>
        <v>2018-4</v>
      </c>
    </row>
    <row r="6021" spans="1:4" x14ac:dyDescent="0.25">
      <c r="A6021" t="s">
        <v>3630</v>
      </c>
      <c r="B6021">
        <v>1</v>
      </c>
      <c r="C6021" s="54">
        <v>43191</v>
      </c>
      <c r="D6021" s="3" t="str">
        <f>YEAR(Datos_Consumo[[#This Row],[FECHA]])&amp;"-"&amp;MONTH(Datos_Consumo[[#This Row],[FECHA]])</f>
        <v>2018-4</v>
      </c>
    </row>
    <row r="6022" spans="1:4" x14ac:dyDescent="0.25">
      <c r="A6022" t="s">
        <v>3631</v>
      </c>
      <c r="B6022">
        <v>1</v>
      </c>
      <c r="C6022" s="54">
        <v>43191</v>
      </c>
      <c r="D6022" s="3" t="str">
        <f>YEAR(Datos_Consumo[[#This Row],[FECHA]])&amp;"-"&amp;MONTH(Datos_Consumo[[#This Row],[FECHA]])</f>
        <v>2018-4</v>
      </c>
    </row>
    <row r="6023" spans="1:4" x14ac:dyDescent="0.25">
      <c r="A6023" t="s">
        <v>3632</v>
      </c>
      <c r="B6023">
        <v>2</v>
      </c>
      <c r="C6023" s="54">
        <v>43191</v>
      </c>
      <c r="D6023" s="3" t="str">
        <f>YEAR(Datos_Consumo[[#This Row],[FECHA]])&amp;"-"&amp;MONTH(Datos_Consumo[[#This Row],[FECHA]])</f>
        <v>2018-4</v>
      </c>
    </row>
    <row r="6024" spans="1:4" x14ac:dyDescent="0.25">
      <c r="A6024" t="s">
        <v>3633</v>
      </c>
      <c r="B6024">
        <v>1</v>
      </c>
      <c r="C6024" s="54">
        <v>43191</v>
      </c>
      <c r="D6024" s="3" t="str">
        <f>YEAR(Datos_Consumo[[#This Row],[FECHA]])&amp;"-"&amp;MONTH(Datos_Consumo[[#This Row],[FECHA]])</f>
        <v>2018-4</v>
      </c>
    </row>
    <row r="6025" spans="1:4" x14ac:dyDescent="0.25">
      <c r="A6025" t="s">
        <v>3634</v>
      </c>
      <c r="B6025">
        <v>1</v>
      </c>
      <c r="C6025" s="54">
        <v>43191</v>
      </c>
      <c r="D6025" s="3" t="str">
        <f>YEAR(Datos_Consumo[[#This Row],[FECHA]])&amp;"-"&amp;MONTH(Datos_Consumo[[#This Row],[FECHA]])</f>
        <v>2018-4</v>
      </c>
    </row>
    <row r="6026" spans="1:4" x14ac:dyDescent="0.25">
      <c r="A6026" t="s">
        <v>3635</v>
      </c>
      <c r="B6026">
        <v>1</v>
      </c>
      <c r="C6026" s="54">
        <v>43191</v>
      </c>
      <c r="D6026" s="3" t="str">
        <f>YEAR(Datos_Consumo[[#This Row],[FECHA]])&amp;"-"&amp;MONTH(Datos_Consumo[[#This Row],[FECHA]])</f>
        <v>2018-4</v>
      </c>
    </row>
    <row r="6027" spans="1:4" x14ac:dyDescent="0.25">
      <c r="A6027" t="s">
        <v>3636</v>
      </c>
      <c r="B6027">
        <v>1</v>
      </c>
      <c r="C6027" s="54">
        <v>43191</v>
      </c>
      <c r="D6027" s="3" t="str">
        <f>YEAR(Datos_Consumo[[#This Row],[FECHA]])&amp;"-"&amp;MONTH(Datos_Consumo[[#This Row],[FECHA]])</f>
        <v>2018-4</v>
      </c>
    </row>
    <row r="6028" spans="1:4" x14ac:dyDescent="0.25">
      <c r="A6028" t="s">
        <v>3637</v>
      </c>
      <c r="B6028">
        <v>1</v>
      </c>
      <c r="C6028" s="54">
        <v>43191</v>
      </c>
      <c r="D6028" s="3" t="str">
        <f>YEAR(Datos_Consumo[[#This Row],[FECHA]])&amp;"-"&amp;MONTH(Datos_Consumo[[#This Row],[FECHA]])</f>
        <v>2018-4</v>
      </c>
    </row>
    <row r="6029" spans="1:4" x14ac:dyDescent="0.25">
      <c r="A6029" t="s">
        <v>3638</v>
      </c>
      <c r="B6029">
        <v>1</v>
      </c>
      <c r="C6029" s="54">
        <v>43191</v>
      </c>
      <c r="D6029" s="3" t="str">
        <f>YEAR(Datos_Consumo[[#This Row],[FECHA]])&amp;"-"&amp;MONTH(Datos_Consumo[[#This Row],[FECHA]])</f>
        <v>2018-4</v>
      </c>
    </row>
    <row r="6030" spans="1:4" x14ac:dyDescent="0.25">
      <c r="A6030" t="s">
        <v>3639</v>
      </c>
      <c r="B6030">
        <v>1</v>
      </c>
      <c r="C6030" s="54">
        <v>43132</v>
      </c>
      <c r="D6030" s="3" t="str">
        <f>YEAR(Datos_Consumo[[#This Row],[FECHA]])&amp;"-"&amp;MONTH(Datos_Consumo[[#This Row],[FECHA]])</f>
        <v>2018-2</v>
      </c>
    </row>
    <row r="6031" spans="1:4" x14ac:dyDescent="0.25">
      <c r="A6031" t="s">
        <v>3640</v>
      </c>
      <c r="B6031">
        <v>12</v>
      </c>
      <c r="C6031" s="54">
        <v>43160</v>
      </c>
      <c r="D6031" s="3" t="str">
        <f>YEAR(Datos_Consumo[[#This Row],[FECHA]])&amp;"-"&amp;MONTH(Datos_Consumo[[#This Row],[FECHA]])</f>
        <v>2018-3</v>
      </c>
    </row>
    <row r="6032" spans="1:4" x14ac:dyDescent="0.25">
      <c r="A6032" t="s">
        <v>3641</v>
      </c>
      <c r="B6032">
        <v>13</v>
      </c>
      <c r="C6032" s="54">
        <v>43160</v>
      </c>
      <c r="D6032" s="3" t="str">
        <f>YEAR(Datos_Consumo[[#This Row],[FECHA]])&amp;"-"&amp;MONTH(Datos_Consumo[[#This Row],[FECHA]])</f>
        <v>2018-3</v>
      </c>
    </row>
    <row r="6033" spans="1:4" x14ac:dyDescent="0.25">
      <c r="A6033" t="s">
        <v>3642</v>
      </c>
      <c r="B6033">
        <v>2</v>
      </c>
      <c r="C6033" s="54">
        <v>43160</v>
      </c>
      <c r="D6033" s="3" t="str">
        <f>YEAR(Datos_Consumo[[#This Row],[FECHA]])&amp;"-"&amp;MONTH(Datos_Consumo[[#This Row],[FECHA]])</f>
        <v>2018-3</v>
      </c>
    </row>
    <row r="6034" spans="1:4" x14ac:dyDescent="0.25">
      <c r="A6034" t="s">
        <v>3643</v>
      </c>
      <c r="B6034">
        <v>3</v>
      </c>
      <c r="C6034" s="54">
        <v>43160</v>
      </c>
      <c r="D6034" s="3" t="str">
        <f>YEAR(Datos_Consumo[[#This Row],[FECHA]])&amp;"-"&amp;MONTH(Datos_Consumo[[#This Row],[FECHA]])</f>
        <v>2018-3</v>
      </c>
    </row>
    <row r="6035" spans="1:4" x14ac:dyDescent="0.25">
      <c r="A6035" t="s">
        <v>3644</v>
      </c>
      <c r="B6035">
        <v>1</v>
      </c>
      <c r="C6035" s="54">
        <v>43132</v>
      </c>
      <c r="D6035" s="3" t="str">
        <f>YEAR(Datos_Consumo[[#This Row],[FECHA]])&amp;"-"&amp;MONTH(Datos_Consumo[[#This Row],[FECHA]])</f>
        <v>2018-2</v>
      </c>
    </row>
    <row r="6036" spans="1:4" x14ac:dyDescent="0.25">
      <c r="A6036" t="s">
        <v>3645</v>
      </c>
      <c r="B6036">
        <v>1</v>
      </c>
      <c r="C6036" s="54">
        <v>43160</v>
      </c>
      <c r="D6036" s="3" t="str">
        <f>YEAR(Datos_Consumo[[#This Row],[FECHA]])&amp;"-"&amp;MONTH(Datos_Consumo[[#This Row],[FECHA]])</f>
        <v>2018-3</v>
      </c>
    </row>
    <row r="6037" spans="1:4" x14ac:dyDescent="0.25">
      <c r="A6037" t="s">
        <v>3646</v>
      </c>
      <c r="B6037">
        <v>4</v>
      </c>
      <c r="C6037" s="54">
        <v>43132</v>
      </c>
      <c r="D6037" s="3" t="str">
        <f>YEAR(Datos_Consumo[[#This Row],[FECHA]])&amp;"-"&amp;MONTH(Datos_Consumo[[#This Row],[FECHA]])</f>
        <v>2018-2</v>
      </c>
    </row>
    <row r="6038" spans="1:4" x14ac:dyDescent="0.25">
      <c r="A6038" t="s">
        <v>3647</v>
      </c>
      <c r="B6038">
        <v>1</v>
      </c>
      <c r="C6038" s="54">
        <v>43160</v>
      </c>
      <c r="D6038" s="3" t="str">
        <f>YEAR(Datos_Consumo[[#This Row],[FECHA]])&amp;"-"&amp;MONTH(Datos_Consumo[[#This Row],[FECHA]])</f>
        <v>2018-3</v>
      </c>
    </row>
    <row r="6039" spans="1:4" x14ac:dyDescent="0.25">
      <c r="A6039" t="s">
        <v>3647</v>
      </c>
      <c r="B6039">
        <v>1</v>
      </c>
      <c r="C6039" s="54">
        <v>43191</v>
      </c>
      <c r="D6039" s="3" t="str">
        <f>YEAR(Datos_Consumo[[#This Row],[FECHA]])&amp;"-"&amp;MONTH(Datos_Consumo[[#This Row],[FECHA]])</f>
        <v>2018-4</v>
      </c>
    </row>
    <row r="6040" spans="1:4" x14ac:dyDescent="0.25">
      <c r="A6040" t="s">
        <v>3648</v>
      </c>
      <c r="B6040">
        <v>10</v>
      </c>
      <c r="C6040" s="54">
        <v>43132</v>
      </c>
      <c r="D6040" s="3" t="str">
        <f>YEAR(Datos_Consumo[[#This Row],[FECHA]])&amp;"-"&amp;MONTH(Datos_Consumo[[#This Row],[FECHA]])</f>
        <v>2018-2</v>
      </c>
    </row>
    <row r="6041" spans="1:4" x14ac:dyDescent="0.25">
      <c r="A6041" t="s">
        <v>3649</v>
      </c>
      <c r="B6041">
        <v>1</v>
      </c>
      <c r="C6041" s="54">
        <v>43132</v>
      </c>
      <c r="D6041" s="3" t="str">
        <f>YEAR(Datos_Consumo[[#This Row],[FECHA]])&amp;"-"&amp;MONTH(Datos_Consumo[[#This Row],[FECHA]])</f>
        <v>2018-2</v>
      </c>
    </row>
    <row r="6042" spans="1:4" x14ac:dyDescent="0.25">
      <c r="A6042" t="s">
        <v>3650</v>
      </c>
      <c r="B6042">
        <v>1</v>
      </c>
      <c r="C6042" s="54">
        <v>43160</v>
      </c>
      <c r="D6042" s="3" t="str">
        <f>YEAR(Datos_Consumo[[#This Row],[FECHA]])&amp;"-"&amp;MONTH(Datos_Consumo[[#This Row],[FECHA]])</f>
        <v>2018-3</v>
      </c>
    </row>
    <row r="6043" spans="1:4" x14ac:dyDescent="0.25">
      <c r="A6043" t="s">
        <v>3650</v>
      </c>
      <c r="B6043">
        <v>3</v>
      </c>
      <c r="C6043" s="54">
        <v>43221</v>
      </c>
      <c r="D6043" s="3" t="str">
        <f>YEAR(Datos_Consumo[[#This Row],[FECHA]])&amp;"-"&amp;MONTH(Datos_Consumo[[#This Row],[FECHA]])</f>
        <v>2018-5</v>
      </c>
    </row>
    <row r="6044" spans="1:4" x14ac:dyDescent="0.25">
      <c r="A6044" t="s">
        <v>3651</v>
      </c>
      <c r="B6044">
        <v>1</v>
      </c>
      <c r="C6044" s="54">
        <v>43160</v>
      </c>
      <c r="D6044" s="3" t="str">
        <f>YEAR(Datos_Consumo[[#This Row],[FECHA]])&amp;"-"&amp;MONTH(Datos_Consumo[[#This Row],[FECHA]])</f>
        <v>2018-3</v>
      </c>
    </row>
    <row r="6045" spans="1:4" x14ac:dyDescent="0.25">
      <c r="A6045" t="s">
        <v>4190</v>
      </c>
      <c r="B6045">
        <v>37</v>
      </c>
      <c r="C6045" s="54">
        <v>43221</v>
      </c>
      <c r="D6045" s="3" t="str">
        <f>YEAR(Datos_Consumo[[#This Row],[FECHA]])&amp;"-"&amp;MONTH(Datos_Consumo[[#This Row],[FECHA]])</f>
        <v>2018-5</v>
      </c>
    </row>
    <row r="6046" spans="1:4" x14ac:dyDescent="0.25">
      <c r="A6046" t="s">
        <v>3652</v>
      </c>
      <c r="B6046">
        <v>28</v>
      </c>
      <c r="C6046" s="54">
        <v>43160</v>
      </c>
      <c r="D6046" s="3" t="str">
        <f>YEAR(Datos_Consumo[[#This Row],[FECHA]])&amp;"-"&amp;MONTH(Datos_Consumo[[#This Row],[FECHA]])</f>
        <v>2018-3</v>
      </c>
    </row>
    <row r="6047" spans="1:4" x14ac:dyDescent="0.25">
      <c r="A6047" t="s">
        <v>3652</v>
      </c>
      <c r="B6047">
        <v>45</v>
      </c>
      <c r="C6047" s="54">
        <v>43221</v>
      </c>
      <c r="D6047" s="3" t="str">
        <f>YEAR(Datos_Consumo[[#This Row],[FECHA]])&amp;"-"&amp;MONTH(Datos_Consumo[[#This Row],[FECHA]])</f>
        <v>2018-5</v>
      </c>
    </row>
    <row r="6048" spans="1:4" x14ac:dyDescent="0.25">
      <c r="A6048" t="s">
        <v>4191</v>
      </c>
      <c r="B6048">
        <v>2</v>
      </c>
      <c r="C6048" s="54">
        <v>43221</v>
      </c>
      <c r="D6048" s="3" t="str">
        <f>YEAR(Datos_Consumo[[#This Row],[FECHA]])&amp;"-"&amp;MONTH(Datos_Consumo[[#This Row],[FECHA]])</f>
        <v>2018-5</v>
      </c>
    </row>
    <row r="6049" spans="1:4" x14ac:dyDescent="0.25">
      <c r="A6049" t="s">
        <v>3653</v>
      </c>
      <c r="B6049">
        <v>1</v>
      </c>
      <c r="C6049" s="54">
        <v>43160</v>
      </c>
      <c r="D6049" s="3" t="str">
        <f>YEAR(Datos_Consumo[[#This Row],[FECHA]])&amp;"-"&amp;MONTH(Datos_Consumo[[#This Row],[FECHA]])</f>
        <v>2018-3</v>
      </c>
    </row>
    <row r="6050" spans="1:4" x14ac:dyDescent="0.25">
      <c r="A6050" t="s">
        <v>4192</v>
      </c>
      <c r="B6050">
        <v>1</v>
      </c>
      <c r="C6050" s="54">
        <v>43221</v>
      </c>
      <c r="D6050" s="3" t="str">
        <f>YEAR(Datos_Consumo[[#This Row],[FECHA]])&amp;"-"&amp;MONTH(Datos_Consumo[[#This Row],[FECHA]])</f>
        <v>2018-5</v>
      </c>
    </row>
    <row r="6051" spans="1:4" x14ac:dyDescent="0.25">
      <c r="A6051" t="s">
        <v>4193</v>
      </c>
      <c r="B6051">
        <v>1</v>
      </c>
      <c r="C6051" s="54">
        <v>43221</v>
      </c>
      <c r="D6051" s="3" t="str">
        <f>YEAR(Datos_Consumo[[#This Row],[FECHA]])&amp;"-"&amp;MONTH(Datos_Consumo[[#This Row],[FECHA]])</f>
        <v>2018-5</v>
      </c>
    </row>
    <row r="6052" spans="1:4" x14ac:dyDescent="0.25">
      <c r="A6052" t="s">
        <v>4194</v>
      </c>
      <c r="B6052">
        <v>1</v>
      </c>
      <c r="C6052" s="54">
        <v>43191</v>
      </c>
      <c r="D6052" s="3" t="str">
        <f>YEAR(Datos_Consumo[[#This Row],[FECHA]])&amp;"-"&amp;MONTH(Datos_Consumo[[#This Row],[FECHA]])</f>
        <v>2018-4</v>
      </c>
    </row>
    <row r="6053" spans="1:4" x14ac:dyDescent="0.25">
      <c r="A6053" t="s">
        <v>4195</v>
      </c>
      <c r="B6053">
        <v>2</v>
      </c>
      <c r="C6053" s="54">
        <v>43191</v>
      </c>
      <c r="D6053" s="3" t="str">
        <f>YEAR(Datos_Consumo[[#This Row],[FECHA]])&amp;"-"&amp;MONTH(Datos_Consumo[[#This Row],[FECHA]])</f>
        <v>2018-4</v>
      </c>
    </row>
    <row r="6054" spans="1:4" x14ac:dyDescent="0.25">
      <c r="A6054" t="s">
        <v>4196</v>
      </c>
      <c r="B6054">
        <v>21</v>
      </c>
      <c r="C6054" s="54">
        <v>43191</v>
      </c>
      <c r="D6054" s="3" t="str">
        <f>YEAR(Datos_Consumo[[#This Row],[FECHA]])&amp;"-"&amp;MONTH(Datos_Consumo[[#This Row],[FECHA]])</f>
        <v>2018-4</v>
      </c>
    </row>
    <row r="6055" spans="1:4" x14ac:dyDescent="0.25">
      <c r="A6055" t="s">
        <v>4196</v>
      </c>
      <c r="B6055">
        <v>1</v>
      </c>
      <c r="C6055" s="54">
        <v>43221</v>
      </c>
      <c r="D6055" s="3" t="str">
        <f>YEAR(Datos_Consumo[[#This Row],[FECHA]])&amp;"-"&amp;MONTH(Datos_Consumo[[#This Row],[FECHA]])</f>
        <v>2018-5</v>
      </c>
    </row>
    <row r="6056" spans="1:4" x14ac:dyDescent="0.25">
      <c r="A6056" t="s">
        <v>4197</v>
      </c>
      <c r="B6056">
        <v>21</v>
      </c>
      <c r="C6056" s="54">
        <v>43191</v>
      </c>
      <c r="D6056" s="3" t="str">
        <f>YEAR(Datos_Consumo[[#This Row],[FECHA]])&amp;"-"&amp;MONTH(Datos_Consumo[[#This Row],[FECHA]])</f>
        <v>2018-4</v>
      </c>
    </row>
    <row r="6057" spans="1:4" x14ac:dyDescent="0.25">
      <c r="A6057" t="s">
        <v>4197</v>
      </c>
      <c r="B6057">
        <v>1</v>
      </c>
      <c r="C6057" s="54">
        <v>43221</v>
      </c>
      <c r="D6057" s="3" t="str">
        <f>YEAR(Datos_Consumo[[#This Row],[FECHA]])&amp;"-"&amp;MONTH(Datos_Consumo[[#This Row],[FECHA]])</f>
        <v>2018-5</v>
      </c>
    </row>
    <row r="6058" spans="1:4" x14ac:dyDescent="0.25">
      <c r="A6058" t="s">
        <v>4198</v>
      </c>
      <c r="B6058">
        <v>6</v>
      </c>
      <c r="C6058" s="54">
        <v>43191</v>
      </c>
      <c r="D6058" s="3" t="str">
        <f>YEAR(Datos_Consumo[[#This Row],[FECHA]])&amp;"-"&amp;MONTH(Datos_Consumo[[#This Row],[FECHA]])</f>
        <v>2018-4</v>
      </c>
    </row>
    <row r="6059" spans="1:4" x14ac:dyDescent="0.25">
      <c r="A6059" t="s">
        <v>4198</v>
      </c>
      <c r="B6059">
        <v>1</v>
      </c>
      <c r="C6059" s="54">
        <v>43221</v>
      </c>
      <c r="D6059" s="3" t="str">
        <f>YEAR(Datos_Consumo[[#This Row],[FECHA]])&amp;"-"&amp;MONTH(Datos_Consumo[[#This Row],[FECHA]])</f>
        <v>2018-5</v>
      </c>
    </row>
    <row r="6060" spans="1:4" x14ac:dyDescent="0.25">
      <c r="A6060" t="s">
        <v>4199</v>
      </c>
      <c r="B6060">
        <v>6</v>
      </c>
      <c r="C6060" s="54">
        <v>43191</v>
      </c>
      <c r="D6060" s="3" t="str">
        <f>YEAR(Datos_Consumo[[#This Row],[FECHA]])&amp;"-"&amp;MONTH(Datos_Consumo[[#This Row],[FECHA]])</f>
        <v>2018-4</v>
      </c>
    </row>
    <row r="6061" spans="1:4" x14ac:dyDescent="0.25">
      <c r="A6061" t="s">
        <v>4199</v>
      </c>
      <c r="B6061">
        <v>1</v>
      </c>
      <c r="C6061" s="54">
        <v>43221</v>
      </c>
      <c r="D6061" s="3" t="str">
        <f>YEAR(Datos_Consumo[[#This Row],[FECHA]])&amp;"-"&amp;MONTH(Datos_Consumo[[#This Row],[FECHA]])</f>
        <v>2018-5</v>
      </c>
    </row>
    <row r="6062" spans="1:4" x14ac:dyDescent="0.25">
      <c r="A6062" t="s">
        <v>4200</v>
      </c>
      <c r="B6062">
        <v>6</v>
      </c>
      <c r="C6062" s="54">
        <v>43191</v>
      </c>
      <c r="D6062" s="3" t="str">
        <f>YEAR(Datos_Consumo[[#This Row],[FECHA]])&amp;"-"&amp;MONTH(Datos_Consumo[[#This Row],[FECHA]])</f>
        <v>2018-4</v>
      </c>
    </row>
    <row r="6063" spans="1:4" x14ac:dyDescent="0.25">
      <c r="A6063" t="s">
        <v>4200</v>
      </c>
      <c r="B6063">
        <v>1</v>
      </c>
      <c r="C6063" s="54">
        <v>43221</v>
      </c>
      <c r="D6063" s="3" t="str">
        <f>YEAR(Datos_Consumo[[#This Row],[FECHA]])&amp;"-"&amp;MONTH(Datos_Consumo[[#This Row],[FECHA]])</f>
        <v>2018-5</v>
      </c>
    </row>
    <row r="6064" spans="1:4" x14ac:dyDescent="0.25">
      <c r="A6064" t="s">
        <v>4201</v>
      </c>
      <c r="B6064">
        <v>6</v>
      </c>
      <c r="C6064" s="54">
        <v>43191</v>
      </c>
      <c r="D6064" s="3" t="str">
        <f>YEAR(Datos_Consumo[[#This Row],[FECHA]])&amp;"-"&amp;MONTH(Datos_Consumo[[#This Row],[FECHA]])</f>
        <v>2018-4</v>
      </c>
    </row>
    <row r="6065" spans="1:4" x14ac:dyDescent="0.25">
      <c r="A6065" t="s">
        <v>4201</v>
      </c>
      <c r="B6065">
        <v>1</v>
      </c>
      <c r="C6065" s="54">
        <v>43221</v>
      </c>
      <c r="D6065" s="3" t="str">
        <f>YEAR(Datos_Consumo[[#This Row],[FECHA]])&amp;"-"&amp;MONTH(Datos_Consumo[[#This Row],[FECHA]])</f>
        <v>2018-5</v>
      </c>
    </row>
    <row r="6066" spans="1:4" x14ac:dyDescent="0.25">
      <c r="A6066" t="s">
        <v>4202</v>
      </c>
      <c r="B6066">
        <v>6</v>
      </c>
      <c r="C6066" s="54">
        <v>43191</v>
      </c>
      <c r="D6066" s="3" t="str">
        <f>YEAR(Datos_Consumo[[#This Row],[FECHA]])&amp;"-"&amp;MONTH(Datos_Consumo[[#This Row],[FECHA]])</f>
        <v>2018-4</v>
      </c>
    </row>
    <row r="6067" spans="1:4" x14ac:dyDescent="0.25">
      <c r="A6067" t="s">
        <v>4202</v>
      </c>
      <c r="B6067">
        <v>1</v>
      </c>
      <c r="C6067" s="54">
        <v>43221</v>
      </c>
      <c r="D6067" s="3" t="str">
        <f>YEAR(Datos_Consumo[[#This Row],[FECHA]])&amp;"-"&amp;MONTH(Datos_Consumo[[#This Row],[FECHA]])</f>
        <v>2018-5</v>
      </c>
    </row>
    <row r="6068" spans="1:4" x14ac:dyDescent="0.25">
      <c r="A6068" t="s">
        <v>4203</v>
      </c>
      <c r="B6068">
        <v>5</v>
      </c>
      <c r="C6068" s="54">
        <v>43191</v>
      </c>
      <c r="D6068" s="3" t="str">
        <f>YEAR(Datos_Consumo[[#This Row],[FECHA]])&amp;"-"&amp;MONTH(Datos_Consumo[[#This Row],[FECHA]])</f>
        <v>2018-4</v>
      </c>
    </row>
    <row r="6069" spans="1:4" x14ac:dyDescent="0.25">
      <c r="A6069" t="s">
        <v>4203</v>
      </c>
      <c r="B6069">
        <v>1</v>
      </c>
      <c r="C6069" s="54">
        <v>43221</v>
      </c>
      <c r="D6069" s="3" t="str">
        <f>YEAR(Datos_Consumo[[#This Row],[FECHA]])&amp;"-"&amp;MONTH(Datos_Consumo[[#This Row],[FECHA]])</f>
        <v>2018-5</v>
      </c>
    </row>
    <row r="6070" spans="1:4" x14ac:dyDescent="0.25">
      <c r="A6070" t="s">
        <v>4204</v>
      </c>
      <c r="B6070">
        <v>2</v>
      </c>
      <c r="C6070" s="54">
        <v>43191</v>
      </c>
      <c r="D6070" s="3" t="str">
        <f>YEAR(Datos_Consumo[[#This Row],[FECHA]])&amp;"-"&amp;MONTH(Datos_Consumo[[#This Row],[FECHA]])</f>
        <v>2018-4</v>
      </c>
    </row>
    <row r="6071" spans="1:4" x14ac:dyDescent="0.25">
      <c r="A6071" t="s">
        <v>4204</v>
      </c>
      <c r="B6071">
        <v>1</v>
      </c>
      <c r="C6071" s="54">
        <v>43221</v>
      </c>
      <c r="D6071" s="3" t="str">
        <f>YEAR(Datos_Consumo[[#This Row],[FECHA]])&amp;"-"&amp;MONTH(Datos_Consumo[[#This Row],[FECHA]])</f>
        <v>2018-5</v>
      </c>
    </row>
    <row r="6072" spans="1:4" x14ac:dyDescent="0.25">
      <c r="A6072" t="s">
        <v>4205</v>
      </c>
      <c r="B6072">
        <v>2</v>
      </c>
      <c r="C6072" s="54">
        <v>43191</v>
      </c>
      <c r="D6072" s="3" t="str">
        <f>YEAR(Datos_Consumo[[#This Row],[FECHA]])&amp;"-"&amp;MONTH(Datos_Consumo[[#This Row],[FECHA]])</f>
        <v>2018-4</v>
      </c>
    </row>
    <row r="6073" spans="1:4" x14ac:dyDescent="0.25">
      <c r="A6073" t="s">
        <v>4205</v>
      </c>
      <c r="B6073">
        <v>1</v>
      </c>
      <c r="C6073" s="54">
        <v>43221</v>
      </c>
      <c r="D6073" s="3" t="str">
        <f>YEAR(Datos_Consumo[[#This Row],[FECHA]])&amp;"-"&amp;MONTH(Datos_Consumo[[#This Row],[FECHA]])</f>
        <v>2018-5</v>
      </c>
    </row>
    <row r="6074" spans="1:4" x14ac:dyDescent="0.25">
      <c r="A6074" t="s">
        <v>4206</v>
      </c>
      <c r="B6074">
        <v>2</v>
      </c>
      <c r="C6074" s="54">
        <v>43191</v>
      </c>
      <c r="D6074" s="3" t="str">
        <f>YEAR(Datos_Consumo[[#This Row],[FECHA]])&amp;"-"&amp;MONTH(Datos_Consumo[[#This Row],[FECHA]])</f>
        <v>2018-4</v>
      </c>
    </row>
    <row r="6075" spans="1:4" x14ac:dyDescent="0.25">
      <c r="A6075" t="s">
        <v>4206</v>
      </c>
      <c r="B6075">
        <v>1</v>
      </c>
      <c r="C6075" s="54">
        <v>43221</v>
      </c>
      <c r="D6075" s="3" t="str">
        <f>YEAR(Datos_Consumo[[#This Row],[FECHA]])&amp;"-"&amp;MONTH(Datos_Consumo[[#This Row],[FECHA]])</f>
        <v>2018-5</v>
      </c>
    </row>
    <row r="6076" spans="1:4" x14ac:dyDescent="0.25">
      <c r="A6076" t="s">
        <v>4207</v>
      </c>
      <c r="B6076">
        <v>2</v>
      </c>
      <c r="C6076" s="54">
        <v>43191</v>
      </c>
      <c r="D6076" s="3" t="str">
        <f>YEAR(Datos_Consumo[[#This Row],[FECHA]])&amp;"-"&amp;MONTH(Datos_Consumo[[#This Row],[FECHA]])</f>
        <v>2018-4</v>
      </c>
    </row>
    <row r="6077" spans="1:4" x14ac:dyDescent="0.25">
      <c r="A6077" t="s">
        <v>4207</v>
      </c>
      <c r="B6077">
        <v>1</v>
      </c>
      <c r="C6077" s="54">
        <v>43221</v>
      </c>
      <c r="D6077" s="3" t="str">
        <f>YEAR(Datos_Consumo[[#This Row],[FECHA]])&amp;"-"&amp;MONTH(Datos_Consumo[[#This Row],[FECHA]])</f>
        <v>2018-5</v>
      </c>
    </row>
    <row r="6078" spans="1:4" x14ac:dyDescent="0.25">
      <c r="A6078" t="s">
        <v>4208</v>
      </c>
      <c r="B6078">
        <v>2</v>
      </c>
      <c r="C6078" s="54">
        <v>43191</v>
      </c>
      <c r="D6078" s="3" t="str">
        <f>YEAR(Datos_Consumo[[#This Row],[FECHA]])&amp;"-"&amp;MONTH(Datos_Consumo[[#This Row],[FECHA]])</f>
        <v>2018-4</v>
      </c>
    </row>
    <row r="6079" spans="1:4" x14ac:dyDescent="0.25">
      <c r="A6079" t="s">
        <v>4208</v>
      </c>
      <c r="B6079">
        <v>1</v>
      </c>
      <c r="C6079" s="54">
        <v>43221</v>
      </c>
      <c r="D6079" s="3" t="str">
        <f>YEAR(Datos_Consumo[[#This Row],[FECHA]])&amp;"-"&amp;MONTH(Datos_Consumo[[#This Row],[FECHA]])</f>
        <v>2018-5</v>
      </c>
    </row>
    <row r="6080" spans="1:4" x14ac:dyDescent="0.25">
      <c r="A6080" t="s">
        <v>4209</v>
      </c>
      <c r="B6080">
        <v>6</v>
      </c>
      <c r="C6080" s="54">
        <v>43191</v>
      </c>
      <c r="D6080" s="3" t="str">
        <f>YEAR(Datos_Consumo[[#This Row],[FECHA]])&amp;"-"&amp;MONTH(Datos_Consumo[[#This Row],[FECHA]])</f>
        <v>2018-4</v>
      </c>
    </row>
    <row r="6081" spans="1:4" x14ac:dyDescent="0.25">
      <c r="A6081" t="s">
        <v>4209</v>
      </c>
      <c r="B6081">
        <v>1</v>
      </c>
      <c r="C6081" s="54">
        <v>43221</v>
      </c>
      <c r="D6081" s="3" t="str">
        <f>YEAR(Datos_Consumo[[#This Row],[FECHA]])&amp;"-"&amp;MONTH(Datos_Consumo[[#This Row],[FECHA]])</f>
        <v>2018-5</v>
      </c>
    </row>
    <row r="6082" spans="1:4" x14ac:dyDescent="0.25">
      <c r="A6082" t="s">
        <v>4210</v>
      </c>
      <c r="B6082">
        <v>6</v>
      </c>
      <c r="C6082" s="54">
        <v>43191</v>
      </c>
      <c r="D6082" s="3" t="str">
        <f>YEAR(Datos_Consumo[[#This Row],[FECHA]])&amp;"-"&amp;MONTH(Datos_Consumo[[#This Row],[FECHA]])</f>
        <v>2018-4</v>
      </c>
    </row>
    <row r="6083" spans="1:4" x14ac:dyDescent="0.25">
      <c r="A6083" t="s">
        <v>4210</v>
      </c>
      <c r="B6083">
        <v>1</v>
      </c>
      <c r="C6083" s="54">
        <v>43221</v>
      </c>
      <c r="D6083" s="3" t="str">
        <f>YEAR(Datos_Consumo[[#This Row],[FECHA]])&amp;"-"&amp;MONTH(Datos_Consumo[[#This Row],[FECHA]])</f>
        <v>2018-5</v>
      </c>
    </row>
    <row r="6084" spans="1:4" x14ac:dyDescent="0.25">
      <c r="A6084" t="s">
        <v>4211</v>
      </c>
      <c r="B6084">
        <v>6</v>
      </c>
      <c r="C6084" s="54">
        <v>43191</v>
      </c>
      <c r="D6084" s="3" t="str">
        <f>YEAR(Datos_Consumo[[#This Row],[FECHA]])&amp;"-"&amp;MONTH(Datos_Consumo[[#This Row],[FECHA]])</f>
        <v>2018-4</v>
      </c>
    </row>
    <row r="6085" spans="1:4" x14ac:dyDescent="0.25">
      <c r="A6085" t="s">
        <v>4211</v>
      </c>
      <c r="B6085">
        <v>1</v>
      </c>
      <c r="C6085" s="54">
        <v>43221</v>
      </c>
      <c r="D6085" s="3" t="str">
        <f>YEAR(Datos_Consumo[[#This Row],[FECHA]])&amp;"-"&amp;MONTH(Datos_Consumo[[#This Row],[FECHA]])</f>
        <v>2018-5</v>
      </c>
    </row>
    <row r="6086" spans="1:4" x14ac:dyDescent="0.25">
      <c r="A6086" t="s">
        <v>4212</v>
      </c>
      <c r="B6086">
        <v>2</v>
      </c>
      <c r="C6086" s="54">
        <v>43191</v>
      </c>
      <c r="D6086" s="3" t="str">
        <f>YEAR(Datos_Consumo[[#This Row],[FECHA]])&amp;"-"&amp;MONTH(Datos_Consumo[[#This Row],[FECHA]])</f>
        <v>2018-4</v>
      </c>
    </row>
    <row r="6087" spans="1:4" x14ac:dyDescent="0.25">
      <c r="A6087" t="s">
        <v>4212</v>
      </c>
      <c r="B6087">
        <v>1</v>
      </c>
      <c r="C6087" s="54">
        <v>43221</v>
      </c>
      <c r="D6087" s="3" t="str">
        <f>YEAR(Datos_Consumo[[#This Row],[FECHA]])&amp;"-"&amp;MONTH(Datos_Consumo[[#This Row],[FECHA]])</f>
        <v>2018-5</v>
      </c>
    </row>
    <row r="6088" spans="1:4" x14ac:dyDescent="0.25">
      <c r="A6088" t="s">
        <v>4213</v>
      </c>
      <c r="B6088">
        <v>2</v>
      </c>
      <c r="C6088" s="54">
        <v>43191</v>
      </c>
      <c r="D6088" s="3" t="str">
        <f>YEAR(Datos_Consumo[[#This Row],[FECHA]])&amp;"-"&amp;MONTH(Datos_Consumo[[#This Row],[FECHA]])</f>
        <v>2018-4</v>
      </c>
    </row>
    <row r="6089" spans="1:4" x14ac:dyDescent="0.25">
      <c r="A6089" t="s">
        <v>4213</v>
      </c>
      <c r="B6089">
        <v>1</v>
      </c>
      <c r="C6089" s="54">
        <v>43221</v>
      </c>
      <c r="D6089" s="3" t="str">
        <f>YEAR(Datos_Consumo[[#This Row],[FECHA]])&amp;"-"&amp;MONTH(Datos_Consumo[[#This Row],[FECHA]])</f>
        <v>2018-5</v>
      </c>
    </row>
    <row r="6090" spans="1:4" x14ac:dyDescent="0.25">
      <c r="A6090" t="s">
        <v>4214</v>
      </c>
      <c r="B6090">
        <v>2</v>
      </c>
      <c r="C6090" s="54">
        <v>43191</v>
      </c>
      <c r="D6090" s="3" t="str">
        <f>YEAR(Datos_Consumo[[#This Row],[FECHA]])&amp;"-"&amp;MONTH(Datos_Consumo[[#This Row],[FECHA]])</f>
        <v>2018-4</v>
      </c>
    </row>
    <row r="6091" spans="1:4" x14ac:dyDescent="0.25">
      <c r="A6091" t="s">
        <v>4214</v>
      </c>
      <c r="B6091">
        <v>1</v>
      </c>
      <c r="C6091" s="54">
        <v>43221</v>
      </c>
      <c r="D6091" s="3" t="str">
        <f>YEAR(Datos_Consumo[[#This Row],[FECHA]])&amp;"-"&amp;MONTH(Datos_Consumo[[#This Row],[FECHA]])</f>
        <v>2018-5</v>
      </c>
    </row>
    <row r="6092" spans="1:4" x14ac:dyDescent="0.25">
      <c r="A6092" t="s">
        <v>4215</v>
      </c>
      <c r="B6092">
        <v>2</v>
      </c>
      <c r="C6092" s="54">
        <v>43191</v>
      </c>
      <c r="D6092" s="3" t="str">
        <f>YEAR(Datos_Consumo[[#This Row],[FECHA]])&amp;"-"&amp;MONTH(Datos_Consumo[[#This Row],[FECHA]])</f>
        <v>2018-4</v>
      </c>
    </row>
    <row r="6093" spans="1:4" x14ac:dyDescent="0.25">
      <c r="A6093" t="s">
        <v>4215</v>
      </c>
      <c r="B6093">
        <v>1</v>
      </c>
      <c r="C6093" s="54">
        <v>43221</v>
      </c>
      <c r="D6093" s="3" t="str">
        <f>YEAR(Datos_Consumo[[#This Row],[FECHA]])&amp;"-"&amp;MONTH(Datos_Consumo[[#This Row],[FECHA]])</f>
        <v>2018-5</v>
      </c>
    </row>
    <row r="6094" spans="1:4" x14ac:dyDescent="0.25">
      <c r="A6094" t="s">
        <v>4216</v>
      </c>
      <c r="B6094">
        <v>2</v>
      </c>
      <c r="C6094" s="54">
        <v>43191</v>
      </c>
      <c r="D6094" s="3" t="str">
        <f>YEAR(Datos_Consumo[[#This Row],[FECHA]])&amp;"-"&amp;MONTH(Datos_Consumo[[#This Row],[FECHA]])</f>
        <v>2018-4</v>
      </c>
    </row>
    <row r="6095" spans="1:4" x14ac:dyDescent="0.25">
      <c r="A6095" t="s">
        <v>4216</v>
      </c>
      <c r="B6095">
        <v>2</v>
      </c>
      <c r="C6095" s="54">
        <v>43221</v>
      </c>
      <c r="D6095" s="3" t="str">
        <f>YEAR(Datos_Consumo[[#This Row],[FECHA]])&amp;"-"&amp;MONTH(Datos_Consumo[[#This Row],[FECHA]])</f>
        <v>2018-5</v>
      </c>
    </row>
    <row r="6096" spans="1:4" x14ac:dyDescent="0.25">
      <c r="A6096" t="s">
        <v>4217</v>
      </c>
      <c r="B6096">
        <v>2</v>
      </c>
      <c r="C6096" s="54">
        <v>43191</v>
      </c>
      <c r="D6096" s="3" t="str">
        <f>YEAR(Datos_Consumo[[#This Row],[FECHA]])&amp;"-"&amp;MONTH(Datos_Consumo[[#This Row],[FECHA]])</f>
        <v>2018-4</v>
      </c>
    </row>
    <row r="6097" spans="1:4" x14ac:dyDescent="0.25">
      <c r="A6097" t="s">
        <v>4217</v>
      </c>
      <c r="B6097">
        <v>1</v>
      </c>
      <c r="C6097" s="54">
        <v>43221</v>
      </c>
      <c r="D6097" s="3" t="str">
        <f>YEAR(Datos_Consumo[[#This Row],[FECHA]])&amp;"-"&amp;MONTH(Datos_Consumo[[#This Row],[FECHA]])</f>
        <v>2018-5</v>
      </c>
    </row>
    <row r="6098" spans="1:4" x14ac:dyDescent="0.25">
      <c r="A6098" t="s">
        <v>4218</v>
      </c>
      <c r="B6098">
        <v>6</v>
      </c>
      <c r="C6098" s="54">
        <v>43191</v>
      </c>
      <c r="D6098" s="3" t="str">
        <f>YEAR(Datos_Consumo[[#This Row],[FECHA]])&amp;"-"&amp;MONTH(Datos_Consumo[[#This Row],[FECHA]])</f>
        <v>2018-4</v>
      </c>
    </row>
    <row r="6099" spans="1:4" x14ac:dyDescent="0.25">
      <c r="A6099" t="s">
        <v>4218</v>
      </c>
      <c r="B6099">
        <v>1</v>
      </c>
      <c r="C6099" s="54">
        <v>43221</v>
      </c>
      <c r="D6099" s="3" t="str">
        <f>YEAR(Datos_Consumo[[#This Row],[FECHA]])&amp;"-"&amp;MONTH(Datos_Consumo[[#This Row],[FECHA]])</f>
        <v>2018-5</v>
      </c>
    </row>
    <row r="6100" spans="1:4" x14ac:dyDescent="0.25">
      <c r="A6100" t="s">
        <v>4219</v>
      </c>
      <c r="B6100">
        <v>6</v>
      </c>
      <c r="C6100" s="54">
        <v>43191</v>
      </c>
      <c r="D6100" s="3" t="str">
        <f>YEAR(Datos_Consumo[[#This Row],[FECHA]])&amp;"-"&amp;MONTH(Datos_Consumo[[#This Row],[FECHA]])</f>
        <v>2018-4</v>
      </c>
    </row>
    <row r="6101" spans="1:4" x14ac:dyDescent="0.25">
      <c r="A6101" t="s">
        <v>4219</v>
      </c>
      <c r="B6101">
        <v>1</v>
      </c>
      <c r="C6101" s="54">
        <v>43221</v>
      </c>
      <c r="D6101" s="3" t="str">
        <f>YEAR(Datos_Consumo[[#This Row],[FECHA]])&amp;"-"&amp;MONTH(Datos_Consumo[[#This Row],[FECHA]])</f>
        <v>2018-5</v>
      </c>
    </row>
    <row r="6102" spans="1:4" x14ac:dyDescent="0.25">
      <c r="A6102" t="s">
        <v>3654</v>
      </c>
      <c r="B6102">
        <v>3</v>
      </c>
      <c r="C6102" s="54">
        <v>43191</v>
      </c>
      <c r="D6102" s="3" t="str">
        <f>YEAR(Datos_Consumo[[#This Row],[FECHA]])&amp;"-"&amp;MONTH(Datos_Consumo[[#This Row],[FECHA]])</f>
        <v>2018-4</v>
      </c>
    </row>
    <row r="6103" spans="1:4" x14ac:dyDescent="0.25">
      <c r="A6103" t="s">
        <v>3655</v>
      </c>
      <c r="B6103">
        <v>6</v>
      </c>
      <c r="C6103" s="54">
        <v>43191</v>
      </c>
      <c r="D6103" s="3" t="str">
        <f>YEAR(Datos_Consumo[[#This Row],[FECHA]])&amp;"-"&amp;MONTH(Datos_Consumo[[#This Row],[FECHA]])</f>
        <v>2018-4</v>
      </c>
    </row>
    <row r="6104" spans="1:4" x14ac:dyDescent="0.25">
      <c r="A6104" t="s">
        <v>4220</v>
      </c>
      <c r="B6104">
        <v>100</v>
      </c>
      <c r="C6104" s="54">
        <v>43191</v>
      </c>
      <c r="D6104" s="3" t="str">
        <f>YEAR(Datos_Consumo[[#This Row],[FECHA]])&amp;"-"&amp;MONTH(Datos_Consumo[[#This Row],[FECHA]])</f>
        <v>2018-4</v>
      </c>
    </row>
    <row r="6105" spans="1:4" x14ac:dyDescent="0.25">
      <c r="A6105" t="s">
        <v>4221</v>
      </c>
      <c r="B6105">
        <v>2</v>
      </c>
      <c r="C6105" s="54">
        <v>43191</v>
      </c>
      <c r="D6105" s="3" t="str">
        <f>YEAR(Datos_Consumo[[#This Row],[FECHA]])&amp;"-"&amp;MONTH(Datos_Consumo[[#This Row],[FECHA]])</f>
        <v>2018-4</v>
      </c>
    </row>
    <row r="6106" spans="1:4" x14ac:dyDescent="0.25">
      <c r="A6106" t="s">
        <v>4222</v>
      </c>
      <c r="B6106">
        <v>4</v>
      </c>
      <c r="C6106" s="54">
        <v>43221</v>
      </c>
      <c r="D6106" s="3" t="str">
        <f>YEAR(Datos_Consumo[[#This Row],[FECHA]])&amp;"-"&amp;MONTH(Datos_Consumo[[#This Row],[FECHA]])</f>
        <v>2018-5</v>
      </c>
    </row>
    <row r="6107" spans="1:4" x14ac:dyDescent="0.25">
      <c r="A6107" t="s">
        <v>3656</v>
      </c>
      <c r="B6107">
        <v>3</v>
      </c>
      <c r="C6107" s="54">
        <v>43132</v>
      </c>
      <c r="D6107" s="3" t="str">
        <f>YEAR(Datos_Consumo[[#This Row],[FECHA]])&amp;"-"&amp;MONTH(Datos_Consumo[[#This Row],[FECHA]])</f>
        <v>2018-2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2018-05-23T02:13:29Z</dcterms:modified>
</cp:coreProperties>
</file>