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NombreDescriptivo_Range" localSheetId="0" hidden="1">{21,156.75,TRUE,3,26.25,40.5}</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TRANSFERENCIA!$A$8:$CB$12</definedName>
    <definedName name="_txtBusqueda_Range" localSheetId="0" hidden="1">{22.5,176.25,TRUE,3,2.25,105.75}</definedName>
    <definedName name="BODEGAS">[1]!Tabla_EmpresaBodega[BODEGA]</definedName>
    <definedName name="chk_buffer">AUX!$K$11</definedName>
    <definedName name="chk_categoria">AUX!$K$7</definedName>
    <definedName name="chk_codigo_vinculado">AUX!$K$1</definedName>
    <definedName name="chk_familia">AUX!$K$5</definedName>
    <definedName name="chk_fisico">AUX!$K$12</definedName>
    <definedName name="chk_grupo">AUX!$K$2</definedName>
    <definedName name="chk_linea">AUX!$K$3</definedName>
    <definedName name="chk_marca">AUX!$K$9</definedName>
    <definedName name="chk_modelo">AUX!$K$10</definedName>
    <definedName name="chk_proveedor">AUX!$K$13</definedName>
    <definedName name="chk_subfamilia">AUX!$K$6</definedName>
    <definedName name="chk_sublinea">AUX!$K$4</definedName>
    <definedName name="chk_tipo">AUX!$K$8</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mpresa_aux">IMPRESION!$BF$1</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TABLATRANSFERENCIA[[#Headers],[2017-3]]</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TRANSFERENCIA!$A$8:$BX$12</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6" r:id="rId22"/>
  </pivotCaches>
</workbook>
</file>

<file path=xl/calcChain.xml><?xml version="1.0" encoding="utf-8"?>
<calcChain xmlns="http://schemas.openxmlformats.org/spreadsheetml/2006/main">
  <c r="G2" i="16" l="1"/>
  <c r="G3" i="16"/>
  <c r="G4"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AX12" i="1" s="1" a="1"/>
  <c r="AX12" i="1" s="1"/>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1" i="1" a="1"/>
  <c r="AX11" i="1" s="1"/>
  <c r="AY12" i="1" a="1"/>
  <c r="AY12" i="1" s="1"/>
  <c r="BA10" i="1" a="1"/>
  <c r="BA10" i="1" s="1"/>
  <c r="BB11" i="1" a="1"/>
  <c r="BB11" i="1" s="1"/>
  <c r="BC12" i="1" a="1"/>
  <c r="BC12" i="1" s="1"/>
  <c r="BJ10" i="1"/>
  <c r="BJ11" i="1"/>
  <c r="BJ12" i="1"/>
  <c r="BK10" i="1"/>
  <c r="BK11" i="1"/>
  <c r="BK12" i="1"/>
  <c r="BL10" i="1"/>
  <c r="BL11" i="1"/>
  <c r="BL12" i="1"/>
  <c r="BM10" i="1"/>
  <c r="BM11" i="1"/>
  <c r="BM12" i="1"/>
  <c r="BN10" i="1"/>
  <c r="BN11" i="1"/>
  <c r="BN12" i="1"/>
  <c r="BS10" i="1"/>
  <c r="BS11" i="1"/>
  <c r="BS12" i="1"/>
  <c r="BV10" i="1"/>
  <c r="BV11" i="1"/>
  <c r="BV12" i="1"/>
  <c r="BV9" i="1"/>
  <c r="AX9" i="1" a="1"/>
  <c r="AX9" i="1" s="1"/>
  <c r="BB9" i="1" a="1"/>
  <c r="BB9" i="1" s="1"/>
  <c r="BJ9" i="1"/>
  <c r="BK9" i="1"/>
  <c r="BL9" i="1"/>
  <c r="BM9" i="1"/>
  <c r="BN9" i="1"/>
  <c r="BS9" i="1"/>
  <c r="BY9" i="1" l="1"/>
  <c r="BY10" i="1"/>
  <c r="BY11" i="1"/>
  <c r="BY12" i="1"/>
  <c r="BX9" i="1" a="1"/>
  <c r="BX9" i="1" s="1"/>
  <c r="BP9" i="1"/>
  <c r="BX10" i="1" a="1"/>
  <c r="BX10" i="1" s="1"/>
  <c r="BP10" i="1"/>
  <c r="BX11" i="1" a="1"/>
  <c r="BX11" i="1" s="1"/>
  <c r="BP11" i="1"/>
  <c r="BX12" i="1" a="1"/>
  <c r="BX12" i="1" s="1"/>
  <c r="BP12" i="1"/>
  <c r="BA9" i="1" a="1"/>
  <c r="BA9" i="1" s="1"/>
  <c r="BC11" i="1" a="1"/>
  <c r="BC11" i="1" s="1"/>
  <c r="BB10" i="1" a="1"/>
  <c r="BB10" i="1" s="1"/>
  <c r="AZ12" i="1" a="1"/>
  <c r="AZ12" i="1" s="1"/>
  <c r="AY11" i="1" a="1"/>
  <c r="AY11" i="1" s="1"/>
  <c r="AX10" i="1" a="1"/>
  <c r="AX10" i="1" s="1"/>
  <c r="AZ9" i="1" a="1"/>
  <c r="AZ9" i="1" s="1"/>
  <c r="BC10" i="1" a="1"/>
  <c r="BC10" i="1" s="1"/>
  <c r="BA12" i="1" a="1"/>
  <c r="BA12" i="1" s="1"/>
  <c r="AZ11" i="1" a="1"/>
  <c r="AZ11" i="1" s="1"/>
  <c r="AY10" i="1" a="1"/>
  <c r="AY10" i="1" s="1"/>
  <c r="BC9" i="1" a="1"/>
  <c r="BC9" i="1" s="1"/>
  <c r="AY9" i="1" a="1"/>
  <c r="AY9" i="1" s="1"/>
  <c r="BB12" i="1" a="1"/>
  <c r="BB12" i="1" s="1"/>
  <c r="BA11" i="1" a="1"/>
  <c r="BA11" i="1" s="1"/>
  <c r="AZ10" i="1" a="1"/>
  <c r="AZ10" i="1" s="1"/>
  <c r="A2" i="11"/>
  <c r="A3" i="11" l="1"/>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T2" i="21"/>
  <c r="AG2" i="21"/>
  <c r="AF2" i="21"/>
  <c r="B2" i="21"/>
  <c r="AS2" i="21"/>
  <c r="AI2" i="21"/>
  <c r="D2" i="21"/>
  <c r="AW2" i="21"/>
  <c r="K2" i="21"/>
  <c r="AD2" i="21"/>
  <c r="C2" i="21"/>
  <c r="AV2" i="21"/>
  <c r="AN2" i="21"/>
  <c r="Z2" i="21"/>
  <c r="AH2" i="21"/>
  <c r="AC2" i="21"/>
  <c r="AK2" i="21"/>
  <c r="U2" i="21"/>
  <c r="AO2" i="21"/>
  <c r="Q2" i="21"/>
  <c r="L2" i="21"/>
  <c r="AQ2" i="21"/>
  <c r="AM2" i="21"/>
  <c r="BV2" i="21"/>
  <c r="J2" i="21"/>
  <c r="O2" i="21"/>
  <c r="P2" i="21"/>
  <c r="X2" i="21"/>
  <c r="H2" i="21"/>
  <c r="AL2" i="21"/>
  <c r="V2" i="21"/>
  <c r="N2" i="21"/>
  <c r="Y2" i="21"/>
  <c r="F2" i="21"/>
  <c r="AA2" i="21"/>
  <c r="AE2" i="21"/>
  <c r="E2" i="21"/>
  <c r="AJ2" i="21"/>
  <c r="M2" i="21"/>
  <c r="W2" i="21"/>
  <c r="BW2" i="21"/>
  <c r="S2" i="21"/>
  <c r="I2" i="21"/>
  <c r="AU2" i="21"/>
  <c r="G2" i="21"/>
  <c r="AB2" i="21"/>
  <c r="AR2" i="21"/>
  <c r="T2" i="21"/>
  <c r="AP2" i="21"/>
  <c r="R2" i="21"/>
  <c r="BU2" i="21" l="1"/>
  <c r="BT2" i="21" a="1"/>
  <c r="BT2" i="21" s="1"/>
  <c r="BM2" i="2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<sst xmlns="http://schemas.openxmlformats.org/spreadsheetml/2006/main" count="3378" uniqueCount="1753">
  <si>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</si>
  <si>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</si>
  <si>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</si>
  <si>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</si>
  <si>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</si>
  <si>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</si>
  <si>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</si>
  <si>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</si>
  <si>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</si>
  <si>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</si>
  <si>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</si>
  <si>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</si>
  <si>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</si>
  <si>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</si>
  <si>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</si>
  <si>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</si>
  <si>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</si>
  <si>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</si>
  <si>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</si>
  <si>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</si>
  <si>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</si>
  <si>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</si>
  <si>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</si>
  <si>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</si>
  <si>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</si>
  <si>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</si>
  <si>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</si>
  <si>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</si>
  <si>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</si>
  <si>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</si>
  <si>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</si>
  <si>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</si>
  <si>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</si>
  <si>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</si>
  <si>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</si>
  <si>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</si>
  <si>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</si>
  <si>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</si>
  <si>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</si>
  <si>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</si>
  <si>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</si>
  <si>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</si>
  <si>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</si>
  <si>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</si>
  <si>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</si>
  <si>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</si>
  <si>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</si>
  <si>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</si>
  <si>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</si>
  <si>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</si>
  <si>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</si>
  <si>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</si>
  <si>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</si>
  <si>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</si>
  <si>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</si>
  <si>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</si>
  <si>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</si>
  <si>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</si>
  <si>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</si>
  <si>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</si>
  <si>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</si>
  <si>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</si>
  <si>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</si>
  <si>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</si>
  <si>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</si>
  <si>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</si>
  <si>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</si>
  <si>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</si>
  <si>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</si>
  <si>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</si>
  <si>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</si>
  <si>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</si>
  <si>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</si>
  <si>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</si>
  <si>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</si>
  <si>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</si>
  <si>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</si>
  <si>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</si>
  <si>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</si>
  <si>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</si>
  <si>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</si>
  <si>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</si>
  <si>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</si>
  <si>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</si>
  <si>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</si>
  <si>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</si>
  <si>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</si>
  <si>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</si>
  <si>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</si>
  <si>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</si>
  <si>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</si>
  <si>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</si>
  <si>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</si>
  <si>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</si>
  <si>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</si>
  <si>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</si>
  <si>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</si>
  <si>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</si>
  <si>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</si>
  <si>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</si>
  <si>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</si>
  <si>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</si>
  <si>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</si>
  <si>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</si>
  <si>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</si>
  <si>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</si>
  <si>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</si>
  <si>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</si>
  <si>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</si>
  <si>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</si>
  <si>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</si>
  <si>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</si>
  <si>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</si>
  <si>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</si>
  <si>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</si>
  <si>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</si>
  <si>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</si>
  <si>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</si>
  <si>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</si>
  <si>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</si>
  <si>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</si>
  <si>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</si>
  <si>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</si>
  <si>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</si>
  <si>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</si>
  <si>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</si>
  <si>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</si>
  <si>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</si>
  <si>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</si>
  <si>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</si>
  <si>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</si>
  <si>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</si>
  <si>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</si>
  <si>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</si>
  <si>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</si>
  <si>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</si>
  <si>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</si>
  <si>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</si>
  <si>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</si>
  <si>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</si>
  <si>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</si>
  <si>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</si>
  <si>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</si>
  <si>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</si>
  <si>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</si>
  <si>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</si>
  <si>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</si>
  <si>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</si>
  <si>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</si>
  <si>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</si>
  <si>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</si>
  <si>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</si>
  <si>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</si>
  <si>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</si>
  <si>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</si>
  <si>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</si>
  <si>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</si>
  <si>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</si>
  <si>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</si>
  <si>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</si>
  <si>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</si>
  <si>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</si>
  <si>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</si>
  <si>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</si>
  <si>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</si>
  <si>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</si>
  <si>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</si>
  <si>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</si>
  <si>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</si>
  <si>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</si>
  <si>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</si>
  <si>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</si>
  <si>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</si>
  <si>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</si>
  <si>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</si>
  <si>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</si>
  <si>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</si>
  <si>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</si>
  <si>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</si>
  <si>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</si>
  <si>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</si>
  <si>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</si>
  <si>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</si>
  <si>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</si>
  <si>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</si>
  <si>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</si>
  <si>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</si>
  <si>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</si>
  <si>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</si>
  <si>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</si>
  <si>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</si>
  <si>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</si>
  <si>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</si>
  <si>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</si>
  <si>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</si>
  <si>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</si>
  <si>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</si>
  <si>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</si>
  <si>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</si>
  <si>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</si>
  <si>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</si>
  <si>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</si>
  <si>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</si>
  <si>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</si>
  <si>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</si>
  <si>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</si>
  <si>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</si>
  <si>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</si>
  <si>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</si>
  <si>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</si>
  <si>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</si>
  <si>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</si>
  <si>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</si>
  <si>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</si>
  <si>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</si>
  <si>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</si>
  <si>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</si>
  <si>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</si>
  <si>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</si>
  <si>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</si>
  <si>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</si>
  <si>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</si>
  <si>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</si>
  <si>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</si>
  <si>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</si>
  <si>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</si>
  <si>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</si>
  <si>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</si>
  <si>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</si>
  <si>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</si>
  <si>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</si>
  <si>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</si>
  <si>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</si>
  <si>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</si>
  <si>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</si>
  <si>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</si>
  <si>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</si>
  <si>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</si>
  <si>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</si>
  <si>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</si>
  <si>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</si>
  <si>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</si>
  <si>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</si>
  <si>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</si>
  <si>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</si>
  <si>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</si>
  <si>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</si>
  <si>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</si>
  <si>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</si>
  <si>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</si>
  <si>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</si>
  <si>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</si>
  <si>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</si>
  <si>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</si>
  <si>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</si>
  <si>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</si>
  <si>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</si>
  <si>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</si>
  <si>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</si>
  <si>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</si>
  <si>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</si>
  <si>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</si>
  <si>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</si>
  <si>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</si>
  <si>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</si>
  <si>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</si>
  <si>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</si>
  <si>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</si>
  <si>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</si>
  <si>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</si>
  <si>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</si>
  <si>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</si>
  <si>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</si>
  <si>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</si>
  <si>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</si>
  <si>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</si>
  <si>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</si>
  <si>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</si>
  <si>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</si>
  <si>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</si>
  <si>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</si>
  <si>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</si>
  <si>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</si>
  <si>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</si>
  <si>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</si>
  <si>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</si>
  <si>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</si>
  <si>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</si>
  <si>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</si>
  <si>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</si>
  <si>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</si>
  <si>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</si>
  <si>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</si>
  <si>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</si>
  <si>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</si>
  <si>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</si>
  <si>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</si>
  <si>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</si>
  <si>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</si>
  <si>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</si>
  <si>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</si>
  <si>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</si>
  <si>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</si>
  <si>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</si>
  <si>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</si>
  <si>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</si>
  <si>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</si>
  <si>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</si>
  <si>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</si>
  <si>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</si>
  <si>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</si>
  <si>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</si>
  <si>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</si>
  <si>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</si>
  <si>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</si>
  <si>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</si>
  <si>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</si>
  <si>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</si>
  <si>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</si>
  <si>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</si>
  <si>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</si>
  <si>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</si>
  <si>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</si>
  <si>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</si>
  <si>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</si>
  <si>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</si>
  <si>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</si>
  <si>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</si>
  <si>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</si>
  <si>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</si>
  <si>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</si>
  <si>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</si>
  <si>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</si>
  <si>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</si>
  <si>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</si>
  <si>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</si>
  <si>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</si>
  <si>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</si>
  <si>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</si>
  <si>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</si>
  <si>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</si>
  <si>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</si>
  <si>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</si>
  <si>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</si>
  <si>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</si>
  <si>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</si>
  <si>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</si>
  <si>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</si>
  <si>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</si>
  <si>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</si>
  <si>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</si>
  <si>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</si>
  <si>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</si>
  <si>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</si>
  <si>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</si>
  <si>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</si>
  <si>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</si>
  <si>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</si>
  <si>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</si>
  <si>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</si>
  <si>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</si>
  <si>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</si>
  <si>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</si>
  <si>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</si>
  <si>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</si>
  <si>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</si>
  <si>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</si>
  <si>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</si>
  <si>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</si>
  <si>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</si>
  <si>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</si>
  <si>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</si>
  <si>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</si>
  <si>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</si>
  <si>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</si>
  <si>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</si>
  <si>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</si>
  <si>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</si>
  <si>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</si>
  <si>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</si>
  <si>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</si>
  <si>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</si>
  <si>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</si>
  <si>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</si>
  <si>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</si>
  <si>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</si>
  <si>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</si>
  <si>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</si>
  <si>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</si>
  <si>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</si>
  <si>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</si>
  <si>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</si>
  <si>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</si>
  <si>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</si>
  <si>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</si>
  <si>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</si>
  <si>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</si>
  <si>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</si>
  <si>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</si>
  <si>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</si>
  <si>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</si>
  <si>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</si>
  <si>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</si>
  <si>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</si>
  <si>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</si>
  <si>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</si>
  <si>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</si>
  <si>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</si>
  <si>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</si>
  <si>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</si>
  <si>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</si>
  <si>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</si>
  <si>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</si>
  <si>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</si>
  <si>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</si>
  <si>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</si>
  <si>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</si>
  <si>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</si>
  <si>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</si>
  <si>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</si>
  <si>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</si>
  <si>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</si>
  <si>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</si>
  <si>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</si>
  <si>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</si>
  <si>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</si>
  <si>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</si>
  <si>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</si>
  <si>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</si>
  <si>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</si>
  <si>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</si>
  <si>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</si>
  <si>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</si>
  <si>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</si>
  <si>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</si>
  <si>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</si>
  <si>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</si>
  <si>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</si>
  <si>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</si>
  <si>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</si>
  <si>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</si>
  <si>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</si>
  <si>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</si>
  <si>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</si>
  <si>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</si>
  <si>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</si>
  <si>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</si>
  <si>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</si>
  <si>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</si>
  <si>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</si>
  <si>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</si>
  <si>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</si>
  <si>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</si>
  <si>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</si>
  <si>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</si>
  <si>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</si>
  <si>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</si>
  <si>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</si>
  <si>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</si>
  <si>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</si>
  <si>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</si>
  <si>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</si>
  <si>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</si>
  <si>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</si>
  <si>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</si>
  <si>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</si>
  <si>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</si>
  <si>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</si>
  <si>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</si>
  <si>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</si>
  <si>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</si>
  <si>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</si>
  <si>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</si>
  <si>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</si>
  <si>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</si>
  <si>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</si>
  <si>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</si>
  <si>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</si>
  <si>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</si>
  <si>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</si>
  <si>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</si>
  <si>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</si>
  <si>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</si>
  <si>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</si>
  <si>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</si>
  <si>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</si>
  <si>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</si>
  <si>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</si>
  <si>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</si>
  <si>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</si>
  <si>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</si>
  <si>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</si>
  <si>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</si>
  <si>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</si>
  <si>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</si>
  <si>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</si>
  <si>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</si>
  <si>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</si>
  <si>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</si>
  <si>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</si>
  <si>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</si>
  <si>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</si>
  <si>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</si>
  <si>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</si>
  <si>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</si>
  <si>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</si>
  <si>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</si>
  <si>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</si>
  <si>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</si>
  <si>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</si>
  <si>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</si>
  <si>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</si>
  <si>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</si>
  <si>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</si>
  <si>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</si>
  <si>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</si>
  <si>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</si>
  <si>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</si>
  <si>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</si>
  <si>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</si>
  <si>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</si>
  <si>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</si>
  <si>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</si>
  <si>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</si>
  <si>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</si>
  <si>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</si>
  <si>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</si>
  <si>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</si>
  <si>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</si>
  <si>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</si>
  <si>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</si>
  <si>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</si>
  <si>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</si>
  <si>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</si>
  <si>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</si>
  <si>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</si>
  <si>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</si>
  <si>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</si>
  <si>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</si>
  <si>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</si>
  <si>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</si>
  <si>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</si>
  <si>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</si>
  <si>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</si>
  <si>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</si>
  <si>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</si>
  <si>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</si>
  <si>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</si>
  <si>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</si>
  <si>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</si>
  <si>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</si>
  <si>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</si>
  <si>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</si>
  <si>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</si>
  <si>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</si>
  <si>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</si>
  <si>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</si>
  <si>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</si>
  <si>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</si>
  <si>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</si>
  <si>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</si>
  <si>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</si>
  <si>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</si>
  <si>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</si>
  <si>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</si>
  <si>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</si>
  <si>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</si>
  <si>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</si>
  <si>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</si>
  <si>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</si>
  <si>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</si>
  <si>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</si>
  <si>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</si>
  <si>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</si>
  <si>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</si>
  <si>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</si>
  <si>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</si>
  <si>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</si>
  <si>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</si>
  <si>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</si>
  <si>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</si>
  <si>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</si>
  <si>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</si>
  <si>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</si>
  <si>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</si>
  <si>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</si>
  <si>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</si>
  <si>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</si>
  <si>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</si>
  <si>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</si>
  <si>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</si>
  <si>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</si>
  <si>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</si>
  <si>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</si>
  <si>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</si>
  <si>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</si>
  <si>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</si>
  <si>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</si>
  <si>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</si>
  <si>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</si>
  <si>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</si>
  <si>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</si>
  <si>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</si>
  <si>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</si>
  <si>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</si>
  <si>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</si>
  <si>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</si>
  <si>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</si>
  <si>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</si>
  <si>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</si>
  <si>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</si>
  <si>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</si>
  <si>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</si>
  <si>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</si>
  <si>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</si>
  <si>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</si>
  <si>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</si>
  <si>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</si>
  <si>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</si>
  <si>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</si>
  <si>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</si>
  <si>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</si>
  <si>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</si>
  <si>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</si>
  <si>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</si>
  <si>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</si>
  <si>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</si>
  <si>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</si>
  <si>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</si>
  <si>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</si>
  <si>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</si>
  <si>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</si>
  <si>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</si>
  <si>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</si>
  <si>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</si>
  <si>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</si>
  <si>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</si>
  <si>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</si>
  <si>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</si>
  <si>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</si>
  <si>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</si>
  <si>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</si>
  <si>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</si>
  <si>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</si>
  <si>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</si>
  <si>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</si>
  <si>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</si>
  <si>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</si>
  <si>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</si>
  <si>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</si>
  <si>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</si>
  <si>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</si>
  <si>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</si>
  <si>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</si>
  <si>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</si>
  <si>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</si>
  <si>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</si>
  <si>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</si>
  <si>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</si>
  <si>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</si>
  <si>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</si>
  <si>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</si>
  <si>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</si>
  <si>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</si>
  <si>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</si>
  <si>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</si>
  <si>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</si>
  <si>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</si>
  <si>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</si>
  <si>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</si>
  <si>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</si>
  <si>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</si>
  <si>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</si>
  <si>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</si>
  <si>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</si>
  <si>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</si>
  <si>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</si>
  <si>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</si>
  <si>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</si>
  <si>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</si>
  <si>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</si>
  <si>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</si>
  <si>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</si>
  <si>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</si>
  <si>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</si>
  <si>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</si>
  <si>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</si>
  <si>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</si>
  <si>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</si>
  <si>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</si>
  <si>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</si>
  <si>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</si>
  <si>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</si>
  <si>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</si>
  <si>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</si>
  <si>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</si>
  <si>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</si>
  <si>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</si>
  <si>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</si>
  <si>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</si>
  <si>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</si>
  <si>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</si>
  <si>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</si>
  <si>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</si>
  <si>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</si>
  <si>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</si>
  <si>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</si>
  <si>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</si>
  <si>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</si>
  <si>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</si>
  <si>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</si>
  <si>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</si>
  <si>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</si>
  <si>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</si>
  <si>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</si>
  <si>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</si>
  <si>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</si>
  <si>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</si>
  <si>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</si>
  <si>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</si>
  <si>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</si>
  <si>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</si>
  <si>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</si>
  <si>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</si>
  <si>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</si>
  <si>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</si>
  <si>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</si>
  <si>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</si>
  <si>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</si>
  <si>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</si>
  <si>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</si>
  <si>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</si>
  <si>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</si>
  <si>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</si>
  <si>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</si>
  <si>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</si>
  <si>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</si>
  <si>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</si>
  <si>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</si>
  <si>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</si>
  <si>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</si>
  <si>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</si>
  <si>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</si>
  <si>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</si>
  <si>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</si>
  <si>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</si>
  <si>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</si>
  <si>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</si>
  <si>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</si>
  <si>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</si>
  <si>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</si>
  <si>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</si>
  <si>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</si>
  <si>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</si>
  <si>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</si>
  <si>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</si>
  <si>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</si>
  <si>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</si>
  <si>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</si>
  <si>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</si>
  <si>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</si>
  <si>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</si>
  <si>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</si>
  <si>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</si>
  <si>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</si>
  <si>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</si>
  <si>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</si>
  <si>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</si>
  <si>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</si>
  <si>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</si>
  <si>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</si>
  <si>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</si>
  <si>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</si>
  <si>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</si>
  <si>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</si>
  <si>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</si>
  <si>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</si>
  <si>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</si>
  <si>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</si>
  <si>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</si>
  <si>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</si>
  <si>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</si>
  <si>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</si>
  <si>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</si>
  <si>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</si>
  <si>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</si>
  <si>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</si>
  <si>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</si>
  <si>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</si>
  <si>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</si>
  <si>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</si>
  <si>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</si>
  <si>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</si>
  <si>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</si>
  <si>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</si>
  <si>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</si>
  <si>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</si>
  <si>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</si>
  <si>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</si>
  <si>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</si>
  <si>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</si>
  <si>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</si>
  <si>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</si>
  <si>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</si>
  <si>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</si>
  <si>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</si>
  <si>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</si>
  <si>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</si>
  <si>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</si>
  <si>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</si>
  <si>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</si>
  <si>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</si>
  <si>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</si>
  <si>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</si>
  <si>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</si>
  <si>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</si>
  <si>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</si>
  <si>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</si>
  <si>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</si>
  <si>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</si>
  <si>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</si>
  <si>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</si>
  <si>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</si>
  <si>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</si>
  <si>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</si>
  <si>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</si>
  <si>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</si>
  <si>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</si>
  <si>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</si>
  <si>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</si>
  <si>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</si>
  <si>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</si>
  <si>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</si>
  <si>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</si>
  <si>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</si>
  <si>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</si>
  <si>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</si>
  <si>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</si>
  <si>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</si>
  <si>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</si>
  <si>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</si>
  <si>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</si>
  <si>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</si>
  <si>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</si>
  <si>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</si>
  <si>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</si>
  <si>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</si>
  <si>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</si>
  <si>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</si>
  <si>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</si>
  <si>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</si>
  <si>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</si>
  <si>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</si>
  <si>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</si>
  <si>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</si>
  <si>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</si>
  <si>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</si>
  <si>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</si>
  <si>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</si>
  <si>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</si>
  <si>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</si>
  <si>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</si>
  <si>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</si>
  <si>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</si>
  <si>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</si>
  <si>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</si>
  <si>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</si>
  <si>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</si>
  <si>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</si>
  <si>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</si>
  <si>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</si>
  <si>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</si>
  <si>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</si>
  <si>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</si>
  <si>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</si>
  <si>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</si>
  <si>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</si>
  <si>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</si>
  <si>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</si>
  <si>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</si>
  <si>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</si>
  <si>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</si>
  <si>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</si>
  <si>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</si>
  <si>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</si>
  <si>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</si>
  <si>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</si>
  <si>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</si>
  <si>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</si>
  <si>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</si>
  <si>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</si>
  <si>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</si>
  <si>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</si>
  <si>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</si>
  <si>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</si>
  <si>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</si>
  <si>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</si>
  <si>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</si>
  <si>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</si>
  <si>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</si>
  <si>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</si>
  <si>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</si>
  <si>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</si>
  <si>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</si>
  <si>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</si>
  <si>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</si>
  <si>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</si>
  <si>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</si>
  <si>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</si>
  <si>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</si>
  <si>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</si>
  <si>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</si>
  <si>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</si>
  <si>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</si>
  <si>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</si>
  <si>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</si>
  <si>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</si>
  <si>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</si>
  <si>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</si>
  <si>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</si>
  <si>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</si>
  <si>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</si>
  <si>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</si>
  <si>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</si>
  <si>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</si>
  <si>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</si>
  <si>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</si>
  <si>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</si>
  <si>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</si>
  <si>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</si>
  <si>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</si>
  <si>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</si>
  <si>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</si>
  <si>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</si>
  <si>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</si>
  <si>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</si>
  <si>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</si>
  <si>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</si>
  <si>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</si>
  <si>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</si>
  <si>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</si>
  <si>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</si>
  <si>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</si>
  <si>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</si>
  <si>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</si>
  <si>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</si>
  <si>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</si>
  <si>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</si>
  <si>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</si>
  <si>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</si>
  <si>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</si>
  <si>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</si>
  <si>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</si>
  <si>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</si>
  <si>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</si>
  <si>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</si>
  <si>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</si>
  <si>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</si>
  <si>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</si>
  <si>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</si>
  <si>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</si>
  <si>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</si>
  <si>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</si>
  <si>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</si>
  <si>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</si>
  <si>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</si>
  <si>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</si>
  <si>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</si>
  <si>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</si>
  <si>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</si>
  <si>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</si>
  <si>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</si>
  <si>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</si>
  <si>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</si>
  <si>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</si>
  <si>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</si>
  <si>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</si>
  <si>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</si>
  <si>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</si>
  <si>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</si>
  <si>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</si>
  <si>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</si>
  <si>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</si>
  <si>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</si>
  <si>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</si>
  <si>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</si>
  <si>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</si>
  <si>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</si>
  <si>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</si>
  <si>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</si>
  <si>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</si>
  <si>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</si>
  <si>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</si>
  <si>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</si>
  <si>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</si>
  <si>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</si>
  <si>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</si>
  <si>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</si>
  <si>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</si>
  <si>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</si>
  <si>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</si>
  <si>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</si>
  <si>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</si>
  <si>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</si>
  <si>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</si>
  <si>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</si>
  <si>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</si>
  <si>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</si>
  <si>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</si>
  <si>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</si>
  <si>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</si>
  <si>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</si>
  <si>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</si>
  <si>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</si>
  <si>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</si>
  <si>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</si>
  <si>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</si>
  <si>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</si>
  <si>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</si>
  <si>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</si>
  <si>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</si>
  <si>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</si>
  <si>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</si>
  <si>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</si>
  <si>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</si>
  <si>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</si>
  <si>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</si>
  <si>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</si>
  <si>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</si>
  <si>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</si>
  <si>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</si>
  <si>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</si>
  <si>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</si>
  <si>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</si>
  <si>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</si>
  <si>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</si>
  <si>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</si>
  <si>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</si>
  <si>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</si>
  <si>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</si>
  <si>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</si>
  <si>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</si>
  <si>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</si>
  <si>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</si>
  <si>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</si>
  <si>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</si>
  <si>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</si>
  <si>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</si>
  <si>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</si>
  <si>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</si>
  <si>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</si>
  <si>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</si>
  <si>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</si>
  <si>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</si>
  <si>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</si>
  <si>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</si>
  <si>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</si>
  <si>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</si>
  <si>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</si>
  <si>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</si>
  <si>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</si>
  <si>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</si>
  <si>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</si>
  <si>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</si>
  <si>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</si>
  <si>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</si>
  <si>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</si>
  <si>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</si>
  <si>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</si>
  <si>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</si>
  <si>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</si>
  <si>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</si>
  <si>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</si>
  <si>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</si>
  <si>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</si>
  <si>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</si>
  <si>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</si>
  <si>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</si>
  <si>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</si>
  <si>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</si>
  <si>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</si>
  <si>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</si>
  <si>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</si>
  <si>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</si>
  <si>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</si>
  <si>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</si>
  <si>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</si>
  <si>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</si>
  <si>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</si>
  <si>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</si>
  <si>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</si>
  <si>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</si>
  <si>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</si>
  <si>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</si>
  <si>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</si>
  <si>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</si>
  <si>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</si>
  <si>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</si>
  <si>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</si>
  <si>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</si>
  <si>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</si>
  <si>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</si>
  <si>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</si>
  <si>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</si>
  <si>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</si>
  <si>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</si>
  <si>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</si>
  <si>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</si>
  <si>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</si>
  <si>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</si>
  <si>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</si>
  <si>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</si>
  <si>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</si>
  <si>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</si>
  <si>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</si>
  <si>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</si>
  <si>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</si>
  <si>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</si>
  <si>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</si>
  <si>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</si>
  <si>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</si>
  <si>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</si>
  <si>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</si>
  <si>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</si>
  <si>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</si>
  <si>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</si>
  <si>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</si>
  <si>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</si>
  <si>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</si>
  <si>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</si>
  <si>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</si>
  <si>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</si>
  <si>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</si>
  <si>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</si>
  <si>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</si>
  <si>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</si>
  <si>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</si>
  <si>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</si>
  <si>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</si>
  <si>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</si>
  <si>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</si>
  <si>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</si>
  <si>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</si>
  <si>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</si>
  <si>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</si>
  <si>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</si>
  <si>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</si>
  <si>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</si>
  <si>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</si>
  <si>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</si>
  <si>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</si>
  <si>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</si>
  <si>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</si>
  <si>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</si>
  <si>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</si>
  <si>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</si>
  <si>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</si>
  <si>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</si>
  <si>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</si>
  <si>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</si>
  <si>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</si>
  <si>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</si>
  <si>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</si>
  <si>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</si>
  <si>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</si>
  <si>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</si>
  <si>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</si>
  <si>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</si>
  <si>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</si>
  <si>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</si>
  <si>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</si>
  <si>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</si>
  <si>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</si>
  <si>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</si>
  <si>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</si>
  <si>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</si>
  <si>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</si>
  <si>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</si>
  <si>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</si>
  <si>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</si>
  <si>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</si>
  <si>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</si>
  <si>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</si>
  <si>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</si>
  <si>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</si>
  <si>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</si>
  <si>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</si>
  <si>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</si>
  <si>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</si>
  <si>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</si>
  <si>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</si>
  <si>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</si>
  <si>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</si>
  <si>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</si>
  <si>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</si>
  <si>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</si>
  <si>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</si>
  <si>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</si>
  <si>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</si>
  <si>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</si>
  <si>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</si>
  <si>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</si>
  <si>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</si>
  <si>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</si>
  <si>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</si>
  <si>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</si>
  <si>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</si>
  <si>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</si>
  <si>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</si>
  <si>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</si>
  <si>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</si>
  <si>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</si>
  <si>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</si>
  <si>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</si>
  <si>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</si>
  <si>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</si>
  <si>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</si>
  <si>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</si>
  <si>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</si>
  <si>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</si>
  <si>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</si>
  <si>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</si>
  <si>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</si>
  <si>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</si>
  <si>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</si>
  <si>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</si>
  <si>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</si>
  <si>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</si>
  <si>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</si>
  <si>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</si>
  <si>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</si>
  <si>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</si>
  <si>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</si>
  <si>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</si>
  <si>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</si>
  <si>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</si>
  <si>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</si>
  <si>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</si>
  <si>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</si>
  <si>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</si>
  <si>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</si>
  <si>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</si>
  <si>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</si>
  <si>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</si>
  <si>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</si>
  <si>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</si>
  <si>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</si>
  <si>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</si>
  <si>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</si>
  <si>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</si>
  <si>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</si>
  <si>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</si>
  <si>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</si>
  <si>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</si>
  <si>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</si>
  <si>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</si>
  <si>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</si>
  <si>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</si>
  <si>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</si>
  <si>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</si>
  <si>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</si>
  <si>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</si>
  <si>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</si>
  <si>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</si>
  <si>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</si>
  <si>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</si>
  <si>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</si>
  <si>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</si>
  <si>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</si>
  <si>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</si>
  <si>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</si>
  <si>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</si>
  <si>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</si>
  <si>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</si>
  <si>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</si>
  <si>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</si>
  <si>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</si>
  <si>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</si>
  <si>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</si>
  <si>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</si>
  <si>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</si>
  <si>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</si>
  <si>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</si>
  <si>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</si>
  <si>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</si>
  <si>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</si>
  <si>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</si>
  <si>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</si>
  <si>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</si>
  <si>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</si>
  <si>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</si>
  <si>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</si>
  <si>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</si>
  <si>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</si>
  <si>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</si>
  <si>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</si>
  <si>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</si>
  <si>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</si>
  <si>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</si>
  <si>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</si>
  <si>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</si>
  <si>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</si>
  <si>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</si>
  <si>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</si>
  <si>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</si>
  <si>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</si>
  <si>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</si>
  <si>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</si>
  <si>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</si>
  <si>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</si>
  <si>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</si>
  <si>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</si>
  <si>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</si>
  <si>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</si>
  <si>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</si>
  <si>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</si>
  <si>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</si>
  <si>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</si>
  <si>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</si>
  <si>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</si>
  <si>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</si>
  <si>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</si>
  <si>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</si>
  <si>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</si>
  <si>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</si>
  <si>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</si>
  <si>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</si>
  <si>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</si>
  <si>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</si>
  <si>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</si>
  <si>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</si>
  <si>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</si>
  <si>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</si>
  <si>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</si>
  <si>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</si>
  <si>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</si>
  <si>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</si>
  <si>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</si>
  <si>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</si>
  <si>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</si>
  <si>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</si>
  <si>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</si>
  <si>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</si>
  <si>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</si>
  <si>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</si>
  <si>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</si>
  <si>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</si>
  <si>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</si>
  <si>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</si>
  <si>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</si>
  <si>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</si>
  <si>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</si>
  <si>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</si>
  <si>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</si>
  <si>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</si>
  <si>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</si>
  <si>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</si>
  <si>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</si>
  <si>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</si>
  <si>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</si>
  <si>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</si>
  <si>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</si>
  <si>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</si>
  <si>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</si>
  <si>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</si>
  <si>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</si>
  <si>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</si>
  <si>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</si>
  <si>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</si>
  <si>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</si>
  <si>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</si>
  <si>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</si>
  <si>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</si>
  <si>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</si>
  <si>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</si>
  <si>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</si>
  <si>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</si>
  <si>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</si>
  <si>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</si>
  <si>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</si>
  <si>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</si>
  <si>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</si>
  <si>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</si>
  <si>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</si>
  <si>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</si>
  <si>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</si>
  <si>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</si>
  <si>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</si>
  <si>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</si>
  <si>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</si>
  <si>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</si>
  <si>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</si>
  <si>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</si>
  <si>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</si>
  <si>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</si>
  <si>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</si>
  <si>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</si>
  <si>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13105</t>
  </si>
  <si>
    <t>14820</t>
  </si>
  <si>
    <t>14821</t>
  </si>
  <si>
    <t>14822</t>
  </si>
  <si>
    <t>15965</t>
  </si>
  <si>
    <t>16759</t>
  </si>
  <si>
    <t>16760</t>
  </si>
  <si>
    <t>16985</t>
  </si>
  <si>
    <t>20402</t>
  </si>
  <si>
    <t>20403</t>
  </si>
  <si>
    <t>20410</t>
  </si>
  <si>
    <t>20411</t>
  </si>
  <si>
    <t>20412</t>
  </si>
  <si>
    <t>20413</t>
  </si>
  <si>
    <t>20441</t>
  </si>
  <si>
    <t>20479</t>
  </si>
  <si>
    <t>20481</t>
  </si>
  <si>
    <t>20482</t>
  </si>
  <si>
    <t>20540</t>
  </si>
  <si>
    <t>20541</t>
  </si>
  <si>
    <t>20570</t>
  </si>
  <si>
    <t>20573</t>
  </si>
  <si>
    <t>20632</t>
  </si>
  <si>
    <t>22201</t>
  </si>
  <si>
    <t>22202</t>
  </si>
  <si>
    <t>23316</t>
  </si>
  <si>
    <t>25202</t>
  </si>
  <si>
    <t>25203</t>
  </si>
  <si>
    <t>25204</t>
  </si>
  <si>
    <t>25211</t>
  </si>
  <si>
    <t>25212</t>
  </si>
  <si>
    <t>25214</t>
  </si>
  <si>
    <t>25239</t>
  </si>
  <si>
    <t>25241</t>
  </si>
  <si>
    <t>25242</t>
  </si>
  <si>
    <t>30063</t>
  </si>
  <si>
    <t>30074</t>
  </si>
  <si>
    <t>30076</t>
  </si>
  <si>
    <t>30077</t>
  </si>
  <si>
    <t>35BI2010</t>
  </si>
  <si>
    <t>39434</t>
  </si>
  <si>
    <t>3FKFB210118</t>
  </si>
  <si>
    <t>3FKFB210138</t>
  </si>
  <si>
    <t>3FKFB210172</t>
  </si>
  <si>
    <t>3FKFB210182</t>
  </si>
  <si>
    <t>3FKFS230110</t>
  </si>
  <si>
    <t>3FKFS250214</t>
  </si>
  <si>
    <t>3FKSS230212</t>
  </si>
  <si>
    <t>3FKSS230214</t>
  </si>
  <si>
    <t>3FKSS230218</t>
  </si>
  <si>
    <t>3FPAP310218</t>
  </si>
  <si>
    <t>71271440</t>
  </si>
  <si>
    <t>71302803</t>
  </si>
  <si>
    <t>71303200</t>
  </si>
  <si>
    <t>71306613</t>
  </si>
  <si>
    <t>71306614</t>
  </si>
  <si>
    <t>71332520</t>
  </si>
  <si>
    <t>71332525</t>
  </si>
  <si>
    <t>71332530</t>
  </si>
  <si>
    <t>71334948</t>
  </si>
  <si>
    <t>71335548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</si>
  <si>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</si>
  <si>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</si>
  <si>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</si>
  <si>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</si>
  <si>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</si>
  <si>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</si>
  <si>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</si>
  <si>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</si>
  <si>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</si>
  <si>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</si>
  <si>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</si>
  <si>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</si>
  <si>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</si>
  <si>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</si>
  <si>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</si>
  <si>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</si>
  <si>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</si>
  <si>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</si>
  <si>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</si>
  <si>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</si>
  <si>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</si>
  <si>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</si>
  <si>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71420537</t>
  </si>
  <si>
    <t>71420574</t>
  </si>
  <si>
    <t>71420576</t>
  </si>
  <si>
    <t>71420802</t>
  </si>
  <si>
    <t>71420806</t>
  </si>
  <si>
    <t>71420816</t>
  </si>
  <si>
    <t>71420818</t>
  </si>
  <si>
    <t>71420820</t>
  </si>
  <si>
    <t>71420822</t>
  </si>
  <si>
    <t>71420830</t>
  </si>
  <si>
    <t>71420832</t>
  </si>
  <si>
    <t>71420834</t>
  </si>
  <si>
    <t>71420844</t>
  </si>
  <si>
    <t>71421114</t>
  </si>
  <si>
    <t>71421803</t>
  </si>
  <si>
    <t>71424002</t>
  </si>
  <si>
    <t>71424026</t>
  </si>
  <si>
    <t>71424045</t>
  </si>
  <si>
    <t>71424225</t>
  </si>
  <si>
    <t>71424227</t>
  </si>
  <si>
    <t>71453201</t>
  </si>
  <si>
    <t>71453213</t>
  </si>
  <si>
    <t>71453221</t>
  </si>
  <si>
    <t>72204152</t>
  </si>
  <si>
    <t>admin</t>
  </si>
  <si>
    <t>10-602</t>
  </si>
  <si>
    <t>10105</t>
  </si>
  <si>
    <t>10110</t>
  </si>
  <si>
    <t>30197082</t>
  </si>
  <si>
    <t>30197085</t>
  </si>
  <si>
    <t>30209703</t>
  </si>
  <si>
    <t>8848803</t>
  </si>
  <si>
    <t>9235403</t>
  </si>
  <si>
    <t>10-6000</t>
  </si>
  <si>
    <t>10400</t>
  </si>
  <si>
    <t>10420</t>
  </si>
  <si>
    <t>10715</t>
  </si>
  <si>
    <t>11228</t>
  </si>
  <si>
    <t>11232</t>
  </si>
  <si>
    <t>135100</t>
  </si>
  <si>
    <t>160</t>
  </si>
  <si>
    <t>20054</t>
  </si>
  <si>
    <t>20833</t>
  </si>
  <si>
    <t>20836</t>
  </si>
  <si>
    <t>21298</t>
  </si>
  <si>
    <t>21833</t>
  </si>
  <si>
    <t>240</t>
  </si>
  <si>
    <t>24602</t>
  </si>
  <si>
    <t>270</t>
  </si>
  <si>
    <t>30197006</t>
  </si>
  <si>
    <t>30200242</t>
  </si>
  <si>
    <t>30204303</t>
  </si>
  <si>
    <t>30204383</t>
  </si>
  <si>
    <t>30204384</t>
  </si>
  <si>
    <t>30207867</t>
  </si>
  <si>
    <t>30215947</t>
  </si>
  <si>
    <t>30216482</t>
  </si>
  <si>
    <t>30218777</t>
  </si>
  <si>
    <t>30218786</t>
  </si>
  <si>
    <t>30218808</t>
  </si>
  <si>
    <t>30218902</t>
  </si>
  <si>
    <t>30220934</t>
  </si>
  <si>
    <t>316</t>
  </si>
  <si>
    <t>5060202</t>
  </si>
  <si>
    <t>6.105.285</t>
  </si>
  <si>
    <t>622</t>
  </si>
  <si>
    <t>650</t>
  </si>
  <si>
    <t>71461012</t>
  </si>
  <si>
    <t>71461013</t>
  </si>
  <si>
    <t>71461014</t>
  </si>
  <si>
    <t>78198</t>
  </si>
  <si>
    <t>88411</t>
  </si>
  <si>
    <t>8841106</t>
  </si>
  <si>
    <t>9235302</t>
  </si>
  <si>
    <t>9235502</t>
  </si>
  <si>
    <t>9235503</t>
  </si>
  <si>
    <t>9511101</t>
  </si>
  <si>
    <t>HM750-3020</t>
  </si>
  <si>
    <t>MMB60</t>
  </si>
  <si>
    <t>MMB90</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</si>
  <si>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</si>
  <si>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</si>
  <si>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</si>
  <si>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</si>
  <si>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</si>
  <si>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</si>
  <si>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</si>
  <si>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</si>
  <si>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</si>
  <si>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</si>
  <si>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</si>
  <si>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</si>
  <si>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</si>
  <si>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ESTADO</t>
  </si>
  <si>
    <t>ACT</t>
  </si>
  <si>
    <t>TRANSFERENCIA CARGADA</t>
  </si>
  <si>
    <t>L</t>
  </si>
  <si>
    <t>V</t>
  </si>
  <si>
    <t>89070</t>
  </si>
  <si>
    <t>92354</t>
  </si>
  <si>
    <t>10824</t>
  </si>
  <si>
    <t>10830</t>
  </si>
  <si>
    <t>10836</t>
  </si>
  <si>
    <t>10845</t>
  </si>
  <si>
    <t>50601</t>
  </si>
  <si>
    <t>50602</t>
  </si>
  <si>
    <t>50603</t>
  </si>
  <si>
    <t>69606</t>
  </si>
  <si>
    <t>88108</t>
  </si>
  <si>
    <t>88488</t>
  </si>
  <si>
    <t>89265</t>
  </si>
  <si>
    <t>-</t>
  </si>
  <si>
    <t>92355</t>
  </si>
  <si>
    <t>95111</t>
  </si>
  <si>
    <t>10035</t>
  </si>
  <si>
    <t>10112</t>
  </si>
  <si>
    <t>10119</t>
  </si>
  <si>
    <t>10191</t>
  </si>
  <si>
    <t>10803</t>
  </si>
  <si>
    <t>10SW5008N</t>
  </si>
  <si>
    <t>11011</t>
  </si>
  <si>
    <t>13099</t>
  </si>
  <si>
    <t>135155</t>
  </si>
  <si>
    <t>20442</t>
  </si>
  <si>
    <t>20531</t>
  </si>
  <si>
    <t>20932</t>
  </si>
  <si>
    <t>22200</t>
  </si>
  <si>
    <t>22203</t>
  </si>
  <si>
    <t>22312</t>
  </si>
  <si>
    <t>23093</t>
  </si>
  <si>
    <t>23317</t>
  </si>
  <si>
    <t>25238</t>
  </si>
  <si>
    <t>273</t>
  </si>
  <si>
    <t>30073</t>
  </si>
  <si>
    <t>30179615</t>
  </si>
  <si>
    <t>30180262</t>
  </si>
  <si>
    <t>30215946</t>
  </si>
  <si>
    <t>30218206</t>
  </si>
  <si>
    <t>30219456</t>
  </si>
  <si>
    <t>30343</t>
  </si>
  <si>
    <t>35BI1809</t>
  </si>
  <si>
    <t>3FKFS230102</t>
  </si>
  <si>
    <t>3FKFS230104</t>
  </si>
  <si>
    <t>3FKFS250218</t>
  </si>
  <si>
    <t>41ST3024</t>
  </si>
  <si>
    <t>45ST3020</t>
  </si>
  <si>
    <t>4824727</t>
  </si>
  <si>
    <t>5060101</t>
  </si>
  <si>
    <t>5060201</t>
  </si>
  <si>
    <t>5060301</t>
  </si>
  <si>
    <t>6.564.023</t>
  </si>
  <si>
    <t>71302200</t>
  </si>
  <si>
    <t>71302204</t>
  </si>
  <si>
    <t>71302212</t>
  </si>
  <si>
    <t>71302800</t>
  </si>
  <si>
    <t>71302808</t>
  </si>
  <si>
    <t>71302812</t>
  </si>
  <si>
    <t>71303203</t>
  </si>
  <si>
    <t>71303204</t>
  </si>
  <si>
    <t>71303208</t>
  </si>
  <si>
    <t>71303212</t>
  </si>
  <si>
    <t>71306112</t>
  </si>
  <si>
    <t>71306608</t>
  </si>
  <si>
    <t>71306609</t>
  </si>
  <si>
    <t>71306610</t>
  </si>
  <si>
    <t>71306611</t>
  </si>
  <si>
    <t>71306612</t>
  </si>
  <si>
    <t>71306615</t>
  </si>
  <si>
    <t>71306710</t>
  </si>
  <si>
    <t>71313209</t>
  </si>
  <si>
    <t>71313211</t>
  </si>
  <si>
    <t>71316509</t>
  </si>
  <si>
    <t>71316511</t>
  </si>
  <si>
    <t>71332515</t>
  </si>
  <si>
    <t>71332535</t>
  </si>
  <si>
    <t>71334942</t>
  </si>
  <si>
    <t>71334944</t>
  </si>
  <si>
    <t>71334946</t>
  </si>
  <si>
    <t>71334950</t>
  </si>
  <si>
    <t>71334954</t>
  </si>
  <si>
    <t>71335542</t>
  </si>
  <si>
    <t>71335544</t>
  </si>
  <si>
    <t>71335546</t>
  </si>
  <si>
    <t>71335550</t>
  </si>
  <si>
    <t>71335552</t>
  </si>
  <si>
    <t>71335554</t>
  </si>
  <si>
    <t>71335558</t>
  </si>
  <si>
    <t>71337648</t>
  </si>
  <si>
    <t>71337650</t>
  </si>
  <si>
    <t>71337652</t>
  </si>
  <si>
    <t>71337654</t>
  </si>
  <si>
    <t>71337746</t>
  </si>
  <si>
    <t>71337948</t>
  </si>
  <si>
    <t>71337952</t>
  </si>
  <si>
    <t>71337954</t>
  </si>
  <si>
    <t>71337958</t>
  </si>
  <si>
    <t>71342800</t>
  </si>
  <si>
    <t>71342808</t>
  </si>
  <si>
    <t>71343203</t>
  </si>
  <si>
    <t>71343204</t>
  </si>
  <si>
    <t>71343208</t>
  </si>
  <si>
    <t>71352243</t>
  </si>
  <si>
    <t>71358034</t>
  </si>
  <si>
    <t>71420523</t>
  </si>
  <si>
    <t>71420538</t>
  </si>
  <si>
    <t>71420540</t>
  </si>
  <si>
    <t>71420542</t>
  </si>
  <si>
    <t>71420580</t>
  </si>
  <si>
    <t>71420959</t>
  </si>
  <si>
    <t>71420960</t>
  </si>
  <si>
    <t>71420968</t>
  </si>
  <si>
    <t>71421141</t>
  </si>
  <si>
    <t>71421658</t>
  </si>
  <si>
    <t>71421661</t>
  </si>
  <si>
    <t>71421664</t>
  </si>
  <si>
    <t>71421665</t>
  </si>
  <si>
    <t>71421741</t>
  </si>
  <si>
    <t>71421805</t>
  </si>
  <si>
    <t>71423039</t>
  </si>
  <si>
    <t>71423043</t>
  </si>
  <si>
    <t>71423047</t>
  </si>
  <si>
    <t>71424004</t>
  </si>
  <si>
    <t>71424006</t>
  </si>
  <si>
    <t>71424015</t>
  </si>
  <si>
    <t>71424016</t>
  </si>
  <si>
    <t>71424025</t>
  </si>
  <si>
    <t>71424028</t>
  </si>
  <si>
    <t>71424046</t>
  </si>
  <si>
    <t>71424047</t>
  </si>
  <si>
    <t>71424048</t>
  </si>
  <si>
    <t>71424223</t>
  </si>
  <si>
    <t>71425003</t>
  </si>
  <si>
    <t>71425005</t>
  </si>
  <si>
    <t>71425006</t>
  </si>
  <si>
    <t>71426004</t>
  </si>
  <si>
    <t>71426005</t>
  </si>
  <si>
    <t>71426007</t>
  </si>
  <si>
    <t>7211004</t>
  </si>
  <si>
    <t>72200082</t>
  </si>
  <si>
    <t>72200414</t>
  </si>
  <si>
    <t>72202467</t>
  </si>
  <si>
    <t>72202469</t>
  </si>
  <si>
    <t>7861073101543</t>
  </si>
  <si>
    <t>7861073101567</t>
  </si>
  <si>
    <t>7861073101659</t>
  </si>
  <si>
    <t>8810804</t>
  </si>
  <si>
    <t>8841112</t>
  </si>
  <si>
    <t>8873160</t>
  </si>
  <si>
    <t>8973135</t>
  </si>
  <si>
    <t>91BX3805L-00</t>
  </si>
  <si>
    <t>KNS-1706-10</t>
  </si>
  <si>
    <t>2017-3</t>
  </si>
  <si>
    <t>2017-4</t>
  </si>
  <si>
    <t>2017-5</t>
  </si>
  <si>
    <t>INV FÍSICO</t>
  </si>
  <si>
    <t>COD VINCULADO</t>
  </si>
  <si>
    <t>R</t>
  </si>
  <si>
    <t>DETALLE REQUERIMIENTOS</t>
  </si>
  <si>
    <t>STERYLAB</t>
  </si>
  <si>
    <t>HOSPICARE</t>
  </si>
  <si>
    <t>MMB45</t>
  </si>
  <si>
    <t>PAL60</t>
  </si>
  <si>
    <t>LIBRE-62</t>
  </si>
  <si>
    <t>HOSPICARE.xlsm</t>
  </si>
  <si>
    <t>STERYLAB AEREO</t>
  </si>
  <si>
    <t>ALFOMBRA BACTERICIDA MULTIMAT</t>
  </si>
  <si>
    <t>MULTIMAT</t>
  </si>
  <si>
    <t>ALFOMBRA BACTERICIDAD MULTIMAT 90 X 115C</t>
  </si>
  <si>
    <t>PAL45</t>
  </si>
  <si>
    <t>LIBRE-341</t>
  </si>
  <si>
    <t>MARCO DE ALUMINIO 45 X 115CM UN</t>
  </si>
  <si>
    <t>SUSP-1</t>
  </si>
  <si>
    <t>MARCO DE ALUMINIO 60 X 115CM UN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</si>
</sst>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5"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
      <sz val="8"/>
      <color rgb="FF000000"/>
      <name val="Segoe UI"/>
      <family val="2"/>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8">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xf numFmtId="0" fontId="7" fillId="0" borderId="0" xfId="0" applyFont="1" applyAlignment="1"/>
    <xf numFmtId="0" fontId="7" fillId="0" borderId="0" xfId="0" applyFont="1" applyAlignment="1">
      <alignment horizontal="left"/>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alignment horizontal="center" vertical="bottom" textRotation="0" wrapText="0" indent="0" justifyLastLine="0" shrinkToFit="0" readingOrder="0"/>
      <protection locked="0" hidden="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chk_codigo_vinculado" lockText="1" noThreeD="1"/>
</file>

<file path=xl/ctrlProps/ctrlProp2.xml><?xml version="1.0" encoding="utf-8"?>
<formControlPr xmlns="http://schemas.microsoft.com/office/spreadsheetml/2009/9/main" objectType="CheckBox" fmlaLink="chk_grupo" lockText="1" noThreeD="1"/>
</file>

<file path=xl/ctrlProps/ctrlProp3.xml><?xml version="1.0" encoding="utf-8"?>
<formControlPr xmlns="http://schemas.microsoft.com/office/spreadsheetml/2009/9/main" objectType="CheckBox" fmlaLink="chk_linea" lockText="1" noThreeD="1"/>
</file>

<file path=xl/ctrlProps/ctrlProp4.xml><?xml version="1.0" encoding="utf-8"?>
<formControlPr xmlns="http://schemas.microsoft.com/office/spreadsheetml/2009/9/main" objectType="CheckBox" fmlaLink="chk_sublinea" lockText="1" noThreeD="1"/>
</file>

<file path=xl/ctrlProps/ctrlProp5.xml><?xml version="1.0" encoding="utf-8"?>
<formControlPr xmlns="http://schemas.microsoft.com/office/spreadsheetml/2009/9/main" objectType="CheckBox" fmlaLink="chk_familia" lockText="1" noThreeD="1"/>
</file>

<file path=xl/ctrlProps/ctrlProp6.xml><?xml version="1.0" encoding="utf-8"?>
<formControlPr xmlns="http://schemas.microsoft.com/office/spreadsheetml/2009/9/main" objectType="CheckBox" fmlaLink="chk_subfamilia" lockText="1" noThreeD="1"/>
</file>

<file path=xl/ctrlProps/ctrlProp7.xml><?xml version="1.0" encoding="utf-8"?>
<formControlPr xmlns="http://schemas.microsoft.com/office/spreadsheetml/2009/9/main" objectType="CheckBox" fmlaLink="chk_categoria" lockText="1" noThreeD="1"/>
</file>

<file path=xl/ctrlProps/ctrlProp8.xml><?xml version="1.0" encoding="utf-8"?>
<formControlPr xmlns="http://schemas.microsoft.com/office/spreadsheetml/2009/9/main" objectType="CheckBox" fmlaLink="chk_tipo" lockText="1" noThreeD="1"/>
</file>

<file path=xl/ctrlProps/ctrlProp9.xml><?xml version="1.0" encoding="utf-8"?>
<formControlPr xmlns="http://schemas.microsoft.com/office/spreadsheetml/2009/9/main" objectType="CheckBox" checked="Checked" fmlaLink="chk_marca" lockText="1" noThreeD="1"/>
</file>

<file path=xl/ctrlProps/ctrlProp10.xml><?xml version="1.0" encoding="utf-8"?>
<formControlPr xmlns="http://schemas.microsoft.com/office/spreadsheetml/2009/9/main" objectType="CheckBox" fmlaLink="chk_modelo" lockText="1" noThreeD="1"/>
</file>

<file path=xl/ctrlProps/ctrlProp11.xml><?xml version="1.0" encoding="utf-8"?>
<formControlPr xmlns="http://schemas.microsoft.com/office/spreadsheetml/2009/9/main" objectType="CheckBox" checked="Checked" fmlaLink="chk_buffer" lockText="1" noThreeD="1"/>
</file>

<file path=xl/ctrlProps/ctrlProp12.xml><?xml version="1.0" encoding="utf-8"?>
<formControlPr xmlns="http://schemas.microsoft.com/office/spreadsheetml/2009/9/main" objectType="CheckBox" checked="Checked" fmlaLink="chk_fisico" lockText="1" noThreeD="1"/>
</file>

<file path=xl/ctrlProps/ctrlProp13.xml><?xml version="1.0" encoding="utf-8"?>
<formControlPr xmlns="http://schemas.microsoft.com/office/spreadsheetml/2009/9/main" objectType="CheckBox" checked="Checked" fmlaLink="chk_proveedor"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26" Type="http://schemas.openxmlformats.org/officeDocument/2006/relationships/image" Target="../media/image26.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5" Type="http://schemas.openxmlformats.org/officeDocument/2006/relationships/image" Target="../media/image25.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24" Type="http://schemas.openxmlformats.org/officeDocument/2006/relationships/image" Target="../media/image24.emf"/><Relationship Id="rId5" Type="http://schemas.openxmlformats.org/officeDocument/2006/relationships/image" Target="../media/image15.emf"/><Relationship Id="rId15" Type="http://schemas.openxmlformats.org/officeDocument/2006/relationships/image" Target="../media/image14.emf"/><Relationship Id="rId23" Type="http://schemas.openxmlformats.org/officeDocument/2006/relationships/image" Target="../media/image23.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 Id="rId22"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581025</xdr:colOff>
          <xdr:row>0</xdr:row>
          <xdr:rowOff>19050</xdr:rowOff>
        </xdr:from>
        <xdr:to>
          <xdr:col>12</xdr:col>
          <xdr:colOff>323850</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1</xdr:row>
          <xdr:rowOff>76200</xdr:rowOff>
        </xdr:from>
        <xdr:to>
          <xdr:col>12</xdr:col>
          <xdr:colOff>323850</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0</xdr:rowOff>
        </xdr:from>
        <xdr:to>
          <xdr:col>2</xdr:col>
          <xdr:colOff>2200275</xdr:colOff>
          <xdr:row>0</xdr:row>
          <xdr:rowOff>161925</xdr:rowOff>
        </xdr:to>
        <xdr:sp macro="" textlink="">
          <xdr:nvSpPr>
            <xdr:cNvPr id="3077" name="chk_codigo_vincula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Código Vinculado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152400</xdr:rowOff>
        </xdr:from>
        <xdr:to>
          <xdr:col>2</xdr:col>
          <xdr:colOff>2200275</xdr:colOff>
          <xdr:row>1</xdr:row>
          <xdr:rowOff>114300</xdr:rowOff>
        </xdr:to>
        <xdr:sp macro="" textlink="">
          <xdr:nvSpPr>
            <xdr:cNvPr id="3078" name="chk_grup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Grupo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1</xdr:row>
          <xdr:rowOff>104775</xdr:rowOff>
        </xdr:from>
        <xdr:to>
          <xdr:col>2</xdr:col>
          <xdr:colOff>2200275</xdr:colOff>
          <xdr:row>2</xdr:row>
          <xdr:rowOff>76200</xdr:rowOff>
        </xdr:to>
        <xdr:sp macro="" textlink="">
          <xdr:nvSpPr>
            <xdr:cNvPr id="3079" name="chk_linea"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2</xdr:row>
          <xdr:rowOff>76200</xdr:rowOff>
        </xdr:from>
        <xdr:to>
          <xdr:col>2</xdr:col>
          <xdr:colOff>2200275</xdr:colOff>
          <xdr:row>3</xdr:row>
          <xdr:rowOff>47625</xdr:rowOff>
        </xdr:to>
        <xdr:sp macro="" textlink="">
          <xdr:nvSpPr>
            <xdr:cNvPr id="3080" name="chk_sublinea"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3</xdr:row>
          <xdr:rowOff>38100</xdr:rowOff>
        </xdr:from>
        <xdr:to>
          <xdr:col>2</xdr:col>
          <xdr:colOff>2200275</xdr:colOff>
          <xdr:row>4</xdr:row>
          <xdr:rowOff>9525</xdr:rowOff>
        </xdr:to>
        <xdr:sp macro="" textlink="">
          <xdr:nvSpPr>
            <xdr:cNvPr id="3081" name="chk_familia"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0</xdr:rowOff>
        </xdr:from>
        <xdr:to>
          <xdr:col>10</xdr:col>
          <xdr:colOff>257175</xdr:colOff>
          <xdr:row>0</xdr:row>
          <xdr:rowOff>161925</xdr:rowOff>
        </xdr:to>
        <xdr:sp macro="" textlink="">
          <xdr:nvSpPr>
            <xdr:cNvPr id="3082" name="chk_subfamilia"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152400</xdr:rowOff>
        </xdr:from>
        <xdr:to>
          <xdr:col>10</xdr:col>
          <xdr:colOff>257175</xdr:colOff>
          <xdr:row>1</xdr:row>
          <xdr:rowOff>114300</xdr:rowOff>
        </xdr:to>
        <xdr:sp macro="" textlink="">
          <xdr:nvSpPr>
            <xdr:cNvPr id="3083" name="chk_categoria"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1</xdr:row>
          <xdr:rowOff>104775</xdr:rowOff>
        </xdr:from>
        <xdr:to>
          <xdr:col>10</xdr:col>
          <xdr:colOff>257175</xdr:colOff>
          <xdr:row>2</xdr:row>
          <xdr:rowOff>76200</xdr:rowOff>
        </xdr:to>
        <xdr:sp macro="" textlink="">
          <xdr:nvSpPr>
            <xdr:cNvPr id="3084" name="chk_tip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Tipo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2</xdr:row>
          <xdr:rowOff>76200</xdr:rowOff>
        </xdr:from>
        <xdr:to>
          <xdr:col>10</xdr:col>
          <xdr:colOff>257175</xdr:colOff>
          <xdr:row>3</xdr:row>
          <xdr:rowOff>47625</xdr:rowOff>
        </xdr:to>
        <xdr:sp macro="" textlink="">
          <xdr:nvSpPr>
            <xdr:cNvPr id="3085" name="chk_marca"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Marca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3</xdr:row>
          <xdr:rowOff>38100</xdr:rowOff>
        </xdr:from>
        <xdr:to>
          <xdr:col>10</xdr:col>
          <xdr:colOff>257175</xdr:colOff>
          <xdr:row>4</xdr:row>
          <xdr:rowOff>9525</xdr:rowOff>
        </xdr:to>
        <xdr:sp macro="" textlink="">
          <xdr:nvSpPr>
            <xdr:cNvPr id="3086" name="chk_model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Modelo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0</xdr:rowOff>
        </xdr:from>
        <xdr:to>
          <xdr:col>10</xdr:col>
          <xdr:colOff>600075</xdr:colOff>
          <xdr:row>0</xdr:row>
          <xdr:rowOff>152400</xdr:rowOff>
        </xdr:to>
        <xdr:sp macro="" textlink="">
          <xdr:nvSpPr>
            <xdr:cNvPr id="3087" name="chk_buffer"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Buffer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152400</xdr:rowOff>
        </xdr:from>
        <xdr:to>
          <xdr:col>10</xdr:col>
          <xdr:colOff>628650</xdr:colOff>
          <xdr:row>1</xdr:row>
          <xdr:rowOff>95250</xdr:rowOff>
        </xdr:to>
        <xdr:sp macro="" textlink="">
          <xdr:nvSpPr>
            <xdr:cNvPr id="3088" name="chk_fisico"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Físico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1</xdr:row>
          <xdr:rowOff>104775</xdr:rowOff>
        </xdr:from>
        <xdr:to>
          <xdr:col>10</xdr:col>
          <xdr:colOff>571500</xdr:colOff>
          <xdr:row>2</xdr:row>
          <xdr:rowOff>76200</xdr:rowOff>
        </xdr:to>
        <xdr:sp macro="" textlink="">
          <xdr:nvSpPr>
            <xdr:cNvPr id="3089" name="chk_fisico"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Proveed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6"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2" totalsRowShown="0" headerRowDxfId="212">
  <autoFilter ref="A8:CB12"/>
  <tableColumns count="80">
    <tableColumn id="1" name="CODIGO" dataDxfId="3"/>
    <tableColumn id="2" name="DESCRIPCION" dataDxfId="4"/>
    <tableColumn id="36" name="CODIGO GENERICO" dataDxfId="211"/>
    <tableColumn id="45" name="CODIGO VINCULADO" dataDxfId="210"/>
    <tableColumn id="4" name="LINEA" dataDxfId="209"/>
    <tableColumn id="29" name="SUBLINEA" dataDxfId="208"/>
    <tableColumn id="3" name="GRUPO" dataDxfId="207"/>
    <tableColumn id="22" name="FAMILIA" dataDxfId="206"/>
    <tableColumn id="23" name="SUBFAMILIA" dataDxfId="205"/>
    <tableColumn id="24" name="CATEGORIA" dataDxfId="204"/>
    <tableColumn id="25" name="TIPO" dataDxfId="203"/>
    <tableColumn id="26" name="MARCA" dataDxfId="202"/>
    <tableColumn id="27" name="MODELO" dataDxfId="201"/>
    <tableColumn id="28" name="CAT MANAGEMENT" dataDxfId="200"/>
    <tableColumn id="65" name="Estatus" dataDxfId="199"/>
    <tableColumn id="14" name="CTV" dataDxfId="198"/>
    <tableColumn id="15" name="PVP" dataDxfId="197"/>
    <tableColumn id="7" name="RENTABILIDAD" dataDxfId="196"/>
    <tableColumn id="53" name="RENTABILID PROY" dataDxfId="195"/>
    <tableColumn id="19" name="VEL EFECT" dataDxfId="194"/>
    <tableColumn id="20" name="SERVICIO" dataDxfId="193"/>
    <tableColumn id="21" name="PROVEEDOR" dataDxfId="192"/>
    <tableColumn id="39" name="PERFIL" dataDxfId="191"/>
    <tableColumn id="54" name="T REP" dataDxfId="190"/>
    <tableColumn id="55" name="F REP" dataDxfId="189"/>
    <tableColumn id="5" name="BUFFER" dataDxfId="188"/>
    <tableColumn id="75" name="INV PROVEEDOR" dataDxfId="187"/>
    <tableColumn id="31" name="INV FISICO" dataDxfId="186"/>
    <tableColumn id="6" name="CONS BUFF" dataDxfId="185"/>
    <tableColumn id="50" name="COLOR" dataDxfId="184"/>
    <tableColumn id="32" name="INV TRANSITO" dataDxfId="183"/>
    <tableColumn id="41" name="NEGOCIACIÓN" dataDxfId="182"/>
    <tableColumn id="42" name="PRODUCCIÓN" dataDxfId="181"/>
    <tableColumn id="43" name="EMBARCADO" dataDxfId="180"/>
    <tableColumn id="33" name="COMPROMETIDO" dataDxfId="179"/>
    <tableColumn id="34" name="BACKORDER" dataDxfId="178"/>
    <tableColumn id="40" name="INV PROYECTADO" dataDxfId="177"/>
    <tableColumn id="46" name="CONSUMO INV PROY" dataDxfId="176"/>
    <tableColumn id="51" name="COLOR1" dataDxfId="175"/>
    <tableColumn id="37" name="PEDIDO MIN" dataDxfId="174"/>
    <tableColumn id="38" name="PEDIDO MIN GRUPO" dataDxfId="173"/>
    <tableColumn id="30" name="UNIDAD EMPAQUE" dataDxfId="172"/>
    <tableColumn id="12" name="PEDIDO PROMEDIO" dataDxfId="171"/>
    <tableColumn id="47" name="COBERT BUFFER" dataDxfId="170"/>
    <tableColumn id="48" name="COBERT INV PROY" dataDxfId="169"/>
    <tableColumn id="49" name="COBERT PEDID MIN" dataDxfId="168"/>
    <tableColumn id="52" name="DIAS DESABASTECIM" dataDxfId="167"/>
    <tableColumn id="67" name="ULT TRANSFER INI" dataDxfId="166"/>
    <tableColumn id="68" name="ULT TRANSFER FIN" dataDxfId="165"/>
    <tableColumn id="64" name="2017-3" dataDxfId="164">
      <calculatedColumnFormula array="1">IFERROR(INDEX(Datos_Consumo[CANTIDAD],MATCH(TABLATRANSFERENCIA[[#This Row],[CODIGO]]&amp;TABLATRANSFERENCIA[[#Headers],[2017-3]],Datos_Consumo[CODIGO]&amp;Datos_Consumo[FECHA_FORMATO],0)),0)</calculatedColumnFormula>
    </tableColumn>
    <tableColumn id="63" name="2017-4" dataDxfId="163">
      <calculatedColumnFormula array="1">IFERROR(INDEX(Datos_Consumo[CANTIDAD],MATCH(TABLATRANSFERENCIA[[#This Row],[CODIGO]]&amp;TABLATRANSFERENCIA[[#Headers],[2017-4]],Datos_Consumo[CODIGO]&amp;Datos_Consumo[FECHA_FORMATO],0)),0)</calculatedColumnFormula>
    </tableColumn>
    <tableColumn id="62" name="2017-5" dataDxfId="162">
      <calculatedColumnFormula array="1">IFERROR(INDEX(Datos_Consumo[CANTIDAD],MATCH(TABLATRANSFERENCIA[[#This Row],[CODIGO]]&amp;TABLATRANSFERENCIA[[#Headers],[2017-5]],Datos_Consumo[CODIGO]&amp;Datos_Consumo[FECHA_FORMATO],0)),0)</calculatedColumnFormula>
    </tableColumn>
    <tableColumn id="61" name="Columna4" dataDxfId="161">
      <calculatedColumnFormula array="1">IFERROR(INDEX(Datos_Consumo[CANTIDAD],MATCH(TABLATRANSFERENCIA[[#This Row],[CODIGO]]&amp;TABLATRANSFERENCIA[[#Headers],[Columna4]],Datos_Consumo[CODIGO]&amp;Datos_Consumo[FECHA_FORMATO],0)),0)</calculatedColumnFormula>
    </tableColumn>
    <tableColumn id="60" name="Columna5" dataDxfId="160">
      <calculatedColumnFormula array="1">IFERROR(INDEX(Datos_Consumo[CANTIDAD],MATCH(TABLATRANSFERENCIA[[#This Row],[CODIGO]]&amp;TABLATRANSFERENCIA[[#Headers],[Columna5]],Datos_Consumo[CODIGO]&amp;Datos_Consumo[FECHA_FORMATO],0)),0)</calculatedColumnFormula>
    </tableColumn>
    <tableColumn id="59" name="Columna6" dataDxfId="159">
      <calculatedColumnFormula array="1">IFERROR(INDEX(Datos_Consumo[CANTIDAD],MATCH(TABLATRANSFERENCIA[[#This Row],[CODIGO]]&amp;TABLATRANSFERENCIA[[#Headers],[Columna6]],Datos_Consumo[CODIGO]&amp;Datos_Consumo[FECHA_FORMATO],0)),0)</calculatedColumnFormula>
    </tableColumn>
    <tableColumn id="8" name="REQUERIM" dataDxfId="5"/>
    <tableColumn id="13" name="REQ TOTAL" dataDxfId="2"/>
    <tableColumn id="78" name="DE FECHA" dataDxfId="0"/>
    <tableColumn id="79" name="A FECHA" dataDxfId="1"/>
    <tableColumn id="76" name="PO" dataDxfId="158"/>
    <tableColumn id="66" name="EMBARQUES" dataDxfId="157"/>
    <tableColumn id="69" name="Emb1" dataDxfId="156">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5">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54">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53">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52">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51"/>
    <tableColumn id="44" name="TAMAÑO RELATIVO" dataDxfId="150">
      <calculatedColumnFormula>IFERROR(TABLATRANSFERENCIA[[#This Row],[REQUERIM]]/TABLATRANSFERENCIA[[#This Row],[PEDIDO PROMEDIO]],0)</calculatedColumnFormula>
    </tableColumn>
    <tableColumn id="9" name="DESPACHO" dataDxfId="149"/>
    <tableColumn id="10" name="RECIBIDO" dataDxfId="148"/>
    <tableColumn id="11" name="TRANSITO" dataDxfId="147">
      <calculatedColumnFormula>IF(TABLATRANSFERENCIA[[#This Row],[RECIBIDO]]&lt;&gt;"",0,IF(TABLATRANSFERENCIA[[#This Row],[DESPACHO]]&lt;&gt;"",TABLATRANSFERENCIA[[#This Row],[DESPACHO]],TABLATRANSFERENCIA[[#This Row],[REQUERIM]]))</calculatedColumnFormula>
    </tableColumn>
    <tableColumn id="16" name="OBSERVACIONES DESPACHOS" dataDxfId="146"/>
    <tableColumn id="17" name="OBSERVACIONES RECEPCIONES" dataDxfId="145"/>
    <tableColumn id="18" name="TIPO TRANSF" dataDxfId="144">
      <calculatedColumnFormula>"N"</calculatedColumnFormula>
    </tableColumn>
    <tableColumn id="80" name="ESTADO" dataDxfId="143"/>
    <tableColumn id="35" name="Error Pedid Min Grupo" dataDxfId="142">
      <calculatedColumnFormula array="1">IF(SUM(--(TABLATRANSFERENCIA[[#This Row],[CODIGO GENERICO]]=TABLATRANSFERENCIA[CODIGO GENERICO])*TABLATRANSFERENCIA[REQUERIM])&lt;TABLATRANSFERENCIA[[#This Row],[PEDIDO MIN GRUPO]],1,0)</calculatedColumnFormula>
    </tableColumn>
    <tableColumn id="56" name="Color Proyectado" dataDxfId="141">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40"/>
    <tableColumn id="58" name="ZONA ROJA" dataDxfId="139"/>
    <tableColumn id="77" name="Borrar" dataDxfId="138"/>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7">
  <autoFilter ref="A1:BX2"/>
  <tableColumns count="76">
    <tableColumn id="1" name="CODIGO" dataDxfId="136"/>
    <tableColumn id="2" name="DESCRIPCION" dataDxfId="135">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4">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3">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32">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31">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30">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9">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8">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7">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6">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5">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4">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3">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22">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21">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20">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9">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8">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7">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6">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5">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4">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3">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12">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11">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10">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9">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8">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7">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6">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5">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4">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3">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102">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101">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100">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9">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8">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7">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6">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5">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4">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3">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92">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91">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90">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9">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8">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7">
      <calculatedColumnFormula array="1">IFERROR(INDEX(Datos_Consumo[CANTIDAD],MATCH(XXYY[[#This Row],[CODIGO]]&amp;XXYY[[#Headers],[2016-5]],Datos_Consumo[CODIGO]&amp;Datos_Consumo[FECHA_FORMATO],0)),0)</calculatedColumnFormula>
    </tableColumn>
    <tableColumn id="63" name="2016-6" dataDxfId="86">
      <calculatedColumnFormula array="1">IFERROR(INDEX(Datos_Consumo[CANTIDAD],MATCH(XXYY[[#This Row],[CODIGO]]&amp;XXYY[[#Headers],[2016-6]],Datos_Consumo[CODIGO]&amp;Datos_Consumo[FECHA_FORMATO],0)),0)</calculatedColumnFormula>
    </tableColumn>
    <tableColumn id="62" name="Columna3" dataDxfId="85">
      <calculatedColumnFormula array="1">IFERROR(INDEX(Datos_Consumo[CANTIDAD],MATCH(XXYY[[#This Row],[CODIGO]]&amp;XXYY[[#Headers],[Columna3]],Datos_Consumo[CODIGO]&amp;Datos_Consumo[FECHA_FORMATO],0)),0)</calculatedColumnFormula>
    </tableColumn>
    <tableColumn id="61" name="Columna4" dataDxfId="84">
      <calculatedColumnFormula array="1">IFERROR(INDEX(Datos_Consumo[CANTIDAD],MATCH(XXYY[[#This Row],[CODIGO]]&amp;XXYY[[#Headers],[Columna4]],Datos_Consumo[CODIGO]&amp;Datos_Consumo[FECHA_FORMATO],0)),0)</calculatedColumnFormula>
    </tableColumn>
    <tableColumn id="60" name="Columna5" dataDxfId="83">
      <calculatedColumnFormula array="1">IFERROR(INDEX(Datos_Consumo[CANTIDAD],MATCH(XXYY[[#This Row],[CODIGO]]&amp;XXYY[[#Headers],[Columna5]],Datos_Consumo[CODIGO]&amp;Datos_Consumo[FECHA_FORMATO],0)),0)</calculatedColumnFormula>
    </tableColumn>
    <tableColumn id="59" name="Columna6" dataDxfId="82">
      <calculatedColumnFormula array="1">IFERROR(INDEX(Datos_Consumo[CANTIDAD],MATCH(XXYY[[#This Row],[CODIGO]]&amp;XXYY[[#Headers],[Columna6]],Datos_Consumo[CODIGO]&amp;Datos_Consumo[FECHA_FORMATO],0)),0)</calculatedColumnFormula>
    </tableColumn>
    <tableColumn id="8" name="REQUERIM" dataDxfId="81"/>
    <tableColumn id="13" name="REQ TOTAL" dataDxfId="80"/>
    <tableColumn id="66" name="EMBARQUES" dataDxfId="79"/>
    <tableColumn id="69" name="Emb1" dataDxfId="78">
      <calculatedColumnFormula>IF(RIGHT(XXYY[[#Headers],[Emb1]],1)*1&lt;=XXYY[[#This Row],[EMBARQUES]],IF(ISBLANK(XXYY[[#This Row],[EMBARQUES]]),XXYY[[#This Row],[REQUERIM]],ROUND(XXYY[[#This Row],[REQUERIM]]/XXYY[[#This Row],[EMBARQUES]],0)),XXYY[[#This Row],[REQUERIM]])</calculatedColumnFormula>
    </tableColumn>
    <tableColumn id="70" name="Emb2" dataDxfId="77">
      <calculatedColumnFormula>IF(RIGHT(XXYY[[#Headers],[Emb2]],1)*1&lt;XXYY[[#This Row],[EMBARQUES]],ROUND(XXYY[[#This Row],[REQUERIM]]/XXYY[[#This Row],[EMBARQUES]],0),IF(RIGHT(XXYY[[#Headers],[Emb2]],1)*1=XXYY[[#This Row],[EMBARQUES]],XXYY[[#This Row],[REQUERIM]]-SUM(XXYY[[#This Row],[Emb1]]),0))</calculatedColumnFormula>
    </tableColumn>
    <tableColumn id="71" name="Emb3" dataDxfId="76">
      <calculatedColumnFormula>IF(RIGHT(XXYY[[#Headers],[Emb3]],1)*1&lt;XXYY[[#This Row],[EMBARQUES]],ROUND(XXYY[[#This Row],[REQUERIM]]/XXYY[[#This Row],[EMBARQUES]],0),IF(RIGHT(XXYY[[#Headers],[Emb3]],1)*1=XXYY[[#This Row],[EMBARQUES]],XXYY[[#This Row],[REQUERIM]]-SUM(XXYY[[#This Row],[Emb1]:[Emb2]]),0))</calculatedColumnFormula>
    </tableColumn>
    <tableColumn id="72" name="Emb4" dataDxfId="75">
      <calculatedColumnFormula>IF(RIGHT(XXYY[[#Headers],[Emb4]],1)*1&lt;XXYY[[#This Row],[EMBARQUES]],ROUND(XXYY[[#This Row],[REQUERIM]]/XXYY[[#This Row],[EMBARQUES]],0),IF(RIGHT(XXYY[[#Headers],[Emb4]],1)*1=XXYY[[#This Row],[EMBARQUES]],XXYY[[#This Row],[REQUERIM]]-SUM(XXYY[[#This Row],[Emb1]:[Emb3]]),0))</calculatedColumnFormula>
    </tableColumn>
    <tableColumn id="73" name="Emb5" dataDxfId="74">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3"/>
    <tableColumn id="44" name="TAMAÑO RELATIVO" dataDxfId="72">
      <calculatedColumnFormula>IFERROR(XXYY[[#This Row],[REQUERIM]]/XXYY[[#This Row],[PEDIDO PROMEDIO]],0)</calculatedColumnFormula>
    </tableColumn>
    <tableColumn id="9" name="DESPACHO" dataDxfId="71"/>
    <tableColumn id="10" name="RECIBIDO" dataDxfId="70"/>
    <tableColumn id="11" name="TRANSITO" dataDxfId="69">
      <calculatedColumnFormula>IF(XXYY[[#This Row],[RECIBIDO]]&lt;&gt;"",0,IF(XXYY[[#This Row],[DESPACHO]]&lt;&gt;"",XXYY[[#This Row],[DESPACHO]],XXYY[[#This Row],[REQUERIM]]))</calculatedColumnFormula>
    </tableColumn>
    <tableColumn id="16" name="OBSERVACIONES DESPACHOS" dataDxfId="68"/>
    <tableColumn id="17" name="OBSERVACIONES RECEPCIONES" dataDxfId="67"/>
    <tableColumn id="18" name="TIPO TRANSF" dataDxfId="66">
      <calculatedColumnFormula>"N"</calculatedColumnFormula>
    </tableColumn>
    <tableColumn id="35" name="Error Pedid Min Grupo" dataDxfId="65">
      <calculatedColumnFormula array="1">IF(SUM(--(XXYY[[#This Row],[CODIGO GENERICO]]=XXYY[CODIGO GENERICO])*XXYY[REQUERIM])&lt;XXYY[[#This Row],[PEDIDO MIN GRUPO]],1,0)</calculatedColumnFormula>
    </tableColumn>
    <tableColumn id="56" name="Color Proyectado" dataDxfId="64">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3">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62">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61">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60"/>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9"/>
    <tableColumn id="7" uniqueName="7" name="PATH" queryTableFieldId="7" dataDxfId="58"/>
    <tableColumn id="5" uniqueName="5" name="COMPLETO" queryTableFieldId="5" dataDxfId="57">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6"/>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5">
      <calculatedColumnFormula>IFERROR(MATCH(Tabla_Recetas[[#This Row],[Cod Padre]],TABLATRANSFERENCIA[CODIGO],0),0)</calculatedColumnFormula>
    </tableColumn>
    <tableColumn id="12" uniqueName="12" name="Cantidad Requerida" queryTableFieldId="12" dataDxfId="54">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Q6" insertRow="1" totalsRowShown="0" headerRowDxfId="53">
  <autoFilter ref="A5:Q6"/>
  <tableColumns count="17">
    <tableColumn id="1" name="CÓDIGO"/>
    <tableColumn id="15" name="COD VINCULADO"/>
    <tableColumn id="2" name="DESCRIPCIÓN"/>
    <tableColumn id="6" name="GRUPO"/>
    <tableColumn id="7" name="LINEA"/>
    <tableColumn id="8" name="SUBLINEA"/>
    <tableColumn id="9" name="FAMILIA"/>
    <tableColumn id="10" name="SUBFAMILIA"/>
    <tableColumn id="11" name="CATEGORIA"/>
    <tableColumn id="12" name="TIPO"/>
    <tableColumn id="13" name="MARCA"/>
    <tableColumn id="14" name="MODELO"/>
    <tableColumn id="17" name="BUFFER"/>
    <tableColumn id="18" name="INV FÍSICO"/>
    <tableColumn id="16" name="INV PROVEEDOR"/>
    <tableColumn id="3" name="CANTIDAD" dataDxfId="52"/>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51"/>
    <tableColumn id="109" name="con_ultima_transferencia_ini" dataDxfId="50"/>
    <tableColumn id="110" name="con_ultima_transferencia_fin" dataDxfId="49"/>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568" totalsRowShown="0">
  <autoFilter ref="A1:D568"/>
  <tableColumns count="4">
    <tableColumn id="1" name="CODIGO"/>
    <tableColumn id="2" name="CANTIDAD"/>
    <tableColumn id="3" name="FECHA"/>
    <tableColumn id="4" name="FECHA_FORMATO" dataDxfId="48">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4" totalsRowShown="0">
  <autoFilter ref="F1:G4"/>
  <tableColumns count="2">
    <tableColumn id="1" name="FECHAS_CONSUMO"/>
    <tableColumn id="2" name="FECHA_FORMATO" dataDxfId="47">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4.vml"/><Relationship Id="rId21" Type="http://schemas.openxmlformats.org/officeDocument/2006/relationships/table" Target="../tables/table12.xml"/><Relationship Id="rId7" Type="http://schemas.openxmlformats.org/officeDocument/2006/relationships/image" Target="../media/image29.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ctrlProp" Target="../ctrlProps/ctrlProp4.xml"/><Relationship Id="rId5" Type="http://schemas.openxmlformats.org/officeDocument/2006/relationships/image" Target="../media/image28.emf"/><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28.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2"/>
  <sheetViews>
    <sheetView showGridLines="0" tabSelected="1" zoomScale="80" zoomScaleNormal="80" workbookViewId="0">
      <pane xSplit="4" ySplit="8" topLeftCell="E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3"/>
      <c r="B1" s="34"/>
      <c r="C1" s="34"/>
      <c r="D1" s="64" t="s">
        <v>1575</v>
      </c>
      <c r="E1" s="34"/>
      <c r="F1" s="34"/>
      <c r="G1" s="34"/>
      <c r="H1" s="34"/>
      <c r="I1" s="34"/>
      <c r="J1" s="34"/>
      <c r="K1" s="34"/>
      <c r="L1" s="34"/>
      <c r="M1" s="34"/>
      <c r="N1" s="34"/>
      <c r="O1" s="34"/>
      <c r="P1" s="34"/>
      <c r="Q1" s="34"/>
      <c r="R1" s="36"/>
      <c r="S1" s="36"/>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0" x14ac:dyDescent="0.25">
      <c r="A2" s="16" t="s">
        <v>12</v>
      </c>
      <c r="B2" s="17">
        <v>38</v>
      </c>
      <c r="C2" s="18" t="s">
        <v>0</v>
      </c>
      <c r="D2" s="19">
        <v>42971</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0" x14ac:dyDescent="0.25">
      <c r="A3" s="20" t="s">
        <v>2</v>
      </c>
      <c r="B3" s="21" t="s">
        <v>1738</v>
      </c>
      <c r="C3" s="22" t="s">
        <v>1</v>
      </c>
      <c r="D3" s="23"/>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0" x14ac:dyDescent="0.25">
      <c r="A4" s="20" t="s">
        <v>3</v>
      </c>
      <c r="B4" s="24" t="s">
        <v>1365</v>
      </c>
      <c r="C4" s="25" t="str">
        <f>COUNTA(TABLATRANSFERENCIA[CODIGO])&amp;"-"&amp;SUBTOTAL(3,TABLATRANSFERENCIA[CODIGO])&amp;" SKU"</f>
        <v>4-4 SKU</v>
      </c>
      <c r="D4" s="26"/>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0" x14ac:dyDescent="0.25">
      <c r="A5" s="20" t="s">
        <v>1373</v>
      </c>
      <c r="B5" s="27"/>
      <c r="C5" s="22" t="s">
        <v>23</v>
      </c>
      <c r="D5" s="28">
        <f>IFERROR(SUMPRODUCT(TABLATRANSFERENCIA[CTV],TABLATRANSFERENCIA[TRANSITO]),"")</f>
        <v>17450.29</v>
      </c>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0" ht="17.25" x14ac:dyDescent="0.25">
      <c r="A6" s="20" t="s">
        <v>24</v>
      </c>
      <c r="B6" s="23"/>
      <c r="C6" s="22" t="s">
        <v>25</v>
      </c>
      <c r="D6" s="29">
        <f>IFERROR(SUMPRODUCT(Tabla_CubicajeAgrota[VOL],Tabla_CubicajeAgrota[CANTIDAD]),0)</f>
        <v>0</v>
      </c>
      <c r="E6" s="35" t="s">
        <v>29</v>
      </c>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row>
    <row r="7" spans="1:80" x14ac:dyDescent="0.25">
      <c r="A7" s="30" t="s">
        <v>837</v>
      </c>
      <c r="B7" s="31"/>
      <c r="C7" s="63" t="str">
        <f>lista_errores</f>
        <v/>
      </c>
      <c r="D7" s="32"/>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row>
    <row r="8" spans="1:80" ht="45.75" customHeight="1" x14ac:dyDescent="0.25">
      <c r="A8" s="46" t="s">
        <v>26</v>
      </c>
      <c r="B8" s="46" t="s">
        <v>848</v>
      </c>
      <c r="C8" s="46" t="s">
        <v>906</v>
      </c>
      <c r="D8" s="46" t="s">
        <v>1017</v>
      </c>
      <c r="E8" s="46" t="s">
        <v>889</v>
      </c>
      <c r="F8" s="46" t="s">
        <v>900</v>
      </c>
      <c r="G8" s="46" t="s">
        <v>888</v>
      </c>
      <c r="H8" s="46" t="s">
        <v>881</v>
      </c>
      <c r="I8" s="46" t="s">
        <v>882</v>
      </c>
      <c r="J8" s="46" t="s">
        <v>883</v>
      </c>
      <c r="K8" s="46" t="s">
        <v>884</v>
      </c>
      <c r="L8" s="46" t="s">
        <v>885</v>
      </c>
      <c r="M8" s="46" t="s">
        <v>886</v>
      </c>
      <c r="N8" s="46" t="s">
        <v>887</v>
      </c>
      <c r="O8" s="41" t="s">
        <v>1035</v>
      </c>
      <c r="P8" s="41" t="s">
        <v>18</v>
      </c>
      <c r="Q8" s="41" t="s">
        <v>19</v>
      </c>
      <c r="R8" s="41" t="s">
        <v>10</v>
      </c>
      <c r="S8" s="41" t="s">
        <v>977</v>
      </c>
      <c r="T8" s="41" t="s">
        <v>37</v>
      </c>
      <c r="U8" s="41" t="s">
        <v>38</v>
      </c>
      <c r="V8" s="41" t="s">
        <v>841</v>
      </c>
      <c r="W8" s="41" t="s">
        <v>905</v>
      </c>
      <c r="X8" s="41" t="s">
        <v>1024</v>
      </c>
      <c r="Y8" s="41" t="s">
        <v>1025</v>
      </c>
      <c r="Z8" s="43" t="s">
        <v>8</v>
      </c>
      <c r="AA8" s="43" t="s">
        <v>1145</v>
      </c>
      <c r="AB8" s="43" t="s">
        <v>901</v>
      </c>
      <c r="AC8" s="43" t="s">
        <v>9</v>
      </c>
      <c r="AD8" s="43" t="s">
        <v>974</v>
      </c>
      <c r="AE8" s="43" t="s">
        <v>904</v>
      </c>
      <c r="AF8" s="43" t="s">
        <v>913</v>
      </c>
      <c r="AG8" s="43" t="s">
        <v>914</v>
      </c>
      <c r="AH8" s="43" t="s">
        <v>915</v>
      </c>
      <c r="AI8" s="43" t="s">
        <v>902</v>
      </c>
      <c r="AJ8" s="43" t="s">
        <v>903</v>
      </c>
      <c r="AK8" s="43" t="s">
        <v>910</v>
      </c>
      <c r="AL8" s="43" t="s">
        <v>970</v>
      </c>
      <c r="AM8" s="43" t="s">
        <v>975</v>
      </c>
      <c r="AN8" s="43" t="s">
        <v>907</v>
      </c>
      <c r="AO8" s="43" t="s">
        <v>908</v>
      </c>
      <c r="AP8" s="43" t="s">
        <v>911</v>
      </c>
      <c r="AQ8" s="42" t="s">
        <v>909</v>
      </c>
      <c r="AR8" s="43" t="s">
        <v>971</v>
      </c>
      <c r="AS8" s="43" t="s">
        <v>972</v>
      </c>
      <c r="AT8" s="43" t="s">
        <v>973</v>
      </c>
      <c r="AU8" s="43" t="s">
        <v>976</v>
      </c>
      <c r="AV8" s="42" t="s">
        <v>1036</v>
      </c>
      <c r="AW8" s="42" t="s">
        <v>1037</v>
      </c>
      <c r="AX8" s="50" t="s">
        <v>1731</v>
      </c>
      <c r="AY8" s="50" t="s">
        <v>1732</v>
      </c>
      <c r="AZ8" s="50" t="s">
        <v>1733</v>
      </c>
      <c r="BA8" s="50" t="s">
        <v>1370</v>
      </c>
      <c r="BB8" s="50" t="s">
        <v>1371</v>
      </c>
      <c r="BC8" s="50" t="s">
        <v>1372</v>
      </c>
      <c r="BD8" s="42" t="s">
        <v>11</v>
      </c>
      <c r="BE8" s="42" t="s">
        <v>17</v>
      </c>
      <c r="BF8" s="61" t="s">
        <v>1561</v>
      </c>
      <c r="BG8" s="61" t="s">
        <v>1562</v>
      </c>
      <c r="BH8" s="42" t="s">
        <v>1374</v>
      </c>
      <c r="BI8" s="56" t="s">
        <v>1041</v>
      </c>
      <c r="BJ8" s="55" t="s">
        <v>1042</v>
      </c>
      <c r="BK8" s="55" t="s">
        <v>1043</v>
      </c>
      <c r="BL8" s="55" t="s">
        <v>1044</v>
      </c>
      <c r="BM8" s="55" t="s">
        <v>1045</v>
      </c>
      <c r="BN8" s="55" t="s">
        <v>1046</v>
      </c>
      <c r="BO8" s="42" t="s">
        <v>1047</v>
      </c>
      <c r="BP8" s="43" t="s">
        <v>916</v>
      </c>
      <c r="BQ8" s="42" t="s">
        <v>13</v>
      </c>
      <c r="BR8" s="42" t="s">
        <v>14</v>
      </c>
      <c r="BS8" s="38" t="s">
        <v>15</v>
      </c>
      <c r="BT8" s="37" t="s">
        <v>20</v>
      </c>
      <c r="BU8" s="37" t="s">
        <v>21</v>
      </c>
      <c r="BV8" s="37" t="s">
        <v>22</v>
      </c>
      <c r="BW8" s="37" t="s">
        <v>1573</v>
      </c>
      <c r="BX8" s="40" t="s">
        <v>912</v>
      </c>
      <c r="BY8" s="40" t="s">
        <v>1029</v>
      </c>
      <c r="BZ8" s="40" t="s">
        <v>1030</v>
      </c>
      <c r="CA8" s="40" t="s">
        <v>1031</v>
      </c>
      <c r="CB8" s="40" t="s">
        <v>1560</v>
      </c>
    </row>
    <row r="9" spans="1:80" x14ac:dyDescent="0.25">
      <c r="A9" s="52" t="s">
        <v>1740</v>
      </c>
      <c r="B9" s="3" t="s">
        <v>1745</v>
      </c>
      <c r="C9" s="3" t="s">
        <v>1568</v>
      </c>
      <c r="D9" s="3" t="s">
        <v>1568</v>
      </c>
      <c r="E9" s="3">
        <v>0</v>
      </c>
      <c r="F9" s="3">
        <v>0</v>
      </c>
      <c r="G9" s="3">
        <v>0</v>
      </c>
      <c r="H9" s="3">
        <v>0</v>
      </c>
      <c r="I9" s="3" t="s">
        <v>1746</v>
      </c>
      <c r="J9" s="3">
        <v>0</v>
      </c>
      <c r="K9" s="3">
        <v>0</v>
      </c>
      <c r="L9" s="3" t="s">
        <v>1738</v>
      </c>
      <c r="M9" s="3">
        <v>0</v>
      </c>
      <c r="N9" s="3">
        <v>0</v>
      </c>
      <c r="O9" s="5" t="s">
        <v>1568</v>
      </c>
      <c r="P9" s="5">
        <v>25.75</v>
      </c>
      <c r="Q9" s="5">
        <v>79.13</v>
      </c>
      <c r="R9" s="44">
        <v>0</v>
      </c>
      <c r="S9" s="44">
        <v>7.65</v>
      </c>
      <c r="T9" s="44">
        <v>0</v>
      </c>
      <c r="U9" s="44">
        <v>0</v>
      </c>
      <c r="V9" s="47" t="s">
        <v>1738</v>
      </c>
      <c r="W9" s="47" t="s">
        <v>1744</v>
      </c>
      <c r="X9" s="49">
        <v>5</v>
      </c>
      <c r="Y9" s="49">
        <v>8</v>
      </c>
      <c r="Z9" s="6">
        <v>20</v>
      </c>
      <c r="AA9" s="6">
        <v>1000000000</v>
      </c>
      <c r="AB9" s="6">
        <v>22</v>
      </c>
      <c r="AC9" s="4">
        <v>-0.1</v>
      </c>
      <c r="AD9" s="6" t="s">
        <v>1576</v>
      </c>
      <c r="AE9" s="6">
        <v>0</v>
      </c>
      <c r="AF9" s="6">
        <v>0</v>
      </c>
      <c r="AG9" s="6">
        <v>0</v>
      </c>
      <c r="AH9" s="6">
        <v>0</v>
      </c>
      <c r="AI9" s="6">
        <v>5</v>
      </c>
      <c r="AJ9" s="6">
        <v>0</v>
      </c>
      <c r="AK9" s="6">
        <v>17</v>
      </c>
      <c r="AL9" s="4">
        <v>0.15</v>
      </c>
      <c r="AM9" s="6" t="s">
        <v>1577</v>
      </c>
      <c r="AN9" s="6">
        <v>1</v>
      </c>
      <c r="AO9" s="6">
        <v>0</v>
      </c>
      <c r="AP9" s="6">
        <v>10</v>
      </c>
      <c r="AQ9" s="6">
        <v>12</v>
      </c>
      <c r="AR9" s="6">
        <v>0</v>
      </c>
      <c r="AS9" s="6">
        <v>0</v>
      </c>
      <c r="AT9" s="6">
        <v>0</v>
      </c>
      <c r="AU9" s="6">
        <v>0</v>
      </c>
      <c r="AV9" s="65">
        <v>0</v>
      </c>
      <c r="AW9" s="65">
        <v>0</v>
      </c>
      <c r="AX9" s="6">
        <f t="array" ref="AX9">IFERROR(INDEX(Datos_Consumo[CANTIDAD],MATCH(TABLATRANSFERENCIA[[#This Row],[CODIGO]]&amp;TABLATRANSFERENCIA[[#Headers],[2017-3]],Datos_Consumo[CODIGO]&amp;Datos_Consumo[FECHA_FORMATO],0)),0)</f>
        <v>0</v>
      </c>
      <c r="AY9" s="6">
        <f t="array" ref="AY9">IFERROR(INDEX(Datos_Consumo[CANTIDAD],MATCH(TABLATRANSFERENCIA[[#This Row],[CODIGO]]&amp;TABLATRANSFERENCIA[[#Headers],[2017-4]],Datos_Consumo[CODIGO]&amp;Datos_Consumo[FECHA_FORMATO],0)),0)</f>
        <v>0</v>
      </c>
      <c r="AZ9" s="6">
        <f t="array" ref="AZ9">IFERROR(INDEX(Datos_Consumo[CANTIDAD],MATCH(TABLATRANSFERENCIA[[#This Row],[CODIGO]]&amp;TABLATRANSFERENCIA[[#Headers],[2017-5]],Datos_Consumo[CODIGO]&amp;Datos_Consumo[FECHA_FORMATO],0)),0)</f>
        <v>0</v>
      </c>
      <c r="BA9" s="6">
        <f t="array" ref="BA9">IFERROR(INDEX(Datos_Consumo[CANTIDAD],MATCH(TABLATRANSFERENCIA[[#This Row],[CODIGO]]&amp;TABLATRANSFERENCIA[[#Headers],[Columna4]],Datos_Consumo[CODIGO]&amp;Datos_Consumo[FECHA_FORMATO],0)),0)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8">
        <v>10</v>
      </c>
      <c r="BE9" s="53">
        <v>10</v>
      </c>
      <c r="BF9" s="62">
        <v>42971</v>
      </c>
      <c r="BG9" s="60">
        <v>43027</v>
      </c>
      <c r="BH9" s="49"/>
      <c r="BI9" s="49"/>
      <c r="BJ9" s="49">
        <f>IF(RIGHT(TABLATRANSFERENCIA[[#Headers],[Emb1]],1)*1&lt;=TABLATRANSFERENCIA[[#This Row],[EMBARQUES]],IF(ISBLANK(TABLATRANSFERENCIA[[#This Row],[EMBARQUES]]),TABLATRANSFERENCIA[[#This Row],[REQUERIM]],ROUND(TABLATRANSFERENCIA[[#This Row],[REQUERIM]]/TABLATRANSFERENCIA[[#This Row],[EMBARQUES]],0)),TABLATRANSFERENCIA[[#This Row],[REQUERIM]])</f>
        <v>10</v>
      </c>
      <c r="BK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49"/>
      <c r="BP9" s="44">
        <f>IFERROR(TABLATRANSFERENCIA[[#This Row],[REQUERIM]]/TABLATRANSFERENCIA[[#This Row],[PEDIDO PROMEDIO]],0)</f>
        <v>0.83333333333333337</v>
      </c>
      <c r="BQ9" s="49"/>
      <c r="BR9" s="58"/>
      <c r="BS9" s="3">
        <f>IF(TABLATRANSFERENCIA[[#This Row],[RECIBIDO]]&lt;&gt;"",0,IF(TABLATRANSFERENCIA[[#This Row],[DESPACHO]]&lt;&gt;"",TABLATRANSFERENCIA[[#This Row],[DESPACHO]],TABLATRANSFERENCIA[[#This Row],[REQUERIM]]))</f>
        <v>10</v>
      </c>
      <c r="BT9" s="48"/>
      <c r="BU9" s="48"/>
      <c r="BV9" s="48" t="str">
        <f>"N"</f>
        <v>N</v>
      </c>
      <c r="BW9" s="49" t="s">
        <v>1574</v>
      </c>
      <c r="BX9" s="49">
        <f t="array" ref="BX9">IF(SUM(--(TABLATRANSFERENCIA[[#This Row],[CODIGO GENERICO]]=TABLATRANSFERENCIA[CODIGO GENERICO])*TABLATRANSFERENCIA[REQUERIM])&lt;TABLATRANSFERENCIA[[#This Row],[PEDIDO MIN GRUPO]],1,0)</f>
        <v>0</v>
      </c>
      <c r="BY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9" s="49">
        <v>13</v>
      </c>
      <c r="CA9" s="49">
        <v>7</v>
      </c>
      <c r="CB9" s="49"/>
    </row>
    <row r="10" spans="1:80" x14ac:dyDescent="0.25">
      <c r="A10" s="52" t="s">
        <v>1558</v>
      </c>
      <c r="B10" s="3" t="s">
        <v>1745</v>
      </c>
      <c r="C10" s="3" t="s">
        <v>1568</v>
      </c>
      <c r="D10" s="3" t="s">
        <v>1568</v>
      </c>
      <c r="E10" s="3">
        <v>0</v>
      </c>
      <c r="F10" s="3">
        <v>0</v>
      </c>
      <c r="G10" s="3">
        <v>0</v>
      </c>
      <c r="H10" s="3">
        <v>0</v>
      </c>
      <c r="I10" s="3" t="s">
        <v>1746</v>
      </c>
      <c r="J10" s="3">
        <v>0</v>
      </c>
      <c r="K10" s="3">
        <v>0</v>
      </c>
      <c r="L10" s="3" t="s">
        <v>1738</v>
      </c>
      <c r="M10" s="3">
        <v>0</v>
      </c>
      <c r="N10" s="3">
        <v>0</v>
      </c>
      <c r="O10" s="5" t="s">
        <v>1568</v>
      </c>
      <c r="P10" s="5">
        <v>31.53</v>
      </c>
      <c r="Q10" s="5">
        <v>89.39</v>
      </c>
      <c r="R10" s="44">
        <v>0</v>
      </c>
      <c r="S10" s="44">
        <v>6.78</v>
      </c>
      <c r="T10" s="44">
        <v>0</v>
      </c>
      <c r="U10" s="44">
        <v>0</v>
      </c>
      <c r="V10" s="47" t="s">
        <v>1738</v>
      </c>
      <c r="W10" s="47" t="s">
        <v>1744</v>
      </c>
      <c r="X10" s="49">
        <v>5</v>
      </c>
      <c r="Y10" s="49">
        <v>8</v>
      </c>
      <c r="Z10" s="6">
        <v>20</v>
      </c>
      <c r="AA10" s="6">
        <v>1000000000</v>
      </c>
      <c r="AB10" s="6">
        <v>14</v>
      </c>
      <c r="AC10" s="4">
        <v>0.3</v>
      </c>
      <c r="AD10" s="6" t="s">
        <v>1577</v>
      </c>
      <c r="AE10" s="6">
        <v>0</v>
      </c>
      <c r="AF10" s="6">
        <v>0</v>
      </c>
      <c r="AG10" s="6">
        <v>0</v>
      </c>
      <c r="AH10" s="6">
        <v>0</v>
      </c>
      <c r="AI10" s="6">
        <v>0</v>
      </c>
      <c r="AJ10" s="6">
        <v>0</v>
      </c>
      <c r="AK10" s="6">
        <v>14</v>
      </c>
      <c r="AL10" s="4">
        <v>0.3</v>
      </c>
      <c r="AM10" s="6" t="s">
        <v>1577</v>
      </c>
      <c r="AN10" s="6">
        <v>1</v>
      </c>
      <c r="AO10" s="6">
        <v>0</v>
      </c>
      <c r="AP10" s="6">
        <v>5</v>
      </c>
      <c r="AQ10" s="6">
        <v>12</v>
      </c>
      <c r="AR10" s="6">
        <v>4</v>
      </c>
      <c r="AS10" s="6">
        <v>2.8</v>
      </c>
      <c r="AT10" s="6">
        <v>0.2</v>
      </c>
      <c r="AU10" s="6">
        <v>0</v>
      </c>
      <c r="AV10" s="65">
        <v>0</v>
      </c>
      <c r="AW10" s="65">
        <v>0</v>
      </c>
      <c r="AX10" s="6">
        <f t="array" ref="AX10">IFERROR(INDEX(Datos_Consumo[CANTIDAD],MATCH(TABLATRANSFERENCIA[[#This Row],[CODIGO]]&amp;TABLATRANSFERENCIA[[#Headers],[2017-3]],Datos_Consumo[CODIGO]&amp;Datos_Consumo[FECHA_FORMATO],0)),0)</f>
        <v>25</v>
      </c>
      <c r="AY10" s="6">
        <f t="array" ref="AY10">IFERROR(INDEX(Datos_Consumo[CANTIDAD],MATCH(TABLATRANSFERENCIA[[#This Row],[CODIGO]]&amp;TABLATRANSFERENCIA[[#Headers],[2017-4]],Datos_Consumo[CODIGO]&amp;Datos_Consumo[FECHA_FORMATO],0)),0)</f>
        <v>5</v>
      </c>
      <c r="AZ10" s="6">
        <f t="array" ref="AZ10">IFERROR(INDEX(Datos_Consumo[CANTIDAD],MATCH(TABLATRANSFERENCIA[[#This Row],[CODIGO]]&amp;TABLATRANSFERENCIA[[#Headers],[2017-5]],Datos_Consumo[CODIGO]&amp;Datos_Consumo[FECHA_FORMATO],0)),0)</f>
        <v>0</v>
      </c>
      <c r="BA10" s="6">
        <f t="array" ref="BA10">IFERROR(INDEX(Datos_Consumo[CANTIDAD],MATCH(TABLATRANSFERENCIA[[#This Row],[CODIGO]]&amp;TABLATRANSFERENCIA[[#Headers],[Columna4]],Datos_Consumo[CODIGO]&amp;Datos_Consumo[FECHA_FORMATO],0)),0)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8">
        <v>5</v>
      </c>
      <c r="BE10" s="53">
        <v>5</v>
      </c>
      <c r="BF10" s="62">
        <v>42971</v>
      </c>
      <c r="BG10" s="60">
        <v>43027</v>
      </c>
      <c r="BH10" s="49"/>
      <c r="BI10" s="49"/>
      <c r="BJ10"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49"/>
      <c r="BP10" s="44">
        <f>IFERROR(TABLATRANSFERENCIA[[#This Row],[REQUERIM]]/TABLATRANSFERENCIA[[#This Row],[PEDIDO PROMEDIO]],0)</f>
        <v>0.41666666666666669</v>
      </c>
      <c r="BQ10" s="49"/>
      <c r="BR10" s="58"/>
      <c r="BS10" s="3">
        <f>IF(TABLATRANSFERENCIA[[#This Row],[RECIBIDO]]&lt;&gt;"",0,IF(TABLATRANSFERENCIA[[#This Row],[DESPACHO]]&lt;&gt;"",TABLATRANSFERENCIA[[#This Row],[DESPACHO]],TABLATRANSFERENCIA[[#This Row],[REQUERIM]]))</f>
        <v>5</v>
      </c>
      <c r="BT10" s="48"/>
      <c r="BU10" s="48"/>
      <c r="BV10" s="48" t="str">
        <f t="shared" ref="BV10:BV12" si="0">"N"</f>
        <v>N</v>
      </c>
      <c r="BW10" s="49" t="s">
        <v>1574</v>
      </c>
      <c r="BX10" s="49">
        <f t="array" ref="BX10">IF(SUM(--(TABLATRANSFERENCIA[[#This Row],[CODIGO GENERICO]]=TABLATRANSFERENCIA[CODIGO GENERICO])*TABLATRANSFERENCIA[REQUERIM])&lt;TABLATRANSFERENCIA[[#This Row],[PEDIDO MIN GRUPO]],1,0)</f>
        <v>0</v>
      </c>
      <c r="BY1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 s="49">
        <v>13</v>
      </c>
      <c r="CA10" s="49">
        <v>7</v>
      </c>
      <c r="CB10" s="49"/>
    </row>
    <row r="11" spans="1:80" x14ac:dyDescent="0.25">
      <c r="A11" s="52" t="s">
        <v>1559</v>
      </c>
      <c r="B11" s="3" t="s">
        <v>1747</v>
      </c>
      <c r="C11" s="3" t="s">
        <v>1568</v>
      </c>
      <c r="D11" s="3" t="s">
        <v>1568</v>
      </c>
      <c r="E11" s="3">
        <v>0</v>
      </c>
      <c r="F11" s="3">
        <v>0</v>
      </c>
      <c r="G11" s="3">
        <v>0</v>
      </c>
      <c r="H11" s="3">
        <v>0</v>
      </c>
      <c r="I11" s="3" t="s">
        <v>1746</v>
      </c>
      <c r="J11" s="3">
        <v>0</v>
      </c>
      <c r="K11" s="3">
        <v>0</v>
      </c>
      <c r="L11" s="3" t="s">
        <v>1738</v>
      </c>
      <c r="M11" s="3">
        <v>0</v>
      </c>
      <c r="N11" s="3">
        <v>0</v>
      </c>
      <c r="O11" s="5" t="s">
        <v>1568</v>
      </c>
      <c r="P11" s="5">
        <v>39.35</v>
      </c>
      <c r="Q11" s="5">
        <v>136.6</v>
      </c>
      <c r="R11" s="44">
        <v>0</v>
      </c>
      <c r="S11" s="44">
        <v>9.1300000000000008</v>
      </c>
      <c r="T11" s="44">
        <v>0</v>
      </c>
      <c r="U11" s="44">
        <v>0</v>
      </c>
      <c r="V11" s="47" t="s">
        <v>1738</v>
      </c>
      <c r="W11" s="47" t="s">
        <v>1744</v>
      </c>
      <c r="X11" s="49">
        <v>5</v>
      </c>
      <c r="Y11" s="49">
        <v>8</v>
      </c>
      <c r="Z11" s="6">
        <v>120</v>
      </c>
      <c r="AA11" s="6">
        <v>1000000000</v>
      </c>
      <c r="AB11" s="6">
        <v>106</v>
      </c>
      <c r="AC11" s="4">
        <v>0.12</v>
      </c>
      <c r="AD11" s="6" t="s">
        <v>1577</v>
      </c>
      <c r="AE11" s="6">
        <v>0</v>
      </c>
      <c r="AF11" s="6">
        <v>0</v>
      </c>
      <c r="AG11" s="6">
        <v>0</v>
      </c>
      <c r="AH11" s="6">
        <v>0</v>
      </c>
      <c r="AI11" s="6">
        <v>0</v>
      </c>
      <c r="AJ11" s="6">
        <v>0</v>
      </c>
      <c r="AK11" s="6">
        <v>106</v>
      </c>
      <c r="AL11" s="4">
        <v>0.12</v>
      </c>
      <c r="AM11" s="6" t="s">
        <v>1577</v>
      </c>
      <c r="AN11" s="6">
        <v>1</v>
      </c>
      <c r="AO11" s="6">
        <v>0</v>
      </c>
      <c r="AP11" s="6">
        <v>5</v>
      </c>
      <c r="AQ11" s="6">
        <v>74</v>
      </c>
      <c r="AR11" s="6">
        <v>8.17</v>
      </c>
      <c r="AS11" s="6">
        <v>7.22</v>
      </c>
      <c r="AT11" s="6">
        <v>7.0000000000000007E-2</v>
      </c>
      <c r="AU11" s="6">
        <v>0</v>
      </c>
      <c r="AV11" s="65">
        <v>0</v>
      </c>
      <c r="AW11" s="65">
        <v>0</v>
      </c>
      <c r="AX11" s="6">
        <f t="array" ref="AX11">IFERROR(INDEX(Datos_Consumo[CANTIDAD],MATCH(TABLATRANSFERENCIA[[#This Row],[CODIGO]]&amp;TABLATRANSFERENCIA[[#Headers],[2017-3]],Datos_Consumo[CODIGO]&amp;Datos_Consumo[FECHA_FORMATO],0)),0)</f>
        <v>42</v>
      </c>
      <c r="AY11" s="6">
        <f t="array" ref="AY11">IFERROR(INDEX(Datos_Consumo[CANTIDAD],MATCH(TABLATRANSFERENCIA[[#This Row],[CODIGO]]&amp;TABLATRANSFERENCIA[[#Headers],[2017-4]],Datos_Consumo[CODIGO]&amp;Datos_Consumo[FECHA_FORMATO],0)),0)</f>
        <v>34</v>
      </c>
      <c r="AZ11" s="6">
        <f t="array" ref="AZ11">IFERROR(INDEX(Datos_Consumo[CANTIDAD],MATCH(TABLATRANSFERENCIA[[#This Row],[CODIGO]]&amp;TABLATRANSFERENCIA[[#Headers],[2017-5]],Datos_Consumo[CODIGO]&amp;Datos_Consumo[FECHA_FORMATO],0)),0)</f>
        <v>12</v>
      </c>
      <c r="BA11" s="6">
        <f t="array" ref="BA11">IFERROR(INDEX(Datos_Consumo[CANTIDAD],MATCH(TABLATRANSFERENCIA[[#This Row],[CODIGO]]&amp;TABLATRANSFERENCIA[[#Headers],[Columna4]],Datos_Consumo[CODIGO]&amp;Datos_Consumo[FECHA_FORMATO],0)),0)</f>
        <v>0</v>
      </c>
      <c r="BB11" s="6">
        <f t="array" ref="BB11">IFERROR(INDEX(Datos_Consumo[CANTIDAD],MATCH(TABLATRANSFERENCIA[[#This Row],[CODIGO]]&amp;TABLATRANSFERENCIA[[#Headers],[Columna5]],Datos_Consumo[CODIGO]&amp;Datos_Consumo[FECHA_FORMATO],0)),0)</f>
        <v>0</v>
      </c>
      <c r="BC11" s="6">
        <f t="array" ref="BC11">IFERROR(INDEX(Datos_Consumo[CANTIDAD],MATCH(TABLATRANSFERENCIA[[#This Row],[CODIGO]]&amp;TABLATRANSFERENCIA[[#Headers],[Columna6]],Datos_Consumo[CODIGO]&amp;Datos_Consumo[FECHA_FORMATO],0)),0)</f>
        <v>0</v>
      </c>
      <c r="BD11" s="48">
        <v>15</v>
      </c>
      <c r="BE11" s="53">
        <v>15</v>
      </c>
      <c r="BF11" s="62">
        <v>42971</v>
      </c>
      <c r="BG11" s="60">
        <v>43027</v>
      </c>
      <c r="BH11" s="49"/>
      <c r="BI11" s="49"/>
      <c r="BJ11" s="49">
        <f>IF(RIGHT(TABLATRANSFERENCIA[[#Headers],[Emb1]],1)*1&lt;=TABLATRANSFERENCIA[[#This Row],[EMBARQUES]],IF(ISBLANK(TABLATRANSFERENCIA[[#This Row],[EMBARQUES]]),TABLATRANSFERENCIA[[#This Row],[REQUERIM]],ROUND(TABLATRANSFERENCIA[[#This Row],[REQUERIM]]/TABLATRANSFERENCIA[[#This Row],[EMBARQUES]],0)),TABLATRANSFERENCIA[[#This Row],[REQUERIM]])</f>
        <v>15</v>
      </c>
      <c r="BK1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49"/>
      <c r="BP11" s="44">
        <f>IFERROR(TABLATRANSFERENCIA[[#This Row],[REQUERIM]]/TABLATRANSFERENCIA[[#This Row],[PEDIDO PROMEDIO]],0)</f>
        <v>0.20270270270270271</v>
      </c>
      <c r="BQ11" s="49"/>
      <c r="BR11" s="58"/>
      <c r="BS11" s="3">
        <f>IF(TABLATRANSFERENCIA[[#This Row],[RECIBIDO]]&lt;&gt;"",0,IF(TABLATRANSFERENCIA[[#This Row],[DESPACHO]]&lt;&gt;"",TABLATRANSFERENCIA[[#This Row],[DESPACHO]],TABLATRANSFERENCIA[[#This Row],[REQUERIM]]))</f>
        <v>15</v>
      </c>
      <c r="BT11" s="48"/>
      <c r="BU11" s="48"/>
      <c r="BV11" s="48" t="str">
        <f t="shared" si="0"/>
        <v>N</v>
      </c>
      <c r="BW11" s="49" t="s">
        <v>1574</v>
      </c>
      <c r="BX11" s="49">
        <f t="array" ref="BX11">IF(SUM(--(TABLATRANSFERENCIA[[#This Row],[CODIGO GENERICO]]=TABLATRANSFERENCIA[CODIGO GENERICO])*TABLATRANSFERENCIA[REQUERIM])&lt;TABLATRANSFERENCIA[[#This Row],[PEDIDO MIN GRUPO]],1,0)</f>
        <v>0</v>
      </c>
      <c r="BY1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 s="49">
        <v>80</v>
      </c>
      <c r="CA11" s="49">
        <v>40</v>
      </c>
      <c r="CB11" s="49"/>
    </row>
    <row r="12" spans="1:80" x14ac:dyDescent="0.25">
      <c r="A12" s="52" t="s">
        <v>1741</v>
      </c>
      <c r="B12" s="3" t="s">
        <v>1752</v>
      </c>
      <c r="C12" s="3" t="s">
        <v>1568</v>
      </c>
      <c r="D12" s="3" t="s">
        <v>1568</v>
      </c>
      <c r="E12" s="3">
        <v>0</v>
      </c>
      <c r="F12" s="3">
        <v>0</v>
      </c>
      <c r="G12" s="3">
        <v>0</v>
      </c>
      <c r="H12" s="3">
        <v>0</v>
      </c>
      <c r="I12" s="3" t="s">
        <v>1746</v>
      </c>
      <c r="J12" s="3">
        <v>0</v>
      </c>
      <c r="K12" s="3">
        <v>0</v>
      </c>
      <c r="L12" s="3" t="s">
        <v>1738</v>
      </c>
      <c r="M12" s="3">
        <v>0</v>
      </c>
      <c r="N12" s="3">
        <v>0</v>
      </c>
      <c r="O12" s="5" t="s">
        <v>1568</v>
      </c>
      <c r="P12" s="5">
        <v>335.61</v>
      </c>
      <c r="Q12" s="5">
        <v>0</v>
      </c>
      <c r="R12" s="44">
        <v>0</v>
      </c>
      <c r="S12" s="44">
        <v>-3.69</v>
      </c>
      <c r="T12" s="44">
        <v>0</v>
      </c>
      <c r="U12" s="44">
        <v>0</v>
      </c>
      <c r="V12" s="47" t="s">
        <v>1738</v>
      </c>
      <c r="W12" s="47" t="s">
        <v>1744</v>
      </c>
      <c r="X12" s="49">
        <v>5</v>
      </c>
      <c r="Y12" s="49">
        <v>8</v>
      </c>
      <c r="Z12" s="6">
        <v>50</v>
      </c>
      <c r="AA12" s="6">
        <v>1000000000</v>
      </c>
      <c r="AB12" s="6">
        <v>1</v>
      </c>
      <c r="AC12" s="4">
        <v>0.98</v>
      </c>
      <c r="AD12" s="6" t="s">
        <v>1736</v>
      </c>
      <c r="AE12" s="6">
        <v>0</v>
      </c>
      <c r="AF12" s="6">
        <v>0</v>
      </c>
      <c r="AG12" s="6">
        <v>0</v>
      </c>
      <c r="AH12" s="6">
        <v>0</v>
      </c>
      <c r="AI12" s="6">
        <v>0</v>
      </c>
      <c r="AJ12" s="6">
        <v>0</v>
      </c>
      <c r="AK12" s="6">
        <v>1</v>
      </c>
      <c r="AL12" s="4">
        <v>0.98</v>
      </c>
      <c r="AM12" s="6" t="s">
        <v>1736</v>
      </c>
      <c r="AN12" s="6">
        <v>1</v>
      </c>
      <c r="AO12" s="6">
        <v>0</v>
      </c>
      <c r="AP12" s="6">
        <v>1</v>
      </c>
      <c r="AQ12" s="6">
        <v>31</v>
      </c>
      <c r="AR12" s="6">
        <v>0</v>
      </c>
      <c r="AS12" s="6">
        <v>0</v>
      </c>
      <c r="AT12" s="6">
        <v>0</v>
      </c>
      <c r="AU12" s="6">
        <v>0</v>
      </c>
      <c r="AV12" s="65">
        <v>0</v>
      </c>
      <c r="AW12" s="65">
        <v>0</v>
      </c>
      <c r="AX12" s="6">
        <f t="array" ref="AX12">IFERROR(INDEX(Datos_Consumo[CANTIDAD],MATCH(TABLATRANSFERENCIA[[#This Row],[CODIGO]]&amp;TABLATRANSFERENCIA[[#Headers],[2017-3]],Datos_Consumo[CODIGO]&amp;Datos_Consumo[FECHA_FORMATO],0)),0)</f>
        <v>0</v>
      </c>
      <c r="AY12" s="6">
        <f t="array" ref="AY12">IFERROR(INDEX(Datos_Consumo[CANTIDAD],MATCH(TABLATRANSFERENCIA[[#This Row],[CODIGO]]&amp;TABLATRANSFERENCIA[[#Headers],[2017-4]],Datos_Consumo[CODIGO]&amp;Datos_Consumo[FECHA_FORMATO],0)),0)</f>
        <v>0</v>
      </c>
      <c r="AZ12" s="6">
        <f t="array" ref="AZ12">IFERROR(INDEX(Datos_Consumo[CANTIDAD],MATCH(TABLATRANSFERENCIA[[#This Row],[CODIGO]]&amp;TABLATRANSFERENCIA[[#Headers],[2017-5]],Datos_Consumo[CODIGO]&amp;Datos_Consumo[FECHA_FORMATO],0)),0)</f>
        <v>0</v>
      </c>
      <c r="BA12" s="6">
        <f t="array" ref="BA12">IFERROR(INDEX(Datos_Consumo[CANTIDAD],MATCH(TABLATRANSFERENCIA[[#This Row],[CODIGO]]&amp;TABLATRANSFERENCIA[[#Headers],[Columna4]],Datos_Consumo[CODIGO]&amp;Datos_Consumo[FECHA_FORMATO],0)),0)</f>
        <v>0</v>
      </c>
      <c r="BB12" s="6">
        <f t="array" ref="BB12">IFERROR(INDEX(Datos_Consumo[CANTIDAD],MATCH(TABLATRANSFERENCIA[[#This Row],[CODIGO]]&amp;TABLATRANSFERENCIA[[#Headers],[Columna5]],Datos_Consumo[CODIGO]&amp;Datos_Consumo[FECHA_FORMATO],0)),0)</f>
        <v>0</v>
      </c>
      <c r="BC12" s="6">
        <f t="array" ref="BC12">IFERROR(INDEX(Datos_Consumo[CANTIDAD],MATCH(TABLATRANSFERENCIA[[#This Row],[CODIGO]]&amp;TABLATRANSFERENCIA[[#Headers],[Columna6]],Datos_Consumo[CODIGO]&amp;Datos_Consumo[FECHA_FORMATO],0)),0)</f>
        <v>0</v>
      </c>
      <c r="BD12" s="48">
        <v>49</v>
      </c>
      <c r="BE12" s="53">
        <v>49</v>
      </c>
      <c r="BF12" s="62">
        <v>42971</v>
      </c>
      <c r="BG12" s="60">
        <v>43027</v>
      </c>
      <c r="BH12" s="49"/>
      <c r="BI12" s="49"/>
      <c r="BJ12" s="49">
        <f>IF(RIGHT(TABLATRANSFERENCIA[[#Headers],[Emb1]],1)*1&lt;=TABLATRANSFERENCIA[[#This Row],[EMBARQUES]],IF(ISBLANK(TABLATRANSFERENCIA[[#This Row],[EMBARQUES]]),TABLATRANSFERENCIA[[#This Row],[REQUERIM]],ROUND(TABLATRANSFERENCIA[[#This Row],[REQUERIM]]/TABLATRANSFERENCIA[[#This Row],[EMBARQUES]],0)),TABLATRANSFERENCIA[[#This Row],[REQUERIM]])</f>
        <v>49</v>
      </c>
      <c r="BK1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49"/>
      <c r="BP12" s="44">
        <f>IFERROR(TABLATRANSFERENCIA[[#This Row],[REQUERIM]]/TABLATRANSFERENCIA[[#This Row],[PEDIDO PROMEDIO]],0)</f>
        <v>1.5806451612903225</v>
      </c>
      <c r="BQ12" s="49"/>
      <c r="BR12" s="58"/>
      <c r="BS12" s="3">
        <f>IF(TABLATRANSFERENCIA[[#This Row],[RECIBIDO]]&lt;&gt;"",0,IF(TABLATRANSFERENCIA[[#This Row],[DESPACHO]]&lt;&gt;"",TABLATRANSFERENCIA[[#This Row],[DESPACHO]],TABLATRANSFERENCIA[[#This Row],[REQUERIM]]))</f>
        <v>49</v>
      </c>
      <c r="BT12" s="48"/>
      <c r="BU12" s="48"/>
      <c r="BV12" s="48" t="str">
        <f t="shared" si="0"/>
        <v>N</v>
      </c>
      <c r="BW12" s="49" t="s">
        <v>1574</v>
      </c>
      <c r="BX12" s="49">
        <f t="array" ref="BX12">IF(SUM(--(TABLATRANSFERENCIA[[#This Row],[CODIGO GENERICO]]=TABLATRANSFERENCIA[CODIGO GENERICO])*TABLATRANSFERENCIA[REQUERIM])&lt;TABLATRANSFERENCIA[[#This Row],[PEDIDO MIN GRUPO]],1,0)</f>
        <v>0</v>
      </c>
      <c r="BY1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 s="49">
        <v>33</v>
      </c>
      <c r="CA12" s="49">
        <v>17</v>
      </c>
      <c r="CB12" s="49"/>
    </row>
  </sheetData>
  <sheetProtection algorithmName="SHA-512" hashValue="dpvT1wkKSbNul5zPv7EVdRUvg9UFiCho/rhy5lemKSISHR9Sg9qKTqFxc5rEuu+NDuQLsyA7npweN7VnGUxrVQ==" saltValue="lvfQTV9xDetYuaIqwbiqBA==" spinCount="100000" sheet="1" objects="1" scenarios="1" formatCells="0" sort="0" autoFilter="0"/>
  <conditionalFormatting sqref="BQ9:BR12">
    <cfRule type="expression" dxfId="46" priority="36">
      <formula>ISBLANK(BQ9)</formula>
    </cfRule>
  </conditionalFormatting>
  <conditionalFormatting sqref="B5">
    <cfRule type="expression" dxfId="45" priority="28">
      <formula>ISBLANK(REFERENCIA)</formula>
    </cfRule>
  </conditionalFormatting>
  <conditionalFormatting sqref="D3">
    <cfRule type="expression" dxfId="44" priority="26">
      <formula>AND(ISNUMBER($D$3),$D$3&lt;$D$2)</formula>
    </cfRule>
    <cfRule type="expression" dxfId="43" priority="35">
      <formula>ISBLANK(FECHACIERRE)</formula>
    </cfRule>
  </conditionalFormatting>
  <conditionalFormatting sqref="B6 D3">
    <cfRule type="expression" dxfId="42" priority="27">
      <formula>ISBLANK(FECHAARRIBO)</formula>
    </cfRule>
  </conditionalFormatting>
  <conditionalFormatting sqref="B7">
    <cfRule type="expression" dxfId="41" priority="25">
      <formula>NOT((B7=""))</formula>
    </cfRule>
  </conditionalFormatting>
  <conditionalFormatting sqref="AK9:AK12 AB9:AB12">
    <cfRule type="expression" dxfId="40" priority="17">
      <formula>AD9="G"</formula>
    </cfRule>
    <cfRule type="expression" dxfId="39" priority="18">
      <formula>AD9="L"</formula>
    </cfRule>
    <cfRule type="expression" dxfId="38" priority="19">
      <formula>AD9="V"</formula>
    </cfRule>
    <cfRule type="expression" dxfId="37" priority="20">
      <formula>AD9="A"</formula>
    </cfRule>
    <cfRule type="expression" dxfId="36" priority="21">
      <formula>AD9="N"</formula>
    </cfRule>
    <cfRule type="expression" dxfId="35" priority="22">
      <formula>AD9="R"</formula>
    </cfRule>
  </conditionalFormatting>
  <conditionalFormatting sqref="BU9:BU12">
    <cfRule type="expression" dxfId="34" priority="17386">
      <formula>AND(ISNUMBER($BR9),$BQ9&lt;&gt;$BR9)</formula>
    </cfRule>
  </conditionalFormatting>
  <conditionalFormatting sqref="AO9:AO12">
    <cfRule type="expression" dxfId="33" priority="10">
      <formula>$BX9=1</formula>
    </cfRule>
  </conditionalFormatting>
  <conditionalFormatting sqref="BD9:BD12">
    <cfRule type="expression" dxfId="32" priority="4">
      <formula>$BY9="N"</formula>
    </cfRule>
    <cfRule type="expression" dxfId="31" priority="5">
      <formula>$BY9="R"</formula>
    </cfRule>
    <cfRule type="expression" dxfId="30" priority="6">
      <formula>$BY9="A"</formula>
    </cfRule>
    <cfRule type="expression" dxfId="29" priority="7">
      <formula>$BY9="L"</formula>
    </cfRule>
    <cfRule type="expression" dxfId="28" priority="8">
      <formula>$BY9="V"</formula>
    </cfRule>
    <cfRule type="expression" dxfId="27" priority="9">
      <formula>$BY9="G"</formula>
    </cfRule>
  </conditionalFormatting>
  <conditionalFormatting sqref="BT9:BT12">
    <cfRule type="expression" dxfId="26" priority="63702">
      <formula>AND(ISNUMBER($BQ9),$BD9&lt;&gt;$BQ9)</formula>
    </cfRule>
  </conditionalFormatting>
  <conditionalFormatting sqref="D1">
    <cfRule type="expression" dxfId="25" priority="1">
      <formula>mensaje="TRANSFERENCIA CARGADA"</formula>
    </cfRule>
    <cfRule type="expression" dxfId="24" priority="2">
      <formula>mensaje&lt;&gt;""</formula>
    </cfRule>
  </conditionalFormatting>
  <conditionalFormatting sqref="R1:S1">
    <cfRule type="expression" dxfId="23" priority="64702">
      <formula>COUNTA($BR$9:$BR$12)=0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2">
      <formula1>RangoCausas</formula1>
    </dataValidation>
    <dataValidation type="whole" allowBlank="1" showErrorMessage="1" promptTitle="Número de Embarques" sqref="BJ9:BN12">
      <formula1>0</formula1>
      <formula2>1000000</formula2>
    </dataValidation>
    <dataValidation type="whole" allowBlank="1" showErrorMessage="1" promptTitle="Número de Embarques" sqref="BI9:BI12">
      <formula1>1</formula1>
      <formula2>5</formula2>
    </dataValidation>
    <dataValidation allowBlank="1" showErrorMessage="1" promptTitle="Número de Embarques" sqref="BO9:BO12"/>
    <dataValidation type="list" allowBlank="1" showInputMessage="1" showErrorMessage="1" sqref="BW9:BW12">
      <formula1>"ACT,INA"</formula1>
    </dataValidation>
    <dataValidation type="custom" operator="greaterThan" allowBlank="1" showInputMessage="1" showErrorMessage="1" error="No puede ser menor a la fecha de inicio." sqref="BG9:BG12">
      <formula1>BG9&gt;=BF9</formula1>
    </dataValidation>
    <dataValidation type="custom" operator="greaterThanOrEqual" allowBlank="1" showInputMessage="1" showErrorMessage="1" error="No puede ser anterior a la fecha de creación de la transferencia ni menor a la fecha de finalización." sqref="BF9:BF12">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219075</xdr:colOff>
                <xdr:row>0</xdr:row>
                <xdr:rowOff>28575</xdr:rowOff>
              </from>
              <to>
                <xdr:col>1</xdr:col>
                <xdr:colOff>590550</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4</xdr:col>
                <xdr:colOff>1038225</xdr:colOff>
                <xdr:row>0</xdr:row>
                <xdr:rowOff>276225</xdr:rowOff>
              </from>
              <to>
                <xdr:col>6</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28575</xdr:colOff>
                <xdr:row>0</xdr:row>
                <xdr:rowOff>333375</xdr:rowOff>
              </from>
              <to>
                <xdr:col>0</xdr:col>
                <xdr:colOff>685800</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6</xdr:col>
                <xdr:colOff>276225</xdr:colOff>
                <xdr:row>0</xdr:row>
                <xdr:rowOff>276225</xdr:rowOff>
              </from>
              <to>
                <xdr:col>6</xdr:col>
                <xdr:colOff>1181100</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838200</xdr:colOff>
                <xdr:row>0</xdr:row>
                <xdr:rowOff>28575</xdr:rowOff>
              </from>
              <to>
                <xdr:col>0</xdr:col>
                <xdr:colOff>1095375</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mc:AlternateContent xmlns:mc="http://schemas.openxmlformats.org/markup-compatibility/2006">
      <mc:Choice Requires="x14">
        <control shapeId="1087" r:id="rId44" name="cmdBuffer">
          <controlPr defaultSize="0" autoLine="0" r:id="rId45">
            <anchor>
              <from>
                <xdr:col>1</xdr:col>
                <xdr:colOff>2276475</xdr:colOff>
                <xdr:row>0</xdr:row>
                <xdr:rowOff>333375</xdr:rowOff>
              </from>
              <to>
                <xdr:col>1</xdr:col>
                <xdr:colOff>2533650</xdr:colOff>
                <xdr:row>0</xdr:row>
                <xdr:rowOff>581025</xdr:rowOff>
              </to>
            </anchor>
          </controlPr>
        </control>
      </mc:Choice>
      <mc:Fallback>
        <control shapeId="1087" r:id="rId44" name="cmdBuffer"/>
      </mc:Fallback>
    </mc:AlternateContent>
    <mc:AlternateContent xmlns:mc="http://schemas.openxmlformats.org/markup-compatibility/2006">
      <mc:Choice Requires="x14">
        <control shapeId="1088" r:id="rId46" name="cmdReq">
          <controlPr defaultSize="0" autoLine="0" r:id="rId47">
            <anchor>
              <from>
                <xdr:col>1</xdr:col>
                <xdr:colOff>2552700</xdr:colOff>
                <xdr:row>0</xdr:row>
                <xdr:rowOff>333375</xdr:rowOff>
              </from>
              <to>
                <xdr:col>1</xdr:col>
                <xdr:colOff>2800350</xdr:colOff>
                <xdr:row>0</xdr:row>
                <xdr:rowOff>581025</xdr:rowOff>
              </to>
            </anchor>
          </controlPr>
        </control>
      </mc:Choice>
      <mc:Fallback>
        <control shapeId="1088" r:id="rId46" name="cmdReq"/>
      </mc:Fallback>
    </mc:AlternateContent>
    <mc:AlternateContent xmlns:mc="http://schemas.openxmlformats.org/markup-compatibility/2006">
      <mc:Choice Requires="x14">
        <control shapeId="1090" r:id="rId48" name="cmdConsumoVer">
          <controlPr defaultSize="0" autoLine="0" r:id="rId49">
            <anchor>
              <from>
                <xdr:col>1</xdr:col>
                <xdr:colOff>2809875</xdr:colOff>
                <xdr:row>0</xdr:row>
                <xdr:rowOff>333375</xdr:rowOff>
              </from>
              <to>
                <xdr:col>1</xdr:col>
                <xdr:colOff>3067050</xdr:colOff>
                <xdr:row>0</xdr:row>
                <xdr:rowOff>581025</xdr:rowOff>
              </to>
            </anchor>
          </controlPr>
        </control>
      </mc:Choice>
      <mc:Fallback>
        <control shapeId="1090" r:id="rId48" name="cmdConsumoVer"/>
      </mc:Fallback>
    </mc:AlternateContent>
    <mc:AlternateContent xmlns:mc="http://schemas.openxmlformats.org/markup-compatibility/2006">
      <mc:Choice Requires="x14">
        <control shapeId="1093" r:id="rId50" name="cmdEstatus">
          <controlPr defaultSize="0" autoLine="0" r:id="rId51">
            <anchor>
              <from>
                <xdr:col>2</xdr:col>
                <xdr:colOff>0</xdr:colOff>
                <xdr:row>0</xdr:row>
                <xdr:rowOff>333375</xdr:rowOff>
              </from>
              <to>
                <xdr:col>2</xdr:col>
                <xdr:colOff>257175</xdr:colOff>
                <xdr:row>0</xdr:row>
                <xdr:rowOff>581025</xdr:rowOff>
              </to>
            </anchor>
          </controlPr>
        </control>
      </mc:Choice>
      <mc:Fallback>
        <control shapeId="1093" r:id="rId50" name="cmdEstatus"/>
      </mc:Fallback>
    </mc:AlternateContent>
    <mc:AlternateContent xmlns:mc="http://schemas.openxmlformats.org/markup-compatibility/2006">
      <mc:Choice Requires="x14">
        <control shapeId="1095" r:id="rId52" name="cmdDespacho">
          <controlPr defaultSize="0" autoLine="0" r:id="rId53">
            <anchor>
              <from>
                <xdr:col>2</xdr:col>
                <xdr:colOff>266700</xdr:colOff>
                <xdr:row>0</xdr:row>
                <xdr:rowOff>333375</xdr:rowOff>
              </from>
              <to>
                <xdr:col>2</xdr:col>
                <xdr:colOff>514350</xdr:colOff>
                <xdr:row>0</xdr:row>
                <xdr:rowOff>581025</xdr:rowOff>
              </to>
            </anchor>
          </controlPr>
        </control>
      </mc:Choice>
      <mc:Fallback>
        <control shapeId="1095" r:id="rId52" name="cmdDespacho"/>
      </mc:Fallback>
    </mc:AlternateContent>
    <mc:AlternateContent xmlns:mc="http://schemas.openxmlformats.org/markup-compatibility/2006">
      <mc:Choice Requires="x14">
        <control shapeId="1096" r:id="rId54" name="cmdNombreDescriptivo">
          <controlPr defaultSize="0" autoLine="0" r:id="rId55">
            <anchor>
              <from>
                <xdr:col>1</xdr:col>
                <xdr:colOff>685800</xdr:colOff>
                <xdr:row>0</xdr:row>
                <xdr:rowOff>333375</xdr:rowOff>
              </from>
              <to>
                <xdr:col>1</xdr:col>
                <xdr:colOff>1200150</xdr:colOff>
                <xdr:row>0</xdr:row>
                <xdr:rowOff>600075</xdr:rowOff>
              </to>
            </anchor>
          </controlPr>
        </control>
      </mc:Choice>
      <mc:Fallback>
        <control shapeId="1096" r:id="rId54" name="cmdNombreDescriptiv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13"/>
  <sheetViews>
    <sheetView topLeftCell="B1" workbookViewId="0">
      <selection activeCell="K15" sqref="K15"/>
    </sheetView>
  </sheetViews>
  <sheetFormatPr baseColWidth="10" defaultRowHeight="15" x14ac:dyDescent="0.25"/>
  <cols>
    <col min="1" max="1" width="43" customWidth="1"/>
    <col min="11" max="11" width="11.85546875" bestFit="1" customWidth="1"/>
  </cols>
  <sheetData>
    <row r="1" spans="1:11" x14ac:dyDescent="0.25">
      <c r="A1" t="s">
        <v>1563</v>
      </c>
      <c r="B1">
        <f>IF(COUNTBLANK(TABLATRANSFERENCIA[DE FECHA])&gt;0,1,0)</f>
        <v>0</v>
      </c>
      <c r="D1" t="str">
        <f>IF(error1,"Vacíos en fecha de inicio",IF(error2,"Error de Pedido Mínimo de Grupo",IF(error3,"Registros con código vacío","")))</f>
        <v/>
      </c>
      <c r="K1" t="b">
        <v>1</v>
      </c>
    </row>
    <row r="2" spans="1:11" x14ac:dyDescent="0.25">
      <c r="A2" t="s">
        <v>1564</v>
      </c>
      <c r="B2">
        <f>IF(SUM(TABLATRANSFERENCIA[Error Pedid Min Grupo])&gt;0,1,0)</f>
        <v>0</v>
      </c>
      <c r="K2" t="b">
        <v>0</v>
      </c>
    </row>
    <row r="3" spans="1:11" x14ac:dyDescent="0.25">
      <c r="A3" t="s">
        <v>1566</v>
      </c>
      <c r="B3">
        <f>IF(COUNTBLANK(TABLATRANSFERENCIA[CODIGO])&gt;0,1,0)</f>
        <v>0</v>
      </c>
      <c r="K3" t="b">
        <v>0</v>
      </c>
    </row>
    <row r="4" spans="1:11" x14ac:dyDescent="0.25">
      <c r="A4" t="s">
        <v>1565</v>
      </c>
      <c r="B4">
        <f>IF(COUNTBLANK(TABLATRANSFERENCIA[A FECHA])&gt;0,1,0)</f>
        <v>0</v>
      </c>
      <c r="K4" t="b">
        <v>0</v>
      </c>
    </row>
    <row r="5" spans="1:11" x14ac:dyDescent="0.25">
      <c r="K5" t="b">
        <v>0</v>
      </c>
    </row>
    <row r="6" spans="1:11" x14ac:dyDescent="0.25">
      <c r="K6" t="b">
        <v>0</v>
      </c>
    </row>
    <row r="7" spans="1:11" x14ac:dyDescent="0.25">
      <c r="K7" t="b">
        <v>0</v>
      </c>
    </row>
    <row r="8" spans="1:11" x14ac:dyDescent="0.25">
      <c r="K8" t="b">
        <v>0</v>
      </c>
    </row>
    <row r="9" spans="1:11" x14ac:dyDescent="0.25">
      <c r="K9" t="b">
        <v>1</v>
      </c>
    </row>
    <row r="10" spans="1:11" x14ac:dyDescent="0.25">
      <c r="K10" t="b">
        <v>0</v>
      </c>
    </row>
    <row r="11" spans="1:11" x14ac:dyDescent="0.25">
      <c r="K11" t="b">
        <v>1</v>
      </c>
    </row>
    <row r="12" spans="1:11" x14ac:dyDescent="0.25">
      <c r="K12" t="b">
        <v>1</v>
      </c>
    </row>
    <row r="13" spans="1:11" x14ac:dyDescent="0.25">
      <c r="K13" t="b">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59" t="s">
        <v>26</v>
      </c>
      <c r="B1" s="46" t="s">
        <v>848</v>
      </c>
      <c r="C1" s="46" t="s">
        <v>906</v>
      </c>
      <c r="D1" s="46" t="s">
        <v>1017</v>
      </c>
      <c r="E1" s="46" t="s">
        <v>889</v>
      </c>
      <c r="F1" s="46" t="s">
        <v>900</v>
      </c>
      <c r="G1" s="46" t="s">
        <v>888</v>
      </c>
      <c r="H1" s="46" t="s">
        <v>881</v>
      </c>
      <c r="I1" s="46" t="s">
        <v>882</v>
      </c>
      <c r="J1" s="46" t="s">
        <v>883</v>
      </c>
      <c r="K1" s="46" t="s">
        <v>884</v>
      </c>
      <c r="L1" s="46" t="s">
        <v>885</v>
      </c>
      <c r="M1" s="46" t="s">
        <v>886</v>
      </c>
      <c r="N1" s="46" t="s">
        <v>887</v>
      </c>
      <c r="O1" s="41" t="s">
        <v>1035</v>
      </c>
      <c r="P1" s="41" t="s">
        <v>18</v>
      </c>
      <c r="Q1" s="41" t="s">
        <v>19</v>
      </c>
      <c r="R1" s="41" t="s">
        <v>10</v>
      </c>
      <c r="S1" s="41" t="s">
        <v>977</v>
      </c>
      <c r="T1" s="41" t="s">
        <v>37</v>
      </c>
      <c r="U1" s="41" t="s">
        <v>38</v>
      </c>
      <c r="V1" s="41" t="s">
        <v>841</v>
      </c>
      <c r="W1" s="41" t="s">
        <v>905</v>
      </c>
      <c r="X1" s="41" t="s">
        <v>1024</v>
      </c>
      <c r="Y1" s="41" t="s">
        <v>1025</v>
      </c>
      <c r="Z1" s="43" t="s">
        <v>8</v>
      </c>
      <c r="AA1" s="43" t="s">
        <v>1145</v>
      </c>
      <c r="AB1" s="43" t="s">
        <v>901</v>
      </c>
      <c r="AC1" s="43" t="s">
        <v>9</v>
      </c>
      <c r="AD1" s="43" t="s">
        <v>974</v>
      </c>
      <c r="AE1" s="43" t="s">
        <v>904</v>
      </c>
      <c r="AF1" s="43" t="s">
        <v>913</v>
      </c>
      <c r="AG1" s="43" t="s">
        <v>914</v>
      </c>
      <c r="AH1" s="43" t="s">
        <v>915</v>
      </c>
      <c r="AI1" s="43" t="s">
        <v>902</v>
      </c>
      <c r="AJ1" s="43" t="s">
        <v>903</v>
      </c>
      <c r="AK1" s="43" t="s">
        <v>910</v>
      </c>
      <c r="AL1" s="43" t="s">
        <v>970</v>
      </c>
      <c r="AM1" s="43" t="s">
        <v>975</v>
      </c>
      <c r="AN1" s="43" t="s">
        <v>907</v>
      </c>
      <c r="AO1" s="43" t="s">
        <v>908</v>
      </c>
      <c r="AP1" s="43" t="s">
        <v>911</v>
      </c>
      <c r="AQ1" s="42" t="s">
        <v>909</v>
      </c>
      <c r="AR1" s="43" t="s">
        <v>971</v>
      </c>
      <c r="AS1" s="43" t="s">
        <v>972</v>
      </c>
      <c r="AT1" s="43" t="s">
        <v>973</v>
      </c>
      <c r="AU1" s="43" t="s">
        <v>976</v>
      </c>
      <c r="AV1" s="42" t="s">
        <v>1036</v>
      </c>
      <c r="AW1" s="42" t="s">
        <v>1037</v>
      </c>
      <c r="AX1" s="50" t="s">
        <v>1367</v>
      </c>
      <c r="AY1" s="50" t="s">
        <v>1368</v>
      </c>
      <c r="AZ1" s="50" t="s">
        <v>1369</v>
      </c>
      <c r="BA1" s="50" t="s">
        <v>1370</v>
      </c>
      <c r="BB1" s="50" t="s">
        <v>1371</v>
      </c>
      <c r="BC1" s="50" t="s">
        <v>1372</v>
      </c>
      <c r="BD1" s="42" t="s">
        <v>11</v>
      </c>
      <c r="BE1" s="42" t="s">
        <v>17</v>
      </c>
      <c r="BF1" s="56" t="s">
        <v>1041</v>
      </c>
      <c r="BG1" s="55" t="s">
        <v>1042</v>
      </c>
      <c r="BH1" s="55" t="s">
        <v>1043</v>
      </c>
      <c r="BI1" s="55" t="s">
        <v>1044</v>
      </c>
      <c r="BJ1" s="55" t="s">
        <v>1045</v>
      </c>
      <c r="BK1" s="55" t="s">
        <v>1046</v>
      </c>
      <c r="BL1" s="42" t="s">
        <v>1047</v>
      </c>
      <c r="BM1" s="43" t="s">
        <v>916</v>
      </c>
      <c r="BN1" s="42" t="s">
        <v>13</v>
      </c>
      <c r="BO1" s="42" t="s">
        <v>14</v>
      </c>
      <c r="BP1" s="38" t="s">
        <v>15</v>
      </c>
      <c r="BQ1" s="37" t="s">
        <v>20</v>
      </c>
      <c r="BR1" s="37" t="s">
        <v>21</v>
      </c>
      <c r="BS1" s="37" t="s">
        <v>22</v>
      </c>
      <c r="BT1" s="40" t="s">
        <v>912</v>
      </c>
      <c r="BU1" s="40" t="s">
        <v>1029</v>
      </c>
      <c r="BV1" s="40" t="s">
        <v>1030</v>
      </c>
      <c r="BW1" s="40" t="s">
        <v>1031</v>
      </c>
      <c r="BX1" s="40" t="s">
        <v>1572</v>
      </c>
    </row>
    <row r="2" spans="1:76" x14ac:dyDescent="0.25">
      <c r="A2" s="52" t="s">
        <v>1366</v>
      </c>
      <c r="B2" s="57"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4" t="str">
        <f ca="1">IFERROR(INDEX(OFFSET(INDIRECT("v_buffer_hist_hoy!$A$1"),1,MATCH("buh_roi_pasado",INDIRECT("v_buffer_hist_hoy!$1:$1"),0)-1,100000,1),MATCH(CLEAN(TABLATRANSFERENCIA[[#This Row],[CODIGO]]),OFFSET(INDIRECT("v_buffer_hist_hoy!$A$1"),1,MATCH("buh_codigo",INDIRECT("v_buffer_hist_hoy!$1:$1"),0)-1,100000,1),0)),"")</f>
        <v/>
      </c>
      <c r="S2" s="44" t="str">
        <f ca="1">IFERROR(INDEX(OFFSET(INDIRECT("v_buffer_hist_hoy!$A$1"),1,MATCH("buh_roi_proyectado",INDIRECT("v_buffer_hist_hoy!$1:$1"),0)-1,100000,1),MATCH(CLEAN(TABLATRANSFERENCIA[[#This Row],[CODIGO]]),OFFSET(INDIRECT("v_buffer_hist_hoy!$A$1"),1,MATCH("buh_codigo",INDIRECT("v_buffer_hist_hoy!$1:$1"),0)-1,100000,1),0)),"")</f>
        <v/>
      </c>
      <c r="T2" s="44" t="str">
        <f ca="1">IFERROR(INDEX(OFFSET(INDIRECT("v_buffer_hist_hoy!$A$1"),1,MATCH("buh_velocity",INDIRECT("v_buffer_hist_hoy!$1:$1"),0)-1,100000,1),MATCH(CLEAN(TABLATRANSFERENCIA[[#This Row],[CODIGO]]),OFFSET(INDIRECT("v_buffer_hist_hoy!$A$1"),1,MATCH("buh_codigo",INDIRECT("v_buffer_hist_hoy!$1:$1"),0)-1,100000,1),0)),"")</f>
        <v/>
      </c>
      <c r="U2" s="44" t="str">
        <f ca="1">IFERROR(INDEX(OFFSET(INDIRECT("v_buffer_hist_hoy!$A$1"),1,MATCH("buh_nivel_servicio",INDIRECT("v_buffer_hist_hoy!$1:$1"),0)-1,100000,1),MATCH(CLEAN(TABLATRANSFERENCIA[[#This Row],[CODIGO]]),OFFSET(INDIRECT("v_buffer_hist_hoy!$A$1"),1,MATCH("buh_codigo",INDIRECT("v_buffer_hist_hoy!$1:$1"),0)-1,100000,1),0)),"")</f>
        <v/>
      </c>
      <c r="V2" s="47" t="str">
        <f ca="1">IFERROR(INDEX(OFFSET(INDIRECT("v_buffer_hist_hoy!$A$1"),1,MATCH("pro_nombre",INDIRECT("v_buffer_hist_hoy!$1:$1"),0)-1,100000,1),MATCH(CLEAN(TABLATRANSFERENCIA[[#This Row],[CODIGO]]),OFFSET(INDIRECT("v_buffer_hist_hoy!$A$1"),1,MATCH("buh_codigo",INDIRECT("v_buffer_hist_hoy!$1:$1"),0)-1,100000,1),0)),"")</f>
        <v/>
      </c>
      <c r="W2" s="47" t="str">
        <f ca="1">IFERROR(INDEX(OFFSET(INDIRECT("v_buffer_hist_hoy!$A$1"),1,MATCH("pre_nombre",INDIRECT("v_buffer_hist_hoy!$1:$1"),0)-1,100000,1),MATCH(CLEAN(TABLATRANSFERENCIA[[#This Row],[CODIGO]]),OFFSET(INDIRECT("v_buffer_hist_hoy!$A$1"),1,MATCH("buh_codigo",INDIRECT("v_buffer_hist_hoy!$1:$1"),0)-1,100000,1),0)),"")</f>
        <v/>
      </c>
      <c r="X2" s="49" t="str">
        <f ca="1">IFERROR(INDEX(OFFSET(INDIRECT("v_buffer_hist_hoy!$A$1"),1,MATCH("buh_tiempo_suministro",INDIRECT("v_buffer_hist_hoy!$1:$1"),0)-1,100000,1),MATCH(CLEAN(TABLATRANSFERENCIA[[#This Row],[CODIGO]]),OFFSET(INDIRECT("v_buffer_hist_hoy!$A$1"),1,MATCH("buh_codigo",INDIRECT("v_buffer_hist_hoy!$1:$1"),0)-1,100000,1),0)),"")</f>
        <v/>
      </c>
      <c r="Y2" s="49" t="str">
        <f ca="1">IFERROR(INDEX(OFFSET(INDIRECT("v_buffer_hist_hoy!$A$1"),1,MATCH("buh_frecuencia_reposicion",INDIRECT("v_buffer_hist_hoy!$1:$1"),0)-1,100000,1),MATCH(CLEAN(TABLATRANSFERENCIA[[#This Row],[CODIGO]]),OFFSET(INDIRECT("v_buffer_hist_hoy!$A$1"),1,MATCH("buh_codigo",INDIRECT("v_buffer_hist_hoy!$1:$1"),0)-1,100000,1),0)),"")</f>
        <v/>
      </c>
      <c r="Z2" s="49" t="str">
        <f ca="1">IFERROR(INDEX(OFFSET(INDIRECT("v_buffer_hist_hoy!$A$1"),1,MATCH("buh_buffer_actual",INDIRECT("v_buffer_hist_hoy!$1:$1"),0)-1,100000,1),MATCH(CLEAN(TABLATRANSFERENCIA[[#This Row],[CODIGO]]),OFFSET(INDIRECT("v_buffer_hist_hoy!$A$1"),1,MATCH("buh_codigo",INDIRECT("v_buffer_hist_hoy!$1:$1"),0)-1,100000,1),0)),"")</f>
        <v/>
      </c>
      <c r="AA2" s="49"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4" t="str">
        <f ca="1">IFERROR(INDEX(OFFSET(INDIRECT("v_buffer_hist_hoy!$A$1"),1,MATCH("buh_ultima_transferencia_ini",INDIRECT("v_buffer_hist_hoy!$1:$1"),0)-1,100000,1),MATCH(CLEAN(TABLATRANSFERENCIA[[#This Row],[CODIGO]]),OFFSET(INDIRECT("v_buffer_hist_hoy!$A$1"),1,MATCH("buh_codigo",INDIRECT("v_buffer_hist_hoy!$1:$1"),0)-1,100000,1),0)),"")</f>
        <v/>
      </c>
      <c r="AW2" s="54"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8">
        <v>3</v>
      </c>
      <c r="BE2" s="53">
        <v>3</v>
      </c>
      <c r="BF2" s="49"/>
      <c r="BG2" s="49">
        <f>IF(RIGHT(XXYY[[#Headers],[Emb1]],1)*1&lt;=XXYY[[#This Row],[EMBARQUES]],IF(ISBLANK(XXYY[[#This Row],[EMBARQUES]]),XXYY[[#This Row],[REQUERIM]],ROUND(XXYY[[#This Row],[REQUERIM]]/XXYY[[#This Row],[EMBARQUES]],0)),XXYY[[#This Row],[REQUERIM]])</f>
        <v>3</v>
      </c>
      <c r="BH2" s="49">
        <f>IF(RIGHT(XXYY[[#Headers],[Emb2]],1)*1&lt;XXYY[[#This Row],[EMBARQUES]],ROUND(XXYY[[#This Row],[REQUERIM]]/XXYY[[#This Row],[EMBARQUES]],0),IF(RIGHT(XXYY[[#Headers],[Emb2]],1)*1=XXYY[[#This Row],[EMBARQUES]],XXYY[[#This Row],[REQUERIM]]-SUM(XXYY[[#This Row],[Emb1]]),0))</f>
        <v>0</v>
      </c>
      <c r="BI2" s="49">
        <f>IF(RIGHT(XXYY[[#Headers],[Emb3]],1)*1&lt;XXYY[[#This Row],[EMBARQUES]],ROUND(XXYY[[#This Row],[REQUERIM]]/XXYY[[#This Row],[EMBARQUES]],0),IF(RIGHT(XXYY[[#Headers],[Emb3]],1)*1=XXYY[[#This Row],[EMBARQUES]],XXYY[[#This Row],[REQUERIM]]-SUM(XXYY[[#This Row],[Emb1]:[Emb2]]),0))</f>
        <v>0</v>
      </c>
      <c r="BJ2" s="49">
        <f>IF(RIGHT(XXYY[[#Headers],[Emb4]],1)*1&lt;XXYY[[#This Row],[EMBARQUES]],ROUND(XXYY[[#This Row],[REQUERIM]]/XXYY[[#This Row],[EMBARQUES]],0),IF(RIGHT(XXYY[[#Headers],[Emb4]],1)*1=XXYY[[#This Row],[EMBARQUES]],XXYY[[#This Row],[REQUERIM]]-SUM(XXYY[[#This Row],[Emb1]:[Emb3]]),0))</f>
        <v>0</v>
      </c>
      <c r="BK2" s="49">
        <f>IF(RIGHT(XXYY[[#Headers],[Emb5]],1)*1&lt;XXYY[[#This Row],[EMBARQUES]],ROUND(XXYY[[#This Row],[REQUERIM]]/XXYY[[#This Row],[EMBARQUES]],0),IF(RIGHT(XXYY[[#Headers],[Emb5]],1)*1=XXYY[[#This Row],[EMBARQUES]],XXYY[[#This Row],[REQUERIM]]-SUM(XXYY[[#This Row],[Emb1]:[Emb4]]),0))</f>
        <v>0</v>
      </c>
      <c r="BL2" s="49"/>
      <c r="BM2" s="44">
        <f ca="1">IFERROR(XXYY[[#This Row],[REQUERIM]]/XXYY[[#This Row],[PEDIDO PROMEDIO]],0)</f>
        <v>0</v>
      </c>
      <c r="BN2" s="49"/>
      <c r="BO2" s="58"/>
      <c r="BP2" s="3">
        <f>IF(XXYY[[#This Row],[RECIBIDO]]&lt;&gt;"",0,IF(XXYY[[#This Row],[DESPACHO]]&lt;&gt;"",XXYY[[#This Row],[DESPACHO]],XXYY[[#This Row],[REQUERIM]]))</f>
        <v>3</v>
      </c>
      <c r="BQ2" s="48"/>
      <c r="BR2" s="48"/>
      <c r="BS2" s="48" t="str">
        <f>"N"</f>
        <v>N</v>
      </c>
      <c r="BT2" s="49">
        <f t="array" aca="1" ref="BT2" ca="1">IF(SUM(--(XXYY[[#This Row],[CODIGO GENERICO]]=XXYY[CODIGO GENERICO])*XXYY[REQUERIM])&lt;XXYY[[#This Row],[PEDIDO MIN GRUPO]],1,0)</f>
        <v>1</v>
      </c>
      <c r="BU2" s="49"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49" t="str">
        <f ca="1">IFERROR(INDEX(OFFSET(INDIRECT("v_buffer_hist_hoy!$A$1"),1,MATCH("buh_zona_amarilla",INDIRECT("v_buffer_hist_hoy!$1:$1"),0)-1,100000,1),MATCH(CLEAN(TABLATRANSFERENCIA[[#This Row],[CODIGO]]),OFFSET(INDIRECT("v_buffer_hist_hoy!$A$1"),1,MATCH("buh_codigo",INDIRECT("v_buffer_hist_hoy!$1:$1"),0)-1,100000,1),0)),"")</f>
        <v/>
      </c>
      <c r="BW2" s="49" t="str">
        <f ca="1">IFERROR(INDEX(OFFSET(INDIRECT("v_buffer_hist_hoy!$A$1"),1,MATCH("buh_zona_roja",INDIRECT("v_buffer_hist_hoy!$1:$1"),0)-1,100000,1),MATCH(CLEAN(TABLATRANSFERENCIA[[#This Row],[CODIGO]]),OFFSET(INDIRECT("v_buffer_hist_hoy!$A$1"),1,MATCH("buh_codigo",INDIRECT("v_buffer_hist_hoy!$1:$1"),0)-1,100000,1),0)),"")</f>
        <v/>
      </c>
      <c r="BX2" s="49"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22" priority="15">
      <formula>ISBLANK(BN2)</formula>
    </cfRule>
  </conditionalFormatting>
  <conditionalFormatting sqref="AK2 AB2">
    <cfRule type="expression" dxfId="21" priority="9">
      <formula>AD2="G"</formula>
    </cfRule>
    <cfRule type="expression" dxfId="20" priority="10">
      <formula>AD2="L"</formula>
    </cfRule>
    <cfRule type="expression" dxfId="19" priority="11">
      <formula>AD2="V"</formula>
    </cfRule>
    <cfRule type="expression" dxfId="18" priority="12">
      <formula>AD2="A"</formula>
    </cfRule>
    <cfRule type="expression" dxfId="17" priority="13">
      <formula>AD2="N"</formula>
    </cfRule>
    <cfRule type="expression" dxfId="16" priority="14">
      <formula>AD2="R"</formula>
    </cfRule>
  </conditionalFormatting>
  <conditionalFormatting sqref="BR2">
    <cfRule type="expression" dxfId="15" priority="16">
      <formula>AND(ISNUMBER($BO2),$BN2&lt;&gt;$BO2)</formula>
    </cfRule>
  </conditionalFormatting>
  <conditionalFormatting sqref="AO2">
    <cfRule type="expression" dxfId="14" priority="8">
      <formula>$BT2=1</formula>
    </cfRule>
  </conditionalFormatting>
  <conditionalFormatting sqref="BD2">
    <cfRule type="expression" dxfId="13" priority="2">
      <formula>$BU2="N"</formula>
    </cfRule>
    <cfRule type="expression" dxfId="12" priority="3">
      <formula>$BU2="R"</formula>
    </cfRule>
    <cfRule type="expression" dxfId="11" priority="4">
      <formula>$BU2="A"</formula>
    </cfRule>
    <cfRule type="expression" dxfId="10" priority="5">
      <formula>$BU2="L"</formula>
    </cfRule>
    <cfRule type="expression" dxfId="9" priority="6">
      <formula>$BU2="V"</formula>
    </cfRule>
    <cfRule type="expression" dxfId="8" priority="7">
      <formula>$BU2="G"</formula>
    </cfRule>
  </conditionalFormatting>
  <conditionalFormatting sqref="BQ2">
    <cfRule type="expression" dxfId="7" priority="17">
      <formula>AND(ISNUMBER($BN2),$BD2&lt;&gt;$BN2)</formula>
    </cfRule>
  </conditionalFormatting>
  <conditionalFormatting sqref="AV2">
    <cfRule type="expression" dxfId="6"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1504</v>
      </c>
    </row>
    <row r="3" spans="1:1" x14ac:dyDescent="0.25">
      <c r="A3">
        <v>-1</v>
      </c>
    </row>
    <row r="5" spans="1:1" x14ac:dyDescent="0.25">
      <c r="A5" t="s">
        <v>1574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878</v>
      </c>
      <c r="Q1" t="s">
        <v>966</v>
      </c>
      <c r="R1" t="s">
        <v>967</v>
      </c>
      <c r="T1" t="s">
        <v>966</v>
      </c>
      <c r="U1" t="s">
        <v>967</v>
      </c>
      <c r="V1" t="s">
        <v>968</v>
      </c>
      <c r="W1" t="s">
        <v>969</v>
      </c>
    </row>
    <row r="2" spans="1:23" x14ac:dyDescent="0.25">
      <c r="E2" s="3"/>
      <c r="L2" s="39"/>
      <c r="M2" s="39"/>
      <c r="N2" s="39"/>
      <c r="Q2" t="s">
        <v>1021</v>
      </c>
      <c r="R2" t="s">
        <v>1144</v>
      </c>
      <c r="T2" t="s">
        <v>1021</v>
      </c>
      <c r="U2" t="s">
        <v>1144</v>
      </c>
      <c r="V2" t="s">
        <v>1148</v>
      </c>
      <c r="W2" t="s">
        <v>1149</v>
      </c>
    </row>
    <row r="3" spans="1:23" x14ac:dyDescent="0.25">
      <c r="Q3" t="s">
        <v>1146</v>
      </c>
      <c r="R3" t="s">
        <v>1147</v>
      </c>
      <c r="T3" t="s">
        <v>1021</v>
      </c>
      <c r="U3" t="s">
        <v>1144</v>
      </c>
      <c r="V3" t="s">
        <v>1150</v>
      </c>
      <c r="W3" t="s">
        <v>1151</v>
      </c>
    </row>
    <row r="4" spans="1:23" x14ac:dyDescent="0.25">
      <c r="T4" t="s">
        <v>1021</v>
      </c>
      <c r="U4" t="s">
        <v>1144</v>
      </c>
      <c r="V4" t="s">
        <v>1152</v>
      </c>
      <c r="W4" t="s">
        <v>1153</v>
      </c>
    </row>
    <row r="5" spans="1:23" x14ac:dyDescent="0.25">
      <c r="T5" t="s">
        <v>1021</v>
      </c>
      <c r="U5" t="s">
        <v>1144</v>
      </c>
      <c r="V5" t="s">
        <v>1154</v>
      </c>
      <c r="W5" t="s">
        <v>1155</v>
      </c>
    </row>
    <row r="6" spans="1:23" x14ac:dyDescent="0.25">
      <c r="T6" t="s">
        <v>1021</v>
      </c>
      <c r="U6" t="s">
        <v>1144</v>
      </c>
      <c r="V6" t="s">
        <v>1156</v>
      </c>
      <c r="W6" t="s">
        <v>1157</v>
      </c>
    </row>
    <row r="7" spans="1:23" x14ac:dyDescent="0.25">
      <c r="T7" t="s">
        <v>1021</v>
      </c>
      <c r="U7" t="s">
        <v>1144</v>
      </c>
      <c r="V7" t="s">
        <v>1158</v>
      </c>
      <c r="W7" t="s">
        <v>1159</v>
      </c>
    </row>
    <row r="8" spans="1:23" x14ac:dyDescent="0.25">
      <c r="D8" s="39"/>
      <c r="T8" t="s">
        <v>1021</v>
      </c>
      <c r="U8" t="s">
        <v>1144</v>
      </c>
      <c r="V8" t="s">
        <v>1160</v>
      </c>
      <c r="W8" t="s">
        <v>1161</v>
      </c>
    </row>
    <row r="9" spans="1:23" x14ac:dyDescent="0.25">
      <c r="T9" t="s">
        <v>1021</v>
      </c>
      <c r="U9" t="s">
        <v>1144</v>
      </c>
      <c r="V9" t="s">
        <v>1162</v>
      </c>
      <c r="W9" t="s">
        <v>1163</v>
      </c>
    </row>
    <row r="10" spans="1:23" x14ac:dyDescent="0.25">
      <c r="T10" t="s">
        <v>1021</v>
      </c>
      <c r="U10" t="s">
        <v>1144</v>
      </c>
      <c r="V10" t="s">
        <v>1164</v>
      </c>
      <c r="W10" t="s">
        <v>1165</v>
      </c>
    </row>
    <row r="11" spans="1:23" x14ac:dyDescent="0.25">
      <c r="T11" t="s">
        <v>1021</v>
      </c>
      <c r="U11" t="s">
        <v>1144</v>
      </c>
      <c r="V11" t="s">
        <v>1166</v>
      </c>
      <c r="W11" t="s">
        <v>1167</v>
      </c>
    </row>
    <row r="12" spans="1:23" x14ac:dyDescent="0.25">
      <c r="T12" t="s">
        <v>1021</v>
      </c>
      <c r="U12" t="s">
        <v>1144</v>
      </c>
      <c r="V12" t="s">
        <v>1168</v>
      </c>
      <c r="W12" t="s">
        <v>1169</v>
      </c>
    </row>
    <row r="13" spans="1:23" x14ac:dyDescent="0.25">
      <c r="T13" t="s">
        <v>1021</v>
      </c>
      <c r="U13" t="s">
        <v>1144</v>
      </c>
      <c r="V13" t="s">
        <v>1170</v>
      </c>
      <c r="W13" t="s">
        <v>1171</v>
      </c>
    </row>
    <row r="14" spans="1:23" x14ac:dyDescent="0.25">
      <c r="T14" t="s">
        <v>1021</v>
      </c>
      <c r="U14" t="s">
        <v>1144</v>
      </c>
      <c r="V14" t="s">
        <v>1172</v>
      </c>
      <c r="W14" t="s">
        <v>1173</v>
      </c>
    </row>
    <row r="15" spans="1:23" x14ac:dyDescent="0.25">
      <c r="T15" t="s">
        <v>1021</v>
      </c>
      <c r="U15" t="s">
        <v>1144</v>
      </c>
      <c r="V15" t="s">
        <v>1174</v>
      </c>
      <c r="W15" t="s">
        <v>1175</v>
      </c>
    </row>
    <row r="16" spans="1:23" x14ac:dyDescent="0.25">
      <c r="T16" t="s">
        <v>1021</v>
      </c>
      <c r="U16" t="s">
        <v>1144</v>
      </c>
      <c r="V16" t="s">
        <v>1176</v>
      </c>
      <c r="W16" t="s">
        <v>1177</v>
      </c>
    </row>
    <row r="17" spans="6:23" x14ac:dyDescent="0.25">
      <c r="T17" t="s">
        <v>1021</v>
      </c>
      <c r="U17" t="s">
        <v>1144</v>
      </c>
      <c r="V17" t="s">
        <v>1178</v>
      </c>
      <c r="W17" t="s">
        <v>1179</v>
      </c>
    </row>
    <row r="18" spans="6:23" x14ac:dyDescent="0.25">
      <c r="T18" t="s">
        <v>1021</v>
      </c>
      <c r="U18" t="s">
        <v>1144</v>
      </c>
      <c r="V18" t="s">
        <v>1180</v>
      </c>
      <c r="W18" t="s">
        <v>1181</v>
      </c>
    </row>
    <row r="19" spans="6:23" x14ac:dyDescent="0.25">
      <c r="T19" t="s">
        <v>1021</v>
      </c>
      <c r="U19" t="s">
        <v>1144</v>
      </c>
      <c r="V19" t="s">
        <v>1182</v>
      </c>
      <c r="W19" t="s">
        <v>1183</v>
      </c>
    </row>
    <row r="20" spans="6:23" x14ac:dyDescent="0.25">
      <c r="T20" t="s">
        <v>1021</v>
      </c>
      <c r="U20" t="s">
        <v>1144</v>
      </c>
      <c r="V20" t="s">
        <v>1184</v>
      </c>
      <c r="W20" t="s">
        <v>1185</v>
      </c>
    </row>
    <row r="21" spans="6:23" x14ac:dyDescent="0.25">
      <c r="T21" t="s">
        <v>1021</v>
      </c>
      <c r="U21" t="s">
        <v>1144</v>
      </c>
      <c r="V21" t="s">
        <v>1186</v>
      </c>
      <c r="W21" t="s">
        <v>1187</v>
      </c>
    </row>
    <row r="22" spans="6:23" x14ac:dyDescent="0.25">
      <c r="T22" t="s">
        <v>1021</v>
      </c>
      <c r="U22" t="s">
        <v>1144</v>
      </c>
      <c r="V22" t="s">
        <v>1188</v>
      </c>
      <c r="W22" t="s">
        <v>1189</v>
      </c>
    </row>
    <row r="23" spans="6:23" x14ac:dyDescent="0.25">
      <c r="T23" t="s">
        <v>1021</v>
      </c>
      <c r="U23" t="s">
        <v>1144</v>
      </c>
      <c r="V23" t="s">
        <v>1190</v>
      </c>
      <c r="W23" t="s">
        <v>1191</v>
      </c>
    </row>
    <row r="24" spans="6:23" x14ac:dyDescent="0.25">
      <c r="T24" t="s">
        <v>1021</v>
      </c>
      <c r="U24" t="s">
        <v>1144</v>
      </c>
      <c r="V24" t="s">
        <v>1192</v>
      </c>
      <c r="W24" t="s">
        <v>1193</v>
      </c>
    </row>
    <row r="25" spans="6:23" x14ac:dyDescent="0.25">
      <c r="F25" s="39"/>
      <c r="T25" t="s">
        <v>1021</v>
      </c>
      <c r="U25" t="s">
        <v>1144</v>
      </c>
      <c r="V25" t="s">
        <v>1194</v>
      </c>
      <c r="W25" t="s">
        <v>1195</v>
      </c>
    </row>
    <row r="26" spans="6:23" x14ac:dyDescent="0.25">
      <c r="T26" t="s">
        <v>1021</v>
      </c>
      <c r="U26" t="s">
        <v>1144</v>
      </c>
      <c r="V26" t="s">
        <v>1196</v>
      </c>
      <c r="W26" t="s">
        <v>1197</v>
      </c>
    </row>
    <row r="27" spans="6:23" x14ac:dyDescent="0.25">
      <c r="T27" t="s">
        <v>1021</v>
      </c>
      <c r="U27" t="s">
        <v>1144</v>
      </c>
      <c r="V27" t="s">
        <v>1198</v>
      </c>
      <c r="W27" t="s">
        <v>1199</v>
      </c>
    </row>
    <row r="28" spans="6:23" x14ac:dyDescent="0.25">
      <c r="T28" t="s">
        <v>1021</v>
      </c>
      <c r="U28" t="s">
        <v>1144</v>
      </c>
      <c r="V28" t="s">
        <v>1200</v>
      </c>
      <c r="W28" t="s">
        <v>1201</v>
      </c>
    </row>
    <row r="29" spans="6:23" x14ac:dyDescent="0.25">
      <c r="T29" t="s">
        <v>1021</v>
      </c>
      <c r="U29" t="s">
        <v>1144</v>
      </c>
      <c r="V29" t="s">
        <v>1202</v>
      </c>
      <c r="W29" t="s">
        <v>612</v>
      </c>
    </row>
    <row r="30" spans="6:23" x14ac:dyDescent="0.25">
      <c r="T30" t="s">
        <v>1021</v>
      </c>
      <c r="U30" t="s">
        <v>1144</v>
      </c>
      <c r="V30" t="s">
        <v>1203</v>
      </c>
      <c r="W30" t="s">
        <v>1204</v>
      </c>
    </row>
    <row r="31" spans="6:23" x14ac:dyDescent="0.25">
      <c r="T31" t="s">
        <v>1021</v>
      </c>
      <c r="U31" t="s">
        <v>1144</v>
      </c>
      <c r="V31" t="s">
        <v>1205</v>
      </c>
      <c r="W31" t="s">
        <v>1206</v>
      </c>
    </row>
    <row r="32" spans="6:23" x14ac:dyDescent="0.25">
      <c r="T32" t="s">
        <v>1021</v>
      </c>
      <c r="U32" t="s">
        <v>1144</v>
      </c>
      <c r="V32" t="s">
        <v>1207</v>
      </c>
      <c r="W32" t="s">
        <v>1208</v>
      </c>
    </row>
    <row r="33" spans="20:23" x14ac:dyDescent="0.25">
      <c r="T33" t="s">
        <v>1021</v>
      </c>
      <c r="U33" t="s">
        <v>1144</v>
      </c>
      <c r="V33" t="s">
        <v>1209</v>
      </c>
      <c r="W33" t="s">
        <v>1210</v>
      </c>
    </row>
    <row r="34" spans="20:23" x14ac:dyDescent="0.25">
      <c r="T34" t="s">
        <v>1021</v>
      </c>
      <c r="U34" t="s">
        <v>1144</v>
      </c>
      <c r="V34" t="s">
        <v>1211</v>
      </c>
      <c r="W34" t="s">
        <v>1212</v>
      </c>
    </row>
    <row r="35" spans="20:23" x14ac:dyDescent="0.25">
      <c r="T35" t="s">
        <v>1021</v>
      </c>
      <c r="U35" t="s">
        <v>1144</v>
      </c>
      <c r="V35" t="s">
        <v>1213</v>
      </c>
      <c r="W35" t="s">
        <v>1214</v>
      </c>
    </row>
    <row r="36" spans="20:23" x14ac:dyDescent="0.25">
      <c r="T36" t="s">
        <v>1021</v>
      </c>
      <c r="U36" t="s">
        <v>1144</v>
      </c>
      <c r="V36" t="s">
        <v>1215</v>
      </c>
      <c r="W36" t="s">
        <v>1216</v>
      </c>
    </row>
    <row r="37" spans="20:23" x14ac:dyDescent="0.25">
      <c r="T37" t="s">
        <v>1021</v>
      </c>
      <c r="U37" t="s">
        <v>1144</v>
      </c>
      <c r="V37" t="s">
        <v>1217</v>
      </c>
      <c r="W37" t="s">
        <v>1218</v>
      </c>
    </row>
    <row r="38" spans="20:23" x14ac:dyDescent="0.25">
      <c r="T38" t="s">
        <v>1021</v>
      </c>
      <c r="U38" t="s">
        <v>1144</v>
      </c>
      <c r="V38" t="s">
        <v>1219</v>
      </c>
      <c r="W38" t="s">
        <v>1220</v>
      </c>
    </row>
    <row r="39" spans="20:23" x14ac:dyDescent="0.25">
      <c r="T39" t="s">
        <v>1021</v>
      </c>
      <c r="U39" t="s">
        <v>1144</v>
      </c>
      <c r="V39" t="s">
        <v>1221</v>
      </c>
      <c r="W39" t="s">
        <v>1222</v>
      </c>
    </row>
    <row r="40" spans="20:23" x14ac:dyDescent="0.25">
      <c r="T40" t="s">
        <v>1021</v>
      </c>
      <c r="U40" t="s">
        <v>1144</v>
      </c>
      <c r="V40" t="s">
        <v>1223</v>
      </c>
      <c r="W40" t="s">
        <v>1224</v>
      </c>
    </row>
    <row r="41" spans="20:23" x14ac:dyDescent="0.25">
      <c r="T41" t="s">
        <v>1021</v>
      </c>
      <c r="U41" t="s">
        <v>1144</v>
      </c>
      <c r="V41" t="s">
        <v>1225</v>
      </c>
      <c r="W41" t="s">
        <v>1226</v>
      </c>
    </row>
    <row r="42" spans="20:23" x14ac:dyDescent="0.25">
      <c r="T42" t="s">
        <v>1021</v>
      </c>
      <c r="U42" t="s">
        <v>1144</v>
      </c>
      <c r="V42" t="s">
        <v>1227</v>
      </c>
      <c r="W42" t="s">
        <v>1228</v>
      </c>
    </row>
    <row r="43" spans="20:23" x14ac:dyDescent="0.25">
      <c r="T43" t="s">
        <v>1021</v>
      </c>
      <c r="U43" t="s">
        <v>1144</v>
      </c>
      <c r="V43" t="s">
        <v>1229</v>
      </c>
      <c r="W43" t="s">
        <v>1230</v>
      </c>
    </row>
    <row r="44" spans="20:23" x14ac:dyDescent="0.25">
      <c r="T44" t="s">
        <v>1021</v>
      </c>
      <c r="U44" t="s">
        <v>1144</v>
      </c>
      <c r="V44" t="s">
        <v>1231</v>
      </c>
      <c r="W44" t="s">
        <v>1232</v>
      </c>
    </row>
    <row r="45" spans="20:23" x14ac:dyDescent="0.25">
      <c r="T45" t="s">
        <v>1021</v>
      </c>
      <c r="U45" t="s">
        <v>1144</v>
      </c>
      <c r="V45" t="s">
        <v>1233</v>
      </c>
      <c r="W45" t="s">
        <v>1234</v>
      </c>
    </row>
    <row r="46" spans="20:23" x14ac:dyDescent="0.25">
      <c r="T46" t="s">
        <v>1021</v>
      </c>
      <c r="U46" t="s">
        <v>1144</v>
      </c>
      <c r="V46" t="s">
        <v>1235</v>
      </c>
      <c r="W46" t="s">
        <v>1236</v>
      </c>
    </row>
    <row r="47" spans="20:23" x14ac:dyDescent="0.25">
      <c r="T47" t="s">
        <v>1021</v>
      </c>
      <c r="U47" t="s">
        <v>1144</v>
      </c>
      <c r="V47" t="s">
        <v>1237</v>
      </c>
      <c r="W47" t="s">
        <v>1238</v>
      </c>
    </row>
    <row r="48" spans="20:23" x14ac:dyDescent="0.25">
      <c r="T48" t="s">
        <v>1021</v>
      </c>
      <c r="U48" t="s">
        <v>1144</v>
      </c>
      <c r="V48" t="s">
        <v>1239</v>
      </c>
      <c r="W48" t="s">
        <v>1240</v>
      </c>
    </row>
    <row r="49" spans="20:23" x14ac:dyDescent="0.25">
      <c r="T49" t="s">
        <v>1021</v>
      </c>
      <c r="U49" t="s">
        <v>1144</v>
      </c>
      <c r="V49" t="s">
        <v>1241</v>
      </c>
      <c r="W49" t="s">
        <v>1242</v>
      </c>
    </row>
    <row r="50" spans="20:23" x14ac:dyDescent="0.25">
      <c r="T50" t="s">
        <v>1021</v>
      </c>
      <c r="U50" t="s">
        <v>1144</v>
      </c>
      <c r="V50" t="s">
        <v>1243</v>
      </c>
      <c r="W50" t="s">
        <v>1244</v>
      </c>
    </row>
    <row r="51" spans="20:23" x14ac:dyDescent="0.25">
      <c r="T51" t="s">
        <v>1021</v>
      </c>
      <c r="U51" t="s">
        <v>1144</v>
      </c>
      <c r="V51" t="s">
        <v>1245</v>
      </c>
      <c r="W51" t="s">
        <v>1246</v>
      </c>
    </row>
    <row r="52" spans="20:23" x14ac:dyDescent="0.25">
      <c r="T52" t="s">
        <v>1021</v>
      </c>
      <c r="U52" t="s">
        <v>1144</v>
      </c>
      <c r="V52" t="s">
        <v>1247</v>
      </c>
      <c r="W52" t="s">
        <v>1248</v>
      </c>
    </row>
    <row r="53" spans="20:23" x14ac:dyDescent="0.25">
      <c r="T53" t="s">
        <v>1021</v>
      </c>
      <c r="U53" t="s">
        <v>1144</v>
      </c>
      <c r="V53" t="s">
        <v>1249</v>
      </c>
      <c r="W53" t="s">
        <v>1250</v>
      </c>
    </row>
    <row r="54" spans="20:23" x14ac:dyDescent="0.25">
      <c r="T54" t="s">
        <v>1021</v>
      </c>
      <c r="U54" t="s">
        <v>1144</v>
      </c>
      <c r="V54" t="s">
        <v>1251</v>
      </c>
      <c r="W54" t="s">
        <v>1252</v>
      </c>
    </row>
    <row r="55" spans="20:23" x14ac:dyDescent="0.25">
      <c r="T55" t="s">
        <v>1021</v>
      </c>
      <c r="U55" t="s">
        <v>1144</v>
      </c>
      <c r="V55" t="s">
        <v>1253</v>
      </c>
      <c r="W55" t="s">
        <v>1254</v>
      </c>
    </row>
    <row r="56" spans="20:23" x14ac:dyDescent="0.25">
      <c r="T56" t="s">
        <v>1021</v>
      </c>
      <c r="U56" t="s">
        <v>1144</v>
      </c>
      <c r="V56" t="s">
        <v>1255</v>
      </c>
      <c r="W56" t="s">
        <v>1256</v>
      </c>
    </row>
    <row r="57" spans="20:23" x14ac:dyDescent="0.25">
      <c r="T57" t="s">
        <v>1021</v>
      </c>
      <c r="U57" t="s">
        <v>1144</v>
      </c>
      <c r="V57" t="s">
        <v>1257</v>
      </c>
      <c r="W57" t="s">
        <v>1258</v>
      </c>
    </row>
    <row r="58" spans="20:23" x14ac:dyDescent="0.25">
      <c r="T58" t="s">
        <v>1021</v>
      </c>
      <c r="U58" t="s">
        <v>1144</v>
      </c>
      <c r="V58" t="s">
        <v>1259</v>
      </c>
      <c r="W58" t="s">
        <v>1260</v>
      </c>
    </row>
    <row r="59" spans="20:23" x14ac:dyDescent="0.25">
      <c r="T59" t="s">
        <v>1021</v>
      </c>
      <c r="U59" t="s">
        <v>1144</v>
      </c>
      <c r="V59" t="s">
        <v>1261</v>
      </c>
      <c r="W59" t="s">
        <v>1262</v>
      </c>
    </row>
    <row r="60" spans="20:23" x14ac:dyDescent="0.25">
      <c r="T60" t="s">
        <v>1021</v>
      </c>
      <c r="U60" t="s">
        <v>1144</v>
      </c>
      <c r="V60" t="s">
        <v>1263</v>
      </c>
      <c r="W60" t="s">
        <v>1264</v>
      </c>
    </row>
    <row r="61" spans="20:23" x14ac:dyDescent="0.25">
      <c r="T61" t="s">
        <v>1021</v>
      </c>
      <c r="U61" t="s">
        <v>1144</v>
      </c>
      <c r="V61" t="s">
        <v>1265</v>
      </c>
      <c r="W61" t="s">
        <v>1266</v>
      </c>
    </row>
    <row r="62" spans="20:23" x14ac:dyDescent="0.25">
      <c r="T62" t="s">
        <v>1021</v>
      </c>
      <c r="U62" t="s">
        <v>1144</v>
      </c>
      <c r="V62" t="s">
        <v>1267</v>
      </c>
      <c r="W62" t="s">
        <v>1268</v>
      </c>
    </row>
    <row r="63" spans="20:23" x14ac:dyDescent="0.25">
      <c r="T63" t="s">
        <v>1021</v>
      </c>
      <c r="U63" t="s">
        <v>1144</v>
      </c>
      <c r="V63" t="s">
        <v>1269</v>
      </c>
      <c r="W63" t="s">
        <v>1270</v>
      </c>
    </row>
    <row r="64" spans="20:23" x14ac:dyDescent="0.25">
      <c r="T64" t="s">
        <v>1021</v>
      </c>
      <c r="U64" t="s">
        <v>1144</v>
      </c>
      <c r="V64" t="s">
        <v>1271</v>
      </c>
      <c r="W64" t="s">
        <v>1272</v>
      </c>
    </row>
    <row r="65" spans="20:23" x14ac:dyDescent="0.25">
      <c r="T65" t="s">
        <v>1021</v>
      </c>
      <c r="U65" t="s">
        <v>1144</v>
      </c>
      <c r="V65" t="s">
        <v>1273</v>
      </c>
      <c r="W65" t="s">
        <v>1274</v>
      </c>
    </row>
    <row r="66" spans="20:23" x14ac:dyDescent="0.25">
      <c r="T66" t="s">
        <v>1021</v>
      </c>
      <c r="U66" t="s">
        <v>1144</v>
      </c>
      <c r="V66" t="s">
        <v>1275</v>
      </c>
      <c r="W66" t="s">
        <v>1276</v>
      </c>
    </row>
    <row r="67" spans="20:23" x14ac:dyDescent="0.25">
      <c r="T67" t="s">
        <v>1021</v>
      </c>
      <c r="U67" t="s">
        <v>1144</v>
      </c>
      <c r="V67" t="s">
        <v>1277</v>
      </c>
      <c r="W67" t="s">
        <v>1278</v>
      </c>
    </row>
    <row r="68" spans="20:23" x14ac:dyDescent="0.25">
      <c r="T68" t="s">
        <v>1021</v>
      </c>
      <c r="U68" t="s">
        <v>1144</v>
      </c>
      <c r="V68" t="s">
        <v>1279</v>
      </c>
      <c r="W68" t="s">
        <v>1280</v>
      </c>
    </row>
    <row r="69" spans="20:23" x14ac:dyDescent="0.25">
      <c r="T69" t="s">
        <v>1021</v>
      </c>
      <c r="U69" t="s">
        <v>1144</v>
      </c>
      <c r="V69" t="s">
        <v>1281</v>
      </c>
      <c r="W69" t="s">
        <v>1282</v>
      </c>
    </row>
    <row r="70" spans="20:23" x14ac:dyDescent="0.25">
      <c r="T70" t="s">
        <v>1021</v>
      </c>
      <c r="U70" t="s">
        <v>1144</v>
      </c>
      <c r="V70" t="s">
        <v>1283</v>
      </c>
      <c r="W70" t="s">
        <v>1284</v>
      </c>
    </row>
    <row r="71" spans="20:23" x14ac:dyDescent="0.25">
      <c r="T71" t="s">
        <v>1021</v>
      </c>
      <c r="U71" t="s">
        <v>1144</v>
      </c>
      <c r="V71" t="s">
        <v>1285</v>
      </c>
      <c r="W71" t="s">
        <v>1286</v>
      </c>
    </row>
    <row r="72" spans="20:23" x14ac:dyDescent="0.25">
      <c r="T72" t="s">
        <v>1021</v>
      </c>
      <c r="U72" t="s">
        <v>1144</v>
      </c>
      <c r="V72" t="s">
        <v>1287</v>
      </c>
      <c r="W72" t="s">
        <v>1288</v>
      </c>
    </row>
    <row r="73" spans="20:23" x14ac:dyDescent="0.25">
      <c r="T73" t="s">
        <v>1021</v>
      </c>
      <c r="U73" t="s">
        <v>1144</v>
      </c>
      <c r="V73" t="s">
        <v>1289</v>
      </c>
      <c r="W73" t="s">
        <v>1290</v>
      </c>
    </row>
    <row r="74" spans="20:23" x14ac:dyDescent="0.25">
      <c r="T74" t="s">
        <v>1021</v>
      </c>
      <c r="U74" t="s">
        <v>1144</v>
      </c>
      <c r="V74" t="s">
        <v>1291</v>
      </c>
      <c r="W74" t="s">
        <v>1292</v>
      </c>
    </row>
    <row r="75" spans="20:23" x14ac:dyDescent="0.25">
      <c r="T75" t="s">
        <v>1021</v>
      </c>
      <c r="U75" t="s">
        <v>1144</v>
      </c>
      <c r="V75" t="s">
        <v>1293</v>
      </c>
      <c r="W75" t="s">
        <v>1294</v>
      </c>
    </row>
    <row r="76" spans="20:23" x14ac:dyDescent="0.25">
      <c r="T76" t="s">
        <v>1021</v>
      </c>
      <c r="U76" t="s">
        <v>1144</v>
      </c>
      <c r="V76" t="s">
        <v>1295</v>
      </c>
      <c r="W76" t="s">
        <v>1296</v>
      </c>
    </row>
    <row r="77" spans="20:23" x14ac:dyDescent="0.25">
      <c r="T77" t="s">
        <v>1021</v>
      </c>
      <c r="U77" t="s">
        <v>1144</v>
      </c>
      <c r="V77" t="s">
        <v>1297</v>
      </c>
      <c r="W77" t="s">
        <v>1298</v>
      </c>
    </row>
    <row r="78" spans="20:23" x14ac:dyDescent="0.25">
      <c r="T78" t="s">
        <v>1021</v>
      </c>
      <c r="U78" t="s">
        <v>1144</v>
      </c>
      <c r="V78" t="s">
        <v>1299</v>
      </c>
      <c r="W78" t="s">
        <v>1300</v>
      </c>
    </row>
    <row r="79" spans="20:23" x14ac:dyDescent="0.25">
      <c r="T79" t="s">
        <v>1021</v>
      </c>
      <c r="U79" t="s">
        <v>1144</v>
      </c>
      <c r="V79" t="s">
        <v>1301</v>
      </c>
      <c r="W79" t="s">
        <v>1302</v>
      </c>
    </row>
    <row r="80" spans="20:23" x14ac:dyDescent="0.25">
      <c r="T80" t="s">
        <v>1021</v>
      </c>
      <c r="U80" t="s">
        <v>1144</v>
      </c>
      <c r="V80" t="s">
        <v>1303</v>
      </c>
      <c r="W80" t="s">
        <v>1304</v>
      </c>
    </row>
    <row r="81" spans="20:23" x14ac:dyDescent="0.25">
      <c r="T81" t="s">
        <v>1021</v>
      </c>
      <c r="U81" t="s">
        <v>1144</v>
      </c>
      <c r="V81" t="s">
        <v>1305</v>
      </c>
      <c r="W81" t="s">
        <v>1306</v>
      </c>
    </row>
    <row r="82" spans="20:23" x14ac:dyDescent="0.25">
      <c r="T82" t="s">
        <v>1021</v>
      </c>
      <c r="U82" t="s">
        <v>1144</v>
      </c>
      <c r="V82" t="s">
        <v>1307</v>
      </c>
      <c r="W82" t="s">
        <v>1308</v>
      </c>
    </row>
    <row r="83" spans="20:23" x14ac:dyDescent="0.25">
      <c r="T83" t="s">
        <v>1021</v>
      </c>
      <c r="U83" t="s">
        <v>1144</v>
      </c>
      <c r="V83" t="s">
        <v>1309</v>
      </c>
      <c r="W83" t="s">
        <v>1310</v>
      </c>
    </row>
    <row r="84" spans="20:23" x14ac:dyDescent="0.25">
      <c r="T84" t="s">
        <v>1021</v>
      </c>
      <c r="U84" t="s">
        <v>1144</v>
      </c>
      <c r="V84" t="s">
        <v>1311</v>
      </c>
      <c r="W84" t="s">
        <v>1312</v>
      </c>
    </row>
    <row r="85" spans="20:23" x14ac:dyDescent="0.25">
      <c r="T85" t="s">
        <v>1021</v>
      </c>
      <c r="U85" t="s">
        <v>1144</v>
      </c>
      <c r="V85" t="s">
        <v>1313</v>
      </c>
      <c r="W85" t="s">
        <v>1314</v>
      </c>
    </row>
    <row r="86" spans="20:23" x14ac:dyDescent="0.25">
      <c r="T86" t="s">
        <v>1021</v>
      </c>
      <c r="U86" t="s">
        <v>1144</v>
      </c>
      <c r="V86" t="s">
        <v>1315</v>
      </c>
      <c r="W86" t="s">
        <v>1316</v>
      </c>
    </row>
    <row r="87" spans="20:23" x14ac:dyDescent="0.25">
      <c r="T87" t="s">
        <v>1021</v>
      </c>
      <c r="U87" t="s">
        <v>1144</v>
      </c>
      <c r="V87" t="s">
        <v>1317</v>
      </c>
      <c r="W87" t="s">
        <v>1318</v>
      </c>
    </row>
    <row r="88" spans="20:23" x14ac:dyDescent="0.25">
      <c r="T88" t="s">
        <v>1021</v>
      </c>
      <c r="U88" t="s">
        <v>1144</v>
      </c>
      <c r="V88" t="s">
        <v>1319</v>
      </c>
      <c r="W88" t="s">
        <v>1320</v>
      </c>
    </row>
    <row r="89" spans="20:23" x14ac:dyDescent="0.25">
      <c r="T89" t="s">
        <v>1021</v>
      </c>
      <c r="U89" t="s">
        <v>1144</v>
      </c>
      <c r="V89" t="s">
        <v>1321</v>
      </c>
      <c r="W89" t="s">
        <v>1322</v>
      </c>
    </row>
    <row r="90" spans="20:23" x14ac:dyDescent="0.25">
      <c r="T90" t="s">
        <v>1021</v>
      </c>
      <c r="U90" t="s">
        <v>1144</v>
      </c>
      <c r="V90" t="s">
        <v>1323</v>
      </c>
      <c r="W90" t="s">
        <v>1324</v>
      </c>
    </row>
    <row r="91" spans="20:23" x14ac:dyDescent="0.25">
      <c r="T91" t="s">
        <v>1021</v>
      </c>
      <c r="U91" t="s">
        <v>1144</v>
      </c>
      <c r="V91" t="s">
        <v>1143</v>
      </c>
      <c r="W91" t="s">
        <v>1143</v>
      </c>
    </row>
    <row r="92" spans="20:23" x14ac:dyDescent="0.25">
      <c r="T92" t="s">
        <v>1146</v>
      </c>
      <c r="U92" t="s">
        <v>1147</v>
      </c>
      <c r="V92" t="s">
        <v>1325</v>
      </c>
      <c r="W92" t="s">
        <v>1326</v>
      </c>
    </row>
    <row r="93" spans="20:23" x14ac:dyDescent="0.25">
      <c r="T93" t="s">
        <v>1146</v>
      </c>
      <c r="U93" t="s">
        <v>1147</v>
      </c>
      <c r="V93" t="s">
        <v>1327</v>
      </c>
      <c r="W93" t="s">
        <v>1328</v>
      </c>
    </row>
    <row r="94" spans="20:23" x14ac:dyDescent="0.25">
      <c r="T94" t="s">
        <v>1146</v>
      </c>
      <c r="U94" t="s">
        <v>1147</v>
      </c>
      <c r="V94" t="s">
        <v>1329</v>
      </c>
      <c r="W94" t="s">
        <v>1330</v>
      </c>
    </row>
    <row r="95" spans="20:23" x14ac:dyDescent="0.25">
      <c r="T95" t="s">
        <v>1146</v>
      </c>
      <c r="U95" t="s">
        <v>1147</v>
      </c>
      <c r="V95" t="s">
        <v>1331</v>
      </c>
      <c r="W95" t="s">
        <v>1332</v>
      </c>
    </row>
    <row r="96" spans="20:23" x14ac:dyDescent="0.25">
      <c r="T96" t="s">
        <v>1146</v>
      </c>
      <c r="U96" t="s">
        <v>1147</v>
      </c>
      <c r="V96" t="s">
        <v>1333</v>
      </c>
      <c r="W96" t="s">
        <v>1334</v>
      </c>
    </row>
    <row r="97" spans="20:23" x14ac:dyDescent="0.25">
      <c r="T97" t="s">
        <v>1146</v>
      </c>
      <c r="U97" t="s">
        <v>1147</v>
      </c>
      <c r="V97" t="s">
        <v>1335</v>
      </c>
      <c r="W97" t="s">
        <v>1336</v>
      </c>
    </row>
    <row r="98" spans="20:23" x14ac:dyDescent="0.25">
      <c r="T98" t="s">
        <v>1146</v>
      </c>
      <c r="U98" t="s">
        <v>1147</v>
      </c>
      <c r="V98" t="s">
        <v>1337</v>
      </c>
      <c r="W98" t="s">
        <v>1338</v>
      </c>
    </row>
    <row r="99" spans="20:23" x14ac:dyDescent="0.25">
      <c r="T99" t="s">
        <v>1146</v>
      </c>
      <c r="U99" t="s">
        <v>1147</v>
      </c>
      <c r="V99" t="s">
        <v>1339</v>
      </c>
      <c r="W99" t="s">
        <v>1340</v>
      </c>
    </row>
    <row r="100" spans="20:23" x14ac:dyDescent="0.25">
      <c r="T100" t="s">
        <v>1146</v>
      </c>
      <c r="U100" t="s">
        <v>1147</v>
      </c>
      <c r="V100" t="s">
        <v>1341</v>
      </c>
      <c r="W100" t="s">
        <v>1342</v>
      </c>
    </row>
    <row r="101" spans="20:23" x14ac:dyDescent="0.25">
      <c r="T101" t="s">
        <v>1146</v>
      </c>
      <c r="U101" t="s">
        <v>1147</v>
      </c>
      <c r="V101" t="s">
        <v>1343</v>
      </c>
      <c r="W101" t="s">
        <v>1344</v>
      </c>
    </row>
    <row r="102" spans="20:23" x14ac:dyDescent="0.25">
      <c r="T102" t="s">
        <v>1146</v>
      </c>
      <c r="U102" t="s">
        <v>1147</v>
      </c>
      <c r="V102" t="s">
        <v>1345</v>
      </c>
      <c r="W102" t="s">
        <v>1346</v>
      </c>
    </row>
    <row r="103" spans="20:23" x14ac:dyDescent="0.25">
      <c r="T103" t="s">
        <v>1146</v>
      </c>
      <c r="U103" t="s">
        <v>1147</v>
      </c>
      <c r="V103" t="s">
        <v>1347</v>
      </c>
      <c r="W103" t="s">
        <v>1348</v>
      </c>
    </row>
    <row r="104" spans="20:23" x14ac:dyDescent="0.25">
      <c r="T104" t="s">
        <v>1146</v>
      </c>
      <c r="U104" t="s">
        <v>1147</v>
      </c>
      <c r="V104" t="s">
        <v>1349</v>
      </c>
      <c r="W104" t="s">
        <v>1350</v>
      </c>
    </row>
    <row r="105" spans="20:23" x14ac:dyDescent="0.25">
      <c r="T105" t="s">
        <v>1146</v>
      </c>
      <c r="U105" t="s">
        <v>1147</v>
      </c>
      <c r="V105" t="s">
        <v>1351</v>
      </c>
      <c r="W105" t="s">
        <v>1352</v>
      </c>
    </row>
    <row r="106" spans="20:23" x14ac:dyDescent="0.25">
      <c r="T106" t="s">
        <v>1146</v>
      </c>
      <c r="U106" t="s">
        <v>1147</v>
      </c>
      <c r="V106" t="s">
        <v>1353</v>
      </c>
      <c r="W106" t="s">
        <v>1354</v>
      </c>
    </row>
    <row r="107" spans="20:23" x14ac:dyDescent="0.25">
      <c r="T107" t="s">
        <v>1146</v>
      </c>
      <c r="U107" t="s">
        <v>1147</v>
      </c>
      <c r="V107" t="s">
        <v>1355</v>
      </c>
      <c r="W107" t="s">
        <v>1356</v>
      </c>
    </row>
    <row r="108" spans="20:23" x14ac:dyDescent="0.25">
      <c r="T108" t="s">
        <v>1146</v>
      </c>
      <c r="U108" t="s">
        <v>1147</v>
      </c>
      <c r="V108" t="s">
        <v>1357</v>
      </c>
      <c r="W108" t="s">
        <v>1358</v>
      </c>
    </row>
    <row r="109" spans="20:23" x14ac:dyDescent="0.25">
      <c r="T109" t="s">
        <v>1146</v>
      </c>
      <c r="U109" t="s">
        <v>1147</v>
      </c>
      <c r="V109" t="s">
        <v>1359</v>
      </c>
      <c r="W109" t="s">
        <v>1360</v>
      </c>
    </row>
    <row r="110" spans="20:23" x14ac:dyDescent="0.25">
      <c r="T110" t="s">
        <v>1146</v>
      </c>
      <c r="U110" t="s">
        <v>1147</v>
      </c>
      <c r="V110" t="s">
        <v>1361</v>
      </c>
      <c r="W110" t="s">
        <v>1362</v>
      </c>
    </row>
    <row r="111" spans="20:23" x14ac:dyDescent="0.25">
      <c r="T111" t="s">
        <v>1146</v>
      </c>
      <c r="U111" t="s">
        <v>1147</v>
      </c>
      <c r="V111" t="s">
        <v>1363</v>
      </c>
      <c r="W111" t="s">
        <v>1364</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24-8-2017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1739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841</v>
      </c>
    </row>
    <row r="2" spans="1:21" x14ac:dyDescent="0.25">
      <c r="A2" t="s">
        <v>851</v>
      </c>
      <c r="B2" t="s">
        <v>852</v>
      </c>
      <c r="C2" t="s">
        <v>853</v>
      </c>
      <c r="D2" t="s">
        <v>849</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854</v>
      </c>
      <c r="C3" t="s">
        <v>855</v>
      </c>
      <c r="D3" t="s">
        <v>849</v>
      </c>
      <c r="E3">
        <v>10</v>
      </c>
      <c r="F3">
        <v>229.81200000000001</v>
      </c>
      <c r="G3">
        <v>464</v>
      </c>
      <c r="H3">
        <v>20</v>
      </c>
      <c r="I3">
        <v>0.9</v>
      </c>
      <c r="J3">
        <v>0.73</v>
      </c>
      <c r="K3">
        <v>0</v>
      </c>
      <c r="L3">
        <v>0.46969699999999998</v>
      </c>
      <c r="M3">
        <v>7</v>
      </c>
      <c r="N3">
        <v>7</v>
      </c>
      <c r="O3">
        <v>7</v>
      </c>
      <c r="P3">
        <v>7</v>
      </c>
      <c r="Q3">
        <v>0</v>
      </c>
      <c r="T3" t="s">
        <v>838</v>
      </c>
    </row>
    <row r="4" spans="1:21" x14ac:dyDescent="0.25">
      <c r="A4" t="s">
        <v>856</v>
      </c>
      <c r="B4" t="s">
        <v>857</v>
      </c>
      <c r="C4" t="s">
        <v>855</v>
      </c>
      <c r="D4" t="s">
        <v>849</v>
      </c>
      <c r="E4">
        <v>8</v>
      </c>
      <c r="F4">
        <v>378.37759999999997</v>
      </c>
      <c r="G4">
        <v>780</v>
      </c>
      <c r="H4">
        <v>15</v>
      </c>
      <c r="I4">
        <v>0.87</v>
      </c>
      <c r="J4">
        <v>0.33</v>
      </c>
      <c r="K4">
        <v>0</v>
      </c>
      <c r="L4">
        <v>1</v>
      </c>
      <c r="M4">
        <v>5</v>
      </c>
      <c r="N4">
        <v>5</v>
      </c>
      <c r="O4">
        <v>5</v>
      </c>
      <c r="P4">
        <v>5</v>
      </c>
      <c r="Q4">
        <v>0</v>
      </c>
      <c r="T4" t="s">
        <v>838</v>
      </c>
    </row>
    <row r="5" spans="1:21" x14ac:dyDescent="0.25">
      <c r="A5" t="s">
        <v>39</v>
      </c>
      <c r="B5" t="s">
        <v>858</v>
      </c>
      <c r="C5" t="s">
        <v>853</v>
      </c>
      <c r="D5" t="s">
        <v>849</v>
      </c>
      <c r="E5">
        <v>290</v>
      </c>
      <c r="F5">
        <v>324.18680000000001</v>
      </c>
      <c r="G5">
        <v>795</v>
      </c>
      <c r="H5">
        <v>650</v>
      </c>
      <c r="I5">
        <v>0.78</v>
      </c>
      <c r="J5">
        <v>1.27</v>
      </c>
      <c r="K5">
        <v>0</v>
      </c>
      <c r="L5">
        <v>0.46803099999999997</v>
      </c>
      <c r="M5">
        <v>207</v>
      </c>
      <c r="N5">
        <v>207</v>
      </c>
      <c r="O5">
        <v>207</v>
      </c>
      <c r="P5">
        <v>207</v>
      </c>
      <c r="Q5">
        <v>0</v>
      </c>
      <c r="T5" t="s">
        <v>838</v>
      </c>
    </row>
    <row r="6" spans="1:21" x14ac:dyDescent="0.25">
      <c r="A6" t="s">
        <v>859</v>
      </c>
      <c r="B6" t="s">
        <v>860</v>
      </c>
      <c r="C6" t="s">
        <v>861</v>
      </c>
      <c r="D6" t="s">
        <v>849</v>
      </c>
      <c r="E6">
        <v>37</v>
      </c>
      <c r="F6">
        <v>372.49869999999999</v>
      </c>
      <c r="G6">
        <v>624</v>
      </c>
      <c r="H6">
        <v>80</v>
      </c>
      <c r="I6">
        <v>0.76</v>
      </c>
      <c r="J6">
        <v>0.19</v>
      </c>
      <c r="K6">
        <v>0</v>
      </c>
      <c r="L6">
        <v>0.52694600000000003</v>
      </c>
      <c r="M6">
        <v>31</v>
      </c>
      <c r="N6">
        <v>31</v>
      </c>
      <c r="O6">
        <v>31</v>
      </c>
      <c r="P6">
        <v>31</v>
      </c>
      <c r="Q6">
        <v>0</v>
      </c>
      <c r="T6" t="s">
        <v>838</v>
      </c>
    </row>
    <row r="7" spans="1:21" x14ac:dyDescent="0.25">
      <c r="A7" t="s">
        <v>862</v>
      </c>
      <c r="B7" t="s">
        <v>863</v>
      </c>
      <c r="C7" t="s">
        <v>850</v>
      </c>
      <c r="D7" t="s">
        <v>849</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864</v>
      </c>
      <c r="C8" t="s">
        <v>865</v>
      </c>
      <c r="D8" t="s">
        <v>849</v>
      </c>
      <c r="E8">
        <v>48</v>
      </c>
      <c r="F8">
        <v>379.2577</v>
      </c>
      <c r="G8">
        <v>774</v>
      </c>
      <c r="H8">
        <v>105</v>
      </c>
      <c r="I8">
        <v>0.7</v>
      </c>
      <c r="J8">
        <v>0.83</v>
      </c>
      <c r="K8">
        <v>0</v>
      </c>
      <c r="L8">
        <v>0.31236900000000001</v>
      </c>
      <c r="M8">
        <v>6</v>
      </c>
      <c r="N8">
        <v>6</v>
      </c>
      <c r="O8">
        <v>6</v>
      </c>
      <c r="P8">
        <v>6</v>
      </c>
      <c r="Q8">
        <v>0</v>
      </c>
      <c r="T8" t="s">
        <v>838</v>
      </c>
    </row>
    <row r="9" spans="1:21" x14ac:dyDescent="0.25">
      <c r="A9" t="s">
        <v>866</v>
      </c>
      <c r="B9" t="s">
        <v>867</v>
      </c>
      <c r="C9" t="s">
        <v>868</v>
      </c>
      <c r="D9" t="s">
        <v>849</v>
      </c>
      <c r="E9">
        <v>2</v>
      </c>
      <c r="F9">
        <v>2.16</v>
      </c>
      <c r="G9">
        <v>4.13</v>
      </c>
      <c r="H9">
        <v>3</v>
      </c>
      <c r="I9">
        <v>0.67</v>
      </c>
      <c r="J9">
        <v>0.51</v>
      </c>
      <c r="K9">
        <v>0</v>
      </c>
      <c r="L9">
        <v>1</v>
      </c>
      <c r="M9">
        <v>2</v>
      </c>
      <c r="N9">
        <v>2</v>
      </c>
      <c r="O9">
        <v>2</v>
      </c>
      <c r="P9">
        <v>2</v>
      </c>
      <c r="Q9">
        <v>0</v>
      </c>
      <c r="T9" t="s">
        <v>838</v>
      </c>
    </row>
    <row r="10" spans="1:21" x14ac:dyDescent="0.25">
      <c r="A10" t="s">
        <v>869</v>
      </c>
      <c r="B10" t="s">
        <v>870</v>
      </c>
      <c r="C10" t="s">
        <v>850</v>
      </c>
      <c r="D10" t="s">
        <v>849</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871</v>
      </c>
      <c r="C11" t="s">
        <v>872</v>
      </c>
      <c r="D11" t="s">
        <v>849</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873</v>
      </c>
      <c r="B12" t="s">
        <v>874</v>
      </c>
      <c r="C12" t="s">
        <v>875</v>
      </c>
      <c r="D12" t="s">
        <v>849</v>
      </c>
      <c r="E12">
        <v>2</v>
      </c>
      <c r="F12">
        <v>20.21</v>
      </c>
      <c r="G12">
        <v>117</v>
      </c>
      <c r="H12">
        <v>2</v>
      </c>
      <c r="I12">
        <v>0.5</v>
      </c>
      <c r="J12">
        <v>0.86</v>
      </c>
      <c r="K12">
        <v>0</v>
      </c>
      <c r="L12">
        <v>1</v>
      </c>
      <c r="M12">
        <v>1</v>
      </c>
      <c r="N12">
        <v>1</v>
      </c>
      <c r="O12">
        <v>1</v>
      </c>
      <c r="P12">
        <v>1</v>
      </c>
      <c r="Q12">
        <v>0</v>
      </c>
      <c r="T12" t="s">
        <v>838</v>
      </c>
    </row>
    <row r="13" spans="1:21" x14ac:dyDescent="0.25">
      <c r="A13" t="s">
        <v>876</v>
      </c>
      <c r="B13" t="s">
        <v>877</v>
      </c>
      <c r="C13" t="s">
        <v>853</v>
      </c>
      <c r="D13" t="s">
        <v>849</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846</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846</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846</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844</v>
      </c>
      <c r="B742" t="s">
        <v>620</v>
      </c>
    </row>
    <row r="743" spans="1:2" x14ac:dyDescent="0.25">
      <c r="A743" t="s">
        <v>843</v>
      </c>
      <c r="B743" t="s">
        <v>612</v>
      </c>
    </row>
    <row r="744" spans="1:2" x14ac:dyDescent="0.25">
      <c r="A744" t="s">
        <v>842</v>
      </c>
      <c r="B744" t="s">
        <v>618</v>
      </c>
    </row>
    <row r="745" spans="1:2" x14ac:dyDescent="0.25">
      <c r="A745" t="s">
        <v>845</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879</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880</v>
      </c>
    </row>
    <row r="4" spans="1:4" x14ac:dyDescent="0.25">
      <c r="A4" t="s">
        <v>965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F6"/>
  <sheetViews>
    <sheetView showGridLines="0" zoomScaleNormal="100" workbookViewId="0">
      <selection activeCell="A6" sqref="A6:Q9"/>
    </sheetView>
  </sheetViews>
  <sheetFormatPr baseColWidth="10" defaultRowHeight="15" x14ac:dyDescent="0.25"/>
  <cols>
    <col min="1" max="1" width="16.7109375" customWidth="1"/>
    <col min="2" max="2" width="17" customWidth="1"/>
    <col min="3" max="3" width="45.140625" customWidth="1"/>
    <col min="4" max="6" width="17.7109375" hidden="1" customWidth="1"/>
    <col min="7" max="10" width="16.7109375" hidden="1" customWidth="1"/>
    <col min="11" max="11" width="16.7109375" customWidth="1"/>
    <col min="12" max="12" width="16.7109375" hidden="1" customWidth="1"/>
    <col min="13" max="15" width="16.7109375" customWidth="1"/>
    <col min="17" max="17" width="19.85546875" hidden="1" customWidth="1"/>
  </cols>
  <sheetData>
    <row r="1" spans="1:58" ht="15.75" x14ac:dyDescent="0.25">
      <c r="B1" s="67" t="s">
        <v>1737</v>
      </c>
      <c r="C1" s="66"/>
      <c r="D1" s="66"/>
      <c r="E1" s="66"/>
      <c r="F1" s="66"/>
      <c r="G1" s="1"/>
      <c r="H1" s="1"/>
      <c r="I1" s="1"/>
      <c r="J1" s="1"/>
      <c r="K1" s="1"/>
      <c r="L1" s="1"/>
      <c r="M1" s="1"/>
      <c r="N1" s="1"/>
      <c r="O1" s="1"/>
      <c r="BF1" t="s">
        <v>1739</v>
      </c>
    </row>
    <row r="2" spans="1:58" x14ac:dyDescent="0.25">
      <c r="A2" t="str">
        <f>"EMPRESA:  "&amp;BF1</f>
        <v>EMPRESA:  HOSPICARE</v>
      </c>
    </row>
    <row r="3" spans="1:58" x14ac:dyDescent="0.25">
      <c r="A3" t="str">
        <f ca="1">"FECHA:        "&amp;TEXT(TODAY(),"dd/mmm/yyyy")</f>
        <v>FECHA:        24/ago/2017</v>
      </c>
      <c r="B3" s="12"/>
    </row>
    <row r="5" spans="1:58" x14ac:dyDescent="0.25">
      <c r="A5" s="2" t="s">
        <v>839</v>
      </c>
      <c r="B5" s="13" t="s">
        <v>1735</v>
      </c>
      <c r="C5" s="13" t="s">
        <v>840</v>
      </c>
      <c r="D5" s="13" t="s">
        <v>888</v>
      </c>
      <c r="E5" s="13" t="s">
        <v>889</v>
      </c>
      <c r="F5" s="13" t="s">
        <v>900</v>
      </c>
      <c r="G5" s="13" t="s">
        <v>881</v>
      </c>
      <c r="H5" s="13" t="s">
        <v>882</v>
      </c>
      <c r="I5" s="13" t="s">
        <v>883</v>
      </c>
      <c r="J5" s="13" t="s">
        <v>884</v>
      </c>
      <c r="K5" s="13" t="s">
        <v>885</v>
      </c>
      <c r="L5" s="13" t="s">
        <v>886</v>
      </c>
      <c r="M5" s="13" t="s">
        <v>8</v>
      </c>
      <c r="N5" s="13" t="s">
        <v>1734</v>
      </c>
      <c r="O5" s="13" t="s">
        <v>1145</v>
      </c>
      <c r="P5" s="2" t="s">
        <v>28</v>
      </c>
      <c r="Q5" s="2" t="s">
        <v>847</v>
      </c>
    </row>
    <row r="6" spans="1:58" x14ac:dyDescent="0.25">
      <c r="A6" s="10"/>
      <c r="B6" s="10"/>
      <c r="C6" s="10"/>
      <c r="D6" s="10"/>
      <c r="E6" s="10"/>
      <c r="F6" s="10"/>
      <c r="G6" s="10"/>
      <c r="H6" s="10"/>
      <c r="I6" s="10"/>
      <c r="J6" s="10"/>
      <c r="K6" s="10"/>
      <c r="L6" s="10"/>
      <c r="M6" s="10"/>
      <c r="N6" s="10"/>
      <c r="O6" s="10"/>
      <c r="P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autoLine="0" autoPict="0" r:id="rId5">
            <anchor>
              <from>
                <xdr:col>10</xdr:col>
                <xdr:colOff>581025</xdr:colOff>
                <xdr:row>1</xdr:row>
                <xdr:rowOff>76200</xdr:rowOff>
              </from>
              <to>
                <xdr:col>12</xdr:col>
                <xdr:colOff>323850</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autoPict="0" r:id="rId7">
            <anchor>
              <from>
                <xdr:col>10</xdr:col>
                <xdr:colOff>581025</xdr:colOff>
                <xdr:row>0</xdr:row>
                <xdr:rowOff>19050</xdr:rowOff>
              </from>
              <to>
                <xdr:col>12</xdr:col>
                <xdr:colOff>323850</xdr:colOff>
                <xdr:row>1</xdr:row>
                <xdr:rowOff>85725</xdr:rowOff>
              </to>
            </anchor>
          </controlPr>
        </control>
      </mc:Choice>
      <mc:Fallback>
        <control shapeId="3073" r:id="rId6" name="cmdVolver"/>
      </mc:Fallback>
    </mc:AlternateContent>
    <mc:AlternateContent xmlns:mc="http://schemas.openxmlformats.org/markup-compatibility/2006">
      <mc:Choice Requires="x14">
        <control shapeId="3077" r:id="rId8" name="chk_codigo_vinculado">
          <controlPr defaultSize="0" print="0" autoFill="0" autoLine="0" autoPict="0">
            <anchor>
              <from>
                <xdr:col>2</xdr:col>
                <xdr:colOff>552450</xdr:colOff>
                <xdr:row>0</xdr:row>
                <xdr:rowOff>0</xdr:rowOff>
              </from>
              <to>
                <xdr:col>2</xdr:col>
                <xdr:colOff>2200275</xdr:colOff>
                <xdr:row>0</xdr:row>
                <xdr:rowOff>161925</xdr:rowOff>
              </to>
            </anchor>
          </controlPr>
        </control>
      </mc:Choice>
    </mc:AlternateContent>
    <mc:AlternateContent xmlns:mc="http://schemas.openxmlformats.org/markup-compatibility/2006">
      <mc:Choice Requires="x14">
        <control shapeId="3078" r:id="rId9" name="chk_grupo">
          <controlPr defaultSize="0" print="0" autoFill="0" autoLine="0" autoPict="0">
            <anchor>
              <from>
                <xdr:col>2</xdr:col>
                <xdr:colOff>552450</xdr:colOff>
                <xdr:row>0</xdr:row>
                <xdr:rowOff>152400</xdr:rowOff>
              </from>
              <to>
                <xdr:col>2</xdr:col>
                <xdr:colOff>2200275</xdr:colOff>
                <xdr:row>1</xdr:row>
                <xdr:rowOff>114300</xdr:rowOff>
              </to>
            </anchor>
          </controlPr>
        </control>
      </mc:Choice>
    </mc:AlternateContent>
    <mc:AlternateContent xmlns:mc="http://schemas.openxmlformats.org/markup-compatibility/2006">
      <mc:Choice Requires="x14">
        <control shapeId="3079" r:id="rId10" name="chk_linea">
          <controlPr defaultSize="0" print="0" autoFill="0" autoLine="0" autoPict="0">
            <anchor>
              <from>
                <xdr:col>2</xdr:col>
                <xdr:colOff>552450</xdr:colOff>
                <xdr:row>1</xdr:row>
                <xdr:rowOff>104775</xdr:rowOff>
              </from>
              <to>
                <xdr:col>2</xdr:col>
                <xdr:colOff>2200275</xdr:colOff>
                <xdr:row>2</xdr:row>
                <xdr:rowOff>76200</xdr:rowOff>
              </to>
            </anchor>
          </controlPr>
        </control>
      </mc:Choice>
    </mc:AlternateContent>
    <mc:AlternateContent xmlns:mc="http://schemas.openxmlformats.org/markup-compatibility/2006">
      <mc:Choice Requires="x14">
        <control shapeId="3080" r:id="rId11" name="chk_sublinea">
          <controlPr defaultSize="0" print="0" autoFill="0" autoLine="0" autoPict="0">
            <anchor>
              <from>
                <xdr:col>2</xdr:col>
                <xdr:colOff>552450</xdr:colOff>
                <xdr:row>2</xdr:row>
                <xdr:rowOff>76200</xdr:rowOff>
              </from>
              <to>
                <xdr:col>2</xdr:col>
                <xdr:colOff>2200275</xdr:colOff>
                <xdr:row>3</xdr:row>
                <xdr:rowOff>47625</xdr:rowOff>
              </to>
            </anchor>
          </controlPr>
        </control>
      </mc:Choice>
    </mc:AlternateContent>
    <mc:AlternateContent xmlns:mc="http://schemas.openxmlformats.org/markup-compatibility/2006">
      <mc:Choice Requires="x14">
        <control shapeId="3081" r:id="rId12" name="chk_familia">
          <controlPr defaultSize="0" print="0" autoFill="0" autoLine="0" autoPict="0">
            <anchor>
              <from>
                <xdr:col>2</xdr:col>
                <xdr:colOff>552450</xdr:colOff>
                <xdr:row>3</xdr:row>
                <xdr:rowOff>38100</xdr:rowOff>
              </from>
              <to>
                <xdr:col>2</xdr:col>
                <xdr:colOff>2200275</xdr:colOff>
                <xdr:row>4</xdr:row>
                <xdr:rowOff>9525</xdr:rowOff>
              </to>
            </anchor>
          </controlPr>
        </control>
      </mc:Choice>
    </mc:AlternateContent>
    <mc:AlternateContent xmlns:mc="http://schemas.openxmlformats.org/markup-compatibility/2006">
      <mc:Choice Requires="x14">
        <control shapeId="3082" r:id="rId13" name="chk_subfamilia">
          <controlPr defaultSize="0" print="0" autoFill="0" autoLine="0" autoPict="0">
            <anchor>
              <from>
                <xdr:col>2</xdr:col>
                <xdr:colOff>1619250</xdr:colOff>
                <xdr:row>0</xdr:row>
                <xdr:rowOff>0</xdr:rowOff>
              </from>
              <to>
                <xdr:col>10</xdr:col>
                <xdr:colOff>257175</xdr:colOff>
                <xdr:row>0</xdr:row>
                <xdr:rowOff>161925</xdr:rowOff>
              </to>
            </anchor>
          </controlPr>
        </control>
      </mc:Choice>
    </mc:AlternateContent>
    <mc:AlternateContent xmlns:mc="http://schemas.openxmlformats.org/markup-compatibility/2006">
      <mc:Choice Requires="x14">
        <control shapeId="3083" r:id="rId14" name="chk_categoria">
          <controlPr defaultSize="0" print="0" autoFill="0" autoLine="0" autoPict="0">
            <anchor>
              <from>
                <xdr:col>2</xdr:col>
                <xdr:colOff>1619250</xdr:colOff>
                <xdr:row>0</xdr:row>
                <xdr:rowOff>152400</xdr:rowOff>
              </from>
              <to>
                <xdr:col>10</xdr:col>
                <xdr:colOff>257175</xdr:colOff>
                <xdr:row>1</xdr:row>
                <xdr:rowOff>114300</xdr:rowOff>
              </to>
            </anchor>
          </controlPr>
        </control>
      </mc:Choice>
    </mc:AlternateContent>
    <mc:AlternateContent xmlns:mc="http://schemas.openxmlformats.org/markup-compatibility/2006">
      <mc:Choice Requires="x14">
        <control shapeId="3084" r:id="rId15" name="chk_tipo">
          <controlPr defaultSize="0" print="0" autoFill="0" autoLine="0" autoPict="0">
            <anchor>
              <from>
                <xdr:col>2</xdr:col>
                <xdr:colOff>1619250</xdr:colOff>
                <xdr:row>1</xdr:row>
                <xdr:rowOff>104775</xdr:rowOff>
              </from>
              <to>
                <xdr:col>10</xdr:col>
                <xdr:colOff>257175</xdr:colOff>
                <xdr:row>2</xdr:row>
                <xdr:rowOff>76200</xdr:rowOff>
              </to>
            </anchor>
          </controlPr>
        </control>
      </mc:Choice>
    </mc:AlternateContent>
    <mc:AlternateContent xmlns:mc="http://schemas.openxmlformats.org/markup-compatibility/2006">
      <mc:Choice Requires="x14">
        <control shapeId="3085" r:id="rId16" name="chk_marca">
          <controlPr defaultSize="0" print="0" autoFill="0" autoLine="0" autoPict="0">
            <anchor>
              <from>
                <xdr:col>2</xdr:col>
                <xdr:colOff>1619250</xdr:colOff>
                <xdr:row>2</xdr:row>
                <xdr:rowOff>76200</xdr:rowOff>
              </from>
              <to>
                <xdr:col>10</xdr:col>
                <xdr:colOff>257175</xdr:colOff>
                <xdr:row>3</xdr:row>
                <xdr:rowOff>47625</xdr:rowOff>
              </to>
            </anchor>
          </controlPr>
        </control>
      </mc:Choice>
    </mc:AlternateContent>
    <mc:AlternateContent xmlns:mc="http://schemas.openxmlformats.org/markup-compatibility/2006">
      <mc:Choice Requires="x14">
        <control shapeId="3086" r:id="rId17" name="chk_modelo">
          <controlPr defaultSize="0" print="0" autoFill="0" autoLine="0" autoPict="0">
            <anchor>
              <from>
                <xdr:col>2</xdr:col>
                <xdr:colOff>1619250</xdr:colOff>
                <xdr:row>3</xdr:row>
                <xdr:rowOff>38100</xdr:rowOff>
              </from>
              <to>
                <xdr:col>10</xdr:col>
                <xdr:colOff>257175</xdr:colOff>
                <xdr:row>4</xdr:row>
                <xdr:rowOff>9525</xdr:rowOff>
              </to>
            </anchor>
          </controlPr>
        </control>
      </mc:Choice>
    </mc:AlternateContent>
    <mc:AlternateContent xmlns:mc="http://schemas.openxmlformats.org/markup-compatibility/2006">
      <mc:Choice Requires="x14">
        <control shapeId="3087" r:id="rId18" name="chk_buffer">
          <controlPr defaultSize="0" print="0" autoFill="0" autoLine="0" autoPict="0">
            <anchor>
              <from>
                <xdr:col>2</xdr:col>
                <xdr:colOff>2495550</xdr:colOff>
                <xdr:row>0</xdr:row>
                <xdr:rowOff>0</xdr:rowOff>
              </from>
              <to>
                <xdr:col>10</xdr:col>
                <xdr:colOff>600075</xdr:colOff>
                <xdr:row>0</xdr:row>
                <xdr:rowOff>152400</xdr:rowOff>
              </to>
            </anchor>
          </controlPr>
        </control>
      </mc:Choice>
    </mc:AlternateContent>
    <mc:AlternateContent xmlns:mc="http://schemas.openxmlformats.org/markup-compatibility/2006">
      <mc:Choice Requires="x14">
        <control shapeId="3088" r:id="rId19" name="chk_fisico">
          <controlPr defaultSize="0" print="0" autoFill="0" autoLine="0" autoPict="0">
            <anchor>
              <from>
                <xdr:col>2</xdr:col>
                <xdr:colOff>2495550</xdr:colOff>
                <xdr:row>0</xdr:row>
                <xdr:rowOff>152400</xdr:rowOff>
              </from>
              <to>
                <xdr:col>10</xdr:col>
                <xdr:colOff>628650</xdr:colOff>
                <xdr:row>1</xdr:row>
                <xdr:rowOff>95250</xdr:rowOff>
              </to>
            </anchor>
          </controlPr>
        </control>
      </mc:Choice>
    </mc:AlternateContent>
    <mc:AlternateContent xmlns:mc="http://schemas.openxmlformats.org/markup-compatibility/2006">
      <mc:Choice Requires="x14">
        <control shapeId="3089" r:id="rId20" name="Check Box 17">
          <controlPr defaultSize="0" print="0" autoFill="0" autoLine="0" autoPict="0">
            <anchor>
              <from>
                <xdr:col>2</xdr:col>
                <xdr:colOff>2495550</xdr:colOff>
                <xdr:row>1</xdr:row>
                <xdr:rowOff>104775</xdr:rowOff>
              </from>
              <to>
                <xdr:col>10</xdr:col>
                <xdr:colOff>571500</xdr:colOff>
                <xdr:row>2</xdr:row>
                <xdr:rowOff>76200</xdr:rowOff>
              </to>
            </anchor>
          </controlPr>
        </control>
      </mc:Choice>
    </mc:AlternateContent>
  </controls>
  <tableParts count="1">
    <tablePart r:id="rId2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4" t="s">
        <v>26</v>
      </c>
      <c r="B1" s="14" t="s">
        <v>848</v>
      </c>
    </row>
    <row r="2" spans="1:2" x14ac:dyDescent="0.25">
      <c r="A2" s="15" t="str">
        <f>"=**"</f>
        <v>=**</v>
      </c>
      <c r="B2" s="14"/>
    </row>
    <row r="3" spans="1:2" x14ac:dyDescent="0.25">
      <c r="A3" s="14"/>
      <c r="B3" s="15"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1014</v>
      </c>
      <c r="B1" t="s">
        <v>917</v>
      </c>
      <c r="C1" t="s">
        <v>918</v>
      </c>
      <c r="D1" t="s">
        <v>919</v>
      </c>
      <c r="E1" t="s">
        <v>920</v>
      </c>
      <c r="F1" t="s">
        <v>921</v>
      </c>
      <c r="G1" t="s">
        <v>922</v>
      </c>
      <c r="H1" t="s">
        <v>923</v>
      </c>
      <c r="I1" t="s">
        <v>924</v>
      </c>
      <c r="J1" t="s">
        <v>925</v>
      </c>
      <c r="K1" t="s">
        <v>926</v>
      </c>
      <c r="L1" t="s">
        <v>927</v>
      </c>
      <c r="M1" t="s">
        <v>928</v>
      </c>
      <c r="N1" t="s">
        <v>929</v>
      </c>
      <c r="O1" t="s">
        <v>930</v>
      </c>
      <c r="P1" t="s">
        <v>931</v>
      </c>
      <c r="Q1" t="s">
        <v>932</v>
      </c>
      <c r="R1" t="s">
        <v>933</v>
      </c>
      <c r="S1" t="s">
        <v>934</v>
      </c>
      <c r="T1" t="s">
        <v>935</v>
      </c>
      <c r="U1" t="s">
        <v>936</v>
      </c>
      <c r="V1" t="s">
        <v>937</v>
      </c>
      <c r="W1" t="s">
        <v>938</v>
      </c>
      <c r="X1" t="s">
        <v>939</v>
      </c>
      <c r="Y1" t="s">
        <v>940</v>
      </c>
      <c r="Z1" t="s">
        <v>941</v>
      </c>
      <c r="AA1" t="s">
        <v>942</v>
      </c>
      <c r="AB1" t="s">
        <v>943</v>
      </c>
      <c r="AC1" t="s">
        <v>944</v>
      </c>
      <c r="AD1" t="s">
        <v>945</v>
      </c>
      <c r="AE1" t="s">
        <v>946</v>
      </c>
      <c r="AF1" t="s">
        <v>947</v>
      </c>
      <c r="AG1" t="s">
        <v>948</v>
      </c>
      <c r="AH1" t="s">
        <v>949</v>
      </c>
      <c r="AI1" t="s">
        <v>950</v>
      </c>
      <c r="AJ1" t="s">
        <v>951</v>
      </c>
      <c r="AK1" t="s">
        <v>952</v>
      </c>
      <c r="AL1" t="s">
        <v>953</v>
      </c>
      <c r="AM1" t="s">
        <v>954</v>
      </c>
      <c r="AN1" t="s">
        <v>955</v>
      </c>
      <c r="AO1" t="s">
        <v>956</v>
      </c>
      <c r="AP1" t="s">
        <v>957</v>
      </c>
      <c r="AQ1" t="s">
        <v>958</v>
      </c>
      <c r="AR1" t="s">
        <v>964</v>
      </c>
      <c r="AS1" t="s">
        <v>978</v>
      </c>
      <c r="AT1" t="s">
        <v>979</v>
      </c>
      <c r="AU1" t="s">
        <v>980</v>
      </c>
      <c r="AV1" t="s">
        <v>981</v>
      </c>
      <c r="AW1" t="s">
        <v>982</v>
      </c>
      <c r="AX1" t="s">
        <v>983</v>
      </c>
      <c r="AY1" t="s">
        <v>984</v>
      </c>
      <c r="AZ1" t="s">
        <v>985</v>
      </c>
      <c r="BA1" t="s">
        <v>986</v>
      </c>
      <c r="BB1" t="s">
        <v>987</v>
      </c>
      <c r="BC1" t="s">
        <v>988</v>
      </c>
      <c r="BD1" t="s">
        <v>989</v>
      </c>
      <c r="BE1" t="s">
        <v>990</v>
      </c>
      <c r="BF1" t="s">
        <v>991</v>
      </c>
      <c r="BG1" t="s">
        <v>992</v>
      </c>
      <c r="BH1" t="s">
        <v>993</v>
      </c>
      <c r="BI1" t="s">
        <v>994</v>
      </c>
      <c r="BJ1" t="s">
        <v>995</v>
      </c>
      <c r="BK1" t="s">
        <v>996</v>
      </c>
      <c r="BL1" t="s">
        <v>997</v>
      </c>
      <c r="BM1" t="s">
        <v>998</v>
      </c>
      <c r="BN1" t="s">
        <v>999</v>
      </c>
      <c r="BO1" t="s">
        <v>1000</v>
      </c>
      <c r="BP1" t="s">
        <v>1001</v>
      </c>
      <c r="BQ1" t="s">
        <v>1002</v>
      </c>
      <c r="BR1" t="s">
        <v>1003</v>
      </c>
      <c r="BS1" t="s">
        <v>1004</v>
      </c>
      <c r="BT1" t="s">
        <v>1005</v>
      </c>
      <c r="BU1" t="s">
        <v>1006</v>
      </c>
      <c r="BV1" t="s">
        <v>1007</v>
      </c>
      <c r="BW1" t="s">
        <v>1008</v>
      </c>
      <c r="BX1" t="s">
        <v>1009</v>
      </c>
      <c r="BY1" t="s">
        <v>1010</v>
      </c>
      <c r="BZ1" t="s">
        <v>1011</v>
      </c>
      <c r="CA1" t="s">
        <v>1026</v>
      </c>
      <c r="CB1" t="s">
        <v>1027</v>
      </c>
      <c r="CC1" t="s">
        <v>1028</v>
      </c>
      <c r="CD1" t="s">
        <v>1038</v>
      </c>
      <c r="CE1" t="s">
        <v>1039</v>
      </c>
      <c r="CF1" t="s">
        <v>1040</v>
      </c>
      <c r="CG1" t="s">
        <v>890</v>
      </c>
      <c r="CH1" t="s">
        <v>967</v>
      </c>
      <c r="CI1" t="s">
        <v>969</v>
      </c>
      <c r="CJ1" t="s">
        <v>1015</v>
      </c>
      <c r="CK1" t="s">
        <v>891</v>
      </c>
      <c r="CL1" t="s">
        <v>892</v>
      </c>
      <c r="CM1" t="s">
        <v>893</v>
      </c>
      <c r="CN1" t="s">
        <v>894</v>
      </c>
      <c r="CO1" t="s">
        <v>895</v>
      </c>
      <c r="CP1" t="s">
        <v>896</v>
      </c>
      <c r="CQ1" t="s">
        <v>897</v>
      </c>
      <c r="CR1" t="s">
        <v>898</v>
      </c>
      <c r="CS1" t="s">
        <v>899</v>
      </c>
      <c r="CT1" t="s">
        <v>959</v>
      </c>
      <c r="CU1" t="s">
        <v>960</v>
      </c>
      <c r="CV1" t="s">
        <v>961</v>
      </c>
      <c r="CW1" t="s">
        <v>962</v>
      </c>
      <c r="CX1" t="s">
        <v>963</v>
      </c>
      <c r="CY1" t="s">
        <v>1012</v>
      </c>
      <c r="CZ1" t="s">
        <v>1013</v>
      </c>
      <c r="DA1" t="s">
        <v>1016</v>
      </c>
      <c r="DB1" t="s">
        <v>1018</v>
      </c>
      <c r="DC1" t="s">
        <v>1019</v>
      </c>
      <c r="DD1" t="s">
        <v>1020</v>
      </c>
      <c r="DE1" t="s">
        <v>1022</v>
      </c>
      <c r="DF1" t="s">
        <v>1023</v>
      </c>
    </row>
    <row r="2" spans="1:110" x14ac:dyDescent="0.25">
      <c r="AN2" s="45"/>
      <c r="AP2" s="45"/>
      <c r="BP2" s="45"/>
      <c r="BQ2" s="45"/>
      <c r="CA2" s="45"/>
      <c r="CB2" s="45"/>
      <c r="CC2" s="45"/>
      <c r="CD2" s="54"/>
      <c r="CE2" s="54"/>
      <c r="CF2" s="54"/>
      <c r="CH2" s="45"/>
      <c r="CI2" s="45"/>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6"/>
  <sheetViews>
    <sheetView topLeftCell="Y1" workbookViewId="0"/>
  </sheetViews>
  <sheetFormatPr baseColWidth="10" defaultRowHeight="15" x14ac:dyDescent="0.25"/>
  <sheetData>
    <row r="1" spans="1:110" x14ac:dyDescent="0.25">
      <c r="A1" t="s">
        <v>1048</v>
      </c>
      <c r="B1" t="s">
        <v>1049</v>
      </c>
      <c r="C1" t="s">
        <v>1050</v>
      </c>
      <c r="D1" t="s">
        <v>1051</v>
      </c>
      <c r="E1" t="s">
        <v>1052</v>
      </c>
      <c r="F1" t="s">
        <v>1053</v>
      </c>
      <c r="G1" t="s">
        <v>1054</v>
      </c>
      <c r="H1" t="s">
        <v>1055</v>
      </c>
      <c r="I1" t="s">
        <v>1056</v>
      </c>
      <c r="J1" t="s">
        <v>1057</v>
      </c>
      <c r="K1" t="s">
        <v>1058</v>
      </c>
      <c r="L1" t="s">
        <v>1059</v>
      </c>
      <c r="M1" t="s">
        <v>1060</v>
      </c>
      <c r="N1" t="s">
        <v>1061</v>
      </c>
      <c r="O1" t="s">
        <v>1062</v>
      </c>
      <c r="P1" t="s">
        <v>1063</v>
      </c>
      <c r="Q1" t="s">
        <v>1064</v>
      </c>
      <c r="R1" t="s">
        <v>1065</v>
      </c>
      <c r="S1" t="s">
        <v>1066</v>
      </c>
      <c r="T1" t="s">
        <v>1067</v>
      </c>
      <c r="U1" t="s">
        <v>1068</v>
      </c>
      <c r="V1" t="s">
        <v>1069</v>
      </c>
      <c r="W1" t="s">
        <v>1070</v>
      </c>
      <c r="X1" t="s">
        <v>1071</v>
      </c>
      <c r="Y1" t="s">
        <v>1072</v>
      </c>
      <c r="Z1" t="s">
        <v>1073</v>
      </c>
      <c r="AA1" t="s">
        <v>1074</v>
      </c>
      <c r="AB1" t="s">
        <v>1075</v>
      </c>
      <c r="AC1" t="s">
        <v>1076</v>
      </c>
      <c r="AD1" t="s">
        <v>1077</v>
      </c>
      <c r="AE1" t="s">
        <v>1078</v>
      </c>
      <c r="AF1" t="s">
        <v>1079</v>
      </c>
      <c r="AG1" t="s">
        <v>1080</v>
      </c>
      <c r="AH1" t="s">
        <v>1081</v>
      </c>
      <c r="AI1" t="s">
        <v>1082</v>
      </c>
      <c r="AJ1" t="s">
        <v>1083</v>
      </c>
      <c r="AK1" t="s">
        <v>1084</v>
      </c>
      <c r="AL1" t="s">
        <v>1085</v>
      </c>
      <c r="AM1" t="s">
        <v>1086</v>
      </c>
      <c r="AN1" t="s">
        <v>1087</v>
      </c>
      <c r="AO1" t="s">
        <v>1088</v>
      </c>
      <c r="AP1" t="s">
        <v>1140</v>
      </c>
      <c r="AQ1" t="s">
        <v>1089</v>
      </c>
      <c r="AR1" t="s">
        <v>1090</v>
      </c>
      <c r="AS1" t="s">
        <v>1141</v>
      </c>
      <c r="AT1" t="s">
        <v>1091</v>
      </c>
      <c r="AU1" t="s">
        <v>1092</v>
      </c>
      <c r="AV1" t="s">
        <v>1093</v>
      </c>
      <c r="AW1" t="s">
        <v>1094</v>
      </c>
      <c r="AX1" t="s">
        <v>1095</v>
      </c>
      <c r="AY1" t="s">
        <v>1096</v>
      </c>
      <c r="AZ1" t="s">
        <v>1097</v>
      </c>
      <c r="BA1" t="s">
        <v>1098</v>
      </c>
      <c r="BB1" t="s">
        <v>1099</v>
      </c>
      <c r="BC1" t="s">
        <v>1100</v>
      </c>
      <c r="BD1" t="s">
        <v>1101</v>
      </c>
      <c r="BE1" t="s">
        <v>1102</v>
      </c>
      <c r="BF1" t="s">
        <v>1103</v>
      </c>
      <c r="BG1" t="s">
        <v>1104</v>
      </c>
      <c r="BH1" t="s">
        <v>1105</v>
      </c>
      <c r="BI1" t="s">
        <v>1106</v>
      </c>
      <c r="BJ1" t="s">
        <v>1107</v>
      </c>
      <c r="BK1" t="s">
        <v>1108</v>
      </c>
      <c r="BL1" t="s">
        <v>1109</v>
      </c>
      <c r="BM1" t="s">
        <v>1110</v>
      </c>
      <c r="BN1" t="s">
        <v>1111</v>
      </c>
      <c r="BO1" t="s">
        <v>1112</v>
      </c>
      <c r="BP1" t="s">
        <v>1113</v>
      </c>
      <c r="BQ1" t="s">
        <v>1142</v>
      </c>
      <c r="BR1" t="s">
        <v>1114</v>
      </c>
      <c r="BS1" t="s">
        <v>1115</v>
      </c>
      <c r="BT1" t="s">
        <v>1116</v>
      </c>
      <c r="BU1" t="s">
        <v>1117</v>
      </c>
      <c r="BV1" t="s">
        <v>1118</v>
      </c>
      <c r="BW1" t="s">
        <v>1119</v>
      </c>
      <c r="BX1" t="s">
        <v>1120</v>
      </c>
      <c r="BY1" t="s">
        <v>1121</v>
      </c>
      <c r="BZ1" t="s">
        <v>1122</v>
      </c>
      <c r="CA1" t="s">
        <v>1123</v>
      </c>
      <c r="CB1" t="s">
        <v>1124</v>
      </c>
      <c r="CC1" t="s">
        <v>1125</v>
      </c>
      <c r="CD1" t="s">
        <v>1126</v>
      </c>
      <c r="CE1" t="s">
        <v>1127</v>
      </c>
      <c r="CF1" t="s">
        <v>1128</v>
      </c>
      <c r="CG1" t="s">
        <v>1129</v>
      </c>
      <c r="CH1" t="s">
        <v>1130</v>
      </c>
      <c r="CI1" t="s">
        <v>1131</v>
      </c>
      <c r="CJ1" t="s">
        <v>1132</v>
      </c>
      <c r="CK1" t="s">
        <v>1133</v>
      </c>
      <c r="CL1" t="s">
        <v>1134</v>
      </c>
      <c r="CM1" t="s">
        <v>1135</v>
      </c>
      <c r="CN1" t="s">
        <v>1136</v>
      </c>
      <c r="CO1" t="s">
        <v>1137</v>
      </c>
      <c r="CP1" t="s">
        <v>1138</v>
      </c>
      <c r="CQ1" t="s">
        <v>967</v>
      </c>
      <c r="CR1" t="s">
        <v>969</v>
      </c>
      <c r="CS1" t="s">
        <v>1139</v>
      </c>
      <c r="CT1" t="s">
        <v>1015</v>
      </c>
      <c r="CU1" t="s">
        <v>1016</v>
      </c>
      <c r="CV1" t="s">
        <v>1018</v>
      </c>
      <c r="CW1" t="s">
        <v>890</v>
      </c>
      <c r="CX1" t="s">
        <v>891</v>
      </c>
      <c r="CY1" t="s">
        <v>892</v>
      </c>
      <c r="CZ1" t="s">
        <v>893</v>
      </c>
      <c r="DA1" t="s">
        <v>894</v>
      </c>
      <c r="DB1" t="s">
        <v>895</v>
      </c>
      <c r="DC1" t="s">
        <v>896</v>
      </c>
      <c r="DD1" t="s">
        <v>897</v>
      </c>
      <c r="DE1" t="s">
        <v>898</v>
      </c>
      <c r="DF1" t="s">
        <v>899</v>
      </c>
    </row>
    <row r="2" spans="1:110" x14ac:dyDescent="0.25">
      <c r="A2" t="s">
        <v>1739</v>
      </c>
      <c r="B2">
        <v>2</v>
      </c>
      <c r="C2" s="54">
        <v>42963</v>
      </c>
      <c r="D2" t="s">
        <v>1567</v>
      </c>
      <c r="E2" t="s">
        <v>1740</v>
      </c>
      <c r="G2" t="s">
        <v>1568</v>
      </c>
      <c r="H2" t="s">
        <v>1568</v>
      </c>
      <c r="I2" t="s">
        <v>1568</v>
      </c>
      <c r="J2" t="s">
        <v>1568</v>
      </c>
      <c r="K2" t="s">
        <v>1568</v>
      </c>
      <c r="L2">
        <v>25.75</v>
      </c>
      <c r="M2">
        <v>79.13</v>
      </c>
      <c r="N2">
        <v>0</v>
      </c>
      <c r="O2" s="54"/>
      <c r="P2" s="54"/>
      <c r="Q2">
        <v>13738</v>
      </c>
      <c r="R2">
        <v>20</v>
      </c>
      <c r="S2">
        <v>13</v>
      </c>
      <c r="T2">
        <v>5</v>
      </c>
      <c r="U2">
        <v>8</v>
      </c>
      <c r="V2">
        <v>1</v>
      </c>
      <c r="X2" t="s">
        <v>1742</v>
      </c>
      <c r="AA2">
        <v>0</v>
      </c>
      <c r="AB2">
        <v>0</v>
      </c>
      <c r="AC2">
        <v>0</v>
      </c>
      <c r="AD2">
        <v>0</v>
      </c>
      <c r="AE2">
        <v>0</v>
      </c>
      <c r="AF2">
        <v>0</v>
      </c>
      <c r="AG2">
        <v>0</v>
      </c>
      <c r="AJ2" s="54">
        <v>42666</v>
      </c>
      <c r="AK2" s="54"/>
      <c r="AL2" s="54"/>
      <c r="AO2">
        <v>1</v>
      </c>
      <c r="AP2" t="s">
        <v>1569</v>
      </c>
      <c r="AR2">
        <v>10</v>
      </c>
      <c r="AS2" t="s">
        <v>1570</v>
      </c>
      <c r="AT2">
        <v>1</v>
      </c>
      <c r="AV2">
        <v>20</v>
      </c>
      <c r="AW2">
        <v>13</v>
      </c>
      <c r="AX2">
        <v>7</v>
      </c>
      <c r="AY2" t="s">
        <v>1576</v>
      </c>
      <c r="AZ2" t="s">
        <v>1577</v>
      </c>
      <c r="BA2">
        <v>30</v>
      </c>
      <c r="BD2">
        <v>1000000000</v>
      </c>
      <c r="BE2">
        <v>22</v>
      </c>
      <c r="BF2">
        <v>-0.1</v>
      </c>
      <c r="BG2">
        <v>0</v>
      </c>
      <c r="BH2">
        <v>0</v>
      </c>
      <c r="BI2">
        <v>0</v>
      </c>
      <c r="BJ2">
        <v>0</v>
      </c>
      <c r="BK2">
        <v>5</v>
      </c>
      <c r="BL2">
        <v>0</v>
      </c>
      <c r="BM2">
        <v>17</v>
      </c>
      <c r="BN2">
        <v>0.15</v>
      </c>
      <c r="BR2">
        <v>10</v>
      </c>
      <c r="BS2">
        <v>12</v>
      </c>
      <c r="BX2">
        <v>0</v>
      </c>
      <c r="BY2">
        <v>51.5</v>
      </c>
      <c r="BZ2">
        <v>0</v>
      </c>
      <c r="CA2">
        <v>7.65</v>
      </c>
      <c r="CC2">
        <v>0</v>
      </c>
      <c r="CD2" s="54">
        <v>42810</v>
      </c>
      <c r="CE2" s="54"/>
      <c r="CF2" s="54">
        <v>42872</v>
      </c>
      <c r="CG2" s="54">
        <v>42963</v>
      </c>
      <c r="CH2" s="54">
        <v>0</v>
      </c>
      <c r="CI2" s="54">
        <v>0</v>
      </c>
      <c r="CJ2">
        <v>0</v>
      </c>
      <c r="CK2">
        <v>0</v>
      </c>
      <c r="CL2">
        <v>0</v>
      </c>
      <c r="CM2">
        <v>0</v>
      </c>
      <c r="CN2">
        <v>0</v>
      </c>
      <c r="CO2">
        <v>0</v>
      </c>
      <c r="CP2">
        <v>0.18</v>
      </c>
      <c r="CQ2" t="s">
        <v>1739</v>
      </c>
      <c r="CR2" t="s">
        <v>1365</v>
      </c>
      <c r="CS2" t="s">
        <v>1743</v>
      </c>
      <c r="CT2" t="s">
        <v>1738</v>
      </c>
      <c r="CU2" t="s">
        <v>1744</v>
      </c>
      <c r="CV2" t="s">
        <v>1745</v>
      </c>
      <c r="DB2" t="s">
        <v>1746</v>
      </c>
      <c r="DE2" t="s">
        <v>1738</v>
      </c>
    </row>
    <row r="3" spans="1:110" x14ac:dyDescent="0.25">
      <c r="A3" t="s">
        <v>1739</v>
      </c>
      <c r="B3">
        <v>2</v>
      </c>
      <c r="C3" s="54">
        <v>42963</v>
      </c>
      <c r="D3" t="s">
        <v>1567</v>
      </c>
      <c r="E3" t="s">
        <v>1558</v>
      </c>
      <c r="G3" t="s">
        <v>1568</v>
      </c>
      <c r="H3" t="s">
        <v>1568</v>
      </c>
      <c r="I3" t="s">
        <v>1568</v>
      </c>
      <c r="J3" t="s">
        <v>1568</v>
      </c>
      <c r="K3" t="s">
        <v>1568</v>
      </c>
      <c r="L3">
        <v>31.53</v>
      </c>
      <c r="M3">
        <v>89.39</v>
      </c>
      <c r="N3">
        <v>0</v>
      </c>
      <c r="O3" s="54"/>
      <c r="P3" s="54"/>
      <c r="Q3">
        <v>13738</v>
      </c>
      <c r="R3">
        <v>20</v>
      </c>
      <c r="S3">
        <v>13</v>
      </c>
      <c r="T3">
        <v>5</v>
      </c>
      <c r="U3">
        <v>8</v>
      </c>
      <c r="V3">
        <v>1</v>
      </c>
      <c r="W3" t="s">
        <v>1591</v>
      </c>
      <c r="X3" t="s">
        <v>1742</v>
      </c>
      <c r="AA3">
        <v>1.25</v>
      </c>
      <c r="AB3">
        <v>25</v>
      </c>
      <c r="AC3">
        <v>4</v>
      </c>
      <c r="AD3">
        <v>2.8</v>
      </c>
      <c r="AE3">
        <v>0.2</v>
      </c>
      <c r="AF3">
        <v>0</v>
      </c>
      <c r="AG3">
        <v>0</v>
      </c>
      <c r="AJ3" s="54">
        <v>42840</v>
      </c>
      <c r="AK3" s="54"/>
      <c r="AL3" s="54"/>
      <c r="AO3">
        <v>1</v>
      </c>
      <c r="AP3" t="s">
        <v>1569</v>
      </c>
      <c r="AR3">
        <v>5</v>
      </c>
      <c r="AS3" t="s">
        <v>1570</v>
      </c>
      <c r="AT3">
        <v>1</v>
      </c>
      <c r="AV3">
        <v>20</v>
      </c>
      <c r="AW3">
        <v>13</v>
      </c>
      <c r="AX3">
        <v>7</v>
      </c>
      <c r="AY3" t="s">
        <v>1577</v>
      </c>
      <c r="AZ3" t="s">
        <v>1577</v>
      </c>
      <c r="BA3">
        <v>40</v>
      </c>
      <c r="BD3">
        <v>1000000000</v>
      </c>
      <c r="BE3">
        <v>14</v>
      </c>
      <c r="BF3">
        <v>0.3</v>
      </c>
      <c r="BG3">
        <v>0</v>
      </c>
      <c r="BH3">
        <v>0</v>
      </c>
      <c r="BI3">
        <v>0</v>
      </c>
      <c r="BJ3">
        <v>0</v>
      </c>
      <c r="BK3">
        <v>0</v>
      </c>
      <c r="BL3">
        <v>0</v>
      </c>
      <c r="BM3">
        <v>14</v>
      </c>
      <c r="BN3">
        <v>0.3</v>
      </c>
      <c r="BR3">
        <v>5</v>
      </c>
      <c r="BS3">
        <v>12</v>
      </c>
      <c r="BX3">
        <v>0</v>
      </c>
      <c r="BY3">
        <v>0</v>
      </c>
      <c r="BZ3">
        <v>0</v>
      </c>
      <c r="CA3">
        <v>6.78</v>
      </c>
      <c r="CC3">
        <v>0</v>
      </c>
      <c r="CD3" s="54">
        <v>42810</v>
      </c>
      <c r="CE3" s="54"/>
      <c r="CF3" s="54">
        <v>42872</v>
      </c>
      <c r="CG3" s="54">
        <v>42963</v>
      </c>
      <c r="CH3" s="54">
        <v>0</v>
      </c>
      <c r="CI3" s="54">
        <v>0</v>
      </c>
      <c r="CJ3">
        <v>0</v>
      </c>
      <c r="CK3">
        <v>0</v>
      </c>
      <c r="CL3">
        <v>0</v>
      </c>
      <c r="CM3">
        <v>0</v>
      </c>
      <c r="CN3">
        <v>0</v>
      </c>
      <c r="CO3">
        <v>0.18</v>
      </c>
      <c r="CP3">
        <v>0</v>
      </c>
      <c r="CQ3" t="s">
        <v>1739</v>
      </c>
      <c r="CR3" t="s">
        <v>1365</v>
      </c>
      <c r="CS3" t="s">
        <v>1743</v>
      </c>
      <c r="CT3" t="s">
        <v>1738</v>
      </c>
      <c r="CU3" t="s">
        <v>1744</v>
      </c>
      <c r="CV3" t="s">
        <v>1745</v>
      </c>
      <c r="DB3" t="s">
        <v>1746</v>
      </c>
      <c r="DE3" t="s">
        <v>1738</v>
      </c>
    </row>
    <row r="4" spans="1:110" x14ac:dyDescent="0.25">
      <c r="A4" t="s">
        <v>1739</v>
      </c>
      <c r="B4">
        <v>2</v>
      </c>
      <c r="C4" s="54">
        <v>42963</v>
      </c>
      <c r="D4" t="s">
        <v>1567</v>
      </c>
      <c r="E4" t="s">
        <v>1559</v>
      </c>
      <c r="G4" t="s">
        <v>1568</v>
      </c>
      <c r="H4" t="s">
        <v>1568</v>
      </c>
      <c r="I4" t="s">
        <v>1568</v>
      </c>
      <c r="J4" t="s">
        <v>1568</v>
      </c>
      <c r="K4" t="s">
        <v>1568</v>
      </c>
      <c r="L4">
        <v>39.35</v>
      </c>
      <c r="M4">
        <v>136.6</v>
      </c>
      <c r="N4">
        <v>0</v>
      </c>
      <c r="O4" s="54"/>
      <c r="P4" s="54"/>
      <c r="Q4">
        <v>13738</v>
      </c>
      <c r="R4">
        <v>20</v>
      </c>
      <c r="S4">
        <v>13</v>
      </c>
      <c r="T4">
        <v>5</v>
      </c>
      <c r="U4">
        <v>8</v>
      </c>
      <c r="V4">
        <v>1</v>
      </c>
      <c r="W4" t="s">
        <v>1591</v>
      </c>
      <c r="X4" t="s">
        <v>1742</v>
      </c>
      <c r="AA4">
        <v>3.67</v>
      </c>
      <c r="AB4">
        <v>72</v>
      </c>
      <c r="AC4">
        <v>8.17</v>
      </c>
      <c r="AD4">
        <v>7.22</v>
      </c>
      <c r="AE4">
        <v>7.0000000000000007E-2</v>
      </c>
      <c r="AF4">
        <v>0</v>
      </c>
      <c r="AG4">
        <v>0</v>
      </c>
      <c r="AJ4" s="54">
        <v>42840</v>
      </c>
      <c r="AK4" s="54"/>
      <c r="AL4" s="54"/>
      <c r="AO4">
        <v>1</v>
      </c>
      <c r="AP4" t="s">
        <v>1569</v>
      </c>
      <c r="AR4">
        <v>5</v>
      </c>
      <c r="AS4" t="s">
        <v>1570</v>
      </c>
      <c r="AT4">
        <v>1</v>
      </c>
      <c r="AV4">
        <v>120</v>
      </c>
      <c r="AW4">
        <v>80</v>
      </c>
      <c r="AX4">
        <v>40</v>
      </c>
      <c r="AY4" t="s">
        <v>1577</v>
      </c>
      <c r="AZ4" t="s">
        <v>1577</v>
      </c>
      <c r="BA4">
        <v>200</v>
      </c>
      <c r="BD4">
        <v>1000000000</v>
      </c>
      <c r="BE4">
        <v>106</v>
      </c>
      <c r="BF4">
        <v>0.12</v>
      </c>
      <c r="BG4">
        <v>0</v>
      </c>
      <c r="BH4">
        <v>0</v>
      </c>
      <c r="BI4">
        <v>0</v>
      </c>
      <c r="BJ4">
        <v>0</v>
      </c>
      <c r="BK4">
        <v>0</v>
      </c>
      <c r="BL4">
        <v>0</v>
      </c>
      <c r="BM4">
        <v>106</v>
      </c>
      <c r="BN4">
        <v>0.12</v>
      </c>
      <c r="BR4">
        <v>15</v>
      </c>
      <c r="BS4">
        <v>74</v>
      </c>
      <c r="BX4">
        <v>0</v>
      </c>
      <c r="BY4">
        <v>0</v>
      </c>
      <c r="BZ4">
        <v>0</v>
      </c>
      <c r="CA4">
        <v>9.1300000000000008</v>
      </c>
      <c r="CC4">
        <v>0</v>
      </c>
      <c r="CD4" s="54">
        <v>42810</v>
      </c>
      <c r="CE4" s="54"/>
      <c r="CF4" s="54">
        <v>42872</v>
      </c>
      <c r="CG4" s="54">
        <v>42963</v>
      </c>
      <c r="CH4" s="54">
        <v>0</v>
      </c>
      <c r="CI4" s="54">
        <v>0</v>
      </c>
      <c r="CJ4">
        <v>0</v>
      </c>
      <c r="CK4">
        <v>0</v>
      </c>
      <c r="CL4">
        <v>0</v>
      </c>
      <c r="CM4">
        <v>0</v>
      </c>
      <c r="CN4">
        <v>0</v>
      </c>
      <c r="CO4">
        <v>0.18</v>
      </c>
      <c r="CP4">
        <v>0</v>
      </c>
      <c r="CQ4" t="s">
        <v>1739</v>
      </c>
      <c r="CR4" t="s">
        <v>1365</v>
      </c>
      <c r="CS4" t="s">
        <v>1743</v>
      </c>
      <c r="CT4" t="s">
        <v>1738</v>
      </c>
      <c r="CU4" t="s">
        <v>1744</v>
      </c>
      <c r="CV4" t="s">
        <v>1747</v>
      </c>
      <c r="DB4" t="s">
        <v>1746</v>
      </c>
      <c r="DE4" t="s">
        <v>1738</v>
      </c>
    </row>
    <row r="5" spans="1:110" x14ac:dyDescent="0.25">
      <c r="A5" t="s">
        <v>1739</v>
      </c>
      <c r="B5">
        <v>2</v>
      </c>
      <c r="C5" s="54">
        <v>42963</v>
      </c>
      <c r="D5" t="s">
        <v>1567</v>
      </c>
      <c r="E5" t="s">
        <v>1748</v>
      </c>
      <c r="G5" t="s">
        <v>1568</v>
      </c>
      <c r="H5" t="s">
        <v>1568</v>
      </c>
      <c r="I5" t="s">
        <v>1568</v>
      </c>
      <c r="J5" t="s">
        <v>1568</v>
      </c>
      <c r="K5" t="s">
        <v>1568</v>
      </c>
      <c r="L5">
        <v>388.7</v>
      </c>
      <c r="M5">
        <v>0</v>
      </c>
      <c r="N5">
        <v>0</v>
      </c>
      <c r="O5" s="54"/>
      <c r="P5" s="54"/>
      <c r="Q5">
        <v>13738</v>
      </c>
      <c r="R5">
        <v>20</v>
      </c>
      <c r="S5">
        <v>13</v>
      </c>
      <c r="T5">
        <v>5</v>
      </c>
      <c r="U5">
        <v>8</v>
      </c>
      <c r="V5">
        <v>1</v>
      </c>
      <c r="X5" t="s">
        <v>1749</v>
      </c>
      <c r="AA5">
        <v>0</v>
      </c>
      <c r="AB5">
        <v>0</v>
      </c>
      <c r="AC5">
        <v>0</v>
      </c>
      <c r="AD5">
        <v>0</v>
      </c>
      <c r="AE5">
        <v>0</v>
      </c>
      <c r="AF5">
        <v>0</v>
      </c>
      <c r="AG5">
        <v>0</v>
      </c>
      <c r="AJ5" s="54">
        <v>42666</v>
      </c>
      <c r="AK5" s="54"/>
      <c r="AL5" s="54"/>
      <c r="AO5">
        <v>1</v>
      </c>
      <c r="AP5" t="s">
        <v>1569</v>
      </c>
      <c r="AR5">
        <v>1</v>
      </c>
      <c r="AS5" t="s">
        <v>1570</v>
      </c>
      <c r="AT5">
        <v>1</v>
      </c>
      <c r="AV5">
        <v>0</v>
      </c>
      <c r="AW5">
        <v>0</v>
      </c>
      <c r="AX5">
        <v>0</v>
      </c>
      <c r="AY5" t="s">
        <v>1571</v>
      </c>
      <c r="AZ5" t="s">
        <v>1571</v>
      </c>
      <c r="BA5">
        <v>0</v>
      </c>
      <c r="BD5">
        <v>1000000000</v>
      </c>
      <c r="BE5">
        <v>1</v>
      </c>
      <c r="BF5">
        <v>0</v>
      </c>
      <c r="BG5">
        <v>0</v>
      </c>
      <c r="BH5">
        <v>0</v>
      </c>
      <c r="BI5">
        <v>0</v>
      </c>
      <c r="BJ5">
        <v>0</v>
      </c>
      <c r="BK5">
        <v>0</v>
      </c>
      <c r="BL5">
        <v>0</v>
      </c>
      <c r="BM5">
        <v>1</v>
      </c>
      <c r="BN5">
        <v>0</v>
      </c>
      <c r="BR5">
        <v>0</v>
      </c>
      <c r="BS5">
        <v>0</v>
      </c>
      <c r="BX5">
        <v>0</v>
      </c>
      <c r="BY5">
        <v>0</v>
      </c>
      <c r="BZ5">
        <v>0</v>
      </c>
      <c r="CA5">
        <v>0</v>
      </c>
      <c r="CC5">
        <v>0</v>
      </c>
      <c r="CD5" s="54">
        <v>42531</v>
      </c>
      <c r="CE5" s="54"/>
      <c r="CF5" s="54">
        <v>42872</v>
      </c>
      <c r="CG5" s="54">
        <v>42963</v>
      </c>
      <c r="CH5" s="54">
        <v>0</v>
      </c>
      <c r="CI5" s="54">
        <v>0</v>
      </c>
      <c r="CJ5">
        <v>0</v>
      </c>
      <c r="CK5">
        <v>0</v>
      </c>
      <c r="CL5">
        <v>0</v>
      </c>
      <c r="CM5">
        <v>0</v>
      </c>
      <c r="CN5">
        <v>0</v>
      </c>
      <c r="CO5">
        <v>0</v>
      </c>
      <c r="CP5">
        <v>0.18</v>
      </c>
      <c r="CQ5" t="s">
        <v>1739</v>
      </c>
      <c r="CR5" t="s">
        <v>1365</v>
      </c>
      <c r="CS5" t="s">
        <v>1743</v>
      </c>
      <c r="CT5" t="s">
        <v>1738</v>
      </c>
      <c r="CU5" t="s">
        <v>1744</v>
      </c>
      <c r="CV5" t="s">
        <v>1750</v>
      </c>
      <c r="DB5" t="s">
        <v>1746</v>
      </c>
      <c r="DE5" t="s">
        <v>1738</v>
      </c>
    </row>
    <row r="6" spans="1:110" x14ac:dyDescent="0.25">
      <c r="A6" t="s">
        <v>1739</v>
      </c>
      <c r="B6">
        <v>2</v>
      </c>
      <c r="C6" s="54">
        <v>42963</v>
      </c>
      <c r="D6" t="s">
        <v>1567</v>
      </c>
      <c r="E6" t="s">
        <v>1741</v>
      </c>
      <c r="G6" t="s">
        <v>1568</v>
      </c>
      <c r="H6" t="s">
        <v>1568</v>
      </c>
      <c r="I6" t="s">
        <v>1568</v>
      </c>
      <c r="J6" t="s">
        <v>1568</v>
      </c>
      <c r="K6" t="s">
        <v>1568</v>
      </c>
      <c r="L6">
        <v>335.61</v>
      </c>
      <c r="M6">
        <v>0</v>
      </c>
      <c r="N6">
        <v>0</v>
      </c>
      <c r="O6" s="54"/>
      <c r="P6" s="54"/>
      <c r="Q6">
        <v>13738</v>
      </c>
      <c r="R6">
        <v>20</v>
      </c>
      <c r="S6">
        <v>13</v>
      </c>
      <c r="T6">
        <v>5</v>
      </c>
      <c r="U6">
        <v>8</v>
      </c>
      <c r="V6">
        <v>1</v>
      </c>
      <c r="W6" t="s">
        <v>1591</v>
      </c>
      <c r="X6" t="s">
        <v>1751</v>
      </c>
      <c r="AA6">
        <v>0</v>
      </c>
      <c r="AB6">
        <v>0</v>
      </c>
      <c r="AC6">
        <v>0</v>
      </c>
      <c r="AD6">
        <v>0</v>
      </c>
      <c r="AE6">
        <v>0</v>
      </c>
      <c r="AF6">
        <v>0</v>
      </c>
      <c r="AG6">
        <v>0</v>
      </c>
      <c r="AJ6" s="54">
        <v>42666</v>
      </c>
      <c r="AK6" s="54"/>
      <c r="AL6" s="54"/>
      <c r="AO6">
        <v>1</v>
      </c>
      <c r="AP6" t="s">
        <v>1569</v>
      </c>
      <c r="AR6">
        <v>1</v>
      </c>
      <c r="AS6" t="s">
        <v>1570</v>
      </c>
      <c r="AT6">
        <v>1</v>
      </c>
      <c r="AV6">
        <v>50</v>
      </c>
      <c r="AW6">
        <v>33</v>
      </c>
      <c r="AX6">
        <v>17</v>
      </c>
      <c r="AY6" t="s">
        <v>1736</v>
      </c>
      <c r="AZ6" t="s">
        <v>1736</v>
      </c>
      <c r="BA6">
        <v>0</v>
      </c>
      <c r="BD6">
        <v>1000000000</v>
      </c>
      <c r="BE6">
        <v>1</v>
      </c>
      <c r="BF6">
        <v>0.98</v>
      </c>
      <c r="BG6">
        <v>0</v>
      </c>
      <c r="BH6">
        <v>0</v>
      </c>
      <c r="BI6">
        <v>0</v>
      </c>
      <c r="BJ6">
        <v>0</v>
      </c>
      <c r="BK6">
        <v>0</v>
      </c>
      <c r="BL6">
        <v>0</v>
      </c>
      <c r="BM6">
        <v>1</v>
      </c>
      <c r="BN6">
        <v>0.98</v>
      </c>
      <c r="BR6">
        <v>49</v>
      </c>
      <c r="BS6">
        <v>31</v>
      </c>
      <c r="BX6">
        <v>-5369.76</v>
      </c>
      <c r="BY6">
        <v>0</v>
      </c>
      <c r="BZ6">
        <v>0</v>
      </c>
      <c r="CA6">
        <v>-3.69</v>
      </c>
      <c r="CC6">
        <v>0</v>
      </c>
      <c r="CD6" s="54">
        <v>42873</v>
      </c>
      <c r="CE6" s="54"/>
      <c r="CF6" s="54">
        <v>42873</v>
      </c>
      <c r="CG6" s="54">
        <v>42964</v>
      </c>
      <c r="CH6" s="54">
        <v>0</v>
      </c>
      <c r="CI6" s="54">
        <v>0</v>
      </c>
      <c r="CJ6">
        <v>0</v>
      </c>
      <c r="CK6">
        <v>0</v>
      </c>
      <c r="CL6">
        <v>0</v>
      </c>
      <c r="CM6">
        <v>0.16</v>
      </c>
      <c r="CN6">
        <v>0</v>
      </c>
      <c r="CO6">
        <v>0</v>
      </c>
      <c r="CP6">
        <v>0</v>
      </c>
      <c r="CQ6" t="s">
        <v>1739</v>
      </c>
      <c r="CR6" t="s">
        <v>1365</v>
      </c>
      <c r="CS6" t="s">
        <v>1743</v>
      </c>
      <c r="CT6" t="s">
        <v>1738</v>
      </c>
      <c r="CU6" t="s">
        <v>1744</v>
      </c>
      <c r="CV6" t="s">
        <v>1752</v>
      </c>
      <c r="DB6" t="s">
        <v>1746</v>
      </c>
      <c r="DE6" t="s">
        <v>1738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568"/>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1032</v>
      </c>
      <c r="D1" t="s">
        <v>1034</v>
      </c>
      <c r="F1" t="s">
        <v>1033</v>
      </c>
      <c r="G1" t="s">
        <v>1034</v>
      </c>
    </row>
    <row r="2" spans="1:7" x14ac:dyDescent="0.25">
      <c r="A2" t="s">
        <v>1513</v>
      </c>
      <c r="B2">
        <v>34</v>
      </c>
      <c r="C2" s="45">
        <v>42795</v>
      </c>
      <c r="D2" s="3" t="str">
        <f>YEAR(Datos_Consumo[[#This Row],[FECHA]])&amp;"-"&amp;MONTH(Datos_Consumo[[#This Row],[FECHA]])</f>
        <v>2017-3</v>
      </c>
      <c r="F2" s="45">
        <v>42795</v>
      </c>
      <c r="G2" s="51" t="str">
        <f>YEAR(Fecha_Consumo[[#This Row],[FECHAS_CONSUMO]])&amp;"-"&amp;MONTH(Fecha_Consumo[[#This Row],[FECHAS_CONSUMO]])</f>
        <v>2017-3</v>
      </c>
    </row>
    <row r="3" spans="1:7" x14ac:dyDescent="0.25">
      <c r="A3" t="s">
        <v>1513</v>
      </c>
      <c r="B3">
        <v>23</v>
      </c>
      <c r="C3" s="54">
        <v>42826</v>
      </c>
      <c r="D3" s="3" t="str">
        <f>YEAR(Datos_Consumo[[#This Row],[FECHA]])&amp;"-"&amp;MONTH(Datos_Consumo[[#This Row],[FECHA]])</f>
        <v>2017-4</v>
      </c>
      <c r="F3" s="54">
        <v>42826</v>
      </c>
      <c r="G3" s="51" t="str">
        <f>YEAR(Fecha_Consumo[[#This Row],[FECHAS_CONSUMO]])&amp;"-"&amp;MONTH(Fecha_Consumo[[#This Row],[FECHAS_CONSUMO]])</f>
        <v>2017-4</v>
      </c>
    </row>
    <row r="4" spans="1:7" x14ac:dyDescent="0.25">
      <c r="A4" t="s">
        <v>1513</v>
      </c>
      <c r="B4">
        <v>27</v>
      </c>
      <c r="C4" s="54">
        <v>42856</v>
      </c>
      <c r="D4" s="3" t="str">
        <f>YEAR(Datos_Consumo[[#This Row],[FECHA]])&amp;"-"&amp;MONTH(Datos_Consumo[[#This Row],[FECHA]])</f>
        <v>2017-5</v>
      </c>
      <c r="F4" s="54">
        <v>42856</v>
      </c>
      <c r="G4" s="51" t="str">
        <f>YEAR(Fecha_Consumo[[#This Row],[FECHAS_CONSUMO]])&amp;"-"&amp;MONTH(Fecha_Consumo[[#This Row],[FECHAS_CONSUMO]])</f>
        <v>2017-5</v>
      </c>
    </row>
    <row r="5" spans="1:7" x14ac:dyDescent="0.25">
      <c r="A5" t="s">
        <v>1505</v>
      </c>
      <c r="B5">
        <v>3</v>
      </c>
      <c r="C5" s="54">
        <v>42795</v>
      </c>
      <c r="D5" s="3" t="str">
        <f>YEAR(Datos_Consumo[[#This Row],[FECHA]])&amp;"-"&amp;MONTH(Datos_Consumo[[#This Row],[FECHA]])</f>
        <v>2017-3</v>
      </c>
    </row>
    <row r="6" spans="1:7" x14ac:dyDescent="0.25">
      <c r="A6" t="s">
        <v>1594</v>
      </c>
      <c r="B6">
        <v>1</v>
      </c>
      <c r="C6" s="54">
        <v>42826</v>
      </c>
      <c r="D6" s="3" t="str">
        <f>YEAR(Datos_Consumo[[#This Row],[FECHA]])&amp;"-"&amp;MONTH(Datos_Consumo[[#This Row],[FECHA]])</f>
        <v>2017-4</v>
      </c>
    </row>
    <row r="7" spans="1:7" x14ac:dyDescent="0.25">
      <c r="A7" t="s">
        <v>1506</v>
      </c>
      <c r="B7">
        <v>47</v>
      </c>
      <c r="C7" s="54">
        <v>42795</v>
      </c>
      <c r="D7" s="3" t="str">
        <f>YEAR(Datos_Consumo[[#This Row],[FECHA]])&amp;"-"&amp;MONTH(Datos_Consumo[[#This Row],[FECHA]])</f>
        <v>2017-3</v>
      </c>
    </row>
    <row r="8" spans="1:7" x14ac:dyDescent="0.25">
      <c r="A8" t="s">
        <v>1506</v>
      </c>
      <c r="B8">
        <v>36</v>
      </c>
      <c r="C8" s="54">
        <v>42826</v>
      </c>
      <c r="D8" s="3" t="str">
        <f>YEAR(Datos_Consumo[[#This Row],[FECHA]])&amp;"-"&amp;MONTH(Datos_Consumo[[#This Row],[FECHA]])</f>
        <v>2017-4</v>
      </c>
    </row>
    <row r="9" spans="1:7" x14ac:dyDescent="0.25">
      <c r="A9" t="s">
        <v>1506</v>
      </c>
      <c r="B9">
        <v>38</v>
      </c>
      <c r="C9" s="54">
        <v>42856</v>
      </c>
      <c r="D9" s="3" t="str">
        <f>YEAR(Datos_Consumo[[#This Row],[FECHA]])&amp;"-"&amp;MONTH(Datos_Consumo[[#This Row],[FECHA]])</f>
        <v>2017-5</v>
      </c>
    </row>
    <row r="10" spans="1:7" x14ac:dyDescent="0.25">
      <c r="A10" t="s">
        <v>1507</v>
      </c>
      <c r="B10">
        <v>28</v>
      </c>
      <c r="C10" s="54">
        <v>42795</v>
      </c>
      <c r="D10" s="3" t="str">
        <f>YEAR(Datos_Consumo[[#This Row],[FECHA]])&amp;"-"&amp;MONTH(Datos_Consumo[[#This Row],[FECHA]])</f>
        <v>2017-3</v>
      </c>
    </row>
    <row r="11" spans="1:7" x14ac:dyDescent="0.25">
      <c r="A11" t="s">
        <v>1595</v>
      </c>
      <c r="B11">
        <v>135</v>
      </c>
      <c r="C11" s="54">
        <v>42795</v>
      </c>
      <c r="D11" s="3" t="str">
        <f>YEAR(Datos_Consumo[[#This Row],[FECHA]])&amp;"-"&amp;MONTH(Datos_Consumo[[#This Row],[FECHA]])</f>
        <v>2017-3</v>
      </c>
    </row>
    <row r="12" spans="1:7" x14ac:dyDescent="0.25">
      <c r="A12" t="s">
        <v>1596</v>
      </c>
      <c r="B12">
        <v>35</v>
      </c>
      <c r="C12" s="54">
        <v>42795</v>
      </c>
      <c r="D12" s="3" t="str">
        <f>YEAR(Datos_Consumo[[#This Row],[FECHA]])&amp;"-"&amp;MONTH(Datos_Consumo[[#This Row],[FECHA]])</f>
        <v>2017-3</v>
      </c>
    </row>
    <row r="13" spans="1:7" x14ac:dyDescent="0.25">
      <c r="A13" t="s">
        <v>1597</v>
      </c>
      <c r="B13">
        <v>2</v>
      </c>
      <c r="C13" s="54">
        <v>42826</v>
      </c>
      <c r="D13" s="3" t="str">
        <f>YEAR(Datos_Consumo[[#This Row],[FECHA]])&amp;"-"&amp;MONTH(Datos_Consumo[[#This Row],[FECHA]])</f>
        <v>2017-4</v>
      </c>
    </row>
    <row r="14" spans="1:7" x14ac:dyDescent="0.25">
      <c r="A14" t="s">
        <v>1514</v>
      </c>
      <c r="B14">
        <v>62</v>
      </c>
      <c r="C14" s="54">
        <v>42795</v>
      </c>
      <c r="D14" s="3" t="str">
        <f>YEAR(Datos_Consumo[[#This Row],[FECHA]])&amp;"-"&amp;MONTH(Datos_Consumo[[#This Row],[FECHA]])</f>
        <v>2017-3</v>
      </c>
    </row>
    <row r="15" spans="1:7" x14ac:dyDescent="0.25">
      <c r="A15" t="s">
        <v>1514</v>
      </c>
      <c r="B15">
        <v>27</v>
      </c>
      <c r="C15" s="54">
        <v>42826</v>
      </c>
      <c r="D15" s="3" t="str">
        <f>YEAR(Datos_Consumo[[#This Row],[FECHA]])&amp;"-"&amp;MONTH(Datos_Consumo[[#This Row],[FECHA]])</f>
        <v>2017-4</v>
      </c>
    </row>
    <row r="16" spans="1:7" x14ac:dyDescent="0.25">
      <c r="A16" t="s">
        <v>1515</v>
      </c>
      <c r="B16">
        <v>1</v>
      </c>
      <c r="C16" s="54">
        <v>42795</v>
      </c>
      <c r="D16" s="3" t="str">
        <f>YEAR(Datos_Consumo[[#This Row],[FECHA]])&amp;"-"&amp;MONTH(Datos_Consumo[[#This Row],[FECHA]])</f>
        <v>2017-3</v>
      </c>
    </row>
    <row r="17" spans="1:4" x14ac:dyDescent="0.25">
      <c r="A17" t="s">
        <v>1516</v>
      </c>
      <c r="B17">
        <v>1</v>
      </c>
      <c r="C17" s="54">
        <v>42826</v>
      </c>
      <c r="D17" s="3" t="str">
        <f>YEAR(Datos_Consumo[[#This Row],[FECHA]])&amp;"-"&amp;MONTH(Datos_Consumo[[#This Row],[FECHA]])</f>
        <v>2017-4</v>
      </c>
    </row>
    <row r="18" spans="1:4" x14ac:dyDescent="0.25">
      <c r="A18" t="s">
        <v>1598</v>
      </c>
      <c r="B18">
        <v>3</v>
      </c>
      <c r="C18" s="54">
        <v>42795</v>
      </c>
      <c r="D18" s="3" t="str">
        <f>YEAR(Datos_Consumo[[#This Row],[FECHA]])&amp;"-"&amp;MONTH(Datos_Consumo[[#This Row],[FECHA]])</f>
        <v>2017-3</v>
      </c>
    </row>
    <row r="19" spans="1:4" x14ac:dyDescent="0.25">
      <c r="A19" t="s">
        <v>1580</v>
      </c>
      <c r="B19">
        <v>500</v>
      </c>
      <c r="C19" s="54">
        <v>42795</v>
      </c>
      <c r="D19" s="3" t="str">
        <f>YEAR(Datos_Consumo[[#This Row],[FECHA]])&amp;"-"&amp;MONTH(Datos_Consumo[[#This Row],[FECHA]])</f>
        <v>2017-3</v>
      </c>
    </row>
    <row r="20" spans="1:4" x14ac:dyDescent="0.25">
      <c r="A20" t="s">
        <v>1581</v>
      </c>
      <c r="B20">
        <v>500</v>
      </c>
      <c r="C20" s="54">
        <v>42795</v>
      </c>
      <c r="D20" s="3" t="str">
        <f>YEAR(Datos_Consumo[[#This Row],[FECHA]])&amp;"-"&amp;MONTH(Datos_Consumo[[#This Row],[FECHA]])</f>
        <v>2017-3</v>
      </c>
    </row>
    <row r="21" spans="1:4" x14ac:dyDescent="0.25">
      <c r="A21" t="s">
        <v>1582</v>
      </c>
      <c r="B21">
        <v>12</v>
      </c>
      <c r="C21" s="54">
        <v>42826</v>
      </c>
      <c r="D21" s="3" t="str">
        <f>YEAR(Datos_Consumo[[#This Row],[FECHA]])&amp;"-"&amp;MONTH(Datos_Consumo[[#This Row],[FECHA]])</f>
        <v>2017-4</v>
      </c>
    </row>
    <row r="22" spans="1:4" x14ac:dyDescent="0.25">
      <c r="A22" t="s">
        <v>1583</v>
      </c>
      <c r="B22">
        <v>74</v>
      </c>
      <c r="C22" s="54">
        <v>42826</v>
      </c>
      <c r="D22" s="3" t="str">
        <f>YEAR(Datos_Consumo[[#This Row],[FECHA]])&amp;"-"&amp;MONTH(Datos_Consumo[[#This Row],[FECHA]])</f>
        <v>2017-4</v>
      </c>
    </row>
    <row r="23" spans="1:4" x14ac:dyDescent="0.25">
      <c r="A23" t="s">
        <v>1396</v>
      </c>
      <c r="B23">
        <v>1</v>
      </c>
      <c r="C23" s="54">
        <v>42826</v>
      </c>
      <c r="D23" s="3" t="str">
        <f>YEAR(Datos_Consumo[[#This Row],[FECHA]])&amp;"-"&amp;MONTH(Datos_Consumo[[#This Row],[FECHA]])</f>
        <v>2017-4</v>
      </c>
    </row>
    <row r="24" spans="1:4" x14ac:dyDescent="0.25">
      <c r="A24" t="s">
        <v>1396</v>
      </c>
      <c r="B24">
        <v>1</v>
      </c>
      <c r="C24" s="54">
        <v>42856</v>
      </c>
      <c r="D24" s="3" t="str">
        <f>YEAR(Datos_Consumo[[#This Row],[FECHA]])&amp;"-"&amp;MONTH(Datos_Consumo[[#This Row],[FECHA]])</f>
        <v>2017-5</v>
      </c>
    </row>
    <row r="25" spans="1:4" x14ac:dyDescent="0.25">
      <c r="A25" t="s">
        <v>1599</v>
      </c>
      <c r="B25">
        <v>1</v>
      </c>
      <c r="C25" s="54">
        <v>42795</v>
      </c>
      <c r="D25" s="3" t="str">
        <f>YEAR(Datos_Consumo[[#This Row],[FECHA]])&amp;"-"&amp;MONTH(Datos_Consumo[[#This Row],[FECHA]])</f>
        <v>2017-3</v>
      </c>
    </row>
    <row r="26" spans="1:4" x14ac:dyDescent="0.25">
      <c r="A26" t="s">
        <v>1600</v>
      </c>
      <c r="B26">
        <v>200</v>
      </c>
      <c r="C26" s="54">
        <v>42826</v>
      </c>
      <c r="D26" s="3" t="str">
        <f>YEAR(Datos_Consumo[[#This Row],[FECHA]])&amp;"-"&amp;MONTH(Datos_Consumo[[#This Row],[FECHA]])</f>
        <v>2017-4</v>
      </c>
    </row>
    <row r="27" spans="1:4" x14ac:dyDescent="0.25">
      <c r="A27" t="s">
        <v>1517</v>
      </c>
      <c r="B27">
        <v>15</v>
      </c>
      <c r="C27" s="54">
        <v>42795</v>
      </c>
      <c r="D27" s="3" t="str">
        <f>YEAR(Datos_Consumo[[#This Row],[FECHA]])&amp;"-"&amp;MONTH(Datos_Consumo[[#This Row],[FECHA]])</f>
        <v>2017-3</v>
      </c>
    </row>
    <row r="28" spans="1:4" x14ac:dyDescent="0.25">
      <c r="A28" t="s">
        <v>1517</v>
      </c>
      <c r="B28">
        <v>20</v>
      </c>
      <c r="C28" s="54">
        <v>42826</v>
      </c>
      <c r="D28" s="3" t="str">
        <f>YEAR(Datos_Consumo[[#This Row],[FECHA]])&amp;"-"&amp;MONTH(Datos_Consumo[[#This Row],[FECHA]])</f>
        <v>2017-4</v>
      </c>
    </row>
    <row r="29" spans="1:4" x14ac:dyDescent="0.25">
      <c r="A29" t="s">
        <v>1517</v>
      </c>
      <c r="B29">
        <v>30</v>
      </c>
      <c r="C29" s="54">
        <v>42856</v>
      </c>
      <c r="D29" s="3" t="str">
        <f>YEAR(Datos_Consumo[[#This Row],[FECHA]])&amp;"-"&amp;MONTH(Datos_Consumo[[#This Row],[FECHA]])</f>
        <v>2017-5</v>
      </c>
    </row>
    <row r="30" spans="1:4" x14ac:dyDescent="0.25">
      <c r="A30" t="s">
        <v>1518</v>
      </c>
      <c r="B30">
        <v>21</v>
      </c>
      <c r="C30" s="54">
        <v>42795</v>
      </c>
      <c r="D30" s="3" t="str">
        <f>YEAR(Datos_Consumo[[#This Row],[FECHA]])&amp;"-"&amp;MONTH(Datos_Consumo[[#This Row],[FECHA]])</f>
        <v>2017-3</v>
      </c>
    </row>
    <row r="31" spans="1:4" x14ac:dyDescent="0.25">
      <c r="A31" t="s">
        <v>1366</v>
      </c>
      <c r="B31">
        <v>1</v>
      </c>
      <c r="C31" s="54">
        <v>42826</v>
      </c>
      <c r="D31" s="3" t="str">
        <f>YEAR(Datos_Consumo[[#This Row],[FECHA]])&amp;"-"&amp;MONTH(Datos_Consumo[[#This Row],[FECHA]])</f>
        <v>2017-4</v>
      </c>
    </row>
    <row r="32" spans="1:4" x14ac:dyDescent="0.25">
      <c r="A32" t="s">
        <v>1601</v>
      </c>
      <c r="B32">
        <v>50</v>
      </c>
      <c r="C32" s="54">
        <v>42795</v>
      </c>
      <c r="D32" s="3" t="str">
        <f>YEAR(Datos_Consumo[[#This Row],[FECHA]])&amp;"-"&amp;MONTH(Datos_Consumo[[#This Row],[FECHA]])</f>
        <v>2017-3</v>
      </c>
    </row>
    <row r="33" spans="1:4" x14ac:dyDescent="0.25">
      <c r="A33" t="s">
        <v>1601</v>
      </c>
      <c r="B33">
        <v>100</v>
      </c>
      <c r="C33" s="54">
        <v>42826</v>
      </c>
      <c r="D33" s="3" t="str">
        <f>YEAR(Datos_Consumo[[#This Row],[FECHA]])&amp;"-"&amp;MONTH(Datos_Consumo[[#This Row],[FECHA]])</f>
        <v>2017-4</v>
      </c>
    </row>
    <row r="34" spans="1:4" x14ac:dyDescent="0.25">
      <c r="A34" t="s">
        <v>1397</v>
      </c>
      <c r="B34">
        <v>25</v>
      </c>
      <c r="C34" s="54">
        <v>42826</v>
      </c>
      <c r="D34" s="3" t="str">
        <f>YEAR(Datos_Consumo[[#This Row],[FECHA]])&amp;"-"&amp;MONTH(Datos_Consumo[[#This Row],[FECHA]])</f>
        <v>2017-4</v>
      </c>
    </row>
    <row r="35" spans="1:4" x14ac:dyDescent="0.25">
      <c r="A35" t="s">
        <v>1519</v>
      </c>
      <c r="B35">
        <v>2</v>
      </c>
      <c r="C35" s="54">
        <v>42826</v>
      </c>
      <c r="D35" s="3" t="str">
        <f>YEAR(Datos_Consumo[[#This Row],[FECHA]])&amp;"-"&amp;MONTH(Datos_Consumo[[#This Row],[FECHA]])</f>
        <v>2017-4</v>
      </c>
    </row>
    <row r="36" spans="1:4" x14ac:dyDescent="0.25">
      <c r="A36" t="s">
        <v>1519</v>
      </c>
      <c r="B36">
        <v>1</v>
      </c>
      <c r="C36" s="54">
        <v>42856</v>
      </c>
      <c r="D36" s="3" t="str">
        <f>YEAR(Datos_Consumo[[#This Row],[FECHA]])&amp;"-"&amp;MONTH(Datos_Consumo[[#This Row],[FECHA]])</f>
        <v>2017-5</v>
      </c>
    </row>
    <row r="37" spans="1:4" x14ac:dyDescent="0.25">
      <c r="A37" t="s">
        <v>1602</v>
      </c>
      <c r="B37">
        <v>10</v>
      </c>
      <c r="C37" s="54">
        <v>42795</v>
      </c>
      <c r="D37" s="3" t="str">
        <f>YEAR(Datos_Consumo[[#This Row],[FECHA]])&amp;"-"&amp;MONTH(Datos_Consumo[[#This Row],[FECHA]])</f>
        <v>2017-3</v>
      </c>
    </row>
    <row r="38" spans="1:4" x14ac:dyDescent="0.25">
      <c r="A38" t="s">
        <v>1398</v>
      </c>
      <c r="B38">
        <v>2</v>
      </c>
      <c r="C38" s="54">
        <v>42795</v>
      </c>
      <c r="D38" s="3" t="str">
        <f>YEAR(Datos_Consumo[[#This Row],[FECHA]])&amp;"-"&amp;MONTH(Datos_Consumo[[#This Row],[FECHA]])</f>
        <v>2017-3</v>
      </c>
    </row>
    <row r="39" spans="1:4" x14ac:dyDescent="0.25">
      <c r="A39" t="s">
        <v>1398</v>
      </c>
      <c r="B39">
        <v>7</v>
      </c>
      <c r="C39" s="54">
        <v>42856</v>
      </c>
      <c r="D39" s="3" t="str">
        <f>YEAR(Datos_Consumo[[#This Row],[FECHA]])&amp;"-"&amp;MONTH(Datos_Consumo[[#This Row],[FECHA]])</f>
        <v>2017-5</v>
      </c>
    </row>
    <row r="40" spans="1:4" x14ac:dyDescent="0.25">
      <c r="A40" t="s">
        <v>1399</v>
      </c>
      <c r="B40">
        <v>2</v>
      </c>
      <c r="C40" s="54">
        <v>42795</v>
      </c>
      <c r="D40" s="3" t="str">
        <f>YEAR(Datos_Consumo[[#This Row],[FECHA]])&amp;"-"&amp;MONTH(Datos_Consumo[[#This Row],[FECHA]])</f>
        <v>2017-3</v>
      </c>
    </row>
    <row r="41" spans="1:4" x14ac:dyDescent="0.25">
      <c r="A41" t="s">
        <v>1399</v>
      </c>
      <c r="B41">
        <v>1</v>
      </c>
      <c r="C41" s="54">
        <v>42826</v>
      </c>
      <c r="D41" s="3" t="str">
        <f>YEAR(Datos_Consumo[[#This Row],[FECHA]])&amp;"-"&amp;MONTH(Datos_Consumo[[#This Row],[FECHA]])</f>
        <v>2017-4</v>
      </c>
    </row>
    <row r="42" spans="1:4" x14ac:dyDescent="0.25">
      <c r="A42" t="s">
        <v>1400</v>
      </c>
      <c r="B42">
        <v>4.5999999999999996</v>
      </c>
      <c r="C42" s="54">
        <v>42826</v>
      </c>
      <c r="D42" s="3" t="str">
        <f>YEAR(Datos_Consumo[[#This Row],[FECHA]])&amp;"-"&amp;MONTH(Datos_Consumo[[#This Row],[FECHA]])</f>
        <v>2017-4</v>
      </c>
    </row>
    <row r="43" spans="1:4" x14ac:dyDescent="0.25">
      <c r="A43" t="s">
        <v>1400</v>
      </c>
      <c r="B43">
        <v>10</v>
      </c>
      <c r="C43" s="54">
        <v>42856</v>
      </c>
      <c r="D43" s="3" t="str">
        <f>YEAR(Datos_Consumo[[#This Row],[FECHA]])&amp;"-"&amp;MONTH(Datos_Consumo[[#This Row],[FECHA]])</f>
        <v>2017-5</v>
      </c>
    </row>
    <row r="44" spans="1:4" x14ac:dyDescent="0.25">
      <c r="A44" t="s">
        <v>1375</v>
      </c>
      <c r="B44">
        <v>5</v>
      </c>
      <c r="C44" s="54">
        <v>42826</v>
      </c>
      <c r="D44" s="3" t="str">
        <f>YEAR(Datos_Consumo[[#This Row],[FECHA]])&amp;"-"&amp;MONTH(Datos_Consumo[[#This Row],[FECHA]])</f>
        <v>2017-4</v>
      </c>
    </row>
    <row r="45" spans="1:4" x14ac:dyDescent="0.25">
      <c r="A45" t="s">
        <v>1375</v>
      </c>
      <c r="B45">
        <v>1.6</v>
      </c>
      <c r="C45" s="54">
        <v>42856</v>
      </c>
      <c r="D45" s="3" t="str">
        <f>YEAR(Datos_Consumo[[#This Row],[FECHA]])&amp;"-"&amp;MONTH(Datos_Consumo[[#This Row],[FECHA]])</f>
        <v>2017-5</v>
      </c>
    </row>
    <row r="46" spans="1:4" x14ac:dyDescent="0.25">
      <c r="A46" t="s">
        <v>1376</v>
      </c>
      <c r="B46">
        <v>300</v>
      </c>
      <c r="C46" s="54">
        <v>42795</v>
      </c>
      <c r="D46" s="3" t="str">
        <f>YEAR(Datos_Consumo[[#This Row],[FECHA]])&amp;"-"&amp;MONTH(Datos_Consumo[[#This Row],[FECHA]])</f>
        <v>2017-3</v>
      </c>
    </row>
    <row r="47" spans="1:4" x14ac:dyDescent="0.25">
      <c r="A47" t="s">
        <v>1401</v>
      </c>
      <c r="B47">
        <v>260</v>
      </c>
      <c r="C47" s="54">
        <v>42795</v>
      </c>
      <c r="D47" s="3" t="str">
        <f>YEAR(Datos_Consumo[[#This Row],[FECHA]])&amp;"-"&amp;MONTH(Datos_Consumo[[#This Row],[FECHA]])</f>
        <v>2017-3</v>
      </c>
    </row>
    <row r="48" spans="1:4" x14ac:dyDescent="0.25">
      <c r="A48" t="s">
        <v>1520</v>
      </c>
      <c r="B48">
        <v>53</v>
      </c>
      <c r="C48" s="54">
        <v>42795</v>
      </c>
      <c r="D48" s="3" t="str">
        <f>YEAR(Datos_Consumo[[#This Row],[FECHA]])&amp;"-"&amp;MONTH(Datos_Consumo[[#This Row],[FECHA]])</f>
        <v>2017-3</v>
      </c>
    </row>
    <row r="49" spans="1:4" x14ac:dyDescent="0.25">
      <c r="A49" t="s">
        <v>1520</v>
      </c>
      <c r="B49">
        <v>70</v>
      </c>
      <c r="C49" s="54">
        <v>42826</v>
      </c>
      <c r="D49" s="3" t="str">
        <f>YEAR(Datos_Consumo[[#This Row],[FECHA]])&amp;"-"&amp;MONTH(Datos_Consumo[[#This Row],[FECHA]])</f>
        <v>2017-4</v>
      </c>
    </row>
    <row r="50" spans="1:4" x14ac:dyDescent="0.25">
      <c r="A50" t="s">
        <v>1520</v>
      </c>
      <c r="B50">
        <v>10</v>
      </c>
      <c r="C50" s="54">
        <v>42856</v>
      </c>
      <c r="D50" s="3" t="str">
        <f>YEAR(Datos_Consumo[[#This Row],[FECHA]])&amp;"-"&amp;MONTH(Datos_Consumo[[#This Row],[FECHA]])</f>
        <v>2017-5</v>
      </c>
    </row>
    <row r="51" spans="1:4" x14ac:dyDescent="0.25">
      <c r="A51" t="s">
        <v>1402</v>
      </c>
      <c r="B51">
        <v>12</v>
      </c>
      <c r="C51" s="54">
        <v>42795</v>
      </c>
      <c r="D51" s="3" t="str">
        <f>YEAR(Datos_Consumo[[#This Row],[FECHA]])&amp;"-"&amp;MONTH(Datos_Consumo[[#This Row],[FECHA]])</f>
        <v>2017-3</v>
      </c>
    </row>
    <row r="52" spans="1:4" x14ac:dyDescent="0.25">
      <c r="A52" t="s">
        <v>1402</v>
      </c>
      <c r="B52">
        <v>13</v>
      </c>
      <c r="C52" s="54">
        <v>42826</v>
      </c>
      <c r="D52" s="3" t="str">
        <f>YEAR(Datos_Consumo[[#This Row],[FECHA]])&amp;"-"&amp;MONTH(Datos_Consumo[[#This Row],[FECHA]])</f>
        <v>2017-4</v>
      </c>
    </row>
    <row r="53" spans="1:4" x14ac:dyDescent="0.25">
      <c r="A53" t="s">
        <v>1402</v>
      </c>
      <c r="B53">
        <v>5</v>
      </c>
      <c r="C53" s="54">
        <v>42856</v>
      </c>
      <c r="D53" s="3" t="str">
        <f>YEAR(Datos_Consumo[[#This Row],[FECHA]])&amp;"-"&amp;MONTH(Datos_Consumo[[#This Row],[FECHA]])</f>
        <v>2017-5</v>
      </c>
    </row>
    <row r="54" spans="1:4" x14ac:dyDescent="0.25">
      <c r="A54" t="s">
        <v>1403</v>
      </c>
      <c r="B54">
        <v>51</v>
      </c>
      <c r="C54" s="54">
        <v>42795</v>
      </c>
      <c r="D54" s="3" t="str">
        <f>YEAR(Datos_Consumo[[#This Row],[FECHA]])&amp;"-"&amp;MONTH(Datos_Consumo[[#This Row],[FECHA]])</f>
        <v>2017-3</v>
      </c>
    </row>
    <row r="55" spans="1:4" x14ac:dyDescent="0.25">
      <c r="A55" t="s">
        <v>1403</v>
      </c>
      <c r="B55">
        <v>41</v>
      </c>
      <c r="C55" s="54">
        <v>42826</v>
      </c>
      <c r="D55" s="3" t="str">
        <f>YEAR(Datos_Consumo[[#This Row],[FECHA]])&amp;"-"&amp;MONTH(Datos_Consumo[[#This Row],[FECHA]])</f>
        <v>2017-4</v>
      </c>
    </row>
    <row r="56" spans="1:4" x14ac:dyDescent="0.25">
      <c r="A56" t="s">
        <v>1404</v>
      </c>
      <c r="B56">
        <v>1</v>
      </c>
      <c r="C56" s="54">
        <v>42795</v>
      </c>
      <c r="D56" s="3" t="str">
        <f>YEAR(Datos_Consumo[[#This Row],[FECHA]])&amp;"-"&amp;MONTH(Datos_Consumo[[#This Row],[FECHA]])</f>
        <v>2017-3</v>
      </c>
    </row>
    <row r="57" spans="1:4" x14ac:dyDescent="0.25">
      <c r="A57" t="s">
        <v>1521</v>
      </c>
      <c r="B57">
        <v>2</v>
      </c>
      <c r="C57" s="54">
        <v>42826</v>
      </c>
      <c r="D57" s="3" t="str">
        <f>YEAR(Datos_Consumo[[#This Row],[FECHA]])&amp;"-"&amp;MONTH(Datos_Consumo[[#This Row],[FECHA]])</f>
        <v>2017-4</v>
      </c>
    </row>
    <row r="58" spans="1:4" x14ac:dyDescent="0.25">
      <c r="A58" t="s">
        <v>1377</v>
      </c>
      <c r="B58">
        <v>150</v>
      </c>
      <c r="C58" s="54">
        <v>42856</v>
      </c>
      <c r="D58" s="3" t="str">
        <f>YEAR(Datos_Consumo[[#This Row],[FECHA]])&amp;"-"&amp;MONTH(Datos_Consumo[[#This Row],[FECHA]])</f>
        <v>2017-5</v>
      </c>
    </row>
    <row r="59" spans="1:4" x14ac:dyDescent="0.25">
      <c r="A59" t="s">
        <v>1405</v>
      </c>
      <c r="B59">
        <v>2</v>
      </c>
      <c r="C59" s="54">
        <v>42795</v>
      </c>
      <c r="D59" s="3" t="str">
        <f>YEAR(Datos_Consumo[[#This Row],[FECHA]])&amp;"-"&amp;MONTH(Datos_Consumo[[#This Row],[FECHA]])</f>
        <v>2017-3</v>
      </c>
    </row>
    <row r="60" spans="1:4" x14ac:dyDescent="0.25">
      <c r="A60" t="s">
        <v>1406</v>
      </c>
      <c r="B60">
        <v>20</v>
      </c>
      <c r="C60" s="54">
        <v>42795</v>
      </c>
      <c r="D60" s="3" t="str">
        <f>YEAR(Datos_Consumo[[#This Row],[FECHA]])&amp;"-"&amp;MONTH(Datos_Consumo[[#This Row],[FECHA]])</f>
        <v>2017-3</v>
      </c>
    </row>
    <row r="61" spans="1:4" x14ac:dyDescent="0.25">
      <c r="A61" t="s">
        <v>1406</v>
      </c>
      <c r="B61">
        <v>2</v>
      </c>
      <c r="C61" s="54">
        <v>42826</v>
      </c>
      <c r="D61" s="3" t="str">
        <f>YEAR(Datos_Consumo[[#This Row],[FECHA]])&amp;"-"&amp;MONTH(Datos_Consumo[[#This Row],[FECHA]])</f>
        <v>2017-4</v>
      </c>
    </row>
    <row r="62" spans="1:4" x14ac:dyDescent="0.25">
      <c r="A62" t="s">
        <v>1407</v>
      </c>
      <c r="B62">
        <v>1440</v>
      </c>
      <c r="C62" s="54">
        <v>42795</v>
      </c>
      <c r="D62" s="3" t="str">
        <f>YEAR(Datos_Consumo[[#This Row],[FECHA]])&amp;"-"&amp;MONTH(Datos_Consumo[[#This Row],[FECHA]])</f>
        <v>2017-3</v>
      </c>
    </row>
    <row r="63" spans="1:4" x14ac:dyDescent="0.25">
      <c r="A63" t="s">
        <v>1407</v>
      </c>
      <c r="B63">
        <v>81</v>
      </c>
      <c r="C63" s="54">
        <v>42826</v>
      </c>
      <c r="D63" s="3" t="str">
        <f>YEAR(Datos_Consumo[[#This Row],[FECHA]])&amp;"-"&amp;MONTH(Datos_Consumo[[#This Row],[FECHA]])</f>
        <v>2017-4</v>
      </c>
    </row>
    <row r="64" spans="1:4" x14ac:dyDescent="0.25">
      <c r="A64" t="s">
        <v>1408</v>
      </c>
      <c r="B64">
        <v>81</v>
      </c>
      <c r="C64" s="54">
        <v>42826</v>
      </c>
      <c r="D64" s="3" t="str">
        <f>YEAR(Datos_Consumo[[#This Row],[FECHA]])&amp;"-"&amp;MONTH(Datos_Consumo[[#This Row],[FECHA]])</f>
        <v>2017-4</v>
      </c>
    </row>
    <row r="65" spans="1:4" x14ac:dyDescent="0.25">
      <c r="A65" t="s">
        <v>1409</v>
      </c>
      <c r="B65">
        <v>12</v>
      </c>
      <c r="C65" s="54">
        <v>42795</v>
      </c>
      <c r="D65" s="3" t="str">
        <f>YEAR(Datos_Consumo[[#This Row],[FECHA]])&amp;"-"&amp;MONTH(Datos_Consumo[[#This Row],[FECHA]])</f>
        <v>2017-3</v>
      </c>
    </row>
    <row r="66" spans="1:4" x14ac:dyDescent="0.25">
      <c r="A66" t="s">
        <v>1409</v>
      </c>
      <c r="B66">
        <v>232</v>
      </c>
      <c r="C66" s="54">
        <v>42826</v>
      </c>
      <c r="D66" s="3" t="str">
        <f>YEAR(Datos_Consumo[[#This Row],[FECHA]])&amp;"-"&amp;MONTH(Datos_Consumo[[#This Row],[FECHA]])</f>
        <v>2017-4</v>
      </c>
    </row>
    <row r="67" spans="1:4" x14ac:dyDescent="0.25">
      <c r="A67" t="s">
        <v>1410</v>
      </c>
      <c r="B67">
        <v>64</v>
      </c>
      <c r="C67" s="54">
        <v>42795</v>
      </c>
      <c r="D67" s="3" t="str">
        <f>YEAR(Datos_Consumo[[#This Row],[FECHA]])&amp;"-"&amp;MONTH(Datos_Consumo[[#This Row],[FECHA]])</f>
        <v>2017-3</v>
      </c>
    </row>
    <row r="68" spans="1:4" x14ac:dyDescent="0.25">
      <c r="A68" t="s">
        <v>1410</v>
      </c>
      <c r="B68">
        <v>459</v>
      </c>
      <c r="C68" s="54">
        <v>42826</v>
      </c>
      <c r="D68" s="3" t="str">
        <f>YEAR(Datos_Consumo[[#This Row],[FECHA]])&amp;"-"&amp;MONTH(Datos_Consumo[[#This Row],[FECHA]])</f>
        <v>2017-4</v>
      </c>
    </row>
    <row r="69" spans="1:4" x14ac:dyDescent="0.25">
      <c r="A69" t="s">
        <v>1411</v>
      </c>
      <c r="B69">
        <v>40</v>
      </c>
      <c r="C69" s="54">
        <v>42795</v>
      </c>
      <c r="D69" s="3" t="str">
        <f>YEAR(Datos_Consumo[[#This Row],[FECHA]])&amp;"-"&amp;MONTH(Datos_Consumo[[#This Row],[FECHA]])</f>
        <v>2017-3</v>
      </c>
    </row>
    <row r="70" spans="1:4" x14ac:dyDescent="0.25">
      <c r="A70" t="s">
        <v>1411</v>
      </c>
      <c r="B70">
        <v>88</v>
      </c>
      <c r="C70" s="54">
        <v>42826</v>
      </c>
      <c r="D70" s="3" t="str">
        <f>YEAR(Datos_Consumo[[#This Row],[FECHA]])&amp;"-"&amp;MONTH(Datos_Consumo[[#This Row],[FECHA]])</f>
        <v>2017-4</v>
      </c>
    </row>
    <row r="71" spans="1:4" x14ac:dyDescent="0.25">
      <c r="A71" t="s">
        <v>1411</v>
      </c>
      <c r="B71">
        <v>5</v>
      </c>
      <c r="C71" s="54">
        <v>42856</v>
      </c>
      <c r="D71" s="3" t="str">
        <f>YEAR(Datos_Consumo[[#This Row],[FECHA]])&amp;"-"&amp;MONTH(Datos_Consumo[[#This Row],[FECHA]])</f>
        <v>2017-5</v>
      </c>
    </row>
    <row r="72" spans="1:4" x14ac:dyDescent="0.25">
      <c r="A72" t="s">
        <v>1603</v>
      </c>
      <c r="B72">
        <v>3</v>
      </c>
      <c r="C72" s="54">
        <v>42826</v>
      </c>
      <c r="D72" s="3" t="str">
        <f>YEAR(Datos_Consumo[[#This Row],[FECHA]])&amp;"-"&amp;MONTH(Datos_Consumo[[#This Row],[FECHA]])</f>
        <v>2017-4</v>
      </c>
    </row>
    <row r="73" spans="1:4" x14ac:dyDescent="0.25">
      <c r="A73" t="s">
        <v>1378</v>
      </c>
      <c r="B73">
        <v>5</v>
      </c>
      <c r="C73" s="54">
        <v>42795</v>
      </c>
      <c r="D73" s="3" t="str">
        <f>YEAR(Datos_Consumo[[#This Row],[FECHA]])&amp;"-"&amp;MONTH(Datos_Consumo[[#This Row],[FECHA]])</f>
        <v>2017-3</v>
      </c>
    </row>
    <row r="74" spans="1:4" x14ac:dyDescent="0.25">
      <c r="A74" t="s">
        <v>1378</v>
      </c>
      <c r="B74">
        <v>5</v>
      </c>
      <c r="C74" s="54">
        <v>42826</v>
      </c>
      <c r="D74" s="3" t="str">
        <f>YEAR(Datos_Consumo[[#This Row],[FECHA]])&amp;"-"&amp;MONTH(Datos_Consumo[[#This Row],[FECHA]])</f>
        <v>2017-4</v>
      </c>
    </row>
    <row r="75" spans="1:4" x14ac:dyDescent="0.25">
      <c r="A75" t="s">
        <v>1379</v>
      </c>
      <c r="B75">
        <v>3</v>
      </c>
      <c r="C75" s="54">
        <v>42826</v>
      </c>
      <c r="D75" s="3" t="str">
        <f>YEAR(Datos_Consumo[[#This Row],[FECHA]])&amp;"-"&amp;MONTH(Datos_Consumo[[#This Row],[FECHA]])</f>
        <v>2017-4</v>
      </c>
    </row>
    <row r="76" spans="1:4" x14ac:dyDescent="0.25">
      <c r="A76" t="s">
        <v>1379</v>
      </c>
      <c r="B76">
        <v>1</v>
      </c>
      <c r="C76" s="54">
        <v>42856</v>
      </c>
      <c r="D76" s="3" t="str">
        <f>YEAR(Datos_Consumo[[#This Row],[FECHA]])&amp;"-"&amp;MONTH(Datos_Consumo[[#This Row],[FECHA]])</f>
        <v>2017-5</v>
      </c>
    </row>
    <row r="77" spans="1:4" x14ac:dyDescent="0.25">
      <c r="A77" t="s">
        <v>1412</v>
      </c>
      <c r="B77">
        <v>12</v>
      </c>
      <c r="C77" s="54">
        <v>42795</v>
      </c>
      <c r="D77" s="3" t="str">
        <f>YEAR(Datos_Consumo[[#This Row],[FECHA]])&amp;"-"&amp;MONTH(Datos_Consumo[[#This Row],[FECHA]])</f>
        <v>2017-3</v>
      </c>
    </row>
    <row r="78" spans="1:4" x14ac:dyDescent="0.25">
      <c r="A78" t="s">
        <v>1412</v>
      </c>
      <c r="B78">
        <v>3</v>
      </c>
      <c r="C78" s="54">
        <v>42826</v>
      </c>
      <c r="D78" s="3" t="str">
        <f>YEAR(Datos_Consumo[[#This Row],[FECHA]])&amp;"-"&amp;MONTH(Datos_Consumo[[#This Row],[FECHA]])</f>
        <v>2017-4</v>
      </c>
    </row>
    <row r="79" spans="1:4" x14ac:dyDescent="0.25">
      <c r="A79" t="s">
        <v>1412</v>
      </c>
      <c r="B79">
        <v>13</v>
      </c>
      <c r="C79" s="54">
        <v>42856</v>
      </c>
      <c r="D79" s="3" t="str">
        <f>YEAR(Datos_Consumo[[#This Row],[FECHA]])&amp;"-"&amp;MONTH(Datos_Consumo[[#This Row],[FECHA]])</f>
        <v>2017-5</v>
      </c>
    </row>
    <row r="80" spans="1:4" x14ac:dyDescent="0.25">
      <c r="A80" t="s">
        <v>1413</v>
      </c>
      <c r="B80">
        <v>15</v>
      </c>
      <c r="C80" s="54">
        <v>42795</v>
      </c>
      <c r="D80" s="3" t="str">
        <f>YEAR(Datos_Consumo[[#This Row],[FECHA]])&amp;"-"&amp;MONTH(Datos_Consumo[[#This Row],[FECHA]])</f>
        <v>2017-3</v>
      </c>
    </row>
    <row r="81" spans="1:4" x14ac:dyDescent="0.25">
      <c r="A81" t="s">
        <v>1413</v>
      </c>
      <c r="B81">
        <v>34</v>
      </c>
      <c r="C81" s="54">
        <v>42826</v>
      </c>
      <c r="D81" s="3" t="str">
        <f>YEAR(Datos_Consumo[[#This Row],[FECHA]])&amp;"-"&amp;MONTH(Datos_Consumo[[#This Row],[FECHA]])</f>
        <v>2017-4</v>
      </c>
    </row>
    <row r="82" spans="1:4" x14ac:dyDescent="0.25">
      <c r="A82" t="s">
        <v>1413</v>
      </c>
      <c r="B82">
        <v>19</v>
      </c>
      <c r="C82" s="54">
        <v>42856</v>
      </c>
      <c r="D82" s="3" t="str">
        <f>YEAR(Datos_Consumo[[#This Row],[FECHA]])&amp;"-"&amp;MONTH(Datos_Consumo[[#This Row],[FECHA]])</f>
        <v>2017-5</v>
      </c>
    </row>
    <row r="83" spans="1:4" x14ac:dyDescent="0.25">
      <c r="A83" t="s">
        <v>1414</v>
      </c>
      <c r="B83">
        <v>1200</v>
      </c>
      <c r="C83" s="54">
        <v>42795</v>
      </c>
      <c r="D83" s="3" t="str">
        <f>YEAR(Datos_Consumo[[#This Row],[FECHA]])&amp;"-"&amp;MONTH(Datos_Consumo[[#This Row],[FECHA]])</f>
        <v>2017-3</v>
      </c>
    </row>
    <row r="84" spans="1:4" x14ac:dyDescent="0.25">
      <c r="A84" t="s">
        <v>1414</v>
      </c>
      <c r="B84">
        <v>5</v>
      </c>
      <c r="C84" s="54">
        <v>42826</v>
      </c>
      <c r="D84" s="3" t="str">
        <f>YEAR(Datos_Consumo[[#This Row],[FECHA]])&amp;"-"&amp;MONTH(Datos_Consumo[[#This Row],[FECHA]])</f>
        <v>2017-4</v>
      </c>
    </row>
    <row r="85" spans="1:4" x14ac:dyDescent="0.25">
      <c r="A85" t="s">
        <v>1414</v>
      </c>
      <c r="B85">
        <v>3</v>
      </c>
      <c r="C85" s="54">
        <v>42856</v>
      </c>
      <c r="D85" s="3" t="str">
        <f>YEAR(Datos_Consumo[[#This Row],[FECHA]])&amp;"-"&amp;MONTH(Datos_Consumo[[#This Row],[FECHA]])</f>
        <v>2017-5</v>
      </c>
    </row>
    <row r="86" spans="1:4" x14ac:dyDescent="0.25">
      <c r="A86" t="s">
        <v>1604</v>
      </c>
      <c r="B86">
        <v>3</v>
      </c>
      <c r="C86" s="54">
        <v>42826</v>
      </c>
      <c r="D86" s="3" t="str">
        <f>YEAR(Datos_Consumo[[#This Row],[FECHA]])&amp;"-"&amp;MONTH(Datos_Consumo[[#This Row],[FECHA]])</f>
        <v>2017-4</v>
      </c>
    </row>
    <row r="87" spans="1:4" x14ac:dyDescent="0.25">
      <c r="A87" t="s">
        <v>1415</v>
      </c>
      <c r="B87">
        <v>5</v>
      </c>
      <c r="C87" s="54">
        <v>42826</v>
      </c>
      <c r="D87" s="3" t="str">
        <f>YEAR(Datos_Consumo[[#This Row],[FECHA]])&amp;"-"&amp;MONTH(Datos_Consumo[[#This Row],[FECHA]])</f>
        <v>2017-4</v>
      </c>
    </row>
    <row r="88" spans="1:4" x14ac:dyDescent="0.25">
      <c r="A88" t="s">
        <v>1416</v>
      </c>
      <c r="B88">
        <v>13</v>
      </c>
      <c r="C88" s="54">
        <v>42795</v>
      </c>
      <c r="D88" s="3" t="str">
        <f>YEAR(Datos_Consumo[[#This Row],[FECHA]])&amp;"-"&amp;MONTH(Datos_Consumo[[#This Row],[FECHA]])</f>
        <v>2017-3</v>
      </c>
    </row>
    <row r="89" spans="1:4" x14ac:dyDescent="0.25">
      <c r="A89" t="s">
        <v>1416</v>
      </c>
      <c r="B89">
        <v>53</v>
      </c>
      <c r="C89" s="54">
        <v>42826</v>
      </c>
      <c r="D89" s="3" t="str">
        <f>YEAR(Datos_Consumo[[#This Row],[FECHA]])&amp;"-"&amp;MONTH(Datos_Consumo[[#This Row],[FECHA]])</f>
        <v>2017-4</v>
      </c>
    </row>
    <row r="90" spans="1:4" x14ac:dyDescent="0.25">
      <c r="A90" t="s">
        <v>1416</v>
      </c>
      <c r="B90">
        <v>9</v>
      </c>
      <c r="C90" s="54">
        <v>42856</v>
      </c>
      <c r="D90" s="3" t="str">
        <f>YEAR(Datos_Consumo[[#This Row],[FECHA]])&amp;"-"&amp;MONTH(Datos_Consumo[[#This Row],[FECHA]])</f>
        <v>2017-5</v>
      </c>
    </row>
    <row r="91" spans="1:4" x14ac:dyDescent="0.25">
      <c r="A91" t="s">
        <v>1417</v>
      </c>
      <c r="B91">
        <v>4</v>
      </c>
      <c r="C91" s="54">
        <v>42795</v>
      </c>
      <c r="D91" s="3" t="str">
        <f>YEAR(Datos_Consumo[[#This Row],[FECHA]])&amp;"-"&amp;MONTH(Datos_Consumo[[#This Row],[FECHA]])</f>
        <v>2017-3</v>
      </c>
    </row>
    <row r="92" spans="1:4" x14ac:dyDescent="0.25">
      <c r="A92" t="s">
        <v>1417</v>
      </c>
      <c r="B92">
        <v>5</v>
      </c>
      <c r="C92" s="54">
        <v>42826</v>
      </c>
      <c r="D92" s="3" t="str">
        <f>YEAR(Datos_Consumo[[#This Row],[FECHA]])&amp;"-"&amp;MONTH(Datos_Consumo[[#This Row],[FECHA]])</f>
        <v>2017-4</v>
      </c>
    </row>
    <row r="93" spans="1:4" x14ac:dyDescent="0.25">
      <c r="A93" t="s">
        <v>1380</v>
      </c>
      <c r="B93">
        <v>66</v>
      </c>
      <c r="C93" s="54">
        <v>42795</v>
      </c>
      <c r="D93" s="3" t="str">
        <f>YEAR(Datos_Consumo[[#This Row],[FECHA]])&amp;"-"&amp;MONTH(Datos_Consumo[[#This Row],[FECHA]])</f>
        <v>2017-3</v>
      </c>
    </row>
    <row r="94" spans="1:4" x14ac:dyDescent="0.25">
      <c r="A94" t="s">
        <v>1380</v>
      </c>
      <c r="B94">
        <v>76</v>
      </c>
      <c r="C94" s="54">
        <v>42826</v>
      </c>
      <c r="D94" s="3" t="str">
        <f>YEAR(Datos_Consumo[[#This Row],[FECHA]])&amp;"-"&amp;MONTH(Datos_Consumo[[#This Row],[FECHA]])</f>
        <v>2017-4</v>
      </c>
    </row>
    <row r="95" spans="1:4" x14ac:dyDescent="0.25">
      <c r="A95" t="s">
        <v>1380</v>
      </c>
      <c r="B95">
        <v>13</v>
      </c>
      <c r="C95" s="54">
        <v>42856</v>
      </c>
      <c r="D95" s="3" t="str">
        <f>YEAR(Datos_Consumo[[#This Row],[FECHA]])&amp;"-"&amp;MONTH(Datos_Consumo[[#This Row],[FECHA]])</f>
        <v>2017-5</v>
      </c>
    </row>
    <row r="96" spans="1:4" x14ac:dyDescent="0.25">
      <c r="A96" t="s">
        <v>1381</v>
      </c>
      <c r="B96">
        <v>70</v>
      </c>
      <c r="C96" s="54">
        <v>42826</v>
      </c>
      <c r="D96" s="3" t="str">
        <f>YEAR(Datos_Consumo[[#This Row],[FECHA]])&amp;"-"&amp;MONTH(Datos_Consumo[[#This Row],[FECHA]])</f>
        <v>2017-4</v>
      </c>
    </row>
    <row r="97" spans="1:4" x14ac:dyDescent="0.25">
      <c r="A97" t="s">
        <v>1418</v>
      </c>
      <c r="B97">
        <v>10</v>
      </c>
      <c r="C97" s="54">
        <v>42795</v>
      </c>
      <c r="D97" s="3" t="str">
        <f>YEAR(Datos_Consumo[[#This Row],[FECHA]])&amp;"-"&amp;MONTH(Datos_Consumo[[#This Row],[FECHA]])</f>
        <v>2017-3</v>
      </c>
    </row>
    <row r="98" spans="1:4" x14ac:dyDescent="0.25">
      <c r="A98" t="s">
        <v>1419</v>
      </c>
      <c r="B98">
        <v>12</v>
      </c>
      <c r="C98" s="54">
        <v>42795</v>
      </c>
      <c r="D98" s="3" t="str">
        <f>YEAR(Datos_Consumo[[#This Row],[FECHA]])&amp;"-"&amp;MONTH(Datos_Consumo[[#This Row],[FECHA]])</f>
        <v>2017-3</v>
      </c>
    </row>
    <row r="99" spans="1:4" x14ac:dyDescent="0.25">
      <c r="A99" t="s">
        <v>1419</v>
      </c>
      <c r="B99">
        <v>76</v>
      </c>
      <c r="C99" s="54">
        <v>42826</v>
      </c>
      <c r="D99" s="3" t="str">
        <f>YEAR(Datos_Consumo[[#This Row],[FECHA]])&amp;"-"&amp;MONTH(Datos_Consumo[[#This Row],[FECHA]])</f>
        <v>2017-4</v>
      </c>
    </row>
    <row r="100" spans="1:4" x14ac:dyDescent="0.25">
      <c r="A100" t="s">
        <v>1419</v>
      </c>
      <c r="B100">
        <v>16</v>
      </c>
      <c r="C100" s="54">
        <v>42856</v>
      </c>
      <c r="D100" s="3" t="str">
        <f>YEAR(Datos_Consumo[[#This Row],[FECHA]])&amp;"-"&amp;MONTH(Datos_Consumo[[#This Row],[FECHA]])</f>
        <v>2017-5</v>
      </c>
    </row>
    <row r="101" spans="1:4" x14ac:dyDescent="0.25">
      <c r="A101" t="s">
        <v>1382</v>
      </c>
      <c r="B101">
        <v>66</v>
      </c>
      <c r="C101" s="54">
        <v>42795</v>
      </c>
      <c r="D101" s="3" t="str">
        <f>YEAR(Datos_Consumo[[#This Row],[FECHA]])&amp;"-"&amp;MONTH(Datos_Consumo[[#This Row],[FECHA]])</f>
        <v>2017-3</v>
      </c>
    </row>
    <row r="102" spans="1:4" x14ac:dyDescent="0.25">
      <c r="A102" t="s">
        <v>1382</v>
      </c>
      <c r="B102">
        <v>25</v>
      </c>
      <c r="C102" s="54">
        <v>42826</v>
      </c>
      <c r="D102" s="3" t="str">
        <f>YEAR(Datos_Consumo[[#This Row],[FECHA]])&amp;"-"&amp;MONTH(Datos_Consumo[[#This Row],[FECHA]])</f>
        <v>2017-4</v>
      </c>
    </row>
    <row r="103" spans="1:4" x14ac:dyDescent="0.25">
      <c r="A103" t="s">
        <v>1382</v>
      </c>
      <c r="B103">
        <v>68</v>
      </c>
      <c r="C103" s="54">
        <v>42856</v>
      </c>
      <c r="D103" s="3" t="str">
        <f>YEAR(Datos_Consumo[[#This Row],[FECHA]])&amp;"-"&amp;MONTH(Datos_Consumo[[#This Row],[FECHA]])</f>
        <v>2017-5</v>
      </c>
    </row>
    <row r="104" spans="1:4" x14ac:dyDescent="0.25">
      <c r="A104" t="s">
        <v>1383</v>
      </c>
      <c r="B104">
        <v>62</v>
      </c>
      <c r="C104" s="54">
        <v>42795</v>
      </c>
      <c r="D104" s="3" t="str">
        <f>YEAR(Datos_Consumo[[#This Row],[FECHA]])&amp;"-"&amp;MONTH(Datos_Consumo[[#This Row],[FECHA]])</f>
        <v>2017-3</v>
      </c>
    </row>
    <row r="105" spans="1:4" x14ac:dyDescent="0.25">
      <c r="A105" t="s">
        <v>1383</v>
      </c>
      <c r="B105">
        <v>40</v>
      </c>
      <c r="C105" s="54">
        <v>42826</v>
      </c>
      <c r="D105" s="3" t="str">
        <f>YEAR(Datos_Consumo[[#This Row],[FECHA]])&amp;"-"&amp;MONTH(Datos_Consumo[[#This Row],[FECHA]])</f>
        <v>2017-4</v>
      </c>
    </row>
    <row r="106" spans="1:4" x14ac:dyDescent="0.25">
      <c r="A106" t="s">
        <v>1522</v>
      </c>
      <c r="B106">
        <v>14</v>
      </c>
      <c r="C106" s="54">
        <v>42795</v>
      </c>
      <c r="D106" s="3" t="str">
        <f>YEAR(Datos_Consumo[[#This Row],[FECHA]])&amp;"-"&amp;MONTH(Datos_Consumo[[#This Row],[FECHA]])</f>
        <v>2017-3</v>
      </c>
    </row>
    <row r="107" spans="1:4" x14ac:dyDescent="0.25">
      <c r="A107" t="s">
        <v>1523</v>
      </c>
      <c r="B107">
        <v>45</v>
      </c>
      <c r="C107" s="54">
        <v>42826</v>
      </c>
      <c r="D107" s="3" t="str">
        <f>YEAR(Datos_Consumo[[#This Row],[FECHA]])&amp;"-"&amp;MONTH(Datos_Consumo[[#This Row],[FECHA]])</f>
        <v>2017-4</v>
      </c>
    </row>
    <row r="108" spans="1:4" x14ac:dyDescent="0.25">
      <c r="A108" t="s">
        <v>1523</v>
      </c>
      <c r="B108">
        <v>10</v>
      </c>
      <c r="C108" s="54">
        <v>42856</v>
      </c>
      <c r="D108" s="3" t="str">
        <f>YEAR(Datos_Consumo[[#This Row],[FECHA]])&amp;"-"&amp;MONTH(Datos_Consumo[[#This Row],[FECHA]])</f>
        <v>2017-5</v>
      </c>
    </row>
    <row r="109" spans="1:4" x14ac:dyDescent="0.25">
      <c r="A109" t="s">
        <v>1605</v>
      </c>
      <c r="B109">
        <v>5</v>
      </c>
      <c r="C109" s="54">
        <v>42795</v>
      </c>
      <c r="D109" s="3" t="str">
        <f>YEAR(Datos_Consumo[[#This Row],[FECHA]])&amp;"-"&amp;MONTH(Datos_Consumo[[#This Row],[FECHA]])</f>
        <v>2017-3</v>
      </c>
    </row>
    <row r="110" spans="1:4" x14ac:dyDescent="0.25">
      <c r="A110" t="s">
        <v>1524</v>
      </c>
      <c r="B110">
        <v>60</v>
      </c>
      <c r="C110" s="54">
        <v>42795</v>
      </c>
      <c r="D110" s="3" t="str">
        <f>YEAR(Datos_Consumo[[#This Row],[FECHA]])&amp;"-"&amp;MONTH(Datos_Consumo[[#This Row],[FECHA]])</f>
        <v>2017-3</v>
      </c>
    </row>
    <row r="111" spans="1:4" x14ac:dyDescent="0.25">
      <c r="A111" t="s">
        <v>1524</v>
      </c>
      <c r="B111">
        <v>170</v>
      </c>
      <c r="C111" s="54">
        <v>42826</v>
      </c>
      <c r="D111" s="3" t="str">
        <f>YEAR(Datos_Consumo[[#This Row],[FECHA]])&amp;"-"&amp;MONTH(Datos_Consumo[[#This Row],[FECHA]])</f>
        <v>2017-4</v>
      </c>
    </row>
    <row r="112" spans="1:4" x14ac:dyDescent="0.25">
      <c r="A112" t="s">
        <v>1524</v>
      </c>
      <c r="B112">
        <v>52</v>
      </c>
      <c r="C112" s="54">
        <v>42856</v>
      </c>
      <c r="D112" s="3" t="str">
        <f>YEAR(Datos_Consumo[[#This Row],[FECHA]])&amp;"-"&amp;MONTH(Datos_Consumo[[#This Row],[FECHA]])</f>
        <v>2017-5</v>
      </c>
    </row>
    <row r="113" spans="1:4" x14ac:dyDescent="0.25">
      <c r="A113" t="s">
        <v>1525</v>
      </c>
      <c r="B113">
        <v>10</v>
      </c>
      <c r="C113" s="54">
        <v>42795</v>
      </c>
      <c r="D113" s="3" t="str">
        <f>YEAR(Datos_Consumo[[#This Row],[FECHA]])&amp;"-"&amp;MONTH(Datos_Consumo[[#This Row],[FECHA]])</f>
        <v>2017-3</v>
      </c>
    </row>
    <row r="114" spans="1:4" x14ac:dyDescent="0.25">
      <c r="A114" t="s">
        <v>1525</v>
      </c>
      <c r="B114">
        <v>10</v>
      </c>
      <c r="C114" s="54">
        <v>42826</v>
      </c>
      <c r="D114" s="3" t="str">
        <f>YEAR(Datos_Consumo[[#This Row],[FECHA]])&amp;"-"&amp;MONTH(Datos_Consumo[[#This Row],[FECHA]])</f>
        <v>2017-4</v>
      </c>
    </row>
    <row r="115" spans="1:4" x14ac:dyDescent="0.25">
      <c r="A115" t="s">
        <v>1525</v>
      </c>
      <c r="B115">
        <v>1</v>
      </c>
      <c r="C115" s="54">
        <v>42856</v>
      </c>
      <c r="D115" s="3" t="str">
        <f>YEAR(Datos_Consumo[[#This Row],[FECHA]])&amp;"-"&amp;MONTH(Datos_Consumo[[#This Row],[FECHA]])</f>
        <v>2017-5</v>
      </c>
    </row>
    <row r="116" spans="1:4" x14ac:dyDescent="0.25">
      <c r="A116" t="s">
        <v>1606</v>
      </c>
      <c r="B116">
        <v>6</v>
      </c>
      <c r="C116" s="54">
        <v>42856</v>
      </c>
      <c r="D116" s="3" t="str">
        <f>YEAR(Datos_Consumo[[#This Row],[FECHA]])&amp;"-"&amp;MONTH(Datos_Consumo[[#This Row],[FECHA]])</f>
        <v>2017-5</v>
      </c>
    </row>
    <row r="117" spans="1:4" x14ac:dyDescent="0.25">
      <c r="A117" t="s">
        <v>1420</v>
      </c>
      <c r="B117">
        <v>86</v>
      </c>
      <c r="C117" s="54">
        <v>42826</v>
      </c>
      <c r="D117" s="3" t="str">
        <f>YEAR(Datos_Consumo[[#This Row],[FECHA]])&amp;"-"&amp;MONTH(Datos_Consumo[[#This Row],[FECHA]])</f>
        <v>2017-4</v>
      </c>
    </row>
    <row r="118" spans="1:4" x14ac:dyDescent="0.25">
      <c r="A118" t="s">
        <v>1420</v>
      </c>
      <c r="B118">
        <v>14</v>
      </c>
      <c r="C118" s="54">
        <v>42856</v>
      </c>
      <c r="D118" s="3" t="str">
        <f>YEAR(Datos_Consumo[[#This Row],[FECHA]])&amp;"-"&amp;MONTH(Datos_Consumo[[#This Row],[FECHA]])</f>
        <v>2017-5</v>
      </c>
    </row>
    <row r="119" spans="1:4" x14ac:dyDescent="0.25">
      <c r="A119" t="s">
        <v>1421</v>
      </c>
      <c r="B119">
        <v>600</v>
      </c>
      <c r="C119" s="54">
        <v>42795</v>
      </c>
      <c r="D119" s="3" t="str">
        <f>YEAR(Datos_Consumo[[#This Row],[FECHA]])&amp;"-"&amp;MONTH(Datos_Consumo[[#This Row],[FECHA]])</f>
        <v>2017-3</v>
      </c>
    </row>
    <row r="120" spans="1:4" x14ac:dyDescent="0.25">
      <c r="A120" t="s">
        <v>1421</v>
      </c>
      <c r="B120">
        <v>74</v>
      </c>
      <c r="C120" s="54">
        <v>42826</v>
      </c>
      <c r="D120" s="3" t="str">
        <f>YEAR(Datos_Consumo[[#This Row],[FECHA]])&amp;"-"&amp;MONTH(Datos_Consumo[[#This Row],[FECHA]])</f>
        <v>2017-4</v>
      </c>
    </row>
    <row r="121" spans="1:4" x14ac:dyDescent="0.25">
      <c r="A121" t="s">
        <v>1421</v>
      </c>
      <c r="B121">
        <v>150</v>
      </c>
      <c r="C121" s="54">
        <v>42856</v>
      </c>
      <c r="D121" s="3" t="str">
        <f>YEAR(Datos_Consumo[[#This Row],[FECHA]])&amp;"-"&amp;MONTH(Datos_Consumo[[#This Row],[FECHA]])</f>
        <v>2017-5</v>
      </c>
    </row>
    <row r="122" spans="1:4" x14ac:dyDescent="0.25">
      <c r="A122" t="s">
        <v>1607</v>
      </c>
      <c r="B122">
        <v>6</v>
      </c>
      <c r="C122" s="54">
        <v>42826</v>
      </c>
      <c r="D122" s="3" t="str">
        <f>YEAR(Datos_Consumo[[#This Row],[FECHA]])&amp;"-"&amp;MONTH(Datos_Consumo[[#This Row],[FECHA]])</f>
        <v>2017-4</v>
      </c>
    </row>
    <row r="123" spans="1:4" x14ac:dyDescent="0.25">
      <c r="A123" t="s">
        <v>1608</v>
      </c>
      <c r="B123">
        <v>1</v>
      </c>
      <c r="C123" s="54">
        <v>42856</v>
      </c>
      <c r="D123" s="3" t="str">
        <f>YEAR(Datos_Consumo[[#This Row],[FECHA]])&amp;"-"&amp;MONTH(Datos_Consumo[[#This Row],[FECHA]])</f>
        <v>2017-5</v>
      </c>
    </row>
    <row r="124" spans="1:4" x14ac:dyDescent="0.25">
      <c r="A124" t="s">
        <v>1609</v>
      </c>
      <c r="B124">
        <v>10</v>
      </c>
      <c r="C124" s="54">
        <v>42826</v>
      </c>
      <c r="D124" s="3" t="str">
        <f>YEAR(Datos_Consumo[[#This Row],[FECHA]])&amp;"-"&amp;MONTH(Datos_Consumo[[#This Row],[FECHA]])</f>
        <v>2017-4</v>
      </c>
    </row>
    <row r="125" spans="1:4" x14ac:dyDescent="0.25">
      <c r="A125" t="s">
        <v>1422</v>
      </c>
      <c r="B125">
        <v>200</v>
      </c>
      <c r="C125" s="54">
        <v>42795</v>
      </c>
      <c r="D125" s="3" t="str">
        <f>YEAR(Datos_Consumo[[#This Row],[FECHA]])&amp;"-"&amp;MONTH(Datos_Consumo[[#This Row],[FECHA]])</f>
        <v>2017-3</v>
      </c>
    </row>
    <row r="126" spans="1:4" x14ac:dyDescent="0.25">
      <c r="A126" t="s">
        <v>1422</v>
      </c>
      <c r="B126">
        <v>125</v>
      </c>
      <c r="C126" s="54">
        <v>42826</v>
      </c>
      <c r="D126" s="3" t="str">
        <f>YEAR(Datos_Consumo[[#This Row],[FECHA]])&amp;"-"&amp;MONTH(Datos_Consumo[[#This Row],[FECHA]])</f>
        <v>2017-4</v>
      </c>
    </row>
    <row r="127" spans="1:4" x14ac:dyDescent="0.25">
      <c r="A127" t="s">
        <v>1422</v>
      </c>
      <c r="B127">
        <v>5727</v>
      </c>
      <c r="C127" s="54">
        <v>42856</v>
      </c>
      <c r="D127" s="3" t="str">
        <f>YEAR(Datos_Consumo[[#This Row],[FECHA]])&amp;"-"&amp;MONTH(Datos_Consumo[[#This Row],[FECHA]])</f>
        <v>2017-5</v>
      </c>
    </row>
    <row r="128" spans="1:4" x14ac:dyDescent="0.25">
      <c r="A128" t="s">
        <v>1610</v>
      </c>
      <c r="B128">
        <v>1968</v>
      </c>
      <c r="C128" s="54">
        <v>42856</v>
      </c>
      <c r="D128" s="3" t="str">
        <f>YEAR(Datos_Consumo[[#This Row],[FECHA]])&amp;"-"&amp;MONTH(Datos_Consumo[[#This Row],[FECHA]])</f>
        <v>2017-5</v>
      </c>
    </row>
    <row r="129" spans="1:4" x14ac:dyDescent="0.25">
      <c r="A129" t="s">
        <v>1384</v>
      </c>
      <c r="B129">
        <v>7800</v>
      </c>
      <c r="C129" s="54">
        <v>42795</v>
      </c>
      <c r="D129" s="3" t="str">
        <f>YEAR(Datos_Consumo[[#This Row],[FECHA]])&amp;"-"&amp;MONTH(Datos_Consumo[[#This Row],[FECHA]])</f>
        <v>2017-3</v>
      </c>
    </row>
    <row r="130" spans="1:4" x14ac:dyDescent="0.25">
      <c r="A130" t="s">
        <v>1384</v>
      </c>
      <c r="B130">
        <v>18277</v>
      </c>
      <c r="C130" s="54">
        <v>42826</v>
      </c>
      <c r="D130" s="3" t="str">
        <f>YEAR(Datos_Consumo[[#This Row],[FECHA]])&amp;"-"&amp;MONTH(Datos_Consumo[[#This Row],[FECHA]])</f>
        <v>2017-4</v>
      </c>
    </row>
    <row r="131" spans="1:4" x14ac:dyDescent="0.25">
      <c r="A131" t="s">
        <v>1384</v>
      </c>
      <c r="B131">
        <v>11315</v>
      </c>
      <c r="C131" s="54">
        <v>42856</v>
      </c>
      <c r="D131" s="3" t="str">
        <f>YEAR(Datos_Consumo[[#This Row],[FECHA]])&amp;"-"&amp;MONTH(Datos_Consumo[[#This Row],[FECHA]])</f>
        <v>2017-5</v>
      </c>
    </row>
    <row r="132" spans="1:4" x14ac:dyDescent="0.25">
      <c r="A132" t="s">
        <v>1526</v>
      </c>
      <c r="B132">
        <v>3</v>
      </c>
      <c r="C132" s="54">
        <v>42795</v>
      </c>
      <c r="D132" s="3" t="str">
        <f>YEAR(Datos_Consumo[[#This Row],[FECHA]])&amp;"-"&amp;MONTH(Datos_Consumo[[#This Row],[FECHA]])</f>
        <v>2017-3</v>
      </c>
    </row>
    <row r="133" spans="1:4" x14ac:dyDescent="0.25">
      <c r="A133" t="s">
        <v>1527</v>
      </c>
      <c r="B133">
        <v>12</v>
      </c>
      <c r="C133" s="54">
        <v>42795</v>
      </c>
      <c r="D133" s="3" t="str">
        <f>YEAR(Datos_Consumo[[#This Row],[FECHA]])&amp;"-"&amp;MONTH(Datos_Consumo[[#This Row],[FECHA]])</f>
        <v>2017-3</v>
      </c>
    </row>
    <row r="134" spans="1:4" x14ac:dyDescent="0.25">
      <c r="A134" t="s">
        <v>1527</v>
      </c>
      <c r="B134">
        <v>27</v>
      </c>
      <c r="C134" s="54">
        <v>42826</v>
      </c>
      <c r="D134" s="3" t="str">
        <f>YEAR(Datos_Consumo[[#This Row],[FECHA]])&amp;"-"&amp;MONTH(Datos_Consumo[[#This Row],[FECHA]])</f>
        <v>2017-4</v>
      </c>
    </row>
    <row r="135" spans="1:4" x14ac:dyDescent="0.25">
      <c r="A135" t="s">
        <v>1385</v>
      </c>
      <c r="B135">
        <v>13</v>
      </c>
      <c r="C135" s="54">
        <v>42795</v>
      </c>
      <c r="D135" s="3" t="str">
        <f>YEAR(Datos_Consumo[[#This Row],[FECHA]])&amp;"-"&amp;MONTH(Datos_Consumo[[#This Row],[FECHA]])</f>
        <v>2017-3</v>
      </c>
    </row>
    <row r="136" spans="1:4" x14ac:dyDescent="0.25">
      <c r="A136" t="s">
        <v>1423</v>
      </c>
      <c r="B136">
        <v>41</v>
      </c>
      <c r="C136" s="54">
        <v>42795</v>
      </c>
      <c r="D136" s="3" t="str">
        <f>YEAR(Datos_Consumo[[#This Row],[FECHA]])&amp;"-"&amp;MONTH(Datos_Consumo[[#This Row],[FECHA]])</f>
        <v>2017-3</v>
      </c>
    </row>
    <row r="137" spans="1:4" x14ac:dyDescent="0.25">
      <c r="A137" t="s">
        <v>1423</v>
      </c>
      <c r="B137">
        <v>30</v>
      </c>
      <c r="C137" s="54">
        <v>42826</v>
      </c>
      <c r="D137" s="3" t="str">
        <f>YEAR(Datos_Consumo[[#This Row],[FECHA]])&amp;"-"&amp;MONTH(Datos_Consumo[[#This Row],[FECHA]])</f>
        <v>2017-4</v>
      </c>
    </row>
    <row r="138" spans="1:4" x14ac:dyDescent="0.25">
      <c r="A138" t="s">
        <v>1424</v>
      </c>
      <c r="B138">
        <v>40</v>
      </c>
      <c r="C138" s="54">
        <v>42795</v>
      </c>
      <c r="D138" s="3" t="str">
        <f>YEAR(Datos_Consumo[[#This Row],[FECHA]])&amp;"-"&amp;MONTH(Datos_Consumo[[#This Row],[FECHA]])</f>
        <v>2017-3</v>
      </c>
    </row>
    <row r="139" spans="1:4" x14ac:dyDescent="0.25">
      <c r="A139" t="s">
        <v>1424</v>
      </c>
      <c r="B139">
        <v>18</v>
      </c>
      <c r="C139" s="54">
        <v>42826</v>
      </c>
      <c r="D139" s="3" t="str">
        <f>YEAR(Datos_Consumo[[#This Row],[FECHA]])&amp;"-"&amp;MONTH(Datos_Consumo[[#This Row],[FECHA]])</f>
        <v>2017-4</v>
      </c>
    </row>
    <row r="140" spans="1:4" x14ac:dyDescent="0.25">
      <c r="A140" t="s">
        <v>1424</v>
      </c>
      <c r="B140">
        <v>20</v>
      </c>
      <c r="C140" s="54">
        <v>42856</v>
      </c>
      <c r="D140" s="3" t="str">
        <f>YEAR(Datos_Consumo[[#This Row],[FECHA]])&amp;"-"&amp;MONTH(Datos_Consumo[[#This Row],[FECHA]])</f>
        <v>2017-5</v>
      </c>
    </row>
    <row r="141" spans="1:4" x14ac:dyDescent="0.25">
      <c r="A141" t="s">
        <v>1425</v>
      </c>
      <c r="B141">
        <v>40</v>
      </c>
      <c r="C141" s="54">
        <v>42795</v>
      </c>
      <c r="D141" s="3" t="str">
        <f>YEAR(Datos_Consumo[[#This Row],[FECHA]])&amp;"-"&amp;MONTH(Datos_Consumo[[#This Row],[FECHA]])</f>
        <v>2017-3</v>
      </c>
    </row>
    <row r="142" spans="1:4" x14ac:dyDescent="0.25">
      <c r="A142" t="s">
        <v>1426</v>
      </c>
      <c r="B142">
        <v>7</v>
      </c>
      <c r="C142" s="54">
        <v>42795</v>
      </c>
      <c r="D142" s="3" t="str">
        <f>YEAR(Datos_Consumo[[#This Row],[FECHA]])&amp;"-"&amp;MONTH(Datos_Consumo[[#This Row],[FECHA]])</f>
        <v>2017-3</v>
      </c>
    </row>
    <row r="143" spans="1:4" x14ac:dyDescent="0.25">
      <c r="A143" t="s">
        <v>1426</v>
      </c>
      <c r="B143">
        <v>10</v>
      </c>
      <c r="C143" s="54">
        <v>42856</v>
      </c>
      <c r="D143" s="3" t="str">
        <f>YEAR(Datos_Consumo[[#This Row],[FECHA]])&amp;"-"&amp;MONTH(Datos_Consumo[[#This Row],[FECHA]])</f>
        <v>2017-5</v>
      </c>
    </row>
    <row r="144" spans="1:4" x14ac:dyDescent="0.25">
      <c r="A144" t="s">
        <v>1427</v>
      </c>
      <c r="B144">
        <v>36</v>
      </c>
      <c r="C144" s="54">
        <v>42795</v>
      </c>
      <c r="D144" s="3" t="str">
        <f>YEAR(Datos_Consumo[[#This Row],[FECHA]])&amp;"-"&amp;MONTH(Datos_Consumo[[#This Row],[FECHA]])</f>
        <v>2017-3</v>
      </c>
    </row>
    <row r="145" spans="1:4" x14ac:dyDescent="0.25">
      <c r="A145" t="s">
        <v>1427</v>
      </c>
      <c r="B145">
        <v>12</v>
      </c>
      <c r="C145" s="54">
        <v>42826</v>
      </c>
      <c r="D145" s="3" t="str">
        <f>YEAR(Datos_Consumo[[#This Row],[FECHA]])&amp;"-"&amp;MONTH(Datos_Consumo[[#This Row],[FECHA]])</f>
        <v>2017-4</v>
      </c>
    </row>
    <row r="146" spans="1:4" x14ac:dyDescent="0.25">
      <c r="A146" t="s">
        <v>1386</v>
      </c>
      <c r="B146">
        <v>3</v>
      </c>
      <c r="C146" s="54">
        <v>42795</v>
      </c>
      <c r="D146" s="3" t="str">
        <f>YEAR(Datos_Consumo[[#This Row],[FECHA]])&amp;"-"&amp;MONTH(Datos_Consumo[[#This Row],[FECHA]])</f>
        <v>2017-3</v>
      </c>
    </row>
    <row r="147" spans="1:4" x14ac:dyDescent="0.25">
      <c r="A147" t="s">
        <v>1386</v>
      </c>
      <c r="B147">
        <v>40</v>
      </c>
      <c r="C147" s="54">
        <v>42856</v>
      </c>
      <c r="D147" s="3" t="str">
        <f>YEAR(Datos_Consumo[[#This Row],[FECHA]])&amp;"-"&amp;MONTH(Datos_Consumo[[#This Row],[FECHA]])</f>
        <v>2017-5</v>
      </c>
    </row>
    <row r="148" spans="1:4" x14ac:dyDescent="0.25">
      <c r="A148" t="s">
        <v>1428</v>
      </c>
      <c r="B148">
        <v>30</v>
      </c>
      <c r="C148" s="54">
        <v>42795</v>
      </c>
      <c r="D148" s="3" t="str">
        <f>YEAR(Datos_Consumo[[#This Row],[FECHA]])&amp;"-"&amp;MONTH(Datos_Consumo[[#This Row],[FECHA]])</f>
        <v>2017-3</v>
      </c>
    </row>
    <row r="149" spans="1:4" x14ac:dyDescent="0.25">
      <c r="A149" t="s">
        <v>1428</v>
      </c>
      <c r="B149">
        <v>11</v>
      </c>
      <c r="C149" s="54">
        <v>42826</v>
      </c>
      <c r="D149" s="3" t="str">
        <f>YEAR(Datos_Consumo[[#This Row],[FECHA]])&amp;"-"&amp;MONTH(Datos_Consumo[[#This Row],[FECHA]])</f>
        <v>2017-4</v>
      </c>
    </row>
    <row r="150" spans="1:4" x14ac:dyDescent="0.25">
      <c r="A150" t="s">
        <v>1611</v>
      </c>
      <c r="B150">
        <v>10</v>
      </c>
      <c r="C150" s="54">
        <v>42826</v>
      </c>
      <c r="D150" s="3" t="str">
        <f>YEAR(Datos_Consumo[[#This Row],[FECHA]])&amp;"-"&amp;MONTH(Datos_Consumo[[#This Row],[FECHA]])</f>
        <v>2017-4</v>
      </c>
    </row>
    <row r="151" spans="1:4" x14ac:dyDescent="0.25">
      <c r="A151" t="s">
        <v>1429</v>
      </c>
      <c r="B151">
        <v>10</v>
      </c>
      <c r="C151" s="54">
        <v>42856</v>
      </c>
      <c r="D151" s="3" t="str">
        <f>YEAR(Datos_Consumo[[#This Row],[FECHA]])&amp;"-"&amp;MONTH(Datos_Consumo[[#This Row],[FECHA]])</f>
        <v>2017-5</v>
      </c>
    </row>
    <row r="152" spans="1:4" x14ac:dyDescent="0.25">
      <c r="A152" t="s">
        <v>1430</v>
      </c>
      <c r="B152">
        <v>7</v>
      </c>
      <c r="C152" s="54">
        <v>42795</v>
      </c>
      <c r="D152" s="3" t="str">
        <f>YEAR(Datos_Consumo[[#This Row],[FECHA]])&amp;"-"&amp;MONTH(Datos_Consumo[[#This Row],[FECHA]])</f>
        <v>2017-3</v>
      </c>
    </row>
    <row r="153" spans="1:4" x14ac:dyDescent="0.25">
      <c r="A153" t="s">
        <v>1431</v>
      </c>
      <c r="B153">
        <v>1</v>
      </c>
      <c r="C153" s="54">
        <v>42826</v>
      </c>
      <c r="D153" s="3" t="str">
        <f>YEAR(Datos_Consumo[[#This Row],[FECHA]])&amp;"-"&amp;MONTH(Datos_Consumo[[#This Row],[FECHA]])</f>
        <v>2017-4</v>
      </c>
    </row>
    <row r="154" spans="1:4" x14ac:dyDescent="0.25">
      <c r="A154" t="s">
        <v>1387</v>
      </c>
      <c r="B154">
        <v>10</v>
      </c>
      <c r="C154" s="54">
        <v>42795</v>
      </c>
      <c r="D154" s="3" t="str">
        <f>YEAR(Datos_Consumo[[#This Row],[FECHA]])&amp;"-"&amp;MONTH(Datos_Consumo[[#This Row],[FECHA]])</f>
        <v>2017-3</v>
      </c>
    </row>
    <row r="155" spans="1:4" x14ac:dyDescent="0.25">
      <c r="A155" t="s">
        <v>1387</v>
      </c>
      <c r="B155">
        <v>10</v>
      </c>
      <c r="C155" s="54">
        <v>42856</v>
      </c>
      <c r="D155" s="3" t="str">
        <f>YEAR(Datos_Consumo[[#This Row],[FECHA]])&amp;"-"&amp;MONTH(Datos_Consumo[[#This Row],[FECHA]])</f>
        <v>2017-5</v>
      </c>
    </row>
    <row r="156" spans="1:4" x14ac:dyDescent="0.25">
      <c r="A156" t="s">
        <v>1528</v>
      </c>
      <c r="B156">
        <v>3</v>
      </c>
      <c r="C156" s="54">
        <v>42795</v>
      </c>
      <c r="D156" s="3" t="str">
        <f>YEAR(Datos_Consumo[[#This Row],[FECHA]])&amp;"-"&amp;MONTH(Datos_Consumo[[#This Row],[FECHA]])</f>
        <v>2017-3</v>
      </c>
    </row>
    <row r="157" spans="1:4" x14ac:dyDescent="0.25">
      <c r="A157" t="s">
        <v>1528</v>
      </c>
      <c r="B157">
        <v>10</v>
      </c>
      <c r="C157" s="54">
        <v>42826</v>
      </c>
      <c r="D157" s="3" t="str">
        <f>YEAR(Datos_Consumo[[#This Row],[FECHA]])&amp;"-"&amp;MONTH(Datos_Consumo[[#This Row],[FECHA]])</f>
        <v>2017-4</v>
      </c>
    </row>
    <row r="158" spans="1:4" x14ac:dyDescent="0.25">
      <c r="A158" t="s">
        <v>1528</v>
      </c>
      <c r="B158">
        <v>15</v>
      </c>
      <c r="C158" s="54">
        <v>42856</v>
      </c>
      <c r="D158" s="3" t="str">
        <f>YEAR(Datos_Consumo[[#This Row],[FECHA]])&amp;"-"&amp;MONTH(Datos_Consumo[[#This Row],[FECHA]])</f>
        <v>2017-5</v>
      </c>
    </row>
    <row r="159" spans="1:4" x14ac:dyDescent="0.25">
      <c r="A159" t="s">
        <v>1612</v>
      </c>
      <c r="B159">
        <v>5</v>
      </c>
      <c r="C159" s="54">
        <v>42856</v>
      </c>
      <c r="D159" s="3" t="str">
        <f>YEAR(Datos_Consumo[[#This Row],[FECHA]])&amp;"-"&amp;MONTH(Datos_Consumo[[#This Row],[FECHA]])</f>
        <v>2017-5</v>
      </c>
    </row>
    <row r="160" spans="1:4" x14ac:dyDescent="0.25">
      <c r="A160" t="s">
        <v>1432</v>
      </c>
      <c r="B160">
        <v>30</v>
      </c>
      <c r="C160" s="54">
        <v>42795</v>
      </c>
      <c r="D160" s="3" t="str">
        <f>YEAR(Datos_Consumo[[#This Row],[FECHA]])&amp;"-"&amp;MONTH(Datos_Consumo[[#This Row],[FECHA]])</f>
        <v>2017-3</v>
      </c>
    </row>
    <row r="161" spans="1:4" x14ac:dyDescent="0.25">
      <c r="A161" t="s">
        <v>1432</v>
      </c>
      <c r="B161">
        <v>14</v>
      </c>
      <c r="C161" s="54">
        <v>42826</v>
      </c>
      <c r="D161" s="3" t="str">
        <f>YEAR(Datos_Consumo[[#This Row],[FECHA]])&amp;"-"&amp;MONTH(Datos_Consumo[[#This Row],[FECHA]])</f>
        <v>2017-4</v>
      </c>
    </row>
    <row r="162" spans="1:4" x14ac:dyDescent="0.25">
      <c r="A162" t="s">
        <v>1432</v>
      </c>
      <c r="B162">
        <v>13</v>
      </c>
      <c r="C162" s="54">
        <v>42856</v>
      </c>
      <c r="D162" s="3" t="str">
        <f>YEAR(Datos_Consumo[[#This Row],[FECHA]])&amp;"-"&amp;MONTH(Datos_Consumo[[#This Row],[FECHA]])</f>
        <v>2017-5</v>
      </c>
    </row>
    <row r="163" spans="1:4" x14ac:dyDescent="0.25">
      <c r="A163" t="s">
        <v>1388</v>
      </c>
      <c r="B163">
        <v>102</v>
      </c>
      <c r="C163" s="54">
        <v>42795</v>
      </c>
      <c r="D163" s="3" t="str">
        <f>YEAR(Datos_Consumo[[#This Row],[FECHA]])&amp;"-"&amp;MONTH(Datos_Consumo[[#This Row],[FECHA]])</f>
        <v>2017-3</v>
      </c>
    </row>
    <row r="164" spans="1:4" x14ac:dyDescent="0.25">
      <c r="A164" t="s">
        <v>1388</v>
      </c>
      <c r="B164">
        <v>131</v>
      </c>
      <c r="C164" s="54">
        <v>42826</v>
      </c>
      <c r="D164" s="3" t="str">
        <f>YEAR(Datos_Consumo[[#This Row],[FECHA]])&amp;"-"&amp;MONTH(Datos_Consumo[[#This Row],[FECHA]])</f>
        <v>2017-4</v>
      </c>
    </row>
    <row r="165" spans="1:4" x14ac:dyDescent="0.25">
      <c r="A165" t="s">
        <v>1388</v>
      </c>
      <c r="B165">
        <v>79</v>
      </c>
      <c r="C165" s="54">
        <v>42856</v>
      </c>
      <c r="D165" s="3" t="str">
        <f>YEAR(Datos_Consumo[[#This Row],[FECHA]])&amp;"-"&amp;MONTH(Datos_Consumo[[#This Row],[FECHA]])</f>
        <v>2017-5</v>
      </c>
    </row>
    <row r="166" spans="1:4" x14ac:dyDescent="0.25">
      <c r="A166" t="s">
        <v>1389</v>
      </c>
      <c r="B166">
        <v>104</v>
      </c>
      <c r="C166" s="54">
        <v>42795</v>
      </c>
      <c r="D166" s="3" t="str">
        <f>YEAR(Datos_Consumo[[#This Row],[FECHA]])&amp;"-"&amp;MONTH(Datos_Consumo[[#This Row],[FECHA]])</f>
        <v>2017-3</v>
      </c>
    </row>
    <row r="167" spans="1:4" x14ac:dyDescent="0.25">
      <c r="A167" t="s">
        <v>1389</v>
      </c>
      <c r="B167">
        <v>60</v>
      </c>
      <c r="C167" s="54">
        <v>42826</v>
      </c>
      <c r="D167" s="3" t="str">
        <f>YEAR(Datos_Consumo[[#This Row],[FECHA]])&amp;"-"&amp;MONTH(Datos_Consumo[[#This Row],[FECHA]])</f>
        <v>2017-4</v>
      </c>
    </row>
    <row r="168" spans="1:4" x14ac:dyDescent="0.25">
      <c r="A168" t="s">
        <v>1389</v>
      </c>
      <c r="B168">
        <v>50</v>
      </c>
      <c r="C168" s="54">
        <v>42856</v>
      </c>
      <c r="D168" s="3" t="str">
        <f>YEAR(Datos_Consumo[[#This Row],[FECHA]])&amp;"-"&amp;MONTH(Datos_Consumo[[#This Row],[FECHA]])</f>
        <v>2017-5</v>
      </c>
    </row>
    <row r="169" spans="1:4" x14ac:dyDescent="0.25">
      <c r="A169" t="s">
        <v>1613</v>
      </c>
      <c r="B169">
        <v>2</v>
      </c>
      <c r="C169" s="54">
        <v>42826</v>
      </c>
      <c r="D169" s="3" t="str">
        <f>YEAR(Datos_Consumo[[#This Row],[FECHA]])&amp;"-"&amp;MONTH(Datos_Consumo[[#This Row],[FECHA]])</f>
        <v>2017-4</v>
      </c>
    </row>
    <row r="170" spans="1:4" x14ac:dyDescent="0.25">
      <c r="A170" t="s">
        <v>1433</v>
      </c>
      <c r="B170">
        <v>5</v>
      </c>
      <c r="C170" s="54">
        <v>42795</v>
      </c>
      <c r="D170" s="3" t="str">
        <f>YEAR(Datos_Consumo[[#This Row],[FECHA]])&amp;"-"&amp;MONTH(Datos_Consumo[[#This Row],[FECHA]])</f>
        <v>2017-3</v>
      </c>
    </row>
    <row r="171" spans="1:4" x14ac:dyDescent="0.25">
      <c r="A171" t="s">
        <v>1433</v>
      </c>
      <c r="B171">
        <v>2</v>
      </c>
      <c r="C171" s="54">
        <v>42856</v>
      </c>
      <c r="D171" s="3" t="str">
        <f>YEAR(Datos_Consumo[[#This Row],[FECHA]])&amp;"-"&amp;MONTH(Datos_Consumo[[#This Row],[FECHA]])</f>
        <v>2017-5</v>
      </c>
    </row>
    <row r="172" spans="1:4" x14ac:dyDescent="0.25">
      <c r="A172" t="s">
        <v>1434</v>
      </c>
      <c r="B172">
        <v>2</v>
      </c>
      <c r="C172" s="54">
        <v>42826</v>
      </c>
      <c r="D172" s="3" t="str">
        <f>YEAR(Datos_Consumo[[#This Row],[FECHA]])&amp;"-"&amp;MONTH(Datos_Consumo[[#This Row],[FECHA]])</f>
        <v>2017-4</v>
      </c>
    </row>
    <row r="173" spans="1:4" x14ac:dyDescent="0.25">
      <c r="A173" t="s">
        <v>1435</v>
      </c>
      <c r="B173">
        <v>7</v>
      </c>
      <c r="C173" s="54">
        <v>42795</v>
      </c>
      <c r="D173" s="3" t="str">
        <f>YEAR(Datos_Consumo[[#This Row],[FECHA]])&amp;"-"&amp;MONTH(Datos_Consumo[[#This Row],[FECHA]])</f>
        <v>2017-3</v>
      </c>
    </row>
    <row r="174" spans="1:4" x14ac:dyDescent="0.25">
      <c r="A174" t="s">
        <v>1435</v>
      </c>
      <c r="B174">
        <v>3</v>
      </c>
      <c r="C174" s="54">
        <v>42856</v>
      </c>
      <c r="D174" s="3" t="str">
        <f>YEAR(Datos_Consumo[[#This Row],[FECHA]])&amp;"-"&amp;MONTH(Datos_Consumo[[#This Row],[FECHA]])</f>
        <v>2017-5</v>
      </c>
    </row>
    <row r="175" spans="1:4" x14ac:dyDescent="0.25">
      <c r="A175" t="s">
        <v>1614</v>
      </c>
      <c r="B175">
        <v>6</v>
      </c>
      <c r="C175" s="54">
        <v>42795</v>
      </c>
      <c r="D175" s="3" t="str">
        <f>YEAR(Datos_Consumo[[#This Row],[FECHA]])&amp;"-"&amp;MONTH(Datos_Consumo[[#This Row],[FECHA]])</f>
        <v>2017-3</v>
      </c>
    </row>
    <row r="176" spans="1:4" x14ac:dyDescent="0.25">
      <c r="A176" t="s">
        <v>1615</v>
      </c>
      <c r="B176">
        <v>1</v>
      </c>
      <c r="C176" s="54">
        <v>42856</v>
      </c>
      <c r="D176" s="3" t="str">
        <f>YEAR(Datos_Consumo[[#This Row],[FECHA]])&amp;"-"&amp;MONTH(Datos_Consumo[[#This Row],[FECHA]])</f>
        <v>2017-5</v>
      </c>
    </row>
    <row r="177" spans="1:4" x14ac:dyDescent="0.25">
      <c r="A177" t="s">
        <v>1529</v>
      </c>
      <c r="B177">
        <v>429</v>
      </c>
      <c r="C177" s="54">
        <v>42795</v>
      </c>
      <c r="D177" s="3" t="str">
        <f>YEAR(Datos_Consumo[[#This Row],[FECHA]])&amp;"-"&amp;MONTH(Datos_Consumo[[#This Row],[FECHA]])</f>
        <v>2017-3</v>
      </c>
    </row>
    <row r="178" spans="1:4" x14ac:dyDescent="0.25">
      <c r="A178" t="s">
        <v>1529</v>
      </c>
      <c r="B178">
        <v>56</v>
      </c>
      <c r="C178" s="54">
        <v>42826</v>
      </c>
      <c r="D178" s="3" t="str">
        <f>YEAR(Datos_Consumo[[#This Row],[FECHA]])&amp;"-"&amp;MONTH(Datos_Consumo[[#This Row],[FECHA]])</f>
        <v>2017-4</v>
      </c>
    </row>
    <row r="179" spans="1:4" x14ac:dyDescent="0.25">
      <c r="A179" t="s">
        <v>1529</v>
      </c>
      <c r="B179">
        <v>422</v>
      </c>
      <c r="C179" s="54">
        <v>42856</v>
      </c>
      <c r="D179" s="3" t="str">
        <f>YEAR(Datos_Consumo[[#This Row],[FECHA]])&amp;"-"&amp;MONTH(Datos_Consumo[[#This Row],[FECHA]])</f>
        <v>2017-5</v>
      </c>
    </row>
    <row r="180" spans="1:4" x14ac:dyDescent="0.25">
      <c r="A180" t="s">
        <v>1508</v>
      </c>
      <c r="B180">
        <v>12</v>
      </c>
      <c r="C180" s="54">
        <v>42795</v>
      </c>
      <c r="D180" s="3" t="str">
        <f>YEAR(Datos_Consumo[[#This Row],[FECHA]])&amp;"-"&amp;MONTH(Datos_Consumo[[#This Row],[FECHA]])</f>
        <v>2017-3</v>
      </c>
    </row>
    <row r="181" spans="1:4" x14ac:dyDescent="0.25">
      <c r="A181" t="s">
        <v>1508</v>
      </c>
      <c r="B181">
        <v>27</v>
      </c>
      <c r="C181" s="54">
        <v>42826</v>
      </c>
      <c r="D181" s="3" t="str">
        <f>YEAR(Datos_Consumo[[#This Row],[FECHA]])&amp;"-"&amp;MONTH(Datos_Consumo[[#This Row],[FECHA]])</f>
        <v>2017-4</v>
      </c>
    </row>
    <row r="182" spans="1:4" x14ac:dyDescent="0.25">
      <c r="A182" t="s">
        <v>1508</v>
      </c>
      <c r="B182">
        <v>46</v>
      </c>
      <c r="C182" s="54">
        <v>42856</v>
      </c>
      <c r="D182" s="3" t="str">
        <f>YEAR(Datos_Consumo[[#This Row],[FECHA]])&amp;"-"&amp;MONTH(Datos_Consumo[[#This Row],[FECHA]])</f>
        <v>2017-5</v>
      </c>
    </row>
    <row r="183" spans="1:4" x14ac:dyDescent="0.25">
      <c r="A183" t="s">
        <v>1509</v>
      </c>
      <c r="B183">
        <v>70</v>
      </c>
      <c r="C183" s="54">
        <v>42795</v>
      </c>
      <c r="D183" s="3" t="str">
        <f>YEAR(Datos_Consumo[[#This Row],[FECHA]])&amp;"-"&amp;MONTH(Datos_Consumo[[#This Row],[FECHA]])</f>
        <v>2017-3</v>
      </c>
    </row>
    <row r="184" spans="1:4" x14ac:dyDescent="0.25">
      <c r="A184" t="s">
        <v>1509</v>
      </c>
      <c r="B184">
        <v>240</v>
      </c>
      <c r="C184" s="54">
        <v>42826</v>
      </c>
      <c r="D184" s="3" t="str">
        <f>YEAR(Datos_Consumo[[#This Row],[FECHA]])&amp;"-"&amp;MONTH(Datos_Consumo[[#This Row],[FECHA]])</f>
        <v>2017-4</v>
      </c>
    </row>
    <row r="185" spans="1:4" x14ac:dyDescent="0.25">
      <c r="A185" t="s">
        <v>1509</v>
      </c>
      <c r="B185">
        <v>481</v>
      </c>
      <c r="C185" s="54">
        <v>42856</v>
      </c>
      <c r="D185" s="3" t="str">
        <f>YEAR(Datos_Consumo[[#This Row],[FECHA]])&amp;"-"&amp;MONTH(Datos_Consumo[[#This Row],[FECHA]])</f>
        <v>2017-5</v>
      </c>
    </row>
    <row r="186" spans="1:4" x14ac:dyDescent="0.25">
      <c r="A186" t="s">
        <v>1530</v>
      </c>
      <c r="B186">
        <v>524</v>
      </c>
      <c r="C186" s="54">
        <v>42795</v>
      </c>
      <c r="D186" s="3" t="str">
        <f>YEAR(Datos_Consumo[[#This Row],[FECHA]])&amp;"-"&amp;MONTH(Datos_Consumo[[#This Row],[FECHA]])</f>
        <v>2017-3</v>
      </c>
    </row>
    <row r="187" spans="1:4" x14ac:dyDescent="0.25">
      <c r="A187" t="s">
        <v>1530</v>
      </c>
      <c r="B187">
        <v>500</v>
      </c>
      <c r="C187" s="54">
        <v>42826</v>
      </c>
      <c r="D187" s="3" t="str">
        <f>YEAR(Datos_Consumo[[#This Row],[FECHA]])&amp;"-"&amp;MONTH(Datos_Consumo[[#This Row],[FECHA]])</f>
        <v>2017-4</v>
      </c>
    </row>
    <row r="188" spans="1:4" x14ac:dyDescent="0.25">
      <c r="A188" t="s">
        <v>1530</v>
      </c>
      <c r="B188">
        <v>500</v>
      </c>
      <c r="C188" s="54">
        <v>42856</v>
      </c>
      <c r="D188" s="3" t="str">
        <f>YEAR(Datos_Consumo[[#This Row],[FECHA]])&amp;"-"&amp;MONTH(Datos_Consumo[[#This Row],[FECHA]])</f>
        <v>2017-5</v>
      </c>
    </row>
    <row r="189" spans="1:4" x14ac:dyDescent="0.25">
      <c r="A189" t="s">
        <v>1531</v>
      </c>
      <c r="B189">
        <v>6</v>
      </c>
      <c r="C189" s="54">
        <v>42795</v>
      </c>
      <c r="D189" s="3" t="str">
        <f>YEAR(Datos_Consumo[[#This Row],[FECHA]])&amp;"-"&amp;MONTH(Datos_Consumo[[#This Row],[FECHA]])</f>
        <v>2017-3</v>
      </c>
    </row>
    <row r="190" spans="1:4" x14ac:dyDescent="0.25">
      <c r="A190" t="s">
        <v>1531</v>
      </c>
      <c r="B190">
        <v>100</v>
      </c>
      <c r="C190" s="54">
        <v>42826</v>
      </c>
      <c r="D190" s="3" t="str">
        <f>YEAR(Datos_Consumo[[#This Row],[FECHA]])&amp;"-"&amp;MONTH(Datos_Consumo[[#This Row],[FECHA]])</f>
        <v>2017-4</v>
      </c>
    </row>
    <row r="191" spans="1:4" x14ac:dyDescent="0.25">
      <c r="A191" t="s">
        <v>1532</v>
      </c>
      <c r="B191">
        <v>2010</v>
      </c>
      <c r="C191" s="54">
        <v>42795</v>
      </c>
      <c r="D191" s="3" t="str">
        <f>YEAR(Datos_Consumo[[#This Row],[FECHA]])&amp;"-"&amp;MONTH(Datos_Consumo[[#This Row],[FECHA]])</f>
        <v>2017-3</v>
      </c>
    </row>
    <row r="192" spans="1:4" x14ac:dyDescent="0.25">
      <c r="A192" t="s">
        <v>1532</v>
      </c>
      <c r="B192">
        <v>620</v>
      </c>
      <c r="C192" s="54">
        <v>42826</v>
      </c>
      <c r="D192" s="3" t="str">
        <f>YEAR(Datos_Consumo[[#This Row],[FECHA]])&amp;"-"&amp;MONTH(Datos_Consumo[[#This Row],[FECHA]])</f>
        <v>2017-4</v>
      </c>
    </row>
    <row r="193" spans="1:4" x14ac:dyDescent="0.25">
      <c r="A193" t="s">
        <v>1532</v>
      </c>
      <c r="B193">
        <v>2010</v>
      </c>
      <c r="C193" s="54">
        <v>42856</v>
      </c>
      <c r="D193" s="3" t="str">
        <f>YEAR(Datos_Consumo[[#This Row],[FECHA]])&amp;"-"&amp;MONTH(Datos_Consumo[[#This Row],[FECHA]])</f>
        <v>2017-5</v>
      </c>
    </row>
    <row r="194" spans="1:4" x14ac:dyDescent="0.25">
      <c r="A194" t="s">
        <v>1533</v>
      </c>
      <c r="B194">
        <v>2</v>
      </c>
      <c r="C194" s="54">
        <v>42795</v>
      </c>
      <c r="D194" s="3" t="str">
        <f>YEAR(Datos_Consumo[[#This Row],[FECHA]])&amp;"-"&amp;MONTH(Datos_Consumo[[#This Row],[FECHA]])</f>
        <v>2017-3</v>
      </c>
    </row>
    <row r="195" spans="1:4" x14ac:dyDescent="0.25">
      <c r="A195" t="s">
        <v>1534</v>
      </c>
      <c r="B195">
        <v>24</v>
      </c>
      <c r="C195" s="54">
        <v>42795</v>
      </c>
      <c r="D195" s="3" t="str">
        <f>YEAR(Datos_Consumo[[#This Row],[FECHA]])&amp;"-"&amp;MONTH(Datos_Consumo[[#This Row],[FECHA]])</f>
        <v>2017-3</v>
      </c>
    </row>
    <row r="196" spans="1:4" x14ac:dyDescent="0.25">
      <c r="A196" t="s">
        <v>1534</v>
      </c>
      <c r="B196">
        <v>10</v>
      </c>
      <c r="C196" s="54">
        <v>42856</v>
      </c>
      <c r="D196" s="3" t="str">
        <f>YEAR(Datos_Consumo[[#This Row],[FECHA]])&amp;"-"&amp;MONTH(Datos_Consumo[[#This Row],[FECHA]])</f>
        <v>2017-5</v>
      </c>
    </row>
    <row r="197" spans="1:4" x14ac:dyDescent="0.25">
      <c r="A197" t="s">
        <v>1510</v>
      </c>
      <c r="B197">
        <v>24</v>
      </c>
      <c r="C197" s="54">
        <v>42795</v>
      </c>
      <c r="D197" s="3" t="str">
        <f>YEAR(Datos_Consumo[[#This Row],[FECHA]])&amp;"-"&amp;MONTH(Datos_Consumo[[#This Row],[FECHA]])</f>
        <v>2017-3</v>
      </c>
    </row>
    <row r="198" spans="1:4" x14ac:dyDescent="0.25">
      <c r="A198" t="s">
        <v>1510</v>
      </c>
      <c r="B198">
        <v>396</v>
      </c>
      <c r="C198" s="54">
        <v>42826</v>
      </c>
      <c r="D198" s="3" t="str">
        <f>YEAR(Datos_Consumo[[#This Row],[FECHA]])&amp;"-"&amp;MONTH(Datos_Consumo[[#This Row],[FECHA]])</f>
        <v>2017-4</v>
      </c>
    </row>
    <row r="199" spans="1:4" x14ac:dyDescent="0.25">
      <c r="A199" t="s">
        <v>1510</v>
      </c>
      <c r="B199">
        <v>390</v>
      </c>
      <c r="C199" s="54">
        <v>42856</v>
      </c>
      <c r="D199" s="3" t="str">
        <f>YEAR(Datos_Consumo[[#This Row],[FECHA]])&amp;"-"&amp;MONTH(Datos_Consumo[[#This Row],[FECHA]])</f>
        <v>2017-5</v>
      </c>
    </row>
    <row r="200" spans="1:4" x14ac:dyDescent="0.25">
      <c r="A200" t="s">
        <v>1616</v>
      </c>
      <c r="B200">
        <v>10</v>
      </c>
      <c r="C200" s="54">
        <v>42826</v>
      </c>
      <c r="D200" s="3" t="str">
        <f>YEAR(Datos_Consumo[[#This Row],[FECHA]])&amp;"-"&amp;MONTH(Datos_Consumo[[#This Row],[FECHA]])</f>
        <v>2017-4</v>
      </c>
    </row>
    <row r="201" spans="1:4" x14ac:dyDescent="0.25">
      <c r="A201" t="s">
        <v>1535</v>
      </c>
      <c r="B201">
        <v>12</v>
      </c>
      <c r="C201" s="54">
        <v>42795</v>
      </c>
      <c r="D201" s="3" t="str">
        <f>YEAR(Datos_Consumo[[#This Row],[FECHA]])&amp;"-"&amp;MONTH(Datos_Consumo[[#This Row],[FECHA]])</f>
        <v>2017-3</v>
      </c>
    </row>
    <row r="202" spans="1:4" x14ac:dyDescent="0.25">
      <c r="A202" t="s">
        <v>1535</v>
      </c>
      <c r="B202">
        <v>145</v>
      </c>
      <c r="C202" s="54">
        <v>42826</v>
      </c>
      <c r="D202" s="3" t="str">
        <f>YEAR(Datos_Consumo[[#This Row],[FECHA]])&amp;"-"&amp;MONTH(Datos_Consumo[[#This Row],[FECHA]])</f>
        <v>2017-4</v>
      </c>
    </row>
    <row r="203" spans="1:4" x14ac:dyDescent="0.25">
      <c r="A203" t="s">
        <v>1535</v>
      </c>
      <c r="B203">
        <v>77</v>
      </c>
      <c r="C203" s="54">
        <v>42856</v>
      </c>
      <c r="D203" s="3" t="str">
        <f>YEAR(Datos_Consumo[[#This Row],[FECHA]])&amp;"-"&amp;MONTH(Datos_Consumo[[#This Row],[FECHA]])</f>
        <v>2017-5</v>
      </c>
    </row>
    <row r="204" spans="1:4" x14ac:dyDescent="0.25">
      <c r="A204" t="s">
        <v>1536</v>
      </c>
      <c r="B204">
        <v>28</v>
      </c>
      <c r="C204" s="54">
        <v>42795</v>
      </c>
      <c r="D204" s="3" t="str">
        <f>YEAR(Datos_Consumo[[#This Row],[FECHA]])&amp;"-"&amp;MONTH(Datos_Consumo[[#This Row],[FECHA]])</f>
        <v>2017-3</v>
      </c>
    </row>
    <row r="205" spans="1:4" x14ac:dyDescent="0.25">
      <c r="A205" t="s">
        <v>1536</v>
      </c>
      <c r="B205">
        <v>182</v>
      </c>
      <c r="C205" s="54">
        <v>42826</v>
      </c>
      <c r="D205" s="3" t="str">
        <f>YEAR(Datos_Consumo[[#This Row],[FECHA]])&amp;"-"&amp;MONTH(Datos_Consumo[[#This Row],[FECHA]])</f>
        <v>2017-4</v>
      </c>
    </row>
    <row r="206" spans="1:4" x14ac:dyDescent="0.25">
      <c r="A206" t="s">
        <v>1536</v>
      </c>
      <c r="B206">
        <v>20</v>
      </c>
      <c r="C206" s="54">
        <v>42856</v>
      </c>
      <c r="D206" s="3" t="str">
        <f>YEAR(Datos_Consumo[[#This Row],[FECHA]])&amp;"-"&amp;MONTH(Datos_Consumo[[#This Row],[FECHA]])</f>
        <v>2017-5</v>
      </c>
    </row>
    <row r="207" spans="1:4" x14ac:dyDescent="0.25">
      <c r="A207" t="s">
        <v>1617</v>
      </c>
      <c r="B207">
        <v>48</v>
      </c>
      <c r="C207" s="54">
        <v>42856</v>
      </c>
      <c r="D207" s="3" t="str">
        <f>YEAR(Datos_Consumo[[#This Row],[FECHA]])&amp;"-"&amp;MONTH(Datos_Consumo[[#This Row],[FECHA]])</f>
        <v>2017-5</v>
      </c>
    </row>
    <row r="208" spans="1:4" x14ac:dyDescent="0.25">
      <c r="A208" t="s">
        <v>1537</v>
      </c>
      <c r="B208">
        <v>120</v>
      </c>
      <c r="C208" s="54">
        <v>42795</v>
      </c>
      <c r="D208" s="3" t="str">
        <f>YEAR(Datos_Consumo[[#This Row],[FECHA]])&amp;"-"&amp;MONTH(Datos_Consumo[[#This Row],[FECHA]])</f>
        <v>2017-3</v>
      </c>
    </row>
    <row r="209" spans="1:4" x14ac:dyDescent="0.25">
      <c r="A209" t="s">
        <v>1538</v>
      </c>
      <c r="B209">
        <v>160</v>
      </c>
      <c r="C209" s="54">
        <v>42795</v>
      </c>
      <c r="D209" s="3" t="str">
        <f>YEAR(Datos_Consumo[[#This Row],[FECHA]])&amp;"-"&amp;MONTH(Datos_Consumo[[#This Row],[FECHA]])</f>
        <v>2017-3</v>
      </c>
    </row>
    <row r="210" spans="1:4" x14ac:dyDescent="0.25">
      <c r="A210" t="s">
        <v>1539</v>
      </c>
      <c r="B210">
        <v>200</v>
      </c>
      <c r="C210" s="54">
        <v>42795</v>
      </c>
      <c r="D210" s="3" t="str">
        <f>YEAR(Datos_Consumo[[#This Row],[FECHA]])&amp;"-"&amp;MONTH(Datos_Consumo[[#This Row],[FECHA]])</f>
        <v>2017-3</v>
      </c>
    </row>
    <row r="211" spans="1:4" x14ac:dyDescent="0.25">
      <c r="A211" t="s">
        <v>1540</v>
      </c>
      <c r="B211">
        <v>240</v>
      </c>
      <c r="C211" s="54">
        <v>42795</v>
      </c>
      <c r="D211" s="3" t="str">
        <f>YEAR(Datos_Consumo[[#This Row],[FECHA]])&amp;"-"&amp;MONTH(Datos_Consumo[[#This Row],[FECHA]])</f>
        <v>2017-3</v>
      </c>
    </row>
    <row r="212" spans="1:4" x14ac:dyDescent="0.25">
      <c r="A212" t="s">
        <v>1618</v>
      </c>
      <c r="B212">
        <v>4</v>
      </c>
      <c r="C212" s="54">
        <v>42795</v>
      </c>
      <c r="D212" s="3" t="str">
        <f>YEAR(Datos_Consumo[[#This Row],[FECHA]])&amp;"-"&amp;MONTH(Datos_Consumo[[#This Row],[FECHA]])</f>
        <v>2017-3</v>
      </c>
    </row>
    <row r="213" spans="1:4" x14ac:dyDescent="0.25">
      <c r="A213" t="s">
        <v>1541</v>
      </c>
      <c r="B213">
        <v>41</v>
      </c>
      <c r="C213" s="54">
        <v>42795</v>
      </c>
      <c r="D213" s="3" t="str">
        <f>YEAR(Datos_Consumo[[#This Row],[FECHA]])&amp;"-"&amp;MONTH(Datos_Consumo[[#This Row],[FECHA]])</f>
        <v>2017-3</v>
      </c>
    </row>
    <row r="214" spans="1:4" x14ac:dyDescent="0.25">
      <c r="A214" t="s">
        <v>1541</v>
      </c>
      <c r="B214">
        <v>16</v>
      </c>
      <c r="C214" s="54">
        <v>42826</v>
      </c>
      <c r="D214" s="3" t="str">
        <f>YEAR(Datos_Consumo[[#This Row],[FECHA]])&amp;"-"&amp;MONTH(Datos_Consumo[[#This Row],[FECHA]])</f>
        <v>2017-4</v>
      </c>
    </row>
    <row r="215" spans="1:4" x14ac:dyDescent="0.25">
      <c r="A215" t="s">
        <v>1541</v>
      </c>
      <c r="B215">
        <v>16</v>
      </c>
      <c r="C215" s="54">
        <v>42856</v>
      </c>
      <c r="D215" s="3" t="str">
        <f>YEAR(Datos_Consumo[[#This Row],[FECHA]])&amp;"-"&amp;MONTH(Datos_Consumo[[#This Row],[FECHA]])</f>
        <v>2017-5</v>
      </c>
    </row>
    <row r="216" spans="1:4" x14ac:dyDescent="0.25">
      <c r="A216" t="s">
        <v>1619</v>
      </c>
      <c r="B216">
        <v>1500</v>
      </c>
      <c r="C216" s="54">
        <v>42826</v>
      </c>
      <c r="D216" s="3" t="str">
        <f>YEAR(Datos_Consumo[[#This Row],[FECHA]])&amp;"-"&amp;MONTH(Datos_Consumo[[#This Row],[FECHA]])</f>
        <v>2017-4</v>
      </c>
    </row>
    <row r="217" spans="1:4" x14ac:dyDescent="0.25">
      <c r="A217" t="s">
        <v>1542</v>
      </c>
      <c r="B217">
        <v>110</v>
      </c>
      <c r="C217" s="54">
        <v>42795</v>
      </c>
      <c r="D217" s="3" t="str">
        <f>YEAR(Datos_Consumo[[#This Row],[FECHA]])&amp;"-"&amp;MONTH(Datos_Consumo[[#This Row],[FECHA]])</f>
        <v>2017-3</v>
      </c>
    </row>
    <row r="218" spans="1:4" x14ac:dyDescent="0.25">
      <c r="A218" t="s">
        <v>1542</v>
      </c>
      <c r="B218">
        <v>70</v>
      </c>
      <c r="C218" s="54">
        <v>42826</v>
      </c>
      <c r="D218" s="3" t="str">
        <f>YEAR(Datos_Consumo[[#This Row],[FECHA]])&amp;"-"&amp;MONTH(Datos_Consumo[[#This Row],[FECHA]])</f>
        <v>2017-4</v>
      </c>
    </row>
    <row r="219" spans="1:4" x14ac:dyDescent="0.25">
      <c r="A219" t="s">
        <v>1542</v>
      </c>
      <c r="B219">
        <v>50</v>
      </c>
      <c r="C219" s="54">
        <v>42856</v>
      </c>
      <c r="D219" s="3" t="str">
        <f>YEAR(Datos_Consumo[[#This Row],[FECHA]])&amp;"-"&amp;MONTH(Datos_Consumo[[#This Row],[FECHA]])</f>
        <v>2017-5</v>
      </c>
    </row>
    <row r="220" spans="1:4" x14ac:dyDescent="0.25">
      <c r="A220" t="s">
        <v>1620</v>
      </c>
      <c r="B220">
        <v>3</v>
      </c>
      <c r="C220" s="54">
        <v>42826</v>
      </c>
      <c r="D220" s="3" t="str">
        <f>YEAR(Datos_Consumo[[#This Row],[FECHA]])&amp;"-"&amp;MONTH(Datos_Consumo[[#This Row],[FECHA]])</f>
        <v>2017-4</v>
      </c>
    </row>
    <row r="221" spans="1:4" x14ac:dyDescent="0.25">
      <c r="A221" t="s">
        <v>1436</v>
      </c>
      <c r="B221">
        <v>1</v>
      </c>
      <c r="C221" s="54">
        <v>42795</v>
      </c>
      <c r="D221" s="3" t="str">
        <f>YEAR(Datos_Consumo[[#This Row],[FECHA]])&amp;"-"&amp;MONTH(Datos_Consumo[[#This Row],[FECHA]])</f>
        <v>2017-3</v>
      </c>
    </row>
    <row r="222" spans="1:4" x14ac:dyDescent="0.25">
      <c r="A222" t="s">
        <v>1436</v>
      </c>
      <c r="B222">
        <v>3</v>
      </c>
      <c r="C222" s="54">
        <v>42826</v>
      </c>
      <c r="D222" s="3" t="str">
        <f>YEAR(Datos_Consumo[[#This Row],[FECHA]])&amp;"-"&amp;MONTH(Datos_Consumo[[#This Row],[FECHA]])</f>
        <v>2017-4</v>
      </c>
    </row>
    <row r="223" spans="1:4" x14ac:dyDescent="0.25">
      <c r="A223" t="s">
        <v>1437</v>
      </c>
      <c r="B223">
        <v>20</v>
      </c>
      <c r="C223" s="54">
        <v>42826</v>
      </c>
      <c r="D223" s="3" t="str">
        <f>YEAR(Datos_Consumo[[#This Row],[FECHA]])&amp;"-"&amp;MONTH(Datos_Consumo[[#This Row],[FECHA]])</f>
        <v>2017-4</v>
      </c>
    </row>
    <row r="224" spans="1:4" x14ac:dyDescent="0.25">
      <c r="A224" t="s">
        <v>1438</v>
      </c>
      <c r="B224">
        <v>25000</v>
      </c>
      <c r="C224" s="54">
        <v>42856</v>
      </c>
      <c r="D224" s="3" t="str">
        <f>YEAR(Datos_Consumo[[#This Row],[FECHA]])&amp;"-"&amp;MONTH(Datos_Consumo[[#This Row],[FECHA]])</f>
        <v>2017-5</v>
      </c>
    </row>
    <row r="225" spans="1:4" x14ac:dyDescent="0.25">
      <c r="A225" t="s">
        <v>1439</v>
      </c>
      <c r="B225">
        <v>15000</v>
      </c>
      <c r="C225" s="54">
        <v>42856</v>
      </c>
      <c r="D225" s="3" t="str">
        <f>YEAR(Datos_Consumo[[#This Row],[FECHA]])&amp;"-"&amp;MONTH(Datos_Consumo[[#This Row],[FECHA]])</f>
        <v>2017-5</v>
      </c>
    </row>
    <row r="226" spans="1:4" x14ac:dyDescent="0.25">
      <c r="A226" t="s">
        <v>1440</v>
      </c>
      <c r="B226">
        <v>9610</v>
      </c>
      <c r="C226" s="54">
        <v>42826</v>
      </c>
      <c r="D226" s="3" t="str">
        <f>YEAR(Datos_Consumo[[#This Row],[FECHA]])&amp;"-"&amp;MONTH(Datos_Consumo[[#This Row],[FECHA]])</f>
        <v>2017-4</v>
      </c>
    </row>
    <row r="227" spans="1:4" x14ac:dyDescent="0.25">
      <c r="A227" t="s">
        <v>1440</v>
      </c>
      <c r="B227">
        <v>12</v>
      </c>
      <c r="C227" s="54">
        <v>42856</v>
      </c>
      <c r="D227" s="3" t="str">
        <f>YEAR(Datos_Consumo[[#This Row],[FECHA]])&amp;"-"&amp;MONTH(Datos_Consumo[[#This Row],[FECHA]])</f>
        <v>2017-5</v>
      </c>
    </row>
    <row r="228" spans="1:4" x14ac:dyDescent="0.25">
      <c r="A228" t="s">
        <v>1441</v>
      </c>
      <c r="B228">
        <v>10000</v>
      </c>
      <c r="C228" s="54">
        <v>42856</v>
      </c>
      <c r="D228" s="3" t="str">
        <f>YEAR(Datos_Consumo[[#This Row],[FECHA]])&amp;"-"&amp;MONTH(Datos_Consumo[[#This Row],[FECHA]])</f>
        <v>2017-5</v>
      </c>
    </row>
    <row r="229" spans="1:4" x14ac:dyDescent="0.25">
      <c r="A229" t="s">
        <v>1621</v>
      </c>
      <c r="B229">
        <v>1</v>
      </c>
      <c r="C229" s="54">
        <v>42795</v>
      </c>
      <c r="D229" s="3" t="str">
        <f>YEAR(Datos_Consumo[[#This Row],[FECHA]])&amp;"-"&amp;MONTH(Datos_Consumo[[#This Row],[FECHA]])</f>
        <v>2017-3</v>
      </c>
    </row>
    <row r="230" spans="1:4" x14ac:dyDescent="0.25">
      <c r="A230" t="s">
        <v>1621</v>
      </c>
      <c r="B230">
        <v>1</v>
      </c>
      <c r="C230" s="54">
        <v>42826</v>
      </c>
      <c r="D230" s="3" t="str">
        <f>YEAR(Datos_Consumo[[#This Row],[FECHA]])&amp;"-"&amp;MONTH(Datos_Consumo[[#This Row],[FECHA]])</f>
        <v>2017-4</v>
      </c>
    </row>
    <row r="231" spans="1:4" x14ac:dyDescent="0.25">
      <c r="A231" t="s">
        <v>1621</v>
      </c>
      <c r="B231">
        <v>1</v>
      </c>
      <c r="C231" s="54">
        <v>42856</v>
      </c>
      <c r="D231" s="3" t="str">
        <f>YEAR(Datos_Consumo[[#This Row],[FECHA]])&amp;"-"&amp;MONTH(Datos_Consumo[[#This Row],[FECHA]])</f>
        <v>2017-5</v>
      </c>
    </row>
    <row r="232" spans="1:4" x14ac:dyDescent="0.25">
      <c r="A232" t="s">
        <v>1622</v>
      </c>
      <c r="B232">
        <v>5</v>
      </c>
      <c r="C232" s="54">
        <v>42856</v>
      </c>
      <c r="D232" s="3" t="str">
        <f>YEAR(Datos_Consumo[[#This Row],[FECHA]])&amp;"-"&amp;MONTH(Datos_Consumo[[#This Row],[FECHA]])</f>
        <v>2017-5</v>
      </c>
    </row>
    <row r="233" spans="1:4" x14ac:dyDescent="0.25">
      <c r="A233" t="s">
        <v>1442</v>
      </c>
      <c r="B233">
        <v>1</v>
      </c>
      <c r="C233" s="54">
        <v>42795</v>
      </c>
      <c r="D233" s="3" t="str">
        <f>YEAR(Datos_Consumo[[#This Row],[FECHA]])&amp;"-"&amp;MONTH(Datos_Consumo[[#This Row],[FECHA]])</f>
        <v>2017-3</v>
      </c>
    </row>
    <row r="234" spans="1:4" x14ac:dyDescent="0.25">
      <c r="A234" t="s">
        <v>1442</v>
      </c>
      <c r="B234">
        <v>1</v>
      </c>
      <c r="C234" s="54">
        <v>42826</v>
      </c>
      <c r="D234" s="3" t="str">
        <f>YEAR(Datos_Consumo[[#This Row],[FECHA]])&amp;"-"&amp;MONTH(Datos_Consumo[[#This Row],[FECHA]])</f>
        <v>2017-4</v>
      </c>
    </row>
    <row r="235" spans="1:4" x14ac:dyDescent="0.25">
      <c r="A235" t="s">
        <v>1443</v>
      </c>
      <c r="B235">
        <v>1</v>
      </c>
      <c r="C235" s="54">
        <v>42826</v>
      </c>
      <c r="D235" s="3" t="str">
        <f>YEAR(Datos_Consumo[[#This Row],[FECHA]])&amp;"-"&amp;MONTH(Datos_Consumo[[#This Row],[FECHA]])</f>
        <v>2017-4</v>
      </c>
    </row>
    <row r="236" spans="1:4" x14ac:dyDescent="0.25">
      <c r="A236" t="s">
        <v>1623</v>
      </c>
      <c r="B236">
        <v>1</v>
      </c>
      <c r="C236" s="54">
        <v>42826</v>
      </c>
      <c r="D236" s="3" t="str">
        <f>YEAR(Datos_Consumo[[#This Row],[FECHA]])&amp;"-"&amp;MONTH(Datos_Consumo[[#This Row],[FECHA]])</f>
        <v>2017-4</v>
      </c>
    </row>
    <row r="237" spans="1:4" x14ac:dyDescent="0.25">
      <c r="A237" t="s">
        <v>1444</v>
      </c>
      <c r="B237">
        <v>3</v>
      </c>
      <c r="C237" s="54">
        <v>42795</v>
      </c>
      <c r="D237" s="3" t="str">
        <f>YEAR(Datos_Consumo[[#This Row],[FECHA]])&amp;"-"&amp;MONTH(Datos_Consumo[[#This Row],[FECHA]])</f>
        <v>2017-3</v>
      </c>
    </row>
    <row r="238" spans="1:4" x14ac:dyDescent="0.25">
      <c r="A238" t="s">
        <v>1444</v>
      </c>
      <c r="B238">
        <v>6</v>
      </c>
      <c r="C238" s="54">
        <v>42826</v>
      </c>
      <c r="D238" s="3" t="str">
        <f>YEAR(Datos_Consumo[[#This Row],[FECHA]])&amp;"-"&amp;MONTH(Datos_Consumo[[#This Row],[FECHA]])</f>
        <v>2017-4</v>
      </c>
    </row>
    <row r="239" spans="1:4" x14ac:dyDescent="0.25">
      <c r="A239" t="s">
        <v>1444</v>
      </c>
      <c r="B239">
        <v>2</v>
      </c>
      <c r="C239" s="54">
        <v>42856</v>
      </c>
      <c r="D239" s="3" t="str">
        <f>YEAR(Datos_Consumo[[#This Row],[FECHA]])&amp;"-"&amp;MONTH(Datos_Consumo[[#This Row],[FECHA]])</f>
        <v>2017-5</v>
      </c>
    </row>
    <row r="240" spans="1:4" x14ac:dyDescent="0.25">
      <c r="A240" t="s">
        <v>1445</v>
      </c>
      <c r="B240">
        <v>1</v>
      </c>
      <c r="C240" s="54">
        <v>42856</v>
      </c>
      <c r="D240" s="3" t="str">
        <f>YEAR(Datos_Consumo[[#This Row],[FECHA]])&amp;"-"&amp;MONTH(Datos_Consumo[[#This Row],[FECHA]])</f>
        <v>2017-5</v>
      </c>
    </row>
    <row r="241" spans="1:4" x14ac:dyDescent="0.25">
      <c r="A241" t="s">
        <v>1446</v>
      </c>
      <c r="B241">
        <v>1</v>
      </c>
      <c r="C241" s="54">
        <v>42795</v>
      </c>
      <c r="D241" s="3" t="str">
        <f>YEAR(Datos_Consumo[[#This Row],[FECHA]])&amp;"-"&amp;MONTH(Datos_Consumo[[#This Row],[FECHA]])</f>
        <v>2017-3</v>
      </c>
    </row>
    <row r="242" spans="1:4" x14ac:dyDescent="0.25">
      <c r="A242" t="s">
        <v>1447</v>
      </c>
      <c r="B242">
        <v>6630</v>
      </c>
      <c r="C242" s="54">
        <v>42856</v>
      </c>
      <c r="D242" s="3" t="str">
        <f>YEAR(Datos_Consumo[[#This Row],[FECHA]])&amp;"-"&amp;MONTH(Datos_Consumo[[#This Row],[FECHA]])</f>
        <v>2017-5</v>
      </c>
    </row>
    <row r="243" spans="1:4" x14ac:dyDescent="0.25">
      <c r="A243" t="s">
        <v>1624</v>
      </c>
      <c r="B243">
        <v>1</v>
      </c>
      <c r="C243" s="54">
        <v>42795</v>
      </c>
      <c r="D243" s="3" t="str">
        <f>YEAR(Datos_Consumo[[#This Row],[FECHA]])&amp;"-"&amp;MONTH(Datos_Consumo[[#This Row],[FECHA]])</f>
        <v>2017-3</v>
      </c>
    </row>
    <row r="244" spans="1:4" x14ac:dyDescent="0.25">
      <c r="A244" t="s">
        <v>1624</v>
      </c>
      <c r="B244">
        <v>1</v>
      </c>
      <c r="C244" s="54">
        <v>42856</v>
      </c>
      <c r="D244" s="3" t="str">
        <f>YEAR(Datos_Consumo[[#This Row],[FECHA]])&amp;"-"&amp;MONTH(Datos_Consumo[[#This Row],[FECHA]])</f>
        <v>2017-5</v>
      </c>
    </row>
    <row r="245" spans="1:4" x14ac:dyDescent="0.25">
      <c r="A245" t="s">
        <v>1625</v>
      </c>
      <c r="B245">
        <v>1</v>
      </c>
      <c r="C245" s="54">
        <v>42795</v>
      </c>
      <c r="D245" s="3" t="str">
        <f>YEAR(Datos_Consumo[[#This Row],[FECHA]])&amp;"-"&amp;MONTH(Datos_Consumo[[#This Row],[FECHA]])</f>
        <v>2017-3</v>
      </c>
    </row>
    <row r="246" spans="1:4" x14ac:dyDescent="0.25">
      <c r="A246" t="s">
        <v>1626</v>
      </c>
      <c r="B246">
        <v>143</v>
      </c>
      <c r="C246" s="54">
        <v>42795</v>
      </c>
      <c r="D246" s="3" t="str">
        <f>YEAR(Datos_Consumo[[#This Row],[FECHA]])&amp;"-"&amp;MONTH(Datos_Consumo[[#This Row],[FECHA]])</f>
        <v>2017-3</v>
      </c>
    </row>
    <row r="247" spans="1:4" x14ac:dyDescent="0.25">
      <c r="A247" t="s">
        <v>1584</v>
      </c>
      <c r="B247">
        <v>200</v>
      </c>
      <c r="C247" s="54">
        <v>42795</v>
      </c>
      <c r="D247" s="3" t="str">
        <f>YEAR(Datos_Consumo[[#This Row],[FECHA]])&amp;"-"&amp;MONTH(Datos_Consumo[[#This Row],[FECHA]])</f>
        <v>2017-3</v>
      </c>
    </row>
    <row r="248" spans="1:4" x14ac:dyDescent="0.25">
      <c r="A248" t="s">
        <v>1584</v>
      </c>
      <c r="B248">
        <v>350</v>
      </c>
      <c r="C248" s="54">
        <v>42826</v>
      </c>
      <c r="D248" s="3" t="str">
        <f>YEAR(Datos_Consumo[[#This Row],[FECHA]])&amp;"-"&amp;MONTH(Datos_Consumo[[#This Row],[FECHA]])</f>
        <v>2017-4</v>
      </c>
    </row>
    <row r="249" spans="1:4" x14ac:dyDescent="0.25">
      <c r="A249" t="s">
        <v>1627</v>
      </c>
      <c r="B249">
        <v>950</v>
      </c>
      <c r="C249" s="54">
        <v>42795</v>
      </c>
      <c r="D249" s="3" t="str">
        <f>YEAR(Datos_Consumo[[#This Row],[FECHA]])&amp;"-"&amp;MONTH(Datos_Consumo[[#This Row],[FECHA]])</f>
        <v>2017-3</v>
      </c>
    </row>
    <row r="250" spans="1:4" x14ac:dyDescent="0.25">
      <c r="A250" t="s">
        <v>1585</v>
      </c>
      <c r="B250">
        <v>300</v>
      </c>
      <c r="C250" s="54">
        <v>42795</v>
      </c>
      <c r="D250" s="3" t="str">
        <f>YEAR(Datos_Consumo[[#This Row],[FECHA]])&amp;"-"&amp;MONTH(Datos_Consumo[[#This Row],[FECHA]])</f>
        <v>2017-3</v>
      </c>
    </row>
    <row r="251" spans="1:4" x14ac:dyDescent="0.25">
      <c r="A251" t="s">
        <v>1585</v>
      </c>
      <c r="B251">
        <v>750</v>
      </c>
      <c r="C251" s="54">
        <v>42826</v>
      </c>
      <c r="D251" s="3" t="str">
        <f>YEAR(Datos_Consumo[[#This Row],[FECHA]])&amp;"-"&amp;MONTH(Datos_Consumo[[#This Row],[FECHA]])</f>
        <v>2017-4</v>
      </c>
    </row>
    <row r="252" spans="1:4" x14ac:dyDescent="0.25">
      <c r="A252" t="s">
        <v>1585</v>
      </c>
      <c r="B252">
        <v>3500</v>
      </c>
      <c r="C252" s="54">
        <v>42856</v>
      </c>
      <c r="D252" s="3" t="str">
        <f>YEAR(Datos_Consumo[[#This Row],[FECHA]])&amp;"-"&amp;MONTH(Datos_Consumo[[#This Row],[FECHA]])</f>
        <v>2017-5</v>
      </c>
    </row>
    <row r="253" spans="1:4" x14ac:dyDescent="0.25">
      <c r="A253" t="s">
        <v>1628</v>
      </c>
      <c r="B253">
        <v>250</v>
      </c>
      <c r="C253" s="54">
        <v>42795</v>
      </c>
      <c r="D253" s="3" t="str">
        <f>YEAR(Datos_Consumo[[#This Row],[FECHA]])&amp;"-"&amp;MONTH(Datos_Consumo[[#This Row],[FECHA]])</f>
        <v>2017-3</v>
      </c>
    </row>
    <row r="254" spans="1:4" x14ac:dyDescent="0.25">
      <c r="A254" t="s">
        <v>1543</v>
      </c>
      <c r="B254">
        <v>3000</v>
      </c>
      <c r="C254" s="54">
        <v>42795</v>
      </c>
      <c r="D254" s="3" t="str">
        <f>YEAR(Datos_Consumo[[#This Row],[FECHA]])&amp;"-"&amp;MONTH(Datos_Consumo[[#This Row],[FECHA]])</f>
        <v>2017-3</v>
      </c>
    </row>
    <row r="255" spans="1:4" x14ac:dyDescent="0.25">
      <c r="A255" t="s">
        <v>1586</v>
      </c>
      <c r="B255">
        <v>1200</v>
      </c>
      <c r="C255" s="54">
        <v>42826</v>
      </c>
      <c r="D255" s="3" t="str">
        <f>YEAR(Datos_Consumo[[#This Row],[FECHA]])&amp;"-"&amp;MONTH(Datos_Consumo[[#This Row],[FECHA]])</f>
        <v>2017-4</v>
      </c>
    </row>
    <row r="256" spans="1:4" x14ac:dyDescent="0.25">
      <c r="A256" t="s">
        <v>1586</v>
      </c>
      <c r="B256">
        <v>1000</v>
      </c>
      <c r="C256" s="54">
        <v>42856</v>
      </c>
      <c r="D256" s="3" t="str">
        <f>YEAR(Datos_Consumo[[#This Row],[FECHA]])&amp;"-"&amp;MONTH(Datos_Consumo[[#This Row],[FECHA]])</f>
        <v>2017-5</v>
      </c>
    </row>
    <row r="257" spans="1:4" x14ac:dyDescent="0.25">
      <c r="A257" t="s">
        <v>1629</v>
      </c>
      <c r="B257">
        <v>900</v>
      </c>
      <c r="C257" s="54">
        <v>42795</v>
      </c>
      <c r="D257" s="3" t="str">
        <f>YEAR(Datos_Consumo[[#This Row],[FECHA]])&amp;"-"&amp;MONTH(Datos_Consumo[[#This Row],[FECHA]])</f>
        <v>2017-3</v>
      </c>
    </row>
    <row r="258" spans="1:4" x14ac:dyDescent="0.25">
      <c r="A258" t="s">
        <v>1544</v>
      </c>
      <c r="B258">
        <v>2</v>
      </c>
      <c r="C258" s="54">
        <v>42795</v>
      </c>
      <c r="D258" s="3" t="str">
        <f>YEAR(Datos_Consumo[[#This Row],[FECHA]])&amp;"-"&amp;MONTH(Datos_Consumo[[#This Row],[FECHA]])</f>
        <v>2017-3</v>
      </c>
    </row>
    <row r="259" spans="1:4" x14ac:dyDescent="0.25">
      <c r="A259" t="s">
        <v>1630</v>
      </c>
      <c r="B259">
        <v>1</v>
      </c>
      <c r="C259" s="54">
        <v>42795</v>
      </c>
      <c r="D259" s="3" t="str">
        <f>YEAR(Datos_Consumo[[#This Row],[FECHA]])&amp;"-"&amp;MONTH(Datos_Consumo[[#This Row],[FECHA]])</f>
        <v>2017-3</v>
      </c>
    </row>
    <row r="260" spans="1:4" x14ac:dyDescent="0.25">
      <c r="A260" t="s">
        <v>1545</v>
      </c>
      <c r="B260">
        <v>60</v>
      </c>
      <c r="C260" s="54">
        <v>42826</v>
      </c>
      <c r="D260" s="3" t="str">
        <f>YEAR(Datos_Consumo[[#This Row],[FECHA]])&amp;"-"&amp;MONTH(Datos_Consumo[[#This Row],[FECHA]])</f>
        <v>2017-4</v>
      </c>
    </row>
    <row r="261" spans="1:4" x14ac:dyDescent="0.25">
      <c r="A261" t="s">
        <v>1546</v>
      </c>
      <c r="B261">
        <v>12</v>
      </c>
      <c r="C261" s="54">
        <v>42795</v>
      </c>
      <c r="D261" s="3" t="str">
        <f>YEAR(Datos_Consumo[[#This Row],[FECHA]])&amp;"-"&amp;MONTH(Datos_Consumo[[#This Row],[FECHA]])</f>
        <v>2017-3</v>
      </c>
    </row>
    <row r="262" spans="1:4" x14ac:dyDescent="0.25">
      <c r="A262" t="s">
        <v>1546</v>
      </c>
      <c r="B262">
        <v>5</v>
      </c>
      <c r="C262" s="54">
        <v>42826</v>
      </c>
      <c r="D262" s="3" t="str">
        <f>YEAR(Datos_Consumo[[#This Row],[FECHA]])&amp;"-"&amp;MONTH(Datos_Consumo[[#This Row],[FECHA]])</f>
        <v>2017-4</v>
      </c>
    </row>
    <row r="263" spans="1:4" x14ac:dyDescent="0.25">
      <c r="A263" t="s">
        <v>1546</v>
      </c>
      <c r="B263">
        <v>5</v>
      </c>
      <c r="C263" s="54">
        <v>42856</v>
      </c>
      <c r="D263" s="3" t="str">
        <f>YEAR(Datos_Consumo[[#This Row],[FECHA]])&amp;"-"&amp;MONTH(Datos_Consumo[[#This Row],[FECHA]])</f>
        <v>2017-5</v>
      </c>
    </row>
    <row r="264" spans="1:4" x14ac:dyDescent="0.25">
      <c r="A264" t="s">
        <v>1587</v>
      </c>
      <c r="B264">
        <v>8</v>
      </c>
      <c r="C264" s="54">
        <v>42826</v>
      </c>
      <c r="D264" s="3" t="str">
        <f>YEAR(Datos_Consumo[[#This Row],[FECHA]])&amp;"-"&amp;MONTH(Datos_Consumo[[#This Row],[FECHA]])</f>
        <v>2017-4</v>
      </c>
    </row>
    <row r="265" spans="1:4" x14ac:dyDescent="0.25">
      <c r="A265" t="s">
        <v>1448</v>
      </c>
      <c r="B265">
        <v>28</v>
      </c>
      <c r="C265" s="54">
        <v>42795</v>
      </c>
      <c r="D265" s="3" t="str">
        <f>YEAR(Datos_Consumo[[#This Row],[FECHA]])&amp;"-"&amp;MONTH(Datos_Consumo[[#This Row],[FECHA]])</f>
        <v>2017-3</v>
      </c>
    </row>
    <row r="266" spans="1:4" x14ac:dyDescent="0.25">
      <c r="A266" t="s">
        <v>1448</v>
      </c>
      <c r="B266">
        <v>60</v>
      </c>
      <c r="C266" s="54">
        <v>42826</v>
      </c>
      <c r="D266" s="3" t="str">
        <f>YEAR(Datos_Consumo[[#This Row],[FECHA]])&amp;"-"&amp;MONTH(Datos_Consumo[[#This Row],[FECHA]])</f>
        <v>2017-4</v>
      </c>
    </row>
    <row r="267" spans="1:4" x14ac:dyDescent="0.25">
      <c r="A267" t="s">
        <v>1448</v>
      </c>
      <c r="B267">
        <v>16</v>
      </c>
      <c r="C267" s="54">
        <v>42856</v>
      </c>
      <c r="D267" s="3" t="str">
        <f>YEAR(Datos_Consumo[[#This Row],[FECHA]])&amp;"-"&amp;MONTH(Datos_Consumo[[#This Row],[FECHA]])</f>
        <v>2017-5</v>
      </c>
    </row>
    <row r="268" spans="1:4" x14ac:dyDescent="0.25">
      <c r="A268" t="s">
        <v>1631</v>
      </c>
      <c r="B268">
        <v>1</v>
      </c>
      <c r="C268" s="54">
        <v>42826</v>
      </c>
      <c r="D268" s="3" t="str">
        <f>YEAR(Datos_Consumo[[#This Row],[FECHA]])&amp;"-"&amp;MONTH(Datos_Consumo[[#This Row],[FECHA]])</f>
        <v>2017-4</v>
      </c>
    </row>
    <row r="269" spans="1:4" x14ac:dyDescent="0.25">
      <c r="A269" t="s">
        <v>1632</v>
      </c>
      <c r="B269">
        <v>1</v>
      </c>
      <c r="C269" s="54">
        <v>42856</v>
      </c>
      <c r="D269" s="3" t="str">
        <f>YEAR(Datos_Consumo[[#This Row],[FECHA]])&amp;"-"&amp;MONTH(Datos_Consumo[[#This Row],[FECHA]])</f>
        <v>2017-5</v>
      </c>
    </row>
    <row r="270" spans="1:4" x14ac:dyDescent="0.25">
      <c r="A270" t="s">
        <v>1633</v>
      </c>
      <c r="B270">
        <v>1</v>
      </c>
      <c r="C270" s="54">
        <v>42795</v>
      </c>
      <c r="D270" s="3" t="str">
        <f>YEAR(Datos_Consumo[[#This Row],[FECHA]])&amp;"-"&amp;MONTH(Datos_Consumo[[#This Row],[FECHA]])</f>
        <v>2017-3</v>
      </c>
    </row>
    <row r="271" spans="1:4" x14ac:dyDescent="0.25">
      <c r="A271" t="s">
        <v>1634</v>
      </c>
      <c r="B271">
        <v>1</v>
      </c>
      <c r="C271" s="54">
        <v>42795</v>
      </c>
      <c r="D271" s="3" t="str">
        <f>YEAR(Datos_Consumo[[#This Row],[FECHA]])&amp;"-"&amp;MONTH(Datos_Consumo[[#This Row],[FECHA]])</f>
        <v>2017-3</v>
      </c>
    </row>
    <row r="272" spans="1:4" x14ac:dyDescent="0.25">
      <c r="A272" t="s">
        <v>1634</v>
      </c>
      <c r="B272">
        <v>1</v>
      </c>
      <c r="C272" s="54">
        <v>42826</v>
      </c>
      <c r="D272" s="3" t="str">
        <f>YEAR(Datos_Consumo[[#This Row],[FECHA]])&amp;"-"&amp;MONTH(Datos_Consumo[[#This Row],[FECHA]])</f>
        <v>2017-4</v>
      </c>
    </row>
    <row r="273" spans="1:4" x14ac:dyDescent="0.25">
      <c r="A273" t="s">
        <v>1449</v>
      </c>
      <c r="B273">
        <v>1</v>
      </c>
      <c r="C273" s="54">
        <v>42795</v>
      </c>
      <c r="D273" s="3" t="str">
        <f>YEAR(Datos_Consumo[[#This Row],[FECHA]])&amp;"-"&amp;MONTH(Datos_Consumo[[#This Row],[FECHA]])</f>
        <v>2017-3</v>
      </c>
    </row>
    <row r="274" spans="1:4" x14ac:dyDescent="0.25">
      <c r="A274" t="s">
        <v>1635</v>
      </c>
      <c r="B274">
        <v>1</v>
      </c>
      <c r="C274" s="54">
        <v>42795</v>
      </c>
      <c r="D274" s="3" t="str">
        <f>YEAR(Datos_Consumo[[#This Row],[FECHA]])&amp;"-"&amp;MONTH(Datos_Consumo[[#This Row],[FECHA]])</f>
        <v>2017-3</v>
      </c>
    </row>
    <row r="275" spans="1:4" x14ac:dyDescent="0.25">
      <c r="A275" t="s">
        <v>1636</v>
      </c>
      <c r="B275">
        <v>1</v>
      </c>
      <c r="C275" s="54">
        <v>42795</v>
      </c>
      <c r="D275" s="3" t="str">
        <f>YEAR(Datos_Consumo[[#This Row],[FECHA]])&amp;"-"&amp;MONTH(Datos_Consumo[[#This Row],[FECHA]])</f>
        <v>2017-3</v>
      </c>
    </row>
    <row r="276" spans="1:4" x14ac:dyDescent="0.25">
      <c r="A276" t="s">
        <v>1636</v>
      </c>
      <c r="B276">
        <v>1</v>
      </c>
      <c r="C276" s="54">
        <v>42856</v>
      </c>
      <c r="D276" s="3" t="str">
        <f>YEAR(Datos_Consumo[[#This Row],[FECHA]])&amp;"-"&amp;MONTH(Datos_Consumo[[#This Row],[FECHA]])</f>
        <v>2017-5</v>
      </c>
    </row>
    <row r="277" spans="1:4" x14ac:dyDescent="0.25">
      <c r="A277" t="s">
        <v>1450</v>
      </c>
      <c r="B277">
        <v>3</v>
      </c>
      <c r="C277" s="54">
        <v>42826</v>
      </c>
      <c r="D277" s="3" t="str">
        <f>YEAR(Datos_Consumo[[#This Row],[FECHA]])&amp;"-"&amp;MONTH(Datos_Consumo[[#This Row],[FECHA]])</f>
        <v>2017-4</v>
      </c>
    </row>
    <row r="278" spans="1:4" x14ac:dyDescent="0.25">
      <c r="A278" t="s">
        <v>1450</v>
      </c>
      <c r="B278">
        <v>1</v>
      </c>
      <c r="C278" s="54">
        <v>42856</v>
      </c>
      <c r="D278" s="3" t="str">
        <f>YEAR(Datos_Consumo[[#This Row],[FECHA]])&amp;"-"&amp;MONTH(Datos_Consumo[[#This Row],[FECHA]])</f>
        <v>2017-5</v>
      </c>
    </row>
    <row r="279" spans="1:4" x14ac:dyDescent="0.25">
      <c r="A279" t="s">
        <v>1637</v>
      </c>
      <c r="B279">
        <v>1</v>
      </c>
      <c r="C279" s="54">
        <v>42826</v>
      </c>
      <c r="D279" s="3" t="str">
        <f>YEAR(Datos_Consumo[[#This Row],[FECHA]])&amp;"-"&amp;MONTH(Datos_Consumo[[#This Row],[FECHA]])</f>
        <v>2017-4</v>
      </c>
    </row>
    <row r="280" spans="1:4" x14ac:dyDescent="0.25">
      <c r="A280" t="s">
        <v>1638</v>
      </c>
      <c r="B280">
        <v>1</v>
      </c>
      <c r="C280" s="54">
        <v>42795</v>
      </c>
      <c r="D280" s="3" t="str">
        <f>YEAR(Datos_Consumo[[#This Row],[FECHA]])&amp;"-"&amp;MONTH(Datos_Consumo[[#This Row],[FECHA]])</f>
        <v>2017-3</v>
      </c>
    </row>
    <row r="281" spans="1:4" x14ac:dyDescent="0.25">
      <c r="A281" t="s">
        <v>1638</v>
      </c>
      <c r="B281">
        <v>2</v>
      </c>
      <c r="C281" s="54">
        <v>42826</v>
      </c>
      <c r="D281" s="3" t="str">
        <f>YEAR(Datos_Consumo[[#This Row],[FECHA]])&amp;"-"&amp;MONTH(Datos_Consumo[[#This Row],[FECHA]])</f>
        <v>2017-4</v>
      </c>
    </row>
    <row r="282" spans="1:4" x14ac:dyDescent="0.25">
      <c r="A282" t="s">
        <v>1638</v>
      </c>
      <c r="B282">
        <v>1</v>
      </c>
      <c r="C282" s="54">
        <v>42856</v>
      </c>
      <c r="D282" s="3" t="str">
        <f>YEAR(Datos_Consumo[[#This Row],[FECHA]])&amp;"-"&amp;MONTH(Datos_Consumo[[#This Row],[FECHA]])</f>
        <v>2017-5</v>
      </c>
    </row>
    <row r="283" spans="1:4" x14ac:dyDescent="0.25">
      <c r="A283" t="s">
        <v>1639</v>
      </c>
      <c r="B283">
        <v>1</v>
      </c>
      <c r="C283" s="54">
        <v>42826</v>
      </c>
      <c r="D283" s="3" t="str">
        <f>YEAR(Datos_Consumo[[#This Row],[FECHA]])&amp;"-"&amp;MONTH(Datos_Consumo[[#This Row],[FECHA]])</f>
        <v>2017-4</v>
      </c>
    </row>
    <row r="284" spans="1:4" x14ac:dyDescent="0.25">
      <c r="A284" t="s">
        <v>1640</v>
      </c>
      <c r="B284">
        <v>1</v>
      </c>
      <c r="C284" s="54">
        <v>42826</v>
      </c>
      <c r="D284" s="3" t="str">
        <f>YEAR(Datos_Consumo[[#This Row],[FECHA]])&amp;"-"&amp;MONTH(Datos_Consumo[[#This Row],[FECHA]])</f>
        <v>2017-4</v>
      </c>
    </row>
    <row r="285" spans="1:4" x14ac:dyDescent="0.25">
      <c r="A285" t="s">
        <v>1640</v>
      </c>
      <c r="B285">
        <v>2</v>
      </c>
      <c r="C285" s="54">
        <v>42856</v>
      </c>
      <c r="D285" s="3" t="str">
        <f>YEAR(Datos_Consumo[[#This Row],[FECHA]])&amp;"-"&amp;MONTH(Datos_Consumo[[#This Row],[FECHA]])</f>
        <v>2017-5</v>
      </c>
    </row>
    <row r="286" spans="1:4" x14ac:dyDescent="0.25">
      <c r="A286" t="s">
        <v>1641</v>
      </c>
      <c r="B286">
        <v>1</v>
      </c>
      <c r="C286" s="54">
        <v>42795</v>
      </c>
      <c r="D286" s="3" t="str">
        <f>YEAR(Datos_Consumo[[#This Row],[FECHA]])&amp;"-"&amp;MONTH(Datos_Consumo[[#This Row],[FECHA]])</f>
        <v>2017-3</v>
      </c>
    </row>
    <row r="287" spans="1:4" x14ac:dyDescent="0.25">
      <c r="A287" t="s">
        <v>1641</v>
      </c>
      <c r="B287">
        <v>1</v>
      </c>
      <c r="C287" s="54">
        <v>42826</v>
      </c>
      <c r="D287" s="3" t="str">
        <f>YEAR(Datos_Consumo[[#This Row],[FECHA]])&amp;"-"&amp;MONTH(Datos_Consumo[[#This Row],[FECHA]])</f>
        <v>2017-4</v>
      </c>
    </row>
    <row r="288" spans="1:4" x14ac:dyDescent="0.25">
      <c r="A288" t="s">
        <v>1642</v>
      </c>
      <c r="B288">
        <v>1</v>
      </c>
      <c r="C288" s="54">
        <v>42856</v>
      </c>
      <c r="D288" s="3" t="str">
        <f>YEAR(Datos_Consumo[[#This Row],[FECHA]])&amp;"-"&amp;MONTH(Datos_Consumo[[#This Row],[FECHA]])</f>
        <v>2017-5</v>
      </c>
    </row>
    <row r="289" spans="1:4" x14ac:dyDescent="0.25">
      <c r="A289" t="s">
        <v>1643</v>
      </c>
      <c r="B289">
        <v>1</v>
      </c>
      <c r="C289" s="54">
        <v>42826</v>
      </c>
      <c r="D289" s="3" t="str">
        <f>YEAR(Datos_Consumo[[#This Row],[FECHA]])&amp;"-"&amp;MONTH(Datos_Consumo[[#This Row],[FECHA]])</f>
        <v>2017-4</v>
      </c>
    </row>
    <row r="290" spans="1:4" x14ac:dyDescent="0.25">
      <c r="A290" t="s">
        <v>1644</v>
      </c>
      <c r="B290">
        <v>2</v>
      </c>
      <c r="C290" s="54">
        <v>42795</v>
      </c>
      <c r="D290" s="3" t="str">
        <f>YEAR(Datos_Consumo[[#This Row],[FECHA]])&amp;"-"&amp;MONTH(Datos_Consumo[[#This Row],[FECHA]])</f>
        <v>2017-3</v>
      </c>
    </row>
    <row r="291" spans="1:4" x14ac:dyDescent="0.25">
      <c r="A291" t="s">
        <v>1644</v>
      </c>
      <c r="B291">
        <v>1</v>
      </c>
      <c r="C291" s="54">
        <v>42826</v>
      </c>
      <c r="D291" s="3" t="str">
        <f>YEAR(Datos_Consumo[[#This Row],[FECHA]])&amp;"-"&amp;MONTH(Datos_Consumo[[#This Row],[FECHA]])</f>
        <v>2017-4</v>
      </c>
    </row>
    <row r="292" spans="1:4" x14ac:dyDescent="0.25">
      <c r="A292" t="s">
        <v>1645</v>
      </c>
      <c r="B292">
        <v>1</v>
      </c>
      <c r="C292" s="54">
        <v>42795</v>
      </c>
      <c r="D292" s="3" t="str">
        <f>YEAR(Datos_Consumo[[#This Row],[FECHA]])&amp;"-"&amp;MONTH(Datos_Consumo[[#This Row],[FECHA]])</f>
        <v>2017-3</v>
      </c>
    </row>
    <row r="293" spans="1:4" x14ac:dyDescent="0.25">
      <c r="A293" t="s">
        <v>1645</v>
      </c>
      <c r="B293">
        <v>1</v>
      </c>
      <c r="C293" s="54">
        <v>42826</v>
      </c>
      <c r="D293" s="3" t="str">
        <f>YEAR(Datos_Consumo[[#This Row],[FECHA]])&amp;"-"&amp;MONTH(Datos_Consumo[[#This Row],[FECHA]])</f>
        <v>2017-4</v>
      </c>
    </row>
    <row r="294" spans="1:4" x14ac:dyDescent="0.25">
      <c r="A294" t="s">
        <v>1645</v>
      </c>
      <c r="B294">
        <v>2</v>
      </c>
      <c r="C294" s="54">
        <v>42856</v>
      </c>
      <c r="D294" s="3" t="str">
        <f>YEAR(Datos_Consumo[[#This Row],[FECHA]])&amp;"-"&amp;MONTH(Datos_Consumo[[#This Row],[FECHA]])</f>
        <v>2017-5</v>
      </c>
    </row>
    <row r="295" spans="1:4" x14ac:dyDescent="0.25">
      <c r="A295" t="s">
        <v>1646</v>
      </c>
      <c r="B295">
        <v>1</v>
      </c>
      <c r="C295" s="54">
        <v>42795</v>
      </c>
      <c r="D295" s="3" t="str">
        <f>YEAR(Datos_Consumo[[#This Row],[FECHA]])&amp;"-"&amp;MONTH(Datos_Consumo[[#This Row],[FECHA]])</f>
        <v>2017-3</v>
      </c>
    </row>
    <row r="296" spans="1:4" x14ac:dyDescent="0.25">
      <c r="A296" t="s">
        <v>1646</v>
      </c>
      <c r="B296">
        <v>3</v>
      </c>
      <c r="C296" s="54">
        <v>42826</v>
      </c>
      <c r="D296" s="3" t="str">
        <f>YEAR(Datos_Consumo[[#This Row],[FECHA]])&amp;"-"&amp;MONTH(Datos_Consumo[[#This Row],[FECHA]])</f>
        <v>2017-4</v>
      </c>
    </row>
    <row r="297" spans="1:4" x14ac:dyDescent="0.25">
      <c r="A297" t="s">
        <v>1646</v>
      </c>
      <c r="B297">
        <v>1</v>
      </c>
      <c r="C297" s="54">
        <v>42856</v>
      </c>
      <c r="D297" s="3" t="str">
        <f>YEAR(Datos_Consumo[[#This Row],[FECHA]])&amp;"-"&amp;MONTH(Datos_Consumo[[#This Row],[FECHA]])</f>
        <v>2017-5</v>
      </c>
    </row>
    <row r="298" spans="1:4" x14ac:dyDescent="0.25">
      <c r="A298" t="s">
        <v>1451</v>
      </c>
      <c r="B298">
        <v>1</v>
      </c>
      <c r="C298" s="54">
        <v>42795</v>
      </c>
      <c r="D298" s="3" t="str">
        <f>YEAR(Datos_Consumo[[#This Row],[FECHA]])&amp;"-"&amp;MONTH(Datos_Consumo[[#This Row],[FECHA]])</f>
        <v>2017-3</v>
      </c>
    </row>
    <row r="299" spans="1:4" x14ac:dyDescent="0.25">
      <c r="A299" t="s">
        <v>1451</v>
      </c>
      <c r="B299">
        <v>2</v>
      </c>
      <c r="C299" s="54">
        <v>42826</v>
      </c>
      <c r="D299" s="3" t="str">
        <f>YEAR(Datos_Consumo[[#This Row],[FECHA]])&amp;"-"&amp;MONTH(Datos_Consumo[[#This Row],[FECHA]])</f>
        <v>2017-4</v>
      </c>
    </row>
    <row r="300" spans="1:4" x14ac:dyDescent="0.25">
      <c r="A300" t="s">
        <v>1451</v>
      </c>
      <c r="B300">
        <v>1</v>
      </c>
      <c r="C300" s="54">
        <v>42856</v>
      </c>
      <c r="D300" s="3" t="str">
        <f>YEAR(Datos_Consumo[[#This Row],[FECHA]])&amp;"-"&amp;MONTH(Datos_Consumo[[#This Row],[FECHA]])</f>
        <v>2017-5</v>
      </c>
    </row>
    <row r="301" spans="1:4" x14ac:dyDescent="0.25">
      <c r="A301" t="s">
        <v>1452</v>
      </c>
      <c r="B301">
        <v>2</v>
      </c>
      <c r="C301" s="54">
        <v>42826</v>
      </c>
      <c r="D301" s="3" t="str">
        <f>YEAR(Datos_Consumo[[#This Row],[FECHA]])&amp;"-"&amp;MONTH(Datos_Consumo[[#This Row],[FECHA]])</f>
        <v>2017-4</v>
      </c>
    </row>
    <row r="302" spans="1:4" x14ac:dyDescent="0.25">
      <c r="A302" t="s">
        <v>1647</v>
      </c>
      <c r="B302">
        <v>1</v>
      </c>
      <c r="C302" s="54">
        <v>42795</v>
      </c>
      <c r="D302" s="3" t="str">
        <f>YEAR(Datos_Consumo[[#This Row],[FECHA]])&amp;"-"&amp;MONTH(Datos_Consumo[[#This Row],[FECHA]])</f>
        <v>2017-3</v>
      </c>
    </row>
    <row r="303" spans="1:4" x14ac:dyDescent="0.25">
      <c r="A303" t="s">
        <v>1647</v>
      </c>
      <c r="B303">
        <v>1</v>
      </c>
      <c r="C303" s="54">
        <v>42856</v>
      </c>
      <c r="D303" s="3" t="str">
        <f>YEAR(Datos_Consumo[[#This Row],[FECHA]])&amp;"-"&amp;MONTH(Datos_Consumo[[#This Row],[FECHA]])</f>
        <v>2017-5</v>
      </c>
    </row>
    <row r="304" spans="1:4" x14ac:dyDescent="0.25">
      <c r="A304" t="s">
        <v>1648</v>
      </c>
      <c r="B304">
        <v>2</v>
      </c>
      <c r="C304" s="54">
        <v>42826</v>
      </c>
      <c r="D304" s="3" t="str">
        <f>YEAR(Datos_Consumo[[#This Row],[FECHA]])&amp;"-"&amp;MONTH(Datos_Consumo[[#This Row],[FECHA]])</f>
        <v>2017-4</v>
      </c>
    </row>
    <row r="305" spans="1:4" x14ac:dyDescent="0.25">
      <c r="A305" t="s">
        <v>1649</v>
      </c>
      <c r="B305">
        <v>1</v>
      </c>
      <c r="C305" s="54">
        <v>42795</v>
      </c>
      <c r="D305" s="3" t="str">
        <f>YEAR(Datos_Consumo[[#This Row],[FECHA]])&amp;"-"&amp;MONTH(Datos_Consumo[[#This Row],[FECHA]])</f>
        <v>2017-3</v>
      </c>
    </row>
    <row r="306" spans="1:4" x14ac:dyDescent="0.25">
      <c r="A306" t="s">
        <v>1650</v>
      </c>
      <c r="B306">
        <v>1</v>
      </c>
      <c r="C306" s="54">
        <v>42826</v>
      </c>
      <c r="D306" s="3" t="str">
        <f>YEAR(Datos_Consumo[[#This Row],[FECHA]])&amp;"-"&amp;MONTH(Datos_Consumo[[#This Row],[FECHA]])</f>
        <v>2017-4</v>
      </c>
    </row>
    <row r="307" spans="1:4" x14ac:dyDescent="0.25">
      <c r="A307" t="s">
        <v>1651</v>
      </c>
      <c r="B307">
        <v>1</v>
      </c>
      <c r="C307" s="54">
        <v>42795</v>
      </c>
      <c r="D307" s="3" t="str">
        <f>YEAR(Datos_Consumo[[#This Row],[FECHA]])&amp;"-"&amp;MONTH(Datos_Consumo[[#This Row],[FECHA]])</f>
        <v>2017-3</v>
      </c>
    </row>
    <row r="308" spans="1:4" x14ac:dyDescent="0.25">
      <c r="A308" t="s">
        <v>1652</v>
      </c>
      <c r="B308">
        <v>1</v>
      </c>
      <c r="C308" s="54">
        <v>42826</v>
      </c>
      <c r="D308" s="3" t="str">
        <f>YEAR(Datos_Consumo[[#This Row],[FECHA]])&amp;"-"&amp;MONTH(Datos_Consumo[[#This Row],[FECHA]])</f>
        <v>2017-4</v>
      </c>
    </row>
    <row r="309" spans="1:4" x14ac:dyDescent="0.25">
      <c r="A309" t="s">
        <v>1653</v>
      </c>
      <c r="B309">
        <v>1</v>
      </c>
      <c r="C309" s="54">
        <v>42795</v>
      </c>
      <c r="D309" s="3" t="str">
        <f>YEAR(Datos_Consumo[[#This Row],[FECHA]])&amp;"-"&amp;MONTH(Datos_Consumo[[#This Row],[FECHA]])</f>
        <v>2017-3</v>
      </c>
    </row>
    <row r="310" spans="1:4" x14ac:dyDescent="0.25">
      <c r="A310" t="s">
        <v>1653</v>
      </c>
      <c r="B310">
        <v>1</v>
      </c>
      <c r="C310" s="54">
        <v>42826</v>
      </c>
      <c r="D310" s="3" t="str">
        <f>YEAR(Datos_Consumo[[#This Row],[FECHA]])&amp;"-"&amp;MONTH(Datos_Consumo[[#This Row],[FECHA]])</f>
        <v>2017-4</v>
      </c>
    </row>
    <row r="311" spans="1:4" x14ac:dyDescent="0.25">
      <c r="A311" t="s">
        <v>1653</v>
      </c>
      <c r="B311">
        <v>1</v>
      </c>
      <c r="C311" s="54">
        <v>42856</v>
      </c>
      <c r="D311" s="3" t="str">
        <f>YEAR(Datos_Consumo[[#This Row],[FECHA]])&amp;"-"&amp;MONTH(Datos_Consumo[[#This Row],[FECHA]])</f>
        <v>2017-5</v>
      </c>
    </row>
    <row r="312" spans="1:4" x14ac:dyDescent="0.25">
      <c r="A312" t="s">
        <v>1453</v>
      </c>
      <c r="B312">
        <v>3</v>
      </c>
      <c r="C312" s="54">
        <v>42795</v>
      </c>
      <c r="D312" s="3" t="str">
        <f>YEAR(Datos_Consumo[[#This Row],[FECHA]])&amp;"-"&amp;MONTH(Datos_Consumo[[#This Row],[FECHA]])</f>
        <v>2017-3</v>
      </c>
    </row>
    <row r="313" spans="1:4" x14ac:dyDescent="0.25">
      <c r="A313" t="s">
        <v>1453</v>
      </c>
      <c r="B313">
        <v>2</v>
      </c>
      <c r="C313" s="54">
        <v>42826</v>
      </c>
      <c r="D313" s="3" t="str">
        <f>YEAR(Datos_Consumo[[#This Row],[FECHA]])&amp;"-"&amp;MONTH(Datos_Consumo[[#This Row],[FECHA]])</f>
        <v>2017-4</v>
      </c>
    </row>
    <row r="314" spans="1:4" x14ac:dyDescent="0.25">
      <c r="A314" t="s">
        <v>1453</v>
      </c>
      <c r="B314">
        <v>2</v>
      </c>
      <c r="C314" s="54">
        <v>42856</v>
      </c>
      <c r="D314" s="3" t="str">
        <f>YEAR(Datos_Consumo[[#This Row],[FECHA]])&amp;"-"&amp;MONTH(Datos_Consumo[[#This Row],[FECHA]])</f>
        <v>2017-5</v>
      </c>
    </row>
    <row r="315" spans="1:4" x14ac:dyDescent="0.25">
      <c r="A315" t="s">
        <v>1454</v>
      </c>
      <c r="B315">
        <v>1</v>
      </c>
      <c r="C315" s="54">
        <v>42795</v>
      </c>
      <c r="D315" s="3" t="str">
        <f>YEAR(Datos_Consumo[[#This Row],[FECHA]])&amp;"-"&amp;MONTH(Datos_Consumo[[#This Row],[FECHA]])</f>
        <v>2017-3</v>
      </c>
    </row>
    <row r="316" spans="1:4" x14ac:dyDescent="0.25">
      <c r="A316" t="s">
        <v>1454</v>
      </c>
      <c r="B316">
        <v>8</v>
      </c>
      <c r="C316" s="54">
        <v>42826</v>
      </c>
      <c r="D316" s="3" t="str">
        <f>YEAR(Datos_Consumo[[#This Row],[FECHA]])&amp;"-"&amp;MONTH(Datos_Consumo[[#This Row],[FECHA]])</f>
        <v>2017-4</v>
      </c>
    </row>
    <row r="317" spans="1:4" x14ac:dyDescent="0.25">
      <c r="A317" t="s">
        <v>1454</v>
      </c>
      <c r="B317">
        <v>3</v>
      </c>
      <c r="C317" s="54">
        <v>42856</v>
      </c>
      <c r="D317" s="3" t="str">
        <f>YEAR(Datos_Consumo[[#This Row],[FECHA]])&amp;"-"&amp;MONTH(Datos_Consumo[[#This Row],[FECHA]])</f>
        <v>2017-5</v>
      </c>
    </row>
    <row r="318" spans="1:4" x14ac:dyDescent="0.25">
      <c r="A318" t="s">
        <v>1455</v>
      </c>
      <c r="B318">
        <v>5</v>
      </c>
      <c r="C318" s="54">
        <v>42795</v>
      </c>
      <c r="D318" s="3" t="str">
        <f>YEAR(Datos_Consumo[[#This Row],[FECHA]])&amp;"-"&amp;MONTH(Datos_Consumo[[#This Row],[FECHA]])</f>
        <v>2017-3</v>
      </c>
    </row>
    <row r="319" spans="1:4" x14ac:dyDescent="0.25">
      <c r="A319" t="s">
        <v>1455</v>
      </c>
      <c r="B319">
        <v>8</v>
      </c>
      <c r="C319" s="54">
        <v>42826</v>
      </c>
      <c r="D319" s="3" t="str">
        <f>YEAR(Datos_Consumo[[#This Row],[FECHA]])&amp;"-"&amp;MONTH(Datos_Consumo[[#This Row],[FECHA]])</f>
        <v>2017-4</v>
      </c>
    </row>
    <row r="320" spans="1:4" x14ac:dyDescent="0.25">
      <c r="A320" t="s">
        <v>1455</v>
      </c>
      <c r="B320">
        <v>3</v>
      </c>
      <c r="C320" s="54">
        <v>42856</v>
      </c>
      <c r="D320" s="3" t="str">
        <f>YEAR(Datos_Consumo[[#This Row],[FECHA]])&amp;"-"&amp;MONTH(Datos_Consumo[[#This Row],[FECHA]])</f>
        <v>2017-5</v>
      </c>
    </row>
    <row r="321" spans="1:4" x14ac:dyDescent="0.25">
      <c r="A321" t="s">
        <v>1654</v>
      </c>
      <c r="B321">
        <v>2</v>
      </c>
      <c r="C321" s="54">
        <v>42826</v>
      </c>
      <c r="D321" s="3" t="str">
        <f>YEAR(Datos_Consumo[[#This Row],[FECHA]])&amp;"-"&amp;MONTH(Datos_Consumo[[#This Row],[FECHA]])</f>
        <v>2017-4</v>
      </c>
    </row>
    <row r="322" spans="1:4" x14ac:dyDescent="0.25">
      <c r="A322" t="s">
        <v>1654</v>
      </c>
      <c r="B322">
        <v>1</v>
      </c>
      <c r="C322" s="54">
        <v>42856</v>
      </c>
      <c r="D322" s="3" t="str">
        <f>YEAR(Datos_Consumo[[#This Row],[FECHA]])&amp;"-"&amp;MONTH(Datos_Consumo[[#This Row],[FECHA]])</f>
        <v>2017-5</v>
      </c>
    </row>
    <row r="323" spans="1:4" x14ac:dyDescent="0.25">
      <c r="A323" t="s">
        <v>1655</v>
      </c>
      <c r="B323">
        <v>1</v>
      </c>
      <c r="C323" s="54">
        <v>42856</v>
      </c>
      <c r="D323" s="3" t="str">
        <f>YEAR(Datos_Consumo[[#This Row],[FECHA]])&amp;"-"&amp;MONTH(Datos_Consumo[[#This Row],[FECHA]])</f>
        <v>2017-5</v>
      </c>
    </row>
    <row r="324" spans="1:4" x14ac:dyDescent="0.25">
      <c r="A324" t="s">
        <v>1656</v>
      </c>
      <c r="B324">
        <v>1</v>
      </c>
      <c r="C324" s="54">
        <v>42826</v>
      </c>
      <c r="D324" s="3" t="str">
        <f>YEAR(Datos_Consumo[[#This Row],[FECHA]])&amp;"-"&amp;MONTH(Datos_Consumo[[#This Row],[FECHA]])</f>
        <v>2017-4</v>
      </c>
    </row>
    <row r="325" spans="1:4" x14ac:dyDescent="0.25">
      <c r="A325" t="s">
        <v>1657</v>
      </c>
      <c r="B325">
        <v>2</v>
      </c>
      <c r="C325" s="54">
        <v>42795</v>
      </c>
      <c r="D325" s="3" t="str">
        <f>YEAR(Datos_Consumo[[#This Row],[FECHA]])&amp;"-"&amp;MONTH(Datos_Consumo[[#This Row],[FECHA]])</f>
        <v>2017-3</v>
      </c>
    </row>
    <row r="326" spans="1:4" x14ac:dyDescent="0.25">
      <c r="A326" t="s">
        <v>1657</v>
      </c>
      <c r="B326">
        <v>2</v>
      </c>
      <c r="C326" s="54">
        <v>42826</v>
      </c>
      <c r="D326" s="3" t="str">
        <f>YEAR(Datos_Consumo[[#This Row],[FECHA]])&amp;"-"&amp;MONTH(Datos_Consumo[[#This Row],[FECHA]])</f>
        <v>2017-4</v>
      </c>
    </row>
    <row r="327" spans="1:4" x14ac:dyDescent="0.25">
      <c r="A327" t="s">
        <v>1456</v>
      </c>
      <c r="B327">
        <v>1</v>
      </c>
      <c r="C327" s="54">
        <v>42826</v>
      </c>
      <c r="D327" s="3" t="str">
        <f>YEAR(Datos_Consumo[[#This Row],[FECHA]])&amp;"-"&amp;MONTH(Datos_Consumo[[#This Row],[FECHA]])</f>
        <v>2017-4</v>
      </c>
    </row>
    <row r="328" spans="1:4" x14ac:dyDescent="0.25">
      <c r="A328" t="s">
        <v>1658</v>
      </c>
      <c r="B328">
        <v>1</v>
      </c>
      <c r="C328" s="54">
        <v>42856</v>
      </c>
      <c r="D328" s="3" t="str">
        <f>YEAR(Datos_Consumo[[#This Row],[FECHA]])&amp;"-"&amp;MONTH(Datos_Consumo[[#This Row],[FECHA]])</f>
        <v>2017-5</v>
      </c>
    </row>
    <row r="329" spans="1:4" x14ac:dyDescent="0.25">
      <c r="A329" t="s">
        <v>1659</v>
      </c>
      <c r="B329">
        <v>1</v>
      </c>
      <c r="C329" s="54">
        <v>42795</v>
      </c>
      <c r="D329" s="3" t="str">
        <f>YEAR(Datos_Consumo[[#This Row],[FECHA]])&amp;"-"&amp;MONTH(Datos_Consumo[[#This Row],[FECHA]])</f>
        <v>2017-3</v>
      </c>
    </row>
    <row r="330" spans="1:4" x14ac:dyDescent="0.25">
      <c r="A330" t="s">
        <v>1660</v>
      </c>
      <c r="B330">
        <v>1</v>
      </c>
      <c r="C330" s="54">
        <v>42856</v>
      </c>
      <c r="D330" s="3" t="str">
        <f>YEAR(Datos_Consumo[[#This Row],[FECHA]])&amp;"-"&amp;MONTH(Datos_Consumo[[#This Row],[FECHA]])</f>
        <v>2017-5</v>
      </c>
    </row>
    <row r="331" spans="1:4" x14ac:dyDescent="0.25">
      <c r="A331" t="s">
        <v>1661</v>
      </c>
      <c r="B331">
        <v>1</v>
      </c>
      <c r="C331" s="54">
        <v>42826</v>
      </c>
      <c r="D331" s="3" t="str">
        <f>YEAR(Datos_Consumo[[#This Row],[FECHA]])&amp;"-"&amp;MONTH(Datos_Consumo[[#This Row],[FECHA]])</f>
        <v>2017-4</v>
      </c>
    </row>
    <row r="332" spans="1:4" x14ac:dyDescent="0.25">
      <c r="A332" t="s">
        <v>1662</v>
      </c>
      <c r="B332">
        <v>3</v>
      </c>
      <c r="C332" s="54">
        <v>42795</v>
      </c>
      <c r="D332" s="3" t="str">
        <f>YEAR(Datos_Consumo[[#This Row],[FECHA]])&amp;"-"&amp;MONTH(Datos_Consumo[[#This Row],[FECHA]])</f>
        <v>2017-3</v>
      </c>
    </row>
    <row r="333" spans="1:4" x14ac:dyDescent="0.25">
      <c r="A333" t="s">
        <v>1662</v>
      </c>
      <c r="B333">
        <v>2</v>
      </c>
      <c r="C333" s="54">
        <v>42826</v>
      </c>
      <c r="D333" s="3" t="str">
        <f>YEAR(Datos_Consumo[[#This Row],[FECHA]])&amp;"-"&amp;MONTH(Datos_Consumo[[#This Row],[FECHA]])</f>
        <v>2017-4</v>
      </c>
    </row>
    <row r="334" spans="1:4" x14ac:dyDescent="0.25">
      <c r="A334" t="s">
        <v>1457</v>
      </c>
      <c r="B334">
        <v>1</v>
      </c>
      <c r="C334" s="54">
        <v>42795</v>
      </c>
      <c r="D334" s="3" t="str">
        <f>YEAR(Datos_Consumo[[#This Row],[FECHA]])&amp;"-"&amp;MONTH(Datos_Consumo[[#This Row],[FECHA]])</f>
        <v>2017-3</v>
      </c>
    </row>
    <row r="335" spans="1:4" x14ac:dyDescent="0.25">
      <c r="A335" t="s">
        <v>1457</v>
      </c>
      <c r="B335">
        <v>4</v>
      </c>
      <c r="C335" s="54">
        <v>42826</v>
      </c>
      <c r="D335" s="3" t="str">
        <f>YEAR(Datos_Consumo[[#This Row],[FECHA]])&amp;"-"&amp;MONTH(Datos_Consumo[[#This Row],[FECHA]])</f>
        <v>2017-4</v>
      </c>
    </row>
    <row r="336" spans="1:4" x14ac:dyDescent="0.25">
      <c r="A336" t="s">
        <v>1663</v>
      </c>
      <c r="B336">
        <v>2</v>
      </c>
      <c r="C336" s="54">
        <v>42826</v>
      </c>
      <c r="D336" s="3" t="str">
        <f>YEAR(Datos_Consumo[[#This Row],[FECHA]])&amp;"-"&amp;MONTH(Datos_Consumo[[#This Row],[FECHA]])</f>
        <v>2017-4</v>
      </c>
    </row>
    <row r="337" spans="1:4" x14ac:dyDescent="0.25">
      <c r="A337" t="s">
        <v>1663</v>
      </c>
      <c r="B337">
        <v>3</v>
      </c>
      <c r="C337" s="54">
        <v>42856</v>
      </c>
      <c r="D337" s="3" t="str">
        <f>YEAR(Datos_Consumo[[#This Row],[FECHA]])&amp;"-"&amp;MONTH(Datos_Consumo[[#This Row],[FECHA]])</f>
        <v>2017-5</v>
      </c>
    </row>
    <row r="338" spans="1:4" x14ac:dyDescent="0.25">
      <c r="A338" t="s">
        <v>1664</v>
      </c>
      <c r="B338">
        <v>2</v>
      </c>
      <c r="C338" s="54">
        <v>42826</v>
      </c>
      <c r="D338" s="3" t="str">
        <f>YEAR(Datos_Consumo[[#This Row],[FECHA]])&amp;"-"&amp;MONTH(Datos_Consumo[[#This Row],[FECHA]])</f>
        <v>2017-4</v>
      </c>
    </row>
    <row r="339" spans="1:4" x14ac:dyDescent="0.25">
      <c r="A339" t="s">
        <v>1664</v>
      </c>
      <c r="B339">
        <v>1</v>
      </c>
      <c r="C339" s="54">
        <v>42856</v>
      </c>
      <c r="D339" s="3" t="str">
        <f>YEAR(Datos_Consumo[[#This Row],[FECHA]])&amp;"-"&amp;MONTH(Datos_Consumo[[#This Row],[FECHA]])</f>
        <v>2017-5</v>
      </c>
    </row>
    <row r="340" spans="1:4" x14ac:dyDescent="0.25">
      <c r="A340" t="s">
        <v>1665</v>
      </c>
      <c r="B340">
        <v>3</v>
      </c>
      <c r="C340" s="54">
        <v>42795</v>
      </c>
      <c r="D340" s="3" t="str">
        <f>YEAR(Datos_Consumo[[#This Row],[FECHA]])&amp;"-"&amp;MONTH(Datos_Consumo[[#This Row],[FECHA]])</f>
        <v>2017-3</v>
      </c>
    </row>
    <row r="341" spans="1:4" x14ac:dyDescent="0.25">
      <c r="A341" t="s">
        <v>1665</v>
      </c>
      <c r="B341">
        <v>3</v>
      </c>
      <c r="C341" s="54">
        <v>42826</v>
      </c>
      <c r="D341" s="3" t="str">
        <f>YEAR(Datos_Consumo[[#This Row],[FECHA]])&amp;"-"&amp;MONTH(Datos_Consumo[[#This Row],[FECHA]])</f>
        <v>2017-4</v>
      </c>
    </row>
    <row r="342" spans="1:4" x14ac:dyDescent="0.25">
      <c r="A342" t="s">
        <v>1666</v>
      </c>
      <c r="B342">
        <v>1</v>
      </c>
      <c r="C342" s="54">
        <v>42856</v>
      </c>
      <c r="D342" s="3" t="str">
        <f>YEAR(Datos_Consumo[[#This Row],[FECHA]])&amp;"-"&amp;MONTH(Datos_Consumo[[#This Row],[FECHA]])</f>
        <v>2017-5</v>
      </c>
    </row>
    <row r="343" spans="1:4" x14ac:dyDescent="0.25">
      <c r="A343" t="s">
        <v>1667</v>
      </c>
      <c r="B343">
        <v>1</v>
      </c>
      <c r="C343" s="54">
        <v>42795</v>
      </c>
      <c r="D343" s="3" t="str">
        <f>YEAR(Datos_Consumo[[#This Row],[FECHA]])&amp;"-"&amp;MONTH(Datos_Consumo[[#This Row],[FECHA]])</f>
        <v>2017-3</v>
      </c>
    </row>
    <row r="344" spans="1:4" x14ac:dyDescent="0.25">
      <c r="A344" t="s">
        <v>1667</v>
      </c>
      <c r="B344">
        <v>2</v>
      </c>
      <c r="C344" s="54">
        <v>42826</v>
      </c>
      <c r="D344" s="3" t="str">
        <f>YEAR(Datos_Consumo[[#This Row],[FECHA]])&amp;"-"&amp;MONTH(Datos_Consumo[[#This Row],[FECHA]])</f>
        <v>2017-4</v>
      </c>
    </row>
    <row r="345" spans="1:4" x14ac:dyDescent="0.25">
      <c r="A345" t="s">
        <v>1668</v>
      </c>
      <c r="B345">
        <v>2</v>
      </c>
      <c r="C345" s="54">
        <v>42826</v>
      </c>
      <c r="D345" s="3" t="str">
        <f>YEAR(Datos_Consumo[[#This Row],[FECHA]])&amp;"-"&amp;MONTH(Datos_Consumo[[#This Row],[FECHA]])</f>
        <v>2017-4</v>
      </c>
    </row>
    <row r="346" spans="1:4" x14ac:dyDescent="0.25">
      <c r="A346" t="s">
        <v>1668</v>
      </c>
      <c r="B346">
        <v>2</v>
      </c>
      <c r="C346" s="54">
        <v>42856</v>
      </c>
      <c r="D346" s="3" t="str">
        <f>YEAR(Datos_Consumo[[#This Row],[FECHA]])&amp;"-"&amp;MONTH(Datos_Consumo[[#This Row],[FECHA]])</f>
        <v>2017-5</v>
      </c>
    </row>
    <row r="347" spans="1:4" x14ac:dyDescent="0.25">
      <c r="A347" t="s">
        <v>1669</v>
      </c>
      <c r="B347">
        <v>1</v>
      </c>
      <c r="C347" s="54">
        <v>42826</v>
      </c>
      <c r="D347" s="3" t="str">
        <f>YEAR(Datos_Consumo[[#This Row],[FECHA]])&amp;"-"&amp;MONTH(Datos_Consumo[[#This Row],[FECHA]])</f>
        <v>2017-4</v>
      </c>
    </row>
    <row r="348" spans="1:4" x14ac:dyDescent="0.25">
      <c r="A348" t="s">
        <v>1669</v>
      </c>
      <c r="B348">
        <v>1</v>
      </c>
      <c r="C348" s="54">
        <v>42856</v>
      </c>
      <c r="D348" s="3" t="str">
        <f>YEAR(Datos_Consumo[[#This Row],[FECHA]])&amp;"-"&amp;MONTH(Datos_Consumo[[#This Row],[FECHA]])</f>
        <v>2017-5</v>
      </c>
    </row>
    <row r="349" spans="1:4" x14ac:dyDescent="0.25">
      <c r="A349" t="s">
        <v>1670</v>
      </c>
      <c r="B349">
        <v>2</v>
      </c>
      <c r="C349" s="54">
        <v>42795</v>
      </c>
      <c r="D349" s="3" t="str">
        <f>YEAR(Datos_Consumo[[#This Row],[FECHA]])&amp;"-"&amp;MONTH(Datos_Consumo[[#This Row],[FECHA]])</f>
        <v>2017-3</v>
      </c>
    </row>
    <row r="350" spans="1:4" x14ac:dyDescent="0.25">
      <c r="A350" t="s">
        <v>1670</v>
      </c>
      <c r="B350">
        <v>1</v>
      </c>
      <c r="C350" s="54">
        <v>42826</v>
      </c>
      <c r="D350" s="3" t="str">
        <f>YEAR(Datos_Consumo[[#This Row],[FECHA]])&amp;"-"&amp;MONTH(Datos_Consumo[[#This Row],[FECHA]])</f>
        <v>2017-4</v>
      </c>
    </row>
    <row r="351" spans="1:4" x14ac:dyDescent="0.25">
      <c r="A351" t="s">
        <v>1671</v>
      </c>
      <c r="B351">
        <v>1</v>
      </c>
      <c r="C351" s="54">
        <v>42795</v>
      </c>
      <c r="D351" s="3" t="str">
        <f>YEAR(Datos_Consumo[[#This Row],[FECHA]])&amp;"-"&amp;MONTH(Datos_Consumo[[#This Row],[FECHA]])</f>
        <v>2017-3</v>
      </c>
    </row>
    <row r="352" spans="1:4" x14ac:dyDescent="0.25">
      <c r="A352" t="s">
        <v>1672</v>
      </c>
      <c r="B352">
        <v>1</v>
      </c>
      <c r="C352" s="54">
        <v>42826</v>
      </c>
      <c r="D352" s="3" t="str">
        <f>YEAR(Datos_Consumo[[#This Row],[FECHA]])&amp;"-"&amp;MONTH(Datos_Consumo[[#This Row],[FECHA]])</f>
        <v>2017-4</v>
      </c>
    </row>
    <row r="353" spans="1:4" x14ac:dyDescent="0.25">
      <c r="A353" t="s">
        <v>1673</v>
      </c>
      <c r="B353">
        <v>1</v>
      </c>
      <c r="C353" s="54">
        <v>42826</v>
      </c>
      <c r="D353" s="3" t="str">
        <f>YEAR(Datos_Consumo[[#This Row],[FECHA]])&amp;"-"&amp;MONTH(Datos_Consumo[[#This Row],[FECHA]])</f>
        <v>2017-4</v>
      </c>
    </row>
    <row r="354" spans="1:4" x14ac:dyDescent="0.25">
      <c r="A354" t="s">
        <v>1674</v>
      </c>
      <c r="B354">
        <v>2</v>
      </c>
      <c r="C354" s="54">
        <v>42826</v>
      </c>
      <c r="D354" s="3" t="str">
        <f>YEAR(Datos_Consumo[[#This Row],[FECHA]])&amp;"-"&amp;MONTH(Datos_Consumo[[#This Row],[FECHA]])</f>
        <v>2017-4</v>
      </c>
    </row>
    <row r="355" spans="1:4" x14ac:dyDescent="0.25">
      <c r="A355" t="s">
        <v>1675</v>
      </c>
      <c r="B355">
        <v>1</v>
      </c>
      <c r="C355" s="54">
        <v>42856</v>
      </c>
      <c r="D355" s="3" t="str">
        <f>YEAR(Datos_Consumo[[#This Row],[FECHA]])&amp;"-"&amp;MONTH(Datos_Consumo[[#This Row],[FECHA]])</f>
        <v>2017-5</v>
      </c>
    </row>
    <row r="356" spans="1:4" x14ac:dyDescent="0.25">
      <c r="A356" t="s">
        <v>1676</v>
      </c>
      <c r="B356">
        <v>1</v>
      </c>
      <c r="C356" s="54">
        <v>42826</v>
      </c>
      <c r="D356" s="3" t="str">
        <f>YEAR(Datos_Consumo[[#This Row],[FECHA]])&amp;"-"&amp;MONTH(Datos_Consumo[[#This Row],[FECHA]])</f>
        <v>2017-4</v>
      </c>
    </row>
    <row r="357" spans="1:4" x14ac:dyDescent="0.25">
      <c r="A357" t="s">
        <v>1677</v>
      </c>
      <c r="B357">
        <v>1</v>
      </c>
      <c r="C357" s="54">
        <v>42826</v>
      </c>
      <c r="D357" s="3" t="str">
        <f>YEAR(Datos_Consumo[[#This Row],[FECHA]])&amp;"-"&amp;MONTH(Datos_Consumo[[#This Row],[FECHA]])</f>
        <v>2017-4</v>
      </c>
    </row>
    <row r="358" spans="1:4" x14ac:dyDescent="0.25">
      <c r="A358" t="s">
        <v>1678</v>
      </c>
      <c r="B358">
        <v>1</v>
      </c>
      <c r="C358" s="54">
        <v>42795</v>
      </c>
      <c r="D358" s="3" t="str">
        <f>YEAR(Datos_Consumo[[#This Row],[FECHA]])&amp;"-"&amp;MONTH(Datos_Consumo[[#This Row],[FECHA]])</f>
        <v>2017-3</v>
      </c>
    </row>
    <row r="359" spans="1:4" x14ac:dyDescent="0.25">
      <c r="A359" t="s">
        <v>1679</v>
      </c>
      <c r="B359">
        <v>1</v>
      </c>
      <c r="C359" s="54">
        <v>42795</v>
      </c>
      <c r="D359" s="3" t="str">
        <f>YEAR(Datos_Consumo[[#This Row],[FECHA]])&amp;"-"&amp;MONTH(Datos_Consumo[[#This Row],[FECHA]])</f>
        <v>2017-3</v>
      </c>
    </row>
    <row r="360" spans="1:4" x14ac:dyDescent="0.25">
      <c r="A360" t="s">
        <v>1679</v>
      </c>
      <c r="B360">
        <v>2</v>
      </c>
      <c r="C360" s="54">
        <v>42826</v>
      </c>
      <c r="D360" s="3" t="str">
        <f>YEAR(Datos_Consumo[[#This Row],[FECHA]])&amp;"-"&amp;MONTH(Datos_Consumo[[#This Row],[FECHA]])</f>
        <v>2017-4</v>
      </c>
    </row>
    <row r="361" spans="1:4" x14ac:dyDescent="0.25">
      <c r="A361" t="s">
        <v>1680</v>
      </c>
      <c r="B361">
        <v>1</v>
      </c>
      <c r="C361" s="54">
        <v>42826</v>
      </c>
      <c r="D361" s="3" t="str">
        <f>YEAR(Datos_Consumo[[#This Row],[FECHA]])&amp;"-"&amp;MONTH(Datos_Consumo[[#This Row],[FECHA]])</f>
        <v>2017-4</v>
      </c>
    </row>
    <row r="362" spans="1:4" x14ac:dyDescent="0.25">
      <c r="A362" t="s">
        <v>1681</v>
      </c>
      <c r="B362">
        <v>1</v>
      </c>
      <c r="C362" s="54">
        <v>42795</v>
      </c>
      <c r="D362" s="3" t="str">
        <f>YEAR(Datos_Consumo[[#This Row],[FECHA]])&amp;"-"&amp;MONTH(Datos_Consumo[[#This Row],[FECHA]])</f>
        <v>2017-3</v>
      </c>
    </row>
    <row r="363" spans="1:4" x14ac:dyDescent="0.25">
      <c r="A363" t="s">
        <v>1682</v>
      </c>
      <c r="B363">
        <v>1</v>
      </c>
      <c r="C363" s="54">
        <v>42826</v>
      </c>
      <c r="D363" s="3" t="str">
        <f>YEAR(Datos_Consumo[[#This Row],[FECHA]])&amp;"-"&amp;MONTH(Datos_Consumo[[#This Row],[FECHA]])</f>
        <v>2017-4</v>
      </c>
    </row>
    <row r="364" spans="1:4" x14ac:dyDescent="0.25">
      <c r="A364" t="s">
        <v>1458</v>
      </c>
      <c r="B364">
        <v>1</v>
      </c>
      <c r="C364" s="54">
        <v>42795</v>
      </c>
      <c r="D364" s="3" t="str">
        <f>YEAR(Datos_Consumo[[#This Row],[FECHA]])&amp;"-"&amp;MONTH(Datos_Consumo[[#This Row],[FECHA]])</f>
        <v>2017-3</v>
      </c>
    </row>
    <row r="365" spans="1:4" x14ac:dyDescent="0.25">
      <c r="A365" t="s">
        <v>1458</v>
      </c>
      <c r="B365">
        <v>3</v>
      </c>
      <c r="C365" s="54">
        <v>42826</v>
      </c>
      <c r="D365" s="3" t="str">
        <f>YEAR(Datos_Consumo[[#This Row],[FECHA]])&amp;"-"&amp;MONTH(Datos_Consumo[[#This Row],[FECHA]])</f>
        <v>2017-4</v>
      </c>
    </row>
    <row r="366" spans="1:4" x14ac:dyDescent="0.25">
      <c r="A366" t="s">
        <v>1458</v>
      </c>
      <c r="B366">
        <v>1</v>
      </c>
      <c r="C366" s="54">
        <v>42856</v>
      </c>
      <c r="D366" s="3" t="str">
        <f>YEAR(Datos_Consumo[[#This Row],[FECHA]])&amp;"-"&amp;MONTH(Datos_Consumo[[#This Row],[FECHA]])</f>
        <v>2017-5</v>
      </c>
    </row>
    <row r="367" spans="1:4" x14ac:dyDescent="0.25">
      <c r="A367" t="s">
        <v>1459</v>
      </c>
      <c r="B367">
        <v>4</v>
      </c>
      <c r="C367" s="54">
        <v>42795</v>
      </c>
      <c r="D367" s="3" t="str">
        <f>YEAR(Datos_Consumo[[#This Row],[FECHA]])&amp;"-"&amp;MONTH(Datos_Consumo[[#This Row],[FECHA]])</f>
        <v>2017-3</v>
      </c>
    </row>
    <row r="368" spans="1:4" x14ac:dyDescent="0.25">
      <c r="A368" t="s">
        <v>1459</v>
      </c>
      <c r="B368">
        <v>6</v>
      </c>
      <c r="C368" s="54">
        <v>42826</v>
      </c>
      <c r="D368" s="3" t="str">
        <f>YEAR(Datos_Consumo[[#This Row],[FECHA]])&amp;"-"&amp;MONTH(Datos_Consumo[[#This Row],[FECHA]])</f>
        <v>2017-4</v>
      </c>
    </row>
    <row r="369" spans="1:4" x14ac:dyDescent="0.25">
      <c r="A369" t="s">
        <v>1460</v>
      </c>
      <c r="B369">
        <v>4</v>
      </c>
      <c r="C369" s="54">
        <v>42795</v>
      </c>
      <c r="D369" s="3" t="str">
        <f>YEAR(Datos_Consumo[[#This Row],[FECHA]])&amp;"-"&amp;MONTH(Datos_Consumo[[#This Row],[FECHA]])</f>
        <v>2017-3</v>
      </c>
    </row>
    <row r="370" spans="1:4" x14ac:dyDescent="0.25">
      <c r="A370" t="s">
        <v>1460</v>
      </c>
      <c r="B370">
        <v>3</v>
      </c>
      <c r="C370" s="54">
        <v>42826</v>
      </c>
      <c r="D370" s="3" t="str">
        <f>YEAR(Datos_Consumo[[#This Row],[FECHA]])&amp;"-"&amp;MONTH(Datos_Consumo[[#This Row],[FECHA]])</f>
        <v>2017-4</v>
      </c>
    </row>
    <row r="371" spans="1:4" x14ac:dyDescent="0.25">
      <c r="A371" t="s">
        <v>1460</v>
      </c>
      <c r="B371">
        <v>5</v>
      </c>
      <c r="C371" s="54">
        <v>42856</v>
      </c>
      <c r="D371" s="3" t="str">
        <f>YEAR(Datos_Consumo[[#This Row],[FECHA]])&amp;"-"&amp;MONTH(Datos_Consumo[[#This Row],[FECHA]])</f>
        <v>2017-5</v>
      </c>
    </row>
    <row r="372" spans="1:4" x14ac:dyDescent="0.25">
      <c r="A372" t="s">
        <v>1461</v>
      </c>
      <c r="B372">
        <v>3</v>
      </c>
      <c r="C372" s="54">
        <v>42826</v>
      </c>
      <c r="D372" s="3" t="str">
        <f>YEAR(Datos_Consumo[[#This Row],[FECHA]])&amp;"-"&amp;MONTH(Datos_Consumo[[#This Row],[FECHA]])</f>
        <v>2017-4</v>
      </c>
    </row>
    <row r="373" spans="1:4" x14ac:dyDescent="0.25">
      <c r="A373" t="s">
        <v>1461</v>
      </c>
      <c r="B373">
        <v>3</v>
      </c>
      <c r="C373" s="54">
        <v>42856</v>
      </c>
      <c r="D373" s="3" t="str">
        <f>YEAR(Datos_Consumo[[#This Row],[FECHA]])&amp;"-"&amp;MONTH(Datos_Consumo[[#This Row],[FECHA]])</f>
        <v>2017-5</v>
      </c>
    </row>
    <row r="374" spans="1:4" x14ac:dyDescent="0.25">
      <c r="A374" t="s">
        <v>1462</v>
      </c>
      <c r="B374">
        <v>1</v>
      </c>
      <c r="C374" s="54">
        <v>42795</v>
      </c>
      <c r="D374" s="3" t="str">
        <f>YEAR(Datos_Consumo[[#This Row],[FECHA]])&amp;"-"&amp;MONTH(Datos_Consumo[[#This Row],[FECHA]])</f>
        <v>2017-3</v>
      </c>
    </row>
    <row r="375" spans="1:4" x14ac:dyDescent="0.25">
      <c r="A375" t="s">
        <v>1462</v>
      </c>
      <c r="B375">
        <v>1</v>
      </c>
      <c r="C375" s="54">
        <v>42826</v>
      </c>
      <c r="D375" s="3" t="str">
        <f>YEAR(Datos_Consumo[[#This Row],[FECHA]])&amp;"-"&amp;MONTH(Datos_Consumo[[#This Row],[FECHA]])</f>
        <v>2017-4</v>
      </c>
    </row>
    <row r="376" spans="1:4" x14ac:dyDescent="0.25">
      <c r="A376" t="s">
        <v>1463</v>
      </c>
      <c r="B376">
        <v>1</v>
      </c>
      <c r="C376" s="54">
        <v>42795</v>
      </c>
      <c r="D376" s="3" t="str">
        <f>YEAR(Datos_Consumo[[#This Row],[FECHA]])&amp;"-"&amp;MONTH(Datos_Consumo[[#This Row],[FECHA]])</f>
        <v>2017-3</v>
      </c>
    </row>
    <row r="377" spans="1:4" x14ac:dyDescent="0.25">
      <c r="A377" t="s">
        <v>1463</v>
      </c>
      <c r="B377">
        <v>3</v>
      </c>
      <c r="C377" s="54">
        <v>42826</v>
      </c>
      <c r="D377" s="3" t="str">
        <f>YEAR(Datos_Consumo[[#This Row],[FECHA]])&amp;"-"&amp;MONTH(Datos_Consumo[[#This Row],[FECHA]])</f>
        <v>2017-4</v>
      </c>
    </row>
    <row r="378" spans="1:4" x14ac:dyDescent="0.25">
      <c r="A378" t="s">
        <v>1464</v>
      </c>
      <c r="B378">
        <v>2</v>
      </c>
      <c r="C378" s="54">
        <v>42795</v>
      </c>
      <c r="D378" s="3" t="str">
        <f>YEAR(Datos_Consumo[[#This Row],[FECHA]])&amp;"-"&amp;MONTH(Datos_Consumo[[#This Row],[FECHA]])</f>
        <v>2017-3</v>
      </c>
    </row>
    <row r="379" spans="1:4" x14ac:dyDescent="0.25">
      <c r="A379" t="s">
        <v>1464</v>
      </c>
      <c r="B379">
        <v>1</v>
      </c>
      <c r="C379" s="54">
        <v>42826</v>
      </c>
      <c r="D379" s="3" t="str">
        <f>YEAR(Datos_Consumo[[#This Row],[FECHA]])&amp;"-"&amp;MONTH(Datos_Consumo[[#This Row],[FECHA]])</f>
        <v>2017-4</v>
      </c>
    </row>
    <row r="380" spans="1:4" x14ac:dyDescent="0.25">
      <c r="A380" t="s">
        <v>1464</v>
      </c>
      <c r="B380">
        <v>3</v>
      </c>
      <c r="C380" s="54">
        <v>42856</v>
      </c>
      <c r="D380" s="3" t="str">
        <f>YEAR(Datos_Consumo[[#This Row],[FECHA]])&amp;"-"&amp;MONTH(Datos_Consumo[[#This Row],[FECHA]])</f>
        <v>2017-5</v>
      </c>
    </row>
    <row r="381" spans="1:4" x14ac:dyDescent="0.25">
      <c r="A381" t="s">
        <v>1465</v>
      </c>
      <c r="B381">
        <v>3</v>
      </c>
      <c r="C381" s="54">
        <v>42795</v>
      </c>
      <c r="D381" s="3" t="str">
        <f>YEAR(Datos_Consumo[[#This Row],[FECHA]])&amp;"-"&amp;MONTH(Datos_Consumo[[#This Row],[FECHA]])</f>
        <v>2017-3</v>
      </c>
    </row>
    <row r="382" spans="1:4" x14ac:dyDescent="0.25">
      <c r="A382" t="s">
        <v>1465</v>
      </c>
      <c r="B382">
        <v>6</v>
      </c>
      <c r="C382" s="54">
        <v>42826</v>
      </c>
      <c r="D382" s="3" t="str">
        <f>YEAR(Datos_Consumo[[#This Row],[FECHA]])&amp;"-"&amp;MONTH(Datos_Consumo[[#This Row],[FECHA]])</f>
        <v>2017-4</v>
      </c>
    </row>
    <row r="383" spans="1:4" x14ac:dyDescent="0.25">
      <c r="A383" t="s">
        <v>1465</v>
      </c>
      <c r="B383">
        <v>1</v>
      </c>
      <c r="C383" s="54">
        <v>42856</v>
      </c>
      <c r="D383" s="3" t="str">
        <f>YEAR(Datos_Consumo[[#This Row],[FECHA]])&amp;"-"&amp;MONTH(Datos_Consumo[[#This Row],[FECHA]])</f>
        <v>2017-5</v>
      </c>
    </row>
    <row r="384" spans="1:4" x14ac:dyDescent="0.25">
      <c r="A384" t="s">
        <v>1466</v>
      </c>
      <c r="B384">
        <v>4</v>
      </c>
      <c r="C384" s="54">
        <v>42795</v>
      </c>
      <c r="D384" s="3" t="str">
        <f>YEAR(Datos_Consumo[[#This Row],[FECHA]])&amp;"-"&amp;MONTH(Datos_Consumo[[#This Row],[FECHA]])</f>
        <v>2017-3</v>
      </c>
    </row>
    <row r="385" spans="1:4" x14ac:dyDescent="0.25">
      <c r="A385" t="s">
        <v>1466</v>
      </c>
      <c r="B385">
        <v>2</v>
      </c>
      <c r="C385" s="54">
        <v>42826</v>
      </c>
      <c r="D385" s="3" t="str">
        <f>YEAR(Datos_Consumo[[#This Row],[FECHA]])&amp;"-"&amp;MONTH(Datos_Consumo[[#This Row],[FECHA]])</f>
        <v>2017-4</v>
      </c>
    </row>
    <row r="386" spans="1:4" x14ac:dyDescent="0.25">
      <c r="A386" t="s">
        <v>1466</v>
      </c>
      <c r="B386">
        <v>2</v>
      </c>
      <c r="C386" s="54">
        <v>42856</v>
      </c>
      <c r="D386" s="3" t="str">
        <f>YEAR(Datos_Consumo[[#This Row],[FECHA]])&amp;"-"&amp;MONTH(Datos_Consumo[[#This Row],[FECHA]])</f>
        <v>2017-5</v>
      </c>
    </row>
    <row r="387" spans="1:4" x14ac:dyDescent="0.25">
      <c r="A387" t="s">
        <v>1467</v>
      </c>
      <c r="B387">
        <v>1</v>
      </c>
      <c r="C387" s="54">
        <v>42795</v>
      </c>
      <c r="D387" s="3" t="str">
        <f>YEAR(Datos_Consumo[[#This Row],[FECHA]])&amp;"-"&amp;MONTH(Datos_Consumo[[#This Row],[FECHA]])</f>
        <v>2017-3</v>
      </c>
    </row>
    <row r="388" spans="1:4" x14ac:dyDescent="0.25">
      <c r="A388" t="s">
        <v>1467</v>
      </c>
      <c r="B388">
        <v>2</v>
      </c>
      <c r="C388" s="54">
        <v>42826</v>
      </c>
      <c r="D388" s="3" t="str">
        <f>YEAR(Datos_Consumo[[#This Row],[FECHA]])&amp;"-"&amp;MONTH(Datos_Consumo[[#This Row],[FECHA]])</f>
        <v>2017-4</v>
      </c>
    </row>
    <row r="389" spans="1:4" x14ac:dyDescent="0.25">
      <c r="A389" t="s">
        <v>1467</v>
      </c>
      <c r="B389">
        <v>1</v>
      </c>
      <c r="C389" s="54">
        <v>42856</v>
      </c>
      <c r="D389" s="3" t="str">
        <f>YEAR(Datos_Consumo[[#This Row],[FECHA]])&amp;"-"&amp;MONTH(Datos_Consumo[[#This Row],[FECHA]])</f>
        <v>2017-5</v>
      </c>
    </row>
    <row r="390" spans="1:4" x14ac:dyDescent="0.25">
      <c r="A390" t="s">
        <v>1468</v>
      </c>
      <c r="B390">
        <v>3</v>
      </c>
      <c r="C390" s="54">
        <v>42795</v>
      </c>
      <c r="D390" s="3" t="str">
        <f>YEAR(Datos_Consumo[[#This Row],[FECHA]])&amp;"-"&amp;MONTH(Datos_Consumo[[#This Row],[FECHA]])</f>
        <v>2017-3</v>
      </c>
    </row>
    <row r="391" spans="1:4" x14ac:dyDescent="0.25">
      <c r="A391" t="s">
        <v>1468</v>
      </c>
      <c r="B391">
        <v>5</v>
      </c>
      <c r="C391" s="54">
        <v>42826</v>
      </c>
      <c r="D391" s="3" t="str">
        <f>YEAR(Datos_Consumo[[#This Row],[FECHA]])&amp;"-"&amp;MONTH(Datos_Consumo[[#This Row],[FECHA]])</f>
        <v>2017-4</v>
      </c>
    </row>
    <row r="392" spans="1:4" x14ac:dyDescent="0.25">
      <c r="A392" t="s">
        <v>1468</v>
      </c>
      <c r="B392">
        <v>1</v>
      </c>
      <c r="C392" s="54">
        <v>42856</v>
      </c>
      <c r="D392" s="3" t="str">
        <f>YEAR(Datos_Consumo[[#This Row],[FECHA]])&amp;"-"&amp;MONTH(Datos_Consumo[[#This Row],[FECHA]])</f>
        <v>2017-5</v>
      </c>
    </row>
    <row r="393" spans="1:4" x14ac:dyDescent="0.25">
      <c r="A393" t="s">
        <v>1469</v>
      </c>
      <c r="B393">
        <v>2</v>
      </c>
      <c r="C393" s="54">
        <v>42795</v>
      </c>
      <c r="D393" s="3" t="str">
        <f>YEAR(Datos_Consumo[[#This Row],[FECHA]])&amp;"-"&amp;MONTH(Datos_Consumo[[#This Row],[FECHA]])</f>
        <v>2017-3</v>
      </c>
    </row>
    <row r="394" spans="1:4" x14ac:dyDescent="0.25">
      <c r="A394" t="s">
        <v>1469</v>
      </c>
      <c r="B394">
        <v>5</v>
      </c>
      <c r="C394" s="54">
        <v>42826</v>
      </c>
      <c r="D394" s="3" t="str">
        <f>YEAR(Datos_Consumo[[#This Row],[FECHA]])&amp;"-"&amp;MONTH(Datos_Consumo[[#This Row],[FECHA]])</f>
        <v>2017-4</v>
      </c>
    </row>
    <row r="395" spans="1:4" x14ac:dyDescent="0.25">
      <c r="A395" t="s">
        <v>1469</v>
      </c>
      <c r="B395">
        <v>1</v>
      </c>
      <c r="C395" s="54">
        <v>42856</v>
      </c>
      <c r="D395" s="3" t="str">
        <f>YEAR(Datos_Consumo[[#This Row],[FECHA]])&amp;"-"&amp;MONTH(Datos_Consumo[[#This Row],[FECHA]])</f>
        <v>2017-5</v>
      </c>
    </row>
    <row r="396" spans="1:4" x14ac:dyDescent="0.25">
      <c r="A396" t="s">
        <v>1470</v>
      </c>
      <c r="B396">
        <v>2</v>
      </c>
      <c r="C396" s="54">
        <v>42795</v>
      </c>
      <c r="D396" s="3" t="str">
        <f>YEAR(Datos_Consumo[[#This Row],[FECHA]])&amp;"-"&amp;MONTH(Datos_Consumo[[#This Row],[FECHA]])</f>
        <v>2017-3</v>
      </c>
    </row>
    <row r="397" spans="1:4" x14ac:dyDescent="0.25">
      <c r="A397" t="s">
        <v>1470</v>
      </c>
      <c r="B397">
        <v>3</v>
      </c>
      <c r="C397" s="54">
        <v>42826</v>
      </c>
      <c r="D397" s="3" t="str">
        <f>YEAR(Datos_Consumo[[#This Row],[FECHA]])&amp;"-"&amp;MONTH(Datos_Consumo[[#This Row],[FECHA]])</f>
        <v>2017-4</v>
      </c>
    </row>
    <row r="398" spans="1:4" x14ac:dyDescent="0.25">
      <c r="A398" t="s">
        <v>1470</v>
      </c>
      <c r="B398">
        <v>3</v>
      </c>
      <c r="C398" s="54">
        <v>42856</v>
      </c>
      <c r="D398" s="3" t="str">
        <f>YEAR(Datos_Consumo[[#This Row],[FECHA]])&amp;"-"&amp;MONTH(Datos_Consumo[[#This Row],[FECHA]])</f>
        <v>2017-5</v>
      </c>
    </row>
    <row r="399" spans="1:4" x14ac:dyDescent="0.25">
      <c r="A399" t="s">
        <v>1471</v>
      </c>
      <c r="B399">
        <v>3</v>
      </c>
      <c r="C399" s="54">
        <v>42795</v>
      </c>
      <c r="D399" s="3" t="str">
        <f>YEAR(Datos_Consumo[[#This Row],[FECHA]])&amp;"-"&amp;MONTH(Datos_Consumo[[#This Row],[FECHA]])</f>
        <v>2017-3</v>
      </c>
    </row>
    <row r="400" spans="1:4" x14ac:dyDescent="0.25">
      <c r="A400" t="s">
        <v>1471</v>
      </c>
      <c r="B400">
        <v>1</v>
      </c>
      <c r="C400" s="54">
        <v>42826</v>
      </c>
      <c r="D400" s="3" t="str">
        <f>YEAR(Datos_Consumo[[#This Row],[FECHA]])&amp;"-"&amp;MONTH(Datos_Consumo[[#This Row],[FECHA]])</f>
        <v>2017-4</v>
      </c>
    </row>
    <row r="401" spans="1:4" x14ac:dyDescent="0.25">
      <c r="A401" t="s">
        <v>1471</v>
      </c>
      <c r="B401">
        <v>1</v>
      </c>
      <c r="C401" s="54">
        <v>42856</v>
      </c>
      <c r="D401" s="3" t="str">
        <f>YEAR(Datos_Consumo[[#This Row],[FECHA]])&amp;"-"&amp;MONTH(Datos_Consumo[[#This Row],[FECHA]])</f>
        <v>2017-5</v>
      </c>
    </row>
    <row r="402" spans="1:4" x14ac:dyDescent="0.25">
      <c r="A402" t="s">
        <v>1472</v>
      </c>
      <c r="B402">
        <v>1</v>
      </c>
      <c r="C402" s="54">
        <v>42826</v>
      </c>
      <c r="D402" s="3" t="str">
        <f>YEAR(Datos_Consumo[[#This Row],[FECHA]])&amp;"-"&amp;MONTH(Datos_Consumo[[#This Row],[FECHA]])</f>
        <v>2017-4</v>
      </c>
    </row>
    <row r="403" spans="1:4" x14ac:dyDescent="0.25">
      <c r="A403" t="s">
        <v>1472</v>
      </c>
      <c r="B403">
        <v>2</v>
      </c>
      <c r="C403" s="54">
        <v>42856</v>
      </c>
      <c r="D403" s="3" t="str">
        <f>YEAR(Datos_Consumo[[#This Row],[FECHA]])&amp;"-"&amp;MONTH(Datos_Consumo[[#This Row],[FECHA]])</f>
        <v>2017-5</v>
      </c>
    </row>
    <row r="404" spans="1:4" x14ac:dyDescent="0.25">
      <c r="A404" t="s">
        <v>1473</v>
      </c>
      <c r="B404">
        <v>1</v>
      </c>
      <c r="C404" s="54">
        <v>42826</v>
      </c>
      <c r="D404" s="3" t="str">
        <f>YEAR(Datos_Consumo[[#This Row],[FECHA]])&amp;"-"&amp;MONTH(Datos_Consumo[[#This Row],[FECHA]])</f>
        <v>2017-4</v>
      </c>
    </row>
    <row r="405" spans="1:4" x14ac:dyDescent="0.25">
      <c r="A405" t="s">
        <v>1473</v>
      </c>
      <c r="B405">
        <v>1</v>
      </c>
      <c r="C405" s="54">
        <v>42856</v>
      </c>
      <c r="D405" s="3" t="str">
        <f>YEAR(Datos_Consumo[[#This Row],[FECHA]])&amp;"-"&amp;MONTH(Datos_Consumo[[#This Row],[FECHA]])</f>
        <v>2017-5</v>
      </c>
    </row>
    <row r="406" spans="1:4" x14ac:dyDescent="0.25">
      <c r="A406" t="s">
        <v>1474</v>
      </c>
      <c r="B406">
        <v>2</v>
      </c>
      <c r="C406" s="54">
        <v>42795</v>
      </c>
      <c r="D406" s="3" t="str">
        <f>YEAR(Datos_Consumo[[#This Row],[FECHA]])&amp;"-"&amp;MONTH(Datos_Consumo[[#This Row],[FECHA]])</f>
        <v>2017-3</v>
      </c>
    </row>
    <row r="407" spans="1:4" x14ac:dyDescent="0.25">
      <c r="A407" t="s">
        <v>1474</v>
      </c>
      <c r="B407">
        <v>4</v>
      </c>
      <c r="C407" s="54">
        <v>42826</v>
      </c>
      <c r="D407" s="3" t="str">
        <f>YEAR(Datos_Consumo[[#This Row],[FECHA]])&amp;"-"&amp;MONTH(Datos_Consumo[[#This Row],[FECHA]])</f>
        <v>2017-4</v>
      </c>
    </row>
    <row r="408" spans="1:4" x14ac:dyDescent="0.25">
      <c r="A408" t="s">
        <v>1475</v>
      </c>
      <c r="B408">
        <v>3</v>
      </c>
      <c r="C408" s="54">
        <v>42795</v>
      </c>
      <c r="D408" s="3" t="str">
        <f>YEAR(Datos_Consumo[[#This Row],[FECHA]])&amp;"-"&amp;MONTH(Datos_Consumo[[#This Row],[FECHA]])</f>
        <v>2017-3</v>
      </c>
    </row>
    <row r="409" spans="1:4" x14ac:dyDescent="0.25">
      <c r="A409" t="s">
        <v>1475</v>
      </c>
      <c r="B409">
        <v>3</v>
      </c>
      <c r="C409" s="54">
        <v>42826</v>
      </c>
      <c r="D409" s="3" t="str">
        <f>YEAR(Datos_Consumo[[#This Row],[FECHA]])&amp;"-"&amp;MONTH(Datos_Consumo[[#This Row],[FECHA]])</f>
        <v>2017-4</v>
      </c>
    </row>
    <row r="410" spans="1:4" x14ac:dyDescent="0.25">
      <c r="A410" t="s">
        <v>1475</v>
      </c>
      <c r="B410">
        <v>2</v>
      </c>
      <c r="C410" s="54">
        <v>42856</v>
      </c>
      <c r="D410" s="3" t="str">
        <f>YEAR(Datos_Consumo[[#This Row],[FECHA]])&amp;"-"&amp;MONTH(Datos_Consumo[[#This Row],[FECHA]])</f>
        <v>2017-5</v>
      </c>
    </row>
    <row r="411" spans="1:4" x14ac:dyDescent="0.25">
      <c r="A411" t="s">
        <v>1476</v>
      </c>
      <c r="B411">
        <v>1</v>
      </c>
      <c r="C411" s="54">
        <v>42795</v>
      </c>
      <c r="D411" s="3" t="str">
        <f>YEAR(Datos_Consumo[[#This Row],[FECHA]])&amp;"-"&amp;MONTH(Datos_Consumo[[#This Row],[FECHA]])</f>
        <v>2017-3</v>
      </c>
    </row>
    <row r="412" spans="1:4" x14ac:dyDescent="0.25">
      <c r="A412" t="s">
        <v>1476</v>
      </c>
      <c r="B412">
        <v>3</v>
      </c>
      <c r="C412" s="54">
        <v>42826</v>
      </c>
      <c r="D412" s="3" t="str">
        <f>YEAR(Datos_Consumo[[#This Row],[FECHA]])&amp;"-"&amp;MONTH(Datos_Consumo[[#This Row],[FECHA]])</f>
        <v>2017-4</v>
      </c>
    </row>
    <row r="413" spans="1:4" x14ac:dyDescent="0.25">
      <c r="A413" t="s">
        <v>1476</v>
      </c>
      <c r="B413">
        <v>1</v>
      </c>
      <c r="C413" s="54">
        <v>42856</v>
      </c>
      <c r="D413" s="3" t="str">
        <f>YEAR(Datos_Consumo[[#This Row],[FECHA]])&amp;"-"&amp;MONTH(Datos_Consumo[[#This Row],[FECHA]])</f>
        <v>2017-5</v>
      </c>
    </row>
    <row r="414" spans="1:4" x14ac:dyDescent="0.25">
      <c r="A414" t="s">
        <v>1477</v>
      </c>
      <c r="B414">
        <v>4</v>
      </c>
      <c r="C414" s="54">
        <v>42795</v>
      </c>
      <c r="D414" s="3" t="str">
        <f>YEAR(Datos_Consumo[[#This Row],[FECHA]])&amp;"-"&amp;MONTH(Datos_Consumo[[#This Row],[FECHA]])</f>
        <v>2017-3</v>
      </c>
    </row>
    <row r="415" spans="1:4" x14ac:dyDescent="0.25">
      <c r="A415" t="s">
        <v>1477</v>
      </c>
      <c r="B415">
        <v>2</v>
      </c>
      <c r="C415" s="54">
        <v>42826</v>
      </c>
      <c r="D415" s="3" t="str">
        <f>YEAR(Datos_Consumo[[#This Row],[FECHA]])&amp;"-"&amp;MONTH(Datos_Consumo[[#This Row],[FECHA]])</f>
        <v>2017-4</v>
      </c>
    </row>
    <row r="416" spans="1:4" x14ac:dyDescent="0.25">
      <c r="A416" t="s">
        <v>1477</v>
      </c>
      <c r="B416">
        <v>2</v>
      </c>
      <c r="C416" s="54">
        <v>42856</v>
      </c>
      <c r="D416" s="3" t="str">
        <f>YEAR(Datos_Consumo[[#This Row],[FECHA]])&amp;"-"&amp;MONTH(Datos_Consumo[[#This Row],[FECHA]])</f>
        <v>2017-5</v>
      </c>
    </row>
    <row r="417" spans="1:4" x14ac:dyDescent="0.25">
      <c r="A417" t="s">
        <v>1478</v>
      </c>
      <c r="B417">
        <v>1</v>
      </c>
      <c r="C417" s="54">
        <v>42795</v>
      </c>
      <c r="D417" s="3" t="str">
        <f>YEAR(Datos_Consumo[[#This Row],[FECHA]])&amp;"-"&amp;MONTH(Datos_Consumo[[#This Row],[FECHA]])</f>
        <v>2017-3</v>
      </c>
    </row>
    <row r="418" spans="1:4" x14ac:dyDescent="0.25">
      <c r="A418" t="s">
        <v>1478</v>
      </c>
      <c r="B418">
        <v>1</v>
      </c>
      <c r="C418" s="54">
        <v>42826</v>
      </c>
      <c r="D418" s="3" t="str">
        <f>YEAR(Datos_Consumo[[#This Row],[FECHA]])&amp;"-"&amp;MONTH(Datos_Consumo[[#This Row],[FECHA]])</f>
        <v>2017-4</v>
      </c>
    </row>
    <row r="419" spans="1:4" x14ac:dyDescent="0.25">
      <c r="A419" t="s">
        <v>1478</v>
      </c>
      <c r="B419">
        <v>2</v>
      </c>
      <c r="C419" s="54">
        <v>42856</v>
      </c>
      <c r="D419" s="3" t="str">
        <f>YEAR(Datos_Consumo[[#This Row],[FECHA]])&amp;"-"&amp;MONTH(Datos_Consumo[[#This Row],[FECHA]])</f>
        <v>2017-5</v>
      </c>
    </row>
    <row r="420" spans="1:4" x14ac:dyDescent="0.25">
      <c r="A420" t="s">
        <v>1479</v>
      </c>
      <c r="B420">
        <v>1</v>
      </c>
      <c r="C420" s="54">
        <v>42795</v>
      </c>
      <c r="D420" s="3" t="str">
        <f>YEAR(Datos_Consumo[[#This Row],[FECHA]])&amp;"-"&amp;MONTH(Datos_Consumo[[#This Row],[FECHA]])</f>
        <v>2017-3</v>
      </c>
    </row>
    <row r="421" spans="1:4" x14ac:dyDescent="0.25">
      <c r="A421" t="s">
        <v>1479</v>
      </c>
      <c r="B421">
        <v>1</v>
      </c>
      <c r="C421" s="54">
        <v>42826</v>
      </c>
      <c r="D421" s="3" t="str">
        <f>YEAR(Datos_Consumo[[#This Row],[FECHA]])&amp;"-"&amp;MONTH(Datos_Consumo[[#This Row],[FECHA]])</f>
        <v>2017-4</v>
      </c>
    </row>
    <row r="422" spans="1:4" x14ac:dyDescent="0.25">
      <c r="A422" t="s">
        <v>1683</v>
      </c>
      <c r="B422">
        <v>2</v>
      </c>
      <c r="C422" s="54">
        <v>42826</v>
      </c>
      <c r="D422" s="3" t="str">
        <f>YEAR(Datos_Consumo[[#This Row],[FECHA]])&amp;"-"&amp;MONTH(Datos_Consumo[[#This Row],[FECHA]])</f>
        <v>2017-4</v>
      </c>
    </row>
    <row r="423" spans="1:4" x14ac:dyDescent="0.25">
      <c r="A423" t="s">
        <v>1480</v>
      </c>
      <c r="B423">
        <v>2</v>
      </c>
      <c r="C423" s="54">
        <v>42826</v>
      </c>
      <c r="D423" s="3" t="str">
        <f>YEAR(Datos_Consumo[[#This Row],[FECHA]])&amp;"-"&amp;MONTH(Datos_Consumo[[#This Row],[FECHA]])</f>
        <v>2017-4</v>
      </c>
    </row>
    <row r="424" spans="1:4" x14ac:dyDescent="0.25">
      <c r="A424" t="s">
        <v>1684</v>
      </c>
      <c r="B424">
        <v>1</v>
      </c>
      <c r="C424" s="54">
        <v>42795</v>
      </c>
      <c r="D424" s="3" t="str">
        <f>YEAR(Datos_Consumo[[#This Row],[FECHA]])&amp;"-"&amp;MONTH(Datos_Consumo[[#This Row],[FECHA]])</f>
        <v>2017-3</v>
      </c>
    </row>
    <row r="425" spans="1:4" x14ac:dyDescent="0.25">
      <c r="A425" t="s">
        <v>1685</v>
      </c>
      <c r="B425">
        <v>1</v>
      </c>
      <c r="C425" s="54">
        <v>42826</v>
      </c>
      <c r="D425" s="3" t="str">
        <f>YEAR(Datos_Consumo[[#This Row],[FECHA]])&amp;"-"&amp;MONTH(Datos_Consumo[[#This Row],[FECHA]])</f>
        <v>2017-4</v>
      </c>
    </row>
    <row r="426" spans="1:4" x14ac:dyDescent="0.25">
      <c r="A426" t="s">
        <v>1686</v>
      </c>
      <c r="B426">
        <v>1</v>
      </c>
      <c r="C426" s="54">
        <v>42856</v>
      </c>
      <c r="D426" s="3" t="str">
        <f>YEAR(Datos_Consumo[[#This Row],[FECHA]])&amp;"-"&amp;MONTH(Datos_Consumo[[#This Row],[FECHA]])</f>
        <v>2017-5</v>
      </c>
    </row>
    <row r="427" spans="1:4" x14ac:dyDescent="0.25">
      <c r="A427" t="s">
        <v>1481</v>
      </c>
      <c r="B427">
        <v>3</v>
      </c>
      <c r="C427" s="54">
        <v>42795</v>
      </c>
      <c r="D427" s="3" t="str">
        <f>YEAR(Datos_Consumo[[#This Row],[FECHA]])&amp;"-"&amp;MONTH(Datos_Consumo[[#This Row],[FECHA]])</f>
        <v>2017-3</v>
      </c>
    </row>
    <row r="428" spans="1:4" x14ac:dyDescent="0.25">
      <c r="A428" t="s">
        <v>1482</v>
      </c>
      <c r="B428">
        <v>1</v>
      </c>
      <c r="C428" s="54">
        <v>42795</v>
      </c>
      <c r="D428" s="3" t="str">
        <f>YEAR(Datos_Consumo[[#This Row],[FECHA]])&amp;"-"&amp;MONTH(Datos_Consumo[[#This Row],[FECHA]])</f>
        <v>2017-3</v>
      </c>
    </row>
    <row r="429" spans="1:4" x14ac:dyDescent="0.25">
      <c r="A429" t="s">
        <v>1482</v>
      </c>
      <c r="B429">
        <v>2</v>
      </c>
      <c r="C429" s="54">
        <v>42826</v>
      </c>
      <c r="D429" s="3" t="str">
        <f>YEAR(Datos_Consumo[[#This Row],[FECHA]])&amp;"-"&amp;MONTH(Datos_Consumo[[#This Row],[FECHA]])</f>
        <v>2017-4</v>
      </c>
    </row>
    <row r="430" spans="1:4" x14ac:dyDescent="0.25">
      <c r="A430" t="s">
        <v>1687</v>
      </c>
      <c r="B430">
        <v>1</v>
      </c>
      <c r="C430" s="54">
        <v>42795</v>
      </c>
      <c r="D430" s="3" t="str">
        <f>YEAR(Datos_Consumo[[#This Row],[FECHA]])&amp;"-"&amp;MONTH(Datos_Consumo[[#This Row],[FECHA]])</f>
        <v>2017-3</v>
      </c>
    </row>
    <row r="431" spans="1:4" x14ac:dyDescent="0.25">
      <c r="A431" t="s">
        <v>1483</v>
      </c>
      <c r="B431">
        <v>4</v>
      </c>
      <c r="C431" s="54">
        <v>42795</v>
      </c>
      <c r="D431" s="3" t="str">
        <f>YEAR(Datos_Consumo[[#This Row],[FECHA]])&amp;"-"&amp;MONTH(Datos_Consumo[[#This Row],[FECHA]])</f>
        <v>2017-3</v>
      </c>
    </row>
    <row r="432" spans="1:4" x14ac:dyDescent="0.25">
      <c r="A432" t="s">
        <v>1483</v>
      </c>
      <c r="B432">
        <v>5</v>
      </c>
      <c r="C432" s="54">
        <v>42826</v>
      </c>
      <c r="D432" s="3" t="str">
        <f>YEAR(Datos_Consumo[[#This Row],[FECHA]])&amp;"-"&amp;MONTH(Datos_Consumo[[#This Row],[FECHA]])</f>
        <v>2017-4</v>
      </c>
    </row>
    <row r="433" spans="1:4" x14ac:dyDescent="0.25">
      <c r="A433" t="s">
        <v>1483</v>
      </c>
      <c r="B433">
        <v>1</v>
      </c>
      <c r="C433" s="54">
        <v>42856</v>
      </c>
      <c r="D433" s="3" t="str">
        <f>YEAR(Datos_Consumo[[#This Row],[FECHA]])&amp;"-"&amp;MONTH(Datos_Consumo[[#This Row],[FECHA]])</f>
        <v>2017-5</v>
      </c>
    </row>
    <row r="434" spans="1:4" x14ac:dyDescent="0.25">
      <c r="A434" t="s">
        <v>1484</v>
      </c>
      <c r="B434">
        <v>1</v>
      </c>
      <c r="C434" s="54">
        <v>42826</v>
      </c>
      <c r="D434" s="3" t="str">
        <f>YEAR(Datos_Consumo[[#This Row],[FECHA]])&amp;"-"&amp;MONTH(Datos_Consumo[[#This Row],[FECHA]])</f>
        <v>2017-4</v>
      </c>
    </row>
    <row r="435" spans="1:4" x14ac:dyDescent="0.25">
      <c r="A435" t="s">
        <v>1485</v>
      </c>
      <c r="B435">
        <v>6</v>
      </c>
      <c r="C435" s="54">
        <v>42795</v>
      </c>
      <c r="D435" s="3" t="str">
        <f>YEAR(Datos_Consumo[[#This Row],[FECHA]])&amp;"-"&amp;MONTH(Datos_Consumo[[#This Row],[FECHA]])</f>
        <v>2017-3</v>
      </c>
    </row>
    <row r="436" spans="1:4" x14ac:dyDescent="0.25">
      <c r="A436" t="s">
        <v>1485</v>
      </c>
      <c r="B436">
        <v>9</v>
      </c>
      <c r="C436" s="54">
        <v>42826</v>
      </c>
      <c r="D436" s="3" t="str">
        <f>YEAR(Datos_Consumo[[#This Row],[FECHA]])&amp;"-"&amp;MONTH(Datos_Consumo[[#This Row],[FECHA]])</f>
        <v>2017-4</v>
      </c>
    </row>
    <row r="437" spans="1:4" x14ac:dyDescent="0.25">
      <c r="A437" t="s">
        <v>1485</v>
      </c>
      <c r="B437">
        <v>6</v>
      </c>
      <c r="C437" s="54">
        <v>42856</v>
      </c>
      <c r="D437" s="3" t="str">
        <f>YEAR(Datos_Consumo[[#This Row],[FECHA]])&amp;"-"&amp;MONTH(Datos_Consumo[[#This Row],[FECHA]])</f>
        <v>2017-5</v>
      </c>
    </row>
    <row r="438" spans="1:4" x14ac:dyDescent="0.25">
      <c r="A438" t="s">
        <v>1486</v>
      </c>
      <c r="B438">
        <v>3</v>
      </c>
      <c r="C438" s="54">
        <v>42826</v>
      </c>
      <c r="D438" s="3" t="str">
        <f>YEAR(Datos_Consumo[[#This Row],[FECHA]])&amp;"-"&amp;MONTH(Datos_Consumo[[#This Row],[FECHA]])</f>
        <v>2017-4</v>
      </c>
    </row>
    <row r="439" spans="1:4" x14ac:dyDescent="0.25">
      <c r="A439" t="s">
        <v>1486</v>
      </c>
      <c r="B439">
        <v>1</v>
      </c>
      <c r="C439" s="54">
        <v>42856</v>
      </c>
      <c r="D439" s="3" t="str">
        <f>YEAR(Datos_Consumo[[#This Row],[FECHA]])&amp;"-"&amp;MONTH(Datos_Consumo[[#This Row],[FECHA]])</f>
        <v>2017-5</v>
      </c>
    </row>
    <row r="440" spans="1:4" x14ac:dyDescent="0.25">
      <c r="A440" t="s">
        <v>1487</v>
      </c>
      <c r="B440">
        <v>1</v>
      </c>
      <c r="C440" s="54">
        <v>42795</v>
      </c>
      <c r="D440" s="3" t="str">
        <f>YEAR(Datos_Consumo[[#This Row],[FECHA]])&amp;"-"&amp;MONTH(Datos_Consumo[[#This Row],[FECHA]])</f>
        <v>2017-3</v>
      </c>
    </row>
    <row r="441" spans="1:4" x14ac:dyDescent="0.25">
      <c r="A441" t="s">
        <v>1488</v>
      </c>
      <c r="B441">
        <v>1</v>
      </c>
      <c r="C441" s="54">
        <v>42826</v>
      </c>
      <c r="D441" s="3" t="str">
        <f>YEAR(Datos_Consumo[[#This Row],[FECHA]])&amp;"-"&amp;MONTH(Datos_Consumo[[#This Row],[FECHA]])</f>
        <v>2017-4</v>
      </c>
    </row>
    <row r="442" spans="1:4" x14ac:dyDescent="0.25">
      <c r="A442" t="s">
        <v>1489</v>
      </c>
      <c r="B442">
        <v>6</v>
      </c>
      <c r="C442" s="54">
        <v>42795</v>
      </c>
      <c r="D442" s="3" t="str">
        <f>YEAR(Datos_Consumo[[#This Row],[FECHA]])&amp;"-"&amp;MONTH(Datos_Consumo[[#This Row],[FECHA]])</f>
        <v>2017-3</v>
      </c>
    </row>
    <row r="443" spans="1:4" x14ac:dyDescent="0.25">
      <c r="A443" t="s">
        <v>1489</v>
      </c>
      <c r="B443">
        <v>3</v>
      </c>
      <c r="C443" s="54">
        <v>42826</v>
      </c>
      <c r="D443" s="3" t="str">
        <f>YEAR(Datos_Consumo[[#This Row],[FECHA]])&amp;"-"&amp;MONTH(Datos_Consumo[[#This Row],[FECHA]])</f>
        <v>2017-4</v>
      </c>
    </row>
    <row r="444" spans="1:4" x14ac:dyDescent="0.25">
      <c r="A444" t="s">
        <v>1489</v>
      </c>
      <c r="B444">
        <v>5</v>
      </c>
      <c r="C444" s="54">
        <v>42856</v>
      </c>
      <c r="D444" s="3" t="str">
        <f>YEAR(Datos_Consumo[[#This Row],[FECHA]])&amp;"-"&amp;MONTH(Datos_Consumo[[#This Row],[FECHA]])</f>
        <v>2017-5</v>
      </c>
    </row>
    <row r="445" spans="1:4" x14ac:dyDescent="0.25">
      <c r="A445" t="s">
        <v>1490</v>
      </c>
      <c r="B445">
        <v>2</v>
      </c>
      <c r="C445" s="54">
        <v>42795</v>
      </c>
      <c r="D445" s="3" t="str">
        <f>YEAR(Datos_Consumo[[#This Row],[FECHA]])&amp;"-"&amp;MONTH(Datos_Consumo[[#This Row],[FECHA]])</f>
        <v>2017-3</v>
      </c>
    </row>
    <row r="446" spans="1:4" x14ac:dyDescent="0.25">
      <c r="A446" t="s">
        <v>1491</v>
      </c>
      <c r="B446">
        <v>1</v>
      </c>
      <c r="C446" s="54">
        <v>42826</v>
      </c>
      <c r="D446" s="3" t="str">
        <f>YEAR(Datos_Consumo[[#This Row],[FECHA]])&amp;"-"&amp;MONTH(Datos_Consumo[[#This Row],[FECHA]])</f>
        <v>2017-4</v>
      </c>
    </row>
    <row r="447" spans="1:4" x14ac:dyDescent="0.25">
      <c r="A447" t="s">
        <v>1491</v>
      </c>
      <c r="B447">
        <v>1</v>
      </c>
      <c r="C447" s="54">
        <v>42856</v>
      </c>
      <c r="D447" s="3" t="str">
        <f>YEAR(Datos_Consumo[[#This Row],[FECHA]])&amp;"-"&amp;MONTH(Datos_Consumo[[#This Row],[FECHA]])</f>
        <v>2017-5</v>
      </c>
    </row>
    <row r="448" spans="1:4" x14ac:dyDescent="0.25">
      <c r="A448" t="s">
        <v>1492</v>
      </c>
      <c r="B448">
        <v>1</v>
      </c>
      <c r="C448" s="54">
        <v>42795</v>
      </c>
      <c r="D448" s="3" t="str">
        <f>YEAR(Datos_Consumo[[#This Row],[FECHA]])&amp;"-"&amp;MONTH(Datos_Consumo[[#This Row],[FECHA]])</f>
        <v>2017-3</v>
      </c>
    </row>
    <row r="449" spans="1:4" x14ac:dyDescent="0.25">
      <c r="A449" t="s">
        <v>1492</v>
      </c>
      <c r="B449">
        <v>2</v>
      </c>
      <c r="C449" s="54">
        <v>42826</v>
      </c>
      <c r="D449" s="3" t="str">
        <f>YEAR(Datos_Consumo[[#This Row],[FECHA]])&amp;"-"&amp;MONTH(Datos_Consumo[[#This Row],[FECHA]])</f>
        <v>2017-4</v>
      </c>
    </row>
    <row r="450" spans="1:4" x14ac:dyDescent="0.25">
      <c r="A450" t="s">
        <v>1492</v>
      </c>
      <c r="B450">
        <v>1</v>
      </c>
      <c r="C450" s="54">
        <v>42856</v>
      </c>
      <c r="D450" s="3" t="str">
        <f>YEAR(Datos_Consumo[[#This Row],[FECHA]])&amp;"-"&amp;MONTH(Datos_Consumo[[#This Row],[FECHA]])</f>
        <v>2017-5</v>
      </c>
    </row>
    <row r="451" spans="1:4" x14ac:dyDescent="0.25">
      <c r="A451" t="s">
        <v>1688</v>
      </c>
      <c r="B451">
        <v>2</v>
      </c>
      <c r="C451" s="54">
        <v>42826</v>
      </c>
      <c r="D451" s="3" t="str">
        <f>YEAR(Datos_Consumo[[#This Row],[FECHA]])&amp;"-"&amp;MONTH(Datos_Consumo[[#This Row],[FECHA]])</f>
        <v>2017-4</v>
      </c>
    </row>
    <row r="452" spans="1:4" x14ac:dyDescent="0.25">
      <c r="A452" t="s">
        <v>1689</v>
      </c>
      <c r="B452">
        <v>1</v>
      </c>
      <c r="C452" s="54">
        <v>42826</v>
      </c>
      <c r="D452" s="3" t="str">
        <f>YEAR(Datos_Consumo[[#This Row],[FECHA]])&amp;"-"&amp;MONTH(Datos_Consumo[[#This Row],[FECHA]])</f>
        <v>2017-4</v>
      </c>
    </row>
    <row r="453" spans="1:4" x14ac:dyDescent="0.25">
      <c r="A453" t="s">
        <v>1690</v>
      </c>
      <c r="B453">
        <v>1</v>
      </c>
      <c r="C453" s="54">
        <v>42795</v>
      </c>
      <c r="D453" s="3" t="str">
        <f>YEAR(Datos_Consumo[[#This Row],[FECHA]])&amp;"-"&amp;MONTH(Datos_Consumo[[#This Row],[FECHA]])</f>
        <v>2017-3</v>
      </c>
    </row>
    <row r="454" spans="1:4" x14ac:dyDescent="0.25">
      <c r="A454" t="s">
        <v>1493</v>
      </c>
      <c r="B454">
        <v>1</v>
      </c>
      <c r="C454" s="54">
        <v>42795</v>
      </c>
      <c r="D454" s="3" t="str">
        <f>YEAR(Datos_Consumo[[#This Row],[FECHA]])&amp;"-"&amp;MONTH(Datos_Consumo[[#This Row],[FECHA]])</f>
        <v>2017-3</v>
      </c>
    </row>
    <row r="455" spans="1:4" x14ac:dyDescent="0.25">
      <c r="A455" t="s">
        <v>1691</v>
      </c>
      <c r="B455">
        <v>1</v>
      </c>
      <c r="C455" s="54">
        <v>42795</v>
      </c>
      <c r="D455" s="3" t="str">
        <f>YEAR(Datos_Consumo[[#This Row],[FECHA]])&amp;"-"&amp;MONTH(Datos_Consumo[[#This Row],[FECHA]])</f>
        <v>2017-3</v>
      </c>
    </row>
    <row r="456" spans="1:4" x14ac:dyDescent="0.25">
      <c r="A456" t="s">
        <v>1692</v>
      </c>
      <c r="B456">
        <v>1</v>
      </c>
      <c r="C456" s="54">
        <v>42795</v>
      </c>
      <c r="D456" s="3" t="str">
        <f>YEAR(Datos_Consumo[[#This Row],[FECHA]])&amp;"-"&amp;MONTH(Datos_Consumo[[#This Row],[FECHA]])</f>
        <v>2017-3</v>
      </c>
    </row>
    <row r="457" spans="1:4" x14ac:dyDescent="0.25">
      <c r="A457" t="s">
        <v>1693</v>
      </c>
      <c r="B457">
        <v>1</v>
      </c>
      <c r="C457" s="54">
        <v>42826</v>
      </c>
      <c r="D457" s="3" t="str">
        <f>YEAR(Datos_Consumo[[#This Row],[FECHA]])&amp;"-"&amp;MONTH(Datos_Consumo[[#This Row],[FECHA]])</f>
        <v>2017-4</v>
      </c>
    </row>
    <row r="458" spans="1:4" x14ac:dyDescent="0.25">
      <c r="A458" t="s">
        <v>1694</v>
      </c>
      <c r="B458">
        <v>1</v>
      </c>
      <c r="C458" s="54">
        <v>42856</v>
      </c>
      <c r="D458" s="3" t="str">
        <f>YEAR(Datos_Consumo[[#This Row],[FECHA]])&amp;"-"&amp;MONTH(Datos_Consumo[[#This Row],[FECHA]])</f>
        <v>2017-5</v>
      </c>
    </row>
    <row r="459" spans="1:4" x14ac:dyDescent="0.25">
      <c r="A459" t="s">
        <v>1695</v>
      </c>
      <c r="B459">
        <v>1</v>
      </c>
      <c r="C459" s="54">
        <v>42826</v>
      </c>
      <c r="D459" s="3" t="str">
        <f>YEAR(Datos_Consumo[[#This Row],[FECHA]])&amp;"-"&amp;MONTH(Datos_Consumo[[#This Row],[FECHA]])</f>
        <v>2017-4</v>
      </c>
    </row>
    <row r="460" spans="1:4" x14ac:dyDescent="0.25">
      <c r="A460" t="s">
        <v>1696</v>
      </c>
      <c r="B460">
        <v>1</v>
      </c>
      <c r="C460" s="54">
        <v>42856</v>
      </c>
      <c r="D460" s="3" t="str">
        <f>YEAR(Datos_Consumo[[#This Row],[FECHA]])&amp;"-"&amp;MONTH(Datos_Consumo[[#This Row],[FECHA]])</f>
        <v>2017-5</v>
      </c>
    </row>
    <row r="461" spans="1:4" x14ac:dyDescent="0.25">
      <c r="A461" t="s">
        <v>1494</v>
      </c>
      <c r="B461">
        <v>1</v>
      </c>
      <c r="C461" s="54">
        <v>42856</v>
      </c>
      <c r="D461" s="3" t="str">
        <f>YEAR(Datos_Consumo[[#This Row],[FECHA]])&amp;"-"&amp;MONTH(Datos_Consumo[[#This Row],[FECHA]])</f>
        <v>2017-5</v>
      </c>
    </row>
    <row r="462" spans="1:4" x14ac:dyDescent="0.25">
      <c r="A462" t="s">
        <v>1697</v>
      </c>
      <c r="B462">
        <v>1</v>
      </c>
      <c r="C462" s="54">
        <v>42856</v>
      </c>
      <c r="D462" s="3" t="str">
        <f>YEAR(Datos_Consumo[[#This Row],[FECHA]])&amp;"-"&amp;MONTH(Datos_Consumo[[#This Row],[FECHA]])</f>
        <v>2017-5</v>
      </c>
    </row>
    <row r="463" spans="1:4" x14ac:dyDescent="0.25">
      <c r="A463" t="s">
        <v>1698</v>
      </c>
      <c r="B463">
        <v>1</v>
      </c>
      <c r="C463" s="54">
        <v>42826</v>
      </c>
      <c r="D463" s="3" t="str">
        <f>YEAR(Datos_Consumo[[#This Row],[FECHA]])&amp;"-"&amp;MONTH(Datos_Consumo[[#This Row],[FECHA]])</f>
        <v>2017-4</v>
      </c>
    </row>
    <row r="464" spans="1:4" x14ac:dyDescent="0.25">
      <c r="A464" t="s">
        <v>1699</v>
      </c>
      <c r="B464">
        <v>1</v>
      </c>
      <c r="C464" s="54">
        <v>42856</v>
      </c>
      <c r="D464" s="3" t="str">
        <f>YEAR(Datos_Consumo[[#This Row],[FECHA]])&amp;"-"&amp;MONTH(Datos_Consumo[[#This Row],[FECHA]])</f>
        <v>2017-5</v>
      </c>
    </row>
    <row r="465" spans="1:4" x14ac:dyDescent="0.25">
      <c r="A465" t="s">
        <v>1700</v>
      </c>
      <c r="B465">
        <v>1</v>
      </c>
      <c r="C465" s="54">
        <v>42826</v>
      </c>
      <c r="D465" s="3" t="str">
        <f>YEAR(Datos_Consumo[[#This Row],[FECHA]])&amp;"-"&amp;MONTH(Datos_Consumo[[#This Row],[FECHA]])</f>
        <v>2017-4</v>
      </c>
    </row>
    <row r="466" spans="1:4" x14ac:dyDescent="0.25">
      <c r="A466" t="s">
        <v>1495</v>
      </c>
      <c r="B466">
        <v>1</v>
      </c>
      <c r="C466" s="54">
        <v>42795</v>
      </c>
      <c r="D466" s="3" t="str">
        <f>YEAR(Datos_Consumo[[#This Row],[FECHA]])&amp;"-"&amp;MONTH(Datos_Consumo[[#This Row],[FECHA]])</f>
        <v>2017-3</v>
      </c>
    </row>
    <row r="467" spans="1:4" x14ac:dyDescent="0.25">
      <c r="A467" t="s">
        <v>1701</v>
      </c>
      <c r="B467">
        <v>1</v>
      </c>
      <c r="C467" s="54">
        <v>42826</v>
      </c>
      <c r="D467" s="3" t="str">
        <f>YEAR(Datos_Consumo[[#This Row],[FECHA]])&amp;"-"&amp;MONTH(Datos_Consumo[[#This Row],[FECHA]])</f>
        <v>2017-4</v>
      </c>
    </row>
    <row r="468" spans="1:4" x14ac:dyDescent="0.25">
      <c r="A468" t="s">
        <v>1702</v>
      </c>
      <c r="B468">
        <v>1</v>
      </c>
      <c r="C468" s="54">
        <v>42856</v>
      </c>
      <c r="D468" s="3" t="str">
        <f>YEAR(Datos_Consumo[[#This Row],[FECHA]])&amp;"-"&amp;MONTH(Datos_Consumo[[#This Row],[FECHA]])</f>
        <v>2017-5</v>
      </c>
    </row>
    <row r="469" spans="1:4" x14ac:dyDescent="0.25">
      <c r="A469" t="s">
        <v>1703</v>
      </c>
      <c r="B469">
        <v>2</v>
      </c>
      <c r="C469" s="54">
        <v>42826</v>
      </c>
      <c r="D469" s="3" t="str">
        <f>YEAR(Datos_Consumo[[#This Row],[FECHA]])&amp;"-"&amp;MONTH(Datos_Consumo[[#This Row],[FECHA]])</f>
        <v>2017-4</v>
      </c>
    </row>
    <row r="470" spans="1:4" x14ac:dyDescent="0.25">
      <c r="A470" t="s">
        <v>1704</v>
      </c>
      <c r="B470">
        <v>1</v>
      </c>
      <c r="C470" s="54">
        <v>42795</v>
      </c>
      <c r="D470" s="3" t="str">
        <f>YEAR(Datos_Consumo[[#This Row],[FECHA]])&amp;"-"&amp;MONTH(Datos_Consumo[[#This Row],[FECHA]])</f>
        <v>2017-3</v>
      </c>
    </row>
    <row r="471" spans="1:4" x14ac:dyDescent="0.25">
      <c r="A471" t="s">
        <v>1705</v>
      </c>
      <c r="B471">
        <v>2</v>
      </c>
      <c r="C471" s="54">
        <v>42826</v>
      </c>
      <c r="D471" s="3" t="str">
        <f>YEAR(Datos_Consumo[[#This Row],[FECHA]])&amp;"-"&amp;MONTH(Datos_Consumo[[#This Row],[FECHA]])</f>
        <v>2017-4</v>
      </c>
    </row>
    <row r="472" spans="1:4" x14ac:dyDescent="0.25">
      <c r="A472" t="s">
        <v>1496</v>
      </c>
      <c r="B472">
        <v>1</v>
      </c>
      <c r="C472" s="54">
        <v>42826</v>
      </c>
      <c r="D472" s="3" t="str">
        <f>YEAR(Datos_Consumo[[#This Row],[FECHA]])&amp;"-"&amp;MONTH(Datos_Consumo[[#This Row],[FECHA]])</f>
        <v>2017-4</v>
      </c>
    </row>
    <row r="473" spans="1:4" x14ac:dyDescent="0.25">
      <c r="A473" t="s">
        <v>1706</v>
      </c>
      <c r="B473">
        <v>1</v>
      </c>
      <c r="C473" s="54">
        <v>42795</v>
      </c>
      <c r="D473" s="3" t="str">
        <f>YEAR(Datos_Consumo[[#This Row],[FECHA]])&amp;"-"&amp;MONTH(Datos_Consumo[[#This Row],[FECHA]])</f>
        <v>2017-3</v>
      </c>
    </row>
    <row r="474" spans="1:4" x14ac:dyDescent="0.25">
      <c r="A474" t="s">
        <v>1497</v>
      </c>
      <c r="B474">
        <v>1</v>
      </c>
      <c r="C474" s="54">
        <v>42826</v>
      </c>
      <c r="D474" s="3" t="str">
        <f>YEAR(Datos_Consumo[[#This Row],[FECHA]])&amp;"-"&amp;MONTH(Datos_Consumo[[#This Row],[FECHA]])</f>
        <v>2017-4</v>
      </c>
    </row>
    <row r="475" spans="1:4" x14ac:dyDescent="0.25">
      <c r="A475" t="s">
        <v>1707</v>
      </c>
      <c r="B475">
        <v>1</v>
      </c>
      <c r="C475" s="54">
        <v>42795</v>
      </c>
      <c r="D475" s="3" t="str">
        <f>YEAR(Datos_Consumo[[#This Row],[FECHA]])&amp;"-"&amp;MONTH(Datos_Consumo[[#This Row],[FECHA]])</f>
        <v>2017-3</v>
      </c>
    </row>
    <row r="476" spans="1:4" x14ac:dyDescent="0.25">
      <c r="A476" t="s">
        <v>1707</v>
      </c>
      <c r="B476">
        <v>1</v>
      </c>
      <c r="C476" s="54">
        <v>42856</v>
      </c>
      <c r="D476" s="3" t="str">
        <f>YEAR(Datos_Consumo[[#This Row],[FECHA]])&amp;"-"&amp;MONTH(Datos_Consumo[[#This Row],[FECHA]])</f>
        <v>2017-5</v>
      </c>
    </row>
    <row r="477" spans="1:4" x14ac:dyDescent="0.25">
      <c r="A477" t="s">
        <v>1708</v>
      </c>
      <c r="B477">
        <v>1</v>
      </c>
      <c r="C477" s="54">
        <v>42795</v>
      </c>
      <c r="D477" s="3" t="str">
        <f>YEAR(Datos_Consumo[[#This Row],[FECHA]])&amp;"-"&amp;MONTH(Datos_Consumo[[#This Row],[FECHA]])</f>
        <v>2017-3</v>
      </c>
    </row>
    <row r="478" spans="1:4" x14ac:dyDescent="0.25">
      <c r="A478" t="s">
        <v>1708</v>
      </c>
      <c r="B478">
        <v>2</v>
      </c>
      <c r="C478" s="54">
        <v>42826</v>
      </c>
      <c r="D478" s="3" t="str">
        <f>YEAR(Datos_Consumo[[#This Row],[FECHA]])&amp;"-"&amp;MONTH(Datos_Consumo[[#This Row],[FECHA]])</f>
        <v>2017-4</v>
      </c>
    </row>
    <row r="479" spans="1:4" x14ac:dyDescent="0.25">
      <c r="A479" t="s">
        <v>1709</v>
      </c>
      <c r="B479">
        <v>1</v>
      </c>
      <c r="C479" s="54">
        <v>42795</v>
      </c>
      <c r="D479" s="3" t="str">
        <f>YEAR(Datos_Consumo[[#This Row],[FECHA]])&amp;"-"&amp;MONTH(Datos_Consumo[[#This Row],[FECHA]])</f>
        <v>2017-3</v>
      </c>
    </row>
    <row r="480" spans="1:4" x14ac:dyDescent="0.25">
      <c r="A480" t="s">
        <v>1709</v>
      </c>
      <c r="B480">
        <v>1</v>
      </c>
      <c r="C480" s="54">
        <v>42856</v>
      </c>
      <c r="D480" s="3" t="str">
        <f>YEAR(Datos_Consumo[[#This Row],[FECHA]])&amp;"-"&amp;MONTH(Datos_Consumo[[#This Row],[FECHA]])</f>
        <v>2017-5</v>
      </c>
    </row>
    <row r="481" spans="1:4" x14ac:dyDescent="0.25">
      <c r="A481" t="s">
        <v>1710</v>
      </c>
      <c r="B481">
        <v>1</v>
      </c>
      <c r="C481" s="54">
        <v>42826</v>
      </c>
      <c r="D481" s="3" t="str">
        <f>YEAR(Datos_Consumo[[#This Row],[FECHA]])&amp;"-"&amp;MONTH(Datos_Consumo[[#This Row],[FECHA]])</f>
        <v>2017-4</v>
      </c>
    </row>
    <row r="482" spans="1:4" x14ac:dyDescent="0.25">
      <c r="A482" t="s">
        <v>1498</v>
      </c>
      <c r="B482">
        <v>2</v>
      </c>
      <c r="C482" s="54">
        <v>42795</v>
      </c>
      <c r="D482" s="3" t="str">
        <f>YEAR(Datos_Consumo[[#This Row],[FECHA]])&amp;"-"&amp;MONTH(Datos_Consumo[[#This Row],[FECHA]])</f>
        <v>2017-3</v>
      </c>
    </row>
    <row r="483" spans="1:4" x14ac:dyDescent="0.25">
      <c r="A483" t="s">
        <v>1498</v>
      </c>
      <c r="B483">
        <v>1</v>
      </c>
      <c r="C483" s="54">
        <v>42856</v>
      </c>
      <c r="D483" s="3" t="str">
        <f>YEAR(Datos_Consumo[[#This Row],[FECHA]])&amp;"-"&amp;MONTH(Datos_Consumo[[#This Row],[FECHA]])</f>
        <v>2017-5</v>
      </c>
    </row>
    <row r="484" spans="1:4" x14ac:dyDescent="0.25">
      <c r="A484" t="s">
        <v>1499</v>
      </c>
      <c r="B484">
        <v>2</v>
      </c>
      <c r="C484" s="54">
        <v>42795</v>
      </c>
      <c r="D484" s="3" t="str">
        <f>YEAR(Datos_Consumo[[#This Row],[FECHA]])&amp;"-"&amp;MONTH(Datos_Consumo[[#This Row],[FECHA]])</f>
        <v>2017-3</v>
      </c>
    </row>
    <row r="485" spans="1:4" x14ac:dyDescent="0.25">
      <c r="A485" t="s">
        <v>1499</v>
      </c>
      <c r="B485">
        <v>2</v>
      </c>
      <c r="C485" s="54">
        <v>42826</v>
      </c>
      <c r="D485" s="3" t="str">
        <f>YEAR(Datos_Consumo[[#This Row],[FECHA]])&amp;"-"&amp;MONTH(Datos_Consumo[[#This Row],[FECHA]])</f>
        <v>2017-4</v>
      </c>
    </row>
    <row r="486" spans="1:4" x14ac:dyDescent="0.25">
      <c r="A486" t="s">
        <v>1711</v>
      </c>
      <c r="B486">
        <v>1</v>
      </c>
      <c r="C486" s="54">
        <v>42795</v>
      </c>
      <c r="D486" s="3" t="str">
        <f>YEAR(Datos_Consumo[[#This Row],[FECHA]])&amp;"-"&amp;MONTH(Datos_Consumo[[#This Row],[FECHA]])</f>
        <v>2017-3</v>
      </c>
    </row>
    <row r="487" spans="1:4" x14ac:dyDescent="0.25">
      <c r="A487" t="s">
        <v>1712</v>
      </c>
      <c r="B487">
        <v>1</v>
      </c>
      <c r="C487" s="54">
        <v>42856</v>
      </c>
      <c r="D487" s="3" t="str">
        <f>YEAR(Datos_Consumo[[#This Row],[FECHA]])&amp;"-"&amp;MONTH(Datos_Consumo[[#This Row],[FECHA]])</f>
        <v>2017-5</v>
      </c>
    </row>
    <row r="488" spans="1:4" x14ac:dyDescent="0.25">
      <c r="A488" t="s">
        <v>1713</v>
      </c>
      <c r="B488">
        <v>1</v>
      </c>
      <c r="C488" s="54">
        <v>42826</v>
      </c>
      <c r="D488" s="3" t="str">
        <f>YEAR(Datos_Consumo[[#This Row],[FECHA]])&amp;"-"&amp;MONTH(Datos_Consumo[[#This Row],[FECHA]])</f>
        <v>2017-4</v>
      </c>
    </row>
    <row r="489" spans="1:4" x14ac:dyDescent="0.25">
      <c r="A489" t="s">
        <v>1714</v>
      </c>
      <c r="B489">
        <v>1</v>
      </c>
      <c r="C489" s="54">
        <v>42826</v>
      </c>
      <c r="D489" s="3" t="str">
        <f>YEAR(Datos_Consumo[[#This Row],[FECHA]])&amp;"-"&amp;MONTH(Datos_Consumo[[#This Row],[FECHA]])</f>
        <v>2017-4</v>
      </c>
    </row>
    <row r="490" spans="1:4" x14ac:dyDescent="0.25">
      <c r="A490" t="s">
        <v>1715</v>
      </c>
      <c r="B490">
        <v>1</v>
      </c>
      <c r="C490" s="54">
        <v>42826</v>
      </c>
      <c r="D490" s="3" t="str">
        <f>YEAR(Datos_Consumo[[#This Row],[FECHA]])&amp;"-"&amp;MONTH(Datos_Consumo[[#This Row],[FECHA]])</f>
        <v>2017-4</v>
      </c>
    </row>
    <row r="491" spans="1:4" x14ac:dyDescent="0.25">
      <c r="A491" t="s">
        <v>1716</v>
      </c>
      <c r="B491">
        <v>1</v>
      </c>
      <c r="C491" s="54">
        <v>42795</v>
      </c>
      <c r="D491" s="3" t="str">
        <f>YEAR(Datos_Consumo[[#This Row],[FECHA]])&amp;"-"&amp;MONTH(Datos_Consumo[[#This Row],[FECHA]])</f>
        <v>2017-3</v>
      </c>
    </row>
    <row r="492" spans="1:4" x14ac:dyDescent="0.25">
      <c r="A492" t="s">
        <v>1500</v>
      </c>
      <c r="B492">
        <v>1</v>
      </c>
      <c r="C492" s="54">
        <v>42795</v>
      </c>
      <c r="D492" s="3" t="str">
        <f>YEAR(Datos_Consumo[[#This Row],[FECHA]])&amp;"-"&amp;MONTH(Datos_Consumo[[#This Row],[FECHA]])</f>
        <v>2017-3</v>
      </c>
    </row>
    <row r="493" spans="1:4" x14ac:dyDescent="0.25">
      <c r="A493" t="s">
        <v>1501</v>
      </c>
      <c r="B493">
        <v>1</v>
      </c>
      <c r="C493" s="54">
        <v>42795</v>
      </c>
      <c r="D493" s="3" t="str">
        <f>YEAR(Datos_Consumo[[#This Row],[FECHA]])&amp;"-"&amp;MONTH(Datos_Consumo[[#This Row],[FECHA]])</f>
        <v>2017-3</v>
      </c>
    </row>
    <row r="494" spans="1:4" x14ac:dyDescent="0.25">
      <c r="A494" t="s">
        <v>1502</v>
      </c>
      <c r="B494">
        <v>1</v>
      </c>
      <c r="C494" s="54">
        <v>42856</v>
      </c>
      <c r="D494" s="3" t="str">
        <f>YEAR(Datos_Consumo[[#This Row],[FECHA]])&amp;"-"&amp;MONTH(Datos_Consumo[[#This Row],[FECHA]])</f>
        <v>2017-5</v>
      </c>
    </row>
    <row r="495" spans="1:4" x14ac:dyDescent="0.25">
      <c r="A495" t="s">
        <v>1547</v>
      </c>
      <c r="B495">
        <v>3</v>
      </c>
      <c r="C495" s="54">
        <v>42795</v>
      </c>
      <c r="D495" s="3" t="str">
        <f>YEAR(Datos_Consumo[[#This Row],[FECHA]])&amp;"-"&amp;MONTH(Datos_Consumo[[#This Row],[FECHA]])</f>
        <v>2017-3</v>
      </c>
    </row>
    <row r="496" spans="1:4" x14ac:dyDescent="0.25">
      <c r="A496" t="s">
        <v>1548</v>
      </c>
      <c r="B496">
        <v>1</v>
      </c>
      <c r="C496" s="54">
        <v>42795</v>
      </c>
      <c r="D496" s="3" t="str">
        <f>YEAR(Datos_Consumo[[#This Row],[FECHA]])&amp;"-"&amp;MONTH(Datos_Consumo[[#This Row],[FECHA]])</f>
        <v>2017-3</v>
      </c>
    </row>
    <row r="497" spans="1:4" x14ac:dyDescent="0.25">
      <c r="A497" t="s">
        <v>1548</v>
      </c>
      <c r="B497">
        <v>1</v>
      </c>
      <c r="C497" s="54">
        <v>42826</v>
      </c>
      <c r="D497" s="3" t="str">
        <f>YEAR(Datos_Consumo[[#This Row],[FECHA]])&amp;"-"&amp;MONTH(Datos_Consumo[[#This Row],[FECHA]])</f>
        <v>2017-4</v>
      </c>
    </row>
    <row r="498" spans="1:4" x14ac:dyDescent="0.25">
      <c r="A498" t="s">
        <v>1549</v>
      </c>
      <c r="B498">
        <v>1</v>
      </c>
      <c r="C498" s="54">
        <v>42826</v>
      </c>
      <c r="D498" s="3" t="str">
        <f>YEAR(Datos_Consumo[[#This Row],[FECHA]])&amp;"-"&amp;MONTH(Datos_Consumo[[#This Row],[FECHA]])</f>
        <v>2017-4</v>
      </c>
    </row>
    <row r="499" spans="1:4" x14ac:dyDescent="0.25">
      <c r="A499" t="s">
        <v>1717</v>
      </c>
      <c r="B499">
        <v>1</v>
      </c>
      <c r="C499" s="54">
        <v>42795</v>
      </c>
      <c r="D499" s="3" t="str">
        <f>YEAR(Datos_Consumo[[#This Row],[FECHA]])&amp;"-"&amp;MONTH(Datos_Consumo[[#This Row],[FECHA]])</f>
        <v>2017-3</v>
      </c>
    </row>
    <row r="500" spans="1:4" x14ac:dyDescent="0.25">
      <c r="A500" t="s">
        <v>1718</v>
      </c>
      <c r="B500">
        <v>2</v>
      </c>
      <c r="C500" s="54">
        <v>42795</v>
      </c>
      <c r="D500" s="3" t="str">
        <f>YEAR(Datos_Consumo[[#This Row],[FECHA]])&amp;"-"&amp;MONTH(Datos_Consumo[[#This Row],[FECHA]])</f>
        <v>2017-3</v>
      </c>
    </row>
    <row r="501" spans="1:4" x14ac:dyDescent="0.25">
      <c r="A501" t="s">
        <v>1719</v>
      </c>
      <c r="B501">
        <v>1</v>
      </c>
      <c r="C501" s="54">
        <v>42795</v>
      </c>
      <c r="D501" s="3" t="str">
        <f>YEAR(Datos_Consumo[[#This Row],[FECHA]])&amp;"-"&amp;MONTH(Datos_Consumo[[#This Row],[FECHA]])</f>
        <v>2017-3</v>
      </c>
    </row>
    <row r="502" spans="1:4" x14ac:dyDescent="0.25">
      <c r="A502" t="s">
        <v>1720</v>
      </c>
      <c r="B502">
        <v>1</v>
      </c>
      <c r="C502" s="54">
        <v>42795</v>
      </c>
      <c r="D502" s="3" t="str">
        <f>YEAR(Datos_Consumo[[#This Row],[FECHA]])&amp;"-"&amp;MONTH(Datos_Consumo[[#This Row],[FECHA]])</f>
        <v>2017-3</v>
      </c>
    </row>
    <row r="503" spans="1:4" x14ac:dyDescent="0.25">
      <c r="A503" t="s">
        <v>1721</v>
      </c>
      <c r="B503">
        <v>1</v>
      </c>
      <c r="C503" s="54">
        <v>42795</v>
      </c>
      <c r="D503" s="3" t="str">
        <f>YEAR(Datos_Consumo[[#This Row],[FECHA]])&amp;"-"&amp;MONTH(Datos_Consumo[[#This Row],[FECHA]])</f>
        <v>2017-3</v>
      </c>
    </row>
    <row r="504" spans="1:4" x14ac:dyDescent="0.25">
      <c r="A504" t="s">
        <v>1503</v>
      </c>
      <c r="B504">
        <v>1</v>
      </c>
      <c r="C504" s="54">
        <v>42795</v>
      </c>
      <c r="D504" s="3" t="str">
        <f>YEAR(Datos_Consumo[[#This Row],[FECHA]])&amp;"-"&amp;MONTH(Datos_Consumo[[#This Row],[FECHA]])</f>
        <v>2017-3</v>
      </c>
    </row>
    <row r="505" spans="1:4" x14ac:dyDescent="0.25">
      <c r="A505" t="s">
        <v>1503</v>
      </c>
      <c r="B505">
        <v>3</v>
      </c>
      <c r="C505" s="54">
        <v>42826</v>
      </c>
      <c r="D505" s="3" t="str">
        <f>YEAR(Datos_Consumo[[#This Row],[FECHA]])&amp;"-"&amp;MONTH(Datos_Consumo[[#This Row],[FECHA]])</f>
        <v>2017-4</v>
      </c>
    </row>
    <row r="506" spans="1:4" x14ac:dyDescent="0.25">
      <c r="A506" t="s">
        <v>1550</v>
      </c>
      <c r="B506">
        <v>92</v>
      </c>
      <c r="C506" s="54">
        <v>42795</v>
      </c>
      <c r="D506" s="3" t="str">
        <f>YEAR(Datos_Consumo[[#This Row],[FECHA]])&amp;"-"&amp;MONTH(Datos_Consumo[[#This Row],[FECHA]])</f>
        <v>2017-3</v>
      </c>
    </row>
    <row r="507" spans="1:4" x14ac:dyDescent="0.25">
      <c r="A507" t="s">
        <v>1550</v>
      </c>
      <c r="B507">
        <v>2585</v>
      </c>
      <c r="C507" s="54">
        <v>42826</v>
      </c>
      <c r="D507" s="3" t="str">
        <f>YEAR(Datos_Consumo[[#This Row],[FECHA]])&amp;"-"&amp;MONTH(Datos_Consumo[[#This Row],[FECHA]])</f>
        <v>2017-4</v>
      </c>
    </row>
    <row r="508" spans="1:4" x14ac:dyDescent="0.25">
      <c r="A508" t="s">
        <v>1550</v>
      </c>
      <c r="B508">
        <v>161</v>
      </c>
      <c r="C508" s="54">
        <v>42856</v>
      </c>
      <c r="D508" s="3" t="str">
        <f>YEAR(Datos_Consumo[[#This Row],[FECHA]])&amp;"-"&amp;MONTH(Datos_Consumo[[#This Row],[FECHA]])</f>
        <v>2017-5</v>
      </c>
    </row>
    <row r="509" spans="1:4" x14ac:dyDescent="0.25">
      <c r="A509" t="s">
        <v>1722</v>
      </c>
      <c r="B509">
        <v>800</v>
      </c>
      <c r="C509" s="54">
        <v>42826</v>
      </c>
      <c r="D509" s="3" t="str">
        <f>YEAR(Datos_Consumo[[#This Row],[FECHA]])&amp;"-"&amp;MONTH(Datos_Consumo[[#This Row],[FECHA]])</f>
        <v>2017-4</v>
      </c>
    </row>
    <row r="510" spans="1:4" x14ac:dyDescent="0.25">
      <c r="A510" t="s">
        <v>1723</v>
      </c>
      <c r="B510">
        <v>1100</v>
      </c>
      <c r="C510" s="54">
        <v>42826</v>
      </c>
      <c r="D510" s="3" t="str">
        <f>YEAR(Datos_Consumo[[#This Row],[FECHA]])&amp;"-"&amp;MONTH(Datos_Consumo[[#This Row],[FECHA]])</f>
        <v>2017-4</v>
      </c>
    </row>
    <row r="511" spans="1:4" x14ac:dyDescent="0.25">
      <c r="A511" t="s">
        <v>1724</v>
      </c>
      <c r="B511">
        <v>800</v>
      </c>
      <c r="C511" s="54">
        <v>42826</v>
      </c>
      <c r="D511" s="3" t="str">
        <f>YEAR(Datos_Consumo[[#This Row],[FECHA]])&amp;"-"&amp;MONTH(Datos_Consumo[[#This Row],[FECHA]])</f>
        <v>2017-4</v>
      </c>
    </row>
    <row r="512" spans="1:4" x14ac:dyDescent="0.25">
      <c r="A512" t="s">
        <v>1588</v>
      </c>
      <c r="B512">
        <v>3</v>
      </c>
      <c r="C512" s="54">
        <v>42795</v>
      </c>
      <c r="D512" s="3" t="str">
        <f>YEAR(Datos_Consumo[[#This Row],[FECHA]])&amp;"-"&amp;MONTH(Datos_Consumo[[#This Row],[FECHA]])</f>
        <v>2017-3</v>
      </c>
    </row>
    <row r="513" spans="1:4" x14ac:dyDescent="0.25">
      <c r="A513" t="s">
        <v>1725</v>
      </c>
      <c r="B513">
        <v>1</v>
      </c>
      <c r="C513" s="54">
        <v>42795</v>
      </c>
      <c r="D513" s="3" t="str">
        <f>YEAR(Datos_Consumo[[#This Row],[FECHA]])&amp;"-"&amp;MONTH(Datos_Consumo[[#This Row],[FECHA]])</f>
        <v>2017-3</v>
      </c>
    </row>
    <row r="514" spans="1:4" x14ac:dyDescent="0.25">
      <c r="A514" t="s">
        <v>1551</v>
      </c>
      <c r="B514">
        <v>10</v>
      </c>
      <c r="C514" s="54">
        <v>42795</v>
      </c>
      <c r="D514" s="3" t="str">
        <f>YEAR(Datos_Consumo[[#This Row],[FECHA]])&amp;"-"&amp;MONTH(Datos_Consumo[[#This Row],[FECHA]])</f>
        <v>2017-3</v>
      </c>
    </row>
    <row r="515" spans="1:4" x14ac:dyDescent="0.25">
      <c r="A515" t="s">
        <v>1551</v>
      </c>
      <c r="B515">
        <v>10</v>
      </c>
      <c r="C515" s="54">
        <v>42826</v>
      </c>
      <c r="D515" s="3" t="str">
        <f>YEAR(Datos_Consumo[[#This Row],[FECHA]])&amp;"-"&amp;MONTH(Datos_Consumo[[#This Row],[FECHA]])</f>
        <v>2017-4</v>
      </c>
    </row>
    <row r="516" spans="1:4" x14ac:dyDescent="0.25">
      <c r="A516" t="s">
        <v>1551</v>
      </c>
      <c r="B516">
        <v>10</v>
      </c>
      <c r="C516" s="54">
        <v>42856</v>
      </c>
      <c r="D516" s="3" t="str">
        <f>YEAR(Datos_Consumo[[#This Row],[FECHA]])&amp;"-"&amp;MONTH(Datos_Consumo[[#This Row],[FECHA]])</f>
        <v>2017-5</v>
      </c>
    </row>
    <row r="517" spans="1:4" x14ac:dyDescent="0.25">
      <c r="A517" t="s">
        <v>1552</v>
      </c>
      <c r="B517">
        <v>3</v>
      </c>
      <c r="C517" s="54">
        <v>42795</v>
      </c>
      <c r="D517" s="3" t="str">
        <f>YEAR(Datos_Consumo[[#This Row],[FECHA]])&amp;"-"&amp;MONTH(Datos_Consumo[[#This Row],[FECHA]])</f>
        <v>2017-3</v>
      </c>
    </row>
    <row r="518" spans="1:4" x14ac:dyDescent="0.25">
      <c r="A518" t="s">
        <v>1726</v>
      </c>
      <c r="B518">
        <v>6</v>
      </c>
      <c r="C518" s="54">
        <v>42795</v>
      </c>
      <c r="D518" s="3" t="str">
        <f>YEAR(Datos_Consumo[[#This Row],[FECHA]])&amp;"-"&amp;MONTH(Datos_Consumo[[#This Row],[FECHA]])</f>
        <v>2017-3</v>
      </c>
    </row>
    <row r="519" spans="1:4" x14ac:dyDescent="0.25">
      <c r="A519" t="s">
        <v>1589</v>
      </c>
      <c r="B519">
        <v>15</v>
      </c>
      <c r="C519" s="54">
        <v>42795</v>
      </c>
      <c r="D519" s="3" t="str">
        <f>YEAR(Datos_Consumo[[#This Row],[FECHA]])&amp;"-"&amp;MONTH(Datos_Consumo[[#This Row],[FECHA]])</f>
        <v>2017-3</v>
      </c>
    </row>
    <row r="520" spans="1:4" x14ac:dyDescent="0.25">
      <c r="A520" t="s">
        <v>1589</v>
      </c>
      <c r="B520">
        <v>24</v>
      </c>
      <c r="C520" s="54">
        <v>42826</v>
      </c>
      <c r="D520" s="3" t="str">
        <f>YEAR(Datos_Consumo[[#This Row],[FECHA]])&amp;"-"&amp;MONTH(Datos_Consumo[[#This Row],[FECHA]])</f>
        <v>2017-4</v>
      </c>
    </row>
    <row r="521" spans="1:4" x14ac:dyDescent="0.25">
      <c r="A521" t="s">
        <v>1589</v>
      </c>
      <c r="B521">
        <v>7</v>
      </c>
      <c r="C521" s="54">
        <v>42856</v>
      </c>
      <c r="D521" s="3" t="str">
        <f>YEAR(Datos_Consumo[[#This Row],[FECHA]])&amp;"-"&amp;MONTH(Datos_Consumo[[#This Row],[FECHA]])</f>
        <v>2017-5</v>
      </c>
    </row>
    <row r="522" spans="1:4" x14ac:dyDescent="0.25">
      <c r="A522" t="s">
        <v>1511</v>
      </c>
      <c r="B522">
        <v>11</v>
      </c>
      <c r="C522" s="54">
        <v>42795</v>
      </c>
      <c r="D522" s="3" t="str">
        <f>YEAR(Datos_Consumo[[#This Row],[FECHA]])&amp;"-"&amp;MONTH(Datos_Consumo[[#This Row],[FECHA]])</f>
        <v>2017-3</v>
      </c>
    </row>
    <row r="523" spans="1:4" x14ac:dyDescent="0.25">
      <c r="A523" t="s">
        <v>1727</v>
      </c>
      <c r="B523">
        <v>5</v>
      </c>
      <c r="C523" s="54">
        <v>42795</v>
      </c>
      <c r="D523" s="3" t="str">
        <f>YEAR(Datos_Consumo[[#This Row],[FECHA]])&amp;"-"&amp;MONTH(Datos_Consumo[[#This Row],[FECHA]])</f>
        <v>2017-3</v>
      </c>
    </row>
    <row r="524" spans="1:4" x14ac:dyDescent="0.25">
      <c r="A524" t="s">
        <v>1578</v>
      </c>
      <c r="B524">
        <v>1</v>
      </c>
      <c r="C524" s="54">
        <v>42826</v>
      </c>
      <c r="D524" s="3" t="str">
        <f>YEAR(Datos_Consumo[[#This Row],[FECHA]])&amp;"-"&amp;MONTH(Datos_Consumo[[#This Row],[FECHA]])</f>
        <v>2017-4</v>
      </c>
    </row>
    <row r="525" spans="1:4" x14ac:dyDescent="0.25">
      <c r="A525" t="s">
        <v>1578</v>
      </c>
      <c r="B525">
        <v>2</v>
      </c>
      <c r="C525" s="54">
        <v>42856</v>
      </c>
      <c r="D525" s="3" t="str">
        <f>YEAR(Datos_Consumo[[#This Row],[FECHA]])&amp;"-"&amp;MONTH(Datos_Consumo[[#This Row],[FECHA]])</f>
        <v>2017-5</v>
      </c>
    </row>
    <row r="526" spans="1:4" x14ac:dyDescent="0.25">
      <c r="A526" t="s">
        <v>1590</v>
      </c>
      <c r="B526">
        <v>10</v>
      </c>
      <c r="C526" s="54">
        <v>42795</v>
      </c>
      <c r="D526" s="3" t="str">
        <f>YEAR(Datos_Consumo[[#This Row],[FECHA]])&amp;"-"&amp;MONTH(Datos_Consumo[[#This Row],[FECHA]])</f>
        <v>2017-3</v>
      </c>
    </row>
    <row r="527" spans="1:4" x14ac:dyDescent="0.25">
      <c r="A527" t="s">
        <v>1590</v>
      </c>
      <c r="B527">
        <v>15</v>
      </c>
      <c r="C527" s="54">
        <v>42856</v>
      </c>
      <c r="D527" s="3" t="str">
        <f>YEAR(Datos_Consumo[[#This Row],[FECHA]])&amp;"-"&amp;MONTH(Datos_Consumo[[#This Row],[FECHA]])</f>
        <v>2017-5</v>
      </c>
    </row>
    <row r="528" spans="1:4" x14ac:dyDescent="0.25">
      <c r="A528" t="s">
        <v>1728</v>
      </c>
      <c r="B528">
        <v>90</v>
      </c>
      <c r="C528" s="54">
        <v>42795</v>
      </c>
      <c r="D528" s="3" t="str">
        <f>YEAR(Datos_Consumo[[#This Row],[FECHA]])&amp;"-"&amp;MONTH(Datos_Consumo[[#This Row],[FECHA]])</f>
        <v>2017-3</v>
      </c>
    </row>
    <row r="529" spans="1:4" x14ac:dyDescent="0.25">
      <c r="A529" t="s">
        <v>1390</v>
      </c>
      <c r="B529">
        <v>2382</v>
      </c>
      <c r="C529" s="54">
        <v>42795</v>
      </c>
      <c r="D529" s="3" t="str">
        <f>YEAR(Datos_Consumo[[#This Row],[FECHA]])&amp;"-"&amp;MONTH(Datos_Consumo[[#This Row],[FECHA]])</f>
        <v>2017-3</v>
      </c>
    </row>
    <row r="530" spans="1:4" x14ac:dyDescent="0.25">
      <c r="A530" t="s">
        <v>1390</v>
      </c>
      <c r="B530">
        <v>2100</v>
      </c>
      <c r="C530" s="54">
        <v>42826</v>
      </c>
      <c r="D530" s="3" t="str">
        <f>YEAR(Datos_Consumo[[#This Row],[FECHA]])&amp;"-"&amp;MONTH(Datos_Consumo[[#This Row],[FECHA]])</f>
        <v>2017-4</v>
      </c>
    </row>
    <row r="531" spans="1:4" x14ac:dyDescent="0.25">
      <c r="A531" t="s">
        <v>1390</v>
      </c>
      <c r="B531">
        <v>2720</v>
      </c>
      <c r="C531" s="54">
        <v>42856</v>
      </c>
      <c r="D531" s="3" t="str">
        <f>YEAR(Datos_Consumo[[#This Row],[FECHA]])&amp;"-"&amp;MONTH(Datos_Consumo[[#This Row],[FECHA]])</f>
        <v>2017-5</v>
      </c>
    </row>
    <row r="532" spans="1:4" x14ac:dyDescent="0.25">
      <c r="A532" t="s">
        <v>1391</v>
      </c>
      <c r="B532">
        <v>2838</v>
      </c>
      <c r="C532" s="54">
        <v>42795</v>
      </c>
      <c r="D532" s="3" t="str">
        <f>YEAR(Datos_Consumo[[#This Row],[FECHA]])&amp;"-"&amp;MONTH(Datos_Consumo[[#This Row],[FECHA]])</f>
        <v>2017-3</v>
      </c>
    </row>
    <row r="533" spans="1:4" x14ac:dyDescent="0.25">
      <c r="A533" t="s">
        <v>1391</v>
      </c>
      <c r="B533">
        <v>1958</v>
      </c>
      <c r="C533" s="54">
        <v>42826</v>
      </c>
      <c r="D533" s="3" t="str">
        <f>YEAR(Datos_Consumo[[#This Row],[FECHA]])&amp;"-"&amp;MONTH(Datos_Consumo[[#This Row],[FECHA]])</f>
        <v>2017-4</v>
      </c>
    </row>
    <row r="534" spans="1:4" x14ac:dyDescent="0.25">
      <c r="A534" t="s">
        <v>1391</v>
      </c>
      <c r="B534">
        <v>2809</v>
      </c>
      <c r="C534" s="54">
        <v>42856</v>
      </c>
      <c r="D534" s="3" t="str">
        <f>YEAR(Datos_Consumo[[#This Row],[FECHA]])&amp;"-"&amp;MONTH(Datos_Consumo[[#This Row],[FECHA]])</f>
        <v>2017-5</v>
      </c>
    </row>
    <row r="535" spans="1:4" x14ac:dyDescent="0.25">
      <c r="A535" t="s">
        <v>1392</v>
      </c>
      <c r="B535">
        <v>832</v>
      </c>
      <c r="C535" s="54">
        <v>42795</v>
      </c>
      <c r="D535" s="3" t="str">
        <f>YEAR(Datos_Consumo[[#This Row],[FECHA]])&amp;"-"&amp;MONTH(Datos_Consumo[[#This Row],[FECHA]])</f>
        <v>2017-3</v>
      </c>
    </row>
    <row r="536" spans="1:4" x14ac:dyDescent="0.25">
      <c r="A536" t="s">
        <v>1392</v>
      </c>
      <c r="B536">
        <v>1171</v>
      </c>
      <c r="C536" s="54">
        <v>42826</v>
      </c>
      <c r="D536" s="3" t="str">
        <f>YEAR(Datos_Consumo[[#This Row],[FECHA]])&amp;"-"&amp;MONTH(Datos_Consumo[[#This Row],[FECHA]])</f>
        <v>2017-4</v>
      </c>
    </row>
    <row r="537" spans="1:4" x14ac:dyDescent="0.25">
      <c r="A537" t="s">
        <v>1392</v>
      </c>
      <c r="B537">
        <v>1655</v>
      </c>
      <c r="C537" s="54">
        <v>42856</v>
      </c>
      <c r="D537" s="3" t="str">
        <f>YEAR(Datos_Consumo[[#This Row],[FECHA]])&amp;"-"&amp;MONTH(Datos_Consumo[[#This Row],[FECHA]])</f>
        <v>2017-5</v>
      </c>
    </row>
    <row r="538" spans="1:4" x14ac:dyDescent="0.25">
      <c r="A538" t="s">
        <v>1729</v>
      </c>
      <c r="B538">
        <v>1</v>
      </c>
      <c r="C538" s="54">
        <v>42826</v>
      </c>
      <c r="D538" s="3" t="str">
        <f>YEAR(Datos_Consumo[[#This Row],[FECHA]])&amp;"-"&amp;MONTH(Datos_Consumo[[#This Row],[FECHA]])</f>
        <v>2017-4</v>
      </c>
    </row>
    <row r="539" spans="1:4" x14ac:dyDescent="0.25">
      <c r="A539" t="s">
        <v>1553</v>
      </c>
      <c r="B539">
        <v>10</v>
      </c>
      <c r="C539" s="54">
        <v>42795</v>
      </c>
      <c r="D539" s="3" t="str">
        <f>YEAR(Datos_Consumo[[#This Row],[FECHA]])&amp;"-"&amp;MONTH(Datos_Consumo[[#This Row],[FECHA]])</f>
        <v>2017-3</v>
      </c>
    </row>
    <row r="540" spans="1:4" x14ac:dyDescent="0.25">
      <c r="A540" t="s">
        <v>1579</v>
      </c>
      <c r="B540">
        <v>137</v>
      </c>
      <c r="C540" s="54">
        <v>42795</v>
      </c>
      <c r="D540" s="3" t="str">
        <f>YEAR(Datos_Consumo[[#This Row],[FECHA]])&amp;"-"&amp;MONTH(Datos_Consumo[[#This Row],[FECHA]])</f>
        <v>2017-3</v>
      </c>
    </row>
    <row r="541" spans="1:4" x14ac:dyDescent="0.25">
      <c r="A541" t="s">
        <v>1579</v>
      </c>
      <c r="B541">
        <v>90</v>
      </c>
      <c r="C541" s="54">
        <v>42856</v>
      </c>
      <c r="D541" s="3" t="str">
        <f>YEAR(Datos_Consumo[[#This Row],[FECHA]])&amp;"-"&amp;MONTH(Datos_Consumo[[#This Row],[FECHA]])</f>
        <v>2017-5</v>
      </c>
    </row>
    <row r="542" spans="1:4" x14ac:dyDescent="0.25">
      <c r="A542" t="s">
        <v>1512</v>
      </c>
      <c r="B542">
        <v>10</v>
      </c>
      <c r="C542" s="54">
        <v>42795</v>
      </c>
      <c r="D542" s="3" t="str">
        <f>YEAR(Datos_Consumo[[#This Row],[FECHA]])&amp;"-"&amp;MONTH(Datos_Consumo[[#This Row],[FECHA]])</f>
        <v>2017-3</v>
      </c>
    </row>
    <row r="543" spans="1:4" x14ac:dyDescent="0.25">
      <c r="A543" t="s">
        <v>1592</v>
      </c>
      <c r="B543">
        <v>12</v>
      </c>
      <c r="C543" s="54">
        <v>42795</v>
      </c>
      <c r="D543" s="3" t="str">
        <f>YEAR(Datos_Consumo[[#This Row],[FECHA]])&amp;"-"&amp;MONTH(Datos_Consumo[[#This Row],[FECHA]])</f>
        <v>2017-3</v>
      </c>
    </row>
    <row r="544" spans="1:4" x14ac:dyDescent="0.25">
      <c r="A544" t="s">
        <v>1592</v>
      </c>
      <c r="B544">
        <v>42</v>
      </c>
      <c r="C544" s="54">
        <v>42826</v>
      </c>
      <c r="D544" s="3" t="str">
        <f>YEAR(Datos_Consumo[[#This Row],[FECHA]])&amp;"-"&amp;MONTH(Datos_Consumo[[#This Row],[FECHA]])</f>
        <v>2017-4</v>
      </c>
    </row>
    <row r="545" spans="1:4" x14ac:dyDescent="0.25">
      <c r="A545" t="s">
        <v>1592</v>
      </c>
      <c r="B545">
        <v>50</v>
      </c>
      <c r="C545" s="54">
        <v>42856</v>
      </c>
      <c r="D545" s="3" t="str">
        <f>YEAR(Datos_Consumo[[#This Row],[FECHA]])&amp;"-"&amp;MONTH(Datos_Consumo[[#This Row],[FECHA]])</f>
        <v>2017-5</v>
      </c>
    </row>
    <row r="546" spans="1:4" x14ac:dyDescent="0.25">
      <c r="A546" t="s">
        <v>1554</v>
      </c>
      <c r="B546">
        <v>20</v>
      </c>
      <c r="C546" s="54">
        <v>42795</v>
      </c>
      <c r="D546" s="3" t="str">
        <f>YEAR(Datos_Consumo[[#This Row],[FECHA]])&amp;"-"&amp;MONTH(Datos_Consumo[[#This Row],[FECHA]])</f>
        <v>2017-3</v>
      </c>
    </row>
    <row r="547" spans="1:4" x14ac:dyDescent="0.25">
      <c r="A547" t="s">
        <v>1555</v>
      </c>
      <c r="B547">
        <v>10</v>
      </c>
      <c r="C547" s="54">
        <v>42795</v>
      </c>
      <c r="D547" s="3" t="str">
        <f>YEAR(Datos_Consumo[[#This Row],[FECHA]])&amp;"-"&amp;MONTH(Datos_Consumo[[#This Row],[FECHA]])</f>
        <v>2017-3</v>
      </c>
    </row>
    <row r="548" spans="1:4" x14ac:dyDescent="0.25">
      <c r="A548" t="s">
        <v>1393</v>
      </c>
      <c r="B548">
        <v>406</v>
      </c>
      <c r="C548" s="54">
        <v>42795</v>
      </c>
      <c r="D548" s="3" t="str">
        <f>YEAR(Datos_Consumo[[#This Row],[FECHA]])&amp;"-"&amp;MONTH(Datos_Consumo[[#This Row],[FECHA]])</f>
        <v>2017-3</v>
      </c>
    </row>
    <row r="549" spans="1:4" x14ac:dyDescent="0.25">
      <c r="A549" t="s">
        <v>1393</v>
      </c>
      <c r="B549">
        <v>726</v>
      </c>
      <c r="C549" s="54">
        <v>42826</v>
      </c>
      <c r="D549" s="3" t="str">
        <f>YEAR(Datos_Consumo[[#This Row],[FECHA]])&amp;"-"&amp;MONTH(Datos_Consumo[[#This Row],[FECHA]])</f>
        <v>2017-4</v>
      </c>
    </row>
    <row r="550" spans="1:4" x14ac:dyDescent="0.25">
      <c r="A550" t="s">
        <v>1393</v>
      </c>
      <c r="B550">
        <v>1584</v>
      </c>
      <c r="C550" s="54">
        <v>42856</v>
      </c>
      <c r="D550" s="3" t="str">
        <f>YEAR(Datos_Consumo[[#This Row],[FECHA]])&amp;"-"&amp;MONTH(Datos_Consumo[[#This Row],[FECHA]])</f>
        <v>2017-5</v>
      </c>
    </row>
    <row r="551" spans="1:4" x14ac:dyDescent="0.25">
      <c r="A551" t="s">
        <v>1394</v>
      </c>
      <c r="B551">
        <v>420</v>
      </c>
      <c r="C551" s="54">
        <v>42795</v>
      </c>
      <c r="D551" s="3" t="str">
        <f>YEAR(Datos_Consumo[[#This Row],[FECHA]])&amp;"-"&amp;MONTH(Datos_Consumo[[#This Row],[FECHA]])</f>
        <v>2017-3</v>
      </c>
    </row>
    <row r="552" spans="1:4" x14ac:dyDescent="0.25">
      <c r="A552" t="s">
        <v>1394</v>
      </c>
      <c r="B552">
        <v>1610</v>
      </c>
      <c r="C552" s="54">
        <v>42826</v>
      </c>
      <c r="D552" s="3" t="str">
        <f>YEAR(Datos_Consumo[[#This Row],[FECHA]])&amp;"-"&amp;MONTH(Datos_Consumo[[#This Row],[FECHA]])</f>
        <v>2017-4</v>
      </c>
    </row>
    <row r="553" spans="1:4" x14ac:dyDescent="0.25">
      <c r="A553" t="s">
        <v>1394</v>
      </c>
      <c r="B553">
        <v>171</v>
      </c>
      <c r="C553" s="54">
        <v>42856</v>
      </c>
      <c r="D553" s="3" t="str">
        <f>YEAR(Datos_Consumo[[#This Row],[FECHA]])&amp;"-"&amp;MONTH(Datos_Consumo[[#This Row],[FECHA]])</f>
        <v>2017-5</v>
      </c>
    </row>
    <row r="554" spans="1:4" x14ac:dyDescent="0.25">
      <c r="A554" t="s">
        <v>1395</v>
      </c>
      <c r="B554">
        <v>25</v>
      </c>
      <c r="C554" s="54">
        <v>42795</v>
      </c>
      <c r="D554" s="3" t="str">
        <f>YEAR(Datos_Consumo[[#This Row],[FECHA]])&amp;"-"&amp;MONTH(Datos_Consumo[[#This Row],[FECHA]])</f>
        <v>2017-3</v>
      </c>
    </row>
    <row r="555" spans="1:4" x14ac:dyDescent="0.25">
      <c r="A555" t="s">
        <v>1395</v>
      </c>
      <c r="B555">
        <v>800</v>
      </c>
      <c r="C555" s="54">
        <v>42826</v>
      </c>
      <c r="D555" s="3" t="str">
        <f>YEAR(Datos_Consumo[[#This Row],[FECHA]])&amp;"-"&amp;MONTH(Datos_Consumo[[#This Row],[FECHA]])</f>
        <v>2017-4</v>
      </c>
    </row>
    <row r="556" spans="1:4" x14ac:dyDescent="0.25">
      <c r="A556" t="s">
        <v>1395</v>
      </c>
      <c r="B556">
        <v>300</v>
      </c>
      <c r="C556" s="54">
        <v>42856</v>
      </c>
      <c r="D556" s="3" t="str">
        <f>YEAR(Datos_Consumo[[#This Row],[FECHA]])&amp;"-"&amp;MONTH(Datos_Consumo[[#This Row],[FECHA]])</f>
        <v>2017-5</v>
      </c>
    </row>
    <row r="557" spans="1:4" x14ac:dyDescent="0.25">
      <c r="A557" t="s">
        <v>1593</v>
      </c>
      <c r="B557">
        <v>22</v>
      </c>
      <c r="C557" s="54">
        <v>42795</v>
      </c>
      <c r="D557" s="3" t="str">
        <f>YEAR(Datos_Consumo[[#This Row],[FECHA]])&amp;"-"&amp;MONTH(Datos_Consumo[[#This Row],[FECHA]])</f>
        <v>2017-3</v>
      </c>
    </row>
    <row r="558" spans="1:4" x14ac:dyDescent="0.25">
      <c r="A558" t="s">
        <v>1593</v>
      </c>
      <c r="B558">
        <v>50</v>
      </c>
      <c r="C558" s="54">
        <v>42826</v>
      </c>
      <c r="D558" s="3" t="str">
        <f>YEAR(Datos_Consumo[[#This Row],[FECHA]])&amp;"-"&amp;MONTH(Datos_Consumo[[#This Row],[FECHA]])</f>
        <v>2017-4</v>
      </c>
    </row>
    <row r="559" spans="1:4" x14ac:dyDescent="0.25">
      <c r="A559" t="s">
        <v>1593</v>
      </c>
      <c r="B559">
        <v>40</v>
      </c>
      <c r="C559" s="54">
        <v>42856</v>
      </c>
      <c r="D559" s="3" t="str">
        <f>YEAR(Datos_Consumo[[#This Row],[FECHA]])&amp;"-"&amp;MONTH(Datos_Consumo[[#This Row],[FECHA]])</f>
        <v>2017-5</v>
      </c>
    </row>
    <row r="560" spans="1:4" x14ac:dyDescent="0.25">
      <c r="A560" t="s">
        <v>1556</v>
      </c>
      <c r="B560">
        <v>26</v>
      </c>
      <c r="C560" s="54">
        <v>42795</v>
      </c>
      <c r="D560" s="3" t="str">
        <f>YEAR(Datos_Consumo[[#This Row],[FECHA]])&amp;"-"&amp;MONTH(Datos_Consumo[[#This Row],[FECHA]])</f>
        <v>2017-3</v>
      </c>
    </row>
    <row r="561" spans="1:4" x14ac:dyDescent="0.25">
      <c r="A561" t="s">
        <v>1557</v>
      </c>
      <c r="B561">
        <v>2</v>
      </c>
      <c r="C561" s="54">
        <v>42826</v>
      </c>
      <c r="D561" s="3" t="str">
        <f>YEAR(Datos_Consumo[[#This Row],[FECHA]])&amp;"-"&amp;MONTH(Datos_Consumo[[#This Row],[FECHA]])</f>
        <v>2017-4</v>
      </c>
    </row>
    <row r="562" spans="1:4" x14ac:dyDescent="0.25">
      <c r="A562" t="s">
        <v>1557</v>
      </c>
      <c r="B562">
        <v>3</v>
      </c>
      <c r="C562" s="54">
        <v>42856</v>
      </c>
      <c r="D562" s="3" t="str">
        <f>YEAR(Datos_Consumo[[#This Row],[FECHA]])&amp;"-"&amp;MONTH(Datos_Consumo[[#This Row],[FECHA]])</f>
        <v>2017-5</v>
      </c>
    </row>
    <row r="563" spans="1:4" x14ac:dyDescent="0.25">
      <c r="A563" t="s">
        <v>1730</v>
      </c>
      <c r="B563">
        <v>2</v>
      </c>
      <c r="C563" s="54">
        <v>42795</v>
      </c>
      <c r="D563" s="3" t="str">
        <f>YEAR(Datos_Consumo[[#This Row],[FECHA]])&amp;"-"&amp;MONTH(Datos_Consumo[[#This Row],[FECHA]])</f>
        <v>2017-3</v>
      </c>
    </row>
    <row r="564" spans="1:4" x14ac:dyDescent="0.25">
      <c r="A564" t="s">
        <v>1558</v>
      </c>
      <c r="B564">
        <v>25</v>
      </c>
      <c r="C564" s="54">
        <v>42795</v>
      </c>
      <c r="D564" s="3" t="str">
        <f>YEAR(Datos_Consumo[[#This Row],[FECHA]])&amp;"-"&amp;MONTH(Datos_Consumo[[#This Row],[FECHA]])</f>
        <v>2017-3</v>
      </c>
    </row>
    <row r="565" spans="1:4" x14ac:dyDescent="0.25">
      <c r="A565" t="s">
        <v>1558</v>
      </c>
      <c r="B565">
        <v>5</v>
      </c>
      <c r="C565" s="54">
        <v>42826</v>
      </c>
      <c r="D565" s="3" t="str">
        <f>YEAR(Datos_Consumo[[#This Row],[FECHA]])&amp;"-"&amp;MONTH(Datos_Consumo[[#This Row],[FECHA]])</f>
        <v>2017-4</v>
      </c>
    </row>
    <row r="566" spans="1:4" x14ac:dyDescent="0.25">
      <c r="A566" t="s">
        <v>1559</v>
      </c>
      <c r="B566">
        <v>42</v>
      </c>
      <c r="C566" s="54">
        <v>42795</v>
      </c>
      <c r="D566" s="3" t="str">
        <f>YEAR(Datos_Consumo[[#This Row],[FECHA]])&amp;"-"&amp;MONTH(Datos_Consumo[[#This Row],[FECHA]])</f>
        <v>2017-3</v>
      </c>
    </row>
    <row r="567" spans="1:4" x14ac:dyDescent="0.25">
      <c r="A567" t="s">
        <v>1559</v>
      </c>
      <c r="B567">
        <v>34</v>
      </c>
      <c r="C567" s="54">
        <v>42826</v>
      </c>
      <c r="D567" s="3" t="str">
        <f>YEAR(Datos_Consumo[[#This Row],[FECHA]])&amp;"-"&amp;MONTH(Datos_Consumo[[#This Row],[FECHA]])</f>
        <v>2017-4</v>
      </c>
    </row>
    <row r="568" spans="1:4" x14ac:dyDescent="0.25">
      <c r="A568" t="s">
        <v>1559</v>
      </c>
      <c r="B568">
        <v>12</v>
      </c>
      <c r="C568" s="54">
        <v>42856</v>
      </c>
      <c r="D568" s="3" t="str">
        <f>YEAR(Datos_Consumo[[#This Row],[FECHA]])&amp;"-"&amp;MONTH(Datos_Consumo[[#This Row],[FECHA]])</f>
        <v>2017-5</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45</vt:i4>
      </vt:variant>
    </vt:vector>
  </HeadingPairs>
  <TitlesOfParts>
    <vt:vector size="62"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chk_buffer</vt:lpstr>
      <vt:lpstr>chk_categoria</vt:lpstr>
      <vt:lpstr>chk_codigo_vinculado</vt:lpstr>
      <vt:lpstr>chk_familia</vt:lpstr>
      <vt:lpstr>chk_fisico</vt:lpstr>
      <vt:lpstr>chk_grupo</vt:lpstr>
      <vt:lpstr>chk_linea</vt:lpstr>
      <vt:lpstr>chk_marca</vt:lpstr>
      <vt:lpstr>chk_modelo</vt:lpstr>
      <vt:lpstr>chk_proveedor</vt:lpstr>
      <vt:lpstr>chk_subfamilia</vt:lpstr>
      <vt:lpstr>chk_sublinea</vt:lpstr>
      <vt:lpstr>chk_tipo</vt:lpstr>
      <vt:lpstr>CODTRANSFERENCIA</vt:lpstr>
      <vt:lpstr>DESTINO</vt:lpstr>
      <vt:lpstr>EMPRESA</vt:lpstr>
      <vt:lpstr>empresa_aux</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2017-08-23T23:42:16Z</cp:lastPrinted>
  <dcterms:created xsi:type="dcterms:W3CDTF">2010-03-30T06:48:36Z</dcterms:created>
  <dcterms:modified xsi:type="dcterms:W3CDTF">2017-08-24T23:25:16Z</dcterms:modified>
</cp:coreProperties>
</file>