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queryTables/queryTable1.xml" ContentType="application/vnd.openxmlformats-officedocument.spreadsheetml.queryTable+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activeX/activeX26.xml" ContentType="application/vnd.ms-office.activeX+xml"/>
  <Override PartName="/xl/activeX/activeX26.bin" ContentType="application/vnd.ms-office.activeX"/>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drawings/drawing3.xml" ContentType="application/vnd.openxmlformats-officedocument.drawing+xml"/>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O:\TRANSFERENCIAS ACTIVAS\"/>
    </mc:Choice>
  </mc:AlternateContent>
  <bookViews>
    <workbookView xWindow="240" yWindow="0" windowWidth="11040" windowHeight="8475"/>
  </bookViews>
  <sheets>
    <sheet name="TRANSFERENCIA" sheetId="1" r:id="rId1"/>
    <sheet name="AUX" sheetId="22" state="hidden" r:id="rId2"/>
    <sheet name="Form" sheetId="21" state="hidden" r:id="rId3"/>
    <sheet name="DUE" sheetId="19" state="veryHidden" r:id="rId4"/>
    <sheet name="US" sheetId="17" state="veryHidden" r:id="rId5"/>
    <sheet name="PATH" sheetId="13" state="hidden" r:id="rId6"/>
    <sheet name="DATOS" sheetId="3" state="hidden" r:id="rId7"/>
    <sheet name="REPETIDO" sheetId="4" state="hidden" r:id="rId8"/>
    <sheet name="USER" sheetId="18" state="hidden" r:id="rId9"/>
    <sheet name="CUBICAJE" sheetId="5" state="hidden" r:id="rId10"/>
    <sheet name="RECETAS" sheetId="7" state="hidden" r:id="rId11"/>
    <sheet name="ASIGNACION" sheetId="8" state="hidden" r:id="rId12"/>
    <sheet name="MPyPT" sheetId="9" state="hidden" r:id="rId13"/>
    <sheet name="Causas" sheetId="10" state="hidden" r:id="rId14"/>
    <sheet name="IMPRESION" sheetId="11" state="hidden" r:id="rId15"/>
    <sheet name="CriteriosFiltros" sheetId="12" state="hidden" r:id="rId16"/>
    <sheet name="CONSOLIDADOS" sheetId="15" state="hidden" r:id="rId17"/>
    <sheet name="v_buffer_hist_hoy" sheetId="20" state="hidden" r:id="rId18"/>
    <sheet name="CONSUMO" sheetId="16" state="hidden" r:id="rId19"/>
  </sheets>
  <functionGroups builtInGroupCount="18"/>
  <externalReferences>
    <externalReference r:id="rId20"/>
    <externalReference r:id="rId21"/>
  </externalReferences>
  <definedNames>
    <definedName name="_cmdAnadeRegistro_Range" localSheetId="0" hidden="1">{18.75,364.5,TRUE,3,2.25,15}</definedName>
    <definedName name="_cmdAscendente_Range" localSheetId="0" hidden="1">{18.75,300.75,TRUE,3,2.25,13.5}</definedName>
    <definedName name="_cmdBorraRegistro_Range" localSheetId="0" hidden="1">{18.75,351,TRUE,3,2.25,15}</definedName>
    <definedName name="_cmdBuffer_Range" localSheetId="0" hidden="1">{19.5,282,TRUE,3,26.25,20.25}</definedName>
    <definedName name="_cmdBuscaItem_Range" localSheetId="0" hidden="1">{21,0,TRUE,3,2.25,21.75}</definedName>
    <definedName name="_cmdCambiarPropiedad_Range" localSheetId="0" hidden="1">{21,106.5,TRUE,3,26.25,51.75}</definedName>
    <definedName name="_cmdCancelar_Range" localSheetId="0" hidden="1">{21,54.75,TRUE,3,26.25,51.75}</definedName>
    <definedName name="_cmdConfirmar_Range" localSheetId="0" hidden="1">{21,2.25,TRUE,3,26.25,51.75}</definedName>
    <definedName name="_cmdConsumo_Range" localSheetId="0" hidden="1">{21,21,TRUE,1,2.25,21}</definedName>
    <definedName name="_cmdConsumoVer_Range" localSheetId="0" hidden="1">{19.5,324,TRUE,3,26.25,20.25}</definedName>
    <definedName name="_cmdDarDeBaja_Range" localSheetId="0" hidden="1">{21,88.5,TRUE,3,2.25,31.5}</definedName>
    <definedName name="_cmdDescendente_Range" localSheetId="0" hidden="1">{18.75,315,TRUE,3,2.25,13.5}</definedName>
    <definedName name="_cmdDespacho_Range" localSheetId="0" hidden="1">{19.5,366,TRUE,3,26.25,19.5}</definedName>
    <definedName name="_cmdEstatus_Range" localSheetId="0" hidden="1">{19.5,345,TRUE,3,26.25,20.25}</definedName>
    <definedName name="_cmdFechaArribo_Range" localSheetId="0" hidden="1">{16.5,333.75,TRUE,2,111.75,12.75}</definedName>
    <definedName name="_cmdFechaCierre_Range" localSheetId="0" hidden="1">{16.5,534.75,TRUE,2,66.75,14.25}</definedName>
    <definedName name="_cmdImprimir_Range" localSheetId="0" hidden="1">{21,120,TRUE,3,2.25,29.25}</definedName>
    <definedName name="_cmdLlenarTransfer_Range" localSheetId="0" hidden="1">{21,677.25,TRUE,3,21.75,71.25}</definedName>
    <definedName name="_cmdLlenarTransferEspecial_Range" localSheetId="0" hidden="1">{21,628.5,TRUE,3,21.75,82.5}</definedName>
    <definedName name="_cmdMRP_Range" localSheetId="0" hidden="1">{21,148.5,TRUE,3,2.25,27}</definedName>
    <definedName name="_cmdOrdenamientoMultiple_Range" localSheetId="0" hidden="1">{18.75,330,TRUE,3,2.25,20.25}</definedName>
    <definedName name="_cmdQuitaFiltros_Range" localSheetId="0" hidden="1">{19.5,282,TRUE,3,2.25,18}</definedName>
    <definedName name="_cmdRefrescar_Range" localSheetId="0" hidden="1">{21,66,TRUE,3,2.25,20.25}</definedName>
    <definedName name="_cmdReq_Range" localSheetId="0" hidden="1">{19.5,303.75,TRUE,3,26.25,19.5}</definedName>
    <definedName name="_cmdVistas_Range" localSheetId="0" hidden="1">{21,42,TRUE,3,2.25,23.25}</definedName>
    <definedName name="_xlnm._FilterDatabase" localSheetId="0" hidden="1">TRANSFERENCIA!$A$8:$CB$10</definedName>
    <definedName name="_txtBusqueda_Range" localSheetId="0" hidden="1">{22.5,176.25,TRUE,3,2.25,105.75}</definedName>
    <definedName name="BODEGAS">[1]!Tabla_EmpresaBodega[BODEGA]</definedName>
    <definedName name="CODTRANSFERENCIA">TRANSFERENCIA!$B$2</definedName>
    <definedName name="Consulta_desde_Central_Control_Buffers" localSheetId="5" hidden="1">PATH!$G$1:$I$2</definedName>
    <definedName name="Consulta_desde_DatosConsolidados" localSheetId="5" hidden="1">PATH!$A$1:$D$2</definedName>
    <definedName name="Consulta_desde_ODBC_MySQL_en_AGROTA" localSheetId="13" hidden="1">Causas!$A$1:$A$4</definedName>
    <definedName name="Consulta_desde_ODBC_RAMCAS1" localSheetId="5" hidden="1">PATH!$K$1:$M$2</definedName>
    <definedName name="Consulta_desde_ODBC_RAMCAS1_1" localSheetId="5" hidden="1">PATH!$Q$1:$R$3</definedName>
    <definedName name="Consulta_desde_ODBC_RAMCAS1_2" localSheetId="5" hidden="1">PATH!$T$1:$W$111</definedName>
    <definedName name="Consulta_desde_REPORTES_en_Access" localSheetId="12" hidden="1">MPyPT!$A$1:$B$745</definedName>
    <definedName name="Consulta_desde_REPORTES_en_Access" localSheetId="10" hidden="1">RECETAS!$A$1:$G$24</definedName>
    <definedName name="DESTINO">TRANSFERENCIA!$B$4</definedName>
    <definedName name="EMPRESA" comment="Rango que se utiliza para llenar el combobox donde se elije en qué empresa se está trabajando." localSheetId="5">[1]!Tabla_EMPRESA[NombreEmpresa]</definedName>
    <definedName name="EMPRESA">DATOS!$A$7</definedName>
    <definedName name="error1">AUX!$B$1</definedName>
    <definedName name="error2">AUX!$B$2</definedName>
    <definedName name="error3">AUX!$B$3</definedName>
    <definedName name="ESTADO">DUE!$A$5</definedName>
    <definedName name="FaltaCausa">Causas!$D$2</definedName>
    <definedName name="FECHAARRIBO">TRANSFERENCIA!$B$6</definedName>
    <definedName name="FECHACIERRE">TRANSFERENCIA!$D$3</definedName>
    <definedName name="FECHANOMBRE">DATOS!$A$1</definedName>
    <definedName name="FECHAORIGEN">TRANSFERENCIA!$D$2</definedName>
    <definedName name="ImprEmpresa">IMPRESION!$B$2</definedName>
    <definedName name="ImprFecha">IMPRESION!$B$3</definedName>
    <definedName name="INI_PERIODO">TABLATRANSFERENCIA[[#Headers],[2016-11]]</definedName>
    <definedName name="INICIO">TABLATRANSFERENCIA[[#Headers],[CODIGO]]</definedName>
    <definedName name="ItemsSeleccionados">[1]!tblItemsSeleccionados[#Data]</definedName>
    <definedName name="lista_errores">AUX!$D$1</definedName>
    <definedName name="mensaje">TRANSFERENCIA!$D$1</definedName>
    <definedName name="Observacion">TRANSFERENCIA!$B$7</definedName>
    <definedName name="ORIGEN">TRANSFERENCIA!$B$3</definedName>
    <definedName name="PATH">[1]!ARCHIVOSCB[PATH]</definedName>
    <definedName name="PATHTRANSFERENCIA">DATOS!$A$3</definedName>
    <definedName name="PERSONA">DUE!$A$1</definedName>
    <definedName name="RangoCausas">Tabla_Causas[Causa]</definedName>
    <definedName name="RangoLlenadoTipoMP">OFFSET(TIPO,2,0,COUNTA(ASIGNACION!$A:$A)-3,1)</definedName>
    <definedName name="REFERENCIA">TRANSFERENCIA!$B$5</definedName>
    <definedName name="TABLA" localSheetId="5">OFFSET([0]!INICIO,0,0,COUNTA([2]TRANSFERENCIA!$A:$A)-4,COUNTA([2]TRANSFERENCIA!$8:$8))</definedName>
    <definedName name="TABLA">TRANSFERENCIA!$A$8:$BX$10</definedName>
    <definedName name="TIPO">ASIGNACION!$D$3</definedName>
    <definedName name="TIPO_TRANSFER">DUE!$A$3</definedName>
    <definedName name="TipoMateriaPrima">OFFSET(TIPO,2,0,COUNTA(ASIGNACION!$D:$D)-2,1)</definedName>
    <definedName name="Trans_Dada_Baja" comment="Sitio donde se almacena el path completo de la transferencia dada de baja recientemente">[1]AUX!$B$1</definedName>
    <definedName name="US">USER!$A$1</definedName>
    <definedName name="USER">US!$A$1</definedName>
    <definedName name="VALORTOTAL">TRANSFERENCIA!$D$5</definedName>
  </definedNames>
  <calcPr calcId="152511"/>
  <pivotCaches>
    <pivotCache cacheId="3" r:id="rId22"/>
  </pivotCaches>
</workbook>
</file>

<file path=xl/calcChain.xml><?xml version="1.0" encoding="utf-8"?>
<calcChain xmlns="http://schemas.openxmlformats.org/spreadsheetml/2006/main">
  <c r="G2" i="16" l="1"/>
  <c r="G3" i="16"/>
  <c r="G4" i="16"/>
  <c r="G5" i="16"/>
  <c r="D514" i="16"/>
  <c r="D515" i="16"/>
  <c r="D516" i="16"/>
  <c r="D517" i="16"/>
  <c r="D518"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322" i="16"/>
  <c r="D323" i="16"/>
  <c r="D324" i="16"/>
  <c r="D325" i="16"/>
  <c r="D326" i="16"/>
  <c r="D327" i="16"/>
  <c r="D328" i="16"/>
  <c r="D329" i="16"/>
  <c r="D330" i="16"/>
  <c r="D331" i="16"/>
  <c r="D332" i="16"/>
  <c r="D333" i="16"/>
  <c r="D334" i="16"/>
  <c r="D335" i="16"/>
  <c r="D336" i="16"/>
  <c r="D337" i="16"/>
  <c r="D338" i="16"/>
  <c r="D339" i="16"/>
  <c r="D340" i="16"/>
  <c r="D341" i="16"/>
  <c r="D342" i="16"/>
  <c r="D343" i="16"/>
  <c r="D344" i="16"/>
  <c r="D345" i="16"/>
  <c r="D346" i="16"/>
  <c r="D347" i="16"/>
  <c r="D348" i="16"/>
  <c r="D349" i="16"/>
  <c r="D350" i="16"/>
  <c r="D351" i="16"/>
  <c r="D352" i="16"/>
  <c r="D353" i="16"/>
  <c r="D354" i="16"/>
  <c r="D355" i="16"/>
  <c r="D356" i="16"/>
  <c r="D357" i="16"/>
  <c r="D358" i="16"/>
  <c r="D359" i="16"/>
  <c r="D360" i="16"/>
  <c r="D361" i="16"/>
  <c r="D362" i="16"/>
  <c r="D363" i="16"/>
  <c r="D364" i="16"/>
  <c r="D365" i="16"/>
  <c r="D366" i="16"/>
  <c r="D367" i="16"/>
  <c r="D368" i="16"/>
  <c r="D369" i="16"/>
  <c r="D370" i="16"/>
  <c r="D371" i="16"/>
  <c r="D372" i="16"/>
  <c r="D373" i="16"/>
  <c r="D374" i="16"/>
  <c r="D375" i="16"/>
  <c r="D376" i="16"/>
  <c r="D377" i="16"/>
  <c r="D378" i="16"/>
  <c r="D379" i="16"/>
  <c r="D380" i="16"/>
  <c r="D381" i="16"/>
  <c r="D382" i="16"/>
  <c r="D383" i="16"/>
  <c r="D384" i="16"/>
  <c r="D385" i="16"/>
  <c r="D386" i="16"/>
  <c r="D387" i="16"/>
  <c r="D388" i="16"/>
  <c r="D389" i="16"/>
  <c r="D390" i="16"/>
  <c r="D391" i="16"/>
  <c r="D392" i="16"/>
  <c r="D393" i="16"/>
  <c r="D394" i="16"/>
  <c r="D395" i="16"/>
  <c r="D396" i="16"/>
  <c r="D397" i="16"/>
  <c r="D398" i="16"/>
  <c r="D399" i="16"/>
  <c r="D400" i="16"/>
  <c r="D401" i="16"/>
  <c r="D402" i="16"/>
  <c r="D403" i="16"/>
  <c r="D404" i="16"/>
  <c r="D405" i="16"/>
  <c r="D406" i="16"/>
  <c r="D407" i="16"/>
  <c r="D408" i="16"/>
  <c r="D409" i="16"/>
  <c r="D410" i="16"/>
  <c r="D411" i="16"/>
  <c r="D412" i="16"/>
  <c r="D413" i="16"/>
  <c r="D414" i="16"/>
  <c r="D415" i="16"/>
  <c r="D416" i="16"/>
  <c r="D417" i="16"/>
  <c r="D418" i="16"/>
  <c r="D419" i="16"/>
  <c r="D420" i="16"/>
  <c r="D421" i="16"/>
  <c r="D422" i="16"/>
  <c r="D423" i="16"/>
  <c r="D424" i="16"/>
  <c r="D425" i="16"/>
  <c r="D426" i="16"/>
  <c r="D427" i="16"/>
  <c r="D428" i="16"/>
  <c r="D429" i="16"/>
  <c r="D430" i="16"/>
  <c r="D431" i="16"/>
  <c r="D432" i="16"/>
  <c r="D433" i="16"/>
  <c r="D434" i="16"/>
  <c r="D435" i="16"/>
  <c r="D436" i="16"/>
  <c r="D437" i="16"/>
  <c r="D438" i="16"/>
  <c r="D439" i="16"/>
  <c r="D440" i="16"/>
  <c r="D441" i="16"/>
  <c r="D442" i="16"/>
  <c r="D443" i="16"/>
  <c r="D444" i="16"/>
  <c r="D445" i="16"/>
  <c r="D446" i="16"/>
  <c r="D447" i="16"/>
  <c r="D448" i="16"/>
  <c r="D449" i="16"/>
  <c r="D450" i="16"/>
  <c r="D451" i="16"/>
  <c r="D452" i="16"/>
  <c r="D453" i="16"/>
  <c r="D454" i="16"/>
  <c r="D455" i="16"/>
  <c r="D456" i="16"/>
  <c r="D457" i="16"/>
  <c r="D458" i="16"/>
  <c r="D459" i="16"/>
  <c r="D460" i="16"/>
  <c r="D461" i="16"/>
  <c r="D462" i="16"/>
  <c r="D463" i="16"/>
  <c r="D464" i="16"/>
  <c r="D465" i="16"/>
  <c r="D466" i="16"/>
  <c r="D467" i="16"/>
  <c r="D468" i="16"/>
  <c r="D469" i="16"/>
  <c r="D470" i="16"/>
  <c r="D471" i="16"/>
  <c r="D472" i="16"/>
  <c r="D473" i="16"/>
  <c r="D474" i="16"/>
  <c r="D475" i="16"/>
  <c r="D476" i="16"/>
  <c r="D477" i="16"/>
  <c r="D478" i="16"/>
  <c r="D479" i="16"/>
  <c r="D480" i="16"/>
  <c r="D481" i="16"/>
  <c r="D482" i="16"/>
  <c r="D483" i="16"/>
  <c r="D484" i="16"/>
  <c r="D485" i="16"/>
  <c r="D486" i="16"/>
  <c r="D487" i="16"/>
  <c r="D488" i="16"/>
  <c r="D489" i="16"/>
  <c r="D490" i="16"/>
  <c r="D491" i="16"/>
  <c r="D492" i="16"/>
  <c r="D493" i="16"/>
  <c r="D494" i="16"/>
  <c r="D495" i="16"/>
  <c r="D496" i="16"/>
  <c r="D497" i="16"/>
  <c r="D498" i="16"/>
  <c r="D499" i="16"/>
  <c r="D500" i="16"/>
  <c r="D501" i="16"/>
  <c r="D502" i="16"/>
  <c r="D503" i="16"/>
  <c r="D504" i="16"/>
  <c r="D505" i="16"/>
  <c r="D506" i="16"/>
  <c r="D507" i="16"/>
  <c r="D508" i="16"/>
  <c r="D509" i="16"/>
  <c r="D510" i="16"/>
  <c r="D511" i="16"/>
  <c r="D512" i="16"/>
  <c r="D513" i="16"/>
  <c r="D2" i="16"/>
  <c r="D3" i="16"/>
  <c r="D4" i="16"/>
  <c r="AX10" i="1" s="1" a="1"/>
  <c r="AX10" i="1" s="1"/>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BB9" i="1" s="1" a="1"/>
  <c r="BB9" i="1" s="1"/>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AY10" i="1" a="1"/>
  <c r="AY10" i="1" s="1"/>
  <c r="BA10" i="1" a="1"/>
  <c r="BA10" i="1" s="1"/>
  <c r="BC10" i="1" a="1"/>
  <c r="BC10" i="1" s="1"/>
  <c r="BJ10" i="1"/>
  <c r="BK10" i="1"/>
  <c r="BL10" i="1"/>
  <c r="BM10" i="1"/>
  <c r="BN10" i="1"/>
  <c r="BS10" i="1"/>
  <c r="BV10" i="1"/>
  <c r="BV9" i="1"/>
  <c r="AY9" i="1" a="1"/>
  <c r="AY9" i="1" s="1"/>
  <c r="BA9" i="1" a="1"/>
  <c r="BA9" i="1" s="1"/>
  <c r="BC9" i="1" a="1"/>
  <c r="BC9" i="1" s="1"/>
  <c r="BJ9" i="1"/>
  <c r="BK9" i="1"/>
  <c r="BL9" i="1"/>
  <c r="BM9" i="1"/>
  <c r="BN9" i="1"/>
  <c r="BS9" i="1"/>
  <c r="BX9" i="1" l="1" a="1"/>
  <c r="BX9" i="1" s="1"/>
  <c r="BP9" i="1"/>
  <c r="BX10" i="1" a="1"/>
  <c r="BX10" i="1" s="1"/>
  <c r="BP10" i="1"/>
  <c r="BY10" i="1"/>
  <c r="BY9" i="1"/>
  <c r="AX9" i="1" a="1"/>
  <c r="AX9" i="1" s="1"/>
  <c r="AZ10" i="1" a="1"/>
  <c r="AZ10" i="1" s="1"/>
  <c r="AZ9" i="1" a="1"/>
  <c r="AZ9" i="1" s="1"/>
  <c r="BB10" i="1" a="1"/>
  <c r="BB10" i="1" s="1"/>
  <c r="B3" i="22"/>
  <c r="B1" i="22"/>
  <c r="BX2" i="21"/>
  <c r="B3" i="12" l="1"/>
  <c r="A2" i="12"/>
  <c r="B2" i="22" l="1"/>
  <c r="D1" i="22" s="1"/>
  <c r="C7" i="1" s="1"/>
  <c r="C4" i="1"/>
  <c r="BS2" i="21" l="1"/>
  <c r="BP2" i="21"/>
  <c r="BK2" i="21"/>
  <c r="BJ2" i="21"/>
  <c r="BI2" i="21"/>
  <c r="BH2" i="21"/>
  <c r="BG2" i="21"/>
  <c r="BC2" i="21" a="1"/>
  <c r="BC2" i="21" s="1"/>
  <c r="BB2" i="21" a="1"/>
  <c r="BB2" i="21" s="1"/>
  <c r="BA2" i="21" a="1"/>
  <c r="BA2" i="21" s="1"/>
  <c r="AZ2" i="21" a="1"/>
  <c r="AZ2" i="21" s="1"/>
  <c r="AY2" i="21" a="1"/>
  <c r="AY2" i="21" s="1"/>
  <c r="AX2" i="21" a="1"/>
  <c r="AX2" i="21" s="1"/>
  <c r="H2" i="21"/>
  <c r="C2" i="21"/>
  <c r="AA2" i="21"/>
  <c r="AQ2" i="21"/>
  <c r="O2" i="21"/>
  <c r="Z2" i="21"/>
  <c r="Y2" i="21"/>
  <c r="J2" i="21"/>
  <c r="AH2" i="21"/>
  <c r="AR2" i="21"/>
  <c r="AF2" i="21"/>
  <c r="AV2" i="21"/>
  <c r="AI2" i="21"/>
  <c r="AC2" i="21"/>
  <c r="AG2" i="21"/>
  <c r="T2" i="21"/>
  <c r="W2" i="21"/>
  <c r="AE2" i="21"/>
  <c r="AJ2" i="21"/>
  <c r="E2" i="21"/>
  <c r="L2" i="21"/>
  <c r="AP2" i="21"/>
  <c r="AU2" i="21"/>
  <c r="BW2" i="21"/>
  <c r="AT2" i="21"/>
  <c r="AL2" i="21"/>
  <c r="M2" i="21"/>
  <c r="AK2" i="21"/>
  <c r="D2" i="21"/>
  <c r="B2" i="21"/>
  <c r="AO2" i="21"/>
  <c r="N2" i="21"/>
  <c r="AW2" i="21"/>
  <c r="R2" i="21"/>
  <c r="K2" i="21"/>
  <c r="AN2" i="21"/>
  <c r="Q2" i="21"/>
  <c r="AM2" i="21"/>
  <c r="S2" i="21"/>
  <c r="U2" i="21"/>
  <c r="F2" i="21"/>
  <c r="AB2" i="21"/>
  <c r="P2" i="21"/>
  <c r="I2" i="21"/>
  <c r="BV2" i="21"/>
  <c r="AS2" i="21"/>
  <c r="V2" i="21"/>
  <c r="AD2" i="21"/>
  <c r="X2" i="21"/>
  <c r="G2" i="21"/>
  <c r="BU2" i="21" l="1"/>
  <c r="BT2" i="21" a="1"/>
  <c r="BT2" i="21" s="1"/>
  <c r="BM2" i="21"/>
  <c r="B3" i="11" l="1"/>
  <c r="D2" i="10" l="1" a="1"/>
  <c r="D2" i="10" s="1"/>
  <c r="D21" i="8"/>
  <c r="D20" i="8"/>
  <c r="D19" i="8"/>
  <c r="D18" i="8"/>
  <c r="D17" i="8"/>
  <c r="D16" i="8"/>
  <c r="D15" i="8"/>
  <c r="D14" i="8"/>
  <c r="D13" i="8"/>
  <c r="D12" i="8"/>
  <c r="D11" i="8"/>
  <c r="D10" i="8"/>
  <c r="D9" i="8"/>
  <c r="D8" i="8"/>
  <c r="D7" i="8"/>
  <c r="D6" i="8"/>
  <c r="D5" i="8"/>
  <c r="H2" i="7"/>
  <c r="I2" i="7" s="1"/>
  <c r="H3" i="7"/>
  <c r="I3" i="7" s="1"/>
  <c r="H4" i="7"/>
  <c r="I4" i="7" s="1"/>
  <c r="H5" i="7"/>
  <c r="I5" i="7" s="1"/>
  <c r="H6" i="7"/>
  <c r="I6" i="7" s="1"/>
  <c r="H7" i="7"/>
  <c r="I7" i="7" s="1"/>
  <c r="H8" i="7"/>
  <c r="I8" i="7" s="1"/>
  <c r="H9" i="7"/>
  <c r="I9" i="7" s="1"/>
  <c r="H10" i="7"/>
  <c r="I10" i="7" s="1"/>
  <c r="H11" i="7"/>
  <c r="I11" i="7" s="1"/>
  <c r="H12" i="7"/>
  <c r="I12" i="7" s="1"/>
  <c r="H13" i="7"/>
  <c r="I13" i="7" s="1"/>
  <c r="H14" i="7"/>
  <c r="I14" i="7" s="1"/>
  <c r="H15" i="7"/>
  <c r="I15" i="7" s="1"/>
  <c r="H16" i="7"/>
  <c r="I16" i="7" s="1"/>
  <c r="H17" i="7"/>
  <c r="I17" i="7" s="1"/>
  <c r="H18" i="7"/>
  <c r="I18" i="7" s="1"/>
  <c r="H19" i="7"/>
  <c r="I19" i="7" s="1"/>
  <c r="H20" i="7"/>
  <c r="I20" i="7" s="1"/>
  <c r="H21" i="7"/>
  <c r="I21" i="7" s="1"/>
  <c r="H22" i="7"/>
  <c r="I22" i="7" s="1"/>
  <c r="H23" i="7"/>
  <c r="I23" i="7" s="1"/>
  <c r="H24" i="7"/>
  <c r="I24" i="7" s="1"/>
  <c r="G6" i="8" l="1"/>
  <c r="D4" i="8" l="1"/>
  <c r="D5" i="1" l="1"/>
  <c r="D6" i="1"/>
  <c r="A2" i="3"/>
  <c r="A3" i="3" s="1"/>
  <c r="A1" i="3" l="1"/>
  <c r="B4" i="22" l="1"/>
</calcChain>
</file>

<file path=xl/comments1.xml><?xml version="1.0" encoding="utf-8"?>
<comments xmlns="http://schemas.openxmlformats.org/spreadsheetml/2006/main">
  <authors>
    <author>CAS</author>
    <author>Carlos Semanate</author>
    <author>RAMCAS</author>
  </authors>
  <commentList>
    <comment ref="A2" authorId="0" shapeId="0">
      <text>
        <r>
          <rPr>
            <b/>
            <sz val="9"/>
            <color indexed="81"/>
            <rFont val="Tahoma"/>
            <family val="2"/>
          </rPr>
          <t xml:space="preserve">CAS:
</t>
        </r>
        <r>
          <rPr>
            <sz val="9"/>
            <color indexed="81"/>
            <rFont val="Tahoma"/>
            <family val="2"/>
          </rPr>
          <t xml:space="preserve">Número identificador de la transferencia actual.
</t>
        </r>
      </text>
    </comment>
    <comment ref="C2" authorId="0" shapeId="0">
      <text>
        <r>
          <rPr>
            <b/>
            <sz val="9"/>
            <color indexed="81"/>
            <rFont val="Tahoma"/>
            <family val="2"/>
          </rPr>
          <t>CAS:</t>
        </r>
        <r>
          <rPr>
            <sz val="9"/>
            <color indexed="81"/>
            <rFont val="Tahoma"/>
            <family val="2"/>
          </rPr>
          <t xml:space="preserve">
Fecha en la cual se originó la presente transferencia.</t>
        </r>
      </text>
    </comment>
    <comment ref="A3" authorId="0" shapeId="0">
      <text>
        <r>
          <rPr>
            <b/>
            <sz val="9"/>
            <color indexed="81"/>
            <rFont val="Tahoma"/>
            <family val="2"/>
          </rPr>
          <t>CAS:</t>
        </r>
        <r>
          <rPr>
            <sz val="9"/>
            <color indexed="81"/>
            <rFont val="Tahoma"/>
            <family val="2"/>
          </rPr>
          <t xml:space="preserve">
Indica el Proveedor de donde proviene la mercadería detallada en la presente transferencia.</t>
        </r>
      </text>
    </comment>
    <comment ref="C3" authorId="0" shapeId="0">
      <text>
        <r>
          <rPr>
            <b/>
            <sz val="9"/>
            <color indexed="81"/>
            <rFont val="Tahoma"/>
            <family val="2"/>
          </rPr>
          <t>CAS:</t>
        </r>
        <r>
          <rPr>
            <sz val="9"/>
            <color indexed="81"/>
            <rFont val="Tahoma"/>
            <family val="2"/>
          </rPr>
          <t xml:space="preserve">
Fecha en la que la transferencia se ha completado, o ya no se va a hacer nada más con ella, y cuando ya está lista para ser dada de baja.</t>
        </r>
      </text>
    </comment>
    <comment ref="A4" authorId="0" shapeId="0">
      <text>
        <r>
          <rPr>
            <b/>
            <sz val="9"/>
            <color indexed="81"/>
            <rFont val="Tahoma"/>
            <family val="2"/>
          </rPr>
          <t>CAS:</t>
        </r>
        <r>
          <rPr>
            <sz val="9"/>
            <color indexed="81"/>
            <rFont val="Tahoma"/>
            <family val="2"/>
          </rPr>
          <t xml:space="preserve">
Detalla el destino o el receptor de la mercadería detallada en la presente transferencia.</t>
        </r>
      </text>
    </comment>
    <comment ref="A5" authorId="0" shapeId="0">
      <text>
        <r>
          <rPr>
            <b/>
            <sz val="9"/>
            <color indexed="81"/>
            <rFont val="Tahoma"/>
            <family val="2"/>
          </rPr>
          <t>CAS:</t>
        </r>
        <r>
          <rPr>
            <sz val="9"/>
            <color indexed="81"/>
            <rFont val="Tahoma"/>
            <family val="2"/>
          </rPr>
          <t xml:space="preserve">
Código propio con el cual la empresa identifica a la actual transferencia.</t>
        </r>
      </text>
    </comment>
    <comment ref="C5" authorId="0" shapeId="0">
      <text>
        <r>
          <rPr>
            <b/>
            <sz val="9"/>
            <color indexed="81"/>
            <rFont val="Tahoma"/>
            <family val="2"/>
          </rPr>
          <t>CAS:</t>
        </r>
        <r>
          <rPr>
            <sz val="9"/>
            <color indexed="81"/>
            <rFont val="Tahoma"/>
            <family val="2"/>
          </rPr>
          <t xml:space="preserve">
Valor monetario de la transferencia.</t>
        </r>
      </text>
    </comment>
    <comment ref="A6" authorId="0" shapeId="0">
      <text>
        <r>
          <rPr>
            <b/>
            <sz val="9"/>
            <color indexed="81"/>
            <rFont val="Tahoma"/>
            <family val="2"/>
          </rPr>
          <t>CAS:</t>
        </r>
        <r>
          <rPr>
            <sz val="9"/>
            <color indexed="81"/>
            <rFont val="Tahoma"/>
            <family val="2"/>
          </rPr>
          <t xml:space="preserve">
Fecha estimada de arribo de la presente transferencia. Sirve como referencia para saber cuándo se podrá tener la mercadería ya recibida en el punto de destino.</t>
        </r>
      </text>
    </comment>
    <comment ref="C6" authorId="0" shapeId="0">
      <text>
        <r>
          <rPr>
            <b/>
            <sz val="9"/>
            <color indexed="81"/>
            <rFont val="Tahoma"/>
            <family val="2"/>
          </rPr>
          <t>CAS:</t>
        </r>
        <r>
          <rPr>
            <sz val="9"/>
            <color indexed="81"/>
            <rFont val="Tahoma"/>
            <family val="2"/>
          </rPr>
          <t xml:space="preserve">
Volumen estimado de la presente transferencia.</t>
        </r>
      </text>
    </comment>
    <comment ref="A7" authorId="0" shapeId="0">
      <text>
        <r>
          <rPr>
            <b/>
            <sz val="9"/>
            <color indexed="81"/>
            <rFont val="Tahoma"/>
            <family val="2"/>
          </rPr>
          <t>CAS:</t>
        </r>
        <r>
          <rPr>
            <sz val="9"/>
            <color indexed="81"/>
            <rFont val="Tahoma"/>
            <family val="2"/>
          </rPr>
          <t xml:space="preserve">
Observaciones generadas por el sistema que obedecen a situaciones específicas.</t>
        </r>
      </text>
    </comment>
    <comment ref="BD8"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8" authorId="1" shapeId="0">
      <text>
        <r>
          <rPr>
            <b/>
            <sz val="9"/>
            <color indexed="81"/>
            <rFont val="Tahoma"/>
            <family val="2"/>
          </rPr>
          <t>Carlos Semanate:</t>
        </r>
        <r>
          <rPr>
            <sz val="9"/>
            <color indexed="81"/>
            <rFont val="Tahoma"/>
            <family val="2"/>
          </rPr>
          <t xml:space="preserve">
Fecha en la que este ítem fue requerido en esta transferencia.</t>
        </r>
      </text>
    </comment>
    <comment ref="BG8" authorId="1" shapeId="0">
      <text>
        <r>
          <rPr>
            <b/>
            <sz val="9"/>
            <color indexed="81"/>
            <rFont val="Tahoma"/>
            <family val="2"/>
          </rPr>
          <t>Carlos Semanate:</t>
        </r>
        <r>
          <rPr>
            <sz val="9"/>
            <color indexed="81"/>
            <rFont val="Tahoma"/>
            <family val="2"/>
          </rPr>
          <t xml:space="preserve">
Fecha en la que este ítem cierra su participación en esta transferencia..</t>
        </r>
      </text>
    </comment>
    <comment ref="BH8" authorId="2" shapeId="0">
      <text>
        <r>
          <rPr>
            <b/>
            <sz val="9"/>
            <color indexed="81"/>
            <rFont val="Tahoma"/>
            <family val="2"/>
          </rPr>
          <t>RAMCAS:</t>
        </r>
        <r>
          <rPr>
            <sz val="9"/>
            <color indexed="81"/>
            <rFont val="Tahoma"/>
            <family val="2"/>
          </rPr>
          <t xml:space="preserve">
Identificación opcional de la Orden de Compra (PO) a la cual pertenece el ítem.</t>
        </r>
      </text>
    </comment>
    <comment ref="BI8" authorId="0" shapeId="0">
      <text>
        <r>
          <rPr>
            <b/>
            <sz val="9"/>
            <color indexed="81"/>
            <rFont val="Tahoma"/>
            <family val="2"/>
          </rPr>
          <t>CAS:</t>
        </r>
        <r>
          <rPr>
            <sz val="9"/>
            <color indexed="81"/>
            <rFont val="Tahoma"/>
            <family val="2"/>
          </rPr>
          <t xml:space="preserve">
Número de embarques en los cuales se va a dividir el REQUERIM.</t>
        </r>
      </text>
    </comment>
    <comment ref="BQ8"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R8"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T8"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U8"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mments2.xml><?xml version="1.0" encoding="utf-8"?>
<comments xmlns="http://schemas.openxmlformats.org/spreadsheetml/2006/main">
  <authors>
    <author>CAS</author>
  </authors>
  <commentList>
    <comment ref="BD1" authorId="0" shapeId="0">
      <text>
        <r>
          <rPr>
            <b/>
            <sz val="9"/>
            <color indexed="81"/>
            <rFont val="Tahoma"/>
            <family val="2"/>
          </rPr>
          <t>CAS:</t>
        </r>
        <r>
          <rPr>
            <sz val="9"/>
            <color indexed="81"/>
            <rFont val="Tahoma"/>
            <family val="2"/>
          </rPr>
          <t xml:space="preserve">
Requerimiento calculado para satisfacer el buffer, tomando en cuenta que el proveedor puede no tener suficiente inventario. Si estamos en una transferencia activa, el valor del requerimiento ya constará como tránsito.</t>
        </r>
      </text>
    </comment>
    <comment ref="BF1" authorId="0" shapeId="0">
      <text>
        <r>
          <rPr>
            <b/>
            <sz val="9"/>
            <color indexed="81"/>
            <rFont val="Tahoma"/>
            <family val="2"/>
          </rPr>
          <t>CAS:</t>
        </r>
        <r>
          <rPr>
            <sz val="9"/>
            <color indexed="81"/>
            <rFont val="Tahoma"/>
            <family val="2"/>
          </rPr>
          <t xml:space="preserve">
Número de embarques en los cuales se va a dividir el REQUERIM.</t>
        </r>
      </text>
    </comment>
    <comment ref="BN1" authorId="0" shapeId="0">
      <text>
        <r>
          <rPr>
            <b/>
            <sz val="9"/>
            <color indexed="81"/>
            <rFont val="Tahoma"/>
            <family val="2"/>
          </rPr>
          <t>CAS:</t>
        </r>
        <r>
          <rPr>
            <sz val="9"/>
            <color indexed="81"/>
            <rFont val="Tahoma"/>
            <family val="2"/>
          </rPr>
          <t xml:space="preserve">
Es lo que el proveedor ha despachado efectivamente de lo que le hemos solicitado. Si estamos en una transferencia activa, el valor del despacho reemplazará al valor del REQUERIM como tránsito.</t>
        </r>
      </text>
    </comment>
    <comment ref="BO1" authorId="0" shapeId="0">
      <text>
        <r>
          <rPr>
            <b/>
            <sz val="9"/>
            <color indexed="81"/>
            <rFont val="Tahoma"/>
            <family val="2"/>
          </rPr>
          <t>CAS:</t>
        </r>
        <r>
          <rPr>
            <sz val="9"/>
            <color indexed="81"/>
            <rFont val="Tahoma"/>
            <family val="2"/>
          </rPr>
          <t xml:space="preserve">
Es lo que efectivamente se ha recibido del proveedor. Si estamos en una transferencia activa y hay ya valor en RECIBIDO, entonces ya no habrá tránsito para este ítem en particular.</t>
        </r>
      </text>
    </comment>
    <comment ref="BQ1" authorId="0" shapeId="0">
      <text>
        <r>
          <rPr>
            <b/>
            <sz val="9"/>
            <color indexed="81"/>
            <rFont val="Tahoma"/>
            <family val="2"/>
          </rPr>
          <t>CAS:</t>
        </r>
        <r>
          <rPr>
            <sz val="9"/>
            <color indexed="81"/>
            <rFont val="Tahoma"/>
            <family val="2"/>
          </rPr>
          <t xml:space="preserve">
Si el REQUERIM es distinto del DESPACHO, entonces hay que poner una observación.</t>
        </r>
      </text>
    </comment>
    <comment ref="BR1" authorId="0" shapeId="0">
      <text>
        <r>
          <rPr>
            <b/>
            <sz val="9"/>
            <color indexed="81"/>
            <rFont val="Tahoma"/>
            <family val="2"/>
          </rPr>
          <t>CAS:</t>
        </r>
        <r>
          <rPr>
            <sz val="9"/>
            <color indexed="81"/>
            <rFont val="Tahoma"/>
            <family val="2"/>
          </rPr>
          <t xml:space="preserve">
Si el DESPACHO es diferente de lo RECIBIDO, hay que poner una observación.</t>
        </r>
      </text>
    </comment>
  </commentList>
</comments>
</file>

<file path=xl/connections.xml><?xml version="1.0" encoding="utf-8"?>
<connections xmlns="http://schemas.openxmlformats.org/spreadsheetml/2006/main">
  <connection id="1" name="Consulta desde Central Control Buffers1" type="1" refreshedVersion="3"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2" name="Consulta desde DatosConsolidados2" type="1" refreshedVersion="5"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odega Central Agrota') AND (`CONSOLIDADO$`.Codigo='111121163313577')"/>
  </connection>
  <connection id="3" name="Consulta desde ODBC MySQL en AGROTA" type="1" refreshedVersion="5" saveData="1">
    <dbPr connection="DSN=ODBC RAMCAS1;" command="SELECT_x000d__x000a_causa.cau_nombre as 'Causa'_x000d__x000a_FROM_x000d__x000a_causa_x000d__x000a_INNER JOIN tipocausa ON tipocausa.tipocausa_id = causa.cau_tipocausa_id_x000d__x000a_WHERE_x000d__x000a_tipocausa.tca_nombre = 'Transferencia'_x000d__x000a_ORDER BY_x000d__x000a_cau_nombre"/>
  </connection>
  <connection id="4"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 AND bodega.bod_nombre=''"/>
  </connection>
  <connection id="5" name="Consulta desde ODBC RAMCAS11" type="1" refreshedVersion="5" saveData="1">
    <dbPr connection="DSN=ODBC RAMCAS1;" command="SELECT empresa_0.emp_codigo, empresa_0.emp_nombre_x000d__x000a_FROM ramcas.empresa empresa_0"/>
  </connection>
  <connection id="6" name="Consulta desde ODBC RAMCAS12" type="1" refreshedVersion="5" saveData="1">
    <dbPr connection="DSN=ODBC RAMCAS1;" command="SELECT_x000d__x000a_empresa.emp_codigo,_x000d__x000a_empresa.emp_nombre,_x000d__x000a_bodega.bod_codigo,_x000d__x000a_bodega.bod_nombre_x000d__x000a_FROM_x000d__x000a_bodega_x000d__x000a_INNER JOIN empresa ON bodega.bod_empresa_id = empresa.empresa_id"/>
  </connection>
  <connection id="7" name="Consulta desde REPORTES en Access"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RecetasProduccion.`Cod Padre`, qryRecetasProduccion.`Descripcion Padre`, qryRecetasProduccion.`Unidad Padre`, qryRecetasProduccion.`Cod Hijo`, qryRecetasProduccion.`Descripcion Hijo`, qryRecetasProduccion.Cantidad, qryRecetasProduccion.`Unidad Hijo`_x000d__x000a_FROM qryRecetasProduccion qryRecetasProduccion"/>
  </connection>
  <connection id="8" name="Consulta desde REPORTES en Access1" type="1" refreshedVersion="3" saveData="1">
    <dbPr connection="DBQ=C:\RAM CAS\MEJORA CONTINUA\CONTROL DE BUFFERS\REPORTES\REPORTES.accdb;DefaultDir=C:\RAM CAS\MEJORA CONTINUA\CONTROL DE BUFFERS\REPORTES;Driver={Microsoft Access Driver (*.mdb, *.accdb)};DriverId=25;FIL=MS Access;MaxBufferSize=2048;MaxScanRows=8;PageTimeout=5;SafeTransactions=0;Threads=3;UID=admin;UserCommitSync=Yes;" command="SELECT qryMateriasPrimasProductosTerminados.CodigoVentaproducto, qryMateriasPrimasProductosTerminados.NombreGrupo_x000d__x000a_FROM qryMateriasPrimasProductosTerminados qryMateriasPrimasProductosTerminados"/>
  </connection>
</connections>
</file>

<file path=xl/sharedStrings.xml><?xml version="1.0" encoding="utf-8"?>
<sst xmlns="http://schemas.openxmlformats.org/spreadsheetml/2006/main" count="3294" uniqueCount="1702">
  <si>
    <t>FECHA ORIGEN</t>
  </si>
  <si>
    <t>FECHA CIERRE</t>
  </si>
  <si>
    <t>ORIGEN</t>
  </si>
  <si>
    <t>DESTINO</t>
  </si>
  <si>
    <t>Codigo</t>
  </si>
  <si>
    <t>Descripcion</t>
  </si>
  <si>
    <t>Grupo</t>
  </si>
  <si>
    <t>Linea</t>
  </si>
  <si>
    <t>BUFFER</t>
  </si>
  <si>
    <t>CONS BUFF</t>
  </si>
  <si>
    <t>RENTABILIDAD</t>
  </si>
  <si>
    <t>REQUERIM</t>
  </si>
  <si>
    <t>TRANSF #</t>
  </si>
  <si>
    <t>DESPACHO</t>
  </si>
  <si>
    <t>RECIBIDO</t>
  </si>
  <si>
    <t>TRANSITO</t>
  </si>
  <si>
    <t>Ped Prom</t>
  </si>
  <si>
    <t>REQ TOTAL</t>
  </si>
  <si>
    <t>CTV</t>
  </si>
  <si>
    <t>PVP</t>
  </si>
  <si>
    <t>OBSERVACIONES DESPACHOS</t>
  </si>
  <si>
    <t>OBSERVACIONES RECEPCIONES</t>
  </si>
  <si>
    <t>TIPO TRANSF</t>
  </si>
  <si>
    <t>VALOR TOTAL</t>
  </si>
  <si>
    <t>FECHA ARRIBO</t>
  </si>
  <si>
    <t>CUBICAJE</t>
  </si>
  <si>
    <t>CODIGO</t>
  </si>
  <si>
    <t>VOL</t>
  </si>
  <si>
    <t>CANTIDAD</t>
  </si>
  <si>
    <r>
      <t>m</t>
    </r>
    <r>
      <rPr>
        <vertAlign val="superscript"/>
        <sz val="11"/>
        <color theme="1"/>
        <rFont val="Calibri"/>
        <family val="2"/>
        <scheme val="minor"/>
      </rPr>
      <t>3</t>
    </r>
  </si>
  <si>
    <t>Empresa</t>
  </si>
  <si>
    <t>Bodega</t>
  </si>
  <si>
    <t>Archivo</t>
  </si>
  <si>
    <t>Bodega Recortada</t>
  </si>
  <si>
    <t>BODEGA</t>
  </si>
  <si>
    <t>ARCHIVO</t>
  </si>
  <si>
    <t>PATH</t>
  </si>
  <si>
    <t>VEL EFECT</t>
  </si>
  <si>
    <t>SERVICIO</t>
  </si>
  <si>
    <t>EC-B450EMC</t>
  </si>
  <si>
    <t>EC-CS-420ES-45EU</t>
  </si>
  <si>
    <t>EC-ES726</t>
  </si>
  <si>
    <t>EC-PPT-2400STD</t>
  </si>
  <si>
    <t>Cod Padre</t>
  </si>
  <si>
    <t>Descripcion Padre</t>
  </si>
  <si>
    <t>Unidad Padre</t>
  </si>
  <si>
    <t>Cod Hijo</t>
  </si>
  <si>
    <t>Descripcion Hijo</t>
  </si>
  <si>
    <t>Cantidad</t>
  </si>
  <si>
    <t>Unidad Hijo</t>
  </si>
  <si>
    <t>ExistePadre</t>
  </si>
  <si>
    <t>Cantidad Requerida</t>
  </si>
  <si>
    <t>01-00102</t>
  </si>
  <si>
    <t>LITROS</t>
  </si>
  <si>
    <t>MP-216</t>
  </si>
  <si>
    <t>ENVASE PET LITRO</t>
  </si>
  <si>
    <t>Unidades</t>
  </si>
  <si>
    <t>MP-143</t>
  </si>
  <si>
    <t>MP-034</t>
  </si>
  <si>
    <t>TANQUE POR 200 LT</t>
  </si>
  <si>
    <t>C-007</t>
  </si>
  <si>
    <t>C-008</t>
  </si>
  <si>
    <t>100 GRAMOS</t>
  </si>
  <si>
    <t>JA-001</t>
  </si>
  <si>
    <t>CO-001</t>
  </si>
  <si>
    <t>QUIM-019</t>
  </si>
  <si>
    <t>IN-130</t>
  </si>
  <si>
    <t>100 MILILITROS</t>
  </si>
  <si>
    <t>CO-0010</t>
  </si>
  <si>
    <t>P-0016</t>
  </si>
  <si>
    <t>IN - 1271</t>
  </si>
  <si>
    <t>IN-6617</t>
  </si>
  <si>
    <t>QUIM-015</t>
  </si>
  <si>
    <t>IN-127</t>
  </si>
  <si>
    <t>CO-002</t>
  </si>
  <si>
    <t>CO-0021</t>
  </si>
  <si>
    <t>QUIM-008</t>
  </si>
  <si>
    <t>CO-003</t>
  </si>
  <si>
    <t>IN-037</t>
  </si>
  <si>
    <t>CO-0031</t>
  </si>
  <si>
    <t>IN-6615</t>
  </si>
  <si>
    <t>CO-004</t>
  </si>
  <si>
    <t>PTHER002</t>
  </si>
  <si>
    <t>IN-7654</t>
  </si>
  <si>
    <t>IN-1235</t>
  </si>
  <si>
    <t>P-006</t>
  </si>
  <si>
    <t>CO-005</t>
  </si>
  <si>
    <t>P-0012</t>
  </si>
  <si>
    <t>QUIM-011</t>
  </si>
  <si>
    <t>IN-352</t>
  </si>
  <si>
    <t>IN-104</t>
  </si>
  <si>
    <t>F-011</t>
  </si>
  <si>
    <t>CO-006</t>
  </si>
  <si>
    <t>IN - 126</t>
  </si>
  <si>
    <t>P-0011</t>
  </si>
  <si>
    <t>IN-140</t>
  </si>
  <si>
    <t>IN-0012</t>
  </si>
  <si>
    <t>CO-007</t>
  </si>
  <si>
    <t>P-005</t>
  </si>
  <si>
    <t>CO-008</t>
  </si>
  <si>
    <t>P-0010</t>
  </si>
  <si>
    <t>IN-30</t>
  </si>
  <si>
    <t>IN - 127</t>
  </si>
  <si>
    <t>CO-009</t>
  </si>
  <si>
    <t>P-007</t>
  </si>
  <si>
    <t>CO-010</t>
  </si>
  <si>
    <t>IN-033</t>
  </si>
  <si>
    <t>P-0014</t>
  </si>
  <si>
    <t>IN-34</t>
  </si>
  <si>
    <t>KILOGRAMO</t>
  </si>
  <si>
    <t>IN-048</t>
  </si>
  <si>
    <t>CO-011</t>
  </si>
  <si>
    <t>P-009</t>
  </si>
  <si>
    <t>CO-012</t>
  </si>
  <si>
    <t>P-0013</t>
  </si>
  <si>
    <t>MP-7881</t>
  </si>
  <si>
    <t>CO-0121</t>
  </si>
  <si>
    <t>P-6768</t>
  </si>
  <si>
    <t>IN-1131</t>
  </si>
  <si>
    <t>CO-013</t>
  </si>
  <si>
    <t>CO-01311</t>
  </si>
  <si>
    <t>CO-014</t>
  </si>
  <si>
    <t>P-003</t>
  </si>
  <si>
    <t>IN-378</t>
  </si>
  <si>
    <t>CO-015</t>
  </si>
  <si>
    <t>P-004</t>
  </si>
  <si>
    <t>IN-0004</t>
  </si>
  <si>
    <t>CO-016</t>
  </si>
  <si>
    <t>MP-558</t>
  </si>
  <si>
    <t>IN-0008</t>
  </si>
  <si>
    <t>CO-017</t>
  </si>
  <si>
    <t>P-0015</t>
  </si>
  <si>
    <t>IN-1234</t>
  </si>
  <si>
    <t>IN-0014</t>
  </si>
  <si>
    <t>CO-018</t>
  </si>
  <si>
    <t>P-001</t>
  </si>
  <si>
    <t>F-001</t>
  </si>
  <si>
    <t>MP-542</t>
  </si>
  <si>
    <t>MP-292</t>
  </si>
  <si>
    <t>F-002</t>
  </si>
  <si>
    <t>F-0011</t>
  </si>
  <si>
    <t>MP-219</t>
  </si>
  <si>
    <t>F-0013</t>
  </si>
  <si>
    <t>MP-362</t>
  </si>
  <si>
    <t>MP-222</t>
  </si>
  <si>
    <t>F-0014</t>
  </si>
  <si>
    <t>MP-366</t>
  </si>
  <si>
    <t>MP-223</t>
  </si>
  <si>
    <t>F-0015</t>
  </si>
  <si>
    <t>G-005</t>
  </si>
  <si>
    <t>MP-767</t>
  </si>
  <si>
    <t>MP-284</t>
  </si>
  <si>
    <t>F-005</t>
  </si>
  <si>
    <t>G-0041</t>
  </si>
  <si>
    <t>MP-800</t>
  </si>
  <si>
    <t>MP-390</t>
  </si>
  <si>
    <t>F-007</t>
  </si>
  <si>
    <t>MP-407</t>
  </si>
  <si>
    <t>MP-392</t>
  </si>
  <si>
    <t>MP-218</t>
  </si>
  <si>
    <t>F-013</t>
  </si>
  <si>
    <t>F-014</t>
  </si>
  <si>
    <t>F-018</t>
  </si>
  <si>
    <t>N-OO1</t>
  </si>
  <si>
    <t>MP-2022</t>
  </si>
  <si>
    <t xml:space="preserve">FUNDA GRANDE KILO / 500 GRS </t>
  </si>
  <si>
    <t>MP-395</t>
  </si>
  <si>
    <t>G-0010</t>
  </si>
  <si>
    <t>MP-351</t>
  </si>
  <si>
    <t>G-003</t>
  </si>
  <si>
    <t>G-0011</t>
  </si>
  <si>
    <t>MP-352</t>
  </si>
  <si>
    <t>H-001</t>
  </si>
  <si>
    <t>IN-00126</t>
  </si>
  <si>
    <t>HE-001</t>
  </si>
  <si>
    <t>MP-29420</t>
  </si>
  <si>
    <t>HE-002</t>
  </si>
  <si>
    <t>MP - 0631</t>
  </si>
  <si>
    <t>MP-459</t>
  </si>
  <si>
    <t>MP-261</t>
  </si>
  <si>
    <t>MP - 064</t>
  </si>
  <si>
    <t>MP-2611</t>
  </si>
  <si>
    <t>MP-217</t>
  </si>
  <si>
    <t>MP-198</t>
  </si>
  <si>
    <t>IN-0001</t>
  </si>
  <si>
    <t>MP-221</t>
  </si>
  <si>
    <t>MP-098</t>
  </si>
  <si>
    <t>MP-015</t>
  </si>
  <si>
    <t>IN-000105</t>
  </si>
  <si>
    <t>MP-188</t>
  </si>
  <si>
    <t>MP-189</t>
  </si>
  <si>
    <t>MP-156</t>
  </si>
  <si>
    <t>IN-000127</t>
  </si>
  <si>
    <t>MP-400</t>
  </si>
  <si>
    <t>MP-0056</t>
  </si>
  <si>
    <t>MP-095</t>
  </si>
  <si>
    <t>IN-0003</t>
  </si>
  <si>
    <t>MP-092</t>
  </si>
  <si>
    <t>MP-101</t>
  </si>
  <si>
    <t>MP-017</t>
  </si>
  <si>
    <t>IN-0005</t>
  </si>
  <si>
    <t>IN-0006</t>
  </si>
  <si>
    <t>MP-019</t>
  </si>
  <si>
    <t>MP-103</t>
  </si>
  <si>
    <t>IN-0007</t>
  </si>
  <si>
    <t>MP-108</t>
  </si>
  <si>
    <t>MP-020</t>
  </si>
  <si>
    <t>IN-0009</t>
  </si>
  <si>
    <t>MP-097</t>
  </si>
  <si>
    <t>IN-00101</t>
  </si>
  <si>
    <t>IN-00102</t>
  </si>
  <si>
    <t>MP-089</t>
  </si>
  <si>
    <t>MP-011</t>
  </si>
  <si>
    <t>IN-00103</t>
  </si>
  <si>
    <t>MP-144</t>
  </si>
  <si>
    <t>IN-0011</t>
  </si>
  <si>
    <t>MP-162</t>
  </si>
  <si>
    <t>MP-047</t>
  </si>
  <si>
    <t>IN-00117</t>
  </si>
  <si>
    <t>MP-197</t>
  </si>
  <si>
    <t>MP-196</t>
  </si>
  <si>
    <t>MP-164</t>
  </si>
  <si>
    <t>MP-195</t>
  </si>
  <si>
    <t>MP-371</t>
  </si>
  <si>
    <t>MP-0176</t>
  </si>
  <si>
    <t>MP-801</t>
  </si>
  <si>
    <t>MP-163</t>
  </si>
  <si>
    <t>IN-0016</t>
  </si>
  <si>
    <t>MP-145</t>
  </si>
  <si>
    <t>IN-0017</t>
  </si>
  <si>
    <t>MP-228</t>
  </si>
  <si>
    <t>IN-00171</t>
  </si>
  <si>
    <t>MP-19456</t>
  </si>
  <si>
    <t>MP-0471</t>
  </si>
  <si>
    <t>IN-00172</t>
  </si>
  <si>
    <t>MP-19452</t>
  </si>
  <si>
    <t>IN-00173</t>
  </si>
  <si>
    <t>MP-19457</t>
  </si>
  <si>
    <t>IN-00174</t>
  </si>
  <si>
    <t>MP-19460</t>
  </si>
  <si>
    <t>IN-0019</t>
  </si>
  <si>
    <t>MP-225</t>
  </si>
  <si>
    <t>IN-0022</t>
  </si>
  <si>
    <t>MP-229</t>
  </si>
  <si>
    <t>IN-0028</t>
  </si>
  <si>
    <t>MP-062</t>
  </si>
  <si>
    <t>MP-187</t>
  </si>
  <si>
    <t>IN-0042</t>
  </si>
  <si>
    <t>MP-268</t>
  </si>
  <si>
    <t>IN-0081</t>
  </si>
  <si>
    <t>MP-000100</t>
  </si>
  <si>
    <t>IN-0102</t>
  </si>
  <si>
    <t>MP-107</t>
  </si>
  <si>
    <t>MP-160</t>
  </si>
  <si>
    <t>IN-0236</t>
  </si>
  <si>
    <t>MP-131</t>
  </si>
  <si>
    <t>MP-194</t>
  </si>
  <si>
    <t>IN-031</t>
  </si>
  <si>
    <t>MP-267</t>
  </si>
  <si>
    <t>MP-151</t>
  </si>
  <si>
    <t>MP-249</t>
  </si>
  <si>
    <t>IN-035</t>
  </si>
  <si>
    <t>MP-224</t>
  </si>
  <si>
    <t>MP-136</t>
  </si>
  <si>
    <t>MP-029</t>
  </si>
  <si>
    <t>IN-036</t>
  </si>
  <si>
    <t>MP-376</t>
  </si>
  <si>
    <t>MP-135</t>
  </si>
  <si>
    <t>MP-375</t>
  </si>
  <si>
    <t>MP-134</t>
  </si>
  <si>
    <t>IN-038</t>
  </si>
  <si>
    <t>MP-148</t>
  </si>
  <si>
    <t>MP-037</t>
  </si>
  <si>
    <t>IN-039</t>
  </si>
  <si>
    <t>MP-149</t>
  </si>
  <si>
    <t>IN-040</t>
  </si>
  <si>
    <t>IN-0411</t>
  </si>
  <si>
    <t>MP-186</t>
  </si>
  <si>
    <t>IN-0412</t>
  </si>
  <si>
    <t>MP-1130</t>
  </si>
  <si>
    <t>IN-043</t>
  </si>
  <si>
    <t>IN-044</t>
  </si>
  <si>
    <t>MP-093</t>
  </si>
  <si>
    <t>IN-045</t>
  </si>
  <si>
    <t>IN-046</t>
  </si>
  <si>
    <t>MP-220</t>
  </si>
  <si>
    <t>MP-096</t>
  </si>
  <si>
    <t>MP-090</t>
  </si>
  <si>
    <t>MP-100</t>
  </si>
  <si>
    <t>IN-052</t>
  </si>
  <si>
    <t>MP-058</t>
  </si>
  <si>
    <t>MP-205</t>
  </si>
  <si>
    <t>MP-168</t>
  </si>
  <si>
    <t>MP-204</t>
  </si>
  <si>
    <t>MP-283</t>
  </si>
  <si>
    <t>MP-172</t>
  </si>
  <si>
    <t>IN-082</t>
  </si>
  <si>
    <t>MP-021</t>
  </si>
  <si>
    <t>MP-110</t>
  </si>
  <si>
    <t>IN-086</t>
  </si>
  <si>
    <t>MP-363</t>
  </si>
  <si>
    <t>IN-091</t>
  </si>
  <si>
    <t>MP-353</t>
  </si>
  <si>
    <t>IN-092</t>
  </si>
  <si>
    <t>MP-230</t>
  </si>
  <si>
    <t>IN-094</t>
  </si>
  <si>
    <t>MP-173</t>
  </si>
  <si>
    <t>IN-095</t>
  </si>
  <si>
    <t>MP-130</t>
  </si>
  <si>
    <t>MP-137</t>
  </si>
  <si>
    <t>IN-0976</t>
  </si>
  <si>
    <t>MP-7092</t>
  </si>
  <si>
    <t>IN-0977</t>
  </si>
  <si>
    <t>MP-09877</t>
  </si>
  <si>
    <t>IN-0987</t>
  </si>
  <si>
    <t>MP-7091</t>
  </si>
  <si>
    <t>IN-0998</t>
  </si>
  <si>
    <t>MP-7687</t>
  </si>
  <si>
    <t>IN-102</t>
  </si>
  <si>
    <t>MP-180</t>
  </si>
  <si>
    <t>MP-091</t>
  </si>
  <si>
    <t>MP-109</t>
  </si>
  <si>
    <t>IN-1123</t>
  </si>
  <si>
    <t>MP-460</t>
  </si>
  <si>
    <t>IN-1130</t>
  </si>
  <si>
    <t>MP-01130</t>
  </si>
  <si>
    <t>MP-01131</t>
  </si>
  <si>
    <t>IN-123</t>
  </si>
  <si>
    <t>MP-059</t>
  </si>
  <si>
    <t>MP-0381</t>
  </si>
  <si>
    <t>MP-1323</t>
  </si>
  <si>
    <t>MP-1234</t>
  </si>
  <si>
    <t>MP-2681</t>
  </si>
  <si>
    <t>MP-1235</t>
  </si>
  <si>
    <t>P-008</t>
  </si>
  <si>
    <t>MP-248</t>
  </si>
  <si>
    <t>IN-128</t>
  </si>
  <si>
    <t>MP-150</t>
  </si>
  <si>
    <t>IN-129</t>
  </si>
  <si>
    <t>MP-402</t>
  </si>
  <si>
    <t>MP-251</t>
  </si>
  <si>
    <t>MP-257</t>
  </si>
  <si>
    <t>MP-255</t>
  </si>
  <si>
    <t>IN-139</t>
  </si>
  <si>
    <t>MP-259</t>
  </si>
  <si>
    <t>MP-0632</t>
  </si>
  <si>
    <t>MP-171</t>
  </si>
  <si>
    <t>MP-273</t>
  </si>
  <si>
    <t>IN-141</t>
  </si>
  <si>
    <t>MP-2621</t>
  </si>
  <si>
    <t>MP-285</t>
  </si>
  <si>
    <t>IN-1410</t>
  </si>
  <si>
    <t>MP-262</t>
  </si>
  <si>
    <t>MP-275</t>
  </si>
  <si>
    <t>MP-276</t>
  </si>
  <si>
    <t>IN-144</t>
  </si>
  <si>
    <t>MP-1946</t>
  </si>
  <si>
    <t>IN-1441</t>
  </si>
  <si>
    <t>MP-389</t>
  </si>
  <si>
    <t>MP-289</t>
  </si>
  <si>
    <t>MP-073</t>
  </si>
  <si>
    <t>IN-1442</t>
  </si>
  <si>
    <t>MP-2891</t>
  </si>
  <si>
    <t>MP-269</t>
  </si>
  <si>
    <t>MP-260</t>
  </si>
  <si>
    <t>MP-270</t>
  </si>
  <si>
    <t>IN-1945</t>
  </si>
  <si>
    <t>MP-19458</t>
  </si>
  <si>
    <t>MP-194589</t>
  </si>
  <si>
    <t>MP-2021</t>
  </si>
  <si>
    <t>MP-19459</t>
  </si>
  <si>
    <t xml:space="preserve">IN-2041             </t>
  </si>
  <si>
    <t>MP-024</t>
  </si>
  <si>
    <t xml:space="preserve">IN-20417            </t>
  </si>
  <si>
    <t xml:space="preserve">IN-2042        </t>
  </si>
  <si>
    <t>IN-2047</t>
  </si>
  <si>
    <t>MP-076</t>
  </si>
  <si>
    <t xml:space="preserve">IN-2048             </t>
  </si>
  <si>
    <t>IN-20481</t>
  </si>
  <si>
    <t>MP-178</t>
  </si>
  <si>
    <t>IN-233</t>
  </si>
  <si>
    <t>MP-002</t>
  </si>
  <si>
    <t>MP-192</t>
  </si>
  <si>
    <t>MP-170</t>
  </si>
  <si>
    <t>MP-200</t>
  </si>
  <si>
    <t>IN-2601</t>
  </si>
  <si>
    <t>MP-2602</t>
  </si>
  <si>
    <t>MP-2601</t>
  </si>
  <si>
    <t>IN-32</t>
  </si>
  <si>
    <t>AGROTAFOL 15-30-15 INICIO X KG</t>
  </si>
  <si>
    <t>MP-084</t>
  </si>
  <si>
    <t>ETIQUETA AGROTAFOL INICIAL KILO/500g</t>
  </si>
  <si>
    <t>MP-004</t>
  </si>
  <si>
    <t>15 - 30 - 15 + MICROELEMENTOS X KG</t>
  </si>
  <si>
    <t>IN-3219</t>
  </si>
  <si>
    <t>IN-33</t>
  </si>
  <si>
    <t>AGROTAFOL 25-10-10 CRECIMIENTO X KILO</t>
  </si>
  <si>
    <t>MP-315</t>
  </si>
  <si>
    <t>ENVASE AGROTAFOL DESARROLLO X KILO PREIM</t>
  </si>
  <si>
    <t>MP-001</t>
  </si>
  <si>
    <t>25 - 10 - 10  + MICROELEMENTOS X KG</t>
  </si>
  <si>
    <t>MP-316</t>
  </si>
  <si>
    <t>IN-34567</t>
  </si>
  <si>
    <t>IN-35</t>
  </si>
  <si>
    <t>MP-083</t>
  </si>
  <si>
    <t>MP-364</t>
  </si>
  <si>
    <t>IN-358</t>
  </si>
  <si>
    <t>MP-358</t>
  </si>
  <si>
    <t>IN-362</t>
  </si>
  <si>
    <t>MP-396</t>
  </si>
  <si>
    <t>MP-114</t>
  </si>
  <si>
    <t>MP-022</t>
  </si>
  <si>
    <t>IN-375</t>
  </si>
  <si>
    <t>MP-370</t>
  </si>
  <si>
    <t>MPFUN001</t>
  </si>
  <si>
    <t>IN-380</t>
  </si>
  <si>
    <t>MP-133</t>
  </si>
  <si>
    <t>IN-389</t>
  </si>
  <si>
    <t>MP-113</t>
  </si>
  <si>
    <t>IN-48</t>
  </si>
  <si>
    <t>MP-023</t>
  </si>
  <si>
    <t>IN-5421</t>
  </si>
  <si>
    <t>MP-19454</t>
  </si>
  <si>
    <t>IN-5422</t>
  </si>
  <si>
    <t>MP-19453</t>
  </si>
  <si>
    <t>MP-112</t>
  </si>
  <si>
    <t>IN-556</t>
  </si>
  <si>
    <t>IN-5665</t>
  </si>
  <si>
    <t>MP-789</t>
  </si>
  <si>
    <t>IN-62</t>
  </si>
  <si>
    <t>MP-0832</t>
  </si>
  <si>
    <t>IN-63</t>
  </si>
  <si>
    <t>IN-64</t>
  </si>
  <si>
    <t>MP-0841</t>
  </si>
  <si>
    <t>IN-65</t>
  </si>
  <si>
    <t>IN-6610</t>
  </si>
  <si>
    <t>IN-6669</t>
  </si>
  <si>
    <t>MP-6610</t>
  </si>
  <si>
    <t>IN-6611</t>
  </si>
  <si>
    <t>MP-6612</t>
  </si>
  <si>
    <t>IN-6612</t>
  </si>
  <si>
    <t>MP-6613</t>
  </si>
  <si>
    <t>IN-6613</t>
  </si>
  <si>
    <t>MP-6614</t>
  </si>
  <si>
    <t>IN-6614</t>
  </si>
  <si>
    <t>MP-19451</t>
  </si>
  <si>
    <t>mp-6615</t>
  </si>
  <si>
    <t>MP-19455</t>
  </si>
  <si>
    <t>MP-667</t>
  </si>
  <si>
    <t>IN-6671</t>
  </si>
  <si>
    <t>MP-115</t>
  </si>
  <si>
    <t>MP-803</t>
  </si>
  <si>
    <t>IN-668</t>
  </si>
  <si>
    <t>G-006</t>
  </si>
  <si>
    <t>MP-6687</t>
  </si>
  <si>
    <t>IN-669</t>
  </si>
  <si>
    <t>IN-670</t>
  </si>
  <si>
    <t>MP-669</t>
  </si>
  <si>
    <t>MP-668</t>
  </si>
  <si>
    <t>IN-6789</t>
  </si>
  <si>
    <t>MP-788</t>
  </si>
  <si>
    <t>MP-7654</t>
  </si>
  <si>
    <t>IN-81</t>
  </si>
  <si>
    <t>MP-234</t>
  </si>
  <si>
    <t>MP-175</t>
  </si>
  <si>
    <t>MP-199</t>
  </si>
  <si>
    <t>MP-177</t>
  </si>
  <si>
    <t>IN-963</t>
  </si>
  <si>
    <t>MP-132</t>
  </si>
  <si>
    <t>IN-9753</t>
  </si>
  <si>
    <t>MP-9753</t>
  </si>
  <si>
    <t>IN-9876</t>
  </si>
  <si>
    <t>INS-001</t>
  </si>
  <si>
    <t>MPETI002</t>
  </si>
  <si>
    <t>MPINS-025</t>
  </si>
  <si>
    <t>INT-001</t>
  </si>
  <si>
    <t>MP-146</t>
  </si>
  <si>
    <t>INT-002</t>
  </si>
  <si>
    <t>INT-007</t>
  </si>
  <si>
    <t>MP-117</t>
  </si>
  <si>
    <t>MP-080</t>
  </si>
  <si>
    <t>INT-008</t>
  </si>
  <si>
    <t>INT-009</t>
  </si>
  <si>
    <t>MP-129</t>
  </si>
  <si>
    <t>MP.027</t>
  </si>
  <si>
    <t>INT-010</t>
  </si>
  <si>
    <t>MP-313</t>
  </si>
  <si>
    <t>MP-310</t>
  </si>
  <si>
    <t>INT-011</t>
  </si>
  <si>
    <t>MP-128</t>
  </si>
  <si>
    <t>MP-036</t>
  </si>
  <si>
    <t>INT-013</t>
  </si>
  <si>
    <t>MP-044</t>
  </si>
  <si>
    <t>MP-227</t>
  </si>
  <si>
    <t>MP-069</t>
  </si>
  <si>
    <t>MP-201</t>
  </si>
  <si>
    <t>MP-119</t>
  </si>
  <si>
    <t>MP-203</t>
  </si>
  <si>
    <t>MP-202</t>
  </si>
  <si>
    <t>MP-099</t>
  </si>
  <si>
    <t>MP-102</t>
  </si>
  <si>
    <t>MP-118</t>
  </si>
  <si>
    <t>MP-152</t>
  </si>
  <si>
    <t>MP-206</t>
  </si>
  <si>
    <t>MP-181</t>
  </si>
  <si>
    <t>MP-190</t>
  </si>
  <si>
    <t>MP-321</t>
  </si>
  <si>
    <t>MP-368</t>
  </si>
  <si>
    <t>MP-369</t>
  </si>
  <si>
    <t>MP-397</t>
  </si>
  <si>
    <t>MP-409</t>
  </si>
  <si>
    <t>MP-412</t>
  </si>
  <si>
    <t>MP-413</t>
  </si>
  <si>
    <t>MP-858</t>
  </si>
  <si>
    <t>OT-079</t>
  </si>
  <si>
    <t>OT-693</t>
  </si>
  <si>
    <t>MP-295</t>
  </si>
  <si>
    <t>PT-009</t>
  </si>
  <si>
    <t>PT-010</t>
  </si>
  <si>
    <t>PT-012</t>
  </si>
  <si>
    <t>MP-254</t>
  </si>
  <si>
    <t>MP-210</t>
  </si>
  <si>
    <t>MP-074</t>
  </si>
  <si>
    <t>PT-018</t>
  </si>
  <si>
    <t>PT-019</t>
  </si>
  <si>
    <t>PT-268</t>
  </si>
  <si>
    <t>PT-269</t>
  </si>
  <si>
    <t>PTHER006</t>
  </si>
  <si>
    <t>PTHER009</t>
  </si>
  <si>
    <t>MPETI006</t>
  </si>
  <si>
    <t>PTHER010</t>
  </si>
  <si>
    <t>MPETI007</t>
  </si>
  <si>
    <t>PTNUT009</t>
  </si>
  <si>
    <t>MP-30426</t>
  </si>
  <si>
    <t>MP-29426</t>
  </si>
  <si>
    <t>PTNUT010</t>
  </si>
  <si>
    <t>MP-30427</t>
  </si>
  <si>
    <t>MP-29427</t>
  </si>
  <si>
    <t>PTNUT011</t>
  </si>
  <si>
    <t>MP-30425</t>
  </si>
  <si>
    <t>MP-29425</t>
  </si>
  <si>
    <t>PTNUT012</t>
  </si>
  <si>
    <t>MP-30424</t>
  </si>
  <si>
    <t>MP-29424</t>
  </si>
  <si>
    <t>PTNUT013</t>
  </si>
  <si>
    <t>PTNUT014</t>
  </si>
  <si>
    <t>PTNUT015</t>
  </si>
  <si>
    <t>PTNUT016</t>
  </si>
  <si>
    <t>PTNUT030</t>
  </si>
  <si>
    <t>PTNUT050</t>
  </si>
  <si>
    <t>MPETI003</t>
  </si>
  <si>
    <t>QU-012</t>
  </si>
  <si>
    <t>MP-393</t>
  </si>
  <si>
    <t>MP-064</t>
  </si>
  <si>
    <t>QU-013</t>
  </si>
  <si>
    <t>MP-394</t>
  </si>
  <si>
    <t>QUIM-001</t>
  </si>
  <si>
    <t>MP-123</t>
  </si>
  <si>
    <t>QUIM-002</t>
  </si>
  <si>
    <t>MP-124</t>
  </si>
  <si>
    <t>QUIM-003</t>
  </si>
  <si>
    <t>MP-208</t>
  </si>
  <si>
    <t>MP-26</t>
  </si>
  <si>
    <t>QUIM-004</t>
  </si>
  <si>
    <t>MP-141</t>
  </si>
  <si>
    <t>QUIM-005</t>
  </si>
  <si>
    <t>MP-140</t>
  </si>
  <si>
    <t>QUIM-007</t>
  </si>
  <si>
    <t>MP-465</t>
  </si>
  <si>
    <t>MP-246</t>
  </si>
  <si>
    <t>MP-075</t>
  </si>
  <si>
    <t>QUIM-010</t>
  </si>
  <si>
    <t>MP-191</t>
  </si>
  <si>
    <t>QUIM-013</t>
  </si>
  <si>
    <t>MP-214</t>
  </si>
  <si>
    <t>QUIM-014</t>
  </si>
  <si>
    <t>MP-213</t>
  </si>
  <si>
    <t>MP-373</t>
  </si>
  <si>
    <t>QUIM-016</t>
  </si>
  <si>
    <t>MP-211</t>
  </si>
  <si>
    <t>QUIM-018</t>
  </si>
  <si>
    <t>MP-125</t>
  </si>
  <si>
    <t>QUIM-0181</t>
  </si>
  <si>
    <t>MP-897</t>
  </si>
  <si>
    <t>MP-122</t>
  </si>
  <si>
    <t>QUIM-020</t>
  </si>
  <si>
    <t>FU-003</t>
  </si>
  <si>
    <t>MP-207</t>
  </si>
  <si>
    <t>QUIM-021</t>
  </si>
  <si>
    <t>MP-2023</t>
  </si>
  <si>
    <t>QUIM-022</t>
  </si>
  <si>
    <t>MP-025</t>
  </si>
  <si>
    <t>QUIM-023</t>
  </si>
  <si>
    <t>MP-890</t>
  </si>
  <si>
    <t>MP-361</t>
  </si>
  <si>
    <t>QUIM-024</t>
  </si>
  <si>
    <t>MP-121</t>
  </si>
  <si>
    <t>QUIM-032</t>
  </si>
  <si>
    <t>TERACA-008</t>
  </si>
  <si>
    <t>MP-079</t>
  </si>
  <si>
    <t>TERFUN-037</t>
  </si>
  <si>
    <t>TERFUNO-001</t>
  </si>
  <si>
    <t>MPETI0017</t>
  </si>
  <si>
    <t>TERINS-020</t>
  </si>
  <si>
    <t>MP-212</t>
  </si>
  <si>
    <t>Requerimiento de Materias Primas</t>
  </si>
  <si>
    <t>Cod Materia Prima</t>
  </si>
  <si>
    <t>Descripcion Materia Prima</t>
  </si>
  <si>
    <t xml:space="preserve">Cantidad </t>
  </si>
  <si>
    <t>CodigoVentaproducto</t>
  </si>
  <si>
    <t>NombreGrupo</t>
  </si>
  <si>
    <t>OT124</t>
  </si>
  <si>
    <t>MATERIA PRIMA</t>
  </si>
  <si>
    <t>TROY-002</t>
  </si>
  <si>
    <t>TB-1902802001</t>
  </si>
  <si>
    <t>G-004</t>
  </si>
  <si>
    <t xml:space="preserve">MATERIA PRIMA </t>
  </si>
  <si>
    <t>HT001</t>
  </si>
  <si>
    <t xml:space="preserve">TERMINADO </t>
  </si>
  <si>
    <t>BA-028</t>
  </si>
  <si>
    <t>TERMINADO</t>
  </si>
  <si>
    <t>F-004</t>
  </si>
  <si>
    <t>F-008</t>
  </si>
  <si>
    <t>F-009</t>
  </si>
  <si>
    <t>F-010</t>
  </si>
  <si>
    <t>F-017</t>
  </si>
  <si>
    <t>FUN-01</t>
  </si>
  <si>
    <t>IN -141</t>
  </si>
  <si>
    <t>IN-041.</t>
  </si>
  <si>
    <t>IN-105</t>
  </si>
  <si>
    <t>MP - 063</t>
  </si>
  <si>
    <t>MP - 233</t>
  </si>
  <si>
    <t>MP -234</t>
  </si>
  <si>
    <t>MP-003</t>
  </si>
  <si>
    <t>MP-006</t>
  </si>
  <si>
    <t>MP-007</t>
  </si>
  <si>
    <t>MP-008</t>
  </si>
  <si>
    <t>MP-010</t>
  </si>
  <si>
    <t>MP-026</t>
  </si>
  <si>
    <t>MP-032</t>
  </si>
  <si>
    <t>MP-033</t>
  </si>
  <si>
    <t>MP-040</t>
  </si>
  <si>
    <t>MP-071</t>
  </si>
  <si>
    <t>MP-072</t>
  </si>
  <si>
    <t>MP-085</t>
  </si>
  <si>
    <t>MP-086</t>
  </si>
  <si>
    <t>MP-087</t>
  </si>
  <si>
    <t>MP-088</t>
  </si>
  <si>
    <t>MP-094</t>
  </si>
  <si>
    <t>MP-104</t>
  </si>
  <si>
    <t>MP-126</t>
  </si>
  <si>
    <t>MP-127</t>
  </si>
  <si>
    <t>MP-138</t>
  </si>
  <si>
    <t>MP-139</t>
  </si>
  <si>
    <t>MP-147</t>
  </si>
  <si>
    <t>MP-155</t>
  </si>
  <si>
    <t>MP-157</t>
  </si>
  <si>
    <t>MP-166</t>
  </si>
  <si>
    <t>MP-167</t>
  </si>
  <si>
    <t>MP-176</t>
  </si>
  <si>
    <t>MP-183</t>
  </si>
  <si>
    <t>MP-193</t>
  </si>
  <si>
    <t>MP-209</t>
  </si>
  <si>
    <t>MP-215</t>
  </si>
  <si>
    <t>MP-226</t>
  </si>
  <si>
    <t>MP-231</t>
  </si>
  <si>
    <t>MP-232</t>
  </si>
  <si>
    <t>MP-233</t>
  </si>
  <si>
    <t>MP-241</t>
  </si>
  <si>
    <t>MP-243</t>
  </si>
  <si>
    <t>MP-258</t>
  </si>
  <si>
    <t>MP-265</t>
  </si>
  <si>
    <t>MP-271</t>
  </si>
  <si>
    <t>MP-274</t>
  </si>
  <si>
    <t>MP-279</t>
  </si>
  <si>
    <t>MP-317</t>
  </si>
  <si>
    <t>MP-318</t>
  </si>
  <si>
    <t>MP-319</t>
  </si>
  <si>
    <t>MP-320</t>
  </si>
  <si>
    <t>MP-322</t>
  </si>
  <si>
    <t>MP-323</t>
  </si>
  <si>
    <t>MP-325</t>
  </si>
  <si>
    <t>MP-350</t>
  </si>
  <si>
    <t>MP-359</t>
  </si>
  <si>
    <t>MP-360</t>
  </si>
  <si>
    <t>MP-374</t>
  </si>
  <si>
    <t>MP-382</t>
  </si>
  <si>
    <t>MP-387</t>
  </si>
  <si>
    <t>MP-388</t>
  </si>
  <si>
    <t>MP-391</t>
  </si>
  <si>
    <t>MP-403</t>
  </si>
  <si>
    <t>MP-405</t>
  </si>
  <si>
    <t>MP-406</t>
  </si>
  <si>
    <t>MP-408</t>
  </si>
  <si>
    <t>MP-414</t>
  </si>
  <si>
    <t>MP-415</t>
  </si>
  <si>
    <t>MP-416</t>
  </si>
  <si>
    <t>MP-417</t>
  </si>
  <si>
    <t>MP-855</t>
  </si>
  <si>
    <t>MP-856</t>
  </si>
  <si>
    <t>MP-857</t>
  </si>
  <si>
    <t>OT-487</t>
  </si>
  <si>
    <t>OT-528</t>
  </si>
  <si>
    <t>PT-029</t>
  </si>
  <si>
    <t>MP-460         er</t>
  </si>
  <si>
    <t>MP-038</t>
  </si>
  <si>
    <t>MP-2601err</t>
  </si>
  <si>
    <t>MP-2602err</t>
  </si>
  <si>
    <t>MP-1262err</t>
  </si>
  <si>
    <t>MP-2791</t>
  </si>
  <si>
    <t xml:space="preserve">MP-2792        </t>
  </si>
  <si>
    <t>LIQ-0005</t>
  </si>
  <si>
    <t>AM-001</t>
  </si>
  <si>
    <t>G-0012</t>
  </si>
  <si>
    <t>G-0014</t>
  </si>
  <si>
    <t>G-0015</t>
  </si>
  <si>
    <t>G-008</t>
  </si>
  <si>
    <t>IN-081</t>
  </si>
  <si>
    <t>MP-398</t>
  </si>
  <si>
    <t>MP-6612err</t>
  </si>
  <si>
    <t>MP-66690</t>
  </si>
  <si>
    <t>MP-578</t>
  </si>
  <si>
    <t>IN-666</t>
  </si>
  <si>
    <t>IN-667</t>
  </si>
  <si>
    <t>IN-768</t>
  </si>
  <si>
    <t>IN-94</t>
  </si>
  <si>
    <t>MP.0302</t>
  </si>
  <si>
    <t>MP-031</t>
  </si>
  <si>
    <t>MP-1266</t>
  </si>
  <si>
    <t>MP-1945</t>
  </si>
  <si>
    <t>MP-2621err</t>
  </si>
  <si>
    <t>MP-790</t>
  </si>
  <si>
    <t>MP-791</t>
  </si>
  <si>
    <t>MP-859</t>
  </si>
  <si>
    <t>OT-080</t>
  </si>
  <si>
    <t>C-0010</t>
  </si>
  <si>
    <t>C-009</t>
  </si>
  <si>
    <t>G-002</t>
  </si>
  <si>
    <t>MP-013</t>
  </si>
  <si>
    <t>MP-042</t>
  </si>
  <si>
    <t>MP-078</t>
  </si>
  <si>
    <t>MP-1262</t>
  </si>
  <si>
    <t>PT-016</t>
  </si>
  <si>
    <t>IN-38</t>
  </si>
  <si>
    <t>QUIM-025</t>
  </si>
  <si>
    <t>MP-802</t>
  </si>
  <si>
    <t>MP-543</t>
  </si>
  <si>
    <t>OT-116772</t>
  </si>
  <si>
    <t>OT-10011</t>
  </si>
  <si>
    <t>MP-0031</t>
  </si>
  <si>
    <t>MP-7911</t>
  </si>
  <si>
    <t>MP-01245</t>
  </si>
  <si>
    <t>OT-078</t>
  </si>
  <si>
    <t>MP-0641</t>
  </si>
  <si>
    <t>MP-0221</t>
  </si>
  <si>
    <t>MP-3611</t>
  </si>
  <si>
    <t>MP-3612</t>
  </si>
  <si>
    <t>MP-256</t>
  </si>
  <si>
    <t>MP-039</t>
  </si>
  <si>
    <t>MP-0241</t>
  </si>
  <si>
    <t>MP-0242</t>
  </si>
  <si>
    <t>MP-0291</t>
  </si>
  <si>
    <t>MP-0292</t>
  </si>
  <si>
    <t>MP-060</t>
  </si>
  <si>
    <t>MP-061</t>
  </si>
  <si>
    <t>MP-019445</t>
  </si>
  <si>
    <t>MP-01945</t>
  </si>
  <si>
    <t>PT-J001</t>
  </si>
  <si>
    <t>MP-250</t>
  </si>
  <si>
    <t>OT-M.CHAVET</t>
  </si>
  <si>
    <t>MP-280</t>
  </si>
  <si>
    <t>IN-0029</t>
  </si>
  <si>
    <t>MP-281</t>
  </si>
  <si>
    <t>COA-001</t>
  </si>
  <si>
    <t>COA-002</t>
  </si>
  <si>
    <t>COA-003</t>
  </si>
  <si>
    <t>COA-004</t>
  </si>
  <si>
    <t>COA-005</t>
  </si>
  <si>
    <t>CY-001</t>
  </si>
  <si>
    <t>SC-002</t>
  </si>
  <si>
    <t>EQ-001</t>
  </si>
  <si>
    <t>EQ-002</t>
  </si>
  <si>
    <t>MARTINEZ-RAT-001</t>
  </si>
  <si>
    <t>IH-001</t>
  </si>
  <si>
    <t>EU-10022-45</t>
  </si>
  <si>
    <t>FARM AGRO-MATBIC475CC</t>
  </si>
  <si>
    <t>IN-00128</t>
  </si>
  <si>
    <t>IN-IN001</t>
  </si>
  <si>
    <t>IN-IN002</t>
  </si>
  <si>
    <t>MP-252</t>
  </si>
  <si>
    <t>MP-253</t>
  </si>
  <si>
    <t>MP-277</t>
  </si>
  <si>
    <t>MP-8031</t>
  </si>
  <si>
    <t>MP-8021</t>
  </si>
  <si>
    <t>POLEA-0001</t>
  </si>
  <si>
    <t>POLEA-0002</t>
  </si>
  <si>
    <t>POLEA-0001-1</t>
  </si>
  <si>
    <t>POLEA-0002-1</t>
  </si>
  <si>
    <t>MPFUN002</t>
  </si>
  <si>
    <t>MPFUN003</t>
  </si>
  <si>
    <t>PTHER008</t>
  </si>
  <si>
    <t>MPETI005</t>
  </si>
  <si>
    <t>MPFUND011</t>
  </si>
  <si>
    <t>MPFUND012</t>
  </si>
  <si>
    <t>MPFUND013</t>
  </si>
  <si>
    <t>MPFUND014</t>
  </si>
  <si>
    <t>MPFUND001</t>
  </si>
  <si>
    <t>ECU-22360032</t>
  </si>
  <si>
    <t>ECU-22520045</t>
  </si>
  <si>
    <t>ETI00234</t>
  </si>
  <si>
    <t>MPETI0018</t>
  </si>
  <si>
    <t>COA-007</t>
  </si>
  <si>
    <t>COA-008</t>
  </si>
  <si>
    <t>COA-009</t>
  </si>
  <si>
    <t>COA-010</t>
  </si>
  <si>
    <t>MPFUND002</t>
  </si>
  <si>
    <t>Tipo</t>
  </si>
  <si>
    <t>250 MILILITROS</t>
  </si>
  <si>
    <t>500 MILILITROS</t>
  </si>
  <si>
    <t>ENVASE FARMACEUTICO 120 ML</t>
  </si>
  <si>
    <t>ENVASE PET 250 ML</t>
  </si>
  <si>
    <t>ENVASE PET 500 ML</t>
  </si>
  <si>
    <t>BUCANER X LT</t>
  </si>
  <si>
    <t>ETIQUETA BUCANER X LITRO</t>
  </si>
  <si>
    <t>SULFATO DE COBRE 24%</t>
  </si>
  <si>
    <t>BUCANER FORTE X 500 ML</t>
  </si>
  <si>
    <t>ETIQUETA BUCANER FORTE X 500 ML</t>
  </si>
  <si>
    <t>SULFATO DE COBRE + AMINOACIDOS X LT</t>
  </si>
  <si>
    <t>BUCANER FORTE X 250 ML</t>
  </si>
  <si>
    <t>ETIQUETA BUCANER FORTE X 250 ML</t>
  </si>
  <si>
    <t>BUCANER FORTE X 100 ML</t>
  </si>
  <si>
    <t>ETIQUETA BUCANER FORTE X 100 ML</t>
  </si>
  <si>
    <t>BUCANER FORTE X LITRO</t>
  </si>
  <si>
    <t>ETIQUETA BUCANER FORTE X LITRO</t>
  </si>
  <si>
    <t>TENSOACTIVO HUMECTANTE</t>
  </si>
  <si>
    <t>ETIQUETA AGROTAFIX X LITRO</t>
  </si>
  <si>
    <t>Causa</t>
  </si>
  <si>
    <t>OBSERVACIÓN</t>
  </si>
  <si>
    <t>N</t>
  </si>
  <si>
    <t>CÓDIGO</t>
  </si>
  <si>
    <t>DESCRIPCIÓN</t>
  </si>
  <si>
    <t>DETALLE DE REQUERIMIENTOS</t>
  </si>
  <si>
    <t>EMPRESA:</t>
  </si>
  <si>
    <t>FECHA:</t>
  </si>
  <si>
    <t>PROVEEDOR</t>
  </si>
  <si>
    <t>TERFUN-050</t>
  </si>
  <si>
    <t>ETIFUN003</t>
  </si>
  <si>
    <t>TERINS-021</t>
  </si>
  <si>
    <t xml:space="preserve"> MPNUT-017 </t>
  </si>
  <si>
    <t>AGROTAFIX X LT</t>
  </si>
  <si>
    <t>CUMPLIMIENTO</t>
  </si>
  <si>
    <t>DESCRIPCION</t>
  </si>
  <si>
    <t>AGROFORESTAL</t>
  </si>
  <si>
    <t>REPUESTOS DESMALEZADORA</t>
  </si>
  <si>
    <t>EC-B450/AUS</t>
  </si>
  <si>
    <t>DESMALEZADORA B450 AUS</t>
  </si>
  <si>
    <t>DESMALEZADORA</t>
  </si>
  <si>
    <t>MOTOSIERRA CS-420-45 CON BARRA Y CADENA</t>
  </si>
  <si>
    <t>MOTOSIERRAS</t>
  </si>
  <si>
    <t>EC-CS-600-60EUSTD</t>
  </si>
  <si>
    <t>MOTOSIERRA CS-600-60 CON BARRA Y CADENA</t>
  </si>
  <si>
    <t>DESMALEZADORA B450</t>
  </si>
  <si>
    <t>EC-DM-6110EUSTD</t>
  </si>
  <si>
    <t>NEBULIZADORA, PULVERIZADORA 23LITROS</t>
  </si>
  <si>
    <t>NEBULIZADORA. PULVERIZADORA Y ESPOLVEADORA</t>
  </si>
  <si>
    <t>EC-A230000000</t>
  </si>
  <si>
    <t>REJILLA FILTRO AIRE SRM4300</t>
  </si>
  <si>
    <t>BOMBA DE FUMIGAR A MOTOR ES726</t>
  </si>
  <si>
    <t>BOMBA DE FUMIGACION</t>
  </si>
  <si>
    <t>EC-21003204110</t>
  </si>
  <si>
    <t>OBTURADOR TUBO RECTO DM6110</t>
  </si>
  <si>
    <t>REPUESTOS NEBULIZADORA. PULVERIZADORA Y ESPOLVEADORA</t>
  </si>
  <si>
    <t>EC-P022033110</t>
  </si>
  <si>
    <t>CARCAZA DE LA CAJA DE ENGRANAJE SRM4300</t>
  </si>
  <si>
    <t>PODADORA DE EXTENSION 2400STD</t>
  </si>
  <si>
    <t xml:space="preserve">PODADORAS DE ALTURA </t>
  </si>
  <si>
    <t>EC-70602019230</t>
  </si>
  <si>
    <t>CIGUEÑAL DEL MECANISMO BOMBA SHP800</t>
  </si>
  <si>
    <t>REPUESTO BOMBA DE FUMIGACION</t>
  </si>
  <si>
    <t>EC-GT-22GES</t>
  </si>
  <si>
    <t>PODADORA HOME GT-22GES</t>
  </si>
  <si>
    <t>COMPLETO</t>
  </si>
  <si>
    <t>Pérdida en proveedor de transporte</t>
  </si>
  <si>
    <t>Retraso del proveedor</t>
  </si>
  <si>
    <t>FAMILIA</t>
  </si>
  <si>
    <t>SUBFAMILIA</t>
  </si>
  <si>
    <t>CATEGORIA</t>
  </si>
  <si>
    <t>TIPO</t>
  </si>
  <si>
    <t>MARCA</t>
  </si>
  <si>
    <t>MODELO</t>
  </si>
  <si>
    <t>CAT MANAGEMENT</t>
  </si>
  <si>
    <t>GRUPO</t>
  </si>
  <si>
    <t>LINEA</t>
  </si>
  <si>
    <t>pro_grupo</t>
  </si>
  <si>
    <t>pro_linea</t>
  </si>
  <si>
    <t>pro_sublinea</t>
  </si>
  <si>
    <t>pro_modelo</t>
  </si>
  <si>
    <t>pro_familia</t>
  </si>
  <si>
    <t>pro_subfamilia</t>
  </si>
  <si>
    <t>pro_categoria</t>
  </si>
  <si>
    <t>pro_tipo</t>
  </si>
  <si>
    <t>pro_marca</t>
  </si>
  <si>
    <t>pro_cat_management</t>
  </si>
  <si>
    <t>SUBLINEA</t>
  </si>
  <si>
    <t>INV FISICO</t>
  </si>
  <si>
    <t>COMPROMETIDO</t>
  </si>
  <si>
    <t>BACKORDER</t>
  </si>
  <si>
    <t>INV TRANSITO</t>
  </si>
  <si>
    <t>PERFIL</t>
  </si>
  <si>
    <t>CODIGO GENERICO</t>
  </si>
  <si>
    <t>PEDIDO MIN</t>
  </si>
  <si>
    <t>PEDIDO MIN GRUPO</t>
  </si>
  <si>
    <t>PEDIDO PROMEDIO</t>
  </si>
  <si>
    <t>INV PROYECTADO</t>
  </si>
  <si>
    <t>UNIDAD EMPAQUE</t>
  </si>
  <si>
    <t>Error Pedid Min Grupo</t>
  </si>
  <si>
    <t>NEGOCIACIÓN</t>
  </si>
  <si>
    <t>PRODUCCIÓN</t>
  </si>
  <si>
    <t>EMBARCADO</t>
  </si>
  <si>
    <t>TAMAÑO RELATIVO</t>
  </si>
  <si>
    <t>con_empresa</t>
  </si>
  <si>
    <t>con_archivo</t>
  </si>
  <si>
    <t>con_bodega</t>
  </si>
  <si>
    <t>con_proveedor</t>
  </si>
  <si>
    <t>con_perfil</t>
  </si>
  <si>
    <t>con_codigo</t>
  </si>
  <si>
    <t>con_codigo_generico</t>
  </si>
  <si>
    <t>con_codigo_vinculado</t>
  </si>
  <si>
    <t>con_nuevo_buffer_sugerido</t>
  </si>
  <si>
    <t>con_nuevo_buffer_real</t>
  </si>
  <si>
    <t>con_observaciones</t>
  </si>
  <si>
    <t>con_tipo</t>
  </si>
  <si>
    <t>con_ctv</t>
  </si>
  <si>
    <t>con_pv</t>
  </si>
  <si>
    <t>con_pedido_minimo</t>
  </si>
  <si>
    <t>con_pedido_minimo_grupo</t>
  </si>
  <si>
    <t>con_unidad_empaque</t>
  </si>
  <si>
    <t>con_porcentaje_atencion</t>
  </si>
  <si>
    <t>con_inventario_proveedor</t>
  </si>
  <si>
    <t>con_buffer</t>
  </si>
  <si>
    <t>con_inventario_fisico</t>
  </si>
  <si>
    <t>con_color</t>
  </si>
  <si>
    <t>con_estado_buffer</t>
  </si>
  <si>
    <t>con_transito</t>
  </si>
  <si>
    <t>con_negociacion</t>
  </si>
  <si>
    <t>con_produccion</t>
  </si>
  <si>
    <t>con_embarcado</t>
  </si>
  <si>
    <t>con_comprometido</t>
  </si>
  <si>
    <t>con_backorder</t>
  </si>
  <si>
    <t>con_inventario_proyectado</t>
  </si>
  <si>
    <t>con_pedido_calculado</t>
  </si>
  <si>
    <t>con_pedido_real</t>
  </si>
  <si>
    <t>con_pedido_promedio</t>
  </si>
  <si>
    <t>con_tdd</t>
  </si>
  <si>
    <t>con_idd</t>
  </si>
  <si>
    <t>con_rentabilidad</t>
  </si>
  <si>
    <t>con_velocity</t>
  </si>
  <si>
    <t>con_nivel_servicio</t>
  </si>
  <si>
    <t>con_ultimo_cambio</t>
  </si>
  <si>
    <t>con_tipo_compra</t>
  </si>
  <si>
    <t>con_consumo</t>
  </si>
  <si>
    <t>con_ped_prom</t>
  </si>
  <si>
    <t>pro_catpropia1</t>
  </si>
  <si>
    <t>pro_catpropia2</t>
  </si>
  <si>
    <t>pro_catpropia3</t>
  </si>
  <si>
    <t>pro_catpropia4</t>
  </si>
  <si>
    <t>pro_catpropia5</t>
  </si>
  <si>
    <t>con_fin</t>
  </si>
  <si>
    <t>Una prueba de transferencia</t>
  </si>
  <si>
    <t>emp_codigo</t>
  </si>
  <si>
    <t>emp_nombre</t>
  </si>
  <si>
    <t>bod_codigo</t>
  </si>
  <si>
    <t>bod_nombre</t>
  </si>
  <si>
    <t>CONSUMO INV PROY</t>
  </si>
  <si>
    <t>COBERT BUFFER</t>
  </si>
  <si>
    <t>COBERT INV PROY</t>
  </si>
  <si>
    <t>COBERT PEDID MIN</t>
  </si>
  <si>
    <t>COLOR</t>
  </si>
  <si>
    <t>COLOR1</t>
  </si>
  <si>
    <t>DIAS DESABASTECIM</t>
  </si>
  <si>
    <t>RENTABILID PROY</t>
  </si>
  <si>
    <t>con_gdb</t>
  </si>
  <si>
    <t>con_cam</t>
  </si>
  <si>
    <t>con_comportamiento</t>
  </si>
  <si>
    <t>con_consumo1</t>
  </si>
  <si>
    <t>con_buffer_calculado</t>
  </si>
  <si>
    <t>con_cobertura_buffer</t>
  </si>
  <si>
    <t>con_cobertura_inventario_proyectado</t>
  </si>
  <si>
    <t>con_cobertura_pedido_minimo</t>
  </si>
  <si>
    <t>con_dias_desabastecimiento</t>
  </si>
  <si>
    <t>con_buffer_minimo</t>
  </si>
  <si>
    <t>con_buffer_maximo</t>
  </si>
  <si>
    <t>con_impacto_faltante</t>
  </si>
  <si>
    <t>con_zona_amarilla</t>
  </si>
  <si>
    <t>con_zona_roja</t>
  </si>
  <si>
    <t>con_color1</t>
  </si>
  <si>
    <t>con_ultimo_buffer</t>
  </si>
  <si>
    <t>con_buffer_anterior_estacion</t>
  </si>
  <si>
    <t>con_buffer_estacional</t>
  </si>
  <si>
    <t>con_estado_buffer_proyectado</t>
  </si>
  <si>
    <t>con_calendario_estacional</t>
  </si>
  <si>
    <t>con_accion_estacional</t>
  </si>
  <si>
    <t>con_etapa_estacional</t>
  </si>
  <si>
    <t>con_rentabilidad_proyectada</t>
  </si>
  <si>
    <t>con_inicio_horizonte</t>
  </si>
  <si>
    <t>con_fin_horizonte</t>
  </si>
  <si>
    <t>con_variabilidad</t>
  </si>
  <si>
    <t>con_rojo_acumulado</t>
  </si>
  <si>
    <t>con_negro</t>
  </si>
  <si>
    <t>con_rojo</t>
  </si>
  <si>
    <t>con_amarillo</t>
  </si>
  <si>
    <t>con_verde</t>
  </si>
  <si>
    <t>con_lila</t>
  </si>
  <si>
    <t>con_ingresos</t>
  </si>
  <si>
    <t>con_egresos</t>
  </si>
  <si>
    <t>pro_precio</t>
  </si>
  <si>
    <t>pro_costo</t>
  </si>
  <si>
    <t>datos_consolidados_id</t>
  </si>
  <si>
    <t>pro_nombre</t>
  </si>
  <si>
    <t>pre_nombre</t>
  </si>
  <si>
    <t>CODIGO VINCULADO</t>
  </si>
  <si>
    <t>pro_descripcion</t>
  </si>
  <si>
    <t>pro_codigogenerico</t>
  </si>
  <si>
    <t>pro_codigovinculado</t>
  </si>
  <si>
    <t>1</t>
  </si>
  <si>
    <t>pre_tiemposuministro</t>
  </si>
  <si>
    <t>pre_frecuenciareposicion</t>
  </si>
  <si>
    <t>T REP</t>
  </si>
  <si>
    <t>F REP</t>
  </si>
  <si>
    <t>con_pospone_alerta_buf</t>
  </si>
  <si>
    <t>con_pospone_alerta_red</t>
  </si>
  <si>
    <t>con_pospone_alerta_gdb</t>
  </si>
  <si>
    <t>Color Proyectado</t>
  </si>
  <si>
    <t>ZONA AMARILLA</t>
  </si>
  <si>
    <t>ZONA ROJA</t>
  </si>
  <si>
    <t>FECHA</t>
  </si>
  <si>
    <t>FECHAS_CONSUMO</t>
  </si>
  <si>
    <t>FECHA_FORMATO</t>
  </si>
  <si>
    <t>Estatus</t>
  </si>
  <si>
    <t>ULT TRANSFER INI</t>
  </si>
  <si>
    <t>ULT TRANSFER FIN</t>
  </si>
  <si>
    <t>con_estatus</t>
  </si>
  <si>
    <t>con_ultima_transferencia_ini</t>
  </si>
  <si>
    <t>con_ultima_transferencia_fin</t>
  </si>
  <si>
    <t>EMBARQUES</t>
  </si>
  <si>
    <t>Emb1</t>
  </si>
  <si>
    <t>Emb2</t>
  </si>
  <si>
    <t>Emb3</t>
  </si>
  <si>
    <t>Emb4</t>
  </si>
  <si>
    <t>Emb5</t>
  </si>
  <si>
    <t>OBSERVACIONES</t>
  </si>
  <si>
    <t>buh_empresa</t>
  </si>
  <si>
    <t>buh_archivo</t>
  </si>
  <si>
    <t>buh_fecha</t>
  </si>
  <si>
    <t>buh_bodega</t>
  </si>
  <si>
    <t>buh_codigo</t>
  </si>
  <si>
    <t>buh_codigo_funcional</t>
  </si>
  <si>
    <t>buh_codigo_vinculado</t>
  </si>
  <si>
    <t>buh_codigo_generico</t>
  </si>
  <si>
    <t>buh_estatus</t>
  </si>
  <si>
    <t>buh_clasificacion</t>
  </si>
  <si>
    <t>buh_responsable</t>
  </si>
  <si>
    <t>buh_ctv</t>
  </si>
  <si>
    <t>buh_pv</t>
  </si>
  <si>
    <t>buh_precio_promocion</t>
  </si>
  <si>
    <t>buh_promocion_desde</t>
  </si>
  <si>
    <t>buh_promocion_hasta</t>
  </si>
  <si>
    <t>buh_proveedor</t>
  </si>
  <si>
    <t>buh_perfil</t>
  </si>
  <si>
    <t>buh_horizonte</t>
  </si>
  <si>
    <t>buh_tiempo_suministro</t>
  </si>
  <si>
    <t>buh_frecuencia_reposicion</t>
  </si>
  <si>
    <t>buh_gdb</t>
  </si>
  <si>
    <t>buh_cam</t>
  </si>
  <si>
    <t>buh_etapa</t>
  </si>
  <si>
    <t>buh_nuevo_buffer_sugerido</t>
  </si>
  <si>
    <t>buh_comportamiento</t>
  </si>
  <si>
    <t>buh_consumo</t>
  </si>
  <si>
    <t>buh_buffer_calculado</t>
  </si>
  <si>
    <t>buh_cobertura_buffer</t>
  </si>
  <si>
    <t>buh_cobertura_inventario_proyectado</t>
  </si>
  <si>
    <t>buh_cobertura_pedido_minimo</t>
  </si>
  <si>
    <t>buh_dias_desabastecimiento</t>
  </si>
  <si>
    <t>buh_ventas_perdidas</t>
  </si>
  <si>
    <t>buh_observaciones</t>
  </si>
  <si>
    <t>buh_nuevo_buffer_real</t>
  </si>
  <si>
    <t>buh_posponer_alerta_buf</t>
  </si>
  <si>
    <t>buh_posponer_alerta_red</t>
  </si>
  <si>
    <t>buh_posponer_alerta_gdb</t>
  </si>
  <si>
    <t>buh_buffer_minimo</t>
  </si>
  <si>
    <t>buh_buffer_maximo</t>
  </si>
  <si>
    <t>buh_pedido_minimo</t>
  </si>
  <si>
    <t>buh_pedido_minimo_grupo</t>
  </si>
  <si>
    <t>buh_unidad_empaque</t>
  </si>
  <si>
    <t>buh_porcentaje_atencion</t>
  </si>
  <si>
    <t>buh_impacto_faltante</t>
  </si>
  <si>
    <t>buh_buffer_actual</t>
  </si>
  <si>
    <t>buh_zona_amarilla</t>
  </si>
  <si>
    <t>buh_zona_roja</t>
  </si>
  <si>
    <t>buh_color_inventario_fisico</t>
  </si>
  <si>
    <t>buh_color_inventario_proyectado</t>
  </si>
  <si>
    <t>buh_ultimo_buffer</t>
  </si>
  <si>
    <t>buh_buffer_anterior_estacion</t>
  </si>
  <si>
    <t>buh_buffer_estacional</t>
  </si>
  <si>
    <t>buh_inventario_proveedor</t>
  </si>
  <si>
    <t>buh_inventario_fisico</t>
  </si>
  <si>
    <t>buh_estado_inventario_fisico</t>
  </si>
  <si>
    <t>buh_transito</t>
  </si>
  <si>
    <t>buh_negociacion</t>
  </si>
  <si>
    <t>buh_produccion</t>
  </si>
  <si>
    <t>buh_embarcado</t>
  </si>
  <si>
    <t>buh_comprometido</t>
  </si>
  <si>
    <t>buh_backorder</t>
  </si>
  <si>
    <t>buh_inventario_proyectado</t>
  </si>
  <si>
    <t>buh_estado_inventario_proyectado</t>
  </si>
  <si>
    <t>buh_ingresos</t>
  </si>
  <si>
    <t>buh_egresos</t>
  </si>
  <si>
    <t>buh_pedido_calculado</t>
  </si>
  <si>
    <t>buh_pedido_promedio</t>
  </si>
  <si>
    <t>buh_pedido_real</t>
  </si>
  <si>
    <t>buh_calendario_estacional</t>
  </si>
  <si>
    <t>buh_accion_estacional</t>
  </si>
  <si>
    <t>buh_etapa_estacional</t>
  </si>
  <si>
    <t>buh_tdd</t>
  </si>
  <si>
    <t>buh_idd</t>
  </si>
  <si>
    <t>buh_roi_pasado</t>
  </si>
  <si>
    <t>buh_roi_proyectado</t>
  </si>
  <si>
    <t>buh_velocity</t>
  </si>
  <si>
    <t>buh_nivel_servicio</t>
  </si>
  <si>
    <t>buh_ultimo_cambio</t>
  </si>
  <si>
    <t>buh_nuevo_inicio_horizonte</t>
  </si>
  <si>
    <t>buh_inicio_horizonte</t>
  </si>
  <si>
    <t>buh_fin_horizonte</t>
  </si>
  <si>
    <t>buh_ultima_transferencia_ini</t>
  </si>
  <si>
    <t>buh_ultima_transferencia_fin</t>
  </si>
  <si>
    <t>buh_variabilidad</t>
  </si>
  <si>
    <t>buh_rojo_acumulado</t>
  </si>
  <si>
    <t>buh_negro</t>
  </si>
  <si>
    <t>buh_rojo</t>
  </si>
  <si>
    <t>buh_amarillo</t>
  </si>
  <si>
    <t>buh_verde</t>
  </si>
  <si>
    <t>buh_lila</t>
  </si>
  <si>
    <t>ach_nombre</t>
  </si>
  <si>
    <t>buh_redondeo_pedido_minimo</t>
  </si>
  <si>
    <t>buh_redondeo_unidad_empaque</t>
  </si>
  <si>
    <t>buh_pedido_calculado_auxiliar</t>
  </si>
  <si>
    <t>Bodega Central Agrota</t>
  </si>
  <si>
    <t>AGROTA</t>
  </si>
  <si>
    <t>INV PROVEEDOR</t>
  </si>
  <si>
    <t>110427120444117</t>
  </si>
  <si>
    <t>SUKAMPO</t>
  </si>
  <si>
    <t>110103155817356</t>
  </si>
  <si>
    <t>Loja</t>
  </si>
  <si>
    <t>110103160055089</t>
  </si>
  <si>
    <t>AGROTA BODEGA SUCRE</t>
  </si>
  <si>
    <t>110103160114604</t>
  </si>
  <si>
    <t>Feria Libre</t>
  </si>
  <si>
    <t>110103160152138</t>
  </si>
  <si>
    <t>El Molino</t>
  </si>
  <si>
    <t>110103160219891</t>
  </si>
  <si>
    <t>Plaza Carbon(Byron)</t>
  </si>
  <si>
    <t>110103160504831</t>
  </si>
  <si>
    <t>Problemas Agrota</t>
  </si>
  <si>
    <t>110103160524050</t>
  </si>
  <si>
    <t>Consignacion agrota</t>
  </si>
  <si>
    <t>110124154825020</t>
  </si>
  <si>
    <t>Pendientes</t>
  </si>
  <si>
    <t>110419145525304</t>
  </si>
  <si>
    <t>AGROTA MAQUINAS PARA PRUEBA</t>
  </si>
  <si>
    <t>110420124037319</t>
  </si>
  <si>
    <t>BODEGA CENTRAL</t>
  </si>
  <si>
    <t>110420124120329</t>
  </si>
  <si>
    <t>Bodega Almacen (Su Campo)</t>
  </si>
  <si>
    <t>110420124887319</t>
  </si>
  <si>
    <t>MARCIMEX TIENDA PELILEO</t>
  </si>
  <si>
    <t>110427120444133</t>
  </si>
  <si>
    <t>GUAYAQUIL SUKAMPO</t>
  </si>
  <si>
    <t>110511130644653</t>
  </si>
  <si>
    <t>Maquinas desarmadas</t>
  </si>
  <si>
    <t>110630160959520</t>
  </si>
  <si>
    <t>Activos Agrota Matriz</t>
  </si>
  <si>
    <t>110630161133822</t>
  </si>
  <si>
    <t>Activos Agrota Feria Libre</t>
  </si>
  <si>
    <t>110802090120553</t>
  </si>
  <si>
    <t>AGROTA BODEGA FALTANTES DE IMPORTACION Y COMPRAS</t>
  </si>
  <si>
    <t>120215162424790</t>
  </si>
  <si>
    <t>AGROTA BODEGA  YAMABIKO</t>
  </si>
  <si>
    <t>120405151906890</t>
  </si>
  <si>
    <t>BODEGA TALLER SUKAMPO</t>
  </si>
  <si>
    <t>120502085602702</t>
  </si>
  <si>
    <t>BODEGA SUKAMPO</t>
  </si>
  <si>
    <t>120608084159153</t>
  </si>
  <si>
    <t>REPUESTOS PARA MAQUINAS SIN IP</t>
  </si>
  <si>
    <t>120614113332586</t>
  </si>
  <si>
    <t>BODEGA MAQUINAS PERDIDAS TRANSPORTE</t>
  </si>
  <si>
    <t>120620163212574</t>
  </si>
  <si>
    <t>MAQUINAS DESARMADAS FAUSTO</t>
  </si>
  <si>
    <t>120710154409593</t>
  </si>
  <si>
    <t>AGROTA BODEGA GARANTIAS AGROPECUARIA</t>
  </si>
  <si>
    <t>120712110847655</t>
  </si>
  <si>
    <t>PROBLEMAS MAQ. PRUEBA</t>
  </si>
  <si>
    <t>120827112828673</t>
  </si>
  <si>
    <t>MAQUINAS USADAS SUKAMPO</t>
  </si>
  <si>
    <t>120927154926712</t>
  </si>
  <si>
    <t>CONSIGNACION AGROINSUMOS</t>
  </si>
  <si>
    <t>120927162604298</t>
  </si>
  <si>
    <t>120927162820440</t>
  </si>
  <si>
    <t>PRODUCCION</t>
  </si>
  <si>
    <t>120927162925851</t>
  </si>
  <si>
    <t>PRODUCTO TERMINADO</t>
  </si>
  <si>
    <t>121101103935784</t>
  </si>
  <si>
    <t>HACIENDA CHUQUIPATA</t>
  </si>
  <si>
    <t>121114085319812</t>
  </si>
  <si>
    <t>FALTANTES REPUESTOS</t>
  </si>
  <si>
    <t>130201114452275</t>
  </si>
  <si>
    <t>MARCIMEX TIENDA QUEVEDO 7 DE OCTUBRE</t>
  </si>
  <si>
    <t>130201114452276</t>
  </si>
  <si>
    <t>MARCIMEX TIENDA QUEVEDO CALLE PRIMERA</t>
  </si>
  <si>
    <t>130201114452291</t>
  </si>
  <si>
    <t xml:space="preserve">MARCIMEX TIENDA QUEVEDO SAN CAMILO </t>
  </si>
  <si>
    <t>130201114452299</t>
  </si>
  <si>
    <t xml:space="preserve"> MARCIMEX TIENDA LA MANA</t>
  </si>
  <si>
    <t>130201114453000</t>
  </si>
  <si>
    <t>MARCIMEX TIENDA BUENA FE</t>
  </si>
  <si>
    <t>130201114453001</t>
  </si>
  <si>
    <t>MARCIMEX TIENDA  El EMPALME</t>
  </si>
  <si>
    <t>130201114453002</t>
  </si>
  <si>
    <t>AGROTA BODEGA LICITACIONES</t>
  </si>
  <si>
    <t>130201114453012</t>
  </si>
  <si>
    <t>MARCIMEX TIENDA STO DOMINGO 29 DE MAYO</t>
  </si>
  <si>
    <t>130201114453013</t>
  </si>
  <si>
    <t>MARCIMEX TIENDA STO. DOMINGO  CALLE QUITO</t>
  </si>
  <si>
    <t>130201114453014</t>
  </si>
  <si>
    <t>MARCIMEX TIENDA LA CONCORDIA</t>
  </si>
  <si>
    <t>130201114453015</t>
  </si>
  <si>
    <t>MARCIMEX TIENDA EL CARMEN</t>
  </si>
  <si>
    <t>130201114453016</t>
  </si>
  <si>
    <t>MARCIMEX TIENDA QUININDE</t>
  </si>
  <si>
    <t>130201114453111</t>
  </si>
  <si>
    <t>MARCIMEX TIENDA LAS GOLONDRINAS</t>
  </si>
  <si>
    <t>130201114453194</t>
  </si>
  <si>
    <t>AGROTA PRODUCCION EUROLATTE</t>
  </si>
  <si>
    <t>13020111445399</t>
  </si>
  <si>
    <t>BODEGA AGROSAD</t>
  </si>
  <si>
    <t>130201114453991</t>
  </si>
  <si>
    <t>BODEGA AGROPROCESOS</t>
  </si>
  <si>
    <t>130201114453992</t>
  </si>
  <si>
    <t>MARCIMEX TIENDA PATRICIA PILAR</t>
  </si>
  <si>
    <t>130201114453993</t>
  </si>
  <si>
    <t>FACTUTARACION IP</t>
  </si>
  <si>
    <t>130201114453994</t>
  </si>
  <si>
    <t>MARCIMEX TIENDA VENTANAS</t>
  </si>
  <si>
    <t>130201194453994</t>
  </si>
  <si>
    <t>AGROTA BODEGA IPS Jose Mora</t>
  </si>
  <si>
    <t>130206622253994</t>
  </si>
  <si>
    <t>AGROTA BODEGA MAQUINAS ARMADAS</t>
  </si>
  <si>
    <t>130206666653994</t>
  </si>
  <si>
    <t>BODEGA CENTRAL MAQUINAS</t>
  </si>
  <si>
    <t>140712090923456</t>
  </si>
  <si>
    <t>MARCIMEX TIENDA  BUCAY</t>
  </si>
  <si>
    <t>1407121234556</t>
  </si>
  <si>
    <t>MARCIMEX TIENDA LA TRONCAL</t>
  </si>
  <si>
    <t>1407121257123</t>
  </si>
  <si>
    <t>MARCIMEX TIENDA  MILAGRO 1</t>
  </si>
  <si>
    <t>1407121600987</t>
  </si>
  <si>
    <t>MARCIMEX TIENDA  NARANJITO</t>
  </si>
  <si>
    <t>140714011009000</t>
  </si>
  <si>
    <t>MARCIMEX TIENDA  EL TRIUNFO</t>
  </si>
  <si>
    <t>140714011519875</t>
  </si>
  <si>
    <t>MARCIMEX TIENDA  PASAJE JUAN MONTALVO</t>
  </si>
  <si>
    <t>140716041188976</t>
  </si>
  <si>
    <t>MARCIMEX TIENDA MACHALA  ROCAFURETE</t>
  </si>
  <si>
    <t>14071911529988</t>
  </si>
  <si>
    <t>MARCIMEX TIENDA  STA. ROSA</t>
  </si>
  <si>
    <t>14072502349876</t>
  </si>
  <si>
    <t>MARCIMEX TIENDA  EL GUABO</t>
  </si>
  <si>
    <t>140729023496666</t>
  </si>
  <si>
    <t>MARCIMEX TIENDA  NARANJAL</t>
  </si>
  <si>
    <t>14072902349876</t>
  </si>
  <si>
    <t>MARCIMEX TIENDA  PONCE  ENRIQUEZ</t>
  </si>
  <si>
    <t>140816134133524</t>
  </si>
  <si>
    <t>MEGACENTRO MACHACHI</t>
  </si>
  <si>
    <t>140816212715222</t>
  </si>
  <si>
    <t>MEGACENTRO LATACUNGA</t>
  </si>
  <si>
    <t>140817083730987</t>
  </si>
  <si>
    <t>MEGACENTRO PEDRO VICENTE MALDONADO</t>
  </si>
  <si>
    <t>140817113245009</t>
  </si>
  <si>
    <t>MEGACENTRO NANEGALITO</t>
  </si>
  <si>
    <t>140817220213235</t>
  </si>
  <si>
    <t>MEGACENTRO EL CHACO</t>
  </si>
  <si>
    <t>141130222930145</t>
  </si>
  <si>
    <t xml:space="preserve"> MARCIMEX TIENDA BABAHOYO</t>
  </si>
  <si>
    <t>150113234715214</t>
  </si>
  <si>
    <t>AGROTA TALLER SUKAMPO SUCRE</t>
  </si>
  <si>
    <t>150226234105125</t>
  </si>
  <si>
    <t>AGROTA TALLER SUKAMPO FERIA LIBRE</t>
  </si>
  <si>
    <t>150309000000214</t>
  </si>
  <si>
    <t>AGROTA SUKAMPO FERIA LIBRE</t>
  </si>
  <si>
    <t>150321180800124</t>
  </si>
  <si>
    <t>BODEGA TVENTAS</t>
  </si>
  <si>
    <t>150321233312345</t>
  </si>
  <si>
    <t>BODEGA MERCALIMSA</t>
  </si>
  <si>
    <t>150322054512451</t>
  </si>
  <si>
    <t>CREDITON CALDERON</t>
  </si>
  <si>
    <t>150322193722000</t>
  </si>
  <si>
    <t>CREDITON COTOCOLLAO</t>
  </si>
  <si>
    <t>150322220115001</t>
  </si>
  <si>
    <t>CREDITON IBARRA</t>
  </si>
  <si>
    <t>150323051320145</t>
  </si>
  <si>
    <t>CREDITON MACHACHI</t>
  </si>
  <si>
    <t>150325230615200</t>
  </si>
  <si>
    <t>CREDITON SAN ANTONIO</t>
  </si>
  <si>
    <t>150406210855214</t>
  </si>
  <si>
    <t>MARCIMEX TIENDA ESPECIALIZADA LA CONCORDIA</t>
  </si>
  <si>
    <t>150415005852147</t>
  </si>
  <si>
    <t>HACIENDA YUNGUILLA</t>
  </si>
  <si>
    <t>150421093741575</t>
  </si>
  <si>
    <t>HACIENDA TARQUI</t>
  </si>
  <si>
    <t>150421105040499</t>
  </si>
  <si>
    <t>MARCIMEX TIENDA YANTZAZA</t>
  </si>
  <si>
    <t>150421152525094</t>
  </si>
  <si>
    <t>MARCIMEX TIENDA ZAMORA</t>
  </si>
  <si>
    <t>150421153811928</t>
  </si>
  <si>
    <t xml:space="preserve">MARCIMEX TIENDA CHONE </t>
  </si>
  <si>
    <t>150421153846983</t>
  </si>
  <si>
    <t>MARCIMEX TIENDA PORTOVIEJO CALLE CHILE</t>
  </si>
  <si>
    <t>150423152334225</t>
  </si>
  <si>
    <t>MARCIMEX TIENDA GUARANDA</t>
  </si>
  <si>
    <t>110509163623189</t>
  </si>
  <si>
    <t>Sucre Sukampo</t>
  </si>
  <si>
    <t>110512090751682</t>
  </si>
  <si>
    <t>Loja Sukampo</t>
  </si>
  <si>
    <t>110512100647953</t>
  </si>
  <si>
    <t>FERIA LIBRE SUKAMPO</t>
  </si>
  <si>
    <t>110630161245754</t>
  </si>
  <si>
    <t>Activos Sukampo Sucre</t>
  </si>
  <si>
    <t>110630161314895</t>
  </si>
  <si>
    <t>Activos Sukampo Feria Libre</t>
  </si>
  <si>
    <t>110630161507497</t>
  </si>
  <si>
    <t>Bodega Sukampo el molino</t>
  </si>
  <si>
    <t>111118090030052</t>
  </si>
  <si>
    <t>Bodega Naranjal</t>
  </si>
  <si>
    <t>120113155312810</t>
  </si>
  <si>
    <t>Taller Feria Libre</t>
  </si>
  <si>
    <t>120806132412293</t>
  </si>
  <si>
    <t>BODEGA HERRAMIENTAS SUKAMPO</t>
  </si>
  <si>
    <t>120821114325480</t>
  </si>
  <si>
    <t>SUKAMPO FALTANTE COMPRAS LOCALES</t>
  </si>
  <si>
    <t>120822131033697</t>
  </si>
  <si>
    <t>SUKAMPO BODEGAS MAQUINAS USADAS</t>
  </si>
  <si>
    <t>120927101601970</t>
  </si>
  <si>
    <t>SUKAMPO BODEGA TALLER SUCRE</t>
  </si>
  <si>
    <t>120927101638615</t>
  </si>
  <si>
    <t>SUKAMPO BODEGA REPUESTOS SUCRE</t>
  </si>
  <si>
    <t>130107115756854</t>
  </si>
  <si>
    <t>FALTANTES SUKAMPO</t>
  </si>
  <si>
    <t>130110153207969</t>
  </si>
  <si>
    <t>FALTANTES SUKAMPO SUCRE</t>
  </si>
  <si>
    <t>130201114301983</t>
  </si>
  <si>
    <t>AGROTA BODEGA INCOP</t>
  </si>
  <si>
    <t>130201114403572</t>
  </si>
  <si>
    <t>BODEGA CONSIGNACION FERIA LIBRE</t>
  </si>
  <si>
    <t>130201114421044</t>
  </si>
  <si>
    <t>BODEGA CONSIGNACION REPUESTOS FERIA LIBRE</t>
  </si>
  <si>
    <t>130201114437065</t>
  </si>
  <si>
    <t>BODEGA REPUESTOS FERIA LIBRE</t>
  </si>
  <si>
    <t>130201114452285</t>
  </si>
  <si>
    <t>BODEGA CONSIGNACIÓN SUCRE no usar</t>
  </si>
  <si>
    <t>Bodega ECU</t>
  </si>
  <si>
    <t>129418</t>
  </si>
  <si>
    <t>2016-5</t>
  </si>
  <si>
    <t>2016-6</t>
  </si>
  <si>
    <t>Columna3</t>
  </si>
  <si>
    <t>Columna4</t>
  </si>
  <si>
    <t>Columna5</t>
  </si>
  <si>
    <t>Columna6</t>
  </si>
  <si>
    <t>CÓD REFERENCIAL</t>
  </si>
  <si>
    <t>PO</t>
  </si>
  <si>
    <t>14824</t>
  </si>
  <si>
    <t>15101</t>
  </si>
  <si>
    <t>20401</t>
  </si>
  <si>
    <t>20463</t>
  </si>
  <si>
    <t>20471</t>
  </si>
  <si>
    <t>20571</t>
  </si>
  <si>
    <t>20572</t>
  </si>
  <si>
    <t>20701</t>
  </si>
  <si>
    <t>20706</t>
  </si>
  <si>
    <t>23318</t>
  </si>
  <si>
    <t>25201</t>
  </si>
  <si>
    <t>25213</t>
  </si>
  <si>
    <t>25446</t>
  </si>
  <si>
    <t>30065</t>
  </si>
  <si>
    <t>30067</t>
  </si>
  <si>
    <t>91182</t>
  </si>
  <si>
    <t>91184</t>
  </si>
  <si>
    <t>91185</t>
  </si>
  <si>
    <t>92842</t>
  </si>
  <si>
    <t>92843</t>
  </si>
  <si>
    <t>92844</t>
  </si>
  <si>
    <t>10SW5006N</t>
  </si>
  <si>
    <t>10SW5007N</t>
  </si>
  <si>
    <t>10TW5006S</t>
  </si>
  <si>
    <t>11004</t>
  </si>
  <si>
    <t>13105</t>
  </si>
  <si>
    <t>14820</t>
  </si>
  <si>
    <t>14821</t>
  </si>
  <si>
    <t>14822</t>
  </si>
  <si>
    <t>15965</t>
  </si>
  <si>
    <t>16759</t>
  </si>
  <si>
    <t>16760</t>
  </si>
  <si>
    <t>16985</t>
  </si>
  <si>
    <t>20402</t>
  </si>
  <si>
    <t>20403</t>
  </si>
  <si>
    <t>20410</t>
  </si>
  <si>
    <t>20411</t>
  </si>
  <si>
    <t>20412</t>
  </si>
  <si>
    <t>20413</t>
  </si>
  <si>
    <t>20441</t>
  </si>
  <si>
    <t>20445</t>
  </si>
  <si>
    <t>20479</t>
  </si>
  <si>
    <t>20481</t>
  </si>
  <si>
    <t>20482</t>
  </si>
  <si>
    <t>20483</t>
  </si>
  <si>
    <t>20540</t>
  </si>
  <si>
    <t>20541</t>
  </si>
  <si>
    <t>20570</t>
  </si>
  <si>
    <t>20573</t>
  </si>
  <si>
    <t>20632</t>
  </si>
  <si>
    <t>22201</t>
  </si>
  <si>
    <t>22202</t>
  </si>
  <si>
    <t>23316</t>
  </si>
  <si>
    <t>25202</t>
  </si>
  <si>
    <t>25203</t>
  </si>
  <si>
    <t>25204</t>
  </si>
  <si>
    <t>25211</t>
  </si>
  <si>
    <t>25212</t>
  </si>
  <si>
    <t>25214</t>
  </si>
  <si>
    <t>25221</t>
  </si>
  <si>
    <t>25222</t>
  </si>
  <si>
    <t>25223</t>
  </si>
  <si>
    <t>25235</t>
  </si>
  <si>
    <t>25236</t>
  </si>
  <si>
    <t>25237</t>
  </si>
  <si>
    <t>25239</t>
  </si>
  <si>
    <t>25240</t>
  </si>
  <si>
    <t>25241</t>
  </si>
  <si>
    <t>25242</t>
  </si>
  <si>
    <t>30063</t>
  </si>
  <si>
    <t>30074</t>
  </si>
  <si>
    <t>30076</t>
  </si>
  <si>
    <t>30077</t>
  </si>
  <si>
    <t>31222</t>
  </si>
  <si>
    <t>35BI1608</t>
  </si>
  <si>
    <t>35BI2010</t>
  </si>
  <si>
    <t>39434</t>
  </si>
  <si>
    <t>3FKFB210106</t>
  </si>
  <si>
    <t>3FKFB210118</t>
  </si>
  <si>
    <t>3FKFB210136</t>
  </si>
  <si>
    <t>3FKFB210138</t>
  </si>
  <si>
    <t>3FKFB210172</t>
  </si>
  <si>
    <t>3FKFB210182</t>
  </si>
  <si>
    <t>3FKFB210184</t>
  </si>
  <si>
    <t>3FKFS230106</t>
  </si>
  <si>
    <t>3FKFS230110</t>
  </si>
  <si>
    <t>3FKFS230112</t>
  </si>
  <si>
    <t>3FKFS230114</t>
  </si>
  <si>
    <t>3FKFS230116</t>
  </si>
  <si>
    <t>3FKFS230118</t>
  </si>
  <si>
    <t>3FKFS250204</t>
  </si>
  <si>
    <t>3FKFS250206</t>
  </si>
  <si>
    <t>3FKFS250214</t>
  </si>
  <si>
    <t>3FKSS230210</t>
  </si>
  <si>
    <t>3FKSS230212</t>
  </si>
  <si>
    <t>3FKSS230214</t>
  </si>
  <si>
    <t>3FKSS230216</t>
  </si>
  <si>
    <t>3FKSS230218</t>
  </si>
  <si>
    <t>3FPAP310218</t>
  </si>
  <si>
    <t>41ST3028</t>
  </si>
  <si>
    <t>41ST3030</t>
  </si>
  <si>
    <t>45ST3024</t>
  </si>
  <si>
    <t>45ST3026</t>
  </si>
  <si>
    <t>45ST3028</t>
  </si>
  <si>
    <t>45ST3030</t>
  </si>
  <si>
    <t>71271440</t>
  </si>
  <si>
    <t>71302803</t>
  </si>
  <si>
    <t>71303200</t>
  </si>
  <si>
    <t>71306613</t>
  </si>
  <si>
    <t>71306614</t>
  </si>
  <si>
    <t>71332520</t>
  </si>
  <si>
    <t>71332525</t>
  </si>
  <si>
    <t>71332530</t>
  </si>
  <si>
    <t>71334948</t>
  </si>
  <si>
    <t>71335548</t>
  </si>
  <si>
    <t>71335556</t>
  </si>
  <si>
    <t>71337656</t>
  </si>
  <si>
    <t>71420100</t>
  </si>
  <si>
    <t>71420102</t>
  </si>
  <si>
    <t>71420104</t>
  </si>
  <si>
    <t>71420106</t>
  </si>
  <si>
    <t>71420108</t>
  </si>
  <si>
    <t>71420116</t>
  </si>
  <si>
    <t>71420118</t>
  </si>
  <si>
    <t>71420120</t>
  </si>
  <si>
    <t>71420122</t>
  </si>
  <si>
    <t>71420124</t>
  </si>
  <si>
    <t>71420162</t>
  </si>
  <si>
    <t>71420164</t>
  </si>
  <si>
    <t>71420166</t>
  </si>
  <si>
    <t>71420168</t>
  </si>
  <si>
    <t>71420170</t>
  </si>
  <si>
    <t>71420172</t>
  </si>
  <si>
    <t>71420180</t>
  </si>
  <si>
    <t>71420182</t>
  </si>
  <si>
    <t>71420184</t>
  </si>
  <si>
    <t>71420186</t>
  </si>
  <si>
    <t>71420188</t>
  </si>
  <si>
    <t>71420190</t>
  </si>
  <si>
    <t>71420524</t>
  </si>
  <si>
    <t>71420532</t>
  </si>
  <si>
    <t>71420537</t>
  </si>
  <si>
    <t>71420574</t>
  </si>
  <si>
    <t>71420576</t>
  </si>
  <si>
    <t>71420578</t>
  </si>
  <si>
    <t>71420802</t>
  </si>
  <si>
    <t>71420804</t>
  </si>
  <si>
    <t>71420806</t>
  </si>
  <si>
    <t>71420814</t>
  </si>
  <si>
    <t>71420816</t>
  </si>
  <si>
    <t>71420818</t>
  </si>
  <si>
    <t>71420820</t>
  </si>
  <si>
    <t>71420822</t>
  </si>
  <si>
    <t>71420830</t>
  </si>
  <si>
    <t>71420832</t>
  </si>
  <si>
    <t>71420834</t>
  </si>
  <si>
    <t>71420844</t>
  </si>
  <si>
    <t>71420846</t>
  </si>
  <si>
    <t>71420850</t>
  </si>
  <si>
    <t>71420966</t>
  </si>
  <si>
    <t>71421014</t>
  </si>
  <si>
    <t>71421015</t>
  </si>
  <si>
    <t>71421016</t>
  </si>
  <si>
    <t>71421114</t>
  </si>
  <si>
    <t>71421115</t>
  </si>
  <si>
    <t>71421116</t>
  </si>
  <si>
    <t>71421117</t>
  </si>
  <si>
    <t>71421723</t>
  </si>
  <si>
    <t>71421803</t>
  </si>
  <si>
    <t>71424002</t>
  </si>
  <si>
    <t>71424013</t>
  </si>
  <si>
    <t>71424024</t>
  </si>
  <si>
    <t>71424026</t>
  </si>
  <si>
    <t>71424043</t>
  </si>
  <si>
    <t>71424045</t>
  </si>
  <si>
    <t>71424225</t>
  </si>
  <si>
    <t>71424227</t>
  </si>
  <si>
    <t>71426003</t>
  </si>
  <si>
    <t>71453201</t>
  </si>
  <si>
    <t>71453211</t>
  </si>
  <si>
    <t>71453212</t>
  </si>
  <si>
    <t>71453213</t>
  </si>
  <si>
    <t>71453221</t>
  </si>
  <si>
    <t>71453222</t>
  </si>
  <si>
    <t>72202674</t>
  </si>
  <si>
    <t>72204152</t>
  </si>
  <si>
    <t>72204190</t>
  </si>
  <si>
    <t>92841</t>
  </si>
  <si>
    <t>admin</t>
  </si>
  <si>
    <t>10-602</t>
  </si>
  <si>
    <t>10105</t>
  </si>
  <si>
    <t>10110</t>
  </si>
  <si>
    <t>30197082</t>
  </si>
  <si>
    <t>30197085</t>
  </si>
  <si>
    <t>30209703</t>
  </si>
  <si>
    <t>8810809</t>
  </si>
  <si>
    <t>8848803</t>
  </si>
  <si>
    <t>9235403</t>
  </si>
  <si>
    <t>CIENT-01</t>
  </si>
  <si>
    <t>MEDITOP</t>
  </si>
  <si>
    <t>10-4025</t>
  </si>
  <si>
    <t>10-6000</t>
  </si>
  <si>
    <t>10167</t>
  </si>
  <si>
    <t>10314</t>
  </si>
  <si>
    <t>10356T</t>
  </si>
  <si>
    <t>10400</t>
  </si>
  <si>
    <t>10420</t>
  </si>
  <si>
    <t>10714</t>
  </si>
  <si>
    <t>10715</t>
  </si>
  <si>
    <t>10716</t>
  </si>
  <si>
    <t>10801</t>
  </si>
  <si>
    <t>1081801</t>
  </si>
  <si>
    <t>1082401</t>
  </si>
  <si>
    <t>1083001</t>
  </si>
  <si>
    <t>1083601</t>
  </si>
  <si>
    <t>1084501</t>
  </si>
  <si>
    <t>11228</t>
  </si>
  <si>
    <t>11232</t>
  </si>
  <si>
    <t>13-5024</t>
  </si>
  <si>
    <t>135100</t>
  </si>
  <si>
    <t>160</t>
  </si>
  <si>
    <t>20016</t>
  </si>
  <si>
    <t>20053</t>
  </si>
  <si>
    <t>20054</t>
  </si>
  <si>
    <t>20055</t>
  </si>
  <si>
    <t>20833</t>
  </si>
  <si>
    <t>20836</t>
  </si>
  <si>
    <t>21298</t>
  </si>
  <si>
    <t>21833</t>
  </si>
  <si>
    <t>240</t>
  </si>
  <si>
    <t>24602</t>
  </si>
  <si>
    <t>26030</t>
  </si>
  <si>
    <t>270</t>
  </si>
  <si>
    <t>30177836</t>
  </si>
  <si>
    <t>30193260</t>
  </si>
  <si>
    <t>30197006</t>
  </si>
  <si>
    <t>30200242</t>
  </si>
  <si>
    <t>30204303</t>
  </si>
  <si>
    <t>30204383</t>
  </si>
  <si>
    <t>30204384</t>
  </si>
  <si>
    <t>30207866</t>
  </si>
  <si>
    <t>30207867</t>
  </si>
  <si>
    <t>30209655</t>
  </si>
  <si>
    <t>30210128</t>
  </si>
  <si>
    <t>30210796</t>
  </si>
  <si>
    <t>30215947</t>
  </si>
  <si>
    <t>30216482</t>
  </si>
  <si>
    <t>30218777</t>
  </si>
  <si>
    <t>30218786</t>
  </si>
  <si>
    <t>30218808</t>
  </si>
  <si>
    <t>30218902</t>
  </si>
  <si>
    <t>30220934</t>
  </si>
  <si>
    <t>316</t>
  </si>
  <si>
    <t>5060102</t>
  </si>
  <si>
    <t>5060202</t>
  </si>
  <si>
    <t>5060302</t>
  </si>
  <si>
    <t>6.105.285</t>
  </si>
  <si>
    <t>622</t>
  </si>
  <si>
    <t>650</t>
  </si>
  <si>
    <t>6802401</t>
  </si>
  <si>
    <t>6803001</t>
  </si>
  <si>
    <t>6803601</t>
  </si>
  <si>
    <t>71461012</t>
  </si>
  <si>
    <t>71461013</t>
  </si>
  <si>
    <t>71461014</t>
  </si>
  <si>
    <t>71461015</t>
  </si>
  <si>
    <t>72200903</t>
  </si>
  <si>
    <t>72202468</t>
  </si>
  <si>
    <t>7790300</t>
  </si>
  <si>
    <t>78198</t>
  </si>
  <si>
    <t>88411</t>
  </si>
  <si>
    <t>8841106</t>
  </si>
  <si>
    <t>8907001</t>
  </si>
  <si>
    <t>8926535</t>
  </si>
  <si>
    <t>9235302</t>
  </si>
  <si>
    <t>9235402</t>
  </si>
  <si>
    <t>9235502</t>
  </si>
  <si>
    <t>9235503</t>
  </si>
  <si>
    <t>9511101</t>
  </si>
  <si>
    <t>9511102</t>
  </si>
  <si>
    <t>G020405</t>
  </si>
  <si>
    <t>HM750-3020</t>
  </si>
  <si>
    <t>MMB45</t>
  </si>
  <si>
    <t>MMB60</t>
  </si>
  <si>
    <t>MMB90</t>
  </si>
  <si>
    <t>NIBSQ51</t>
  </si>
  <si>
    <t>2016-11</t>
  </si>
  <si>
    <t>2016-12</t>
  </si>
  <si>
    <t>2017-1</t>
  </si>
  <si>
    <t>2017-2</t>
  </si>
  <si>
    <t>Borrar</t>
  </si>
  <si>
    <t>DE FECHA</t>
  </si>
  <si>
    <t>A FECHA</t>
  </si>
  <si>
    <t>Tiene vacíos en la fecha de inicio</t>
  </si>
  <si>
    <t>Tiene problemas de pedido mínimo de grupo</t>
  </si>
  <si>
    <t>Tiene vacíos en la fecha de fin</t>
  </si>
  <si>
    <t>Tiene filas con código vacío</t>
  </si>
  <si>
    <t>ECU</t>
  </si>
  <si>
    <t>0</t>
  </si>
  <si>
    <t>Default</t>
  </si>
  <si>
    <t>=</t>
  </si>
  <si>
    <t>G</t>
  </si>
  <si>
    <t>R</t>
  </si>
  <si>
    <t>Pedido Calculado</t>
  </si>
  <si>
    <t>HOSPICARE</t>
  </si>
  <si>
    <t>HOSPICARE.xlsm</t>
  </si>
  <si>
    <t>ESTADO</t>
  </si>
  <si>
    <t>ACT</t>
  </si>
  <si>
    <t>-</t>
  </si>
  <si>
    <t>A</t>
  </si>
  <si>
    <t>V</t>
  </si>
  <si>
    <t>STERYLAB</t>
  </si>
  <si>
    <t>LIBRE-37</t>
  </si>
  <si>
    <t>STERYLAB AEREO</t>
  </si>
  <si>
    <t>ALFOMBRA BACTERICIDA MULTIMAT</t>
  </si>
  <si>
    <t>MULTIMAT</t>
  </si>
  <si>
    <t>ALFOMBRA BACTERICIDAD MULTIMAT 90 X 115C</t>
  </si>
  <si>
    <t>PAL45</t>
  </si>
  <si>
    <t>LIBRE-215</t>
  </si>
  <si>
    <t>MARCO DE ALUMINIO 45 X 115CM UN</t>
  </si>
  <si>
    <t>PAL60</t>
  </si>
  <si>
    <t>MARCO DE ALUMINIO 60 X 115CM UN</t>
  </si>
  <si>
    <t>Steryclean 5</t>
  </si>
  <si>
    <t>TRANSFERENCIA CARGADA</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</si>
</sst>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quot;$&quot;\ #,##0"/>
    <numFmt numFmtId="165" formatCode="0.0"/>
    <numFmt numFmtId="166" formatCode="0.0%"/>
    <numFmt numFmtId="167" formatCode="&quot;$&quot;\ #,##0.00"/>
    <numFmt numFmtId="168" formatCode="dd/mmm/yyyy"/>
    <numFmt numFmtId="169" formatCode="yyyy\-mm"/>
    <numFmt numFmtId="170" formatCode="m/d/yyyy"/>
  </numFmts>
  <fonts count="14" x14ac:knownFonts="1">
    <font>
      <sz val="11"/>
      <color theme="1"/>
      <name val="Calibri"/>
      <family val="2"/>
      <scheme val="minor"/>
    </font>
    <font>
      <b/>
      <sz val="11"/>
      <color theme="1"/>
      <name val="Calibri"/>
      <family val="2"/>
      <scheme val="minor"/>
    </font>
    <font>
      <sz val="14"/>
      <color rgb="FFFF0000"/>
      <name val="Calibri"/>
      <family val="2"/>
      <scheme val="minor"/>
    </font>
    <font>
      <u/>
      <sz val="11"/>
      <color theme="10"/>
      <name val="Calibri"/>
      <family val="2"/>
    </font>
    <font>
      <vertAlign val="superscript"/>
      <sz val="11"/>
      <color theme="1"/>
      <name val="Calibri"/>
      <family val="2"/>
      <scheme val="minor"/>
    </font>
    <font>
      <sz val="9"/>
      <color indexed="81"/>
      <name val="Tahoma"/>
      <family val="2"/>
    </font>
    <font>
      <b/>
      <sz val="9"/>
      <color indexed="81"/>
      <name val="Tahoma"/>
      <family val="2"/>
    </font>
    <font>
      <b/>
      <sz val="12"/>
      <color theme="1"/>
      <name val="Calibri"/>
      <family val="2"/>
      <scheme val="minor"/>
    </font>
    <font>
      <sz val="11"/>
      <color theme="1"/>
      <name val="Calibri"/>
      <family val="2"/>
      <scheme val="minor"/>
    </font>
    <font>
      <sz val="10"/>
      <name val="Arial"/>
      <family val="2"/>
    </font>
    <font>
      <sz val="11"/>
      <color theme="0"/>
      <name val="Calibri"/>
      <family val="2"/>
      <scheme val="minor"/>
    </font>
    <font>
      <sz val="11"/>
      <name val="Calibri"/>
      <family val="2"/>
      <scheme val="minor"/>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theme="4" tint="0.39997558519241921"/>
        <bgColor indexed="64"/>
      </patternFill>
    </fill>
    <fill>
      <patternFill patternType="solid">
        <fgColor rgb="FF002060"/>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rgb="FFC00000"/>
        <bgColor indexed="64"/>
      </patternFill>
    </fill>
    <fill>
      <patternFill patternType="solid">
        <fgColor theme="3"/>
        <bgColor indexed="64"/>
      </patternFill>
    </fill>
    <fill>
      <patternFill patternType="solid">
        <fgColor rgb="FF3366FF"/>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1"/>
        <bgColor indexed="64"/>
      </patternFill>
    </fill>
    <fill>
      <patternFill patternType="solid">
        <fgColor rgb="FF7030A0"/>
        <bgColor indexed="64"/>
      </patternFill>
    </fill>
  </fills>
  <borders count="11">
    <border>
      <left/>
      <right/>
      <top/>
      <bottom/>
      <diagonal/>
    </border>
    <border>
      <left/>
      <right style="thin">
        <color auto="1"/>
      </right>
      <top/>
      <bottom style="thin">
        <color auto="1"/>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diagonal/>
    </border>
    <border>
      <left style="thin">
        <color auto="1"/>
      </left>
      <right/>
      <top style="thin">
        <color auto="1"/>
      </top>
      <bottom/>
      <diagonal/>
    </border>
    <border>
      <left/>
      <right/>
      <top style="thin">
        <color auto="1"/>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s>
  <cellStyleXfs count="8">
    <xf numFmtId="0" fontId="0" fillId="0" borderId="0"/>
    <xf numFmtId="0" fontId="3" fillId="0" borderId="0" applyNumberFormat="0" applyFill="0" applyBorder="0" applyAlignment="0" applyProtection="0">
      <alignment vertical="top"/>
      <protection locked="0"/>
    </xf>
    <xf numFmtId="0" fontId="9" fillId="0" borderId="0"/>
    <xf numFmtId="0" fontId="9" fillId="0" borderId="0"/>
    <xf numFmtId="0" fontId="8" fillId="0" borderId="0"/>
    <xf numFmtId="0" fontId="9" fillId="0" borderId="0"/>
    <xf numFmtId="0" fontId="9" fillId="0" borderId="0"/>
    <xf numFmtId="0" fontId="9" fillId="0" borderId="0"/>
  </cellStyleXfs>
  <cellXfs count="67">
    <xf numFmtId="0" fontId="0" fillId="0" borderId="0" xfId="0"/>
    <xf numFmtId="0" fontId="0" fillId="0" borderId="0" xfId="0" applyAlignment="1">
      <alignment horizontal="centerContinuous"/>
    </xf>
    <xf numFmtId="0" fontId="0" fillId="0" borderId="0" xfId="0" applyAlignment="1">
      <alignment horizontal="center"/>
    </xf>
    <xf numFmtId="0" fontId="0" fillId="0" borderId="0" xfId="0" applyNumberFormat="1"/>
    <xf numFmtId="166" fontId="0" fillId="0" borderId="0" xfId="0" applyNumberFormat="1" applyAlignment="1">
      <alignment horizontal="center"/>
    </xf>
    <xf numFmtId="167" fontId="0" fillId="0" borderId="0" xfId="0" applyNumberFormat="1"/>
    <xf numFmtId="0" fontId="0" fillId="0" borderId="0" xfId="0" applyNumberFormat="1" applyAlignment="1">
      <alignment horizontal="center"/>
    </xf>
    <xf numFmtId="0" fontId="2" fillId="0" borderId="0" xfId="0" applyFont="1"/>
    <xf numFmtId="0" fontId="0" fillId="0" borderId="0" xfId="0" pivotButton="1"/>
    <xf numFmtId="0" fontId="1" fillId="0" borderId="7" xfId="0" applyFont="1" applyBorder="1" applyAlignment="1">
      <alignment horizontal="center"/>
    </xf>
    <xf numFmtId="0" fontId="0" fillId="0" borderId="0" xfId="0" applyBorder="1"/>
    <xf numFmtId="0" fontId="0" fillId="0" borderId="0" xfId="0" applyBorder="1" applyAlignment="1">
      <alignment horizontal="center"/>
    </xf>
    <xf numFmtId="168" fontId="0" fillId="0" borderId="0" xfId="0" applyNumberFormat="1" applyAlignment="1">
      <alignment horizontal="left"/>
    </xf>
    <xf numFmtId="0" fontId="7" fillId="0" borderId="0" xfId="0" applyFont="1" applyAlignment="1">
      <alignment horizontal="centerContinuous"/>
    </xf>
    <xf numFmtId="0" fontId="0" fillId="0" borderId="0" xfId="0" applyFont="1" applyAlignment="1">
      <alignment horizontal="center"/>
    </xf>
    <xf numFmtId="0" fontId="9" fillId="0" borderId="0" xfId="2"/>
    <xf numFmtId="0" fontId="9" fillId="0" borderId="0" xfId="2" quotePrefix="1"/>
    <xf numFmtId="0" fontId="1" fillId="4" borderId="1" xfId="0" applyFont="1" applyFill="1" applyBorder="1"/>
    <xf numFmtId="0" fontId="0" fillId="4" borderId="8" xfId="0" applyFill="1" applyBorder="1" applyAlignment="1">
      <alignment horizontal="center"/>
    </xf>
    <xf numFmtId="0" fontId="1" fillId="4" borderId="8" xfId="0" applyFont="1" applyFill="1" applyBorder="1"/>
    <xf numFmtId="168" fontId="0" fillId="4" borderId="2" xfId="0" applyNumberFormat="1" applyFill="1" applyBorder="1" applyAlignment="1">
      <alignment horizontal="center"/>
    </xf>
    <xf numFmtId="0" fontId="1" fillId="4" borderId="3" xfId="0" applyFont="1" applyFill="1" applyBorder="1"/>
    <xf numFmtId="0" fontId="0" fillId="4" borderId="9" xfId="0" applyFont="1" applyFill="1" applyBorder="1" applyAlignment="1">
      <alignment horizontal="center"/>
    </xf>
    <xf numFmtId="0" fontId="1" fillId="4" borderId="9" xfId="0" applyFont="1" applyFill="1" applyBorder="1"/>
    <xf numFmtId="168" fontId="0" fillId="4" borderId="9" xfId="0" applyNumberFormat="1" applyFont="1" applyFill="1" applyBorder="1" applyAlignment="1" applyProtection="1">
      <alignment horizontal="center"/>
      <protection locked="0"/>
    </xf>
    <xf numFmtId="0" fontId="0" fillId="4" borderId="9" xfId="0" applyFill="1" applyBorder="1" applyAlignment="1">
      <alignment horizontal="center"/>
    </xf>
    <xf numFmtId="0" fontId="0" fillId="4" borderId="9" xfId="0" applyFill="1" applyBorder="1"/>
    <xf numFmtId="0" fontId="0" fillId="4" borderId="4" xfId="0" applyFill="1" applyBorder="1"/>
    <xf numFmtId="0" fontId="0" fillId="4" borderId="9" xfId="0" applyFill="1" applyBorder="1" applyAlignment="1" applyProtection="1">
      <alignment horizontal="center"/>
      <protection locked="0"/>
    </xf>
    <xf numFmtId="164" fontId="0" fillId="4" borderId="4" xfId="0" applyNumberFormat="1" applyFill="1" applyBorder="1"/>
    <xf numFmtId="165" fontId="0" fillId="4" borderId="4" xfId="0" applyNumberFormat="1" applyFill="1" applyBorder="1"/>
    <xf numFmtId="0" fontId="1" fillId="4" borderId="5" xfId="0" applyFont="1" applyFill="1" applyBorder="1"/>
    <xf numFmtId="0" fontId="0" fillId="4" borderId="10" xfId="0" applyFill="1" applyBorder="1" applyProtection="1">
      <protection locked="0"/>
    </xf>
    <xf numFmtId="0" fontId="0" fillId="4" borderId="6" xfId="0" applyFill="1" applyBorder="1"/>
    <xf numFmtId="0" fontId="2" fillId="4" borderId="0" xfId="0" applyFont="1" applyFill="1" applyAlignment="1">
      <alignment horizontal="centerContinuous"/>
    </xf>
    <xf numFmtId="0" fontId="0" fillId="4" borderId="0" xfId="0" applyFill="1" applyAlignment="1">
      <alignment horizontal="centerContinuous"/>
    </xf>
    <xf numFmtId="0" fontId="0" fillId="4" borderId="0" xfId="0" applyFill="1"/>
    <xf numFmtId="0" fontId="3" fillId="4" borderId="0" xfId="1" applyFill="1" applyAlignment="1" applyProtection="1">
      <alignment horizontal="centerContinuous"/>
    </xf>
    <xf numFmtId="0" fontId="10" fillId="3" borderId="0" xfId="0" applyFont="1" applyFill="1" applyAlignment="1">
      <alignment horizontal="center" vertical="center" wrapText="1"/>
    </xf>
    <xf numFmtId="0" fontId="0" fillId="2" borderId="0" xfId="0" applyFill="1" applyAlignment="1">
      <alignment horizontal="center" vertical="center" wrapText="1"/>
    </xf>
    <xf numFmtId="0" fontId="0" fillId="0" borderId="0" xfId="0" applyFont="1"/>
    <xf numFmtId="0" fontId="0" fillId="0" borderId="0" xfId="0" applyAlignment="1">
      <alignment horizontal="center" vertical="center" wrapText="1"/>
    </xf>
    <xf numFmtId="0" fontId="11" fillId="5" borderId="0" xfId="0" applyFont="1" applyFill="1" applyAlignment="1">
      <alignment horizontal="center" vertical="center" wrapText="1"/>
    </xf>
    <xf numFmtId="0" fontId="10" fillId="6" borderId="0" xfId="0" applyFont="1" applyFill="1" applyAlignment="1">
      <alignment horizontal="center" vertical="center" wrapText="1"/>
    </xf>
    <xf numFmtId="0" fontId="10" fillId="7" borderId="0" xfId="0" applyFont="1" applyFill="1" applyAlignment="1">
      <alignment horizontal="center" vertical="center" wrapText="1"/>
    </xf>
    <xf numFmtId="9" fontId="0" fillId="0" borderId="0" xfId="0" applyNumberFormat="1" applyAlignment="1">
      <alignment horizontal="center"/>
    </xf>
    <xf numFmtId="14" fontId="0" fillId="0" borderId="0" xfId="0" applyNumberFormat="1"/>
    <xf numFmtId="0" fontId="10" fillId="8" borderId="0" xfId="0" applyFont="1" applyFill="1" applyAlignment="1">
      <alignment horizontal="center" vertical="center" wrapText="1"/>
    </xf>
    <xf numFmtId="9" fontId="0" fillId="0" borderId="0" xfId="0" applyNumberFormat="1" applyAlignment="1" applyProtection="1">
      <alignment horizontal="center"/>
      <protection locked="0"/>
    </xf>
    <xf numFmtId="0" fontId="0" fillId="0" borderId="0" xfId="0" applyAlignment="1" applyProtection="1">
      <alignment horizontal="center"/>
      <protection locked="0"/>
    </xf>
    <xf numFmtId="0" fontId="0" fillId="0" borderId="0" xfId="0" applyNumberFormat="1" applyAlignment="1" applyProtection="1">
      <alignment horizontal="center"/>
      <protection locked="0"/>
    </xf>
    <xf numFmtId="0" fontId="11" fillId="9" borderId="0" xfId="0" applyFont="1" applyFill="1" applyAlignment="1">
      <alignment horizontal="center" vertical="center" wrapText="1"/>
    </xf>
    <xf numFmtId="169" fontId="0" fillId="0" borderId="0" xfId="0" applyNumberFormat="1"/>
    <xf numFmtId="0" fontId="0" fillId="0" borderId="0" xfId="0" applyProtection="1"/>
    <xf numFmtId="0" fontId="0" fillId="0" borderId="0" xfId="0" applyAlignment="1" applyProtection="1">
      <alignment horizontal="center"/>
    </xf>
    <xf numFmtId="14" fontId="0" fillId="0" borderId="0" xfId="0" applyNumberFormat="1"/>
    <xf numFmtId="0" fontId="10" fillId="10" borderId="0" xfId="0" applyFont="1" applyFill="1" applyAlignment="1">
      <alignment horizontal="center" vertical="center" wrapText="1"/>
    </xf>
    <xf numFmtId="0" fontId="10" fillId="10" borderId="0" xfId="0" applyFont="1" applyFill="1" applyAlignment="1" applyProtection="1">
      <alignment horizontal="center" vertical="center" wrapText="1"/>
    </xf>
    <xf numFmtId="0" fontId="12" fillId="0" borderId="0" xfId="0" applyNumberFormat="1" applyFont="1"/>
    <xf numFmtId="0" fontId="0" fillId="0" borderId="0" xfId="0" applyFont="1" applyAlignment="1" applyProtection="1">
      <alignment horizontal="center"/>
      <protection locked="0"/>
    </xf>
    <xf numFmtId="0" fontId="10" fillId="11" borderId="0" xfId="0" applyFont="1" applyFill="1" applyAlignment="1">
      <alignment horizontal="center" vertical="center" wrapText="1"/>
    </xf>
    <xf numFmtId="170" fontId="0" fillId="0" borderId="0" xfId="0" applyNumberFormat="1" applyAlignment="1">
      <alignment horizontal="center"/>
    </xf>
    <xf numFmtId="168" fontId="0" fillId="0" borderId="0" xfId="0" applyNumberFormat="1" applyAlignment="1" applyProtection="1">
      <alignment horizontal="center"/>
      <protection locked="0"/>
    </xf>
    <xf numFmtId="0" fontId="10" fillId="12" borderId="0" xfId="0" applyFont="1" applyFill="1" applyAlignment="1">
      <alignment horizontal="center" vertical="center" wrapText="1"/>
    </xf>
    <xf numFmtId="168" fontId="0" fillId="0" borderId="0" xfId="0" applyNumberFormat="1" applyAlignment="1" applyProtection="1">
      <alignment horizontal="center"/>
    </xf>
    <xf numFmtId="0" fontId="13" fillId="4" borderId="10" xfId="0" applyFont="1" applyFill="1" applyBorder="1"/>
    <xf numFmtId="0" fontId="1" fillId="4" borderId="0" xfId="0" applyFont="1" applyFill="1" applyAlignment="1">
      <alignment horizontal="center" vertical="center" wrapText="1"/>
    </xf>
  </cellXfs>
  <cellStyles count="8">
    <cellStyle name="Cancel" xfId="3"/>
    <cellStyle name="Cancel 2" xfId="6"/>
    <cellStyle name="Cancel_Empresa" xfId="7"/>
    <cellStyle name="Hipervínculo" xfId="1" builtinId="8"/>
    <cellStyle name="Normal" xfId="0" builtinId="0"/>
    <cellStyle name="Normal 2" xfId="2"/>
    <cellStyle name="Normal 2 2" xfId="4"/>
    <cellStyle name="Normal 3" xfId="5"/>
  </cellStyles>
  <dxfs count="214">
    <dxf>
      <numFmt numFmtId="168" formatCode="dd/mmm/yyyy"/>
      <alignment horizontal="center" vertical="bottom" textRotation="0" wrapText="0" indent="0" justifyLastLine="0" shrinkToFit="0" readingOrder="0"/>
      <protection locked="1" hidden="0"/>
    </dxf>
    <dxf>
      <numFmt numFmtId="168" formatCode="dd/mmm/yyyy"/>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protection locked="1" hidden="0"/>
    </dxf>
    <dxf>
      <numFmt numFmtId="0" formatCode="General"/>
    </dxf>
    <dxf>
      <alignment horizontal="center" vertical="bottom" textRotation="0" wrapText="0" indent="0" justifyLastLine="0" shrinkToFit="0" readingOrder="0"/>
      <protection locked="0" hidden="0"/>
    </dxf>
    <dxf>
      <numFmt numFmtId="169" formatCode="yyyy\-mm"/>
    </dxf>
    <dxf>
      <numFmt numFmtId="0" formatCode="General"/>
    </dxf>
    <dxf>
      <numFmt numFmtId="170" formatCode="m/d/yyyy"/>
    </dxf>
    <dxf>
      <numFmt numFmtId="170" formatCode="m/d/yyyy"/>
    </dxf>
    <dxf>
      <numFmt numFmtId="170" formatCode="m/d/yyyy"/>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relativeIndent="0" justifyLastLine="0" shrinkToFit="0" readingOrder="0"/>
      <protection locked="1" hidden="0"/>
    </dxf>
    <dxf>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protection locked="1" hidden="0"/>
    </dxf>
    <dxf>
      <alignment horizontal="center" vertical="center" textRotation="0" wrapText="1" indent="0" justifyLastLine="0" shrinkToFit="0" readingOrder="0"/>
    </dxf>
    <dxf>
      <fill>
        <patternFill>
          <bgColor theme="4" tint="-0.24994659260841701"/>
        </patternFill>
      </fill>
    </dxf>
    <dxf>
      <fill>
        <patternFill>
          <bgColor theme="9" tint="0.59996337778862885"/>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theme="9" tint="0.39994506668294322"/>
        </patternFill>
      </fill>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alignment horizontal="center" vertical="bottom" textRotation="0" wrapText="0" indent="0" justifyLastLine="0" shrinkToFit="0" readingOrder="0"/>
      <protection locked="0" hidden="0"/>
    </dxf>
    <dxf>
      <numFmt numFmtId="0" formatCode="General"/>
    </dxf>
    <dxf>
      <font>
        <strike val="0"/>
        <outline val="0"/>
        <shadow val="0"/>
        <u val="none"/>
        <vertAlign val="baseline"/>
        <sz val="11"/>
        <color theme="1"/>
        <name val="Calibri"/>
        <scheme val="minor"/>
      </font>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13" formatCode="0%"/>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indent="0" justifyLastLine="0" shrinkToFit="0" readingOrder="0"/>
      <protection locked="0" hidden="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70" formatCode="m/d/yyyy"/>
      <alignment horizontal="center" vertical="bottom" textRotation="0" wrapText="0" indent="0" justifyLastLine="0" shrinkToFit="0" readingOrder="0"/>
    </dxf>
    <dxf>
      <numFmt numFmtId="170" formatCode="m/d/yyyy"/>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166" formatCode="0.0%"/>
      <alignment horizontal="center" vertical="bottom" textRotation="0" wrapText="0" relativeIndent="0" justifyLastLine="0" shrinkToFit="0" readingOrder="0"/>
    </dxf>
    <dxf>
      <numFmt numFmtId="0" formatCode="General"/>
      <alignment horizontal="center" vertical="bottom" textRotation="0" wrapText="0" relative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relativeIndent="0" justifyLastLine="0" shrinkToFit="0" readingOrder="0"/>
      <protection locked="0" hidden="0"/>
    </dxf>
    <dxf>
      <numFmt numFmtId="0" formatCode="General"/>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protection locked="0" hidden="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3" formatCode="0%"/>
      <alignment horizontal="center" vertical="bottom" textRotation="0" wrapText="0" relativeIndent="0" justifyLastLine="0" shrinkToFit="0" readingOrder="0"/>
    </dxf>
    <dxf>
      <numFmt numFmtId="167" formatCode="&quot;$&quot;\ #,##0.00"/>
    </dxf>
    <dxf>
      <numFmt numFmtId="167" formatCode="&quot;$&quot;\ #,##0.00"/>
    </dxf>
    <dxf>
      <numFmt numFmtId="167"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center" vertical="center" textRotation="0" wrapText="1" indent="0" justifyLastLine="0" shrinkToFit="0" readingOrder="0"/>
    </dxf>
    <dxf>
      <font>
        <color theme="0"/>
      </font>
    </dxf>
    <dxf>
      <font>
        <color theme="0"/>
      </font>
      <fill>
        <patternFill>
          <bgColor rgb="FFC00000"/>
        </patternFill>
      </fill>
    </dxf>
    <dxf>
      <font>
        <color theme="0"/>
      </font>
      <fill>
        <patternFill>
          <bgColor theme="6" tint="-0.24994659260841701"/>
        </patternFill>
      </fill>
    </dxf>
    <dxf>
      <fill>
        <patternFill>
          <bgColor theme="9" tint="0.59996337778862885"/>
        </patternFill>
      </fill>
    </dxf>
    <dxf>
      <fill>
        <patternFill>
          <bgColor theme="4" tint="-0.24994659260841701"/>
        </patternFill>
      </fill>
    </dxf>
    <dxf>
      <fill>
        <patternFill>
          <bgColor theme="1" tint="0.499984740745262"/>
        </patternFill>
      </fill>
    </dxf>
    <dxf>
      <font>
        <color theme="0"/>
      </font>
      <fill>
        <patternFill>
          <bgColor rgb="FF008000"/>
        </patternFill>
      </fill>
    </dxf>
    <dxf>
      <font>
        <color theme="0"/>
      </font>
      <fill>
        <patternFill>
          <bgColor rgb="FF7030A0"/>
        </patternFill>
      </fill>
    </dxf>
    <dxf>
      <fill>
        <patternFill>
          <bgColor rgb="FFFFFF00"/>
        </patternFill>
      </fill>
    </dxf>
    <dxf>
      <font>
        <color theme="0"/>
      </font>
      <fill>
        <patternFill>
          <bgColor rgb="FFFF0000"/>
        </patternFill>
      </fill>
    </dxf>
    <dxf>
      <font>
        <color theme="0"/>
      </font>
      <fill>
        <patternFill>
          <bgColor theme="1"/>
        </patternFill>
      </fill>
    </dxf>
    <dxf>
      <fill>
        <patternFill>
          <bgColor rgb="FFFFC000"/>
        </patternFill>
      </fill>
    </dxf>
    <dxf>
      <fill>
        <patternFill>
          <bgColor theme="9" tint="0.59996337778862885"/>
        </patternFill>
      </fill>
    </dxf>
    <dxf>
      <font>
        <color theme="0"/>
      </font>
      <fill>
        <patternFill>
          <bgColor rgb="FFFF0000"/>
        </patternFill>
      </fill>
    </dxf>
    <dxf>
      <font>
        <color theme="0"/>
      </font>
      <fill>
        <patternFill>
          <bgColor theme="1" tint="4.9989318521683403E-2"/>
        </patternFill>
      </fill>
    </dxf>
    <dxf>
      <fill>
        <patternFill>
          <bgColor rgb="FFFFFF00"/>
        </patternFill>
      </fill>
    </dxf>
    <dxf>
      <font>
        <color theme="0"/>
      </font>
      <fill>
        <patternFill>
          <bgColor rgb="FF006600"/>
        </patternFill>
      </fill>
    </dxf>
    <dxf>
      <font>
        <color theme="0"/>
      </font>
      <fill>
        <patternFill>
          <bgColor rgb="FF7030A0"/>
        </patternFill>
      </fill>
    </dxf>
    <dxf>
      <fill>
        <patternFill>
          <bgColor theme="1" tint="0.499984740745262"/>
        </patternFill>
      </fill>
    </dxf>
    <dxf>
      <fill>
        <patternFill>
          <bgColor rgb="FFFF0000"/>
        </patternFill>
      </fill>
    </dxf>
    <dxf>
      <fill>
        <patternFill>
          <bgColor theme="4" tint="0.59996337778862885"/>
        </patternFill>
      </fill>
    </dxf>
    <dxf>
      <fill>
        <patternFill>
          <bgColor theme="4" tint="0.59996337778862885"/>
        </patternFill>
      </fill>
    </dxf>
    <dxf>
      <fill>
        <patternFill>
          <bgColor rgb="FFFF0000"/>
        </patternFill>
      </fill>
    </dxf>
    <dxf>
      <fill>
        <patternFill>
          <bgColor theme="4" tint="0.59996337778862885"/>
        </patternFill>
      </fill>
    </dxf>
    <dxf>
      <fill>
        <patternFill>
          <bgColor theme="9" tint="0.39994506668294322"/>
        </patternFill>
      </fill>
    </dxf>
  </dxfs>
  <tableStyles count="0" defaultTableStyle="TableStyleMedium9" defaultPivotStyle="PivotStyleLight16"/>
  <colors>
    <mruColors>
      <color rgb="FF008000"/>
      <color rgb="FF006600"/>
      <color rgb="FF3366FF"/>
      <color rgb="FF3333CC"/>
      <color rgb="FFFF0000"/>
      <color rgb="FFEA898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8BD21D10-EC42-11CE-9E0D-00AA006002F3}"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image" Target="../media/image4.emf"/><Relationship Id="rId18" Type="http://schemas.openxmlformats.org/officeDocument/2006/relationships/image" Target="../media/image2.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8.emf"/><Relationship Id="rId12" Type="http://schemas.openxmlformats.org/officeDocument/2006/relationships/image" Target="../media/image5.emf"/><Relationship Id="rId17" Type="http://schemas.openxmlformats.org/officeDocument/2006/relationships/image" Target="../media/image19.emf"/><Relationship Id="rId25" Type="http://schemas.openxmlformats.org/officeDocument/2006/relationships/image" Target="../media/image25.emf"/><Relationship Id="rId2" Type="http://schemas.openxmlformats.org/officeDocument/2006/relationships/image" Target="../media/image13.emf"/><Relationship Id="rId16" Type="http://schemas.openxmlformats.org/officeDocument/2006/relationships/image" Target="../media/image18.emf"/><Relationship Id="rId20" Type="http://schemas.openxmlformats.org/officeDocument/2006/relationships/image" Target="../media/image20.emf"/><Relationship Id="rId1" Type="http://schemas.openxmlformats.org/officeDocument/2006/relationships/image" Target="../media/image12.emf"/><Relationship Id="rId6" Type="http://schemas.openxmlformats.org/officeDocument/2006/relationships/image" Target="../media/image9.emf"/><Relationship Id="rId11" Type="http://schemas.openxmlformats.org/officeDocument/2006/relationships/image" Target="../media/image17.emf"/><Relationship Id="rId24" Type="http://schemas.openxmlformats.org/officeDocument/2006/relationships/image" Target="../media/image24.emf"/><Relationship Id="rId5" Type="http://schemas.openxmlformats.org/officeDocument/2006/relationships/image" Target="../media/image15.emf"/><Relationship Id="rId15" Type="http://schemas.openxmlformats.org/officeDocument/2006/relationships/image" Target="../media/image14.emf"/><Relationship Id="rId23" Type="http://schemas.openxmlformats.org/officeDocument/2006/relationships/image" Target="../media/image23.emf"/><Relationship Id="rId10" Type="http://schemas.openxmlformats.org/officeDocument/2006/relationships/image" Target="../media/image16.emf"/><Relationship Id="rId19" Type="http://schemas.openxmlformats.org/officeDocument/2006/relationships/image" Target="../media/image1.emf"/><Relationship Id="rId4" Type="http://schemas.openxmlformats.org/officeDocument/2006/relationships/image" Target="../media/image10.emf"/><Relationship Id="rId9" Type="http://schemas.openxmlformats.org/officeDocument/2006/relationships/image" Target="../media/image6.emf"/><Relationship Id="rId14" Type="http://schemas.openxmlformats.org/officeDocument/2006/relationships/image" Target="../media/image3.emf"/><Relationship Id="rId22"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7.emf"/><Relationship Id="rId1" Type="http://schemas.openxmlformats.org/officeDocument/2006/relationships/image" Target="../media/image2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28575</xdr:colOff>
          <xdr:row>0</xdr:row>
          <xdr:rowOff>333375</xdr:rowOff>
        </xdr:from>
        <xdr:to>
          <xdr:col>0</xdr:col>
          <xdr:colOff>685800</xdr:colOff>
          <xdr:row>0</xdr:row>
          <xdr:rowOff>600075</xdr:rowOff>
        </xdr:to>
        <xdr:sp macro="" textlink="">
          <xdr:nvSpPr>
            <xdr:cNvPr id="1025" name="cmdConfirma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695325</xdr:colOff>
          <xdr:row>0</xdr:row>
          <xdr:rowOff>333375</xdr:rowOff>
        </xdr:from>
        <xdr:to>
          <xdr:col>1</xdr:col>
          <xdr:colOff>47625</xdr:colOff>
          <xdr:row>0</xdr:row>
          <xdr:rowOff>600075</xdr:rowOff>
        </xdr:to>
        <xdr:sp macro="" textlink="">
          <xdr:nvSpPr>
            <xdr:cNvPr id="1026" name="cmdCancelar" hidden="1">
              <a:extLst>
                <a:ext uri="{63B3BB69-23CF-44E3-9099-C40C66FF867C}">
                  <a14:compatExt spid="_x0000_s102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1123950</xdr:colOff>
          <xdr:row>0</xdr:row>
          <xdr:rowOff>28575</xdr:rowOff>
        </xdr:from>
        <xdr:to>
          <xdr:col>1</xdr:col>
          <xdr:colOff>219075</xdr:colOff>
          <xdr:row>0</xdr:row>
          <xdr:rowOff>295275</xdr:rowOff>
        </xdr:to>
        <xdr:sp macro="" textlink="">
          <xdr:nvSpPr>
            <xdr:cNvPr id="1028" name="cmdDarDeBaja"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1038225</xdr:colOff>
          <xdr:row>0</xdr:row>
          <xdr:rowOff>276225</xdr:rowOff>
        </xdr:from>
        <xdr:to>
          <xdr:col>6</xdr:col>
          <xdr:colOff>704850</xdr:colOff>
          <xdr:row>0</xdr:row>
          <xdr:rowOff>542925</xdr:rowOff>
        </xdr:to>
        <xdr:sp macro="" textlink="">
          <xdr:nvSpPr>
            <xdr:cNvPr id="1030" name="cmdLlenarTransferEspecial"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28575</xdr:rowOff>
        </xdr:from>
        <xdr:to>
          <xdr:col>0</xdr:col>
          <xdr:colOff>276225</xdr:colOff>
          <xdr:row>0</xdr:row>
          <xdr:rowOff>295275</xdr:rowOff>
        </xdr:to>
        <xdr:sp macro="" textlink="">
          <xdr:nvSpPr>
            <xdr:cNvPr id="1031" name="cmdBuscaIte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2933700</xdr:colOff>
          <xdr:row>5</xdr:row>
          <xdr:rowOff>0</xdr:rowOff>
        </xdr:from>
        <xdr:to>
          <xdr:col>2</xdr:col>
          <xdr:colOff>19050</xdr:colOff>
          <xdr:row>5</xdr:row>
          <xdr:rowOff>209550</xdr:rowOff>
        </xdr:to>
        <xdr:sp macro="" textlink="">
          <xdr:nvSpPr>
            <xdr:cNvPr id="1037" name="cmdFechaArribo"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1009650</xdr:colOff>
          <xdr:row>2</xdr:row>
          <xdr:rowOff>0</xdr:rowOff>
        </xdr:from>
        <xdr:to>
          <xdr:col>4</xdr:col>
          <xdr:colOff>28575</xdr:colOff>
          <xdr:row>3</xdr:row>
          <xdr:rowOff>19050</xdr:rowOff>
        </xdr:to>
        <xdr:sp macro="" textlink="">
          <xdr:nvSpPr>
            <xdr:cNvPr id="1038" name="cmdFechaCierr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581025</xdr:colOff>
          <xdr:row>0</xdr:row>
          <xdr:rowOff>28575</xdr:rowOff>
        </xdr:from>
        <xdr:to>
          <xdr:col>1</xdr:col>
          <xdr:colOff>923925</xdr:colOff>
          <xdr:row>0</xdr:row>
          <xdr:rowOff>295275</xdr:rowOff>
        </xdr:to>
        <xdr:sp macro="" textlink="">
          <xdr:nvSpPr>
            <xdr:cNvPr id="1039" name="cmdMRP" hidden="1">
              <a:extLst>
                <a:ext uri="{63B3BB69-23CF-44E3-9099-C40C66FF867C}">
                  <a14:compatExt spid="_x0000_s10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219075</xdr:colOff>
          <xdr:row>0</xdr:row>
          <xdr:rowOff>28575</xdr:rowOff>
        </xdr:from>
        <xdr:to>
          <xdr:col>1</xdr:col>
          <xdr:colOff>590550</xdr:colOff>
          <xdr:row>0</xdr:row>
          <xdr:rowOff>295275</xdr:rowOff>
        </xdr:to>
        <xdr:sp macro="" textlink="">
          <xdr:nvSpPr>
            <xdr:cNvPr id="1067" name="cmdImprimir"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933450</xdr:colOff>
          <xdr:row>0</xdr:row>
          <xdr:rowOff>28575</xdr:rowOff>
        </xdr:from>
        <xdr:to>
          <xdr:col>1</xdr:col>
          <xdr:colOff>2276475</xdr:colOff>
          <xdr:row>0</xdr:row>
          <xdr:rowOff>314325</xdr:rowOff>
        </xdr:to>
        <xdr:sp macro="" textlink="">
          <xdr:nvSpPr>
            <xdr:cNvPr id="1068" name="txtBusqueda"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28575</xdr:rowOff>
        </xdr:from>
        <xdr:to>
          <xdr:col>1</xdr:col>
          <xdr:colOff>2505075</xdr:colOff>
          <xdr:row>0</xdr:row>
          <xdr:rowOff>276225</xdr:rowOff>
        </xdr:to>
        <xdr:sp macro="" textlink="">
          <xdr:nvSpPr>
            <xdr:cNvPr id="1069" name="cmdQuitaFiltros" hidden="1">
              <a:extLst>
                <a:ext uri="{63B3BB69-23CF-44E3-9099-C40C66FF867C}">
                  <a14:compatExt spid="_x0000_s1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76200</xdr:colOff>
          <xdr:row>0</xdr:row>
          <xdr:rowOff>28575</xdr:rowOff>
        </xdr:from>
        <xdr:to>
          <xdr:col>2</xdr:col>
          <xdr:colOff>266700</xdr:colOff>
          <xdr:row>0</xdr:row>
          <xdr:rowOff>266700</xdr:rowOff>
        </xdr:to>
        <xdr:sp macro="" textlink="">
          <xdr:nvSpPr>
            <xdr:cNvPr id="1070" name="cmdBorraRegistro" hidden="1">
              <a:extLst>
                <a:ext uri="{63B3BB69-23CF-44E3-9099-C40C66FF867C}">
                  <a14:compatExt spid="_x0000_s1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2514600</xdr:colOff>
          <xdr:row>0</xdr:row>
          <xdr:rowOff>28575</xdr:rowOff>
        </xdr:from>
        <xdr:to>
          <xdr:col>1</xdr:col>
          <xdr:colOff>2686050</xdr:colOff>
          <xdr:row>0</xdr:row>
          <xdr:rowOff>266700</xdr:rowOff>
        </xdr:to>
        <xdr:sp macro="" textlink="">
          <xdr:nvSpPr>
            <xdr:cNvPr id="1071" name="cmdAscendente" hidden="1">
              <a:extLst>
                <a:ext uri="{63B3BB69-23CF-44E3-9099-C40C66FF867C}">
                  <a14:compatExt spid="_x0000_s1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2695575</xdr:colOff>
          <xdr:row>0</xdr:row>
          <xdr:rowOff>28575</xdr:rowOff>
        </xdr:from>
        <xdr:to>
          <xdr:col>1</xdr:col>
          <xdr:colOff>2867025</xdr:colOff>
          <xdr:row>0</xdr:row>
          <xdr:rowOff>266700</xdr:rowOff>
        </xdr:to>
        <xdr:sp macro="" textlink="">
          <xdr:nvSpPr>
            <xdr:cNvPr id="1072" name="cmdDescendente" hidden="1">
              <a:extLst>
                <a:ext uri="{63B3BB69-23CF-44E3-9099-C40C66FF867C}">
                  <a14:compatExt spid="_x0000_s1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276225</xdr:colOff>
          <xdr:row>0</xdr:row>
          <xdr:rowOff>276225</xdr:rowOff>
        </xdr:from>
        <xdr:to>
          <xdr:col>6</xdr:col>
          <xdr:colOff>1181100</xdr:colOff>
          <xdr:row>0</xdr:row>
          <xdr:rowOff>542925</xdr:rowOff>
        </xdr:to>
        <xdr:sp macro="" textlink="">
          <xdr:nvSpPr>
            <xdr:cNvPr id="1029" name="cmdLlenarTransfer"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533400</xdr:colOff>
          <xdr:row>0</xdr:row>
          <xdr:rowOff>28575</xdr:rowOff>
        </xdr:from>
        <xdr:to>
          <xdr:col>0</xdr:col>
          <xdr:colOff>828675</xdr:colOff>
          <xdr:row>0</xdr:row>
          <xdr:rowOff>295275</xdr:rowOff>
        </xdr:to>
        <xdr:sp macro="" textlink="">
          <xdr:nvSpPr>
            <xdr:cNvPr id="1073" name="cmdVistas" hidden="1">
              <a:extLst>
                <a:ext uri="{63B3BB69-23CF-44E3-9099-C40C66FF867C}">
                  <a14:compatExt spid="_x0000_s1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838200</xdr:colOff>
          <xdr:row>0</xdr:row>
          <xdr:rowOff>28575</xdr:rowOff>
        </xdr:from>
        <xdr:to>
          <xdr:col>0</xdr:col>
          <xdr:colOff>1095375</xdr:colOff>
          <xdr:row>0</xdr:row>
          <xdr:rowOff>295275</xdr:rowOff>
        </xdr:to>
        <xdr:sp macro="" textlink="">
          <xdr:nvSpPr>
            <xdr:cNvPr id="1074" name="cmdRefrescar" hidden="1">
              <a:extLst>
                <a:ext uri="{63B3BB69-23CF-44E3-9099-C40C66FF867C}">
                  <a14:compatExt spid="_x0000_s1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2886075</xdr:colOff>
          <xdr:row>0</xdr:row>
          <xdr:rowOff>28575</xdr:rowOff>
        </xdr:from>
        <xdr:to>
          <xdr:col>2</xdr:col>
          <xdr:colOff>66675</xdr:colOff>
          <xdr:row>0</xdr:row>
          <xdr:rowOff>266700</xdr:rowOff>
        </xdr:to>
        <xdr:sp macro="" textlink="">
          <xdr:nvSpPr>
            <xdr:cNvPr id="1077" name="cmdOrdenamientoMultiple" hidden="1">
              <a:extLst>
                <a:ext uri="{63B3BB69-23CF-44E3-9099-C40C66FF867C}">
                  <a14:compatExt spid="_x0000_s1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247650</xdr:colOff>
          <xdr:row>0</xdr:row>
          <xdr:rowOff>28575</xdr:rowOff>
        </xdr:from>
        <xdr:to>
          <xdr:col>2</xdr:col>
          <xdr:colOff>438150</xdr:colOff>
          <xdr:row>0</xdr:row>
          <xdr:rowOff>266700</xdr:rowOff>
        </xdr:to>
        <xdr:sp macro="" textlink="">
          <xdr:nvSpPr>
            <xdr:cNvPr id="1079" name="cmdAnadeRegistro" hidden="1">
              <a:extLst>
                <a:ext uri="{63B3BB69-23CF-44E3-9099-C40C66FF867C}">
                  <a14:compatExt spid="_x0000_s1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1</xdr:col>
          <xdr:colOff>704850</xdr:colOff>
          <xdr:row>0</xdr:row>
          <xdr:rowOff>600075</xdr:rowOff>
        </xdr:to>
        <xdr:sp macro="" textlink="">
          <xdr:nvSpPr>
            <xdr:cNvPr id="1082" name="cmdCambiarPropiedad" hidden="1">
              <a:extLst>
                <a:ext uri="{63B3BB69-23CF-44E3-9099-C40C66FF867C}">
                  <a14:compatExt spid="_x0000_s10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2276475</xdr:colOff>
          <xdr:row>0</xdr:row>
          <xdr:rowOff>333375</xdr:rowOff>
        </xdr:from>
        <xdr:to>
          <xdr:col>1</xdr:col>
          <xdr:colOff>2533650</xdr:colOff>
          <xdr:row>0</xdr:row>
          <xdr:rowOff>581025</xdr:rowOff>
        </xdr:to>
        <xdr:sp macro="" textlink="">
          <xdr:nvSpPr>
            <xdr:cNvPr id="1087" name="cmdBuffer" hidden="1">
              <a:extLst>
                <a:ext uri="{63B3BB69-23CF-44E3-9099-C40C66FF867C}">
                  <a14:compatExt spid="_x0000_s1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2552700</xdr:colOff>
          <xdr:row>0</xdr:row>
          <xdr:rowOff>333375</xdr:rowOff>
        </xdr:from>
        <xdr:to>
          <xdr:col>1</xdr:col>
          <xdr:colOff>2800350</xdr:colOff>
          <xdr:row>0</xdr:row>
          <xdr:rowOff>581025</xdr:rowOff>
        </xdr:to>
        <xdr:sp macro="" textlink="">
          <xdr:nvSpPr>
            <xdr:cNvPr id="1088" name="cmdReq" hidden="1">
              <a:extLst>
                <a:ext uri="{63B3BB69-23CF-44E3-9099-C40C66FF867C}">
                  <a14:compatExt spid="_x0000_s1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2809875</xdr:colOff>
          <xdr:row>0</xdr:row>
          <xdr:rowOff>333375</xdr:rowOff>
        </xdr:from>
        <xdr:to>
          <xdr:col>1</xdr:col>
          <xdr:colOff>3067050</xdr:colOff>
          <xdr:row>0</xdr:row>
          <xdr:rowOff>581025</xdr:rowOff>
        </xdr:to>
        <xdr:sp macro="" textlink="">
          <xdr:nvSpPr>
            <xdr:cNvPr id="1090" name="cmdConsumoVer" hidden="1">
              <a:extLst>
                <a:ext uri="{63B3BB69-23CF-44E3-9099-C40C66FF867C}">
                  <a14:compatExt spid="_x0000_s10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0</xdr:row>
          <xdr:rowOff>333375</xdr:rowOff>
        </xdr:from>
        <xdr:to>
          <xdr:col>2</xdr:col>
          <xdr:colOff>257175</xdr:colOff>
          <xdr:row>0</xdr:row>
          <xdr:rowOff>581025</xdr:rowOff>
        </xdr:to>
        <xdr:sp macro="" textlink="">
          <xdr:nvSpPr>
            <xdr:cNvPr id="1093" name="cmdEstatus" hidden="1">
              <a:extLst>
                <a:ext uri="{63B3BB69-23CF-44E3-9099-C40C66FF867C}">
                  <a14:compatExt spid="_x0000_s1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266700</xdr:colOff>
          <xdr:row>0</xdr:row>
          <xdr:rowOff>333375</xdr:rowOff>
        </xdr:from>
        <xdr:to>
          <xdr:col>2</xdr:col>
          <xdr:colOff>514350</xdr:colOff>
          <xdr:row>0</xdr:row>
          <xdr:rowOff>581025</xdr:rowOff>
        </xdr:to>
        <xdr:sp macro="" textlink="">
          <xdr:nvSpPr>
            <xdr:cNvPr id="1095" name="cmdDespacho" hidden="1">
              <a:extLst>
                <a:ext uri="{63B3BB69-23CF-44E3-9099-C40C66FF867C}">
                  <a14:compatExt spid="_x0000_s1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2714625</xdr:colOff>
          <xdr:row>0</xdr:row>
          <xdr:rowOff>104775</xdr:rowOff>
        </xdr:from>
        <xdr:to>
          <xdr:col>2</xdr:col>
          <xdr:colOff>600075</xdr:colOff>
          <xdr:row>1</xdr:row>
          <xdr:rowOff>123825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19050</xdr:rowOff>
        </xdr:from>
        <xdr:to>
          <xdr:col>4</xdr:col>
          <xdr:colOff>47625</xdr:colOff>
          <xdr:row>1</xdr:row>
          <xdr:rowOff>85725</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76200</xdr:colOff>
          <xdr:row>1</xdr:row>
          <xdr:rowOff>76200</xdr:rowOff>
        </xdr:from>
        <xdr:to>
          <xdr:col>4</xdr:col>
          <xdr:colOff>47625</xdr:colOff>
          <xdr:row>2</xdr:row>
          <xdr:rowOff>152400</xdr:rowOff>
        </xdr:to>
        <xdr:sp macro="" textlink="">
          <xdr:nvSpPr>
            <xdr:cNvPr id="3075" name="cmdImprimir" hidden="1">
              <a:extLst>
                <a:ext uri="{63B3BB69-23CF-44E3-9099-C40C66FF867C}">
                  <a14:compatExt spid="_x0000_s3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ENTRAL%20CONTROL%20BUFFER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ENTROCONTROL"/>
      <sheetName val="EMPRESA"/>
      <sheetName val="EMPRESABODEGA"/>
      <sheetName val="ARCHIVOSCB"/>
      <sheetName val="ARCHIVOSBODEGAS"/>
      <sheetName val="PERFIL"/>
      <sheetName val="PROVEEDORES"/>
      <sheetName val="DIAS_RESTANTES"/>
      <sheetName val="NUMERO_ITEMS"/>
      <sheetName val="TRANSFERENCIAS"/>
      <sheetName val="ITEMS_EMPRESA"/>
      <sheetName val="PATH"/>
      <sheetName val="AUX"/>
      <sheetName val="BorraTransfer"/>
      <sheetName val="ITEMS_SELECCIONADOS"/>
      <sheetName val="DURACION"/>
      <sheetName val="Parametros"/>
      <sheetName val="Alertas"/>
      <sheetName val="USER"/>
      <sheetName val="ArchivosPermitidos"/>
      <sheetName val="CENTRAL CONTROL BUFFERS"/>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B1" t="str">
            <v>C:\RAM CAS\MEJORA CONTINUA\INVENTARIOS\HISTORIAL INVENTARIOS\TRANSFERENCIAS ABIERTAS\595 _ 8-4-2013 - IMPORTACIÓN - AGROTACENTRAL.xlsm</v>
          </cell>
        </row>
      </sheetData>
      <sheetData sheetId="13"/>
      <sheetData sheetId="14"/>
      <sheetData sheetId="15"/>
      <sheetData sheetId="16"/>
      <sheetData sheetId="17"/>
      <sheetData sheetId="18"/>
      <sheetData sheetId="19"/>
      <sheetData sheetId="2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CAS" refreshedDate="41659.753398842593" createdVersion="3" refreshedVersion="3" minRefreshableVersion="3" recordCount="23">
  <cacheSource type="worksheet">
    <worksheetSource name="=Tabla_Recetas"/>
  </cacheSource>
  <cacheFields count="9">
    <cacheField name="Cod Padre" numFmtId="0">
      <sharedItems/>
    </cacheField>
    <cacheField name="Descripcion Padre" numFmtId="0">
      <sharedItems/>
    </cacheField>
    <cacheField name="Unidad Padre" numFmtId="0">
      <sharedItems/>
    </cacheField>
    <cacheField name="Cod Hijo" numFmtId="0">
      <sharedItems containsBlank="1" count="446">
        <s v="MP-162"/>
        <s v="MP-047"/>
        <s v="MP-216"/>
        <s v="MP-19456"/>
        <s v="MP-0471"/>
        <s v="MP-217"/>
        <s v="MP-218"/>
        <s v="MP-19452"/>
        <s v="MP-19457"/>
        <s v="MP-223"/>
        <s v="MP-19460"/>
        <s v="MP-062"/>
        <s v="MP-186"/>
        <s v="MP-084"/>
        <s v="MP-004"/>
        <s v="MP-2022"/>
        <s v="MP-315"/>
        <s v="MP-001"/>
        <m u="1"/>
        <s v="MP-095" u="1"/>
        <s v="MP-187" u="1"/>
        <s v="IN-34567" u="1"/>
        <s v="MP-083" u="1"/>
        <s v="MP-175" u="1"/>
        <s v="MP-267" u="1"/>
        <s v="MP-163" u="1"/>
        <s v="MP-255" u="1"/>
        <s v="MP-151" u="1"/>
        <s v="MP-29426" u="1"/>
        <s v="MP-0632" u="1"/>
        <s v="EC-488/EMC" u="1"/>
        <s v="MP-197" u="1"/>
        <s v="MP-289" u="1"/>
        <s v="MP-093" u="1"/>
        <s v="IN-378" u="1"/>
        <s v="MP-173" u="1"/>
        <s v="MP-01131" u="1"/>
        <s v="MP-195" u="1"/>
        <s v="MP-091" u="1"/>
        <s v="MP-275" u="1"/>
        <s v="MP-459" u="1"/>
        <s v="MP-171" u="1"/>
        <s v="MP-355" u="1"/>
        <s v="MP-251" u="1"/>
        <s v="IN-352" u="1"/>
        <s v="MP-0832" u="1"/>
        <s v="IN - 1271" u="1"/>
        <s v="EC-X047000520" u="1"/>
        <s v="MP-389" u="1"/>
        <s v="MP-285" u="1"/>
        <s v="MP-273" u="1"/>
        <s v="MP-2891" u="1"/>
        <s v="MP-261" u="1"/>
        <s v="MP-353" u="1"/>
        <s v="SH-P230" u="1"/>
        <s v="G-003" u="1"/>
        <s v="MP-295" u="1"/>
        <s v="MP-191" u="1"/>
        <s v="MP-283" u="1"/>
        <s v="MP-375" u="1"/>
        <s v="MP-363" u="1"/>
        <s v="MP-351" u="1"/>
        <s v="MP-29427" u="1"/>
        <s v="MP-373" u="1"/>
        <s v="MP-465" u="1"/>
        <s v="MP-361" u="1"/>
        <s v="MP-2611" u="1"/>
        <s v="MP-7091" u="1"/>
        <s v="MP-7092" u="1"/>
        <s v="G-005" u="1"/>
        <s v="MP-395" u="1"/>
        <s v="MP-371" u="1"/>
        <s v="CO-0021" u="1"/>
        <s v="IN-30" u="1"/>
        <s v="MP-19458" u="1"/>
        <s v="G-006" u="1"/>
        <s v="MP-393" u="1"/>
        <s v="MP-669" u="1"/>
        <s v="MP-3611" u="1"/>
        <s v="MP-3612" u="1"/>
        <s v="MP-391" u="1"/>
        <s v="MP-667" u="1"/>
        <s v="MP-803" u="1"/>
        <s v="IN-32" u="1"/>
        <s v="HE-002" u="1"/>
        <s v="EC-CS 8002EUSTD" u="1"/>
        <s v="MP-801" u="1"/>
        <s v="EC-91VX44CQ" u="1"/>
        <s v="EC-80794A" u="1"/>
        <s v="MP-767" u="1"/>
        <s v="IN-6669" u="1"/>
        <s v="MP-8031" u="1"/>
        <s v="IN-34" u="1"/>
        <s v="QUIM-008" u="1"/>
        <s v="MP-19459" u="1"/>
        <s v="SHDW-006" u="1"/>
        <s v="MP-789" u="1"/>
        <s v="EC-B450/AUS" u="1"/>
        <s v="SHDW-036" u="1"/>
        <s v="EC-CS-420ES" u="1"/>
        <s v="MP-6610" u="1"/>
        <s v="MP-6612" u="1"/>
        <s v="MP-6613" u="1"/>
        <s v="MP-7654" u="1"/>
        <s v="MP-6614" u="1"/>
        <s v="mp-6615" u="1"/>
        <s v="EC-SRM-270UEU" u="1"/>
        <s v="EC-12A0CD3744" u="1"/>
        <s v="QUIM-019" u="1"/>
        <s v="MP-897" u="1"/>
        <s v="OR-65789" u="1"/>
        <s v="EC-C350INTL" u="1"/>
        <s v="EC-C230INTL" u="1"/>
        <s v="EC-SRM-3605UEU" u="1"/>
        <s v="SH-82067" u="1"/>
        <s v="SH-108644-30" u="1"/>
        <s v="EC-B530INTL" u="1"/>
        <s v="ETIFUN003" u="1"/>
        <s v="MP-9753" u="1"/>
        <s v="SHDW-038" u="1"/>
        <s v="SHDW-048" u="1"/>
        <s v="MPETI0017" u="1"/>
        <s v="EC-43171730230" u="1"/>
        <s v="EC-SRM-4605UEU" u="1"/>
        <s v="MP - 064" u="1"/>
        <s v="EC-43021330833" u="1"/>
        <s v="MP-028" u="1"/>
        <s v="IN-037" u="1"/>
        <s v="MP-108" u="1"/>
        <s v="EC-43021531731" u="1"/>
        <s v="EC-SRM-4300R" u="1"/>
        <s v="SH-28820-08000" u="1"/>
        <s v="INT-012" u="1"/>
        <s v="IN-127" u="1"/>
        <s v="MP-014" u="1"/>
        <s v="MP-002" u="1"/>
        <s v="F-0010" u="1"/>
        <s v="EC-001107" u="1"/>
        <s v="MP-048" u="1"/>
        <s v="MP-036" u="1"/>
        <s v="MP-128" u="1"/>
        <s v="MP-024" u="1"/>
        <s v="MP-208" u="1"/>
        <s v="IN-033" u="1"/>
        <s v="MP-012" u="1"/>
        <s v="MP-104" u="1"/>
        <s v="IN-0012" u="1"/>
        <s v="EC-73LGX84X" u="1"/>
        <s v="IN-0014" u="1"/>
        <s v="MP-058" u="1"/>
        <s v="MP-046" u="1"/>
        <s v="MP-034" u="1"/>
        <s v="MP-022" u="1"/>
        <s v="MP-114" u="1"/>
        <s v="MP-206" u="1"/>
        <s v="MP-0381" u="1"/>
        <s v="P-0016" u="1"/>
        <s v="MP-068" u="1"/>
        <s v="MP-056" u="1"/>
        <s v="MP-148" u="1"/>
        <s v="MP-044" u="1"/>
        <s v="MP-136" u="1"/>
        <s v="MP-228" u="1"/>
        <s v="MP-124" u="1"/>
        <s v="MP-020" u="1"/>
        <s v="MP-112" u="1"/>
        <s v="MP-204" u="1"/>
        <s v="MP-100" u="1"/>
        <s v="P-0014" u="1"/>
        <s v="G-0041" u="1"/>
        <s v="IN-1131" u="1"/>
        <s v="MP-066" u="1"/>
        <s v="MP-054" u="1"/>
        <s v="MP-146" u="1"/>
        <s v="MP-134" u="1"/>
        <s v="MP-030" u="1"/>
        <s v="MP-122" u="1"/>
        <s v="MP-214" u="1"/>
        <s v="MP-110" u="1"/>
        <s v="MP-202" u="1"/>
        <s v="IN - 126" u="1"/>
        <s v="P-0012" u="1"/>
        <s v="IN-1234" u="1"/>
        <s v="IN-1235" u="1"/>
        <s v="MP-076" u="1"/>
        <s v="MP-168" u="1"/>
        <s v="MP-064" u="1"/>
        <s v="MP-156" u="1"/>
        <s v="MP-248" u="1"/>
        <s v="MP-052" u="1"/>
        <s v="MP-144" u="1"/>
        <s v="OR-205963" u="1"/>
        <s v="MP-132" u="1"/>
        <s v="MP-224" u="1"/>
        <s v="MP-316" u="1"/>
        <s v="MP-212" u="1"/>
        <s v="MP-200" u="1"/>
        <s v="P-0010" u="1"/>
        <s v="EC-73LGX92X" u="1"/>
        <s v="MP-098" u="1"/>
        <s v="MP-178" u="1"/>
        <s v="MP-074" u="1"/>
        <s v="MP-246" u="1"/>
        <s v="MP-050" u="1"/>
        <s v="MP-234" u="1"/>
        <s v="MP-130" u="1"/>
        <s v="MP-222" u="1"/>
        <s v="MP-210" u="1"/>
        <s v="MP-2021" u="1"/>
        <s v="MP.0302" u="1"/>
        <s v="MP-2023" u="1"/>
        <s v="MP-096" u="1"/>
        <s v="MP-188" u="1"/>
        <s v="MP-268" u="1"/>
        <s v="MP-164" u="1"/>
        <s v="MP-140" u="1"/>
        <s v="MP-0641" u="1"/>
        <s v="MP-220" u="1"/>
        <s v="IN-00171" u="1"/>
        <s v="MP-1323" u="1"/>
        <s v="MP-198" u="1"/>
        <s v="MP-358" u="1"/>
        <s v="SH-78890-11000" u="1"/>
        <s v="IN-091" u="1"/>
        <s v="MP-070" u="1"/>
        <s v="MP-254" u="1"/>
        <s v="MP-150" u="1"/>
        <s v="MP-230" u="1"/>
        <s v="MP-310" u="1"/>
        <s v="MP-402" u="1"/>
        <s v="IN - 127" u="1"/>
        <s v="SH-78890-14000" u="1"/>
        <s v="MP-196" u="1"/>
        <s v="MP-092" u="1"/>
        <s v="MP-276" u="1"/>
        <s v="MP-368" u="1"/>
        <s v="MP-080" u="1"/>
        <s v="MP-172" u="1"/>
        <s v="MP-264" u="1"/>
        <s v="MP-160" u="1"/>
        <s v="MP-0841" u="1"/>
        <s v="MP-2681" u="1"/>
        <s v="MP-400" u="1"/>
        <s v="F-002" u="1"/>
        <s v="MP-194" u="1"/>
        <s v="MP-090" u="1"/>
        <s v="MP-366" u="1"/>
        <s v="MP-170" u="1"/>
        <s v="MP-262" u="1"/>
        <s v="F-011" u="1"/>
        <s v="FU-003" u="1"/>
        <s v="MP-192" u="1"/>
        <s v="MP-284" u="1"/>
        <s v="MP-376" u="1"/>
        <s v="MP-180" u="1"/>
        <s v="MP-272" u="1"/>
        <s v="MP-364" u="1"/>
        <s v="MP-260" u="1"/>
        <s v="MP-352" u="1"/>
        <s v="MP-190" u="1"/>
        <s v="MP-282" u="1"/>
        <s v="MP-558" u="1"/>
        <s v="MP-270" u="1"/>
        <s v="MP-362" u="1"/>
        <s v="MP-350" u="1"/>
        <s v="MP-2621" u="1"/>
        <s v="MP-1946" u="1"/>
        <s v="MP-396" u="1"/>
        <s v="MP-292" u="1"/>
        <s v="CO-0031" u="1"/>
        <s v="MP-2601" u="1"/>
        <s v="MP-2602" u="1"/>
        <s v="P-001" u="1"/>
        <s v="F-014" u="1"/>
        <s v="EC-DM-6110EUSTD" u="1"/>
        <s v="EC-CS-3000" u="1"/>
        <s v="MP-394" u="1"/>
        <s v="MP-370" u="1"/>
        <s v="MP-542" u="1"/>
        <s v="MP-392" u="1"/>
        <s v="MP-668" u="1"/>
        <s v="MP-460" u="1"/>
        <s v="MP-29420" u="1"/>
        <s v="IN-00173" u="1"/>
        <s v="P-003" u="1"/>
        <s v="MP-390" u="1"/>
        <s v="N-OO1" u="1"/>
        <s v="P-004" u="1"/>
        <s v="EC-DM-6110-13EUSTD" u="1"/>
        <s v="MP-800" u="1"/>
        <s v="P-005" u="1"/>
        <s v="MP-19451" u="1"/>
        <s v="QUIM-010" u="1"/>
        <s v="MP-6687" u="1"/>
        <s v="MPETI002" u="1"/>
        <s v="EC-33SL0-72X" u="1"/>
        <s v="MP-8021" u="1"/>
        <s v="P-006" u="1"/>
        <s v="MP-788" u="1"/>
        <s v="JA-001" u="1"/>
        <s v="CO-01311" u="1"/>
        <s v="IN-6610" u="1"/>
        <s v="MP-26" u="1"/>
        <s v="P-007" u="1"/>
        <s v="QUIM-0181" u="1"/>
        <s v="IN-7654" u="1"/>
        <s v="IN-6615" u="1"/>
        <s v="MP-7687" u="1"/>
        <s v="EC-73DP-98X" u="1"/>
        <s v="IN-6617" u="1"/>
        <s v="MP-66690" u="1"/>
        <s v="P-008" u="1"/>
        <s v="P-6768" u="1"/>
        <s v="MPFUN001" u="1"/>
        <s v="SH-108642-24" u="1"/>
        <s v="MP-7881" u="1"/>
        <s v="P-009" u="1"/>
        <s v="QUIM-011" u="1"/>
        <s v="EC-SRAH-205" u="1"/>
        <s v="MPETI003" u="1"/>
        <s v="EC-22CINTL" u="1"/>
        <s v="MP-30424" u="1"/>
        <s v="MPFUND002" u="1"/>
        <s v="MP-19453" u="1"/>
        <s v="EC-80676" u="1"/>
        <s v="MP-890" u="1"/>
        <s v="IN-00126" u="1"/>
        <s v="MPINS-025" u="1"/>
        <s v="EC-UN10" u="1"/>
        <s v="MP - 0631" u="1"/>
        <s v="MP-30425" u="1"/>
        <s v="PTHER002" u="1"/>
        <s v="MP-019" u="1"/>
        <s v="F-0015" u="1"/>
        <s v="MP-19454" u="1"/>
        <s v="EC-577" u="1"/>
        <s v="EC-80677" u="1"/>
        <s v="MPETI005" u="1"/>
        <s v="MP-029" u="1"/>
        <s v="MP-017" u="1"/>
        <s v="MP-109" u="1"/>
        <s v="OR-206045" u="1"/>
        <s v="EC-90SG-39X" u="1"/>
        <s v="MP-194589" u="1"/>
        <s v="IN-048" u="1"/>
        <s v="MP-119" u="1"/>
        <s v="MP-015" u="1"/>
        <s v="MP-107" u="1"/>
        <s v="MP.027" u="1"/>
        <s v="MP-29424" u="1"/>
        <s v="IN-104" u="1"/>
        <s v="MP-037" u="1"/>
        <s v="MP-129" u="1"/>
        <s v="MP-025" u="1"/>
        <s v="MP-117" u="1"/>
        <s v="MP-209" u="1"/>
        <s v="MP-30426" u="1"/>
        <s v="MP-0176" u="1"/>
        <s v="MP-059" u="1"/>
        <s v="MP-0056" u="1"/>
        <s v="OR-238337" u="1"/>
        <s v="MP-035" u="1"/>
        <s v="MP-219" u="1"/>
        <s v="MP-023" u="1"/>
        <s v="MP-115" u="1"/>
        <s v="MP-207" u="1"/>
        <s v="MP-011" u="1"/>
        <s v="MP-103" u="1"/>
        <s v="MP-19455" u="1"/>
        <s v="EC-43101330831" u="1"/>
        <s v="EC-80678" u="1"/>
        <s v="EC-C270EMC" u="1"/>
        <s v="IN-0004" u="1"/>
        <s v="MPETI006" u="1"/>
        <s v="MP-069" u="1"/>
        <s v="MP-149" u="1"/>
        <s v="IN-0005" u="1"/>
        <s v="MP-045" u="1"/>
        <s v="MP-137" u="1"/>
        <s v="MP-229" u="1"/>
        <s v="MP-125" u="1"/>
        <s v="EC-108636-10" u="1"/>
        <s v="MP-021" u="1"/>
        <s v="MP-113" u="1"/>
        <s v="MP-205" u="1"/>
        <s v="MP-101" u="1"/>
        <s v="P-0015" u="1"/>
        <s v="IN-0008" u="1"/>
        <s v="EC-82067A" u="1"/>
        <s v="EC-B450EMC" u="1"/>
        <s v="MP-079" u="1"/>
        <s v="MP-067" u="1"/>
        <s v="MP-043" u="1"/>
        <s v="MP-135" u="1"/>
        <s v="MP-227" u="1"/>
        <s v="IN-144" u="1"/>
        <s v="MP-123" u="1"/>
        <s v="MP-29425" u="1"/>
        <s v="IN-040" u="1"/>
        <s v="MP-203" u="1"/>
        <s v="P-0013" u="1"/>
        <s v="MP-000100" u="1"/>
        <s v="EC-43052737333" u="1"/>
        <s v="SH-38490-18" u="1"/>
        <s v="MP-089" u="1"/>
        <s v="MP-077" u="1"/>
        <s v="MP-065" u="1"/>
        <s v="MP-249" u="1"/>
        <s v="MP-053" u="1"/>
        <s v="MP-145" u="1"/>
        <s v="MP-041" u="1"/>
        <s v="MP-133" u="1"/>
        <s v="MP-225" u="1"/>
        <s v="MP-121" u="1"/>
        <s v="MP-213" u="1"/>
        <s v="MP-1130" u="1"/>
        <s v="IN-130" u="1"/>
        <s v="MP-201" u="1"/>
        <s v="P-0011" u="1"/>
        <s v="MP-30427" u="1"/>
        <s v="MP-01130" u="1"/>
        <s v="MP-075" u="1"/>
        <s v="MP-259" u="1"/>
        <s v="MP-063" u="1"/>
        <s v="MP-051" u="1"/>
        <s v="MP-143" u="1"/>
        <s v="MP-131" u="1"/>
        <s v="MP-407" u="1"/>
        <s v="IN-140" u="1"/>
        <s v="MP-211" u="1"/>
        <s v="EC-757CINTL" u="1"/>
        <s v="QUIM-015" u="1"/>
        <s v="MP-1234" u="1"/>
        <s v="MP-09877" u="1"/>
        <s v="MP-1235" u="1"/>
        <s v="MP-097" u="1"/>
        <s v="MP-189" u="1"/>
        <s v="MPETI007" u="1"/>
        <s v="MP-177" u="1"/>
        <s v="MP-269" u="1"/>
        <s v="MP-073" u="1"/>
        <s v="MP-257" u="1"/>
        <s v="MP-141" u="1"/>
        <s v="MP-221" u="1"/>
        <s v="MP-313" u="1"/>
        <s v="MP-199" u="1"/>
      </sharedItems>
    </cacheField>
    <cacheField name="Descripcion Hijo" numFmtId="0">
      <sharedItems containsBlank="1" count="448">
        <s v="ETIQUETA BUCANER X LITRO"/>
        <s v="SULFATO DE COBRE 24%"/>
        <s v="ENVASE PET LITRO"/>
        <s v="ETIQUETA BUCANER FORTE X 500 ML"/>
        <s v="SULFATO DE COBRE + AMINOACIDOS X LT"/>
        <s v="ENVASE PET 500 ML"/>
        <s v="ENVASE PET 250 ML"/>
        <s v="ETIQUETA BUCANER FORTE X 250 ML"/>
        <s v="ETIQUETA BUCANER FORTE X 100 ML"/>
        <s v="ENVASE FARMACEUTICO 120 ML"/>
        <s v="ETIQUETA BUCANER FORTE X LITRO"/>
        <s v="TENSOACTIVO HUMECTANTE"/>
        <s v="ETIQUETA AGROTAFIX X LITRO"/>
        <s v="ETIQUETA AGROTAFOL INICIAL KILO/500g"/>
        <s v="15 - 30 - 15 + MICROELEMENTOS X KG"/>
        <s v="FUNDA GRANDE KILO / 500 GRS "/>
        <s v="ENVASE AGROTAFOL DESARROLLO X KILO PREIM"/>
        <s v="25 - 10 - 10  + MICROELEMENTOS X KG"/>
        <m u="1"/>
        <s v="DIFENOCONAZOLE 25 % EC X 200 LITROS" u="1"/>
        <s v="UN-10 CABEZAL NYLON" u="1"/>
        <s v="ETIQUETA ESTAMPIDA ORGANICO X LITRO" u="1"/>
        <s v="ADAPTADOR UN10,B450,B530,C350 (80678)" u="1"/>
        <s v="PROPILAQ X  250 ML" u="1"/>
        <s v="ENVASE AGROTHANE KG PREIMPRESA" u="1"/>
        <s v="ENVASE TROMBA 250 G PREIMPRESA" u="1"/>
        <s v="ETIQUETA FULMINANTE X 50 GMS / TRASERA" u="1"/>
        <s v="CARBENDAZIM 50 % WP X 200 GMS" u="1"/>
        <s v="ETIQUETA AGROTALINA X 20 LITROS" u="1"/>
        <s v="ETIQUETA AGROTAMINA X 20 LITROS" u="1"/>
        <s v="FUNDA ALUMINIZADA 100 G" u="1"/>
        <s v="ETIQUETA AGROTALINA X LITRO" u="1"/>
        <s v="ETIQUETA AGROTAMINA X LITRO" u="1"/>
        <s v="ENVASE COEX 125 g X LITRO" u="1"/>
        <s v="CIMOXANIL 8% + MANCOZEB 64 % WP 250 GR" u="1"/>
        <s v="ETIQUETA SINOPRID X 50 GMS" u="1"/>
        <s v="DESMALEZADORA C-230" u="1"/>
        <s v="DESMALEZADORA C-270" u="1"/>
        <s v="ETIQUETA AGROTAFOL FOSFITO X 500 ML" u="1"/>
        <s v="AGROTAFOL COMBI X 200 G" u="1"/>
        <s v="ETIQUETA SITI X 500 GRS" u="1"/>
        <s v="AZUFRE 72% X LITRO" u="1"/>
        <s v="ETIQUETA SKEKURA X 500 GRS POST" u="1"/>
        <s v="ETIQUETA CIPERMETRINA X 250 ML" u="1"/>
        <s v="CAJA COMBO MARACUYA FLORACION" u="1"/>
        <s v="QUELATO DE ZN + AZUFRE + AC. HUMICOS X LT" u="1"/>
        <s v="CABEZAL NYLON UN-10 SIN EMPAQUE Y SIN PERNO  82067A " u="1"/>
        <s v="ETIQUETA CITOQMAX X LITRO" u="1"/>
        <s v="ETIQUETA IMPULMAX X LITRO" u="1"/>
        <s v="ETIQUETA BIOBAN X 100 ML" u="1"/>
        <s v="ETIQUETA JAQUER X 100 ML" u="1"/>
        <s v="ETIQUETA AGROTAZOLE X LITRO" u="1"/>
        <s v="ETIQUETA BOTRYAZOLE X LITRO" u="1"/>
        <s v="ETIQUETA RAIZ FORTE X LITRO" u="1"/>
        <s v="BUCANER FORTE X 500 ML" u="1"/>
        <s v="CAJA COMBO CACAO INICIO" u="1"/>
        <s v="CAJA COMBO ARROZ INICIAL" u="1"/>
        <s v="ETIQUETA AGROTAFOL CRECIMIENTO KILO / 500 g" u="1"/>
        <s v="ETIQUETA ORGANIC POWER X LITRO" u="1"/>
        <s v="ETIQUETA AGROTASULF X LITRO" u="1"/>
        <s v="CA MOTOSIERRA CS-420ES" u="1"/>
        <s v="IMIDACLOPRID 25% WP X 25KL" u="1"/>
        <s v="ACIDOS HUMICOS , FULVICOS + AMINOACIDOS" u="1"/>
        <s v="PROLIFIC TIPO BIOZYME X LITRO" u="1"/>
        <s v="ACEITE MINERAL" u="1"/>
        <s v="RAIZ FORTE X LT" u="1"/>
        <s v="ETIQUETA SARGENT X LITRO" u="1"/>
        <s v="ETIQUETA SKEKURA X KILO" u="1"/>
        <s v="CAJA COMBO CACAO FINALIZADOR" u="1"/>
        <s v="ETIQUETA AGROCARBOFURAN X LITRO" u="1"/>
        <s v="IMIDACLOPRID 25 % WP 100 G" u="1"/>
        <s v="CABEZAL SPEED FEED 375 PARA C230, T230" u="1"/>
        <s v="IMIDACLOPRID 25 % WP 500 G" u="1"/>
        <s v="METSULFURON METYL X 15 GR" u="1"/>
        <s v="MYCLOBUTANIL 12,5 % EC x 200L" u="1"/>
        <s v="THICKER X KILO" u="1"/>
        <s v="STICKER COMBO SCOBA XL" u="1"/>
        <s v="ETIQUETA LACURA X 500 ML" u="1"/>
        <s v="ENVASE AGROBALA LITRO" u="1"/>
        <s v="AGROTAFOL FOSFITO X 500 ML" u="1"/>
        <s v="ETIQUETA BIOBAN LITRO GALON 5 GL" u="1"/>
        <s v="ETIQUETA AGROTAFOL FLORACION KILO/500 g" u="1"/>
        <s v="0-20-50 TIPO K-FOL" u="1"/>
        <s v="DESMALEZADORA C-350" u="1"/>
        <s v="ETIQUETA AGROTAFOL BORO X LITRO" u="1"/>
        <s v="CAJA COMBO MASTER ENGROSE" u="1"/>
        <s v="SKEKURA WP X 500 GRS" u="1"/>
        <s v="ETIQUETA LACURA X LITRO" u="1"/>
        <s v="ETIQUETA ANIQUILADOR X 250 ML" u="1"/>
        <s v="ABAMECTINA NEGRA 1.8% X 200L" u="1"/>
        <s v="PROPILAQ X LITRO" u="1"/>
        <s v="ENVASE PARAGUAS PREIMPRESA" u="1"/>
        <s v="SINOPRID X 100 G" u="1"/>
        <s v="ETIQUETA ORGANIC POWER X 500 ML" u="1"/>
        <s v="ETIQUETA RIDONATE X 400 ML" u="1"/>
        <s v="DESMALEZADORA B450 AUS" u="1"/>
        <s v="ETIQUETA CIPERMETRINA X LITRO" u="1"/>
        <s v="BARRA 18 PROLITE D 0.816" u="1"/>
        <s v="CA CABEZAL SPEED FEED 375 PARA 22F" u="1"/>
        <s v="ETIQUETA SKEKURA X 500 GRS DEL" u="1"/>
        <s v="ETIQUETA AGROVERDOL X LITRO" u="1"/>
        <s v="ANIQUILADOR X 100 ML" u="1"/>
        <s v="ETIQUETA AGROTAFOL AMINO X 500 ML" u="1"/>
        <s v="ABAMECTINA 1,8 % EC" u="1"/>
        <s v="ETIQUETA FEGADAZIM X LITRO" u="1"/>
        <s v="ETIQUETA ABAMECTIN X LITRO" u="1"/>
        <s v="ETIQUETA GLIFOSATO X LITRO" u="1"/>
        <s v="BENALAXIL + MANCOZEB BLUE X 25 KG" u="1"/>
        <s v="ETIQUETA PROFESIONAL PRODUCCION POSTERIOR X KG" u="1"/>
        <s v="DIENTE P/MOTOSIERRA 73D 100B 3/8 OREGON" u="1"/>
        <s v="METSULFURON X 15 GRAMOS" u="1"/>
        <s v="ETIQUETA PROPILAQ X LITRO" u="1"/>
        <s v="ETIQUETA ENDOSULFAN X LITRO" u="1"/>
        <s v="LAMBDACIHALOTRINA 2,5% EC X 250 ML" u="1"/>
        <s v="CAJA COMBO ARROZ ENGROSE" u="1"/>
        <s v="BUTACLOR 60 % EC 200 LT" u="1"/>
        <s v="ABAMECTIN X 100 ML" u="1"/>
        <s v="BUCANER X 500 ML" u="1"/>
        <s v="CAJA COMBO INSECTICIDA" u="1"/>
        <s v="FE,CU,MN,ZN,MO QUELATADOS" u="1"/>
        <s v="TOKAL  400 X 100 ML" u="1"/>
        <s v="ETIQUETA BUCANER X 250 ML" u="1"/>
        <s v="ETIQUETA CAPITAN X 250 ML" u="1"/>
        <s v="ETIQUETA LABOMBA X 250 ML" u="1"/>
        <s v="ETIQUETA SARGENT X 250 ML" u="1"/>
        <s v="ETIQUETA SKEKURA X 250 ML" u="1"/>
        <s v="ETIQUETA SKEMATA X 250 ML" u="1"/>
        <s v="ETIQUETA VIRAFIN X 250 ML" u="1"/>
        <s v="AGROTAFIX PLUS X 100 ML" u="1"/>
        <s v="AGROTAFOL ZINC X 500 ML" u="1"/>
        <s v="ETIQUETA LETAL X LITRO" u="1"/>
        <s v="AGROTAFOL K PLUS X 500 ML" u="1"/>
        <s v="KARONTE X TANQUE" u="1"/>
        <s v="ACIDOS ORGANICOS 25 %" u="1"/>
        <s v="CAJA COMBO MARACUYA" u="1"/>
        <s v="PODADORA HOME 22C" u="1"/>
        <s v="CIROMAZINA X 50 G AGROTA" u="1"/>
        <s v="ETIQUETA FULMINANTE POST AGRIPAC" u="1"/>
        <s v="IMPULMAX X 250 ML" u="1"/>
        <s v="STICKER COMBO SINOPRID XL" u="1"/>
        <s v="AMITRAZ 20 % EC" u="1"/>
        <s v="CABEZAL NYLON SPEED-FEED" u="1"/>
        <s v="ETIQUETA PROFESIONAL INICIO POSTERIOR X KG" u="1"/>
        <s v="2,4 D AMINA 72 % SL 20 LT" u="1"/>
        <s v="CARTAP 50 % PS 25KG" u="1"/>
        <s v="ENVASE AGROBALA 1/2 LITRO" u="1"/>
        <s v="CA CABEZAL DE NYLON UN 10 SIN EMPAQUE" u="1"/>
        <s v="CABEZAL DE NYLON METALICO" u="1"/>
        <s v="ETIQUETA DEPREDADOR X 100 GRS" u="1"/>
        <s v="CADENA GUIA 10&quot; P230 (90SG-039X)" u="1"/>
        <s v="ETIQUETA QUBIK X LITRO" u="1"/>
        <s v="SITI X 250 G" u="1"/>
        <s v="TEBUCONAZOL 25% EC x 200 LT" u="1"/>
        <s v="ETIQUETA LABOMBA X LITRO" u="1"/>
        <s v="ETIQUETA SKEKURA X LITRO" u="1"/>
        <s v="ETIQUETA SKEMATA X LITRO" u="1"/>
        <s v="MOTOSIERRA 488" u="1"/>
        <s v="ENVASE AGROBALA 1/4 LITRO" u="1"/>
        <s v="ETIQUETA LORFOS X LITRO" u="1"/>
        <s v="ETIQUETA PROFESIONAL CRECIMIENTO DELANTERA X KG" u="1"/>
        <s v="HEXYTHIAZOX 5 % EC" u="1"/>
        <s v="ALG - VIRABLOCK X LT" u="1"/>
        <s v="ETIQUETA UREUM LITRO-GALON-20 L" u="1"/>
        <s v="MANCOZEB 80 % WP 500 GR" u="1"/>
        <s v="AGROTAFOL BORO X 250 ML" u="1"/>
        <s v="PROPICONAZOL 25 % EC" u="1"/>
        <s v="35 -  25 - 20 + MICRO + GA3 + AUXINAS + VITAMINAS" u="1"/>
        <s v="ENVASE COEX 100 ML CHINO" u="1"/>
        <s v="ENVASE COEX 250 ML CHINO" u="1"/>
        <s v="MOTOSIERRA CS-8002EUSTD       " u="1"/>
        <s v="ANILLO PINON PASO 0.404&quot; 7 DIENTES 22270" u="1"/>
        <s v="ETIQUETA DEPREDADOR X 300 GRS" u="1"/>
        <s v="SINOZOX X 100 ML" u="1"/>
        <s v="CLOROTALONIL 72 % SC" u="1"/>
        <s v="CA BARRA GUIA 28&quot; CS-8002" u="1"/>
        <s v="ETIQUETA AGROTAFIX PLUS X 100 ML" u="1"/>
        <s v="CADENA 24&quot; CS680 CS 8002" u="1"/>
        <s v="JAQUER 400 X 100 ML" u="1"/>
        <s v="UREUM X GL" u="1"/>
        <s v="11-11-8+ 1B X LT" u="1"/>
        <s v="DESMALEZADORA SRM 3605" u="1"/>
        <s v="DISCO VIDIA 9&quot; 40 DIENTES" u="1"/>
        <s v="ETIQUETA ORGANIC POWER X GALON" u="1"/>
        <s v="ETIQUETA FAST X 100 ML" u="1"/>
        <s v="ETIQUETA YOGA X 100 ML" u="1"/>
        <s v="PROPINEB 70 % + CIMOXANIL 6 %" u="1"/>
        <s v="CABEZAL DE NYLON ECHO  SRAH-205 " u="1"/>
        <s v="DESMALEZADORA SRM 4605" u="1"/>
        <s v="DESMALEZADORA B-530" u="1"/>
        <s v="ANIQUILADOR X LT" u="1"/>
        <s v="ETIQUETA SINOTYL X 500 GRS - DELANTERA" u="1"/>
        <s v="MOTOSIERRA 577" u="1"/>
        <s v="BARRA 10, 0.42G P320" u="1"/>
        <s v="NEBULIZADORA, PULVERIZADORA 23LITROS" u="1"/>
        <s v="FUNDA PROFESIONAL 25 KG" u="1"/>
        <s v="ETIQUETA KARONTE 120 ML" u="1"/>
        <s v="SKEMATA X 250 ML" u="1"/>
        <s v="PENDIMETALINA 40 % EC 200 LT" u="1"/>
        <s v="ETIQUETA AGROTAFOL SUPER" u="1"/>
        <s v="NEBULIZADORA, PULVERIZADORA 13LITROS" u="1"/>
        <s v="HUMICEL 20 LITROS" u="1"/>
        <s v="ETIQUETA CIROMAZINA X 50 GMS DEL  (F. A.)" u="1"/>
        <s v="ETIQUETA GLIFOLAQ X 500 ML" u="1"/>
        <s v="ETIQUETA RIDONATE X 500 ML" u="1"/>
        <s v="PARAQUAT 24 % SC 20 LT" u="1"/>
        <s v="CADENA 30&quot; 73DP-98X 3/8&quot;, 058&quot; 757" u="1"/>
        <s v="ENVASE PREIMPRESO SKEKURA WP X 100 GMS" u="1"/>
        <s v="ENVASE SINOTYL X 100 GMS PREIMPRESO" u="1"/>
        <s v="13 - 6 - 40 + MICROELEMENTOS X KG" u="1"/>
        <s v="ETIQUETA CITOQMAX X 100 ML" u="1"/>
        <s v="ETIQUETA IMPULMAX X 100 ML" u="1"/>
        <s v="ETIQUETA RIDONATE X 100 ML" u="1"/>
        <s v="PROPINEB 70 % WP 500 GR" u="1"/>
        <s v="ETIQUETA AGROTAFOL PRODUCCION KILO / 500 g" u="1"/>
        <s v="RAIZ FORTE X 500 ML" u="1"/>
        <s v="ETIQUETA LETAL X 50 ML" u="1"/>
        <s v="PROPILAQ X 100 ML" u="1"/>
        <s v="ETIQUETA AGROTAFOL AMINO X LITRO" u="1"/>
        <s v="ETIQUETA PROFESIONAL THICKER X KILO" u="1"/>
        <s v="ETIQUETA SUPER VIVERO X KILO" u="1"/>
        <s v="BARRA 12&quot; PPT2400" u="1"/>
        <s v="ENVASE ATRAZINA KG PREIMPRESA" u="1"/>
        <s v="CAJA COMBO PRO" u="1"/>
        <s v="DESMALEZADORA SRM 4300R" u="1"/>
        <s v="SCOBA X 250 ML" u="1"/>
        <s v="DELTAMETRINA 2,5 % EC X 100 ML" u="1"/>
        <s v="ETIQUETA BLINDAX LITRO GALON 20 L" u="1"/>
        <s v="CARBENDAZIM 50 % WP 500 GRS" u="1"/>
        <s v="ABUNDANCE PLUS X LITRO" u="1"/>
        <s v="ETIQUETA ORGANIC POWER X 250 ML" u="1"/>
        <s v="CAJA COMBO PAPAYA" u="1"/>
        <s v="ETIQUETA PROFESIONALFLORACION POSTERIOR X KG" u="1"/>
        <s v="ETIQUETA PROPILAQ POR 100ML" u="1"/>
        <s v="FOSFONATO POTASICO 70 %" u="1"/>
        <s v="AGROTAFOL K PLUS X LT" u="1"/>
        <s v="CADENA60CM 24&quot;, 3/8, 058 (73DP-84X) " u="1"/>
        <s v="ETIQUETA FULMINANTE  X 50 GRS / DELANTER" u="1"/>
        <s v="ETIQUETA CAPO X 250 ML" u="1"/>
        <s v="ETIQUETA FAST X 250 ML" u="1"/>
        <s v="ETIQUETA BLINDAX X 100 ML" u="1"/>
        <s v="ETIQUETA BUCANER X 100 ML" u="1"/>
        <s v="ETIQUETA SINOTOP X 100 ML" u="1"/>
        <s v="ETIQUETA SINOZOX X 100 ML" u="1"/>
        <s v="ETIQUETA SKEKURA X 100 ML" u="1"/>
        <s v="ETIQUETA SKEMATA X 100 ML" u="1"/>
        <s v="SKEKURA WP X 200 G" u="1"/>
        <s v="CLORPIRIFOS 48 % EC" u="1"/>
        <s v="CYROMAZINA 75 % WP x 50g" u="1"/>
        <s v="BENALAXYL + MANCOZEB CREMA X 25 KILOS" u="1"/>
        <s v="PROPINEB 70 % WP 250 GR" u="1"/>
        <s v="BARRA 24&quot;  CS-680, CS-8002" u="1"/>
        <s v="ENVASE PREIMPRESO AGROTAFOL COMBI X 200" u="1"/>
        <s v="PARAQUAT 24 % SC 200 LT" u="1"/>
        <s v="ETIQUETA LETAL X 100 ML" u="1"/>
        <s v="ETIQUETA SCOBA X 100 ML" u="1"/>
        <s v="ETIQUETA LETAL X 500 ML" u="1"/>
        <s v="ETIQUETA BUCANER X 500 ML" u="1"/>
        <s v="ETIQUETA SINOZOX X 500 ML" u="1"/>
        <s v="ETIQUETA SKEKURA X 500 ML" u="1"/>
        <s v="ETIQUETA SKEMATA X 500 ML" u="1"/>
        <s v="SKEKURA WP X 100 G" u="1"/>
        <s v="ETIQUETA AGROCARBOFURAN X GALON" u="1"/>
        <s v="ADAPTADOR UN10 C230" u="1"/>
        <s v="MICROELEMENTOS SOLUBLES + AMINOACIDOS X KILO" u="1"/>
        <s v="THIABENDAZOLE 50 % SC" u="1"/>
        <s v="ENVASE AGROBALA VERDE X 500 ML" u="1"/>
        <s v="ETIQUETA AGROTAFOL PH X 100 ML" u="1"/>
        <s v="ETIQUETA CIPERMETRINA X 100 ML" u="1"/>
        <s v="ETIQUETA PARALANCHA 250/500 GRS DELANTERA" u="1"/>
        <s v="DELTAMETRINA 2,5 % EC" u="1"/>
        <s v="CAJA COMBO FRESA" u="1"/>
        <s v="ENVASE AGROGALON" u="1"/>
        <s v="DIFENOCONAZOLE 2,5% EC X 100 ML" u="1"/>
        <s v="ETIQUETA GLIFOLAQ LT, GAL, 5 GAL" u="1"/>
        <s v="ETIQUETA AGROCARBOFURAN X 250 ML" u="1"/>
        <s v="ETIQUETA AGROTAFOL BORO X 250 ML" u="1"/>
        <s v="CA DESMALEZADORA HOMEPRO F220" u="1"/>
        <s v="BUCANER FORTE X 100 ML" u="1"/>
        <s v="BARRA GUIA 30 STL 303ATLE099 OREGON" u="1"/>
        <s v="RIDONATE X 400 ML" u="1"/>
        <s v="LAMBDA CYHALOTRINA 2,5 % EC 200L " u="1"/>
        <s v="CUCHILLA CORBATIN" u="1"/>
        <s v="ETIQUETA CAPITAN X LITRO" u="1"/>
        <s v="ENVASE FARMACEUTICO 60 ML" u="1"/>
        <s v="ETIQUETA GLIFOLAQ X 125 ML" u="1"/>
        <s v="FOSETIL ALUMINIO 80 %   X 25 KG" u="1"/>
        <s v="ETIQUETA LETAL X 250 ML" u="1"/>
        <s v="ETIQUETA SCOBA X 250 ML" u="1"/>
        <s v="ETIQUETA AGROTAFOL BORO X 500 ML" u="1"/>
        <s v="ETIQUETA AGROTAFOL ZINC X 500 ML" u="1"/>
        <s v="CIROMAZINA 75%WP PREIMPRESA X 50 G" u="1"/>
        <s v="ETIQUETA KEMADOR X LITRO" u="1"/>
        <s v="ETIQUETA FIERA X LITRO" u="1"/>
        <s v="ETIQUETA SCOBA X LITRO" u="1"/>
        <s v="PENDIMETALINA 40 % EC 20 LT" u="1"/>
        <s v="VIRUS STOP X LT" u="1"/>
        <s v="ETIQUETA PROFESIONAL INICIO DELANTERA X KG" u="1"/>
        <s v="ETIQUETA BIOBAN X 250 ML" u="1"/>
        <s v="ETIQUETA LACURA X 250 ML" u="1"/>
        <s v="ETIQUETA LORFOS X 250 ML" u="1"/>
        <s v="MOTOSIERRA 757 SHINDAIWA" u="1"/>
        <s v="CABEZAL METALICO NEGRO  (22000-92812) " u="1"/>
        <s v="ETIQUETA PARALANCHA 250/500 GRS POSTERIOR" u="1"/>
        <s v="LAMBDA SOL X 500 ML" u="1"/>
        <s v="ETIQUETA CAPO X LITRO" u="1"/>
        <s v="FUNDA GREENGIB" u="1"/>
        <s v="ETIQUETA AGROTAFOL FOSFITO X 250 ML" u="1"/>
        <s v="CARBENDAZIM 50 % SC 200L" u="1"/>
        <s v="ENVASE PREIMPRESO PARALANCHA 250/500 BLUE" u="1"/>
        <s v="ETIQUETA PROPILAQ X  250ML" u="1"/>
        <s v="ETIQUETA AGROTHANE X 500 GRS" u="1"/>
        <s v="BISPIRIBAC SODIO 40%" u="1"/>
        <s v="ETIQUETA AGROTAFOL AC X LITRO" u="1"/>
        <s v="CAJA COMBO RAIZ ROSADA" u="1"/>
        <s v="CAJA COMBO MASTER INICIAL" u="1"/>
        <s v="AGROTAFOL 13-6-40 PRODUCCION X KILO" u="1"/>
        <s v="STICKER COMBO COGOLLERO" u="1"/>
        <s v="ETIQUETA FIERA X GALON" u="1"/>
        <s v="ETIQUETA VIRAFIN X LT" u="1"/>
        <s v="ETIQUETA RIDONATE X 200 ML" u="1"/>
        <s v="ETIQUETA SINOPRID X 100 GRS / DELANTERA" u="1"/>
        <s v="ETIQUETA SINOPRID X 500 GMS / DELANTERA" u="1"/>
        <s v="ETIQUETA CITOQMAX X 250 ML" u="1"/>
        <s v="ETIQUETA GLIFOLAQ X 250 ML" u="1"/>
        <s v="ETIQUETA IMPULMAX X 250 ML" u="1"/>
        <s v="ETIQUETA RIDONATE X 250 ML" u="1"/>
        <s v="BSK 100 X 200 LT" u="1"/>
        <s v="ETIQUETA ANIQUILADOR X 100 ML" u="1"/>
        <s v="ETIQUETA AGROTAFOL MICROPLUS X LITRO" u="1"/>
        <s v="ETIQUETA CIROMAZINA  50 GRS AGROMAC ( DEL)" u="1"/>
        <s v="CALCIO 6 % / BORO 3 %" u="1"/>
        <s v="BARRA 30 .058 D009" u="1"/>
        <s v="ETIQUETA AGROVERDOL X  250 ML" u="1"/>
        <s v="CA PODADORA DE ALTURA P230" u="1"/>
        <s v="CADENA 12&quot; PPT2400" u="1"/>
        <s v="ETIQUETA AGROTAMINA X GALON" u="1"/>
        <s v="BARRA 18&quot; CS420ES 0.375" u="1"/>
        <s v="CIPERMETRINA 20 % EC" u="1"/>
        <s v="CARBOFURAN 4F" u="1"/>
        <s v="CITOQMAX X LT" u="1"/>
        <s v="ETIQUETA RIDONATE X LITRO" u="1"/>
        <s v="ETIQUETA SINOMITE X LITRO" u="1"/>
        <s v="ETIQUETA AGROTAFOL CALCIO X 500 ML" u="1"/>
        <s v="ETIQUETA AGROTAFOL K PLUS X 500 ML" u="1"/>
        <s v="PARALANCHA BLUE X 500 G" u="1"/>
        <s v="ETIQUETA AGROTAFIX X 100 ML" u="1"/>
        <s v="ETIQUETA ESTAMPIDA X 100 ML" u="1"/>
        <s v="ETIQUETA FEGADAZIM X 100 ML" u="1"/>
        <s v="ETIQUETA TOKAL 400 X 100 ML" u="1"/>
        <s v="ETIQUETA FULMINANTE DEL AGRIPAC" u="1"/>
        <s v="UREFOL X CANECA 20L" u="1"/>
        <s v="CA CADENA 17&quot;" u="1"/>
        <s v="ETIQUETA FEGADAZIM X 500 ML" u="1"/>
        <s v="MOTOSIERRA CS-3000-30" u="1"/>
        <s v="ENDOSULFAN 35 % EC" u="1"/>
        <s v="ETIQUETA ANIQUILADOR X 500 ML" u="1"/>
        <s v="YOGA X 100 ML" u="1"/>
        <s v="LETAL X LITRO" u="1"/>
        <s v="AGARRADERA MANUBRIO PULVERIZADORA" u="1"/>
        <s v="ETIQUETA AGROTAFOL ZINC X LITRO" u="1"/>
        <s v="BARRA 24 LT, 3/8, 0.58" u="1"/>
        <s v="MANCOZEB 80 % WP KILO" u="1"/>
        <s v="ETIQUETA YOGA X LITRO" u="1"/>
        <s v="MASCARILLA LENTES OREJERAS" u="1"/>
        <s v="CAJA COMBO ARROZ DESARROLLO" u="1"/>
        <s v="ENVASE COEX 105g X LITRO   " u="1"/>
        <s v="CAJA COMBO MONILIA" u="1"/>
        <s v="ENVASE AGROTAFOL ENGROSE X KILO PREIMPRE" u="1"/>
        <s v="16-16-12 -1B x 500 ml" u="1"/>
        <s v="DESMALEZADORA B450" u="1"/>
        <s v="ETIQUETA TOKAL 400 X 500ML" u="1"/>
        <s v="CADENA 18.325.050 (33SL0-72X)" u="1"/>
        <s v="ETIQUETA SCOBA X 50 ML" u="1"/>
        <s v="ETIQUETA QUITA LATEX GALON - CANECA" u="1"/>
        <s v="ETIQUETA AGROTAFOL CALCIO X 250 ML" u="1"/>
        <s v="ETIQUETA PROFESIONAL CRECIMIENTO POSTERIOR X KG" u="1"/>
        <s v="ETIQUETA GREEN GIBB POSTERIOR" u="1"/>
        <s v="PENCONAZOL X 100 ML" u="1"/>
        <s v="BISPIRIBAC SODIUM 40% SC X 100 ML" u="1"/>
        <s v="ENVASE CLON X LITRO" u="1"/>
        <s v="CADENA70CM 28&quot; CS8002 (43101530831)" u="1"/>
        <s v="ENVASE X CANECA 20 LITROS" u="1"/>
        <s v="10-45-11 RAICES 500 " u="1"/>
        <s v="ESTAMPIDA X LT" u="1"/>
        <s v="DESMALEZADORA SRM 270" u="1"/>
        <s v="ETIQUETA ABAMECTIN  X 100 ML" u="1"/>
        <s v="2,4 D AMINA 72 % SL 200 LT" u="1"/>
        <s v="IMIDACLOROPRID 25% WP X 25KL" u="1"/>
        <s v="PROPAMOCARB 72 % SC" u="1"/>
        <s v="BUCANER X 250 ML" u="1"/>
        <s v="AGROTAFOL 15-30-15 INICIO X KG" u="1"/>
        <s v="DIMETOATO 40 % EC" u="1"/>
        <s v="ETIQUETA RAIZ FORTE G X KILO" u="1"/>
        <s v="ETIQUETA AGROTAFOL FOSFITO X LITRO" u="1"/>
        <s v="GLIFOLAQ X 5 GAL" u="1"/>
        <s v="ETIQUETA CIROMAZINA 50 GRS POST (F.A)" u="1"/>
        <s v="ETIQUETA SPIN X 500 ML" u="1"/>
        <s v="OXIDO DE POTASIO 40 % QUELATADO" u="1"/>
        <s v="ADAPTADOR UN10 C270,BP35 (80677)" u="1"/>
        <s v="CIMOXANIL 8% + MANCOZEB 64 % WP 500 GR" u="1"/>
        <s v="PROCLHORAZ 45 % EC" u="1"/>
        <s v="ATRAZINA 80 % WP" u="1"/>
        <s v="ETIQUETA GREEN GIBB DELANTERA" u="1"/>
        <s v="DIFENOCONAZOLE 25 % EC x 250 ML" u="1"/>
        <s v="ETIQUETA AGROTAFOL K PLUS X LITRO" u="1"/>
        <s v="DIAZINON 60 % EC" u="1"/>
        <s v="ENVASE COEX 20g X 100ML     " u="1"/>
        <s v="ENVASE COEX 60g X 500ML     " u="1"/>
        <s v="ETIQUETA PROFESIONAL FLORACION DELANTERA X KG" u="1"/>
        <s v="ETIQUETA AGROTAFOL PH X LITRO" u="1"/>
        <s v="ETIQUETA AGROTAFIX X 250 ML" u="1"/>
        <s v="ETIQUETA ESTAMPIDA X 250 ML" u="1"/>
        <s v="ETIQUETA FEGADAZIM X 250 ML" u="1"/>
        <s v="BLINDAX X 20 LT" u="1"/>
        <s v="ENVASE PREIMPRESO PARALANCHA 250/500 G" u="1"/>
        <s v="ETIQUETA ANIQUILADOR X LITRO" u="1"/>
        <s v="GLIFOSATO 48 % SC X 200 LT" u="1"/>
        <s v="CAJA COMBO ARROZ TOTAL" u="1"/>
        <s v="JARRITA DOSIFICADORA X 250 cc" u="1"/>
        <s v="ETIQUETA AGROTAFOL CALCIO X LITRO" u="1"/>
        <s v="ETIQUETA AGROTAZOLE X 100 CC" u="1"/>
        <s v="ETIQUETA PROFESIONAL PRODUCCION DELANTERA X KG" u="1"/>
        <s v="ACIDO GIBERELICO X KILO" u="1"/>
        <s v="ETIQUETA SINOMITE X 50 ML" u="1"/>
        <s v="ETIQUETA SINOPRID X 100 GRS / TRASERA" u="1"/>
        <s v="ORGANIC POWER X 500 ML" u="1"/>
        <s v="SCOBA COEX X LT" u="1"/>
        <s v="ETIQUETA ENDOSULFAN X 250 ML" u="1"/>
        <s v="ETIQUETA VIRUS STOP X 250 ML" u="1"/>
        <s v="CARBENDAZIM 50 % WP 25 KG (Kg)" u="1"/>
        <s v="BENALAXIL 8% + MANCOZEB 65 % WP 500 GR" u="1"/>
        <s v="AGROVERDOL X 500 ML" u="1"/>
        <s v="ETIQUETA FAST X LITRO" u="1"/>
        <s v="ORTOFOSFATO 20% + AMINO ACIDOS X LT" u="1"/>
        <s v="CAJA COMBO CACAO FLORACION" u="1"/>
        <s v="ABAMECTIN X 100 ML (MATERIA PRIMA)" u="1"/>
        <s v="STICKER PARALANCHA BLUE" u="1"/>
        <s v="DIENTE P/MOTOSIERRA 27R 100B 0.404;DIENTE P/MOTOSIERRA 27R 100B 0.404" u="1"/>
        <s v="ETIQUETA AGROVERDOL X 500 ML" u="1"/>
        <s v="ETIQUETA RAIZ FORTE X 500 ML" u="1"/>
        <s v="TENSOACTIVO PLUS" u="1"/>
        <s v="CLOFENTAZINE 50 % SC X LITRO" u="1"/>
        <s v="CALCIO 4%, MG 3 %, AMI" u="1"/>
        <s v="AGROTAFOL ZINC X LT" u="1"/>
        <s v="METAMIDOFOS 60 % CS" u="1"/>
        <s v="ETIQUETA SINOTYL X KILO" u="1"/>
        <s v="FUNDA MEDIANA 300/250/200 GRS" u="1"/>
        <s v="ABAMECTINA NEGRA 1.8% X 100 ML" u="1"/>
      </sharedItems>
    </cacheField>
    <cacheField name="Cantidad" numFmtId="0">
      <sharedItems containsSemiMixedTypes="0" containsString="0" containsNumber="1" minValue="5.0000000000000001E-3" maxValue="1"/>
    </cacheField>
    <cacheField name="Unidad Hijo" numFmtId="0">
      <sharedItems/>
    </cacheField>
    <cacheField name="ExistePadre" numFmtId="0">
      <sharedItems containsSemiMixedTypes="0" containsString="0" containsNumber="1" containsInteger="1" minValue="0" maxValue="0"/>
    </cacheField>
    <cacheField name="Cantidad Requerida"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3">
  <r>
    <s v="IN-0011"/>
    <s v="BUCANER X LT"/>
    <s v="LITROS"/>
    <x v="0"/>
    <x v="0"/>
    <n v="1"/>
    <s v="100 GRAMOS"/>
    <n v="0"/>
    <n v="0"/>
  </r>
  <r>
    <s v="IN-0011"/>
    <s v="BUCANER X LT"/>
    <s v="LITROS"/>
    <x v="1"/>
    <x v="1"/>
    <n v="5.0000000000000001E-3"/>
    <s v="TANQUE POR 200 LT"/>
    <n v="0"/>
    <n v="0"/>
  </r>
  <r>
    <s v="IN-0011"/>
    <s v="BUCANER X LT"/>
    <s v="LITROS"/>
    <x v="2"/>
    <x v="2"/>
    <n v="1"/>
    <s v="Unidades"/>
    <n v="0"/>
    <n v="0"/>
  </r>
  <r>
    <s v="IN-00171"/>
    <s v="BUCANER FORTE X 500 ML"/>
    <s v="500 MILILITROS"/>
    <x v="3"/>
    <x v="3"/>
    <n v="1"/>
    <s v="Unidades"/>
    <n v="0"/>
    <n v="0"/>
  </r>
  <r>
    <s v="IN-00171"/>
    <s v="BUCANER FORTE X 500 ML"/>
    <s v="500 MILILITROS"/>
    <x v="4"/>
    <x v="4"/>
    <n v="0.5"/>
    <s v="LITROS"/>
    <n v="0"/>
    <n v="0"/>
  </r>
  <r>
    <s v="IN-00171"/>
    <s v="BUCANER FORTE X 500 ML"/>
    <s v="500 MILILITROS"/>
    <x v="5"/>
    <x v="5"/>
    <n v="1"/>
    <s v="Unidades"/>
    <n v="0"/>
    <n v="0"/>
  </r>
  <r>
    <s v="IN-00172"/>
    <s v="BUCANER FORTE X 250 ML"/>
    <s v="250 MILILITROS"/>
    <x v="4"/>
    <x v="4"/>
    <n v="0.25"/>
    <s v="LITROS"/>
    <n v="0"/>
    <n v="0"/>
  </r>
  <r>
    <s v="IN-00172"/>
    <s v="BUCANER FORTE X 250 ML"/>
    <s v="250 MILILITROS"/>
    <x v="6"/>
    <x v="6"/>
    <n v="1"/>
    <s v="Unidades"/>
    <n v="0"/>
    <n v="0"/>
  </r>
  <r>
    <s v="IN-00172"/>
    <s v="BUCANER FORTE X 250 ML"/>
    <s v="250 MILILITROS"/>
    <x v="7"/>
    <x v="7"/>
    <n v="1"/>
    <s v="Unidades"/>
    <n v="0"/>
    <n v="0"/>
  </r>
  <r>
    <s v="IN-00173"/>
    <s v="BUCANER FORTE X 100 ML"/>
    <s v="100 MILILITROS"/>
    <x v="8"/>
    <x v="8"/>
    <n v="1"/>
    <s v="Unidades"/>
    <n v="0"/>
    <n v="0"/>
  </r>
  <r>
    <s v="IN-00173"/>
    <s v="BUCANER FORTE X 100 ML"/>
    <s v="100 MILILITROS"/>
    <x v="4"/>
    <x v="4"/>
    <n v="0.1"/>
    <s v="LITROS"/>
    <n v="0"/>
    <n v="0"/>
  </r>
  <r>
    <s v="IN-00173"/>
    <s v="BUCANER FORTE X 100 ML"/>
    <s v="100 MILILITROS"/>
    <x v="9"/>
    <x v="9"/>
    <n v="1"/>
    <s v="Unidades"/>
    <n v="0"/>
    <n v="0"/>
  </r>
  <r>
    <s v="IN-00174"/>
    <s v="BUCANER FORTE X LITRO"/>
    <s v="LITROS"/>
    <x v="10"/>
    <x v="10"/>
    <n v="1"/>
    <s v="Unidades"/>
    <n v="0"/>
    <n v="0"/>
  </r>
  <r>
    <s v="IN-00174"/>
    <s v="BUCANER FORTE X LITRO"/>
    <s v="LITROS"/>
    <x v="4"/>
    <x v="4"/>
    <n v="1"/>
    <s v="LITROS"/>
    <n v="0"/>
    <n v="0"/>
  </r>
  <r>
    <s v="IN-00174"/>
    <s v="BUCANER FORTE X LITRO"/>
    <s v="LITROS"/>
    <x v="2"/>
    <x v="2"/>
    <n v="1"/>
    <s v="Unidades"/>
    <n v="0"/>
    <n v="0"/>
  </r>
  <r>
    <s v="IN-041."/>
    <s v="AGROTAFIX X LT"/>
    <s v="LITROS"/>
    <x v="11"/>
    <x v="11"/>
    <n v="5.0000000000000001E-3"/>
    <s v="TANQUE POR 200 LT"/>
    <n v="0"/>
    <n v="0"/>
  </r>
  <r>
    <s v="IN-041."/>
    <s v="AGROTAFIX X LT"/>
    <s v="LITROS"/>
    <x v="2"/>
    <x v="2"/>
    <n v="1"/>
    <s v="Unidades"/>
    <n v="0"/>
    <n v="0"/>
  </r>
  <r>
    <s v="IN-041."/>
    <s v="AGROTAFIX X LT"/>
    <s v="LITROS"/>
    <x v="12"/>
    <x v="12"/>
    <n v="1"/>
    <s v="Unidades"/>
    <n v="0"/>
    <n v="0"/>
  </r>
  <r>
    <s v="IN-32"/>
    <s v="AGROTAFOL 15-30-15 INICIO X KG"/>
    <s v="KILOGRAMO"/>
    <x v="13"/>
    <x v="13"/>
    <n v="1"/>
    <s v="Unidades"/>
    <n v="0"/>
    <n v="0"/>
  </r>
  <r>
    <s v="IN-32"/>
    <s v="AGROTAFOL 15-30-15 INICIO X KG"/>
    <s v="KILOGRAMO"/>
    <x v="14"/>
    <x v="14"/>
    <n v="1"/>
    <s v="KILOGRAMO"/>
    <n v="0"/>
    <n v="0"/>
  </r>
  <r>
    <s v="IN-32"/>
    <s v="AGROTAFOL 15-30-15 INICIO X KG"/>
    <s v="KILOGRAMO"/>
    <x v="15"/>
    <x v="15"/>
    <n v="1"/>
    <s v="Unidades"/>
    <n v="0"/>
    <n v="0"/>
  </r>
  <r>
    <s v="IN-33"/>
    <s v="AGROTAFOL 25-10-10 CRECIMIENTO X KILO"/>
    <s v="KILOGRAMO"/>
    <x v="16"/>
    <x v="16"/>
    <n v="1"/>
    <s v="Unidades"/>
    <n v="0"/>
    <n v="0"/>
  </r>
  <r>
    <s v="IN-33"/>
    <s v="AGROTAFOL 25-10-10 CRECIMIENTO X KILO"/>
    <s v="KILOGRAMO"/>
    <x v="17"/>
    <x v="17"/>
    <n v="1"/>
    <s v="KILOGRAMO"/>
    <n v="0"/>
    <n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D_Asignacion" cacheId="3" applyNumberFormats="0" applyBorderFormats="0" applyFontFormats="0" applyPatternFormats="0" applyAlignmentFormats="0" applyWidthHeightFormats="1" dataCaption="Valores" updatedVersion="3" minRefreshableVersion="3" showCalcMbrs="0" showDrill="0" useAutoFormatting="1" rowGrandTotals="0" colGrandTotals="0" itemPrintTitles="1" createdVersion="3" indent="0" compact="0" compactData="0" multipleFieldFilters="0">
  <location ref="A3:C21" firstHeaderRow="1" firstDataRow="1" firstDataCol="2"/>
  <pivotFields count="9">
    <pivotField compact="0" outline="0" subtotalTop="0" showAll="0" defaultSubtotal="0"/>
    <pivotField compact="0" outline="0" subtotalTop="0" showAll="0" defaultSubtotal="0"/>
    <pivotField compact="0" outline="0" subtotalTop="0" showAll="0" defaultSubtotal="0"/>
    <pivotField name="Cod Materia Prima" axis="axisRow" compact="0" outline="0" subtotalTop="0" showAll="0" sortType="ascending" defaultSubtotal="0">
      <items count="446">
        <item m="1" x="72"/>
        <item m="1" x="269"/>
        <item m="1" x="300"/>
        <item m="1" x="137"/>
        <item m="1" x="381"/>
        <item m="1" x="107"/>
        <item m="1" x="320"/>
        <item m="1" x="295"/>
        <item m="1" x="125"/>
        <item m="1" x="129"/>
        <item m="1" x="402"/>
        <item m="1" x="369"/>
        <item m="1" x="122"/>
        <item m="1" x="30"/>
        <item m="1" x="335"/>
        <item m="1" x="308"/>
        <item m="1" x="147"/>
        <item m="1" x="198"/>
        <item m="1" x="430"/>
        <item m="1" x="324"/>
        <item m="1" x="336"/>
        <item m="1" x="370"/>
        <item m="1" x="88"/>
        <item m="1" x="388"/>
        <item m="1" x="342"/>
        <item m="1" x="87"/>
        <item m="1" x="97"/>
        <item m="1" x="389"/>
        <item m="1" x="116"/>
        <item m="1" x="112"/>
        <item m="1" x="371"/>
        <item m="1" x="111"/>
        <item m="1" x="85"/>
        <item m="1" x="275"/>
        <item m="1" x="99"/>
        <item m="1" x="288"/>
        <item m="1" x="274"/>
        <item m="1" x="318"/>
        <item m="1" x="106"/>
        <item m="1" x="113"/>
        <item m="1" x="130"/>
        <item m="1" x="123"/>
        <item m="1" x="328"/>
        <item m="1" x="47"/>
        <item m="1" x="117"/>
        <item m="1" x="136"/>
        <item m="1" x="333"/>
        <item m="1" x="243"/>
        <item m="1" x="249"/>
        <item m="1" x="273"/>
        <item m="1" x="250"/>
        <item m="1" x="55"/>
        <item m="1" x="169"/>
        <item m="1" x="69"/>
        <item m="1" x="75"/>
        <item m="1" x="84"/>
        <item m="1" x="180"/>
        <item m="1" x="230"/>
        <item m="1" x="46"/>
        <item m="1" x="372"/>
        <item m="1" x="376"/>
        <item m="1" x="387"/>
        <item m="1" x="146"/>
        <item m="1" x="326"/>
        <item m="1" x="148"/>
        <item m="1" x="218"/>
        <item m="1" x="283"/>
        <item m="1" x="143"/>
        <item m="1" x="127"/>
        <item m="1" x="398"/>
        <item m="1" x="344"/>
        <item m="1" x="223"/>
        <item m="1" x="350"/>
        <item m="1" x="170"/>
        <item m="1" x="182"/>
        <item m="1" x="183"/>
        <item m="1" x="133"/>
        <item m="1" x="416"/>
        <item m="1" x="428"/>
        <item m="1" x="395"/>
        <item m="1" x="73"/>
        <item m="1" x="83"/>
        <item m="1" x="92"/>
        <item m="1" x="21"/>
        <item m="1" x="44"/>
        <item m="1" x="34"/>
        <item m="1" x="301"/>
        <item m="1" x="306"/>
        <item m="1" x="309"/>
        <item m="1" x="90"/>
        <item m="1" x="305"/>
        <item m="1" x="132"/>
        <item m="1" x="299"/>
        <item m="1" x="329"/>
        <item m="1" x="124"/>
        <item m="1" x="348"/>
        <item m="1" x="209"/>
        <item m="1" x="401"/>
        <item x="17"/>
        <item m="1" x="135"/>
        <item x="14"/>
        <item m="1" x="359"/>
        <item m="1" x="366"/>
        <item m="1" x="420"/>
        <item m="1" x="36"/>
        <item m="1" x="144"/>
        <item m="1" x="134"/>
        <item m="1" x="346"/>
        <item m="1" x="339"/>
        <item m="1" x="357"/>
        <item m="1" x="332"/>
        <item m="1" x="164"/>
        <item m="1" x="382"/>
        <item m="1" x="152"/>
        <item m="1" x="363"/>
        <item m="1" x="141"/>
        <item m="1" x="353"/>
        <item m="1" x="126"/>
        <item m="1" x="338"/>
        <item m="1" x="175"/>
        <item m="1" x="151"/>
        <item m="1" x="361"/>
        <item m="1" x="139"/>
        <item m="1" x="351"/>
        <item m="1" x="155"/>
        <item m="1" x="410"/>
        <item m="1" x="392"/>
        <item m="1" x="160"/>
        <item m="1" x="377"/>
        <item m="1" x="150"/>
        <item x="1"/>
        <item x="4"/>
        <item m="1" x="138"/>
        <item m="1" x="203"/>
        <item m="1" x="424"/>
        <item m="1" x="189"/>
        <item m="1" x="408"/>
        <item m="1" x="172"/>
        <item m="1" x="158"/>
        <item m="1" x="149"/>
        <item m="1" x="358"/>
        <item x="11"/>
        <item m="1" x="423"/>
        <item m="1" x="29"/>
        <item m="1" x="186"/>
        <item m="1" x="216"/>
        <item m="1" x="406"/>
        <item m="1" x="171"/>
        <item m="1" x="391"/>
        <item m="1" x="157"/>
        <item m="1" x="374"/>
        <item m="1" x="224"/>
        <item m="1" x="440"/>
        <item m="1" x="201"/>
        <item m="1" x="421"/>
        <item m="1" x="184"/>
        <item m="1" x="405"/>
        <item m="1" x="390"/>
        <item m="1" x="236"/>
        <item m="1" x="22"/>
        <item m="1" x="45"/>
        <item x="13"/>
        <item m="1" x="240"/>
        <item m="1" x="404"/>
        <item m="1" x="245"/>
        <item m="1" x="38"/>
        <item m="1" x="233"/>
        <item m="1" x="33"/>
        <item m="1" x="19"/>
        <item m="1" x="211"/>
        <item m="1" x="435"/>
        <item m="1" x="199"/>
        <item m="1" x="433"/>
        <item m="1" x="167"/>
        <item m="1" x="385"/>
        <item m="1" x="367"/>
        <item m="1" x="145"/>
        <item m="1" x="347"/>
        <item m="1" x="128"/>
        <item m="1" x="340"/>
        <item m="1" x="178"/>
        <item m="1" x="165"/>
        <item m="1" x="383"/>
        <item m="1" x="415"/>
        <item m="1" x="153"/>
        <item m="1" x="364"/>
        <item m="1" x="354"/>
        <item m="1" x="345"/>
        <item m="1" x="413"/>
        <item m="1" x="176"/>
        <item m="1" x="396"/>
        <item m="1" x="432"/>
        <item m="1" x="434"/>
        <item m="1" x="163"/>
        <item m="1" x="380"/>
        <item m="1" x="140"/>
        <item m="1" x="352"/>
        <item m="1" x="205"/>
        <item m="1" x="426"/>
        <item m="1" x="192"/>
        <item m="1" x="219"/>
        <item m="1" x="411"/>
        <item m="1" x="174"/>
        <item m="1" x="393"/>
        <item m="1" x="161"/>
        <item m="1" x="378"/>
        <item m="1" x="215"/>
        <item m="1" x="442"/>
        <item m="1" x="425"/>
        <item m="1" x="190"/>
        <item m="1" x="409"/>
        <item m="1" x="173"/>
        <item m="1" x="159"/>
        <item m="1" x="375"/>
        <item m="1" x="226"/>
        <item m="1" x="27"/>
        <item m="1" x="187"/>
        <item m="1" x="239"/>
        <item x="0"/>
        <item m="1" x="25"/>
        <item m="1" x="214"/>
        <item m="1" x="185"/>
        <item m="1" x="247"/>
        <item m="1" x="41"/>
        <item m="1" x="237"/>
        <item m="1" x="35"/>
        <item m="1" x="23"/>
        <item m="1" x="438"/>
        <item m="1" x="200"/>
        <item m="1" x="254"/>
        <item x="12"/>
        <item m="1" x="20"/>
        <item m="1" x="212"/>
        <item m="1" x="436"/>
        <item m="1" x="259"/>
        <item m="1" x="57"/>
        <item m="1" x="251"/>
        <item m="1" x="244"/>
        <item m="1" x="291"/>
        <item x="7"/>
        <item m="1" x="323"/>
        <item m="1" x="334"/>
        <item m="1" x="368"/>
        <item x="3"/>
        <item x="8"/>
        <item m="1" x="74"/>
        <item m="1" x="343"/>
        <item m="1" x="94"/>
        <item m="1" x="266"/>
        <item x="10"/>
        <item m="1" x="37"/>
        <item m="1" x="232"/>
        <item m="1" x="31"/>
        <item m="1" x="220"/>
        <item m="1" x="445"/>
        <item m="1" x="196"/>
        <item m="1" x="417"/>
        <item m="1" x="179"/>
        <item m="1" x="208"/>
        <item x="15"/>
        <item m="1" x="210"/>
        <item m="1" x="399"/>
        <item m="1" x="166"/>
        <item m="1" x="384"/>
        <item m="1" x="154"/>
        <item m="1" x="365"/>
        <item m="1" x="142"/>
        <item m="1" x="355"/>
        <item m="1" x="207"/>
        <item m="1" x="429"/>
        <item m="1" x="195"/>
        <item m="1" x="414"/>
        <item m="1" x="177"/>
        <item x="2"/>
        <item x="5"/>
        <item x="6"/>
        <item m="1" x="362"/>
        <item m="1" x="217"/>
        <item m="1" x="443"/>
        <item m="1" x="206"/>
        <item x="9"/>
        <item m="1" x="193"/>
        <item m="1" x="412"/>
        <item m="1" x="394"/>
        <item m="1" x="162"/>
        <item m="1" x="379"/>
        <item m="1" x="227"/>
        <item m="1" x="204"/>
        <item m="1" x="202"/>
        <item m="1" x="188"/>
        <item m="1" x="407"/>
        <item m="1" x="43"/>
        <item m="1" x="225"/>
        <item m="1" x="26"/>
        <item m="1" x="441"/>
        <item m="1" x="422"/>
        <item m="1" x="302"/>
        <item m="1" x="257"/>
        <item m="1" x="270"/>
        <item m="1" x="271"/>
        <item m="1" x="52"/>
        <item m="1" x="66"/>
        <item m="1" x="248"/>
        <item m="1" x="265"/>
        <item m="1" x="238"/>
        <item m="1" x="24"/>
        <item m="1" x="213"/>
        <item m="1" x="241"/>
        <item m="1" x="439"/>
        <item m="1" x="262"/>
        <item m="1" x="255"/>
        <item m="1" x="50"/>
        <item m="1" x="39"/>
        <item m="1" x="234"/>
        <item m="1" x="260"/>
        <item m="1" x="58"/>
        <item m="1" x="252"/>
        <item m="1" x="49"/>
        <item m="1" x="32"/>
        <item m="1" x="51"/>
        <item m="1" x="268"/>
        <item m="1" x="282"/>
        <item m="1" x="349"/>
        <item m="1" x="397"/>
        <item m="1" x="28"/>
        <item m="1" x="62"/>
        <item m="1" x="56"/>
        <item m="1" x="321"/>
        <item m="1" x="330"/>
        <item m="1" x="356"/>
        <item m="1" x="419"/>
        <item m="1" x="228"/>
        <item m="1" x="444"/>
        <item x="16"/>
        <item m="1" x="194"/>
        <item m="1" x="264"/>
        <item m="1" x="61"/>
        <item m="1" x="258"/>
        <item m="1" x="53"/>
        <item m="1" x="42"/>
        <item m="1" x="221"/>
        <item m="1" x="65"/>
        <item m="1" x="78"/>
        <item m="1" x="79"/>
        <item m="1" x="263"/>
        <item m="1" x="60"/>
        <item m="1" x="256"/>
        <item m="1" x="246"/>
        <item m="1" x="235"/>
        <item m="1" x="277"/>
        <item m="1" x="71"/>
        <item m="1" x="63"/>
        <item m="1" x="59"/>
        <item m="1" x="253"/>
        <item m="1" x="48"/>
        <item m="1" x="285"/>
        <item m="1" x="80"/>
        <item m="1" x="279"/>
        <item m="1" x="76"/>
        <item m="1" x="276"/>
        <item m="1" x="70"/>
        <item m="1" x="267"/>
        <item m="1" x="242"/>
        <item m="1" x="229"/>
        <item m="1" x="427"/>
        <item m="1" x="40"/>
        <item m="1" x="281"/>
        <item m="1" x="64"/>
        <item m="1" x="278"/>
        <item m="1" x="261"/>
        <item m="1" x="100"/>
        <item m="1" x="101"/>
        <item m="1" x="102"/>
        <item m="1" x="104"/>
        <item m="1" x="105"/>
        <item m="1" x="310"/>
        <item m="1" x="81"/>
        <item m="1" x="280"/>
        <item m="1" x="293"/>
        <item m="1" x="77"/>
        <item m="1" x="67"/>
        <item m="1" x="68"/>
        <item m="1" x="103"/>
        <item m="1" x="89"/>
        <item m="1" x="307"/>
        <item m="1" x="298"/>
        <item m="1" x="315"/>
        <item m="1" x="96"/>
        <item m="1" x="289"/>
        <item m="1" x="86"/>
        <item m="1" x="296"/>
        <item m="1" x="82"/>
        <item m="1" x="91"/>
        <item m="1" x="325"/>
        <item m="1" x="109"/>
        <item m="1" x="118"/>
        <item m="1" x="121"/>
        <item m="1" x="294"/>
        <item m="1" x="319"/>
        <item m="1" x="337"/>
        <item m="1" x="373"/>
        <item m="1" x="437"/>
        <item m="1" x="313"/>
        <item m="1" x="322"/>
        <item m="1" x="327"/>
        <item m="1" x="286"/>
        <item m="1" x="191"/>
        <item m="1" x="341"/>
        <item m="1" x="360"/>
        <item m="1" x="110"/>
        <item m="1" x="272"/>
        <item m="1" x="197"/>
        <item m="1" x="418"/>
        <item m="1" x="181"/>
        <item m="1" x="400"/>
        <item m="1" x="168"/>
        <item m="1" x="386"/>
        <item m="1" x="156"/>
        <item m="1" x="284"/>
        <item m="1" x="287"/>
        <item m="1" x="290"/>
        <item m="1" x="297"/>
        <item m="1" x="303"/>
        <item m="1" x="311"/>
        <item m="1" x="316"/>
        <item m="1" x="312"/>
        <item m="1" x="331"/>
        <item m="1" x="93"/>
        <item m="1" x="292"/>
        <item m="1" x="317"/>
        <item m="1" x="431"/>
        <item m="1" x="304"/>
        <item m="1" x="108"/>
        <item m="1" x="314"/>
        <item m="1" x="115"/>
        <item m="1" x="131"/>
        <item m="1" x="403"/>
        <item m="1" x="222"/>
        <item m="1" x="231"/>
        <item m="1" x="114"/>
        <item m="1" x="95"/>
        <item m="1" x="98"/>
        <item m="1" x="119"/>
        <item m="1" x="120"/>
        <item m="1" x="54"/>
        <item m="1" x="18"/>
      </items>
    </pivotField>
    <pivotField name="Descripcion Materia Prima" axis="axisRow" compact="0" outline="0" subtotalTop="0" showAll="0" defaultSubtotal="0">
      <items count="448">
        <item m="1" x="82"/>
        <item m="1" x="382"/>
        <item m="1" x="179"/>
        <item m="1" x="208"/>
        <item x="14"/>
        <item m="1" x="368"/>
        <item m="1" x="143"/>
        <item m="1" x="386"/>
        <item x="17"/>
        <item m="1" x="166"/>
        <item m="1" x="116"/>
        <item m="1" x="103"/>
        <item m="1" x="447"/>
        <item m="1" x="89"/>
        <item m="1" x="228"/>
        <item m="1" x="64"/>
        <item m="1" x="422"/>
        <item m="1" x="62"/>
        <item m="1" x="133"/>
        <item m="1" x="262"/>
        <item m="1" x="398"/>
        <item m="1" x="22"/>
        <item m="1" x="358"/>
        <item m="1" x="128"/>
        <item m="1" x="315"/>
        <item m="1" x="390"/>
        <item m="1" x="164"/>
        <item m="1" x="39"/>
        <item m="1" x="79"/>
        <item m="1" x="131"/>
        <item m="1" x="234"/>
        <item m="1" x="129"/>
        <item m="1" x="443"/>
        <item m="1" x="431"/>
        <item m="1" x="161"/>
        <item m="1" x="140"/>
        <item m="1" x="170"/>
        <item m="1" x="101"/>
        <item m="1" x="189"/>
        <item m="1" x="401"/>
        <item m="1" x="41"/>
        <item m="1" x="192"/>
        <item m="1" x="220"/>
        <item m="1" x="97"/>
        <item m="1" x="336"/>
        <item m="1" x="360"/>
        <item m="1" x="250"/>
        <item m="1" x="331"/>
        <item m="1" x="278"/>
        <item m="1" x="107"/>
        <item m="1" x="430"/>
        <item m="1" x="248"/>
        <item m="1" x="311"/>
        <item m="1" x="378"/>
        <item m="1" x="413"/>
        <item m="1" x="326"/>
        <item m="1" x="277"/>
        <item m="1" x="54"/>
        <item m="1" x="389"/>
        <item m="1" x="117"/>
        <item m="1" x="115"/>
        <item m="1" x="174"/>
        <item m="1" x="146"/>
        <item m="1" x="98"/>
        <item m="1" x="351"/>
        <item m="1" x="276"/>
        <item m="1" x="60"/>
        <item m="1" x="333"/>
        <item m="1" x="186"/>
        <item m="1" x="147"/>
        <item m="1" x="301"/>
        <item m="1" x="141"/>
        <item m="1" x="46"/>
        <item m="1" x="71"/>
        <item m="1" x="334"/>
        <item m="1" x="371"/>
        <item m="1" x="176"/>
        <item m="1" x="205"/>
        <item m="1" x="149"/>
        <item m="1" x="235"/>
        <item m="1" x="380"/>
        <item m="1" x="364"/>
        <item m="1" x="114"/>
        <item m="1" x="56"/>
        <item m="1" x="417"/>
        <item m="1" x="68"/>
        <item m="1" x="434"/>
        <item m="1" x="55"/>
        <item m="1" x="270"/>
        <item m="1" x="118"/>
        <item m="1" x="134"/>
        <item m="1" x="44"/>
        <item m="1" x="85"/>
        <item m="1" x="314"/>
        <item m="1" x="366"/>
        <item m="1" x="230"/>
        <item m="1" x="222"/>
        <item m="1" x="313"/>
        <item m="1" x="442"/>
        <item m="1" x="330"/>
        <item m="1" x="307"/>
        <item m="1" x="429"/>
        <item m="1" x="227"/>
        <item m="1" x="27"/>
        <item m="1" x="338"/>
        <item m="1" x="144"/>
        <item m="1" x="34"/>
        <item m="1" x="399"/>
        <item m="1" x="337"/>
        <item m="1" x="290"/>
        <item m="1" x="339"/>
        <item m="1" x="441"/>
        <item m="1" x="173"/>
        <item m="1" x="246"/>
        <item m="1" x="281"/>
        <item m="1" x="247"/>
        <item m="1" x="269"/>
        <item m="1" x="369"/>
        <item m="1" x="95"/>
        <item m="1" x="188"/>
        <item m="1" x="36"/>
        <item m="1" x="37"/>
        <item m="1" x="83"/>
        <item m="1" x="384"/>
        <item m="1" x="180"/>
        <item m="1" x="223"/>
        <item m="1" x="187"/>
        <item m="1" x="405"/>
        <item m="1" x="437"/>
        <item m="1" x="109"/>
        <item m="1" x="272"/>
        <item m="1" x="19"/>
        <item m="1" x="403"/>
        <item m="1" x="391"/>
        <item m="1" x="181"/>
        <item m="1" x="354"/>
        <item m="1" x="145"/>
        <item m="1" x="157"/>
        <item m="1" x="78"/>
        <item m="1" x="265"/>
        <item m="1" x="271"/>
        <item x="16"/>
        <item m="1" x="367"/>
        <item m="1" x="24"/>
        <item m="1" x="221"/>
        <item m="1" x="379"/>
        <item m="1" x="365"/>
        <item m="1" x="33"/>
        <item m="1" x="406"/>
        <item m="1" x="407"/>
        <item x="9"/>
        <item m="1" x="283"/>
        <item m="1" x="91"/>
        <item x="6"/>
        <item x="5"/>
        <item x="2"/>
        <item m="1" x="251"/>
        <item m="1" x="308"/>
        <item m="1" x="414"/>
        <item m="1" x="206"/>
        <item m="1" x="207"/>
        <item m="1" x="25"/>
        <item m="1" x="381"/>
        <item m="1" x="383"/>
        <item m="1" x="385"/>
        <item m="1" x="105"/>
        <item m="1" x="274"/>
        <item m="1" x="261"/>
        <item m="1" x="69"/>
        <item m="1" x="175"/>
        <item m="1" x="345"/>
        <item m="1" x="410"/>
        <item x="12"/>
        <item m="1" x="312"/>
        <item m="1" x="102"/>
        <item m="1" x="217"/>
        <item m="1" x="275"/>
        <item m="1" x="288"/>
        <item m="1" x="84"/>
        <item m="1" x="374"/>
        <item m="1" x="342"/>
        <item m="1" x="419"/>
        <item m="1" x="57"/>
        <item m="1" x="81"/>
        <item m="1" x="306"/>
        <item m="1" x="38"/>
        <item m="1" x="393"/>
        <item x="13"/>
        <item m="1" x="343"/>
        <item m="1" x="404"/>
        <item m="1" x="328"/>
        <item m="1" x="266"/>
        <item m="1" x="409"/>
        <item m="1" x="213"/>
        <item m="1" x="198"/>
        <item m="1" x="359"/>
        <item m="1" x="28"/>
        <item m="1" x="31"/>
        <item m="1" x="29"/>
        <item m="1" x="335"/>
        <item m="1" x="32"/>
        <item m="1" x="59"/>
        <item m="1" x="420"/>
        <item m="1" x="51"/>
        <item m="1" x="310"/>
        <item m="1" x="332"/>
        <item m="1" x="438"/>
        <item m="1" x="100"/>
        <item m="1" x="327"/>
        <item m="1" x="88"/>
        <item m="1" x="355"/>
        <item m="1" x="415"/>
        <item m="1" x="49"/>
        <item m="1" x="297"/>
        <item m="1" x="226"/>
        <item m="1" x="239"/>
        <item m="1" x="52"/>
        <item x="8"/>
        <item x="7"/>
        <item x="3"/>
        <item x="10"/>
        <item m="1" x="240"/>
        <item m="1" x="121"/>
        <item m="1" x="256"/>
        <item x="0"/>
        <item m="1" x="122"/>
        <item m="1" x="282"/>
        <item m="1" x="237"/>
        <item m="1" x="304"/>
        <item m="1" x="267"/>
        <item m="1" x="43"/>
        <item m="1" x="96"/>
        <item m="1" x="329"/>
        <item m="1" x="395"/>
        <item m="1" x="201"/>
        <item m="1" x="209"/>
        <item m="1" x="47"/>
        <item m="1" x="148"/>
        <item m="1" x="171"/>
        <item m="1" x="427"/>
        <item m="1" x="112"/>
        <item m="1" x="21"/>
        <item m="1" x="346"/>
        <item m="1" x="411"/>
        <item m="1" x="183"/>
        <item m="1" x="238"/>
        <item m="1" x="432"/>
        <item m="1" x="347"/>
        <item m="1" x="412"/>
        <item m="1" x="352"/>
        <item m="1" x="104"/>
        <item m="1" x="317"/>
        <item m="1" x="292"/>
        <item m="1" x="236"/>
        <item m="1" x="349"/>
        <item m="1" x="137"/>
        <item m="1" x="26"/>
        <item m="1" x="273"/>
        <item m="1" x="284"/>
        <item m="1" x="323"/>
        <item m="1" x="106"/>
        <item m="1" x="402"/>
        <item m="1" x="376"/>
        <item m="1" x="210"/>
        <item m="1" x="48"/>
        <item m="1" x="50"/>
        <item m="1" x="195"/>
        <item m="1" x="291"/>
        <item m="1" x="123"/>
        <item m="1" x="153"/>
        <item m="1" x="298"/>
        <item m="1" x="77"/>
        <item m="1" x="87"/>
        <item m="1" x="253"/>
        <item m="1" x="286"/>
        <item m="1" x="255"/>
        <item m="1" x="130"/>
        <item m="1" x="299"/>
        <item m="1" x="158"/>
        <item m="1" x="229"/>
        <item m="1" x="93"/>
        <item m="1" x="182"/>
        <item m="1" x="58"/>
        <item m="1" x="159"/>
        <item m="1" x="375"/>
        <item m="1" x="408"/>
        <item m="1" x="296"/>
        <item m="1" x="142"/>
        <item m="1" x="421"/>
        <item m="1" x="108"/>
        <item m="1" x="218"/>
        <item m="1" x="231"/>
        <item m="1" x="232"/>
        <item m="1" x="309"/>
        <item m="1" x="111"/>
        <item m="1" x="150"/>
        <item m="1" x="373"/>
        <item m="1" x="392"/>
        <item m="1" x="439"/>
        <item m="1" x="53"/>
        <item m="1" x="211"/>
        <item m="1" x="319"/>
        <item m="1" x="325"/>
        <item m="1" x="94"/>
        <item m="1" x="203"/>
        <item m="1" x="340"/>
        <item m="1" x="124"/>
        <item m="1" x="66"/>
        <item m="1" x="254"/>
        <item m="1" x="287"/>
        <item m="1" x="372"/>
        <item m="1" x="293"/>
        <item m="1" x="423"/>
        <item m="1" x="341"/>
        <item m="1" x="424"/>
        <item m="1" x="35"/>
        <item m="1" x="321"/>
        <item m="1" x="241"/>
        <item m="1" x="190"/>
        <item m="1" x="445"/>
        <item m="1" x="242"/>
        <item m="1" x="257"/>
        <item m="1" x="40"/>
        <item m="1" x="243"/>
        <item m="1" x="125"/>
        <item m="1" x="99"/>
        <item m="1" x="42"/>
        <item m="1" x="258"/>
        <item m="1" x="67"/>
        <item m="1" x="154"/>
        <item m="1" x="244"/>
        <item m="1" x="259"/>
        <item m="1" x="155"/>
        <item m="1" x="396"/>
        <item m="1" x="219"/>
        <item m="1" x="348"/>
        <item m="1" x="370"/>
        <item m="1" x="162"/>
        <item m="1" x="127"/>
        <item m="1" x="318"/>
        <item m="1" x="428"/>
        <item m="1" x="184"/>
        <item m="1" x="362"/>
        <item m="1" x="119"/>
        <item m="1" x="285"/>
        <item m="1" x="233"/>
        <item m="1" x="30"/>
        <item x="15"/>
        <item m="1" x="305"/>
        <item m="1" x="446"/>
        <item m="1" x="394"/>
        <item m="1" x="416"/>
        <item m="1" x="160"/>
        <item m="1" x="200"/>
        <item m="1" x="70"/>
        <item m="1" x="72"/>
        <item m="1" x="387"/>
        <item m="1" x="138"/>
        <item m="1" x="177"/>
        <item m="1" x="418"/>
        <item m="1" x="132"/>
        <item m="1" x="280"/>
        <item m="1" x="303"/>
        <item m="1" x="113"/>
        <item m="1" x="357"/>
        <item m="1" x="163"/>
        <item m="1" x="361"/>
        <item m="1" x="363"/>
        <item m="1" x="444"/>
        <item m="1" x="73"/>
        <item m="1" x="110"/>
        <item m="1" x="263"/>
        <item m="1" x="156"/>
        <item m="1" x="191"/>
        <item m="1" x="300"/>
        <item m="1" x="353"/>
        <item m="1" x="169"/>
        <item m="1" x="74"/>
        <item m="1" x="199"/>
        <item m="1" x="193"/>
        <item m="1" x="425"/>
        <item m="1" x="433"/>
        <item m="1" x="397"/>
        <item m="1" x="344"/>
        <item m="1" x="204"/>
        <item m="1" x="252"/>
        <item m="1" x="377"/>
        <item m="1" x="294"/>
        <item m="1" x="197"/>
        <item m="1" x="135"/>
        <item m="1" x="400"/>
        <item m="1" x="63"/>
        <item m="1" x="388"/>
        <item m="1" x="165"/>
        <item m="1" x="23"/>
        <item m="1" x="216"/>
        <item m="1" x="90"/>
        <item m="1" x="185"/>
        <item m="1" x="249"/>
        <item m="1" x="212"/>
        <item m="1" x="45"/>
        <item m="1" x="214"/>
        <item m="1" x="65"/>
        <item m="1" x="279"/>
        <item m="1" x="426"/>
        <item m="1" x="224"/>
        <item m="1" x="92"/>
        <item m="1" x="172"/>
        <item m="1" x="151"/>
        <item m="1" x="260"/>
        <item m="1" x="245"/>
        <item m="1" x="86"/>
        <item m="1" x="196"/>
        <item m="1" x="316"/>
        <item m="1" x="76"/>
        <item m="1" x="139"/>
        <item x="4"/>
        <item x="1"/>
        <item m="1" x="152"/>
        <item x="11"/>
        <item m="1" x="440"/>
        <item m="1" x="264"/>
        <item m="1" x="75"/>
        <item m="1" x="120"/>
        <item m="1" x="20"/>
        <item m="1" x="350"/>
        <item m="1" x="178"/>
        <item m="1" x="295"/>
        <item m="1" x="356"/>
        <item m="1" x="126"/>
        <item m="1" x="18"/>
        <item m="1" x="435"/>
        <item m="1" x="324"/>
        <item m="1" x="80"/>
        <item m="1" x="289"/>
        <item m="1" x="302"/>
        <item m="1" x="268"/>
        <item m="1" x="436"/>
        <item m="1" x="322"/>
        <item m="1" x="168"/>
        <item m="1" x="202"/>
        <item m="1" x="194"/>
        <item m="1" x="136"/>
        <item m="1" x="61"/>
        <item m="1" x="320"/>
        <item m="1" x="225"/>
        <item m="1" x="167"/>
        <item m="1" x="215"/>
      </items>
    </pivotField>
    <pivotField compact="0" outline="0" subtotalTop="0" showAll="0" defaultSubtotal="0"/>
    <pivotField compact="0" outline="0" subtotalTop="0" showAll="0" defaultSubtotal="0"/>
    <pivotField compact="0" outline="0" subtotalTop="0" showAll="0" defaultSubtotal="0"/>
    <pivotField dataField="1" compact="0" outline="0" showAll="0" defaultSubtotal="0"/>
  </pivotFields>
  <rowFields count="2">
    <field x="3"/>
    <field x="4"/>
  </rowFields>
  <rowItems count="18">
    <i>
      <x v="98"/>
      <x v="8"/>
    </i>
    <i>
      <x v="100"/>
      <x v="4"/>
    </i>
    <i>
      <x v="130"/>
      <x v="417"/>
    </i>
    <i>
      <x v="131"/>
      <x v="416"/>
    </i>
    <i>
      <x v="141"/>
      <x v="419"/>
    </i>
    <i>
      <x v="161"/>
      <x v="187"/>
    </i>
    <i>
      <x v="218"/>
      <x v="224"/>
    </i>
    <i>
      <x v="230"/>
      <x v="172"/>
    </i>
    <i>
      <x v="239"/>
      <x v="218"/>
    </i>
    <i>
      <x v="243"/>
      <x v="219"/>
    </i>
    <i>
      <x v="244"/>
      <x v="217"/>
    </i>
    <i>
      <x v="249"/>
      <x v="220"/>
    </i>
    <i>
      <x v="259"/>
      <x v="347"/>
    </i>
    <i>
      <x v="273"/>
      <x v="155"/>
    </i>
    <i>
      <x v="274"/>
      <x v="154"/>
    </i>
    <i>
      <x v="275"/>
      <x v="153"/>
    </i>
    <i>
      <x v="280"/>
      <x v="150"/>
    </i>
    <i>
      <x v="333"/>
      <x v="141"/>
    </i>
  </rowItems>
  <colItems count="1">
    <i/>
  </colItems>
  <dataFields count="1">
    <dataField name="Cantidad " fld="8" baseField="0" baseItem="0"/>
  </dataFields>
  <pivotTableStyleInfo name="PivotStyleLight1" showRowHeaders="1" showColHeaders="1" showRowStripes="0" showColStripes="0" showLastColumn="1"/>
  <filters count="1">
    <filter fld="7" type="captionGreaterThan" evalOrder="-1" id="6" stringValue1="0">
      <autoFilter ref="A1">
        <filterColumn colId="0">
          <customFilters>
            <customFilter operator="greaterThan" val="0"/>
          </customFilters>
        </filterColumn>
      </autoFilter>
    </filter>
  </filters>
</pivotTableDefinition>
</file>

<file path=xl/queryTables/queryTable1.xml><?xml version="1.0" encoding="utf-8"?>
<queryTable xmlns="http://schemas.openxmlformats.org/spreadsheetml/2006/main" name="Consulta desde DatosConsolidados" backgroundRefresh="0" connectionId="2"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2.xml><?xml version="1.0" encoding="utf-8"?>
<queryTable xmlns="http://schemas.openxmlformats.org/spreadsheetml/2006/main" name="Consulta desde Central Control Buffers" backgroundRefresh="0" connectionId="1"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3.xml><?xml version="1.0" encoding="utf-8"?>
<queryTable xmlns="http://schemas.openxmlformats.org/spreadsheetml/2006/main" name="Consulta desde ODBC RAMCAS1" backgroundRefresh="0" connectionId="4"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4.xml><?xml version="1.0" encoding="utf-8"?>
<queryTable xmlns="http://schemas.openxmlformats.org/spreadsheetml/2006/main" name="Consulta desde ODBC RAMCAS1_1" backgroundRefresh="0" connectionId="5" autoFormatId="16" applyNumberFormats="0" applyBorderFormats="0" applyFontFormats="0" applyPatternFormats="0" applyAlignmentFormats="0" applyWidthHeightFormats="0">
  <queryTableRefresh nextId="3">
    <queryTableFields count="2">
      <queryTableField id="1" name="emp_codigo" tableColumnId="1"/>
      <queryTableField id="2" name="emp_nombre" tableColumnId="2"/>
    </queryTableFields>
  </queryTableRefresh>
</queryTable>
</file>

<file path=xl/queryTables/queryTable5.xml><?xml version="1.0" encoding="utf-8"?>
<queryTable xmlns="http://schemas.openxmlformats.org/spreadsheetml/2006/main" name="Consulta desde ODBC RAMCAS1_2" backgroundRefresh="0" connectionId="6" autoFormatId="16" applyNumberFormats="0" applyBorderFormats="0" applyFontFormats="0" applyPatternFormats="0" applyAlignmentFormats="0" applyWidthHeightFormats="0">
  <queryTableRefresh nextId="11">
    <queryTableFields count="4">
      <queryTableField id="7" name="emp_codigo" tableColumnId="7"/>
      <queryTableField id="8" name="emp_nombre" tableColumnId="8"/>
      <queryTableField id="9" name="bod_codigo" tableColumnId="9"/>
      <queryTableField id="10" name="bod_nombre" tableColumnId="10"/>
    </queryTableFields>
  </queryTableRefresh>
</queryTable>
</file>

<file path=xl/queryTables/queryTable6.xml><?xml version="1.0" encoding="utf-8"?>
<queryTable xmlns="http://schemas.openxmlformats.org/spreadsheetml/2006/main" name="Consulta desde REPORTES en Access" backgroundRefresh="0" connectionId="7" autoFormatId="16" applyNumberFormats="0" applyBorderFormats="0" applyFontFormats="0" applyPatternFormats="0" applyAlignmentFormats="0" applyWidthHeightFormats="0">
  <queryTableRefresh nextId="15" unboundColumnsRight="2">
    <queryTableFields count="9">
      <queryTableField id="1" name="Cod Padre" tableColumnId="1"/>
      <queryTableField id="2" name="Descripcion Padre" tableColumnId="2"/>
      <queryTableField id="3" name="Unidad Padre" tableColumnId="3"/>
      <queryTableField id="4" name="Cod Hijo" tableColumnId="4"/>
      <queryTableField id="5" name="Descripcion Hijo" tableColumnId="5"/>
      <queryTableField id="6" name="Cantidad" tableColumnId="6"/>
      <queryTableField id="7" name="Unidad Hijo" tableColumnId="7"/>
      <queryTableField id="8" dataBound="0" tableColumnId="8"/>
      <queryTableField id="12" dataBound="0" tableColumnId="12"/>
    </queryTableFields>
  </queryTableRefresh>
</queryTable>
</file>

<file path=xl/queryTables/queryTable7.xml><?xml version="1.0" encoding="utf-8"?>
<queryTable xmlns="http://schemas.openxmlformats.org/spreadsheetml/2006/main" name="Consulta desde REPORTES en Access" backgroundRefresh="0" connectionId="8" autoFormatId="16" applyNumberFormats="0" applyBorderFormats="0" applyFontFormats="0" applyPatternFormats="0" applyAlignmentFormats="0" applyWidthHeightFormats="0">
  <queryTableRefresh nextId="3">
    <queryTableFields count="2">
      <queryTableField id="1" name="CodigoVentaproducto" tableColumnId="1"/>
      <queryTableField id="2" name="NombreGrupo" tableColumnId="2"/>
    </queryTableFields>
  </queryTableRefresh>
</queryTable>
</file>

<file path=xl/queryTables/queryTable8.xml><?xml version="1.0" encoding="utf-8"?>
<queryTable xmlns="http://schemas.openxmlformats.org/spreadsheetml/2006/main" name="Consulta desde ODBC MySQL en AGROTA" backgroundRefresh="0" connectionId="3" autoFormatId="16" applyNumberFormats="0" applyBorderFormats="0" applyFontFormats="0" applyPatternFormats="0" applyAlignmentFormats="0" applyWidthHeightFormats="0">
  <queryTableRefresh nextId="2">
    <queryTableFields count="1">
      <queryTableField id="1" name="Causa" tableColumnId="1"/>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id="1" name="TABLATRANSFERENCIA" displayName="TABLATRANSFERENCIA" ref="A8:CB10" totalsRowShown="0" headerRowDxfId="188">
  <autoFilter ref="A8:CB10"/>
  <tableColumns count="80">
    <tableColumn id="1" name="CODIGO" dataDxfId="3"/>
    <tableColumn id="2" name="DESCRIPCION" dataDxfId="4"/>
    <tableColumn id="36" name="CODIGO GENERICO" dataDxfId="187"/>
    <tableColumn id="45" name="CODIGO VINCULADO" dataDxfId="186"/>
    <tableColumn id="4" name="LINEA" dataDxfId="185"/>
    <tableColumn id="29" name="SUBLINEA" dataDxfId="184"/>
    <tableColumn id="3" name="GRUPO" dataDxfId="183"/>
    <tableColumn id="22" name="FAMILIA" dataDxfId="182"/>
    <tableColumn id="23" name="SUBFAMILIA" dataDxfId="181"/>
    <tableColumn id="24" name="CATEGORIA" dataDxfId="180"/>
    <tableColumn id="25" name="TIPO" dataDxfId="179"/>
    <tableColumn id="26" name="MARCA" dataDxfId="178"/>
    <tableColumn id="27" name="MODELO" dataDxfId="177"/>
    <tableColumn id="28" name="CAT MANAGEMENT" dataDxfId="176"/>
    <tableColumn id="65" name="Estatus" dataDxfId="175"/>
    <tableColumn id="14" name="CTV" dataDxfId="174"/>
    <tableColumn id="15" name="PVP" dataDxfId="173"/>
    <tableColumn id="7" name="RENTABILIDAD" dataDxfId="172"/>
    <tableColumn id="53" name="RENTABILID PROY" dataDxfId="171"/>
    <tableColumn id="19" name="VEL EFECT" dataDxfId="170"/>
    <tableColumn id="20" name="SERVICIO" dataDxfId="169"/>
    <tableColumn id="21" name="PROVEEDOR" dataDxfId="168"/>
    <tableColumn id="39" name="PERFIL" dataDxfId="167"/>
    <tableColumn id="54" name="T REP" dataDxfId="166"/>
    <tableColumn id="55" name="F REP" dataDxfId="165"/>
    <tableColumn id="5" name="BUFFER" dataDxfId="164"/>
    <tableColumn id="75" name="INV PROVEEDOR" dataDxfId="163"/>
    <tableColumn id="31" name="INV FISICO" dataDxfId="162"/>
    <tableColumn id="6" name="CONS BUFF" dataDxfId="161"/>
    <tableColumn id="50" name="COLOR" dataDxfId="160"/>
    <tableColumn id="32" name="INV TRANSITO" dataDxfId="159"/>
    <tableColumn id="41" name="NEGOCIACIÓN" dataDxfId="158"/>
    <tableColumn id="42" name="PRODUCCIÓN" dataDxfId="157"/>
    <tableColumn id="43" name="EMBARCADO" dataDxfId="156"/>
    <tableColumn id="33" name="COMPROMETIDO" dataDxfId="155"/>
    <tableColumn id="34" name="BACKORDER" dataDxfId="154"/>
    <tableColumn id="40" name="INV PROYECTADO" dataDxfId="153"/>
    <tableColumn id="46" name="CONSUMO INV PROY" dataDxfId="152"/>
    <tableColumn id="51" name="COLOR1" dataDxfId="151"/>
    <tableColumn id="37" name="PEDIDO MIN" dataDxfId="150"/>
    <tableColumn id="38" name="PEDIDO MIN GRUPO" dataDxfId="149"/>
    <tableColumn id="30" name="UNIDAD EMPAQUE" dataDxfId="148"/>
    <tableColumn id="12" name="PEDIDO PROMEDIO" dataDxfId="147"/>
    <tableColumn id="47" name="COBERT BUFFER" dataDxfId="146"/>
    <tableColumn id="48" name="COBERT INV PROY" dataDxfId="145"/>
    <tableColumn id="49" name="COBERT PEDID MIN" dataDxfId="144"/>
    <tableColumn id="52" name="DIAS DESABASTECIM" dataDxfId="143"/>
    <tableColumn id="67" name="ULT TRANSFER INI" dataDxfId="142"/>
    <tableColumn id="68" name="ULT TRANSFER FIN" dataDxfId="141"/>
    <tableColumn id="64" name="2016-11" dataDxfId="140">
      <calculatedColumnFormula array="1">IFERROR(INDEX(Datos_Consumo[CANTIDAD],MATCH(TABLATRANSFERENCIA[[#This Row],[CODIGO]]&amp;TABLATRANSFERENCIA[[#Headers],[2016-11]],Datos_Consumo[CODIGO]&amp;Datos_Consumo[FECHA_FORMATO],0)),0)</calculatedColumnFormula>
    </tableColumn>
    <tableColumn id="63" name="2016-12" dataDxfId="139">
      <calculatedColumnFormula array="1">IFERROR(INDEX(Datos_Consumo[CANTIDAD],MATCH(TABLATRANSFERENCIA[[#This Row],[CODIGO]]&amp;TABLATRANSFERENCIA[[#Headers],[2016-12]],Datos_Consumo[CODIGO]&amp;Datos_Consumo[FECHA_FORMATO],0)),0)</calculatedColumnFormula>
    </tableColumn>
    <tableColumn id="62" name="2017-1" dataDxfId="138">
      <calculatedColumnFormula array="1">IFERROR(INDEX(Datos_Consumo[CANTIDAD],MATCH(TABLATRANSFERENCIA[[#This Row],[CODIGO]]&amp;TABLATRANSFERENCIA[[#Headers],[2017-1]],Datos_Consumo[CODIGO]&amp;Datos_Consumo[FECHA_FORMATO],0)),0)</calculatedColumnFormula>
    </tableColumn>
    <tableColumn id="61" name="2017-2" dataDxfId="137">
      <calculatedColumnFormula array="1">IFERROR(INDEX(Datos_Consumo[CANTIDAD],MATCH(TABLATRANSFERENCIA[[#This Row],[CODIGO]]&amp;TABLATRANSFERENCIA[[#Headers],[2017-2]],Datos_Consumo[CODIGO]&amp;Datos_Consumo[FECHA_FORMATO],0)),0)</calculatedColumnFormula>
    </tableColumn>
    <tableColumn id="60" name="Columna5" dataDxfId="136">
      <calculatedColumnFormula array="1">IFERROR(INDEX(Datos_Consumo[CANTIDAD],MATCH(TABLATRANSFERENCIA[[#This Row],[CODIGO]]&amp;TABLATRANSFERENCIA[[#Headers],[Columna5]],Datos_Consumo[CODIGO]&amp;Datos_Consumo[FECHA_FORMATO],0)),0)</calculatedColumnFormula>
    </tableColumn>
    <tableColumn id="59" name="Columna6" dataDxfId="135">
      <calculatedColumnFormula array="1">IFERROR(INDEX(Datos_Consumo[CANTIDAD],MATCH(TABLATRANSFERENCIA[[#This Row],[CODIGO]]&amp;TABLATRANSFERENCIA[[#Headers],[Columna6]],Datos_Consumo[CODIGO]&amp;Datos_Consumo[FECHA_FORMATO],0)),0)</calculatedColumnFormula>
    </tableColumn>
    <tableColumn id="8" name="REQUERIM" dataDxfId="5"/>
    <tableColumn id="13" name="REQ TOTAL" dataDxfId="2"/>
    <tableColumn id="78" name="DE FECHA" dataDxfId="0"/>
    <tableColumn id="79" name="A FECHA" dataDxfId="1"/>
    <tableColumn id="76" name="PO" dataDxfId="134"/>
    <tableColumn id="66" name="EMBARQUES" dataDxfId="133"/>
    <tableColumn id="69" name="Emb1" dataDxfId="132">
      <calculatedColumnFormula>IF(RIGHT(TABLATRANSFERENCIA[[#Headers],[Emb1]],1)*1&lt;=TABLATRANSFERENCIA[[#This Row],[EMBARQUES]],IF(ISBLANK(TABLATRANSFERENCIA[[#This Row],[EMBARQUES]]),TABLATRANSFERENCIA[[#This Row],[REQUERIM]],ROUND(TABLATRANSFERENCIA[[#This Row],[REQUERIM]]/TABLATRANSFERENCIA[[#This Row],[EMBARQUES]],0)),TABLATRANSFERENCIA[[#This Row],[REQUERIM]])</calculatedColumnFormula>
    </tableColumn>
    <tableColumn id="70" name="Emb2" dataDxfId="131">
      <calculatedColumnFormula>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calculatedColumnFormula>
    </tableColumn>
    <tableColumn id="71" name="Emb3" dataDxfId="130">
      <calculatedColumnFormula>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calculatedColumnFormula>
    </tableColumn>
    <tableColumn id="72" name="Emb4" dataDxfId="129">
      <calculatedColumnFormula>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calculatedColumnFormula>
    </tableColumn>
    <tableColumn id="73" name="Emb5" dataDxfId="128">
      <calculatedColumnFormula>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calculatedColumnFormula>
    </tableColumn>
    <tableColumn id="74" name="OBSERVACIONES" dataDxfId="127"/>
    <tableColumn id="44" name="TAMAÑO RELATIVO" dataDxfId="126">
      <calculatedColumnFormula>IFERROR(TABLATRANSFERENCIA[[#This Row],[REQUERIM]]/TABLATRANSFERENCIA[[#This Row],[PEDIDO PROMEDIO]],0)</calculatedColumnFormula>
    </tableColumn>
    <tableColumn id="9" name="DESPACHO" dataDxfId="125"/>
    <tableColumn id="10" name="RECIBIDO" dataDxfId="124"/>
    <tableColumn id="11" name="TRANSITO" dataDxfId="123">
      <calculatedColumnFormula>IF(TABLATRANSFERENCIA[[#This Row],[RECIBIDO]]&lt;&gt;"",0,IF(TABLATRANSFERENCIA[[#This Row],[DESPACHO]]&lt;&gt;"",TABLATRANSFERENCIA[[#This Row],[DESPACHO]],TABLATRANSFERENCIA[[#This Row],[REQUERIM]]))</calculatedColumnFormula>
    </tableColumn>
    <tableColumn id="16" name="OBSERVACIONES DESPACHOS" dataDxfId="122"/>
    <tableColumn id="17" name="OBSERVACIONES RECEPCIONES" dataDxfId="121"/>
    <tableColumn id="18" name="TIPO TRANSF" dataDxfId="120">
      <calculatedColumnFormula>"N"</calculatedColumnFormula>
    </tableColumn>
    <tableColumn id="80" name="ESTADO" dataDxfId="119"/>
    <tableColumn id="35" name="Error Pedid Min Grupo" dataDxfId="118">
      <calculatedColumnFormula array="1">IF(SUM(--(TABLATRANSFERENCIA[[#This Row],[CODIGO GENERICO]]=TABLATRANSFERENCIA[CODIGO GENERICO])*TABLATRANSFERENCIA[REQUERIM])&lt;TABLATRANSFERENCIA[[#This Row],[PEDIDO MIN GRUPO]],1,0)</calculatedColumnFormula>
    </tableColumn>
    <tableColumn id="56" name="Color Proyectado" dataDxfId="117">
      <calculatedColumnFormula>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calculatedColumnFormula>
    </tableColumn>
    <tableColumn id="57" name="ZONA AMARILLA" dataDxfId="116"/>
    <tableColumn id="58" name="ZONA ROJA" dataDxfId="115"/>
    <tableColumn id="77" name="Borrar" dataDxfId="114"/>
  </tableColumns>
  <tableStyleInfo name="TableStyleLight1" showFirstColumn="0" showLastColumn="0" showRowStripes="1" showColumnStripes="0"/>
</table>
</file>

<file path=xl/tables/table2.xml><?xml version="1.0" encoding="utf-8"?>
<table xmlns="http://schemas.openxmlformats.org/spreadsheetml/2006/main" id="15" name="XXYY" displayName="XXYY" ref="A1:BX2" totalsRowShown="0" headerRowDxfId="96">
  <autoFilter ref="A1:BX2"/>
  <tableColumns count="76">
    <tableColumn id="1" name="CODIGO" dataDxfId="95"/>
    <tableColumn id="2" name="DESCRIPCION" dataDxfId="94">
      <calculatedColumnFormula>IFERROR(INDEX(OFFSET(INDIRECT("v_buffer_hist_hoy!$A$1"),1,MATCH("pro_descripcion",INDIRECT("v_buffer_hist_hoy!$1:$1"),0)-1,100000,1),MATCH(CLEAN(TABLATRANSFERENCIA[[#This Row],[CODIGO]]),OFFSET(INDIRECT("v_buffer_hist_hoy!$A$1"),1,MATCH("buh_codigo",INDIRECT("v_buffer_hist_hoy!$1:$1"),0)-1,100000,1),0)),"")</calculatedColumnFormula>
    </tableColumn>
    <tableColumn id="36" name="CODIGO GENERICO" dataDxfId="93">
      <calculatedColumnFormula>IFERROR(INDEX(OFFSET(INDIRECT("v_buffer_hist_hoy!$A$1"),1,MATCH("buh_codigo_generico",INDIRECT("v_buffer_hist_hoy!$1:$1"),0)-1,100000,1),MATCH(CLEAN(TABLATRANSFERENCIA[[#This Row],[CODIGO]]),OFFSET(INDIRECT("v_buffer_hist_hoy!$A$1"),1,MATCH("buh_codigo",INDIRECT("v_buffer_hist_hoy!$1:$1"),0)-1,100000,1),0)),"")</calculatedColumnFormula>
    </tableColumn>
    <tableColumn id="45" name="CODIGO VINCULADO" dataDxfId="92">
      <calculatedColumnFormula>IFERROR(INDEX(OFFSET(INDIRECT("v_buffer_hist_hoy!$A$1"),1,MATCH("buh_codigo_vinculado",INDIRECT("v_buffer_hist_hoy!$1:$1"),0)-1,100000,1),MATCH(CLEAN(TABLATRANSFERENCIA[[#This Row],[CODIGO]]),OFFSET(INDIRECT("v_buffer_hist_hoy!$A$1"),1,MATCH("buh_codigo",INDIRECT("v_buffer_hist_hoy!$1:$1"),0)-1,100000,1),0)),"")</calculatedColumnFormula>
    </tableColumn>
    <tableColumn id="4" name="LINEA" dataDxfId="91">
      <calculatedColumnFormula>IFERROR(INDEX(OFFSET(INDIRECT("v_buffer_hist_hoy!$A$1"),1,MATCH("pro_linea",INDIRECT("v_buffer_hist_hoy!$1:$1"),0)-1,100000,1),MATCH(CLEAN(TABLATRANSFERENCIA[[#This Row],[CODIGO]]),OFFSET(INDIRECT("v_buffer_hist_hoy!$A$1"),1,MATCH("buh_codigo",INDIRECT("v_buffer_hist_hoy!$1:$1"),0)-1,100000,1),0)),"")</calculatedColumnFormula>
    </tableColumn>
    <tableColumn id="29" name="SUBLINEA" dataDxfId="90">
      <calculatedColumnFormula>IFERROR(INDEX(OFFSET(INDIRECT("v_buffer_hist_hoy!$A$1"),1,MATCH("pro_sublinea",INDIRECT("v_buffer_hist_hoy!$1:$1"),0)-1,100000,1),MATCH(CLEAN(TABLATRANSFERENCIA[[#This Row],[CODIGO]]),OFFSET(INDIRECT("v_buffer_hist_hoy!$A$1"),1,MATCH("buh_codigo",INDIRECT("v_buffer_hist_hoy!$1:$1"),0)-1,100000,1),0)),"")</calculatedColumnFormula>
    </tableColumn>
    <tableColumn id="3" name="GRUPO" dataDxfId="89">
      <calculatedColumnFormula>IFERROR(INDEX(OFFSET(INDIRECT("v_buffer_hist_hoy!$A$1"),1,MATCH("pro_grupo",INDIRECT("v_buffer_hist_hoy!$1:$1"),0)-1,100000,1),MATCH(CLEAN(TABLATRANSFERENCIA[[#This Row],[CODIGO]]),OFFSET(INDIRECT("v_buffer_hist_hoy!$A$1"),1,MATCH("buh_codigo",INDIRECT("v_buffer_hist_hoy!$1:$1"),0)-1,100000,1),0)),"")</calculatedColumnFormula>
    </tableColumn>
    <tableColumn id="22" name="FAMILIA" dataDxfId="88">
      <calculatedColumnFormula>IFERROR(INDEX(OFFSET(INDIRECT("v_buffer_hist_hoy!$A$1"),1,MATCH("pro_familia",INDIRECT("v_buffer_hist_hoy!$1:$1"),0)-1,100000,1),MATCH(CLEAN(TABLATRANSFERENCIA[[#This Row],[CODIGO]]),OFFSET(INDIRECT("v_buffer_hist_hoy!$A$1"),1,MATCH("buh_codigo",INDIRECT("v_buffer_hist_hoy!$1:$1"),0)-1,100000,1),0)),"")</calculatedColumnFormula>
    </tableColumn>
    <tableColumn id="23" name="SUBFAMILIA" dataDxfId="87">
      <calculatedColumnFormula>IFERROR(INDEX(OFFSET(INDIRECT("v_buffer_hist_hoy!$A$1"),1,MATCH("pro_subfamilia",INDIRECT("v_buffer_hist_hoy!$1:$1"),0)-1,100000,1),MATCH(CLEAN(TABLATRANSFERENCIA[[#This Row],[CODIGO]]),OFFSET(INDIRECT("v_buffer_hist_hoy!$A$1"),1,MATCH("buh_codigo",INDIRECT("v_buffer_hist_hoy!$1:$1"),0)-1,100000,1),0)),"")</calculatedColumnFormula>
    </tableColumn>
    <tableColumn id="24" name="CATEGORIA" dataDxfId="86">
      <calculatedColumnFormula>IFERROR(INDEX(OFFSET(INDIRECT("v_buffer_hist_hoy!$A$1"),1,MATCH("pro_categoria",INDIRECT("v_buffer_hist_hoy!$1:$1"),0)-1,100000,1),MATCH(CLEAN(TABLATRANSFERENCIA[[#This Row],[CODIGO]]),OFFSET(INDIRECT("v_buffer_hist_hoy!$A$1"),1,MATCH("buh_codigo",INDIRECT("v_buffer_hist_hoy!$1:$1"),0)-1,100000,1),0)),"")</calculatedColumnFormula>
    </tableColumn>
    <tableColumn id="25" name="TIPO" dataDxfId="85">
      <calculatedColumnFormula>IFERROR(INDEX(OFFSET(INDIRECT("v_buffer_hist_hoy!$A$1"),1,MATCH("pro_tipo",INDIRECT("v_buffer_hist_hoy!$1:$1"),0)-1,100000,1),MATCH(CLEAN(TABLATRANSFERENCIA[[#This Row],[CODIGO]]),OFFSET(INDIRECT("v_buffer_hist_hoy!$A$1"),1,MATCH("buh_codigo",INDIRECT("v_buffer_hist_hoy!$1:$1"),0)-1,100000,1),0)),"")</calculatedColumnFormula>
    </tableColumn>
    <tableColumn id="26" name="MARCA" dataDxfId="84">
      <calculatedColumnFormula>IFERROR(INDEX(OFFSET(INDIRECT("v_buffer_hist_hoy!$A$1"),1,MATCH("pro_marca",INDIRECT("v_buffer_hist_hoy!$1:$1"),0)-1,100000,1),MATCH(CLEAN(TABLATRANSFERENCIA[[#This Row],[CODIGO]]),OFFSET(INDIRECT("v_buffer_hist_hoy!$A$1"),1,MATCH("buh_codigo",INDIRECT("v_buffer_hist_hoy!$1:$1"),0)-1,100000,1),0)),"")</calculatedColumnFormula>
    </tableColumn>
    <tableColumn id="27" name="MODELO" dataDxfId="83">
      <calculatedColumnFormula>IFERROR(INDEX(OFFSET(INDIRECT("v_buffer_hist_hoy!$A$1"),1,MATCH("pro_modelo",INDIRECT("v_buffer_hist_hoy!$1:$1"),0)-1,100000,1),MATCH(CLEAN(TABLATRANSFERENCIA[[#This Row],[CODIGO]]),OFFSET(INDIRECT("v_buffer_hist_hoy!$A$1"),1,MATCH("buh_codigo",INDIRECT("v_buffer_hist_hoy!$1:$1"),0)-1,100000,1),0)),"")</calculatedColumnFormula>
    </tableColumn>
    <tableColumn id="28" name="CAT MANAGEMENT" dataDxfId="82">
      <calculatedColumnFormula>IFERROR(INDEX(OFFSET(INDIRECT("v_buffer_hist_hoy!$A$1"),1,MATCH("pro_cat_management",INDIRECT("v_buffer_hist_hoy!$1:$1"),0)-1,100000,1),MATCH(CLEAN(TABLATRANSFERENCIA[[#This Row],[CODIGO]]),OFFSET(INDIRECT("v_buffer_hist_hoy!$A$1"),1,MATCH("buh_codigo",INDIRECT("v_buffer_hist_hoy!$1:$1"),0)-1,100000,1),0)),"")</calculatedColumnFormula>
    </tableColumn>
    <tableColumn id="65" name="Estatus" dataDxfId="81">
      <calculatedColumnFormula>IFERROR(INDEX(OFFSET(INDIRECT("v_buffer_hist_hoy!$A$1"),1,MATCH("buh_estatus",INDIRECT("v_buffer_hist_hoy!$1:$1"),0)-1,100000,1),MATCH(CLEAN(TABLATRANSFERENCIA[[#This Row],[CODIGO]]),OFFSET(INDIRECT("v_buffer_hist_hoy!$A$1"),1,MATCH("buh_codigo",INDIRECT("v_buffer_hist_hoy!$1:$1"),0)-1,100000,1),0)),"")</calculatedColumnFormula>
    </tableColumn>
    <tableColumn id="14" name="CTV" dataDxfId="80">
      <calculatedColumnFormula>IFERROR(INDEX(OFFSET(INDIRECT("v_buffer_hist_hoy!$A$1"),1,MATCH("buh_ctv",INDIRECT("v_buffer_hist_hoy!$1:$1"),0)-1,100000,1),MATCH(CLEAN(TABLATRANSFERENCIA[[#This Row],[CODIGO]]),OFFSET(INDIRECT("v_buffer_hist_hoy!$A$1"),1,MATCH("buh_codigo",INDIRECT("v_buffer_hist_hoy!$1:$1"),0)-1,100000,1),0)),"")</calculatedColumnFormula>
    </tableColumn>
    <tableColumn id="15" name="PVP" dataDxfId="79">
      <calculatedColumnFormula>IFERROR(INDEX(OFFSET(INDIRECT("v_buffer_hist_hoy!$A$1"),1,MATCH("buh_pv",INDIRECT("v_buffer_hist_hoy!$1:$1"),0)-1,100000,1),MATCH(CLEAN(TABLATRANSFERENCIA[[#This Row],[CODIGO]]),OFFSET(INDIRECT("v_buffer_hist_hoy!$A$1"),1,MATCH("buh_codigo",INDIRECT("v_buffer_hist_hoy!$1:$1"),0)-1,100000,1),0)),"")</calculatedColumnFormula>
    </tableColumn>
    <tableColumn id="7" name="RENTABILIDAD" dataDxfId="78">
      <calculatedColumnFormula>IFERROR(INDEX(OFFSET(INDIRECT("v_buffer_hist_hoy!$A$1"),1,MATCH("buh_roi_pasado",INDIRECT("v_buffer_hist_hoy!$1:$1"),0)-1,100000,1),MATCH(CLEAN(TABLATRANSFERENCIA[[#This Row],[CODIGO]]),OFFSET(INDIRECT("v_buffer_hist_hoy!$A$1"),1,MATCH("buh_codigo",INDIRECT("v_buffer_hist_hoy!$1:$1"),0)-1,100000,1),0)),"")</calculatedColumnFormula>
    </tableColumn>
    <tableColumn id="53" name="RENTABILID PROY" dataDxfId="77">
      <calculatedColumnFormula>IFERROR(INDEX(OFFSET(INDIRECT("v_buffer_hist_hoy!$A$1"),1,MATCH("buh_roi_proyectado",INDIRECT("v_buffer_hist_hoy!$1:$1"),0)-1,100000,1),MATCH(CLEAN(TABLATRANSFERENCIA[[#This Row],[CODIGO]]),OFFSET(INDIRECT("v_buffer_hist_hoy!$A$1"),1,MATCH("buh_codigo",INDIRECT("v_buffer_hist_hoy!$1:$1"),0)-1,100000,1),0)),"")</calculatedColumnFormula>
    </tableColumn>
    <tableColumn id="19" name="VEL EFECT" dataDxfId="76">
      <calculatedColumnFormula>IFERROR(INDEX(OFFSET(INDIRECT("v_buffer_hist_hoy!$A$1"),1,MATCH("buh_velocity",INDIRECT("v_buffer_hist_hoy!$1:$1"),0)-1,100000,1),MATCH(CLEAN(TABLATRANSFERENCIA[[#This Row],[CODIGO]]),OFFSET(INDIRECT("v_buffer_hist_hoy!$A$1"),1,MATCH("buh_codigo",INDIRECT("v_buffer_hist_hoy!$1:$1"),0)-1,100000,1),0)),"")</calculatedColumnFormula>
    </tableColumn>
    <tableColumn id="20" name="SERVICIO" dataDxfId="75">
      <calculatedColumnFormula>IFERROR(INDEX(OFFSET(INDIRECT("v_buffer_hist_hoy!$A$1"),1,MATCH("buh_nivel_servicio",INDIRECT("v_buffer_hist_hoy!$1:$1"),0)-1,100000,1),MATCH(CLEAN(TABLATRANSFERENCIA[[#This Row],[CODIGO]]),OFFSET(INDIRECT("v_buffer_hist_hoy!$A$1"),1,MATCH("buh_codigo",INDIRECT("v_buffer_hist_hoy!$1:$1"),0)-1,100000,1),0)),"")</calculatedColumnFormula>
    </tableColumn>
    <tableColumn id="21" name="PROVEEDOR" dataDxfId="74">
      <calculatedColumnFormula>IFERROR(INDEX(OFFSET(INDIRECT("v_buffer_hist_hoy!$A$1"),1,MATCH("pro_nombre",INDIRECT("v_buffer_hist_hoy!$1:$1"),0)-1,100000,1),MATCH(CLEAN(TABLATRANSFERENCIA[[#This Row],[CODIGO]]),OFFSET(INDIRECT("v_buffer_hist_hoy!$A$1"),1,MATCH("buh_codigo",INDIRECT("v_buffer_hist_hoy!$1:$1"),0)-1,100000,1),0)),"")</calculatedColumnFormula>
    </tableColumn>
    <tableColumn id="39" name="PERFIL" dataDxfId="73">
      <calculatedColumnFormula>IFERROR(INDEX(OFFSET(INDIRECT("v_buffer_hist_hoy!$A$1"),1,MATCH("pre_nombre",INDIRECT("v_buffer_hist_hoy!$1:$1"),0)-1,100000,1),MATCH(CLEAN(TABLATRANSFERENCIA[[#This Row],[CODIGO]]),OFFSET(INDIRECT("v_buffer_hist_hoy!$A$1"),1,MATCH("buh_codigo",INDIRECT("v_buffer_hist_hoy!$1:$1"),0)-1,100000,1),0)),"")</calculatedColumnFormula>
    </tableColumn>
    <tableColumn id="54" name="T REP" dataDxfId="72">
      <calculatedColumnFormula>IFERROR(INDEX(OFFSET(INDIRECT("v_buffer_hist_hoy!$A$1"),1,MATCH("buh_tiempo_suministro",INDIRECT("v_buffer_hist_hoy!$1:$1"),0)-1,100000,1),MATCH(CLEAN(TABLATRANSFERENCIA[[#This Row],[CODIGO]]),OFFSET(INDIRECT("v_buffer_hist_hoy!$A$1"),1,MATCH("buh_codigo",INDIRECT("v_buffer_hist_hoy!$1:$1"),0)-1,100000,1),0)),"")</calculatedColumnFormula>
    </tableColumn>
    <tableColumn id="55" name="F REP" dataDxfId="71">
      <calculatedColumnFormula>IFERROR(INDEX(OFFSET(INDIRECT("v_buffer_hist_hoy!$A$1"),1,MATCH("buh_frecuencia_reposicion",INDIRECT("v_buffer_hist_hoy!$1:$1"),0)-1,100000,1),MATCH(CLEAN(TABLATRANSFERENCIA[[#This Row],[CODIGO]]),OFFSET(INDIRECT("v_buffer_hist_hoy!$A$1"),1,MATCH("buh_codigo",INDIRECT("v_buffer_hist_hoy!$1:$1"),0)-1,100000,1),0)),"")</calculatedColumnFormula>
    </tableColumn>
    <tableColumn id="5" name="BUFFER" dataDxfId="70">
      <calculatedColumnFormula>IFERROR(INDEX(OFFSET(INDIRECT("v_buffer_hist_hoy!$A$1"),1,MATCH("buh_buffer_actual",INDIRECT("v_buffer_hist_hoy!$1:$1"),0)-1,100000,1),MATCH(CLEAN(TABLATRANSFERENCIA[[#This Row],[CODIGO]]),OFFSET(INDIRECT("v_buffer_hist_hoy!$A$1"),1,MATCH("buh_codigo",INDIRECT("v_buffer_hist_hoy!$1:$1"),0)-1,100000,1),0)),"")</calculatedColumnFormula>
    </tableColumn>
    <tableColumn id="75" name="INV PROVEEDOR" dataDxfId="69">
      <calculatedColumnFormula>IFERROR(INDEX(OFFSET(INDIRECT("v_buffer_hist_hoy!$A$1"),1,MATCH("buh_inventario_proveedor",INDIRECT("v_buffer_hist_hoy!$1:$1"),0)-1,100000,1),MATCH(CLEAN(TABLATRANSFERENCIA[[#This Row],[CODIGO]]),OFFSET(INDIRECT("v_buffer_hist_hoy!$A$1"),1,MATCH("buh_codigo",INDIRECT("v_buffer_hist_hoy!$1:$1"),0)-1,100000,1),0)),"")</calculatedColumnFormula>
    </tableColumn>
    <tableColumn id="31" name="INV FISICO" dataDxfId="68">
      <calculatedColumnFormula>IFERROR(INDEX(OFFSET(INDIRECT("v_buffer_hist_hoy!$A$1"),1,MATCH("buh_inventario_fisico",INDIRECT("v_buffer_hist_hoy!$1:$1"),0)-1,100000,1),MATCH(CLEAN(TABLATRANSFERENCIA[[#This Row],[CODIGO]]),OFFSET(INDIRECT("v_buffer_hist_hoy!$A$1"),1,MATCH("buh_codigo",INDIRECT("v_buffer_hist_hoy!$1:$1"),0)-1,100000,1),0)),"")</calculatedColumnFormula>
    </tableColumn>
    <tableColumn id="6" name="CONS BUFF" dataDxfId="67">
      <calculatedColumnFormula>IFERROR(INDEX(OFFSET(INDIRECT("v_buffer_hist_hoy!$A$1"),1,MATCH("buh_estado_inventario_fisico",INDIRECT("v_buffer_hist_hoy!$1:$1"),0)-1,100000,1),MATCH(CLEAN(TABLATRANSFERENCIA[[#This Row],[CODIGO]]),OFFSET(INDIRECT("v_buffer_hist_hoy!$A$1"),1,MATCH("buh_codigo",INDIRECT("v_buffer_hist_hoy!$1:$1"),0)-1,100000,1),0)),"")</calculatedColumnFormula>
    </tableColumn>
    <tableColumn id="50" name="COLOR" dataDxfId="66">
      <calculatedColumnFormula>IFERROR(INDEX(OFFSET(INDIRECT("v_buffer_hist_hoy!$A$1"),1,MATCH("buh_color_inventario_fisico",INDIRECT("v_buffer_hist_hoy!$1:$1"),0)-1,100000,1),MATCH(CLEAN(TABLATRANSFERENCIA[[#This Row],[CODIGO]]),OFFSET(INDIRECT("v_buffer_hist_hoy!$A$1"),1,MATCH("buh_codigo",INDIRECT("v_buffer_hist_hoy!$1:$1"),0)-1,100000,1),0)),"")</calculatedColumnFormula>
    </tableColumn>
    <tableColumn id="32" name="INV TRANSITO" dataDxfId="65">
      <calculatedColumnFormula>IFERROR(INDEX(OFFSET(INDIRECT("v_buffer_hist_hoy!$A$1"),1,MATCH("buh_transito",INDIRECT("v_buffer_hist_hoy!$1:$1"),0)-1,100000,1),MATCH(CLEAN(TABLATRANSFERENCIA[[#This Row],[CODIGO]]),OFFSET(INDIRECT("v_buffer_hist_hoy!$A$1"),1,MATCH("buh_codigo",INDIRECT("v_buffer_hist_hoy!$1:$1"),0)-1,100000,1),0)),"")</calculatedColumnFormula>
    </tableColumn>
    <tableColumn id="41" name="NEGOCIACIÓN" dataDxfId="64">
      <calculatedColumnFormula>IFERROR(INDEX(OFFSET(INDIRECT("v_buffer_hist_hoy!$A$1"),1,MATCH("buh_negociacion",INDIRECT("v_buffer_hist_hoy!$1:$1"),0)-1,100000,1),MATCH(CLEAN(TABLATRANSFERENCIA[[#This Row],[CODIGO]]),OFFSET(INDIRECT("v_buffer_hist_hoy!$A$1"),1,MATCH("buh_codigo",INDIRECT("v_buffer_hist_hoy!$1:$1"),0)-1,100000,1),0)),"")</calculatedColumnFormula>
    </tableColumn>
    <tableColumn id="42" name="PRODUCCIÓN" dataDxfId="63">
      <calculatedColumnFormula>IFERROR(INDEX(OFFSET(INDIRECT("v_buffer_hist_hoy!$A$1"),1,MATCH("buh_produccion",INDIRECT("v_buffer_hist_hoy!$1:$1"),0)-1,100000,1),MATCH(CLEAN(TABLATRANSFERENCIA[[#This Row],[CODIGO]]),OFFSET(INDIRECT("v_buffer_hist_hoy!$A$1"),1,MATCH("buh_codigo",INDIRECT("v_buffer_hist_hoy!$1:$1"),0)-1,100000,1),0)),"")</calculatedColumnFormula>
    </tableColumn>
    <tableColumn id="43" name="EMBARCADO" dataDxfId="62">
      <calculatedColumnFormula>IFERROR(INDEX(OFFSET(INDIRECT("v_buffer_hist_hoy!$A$1"),1,MATCH("buh_embarcado",INDIRECT("v_buffer_hist_hoy!$1:$1"),0)-1,100000,1),MATCH(CLEAN(TABLATRANSFERENCIA[[#This Row],[CODIGO]]),OFFSET(INDIRECT("v_buffer_hist_hoy!$A$1"),1,MATCH("buh_codigo",INDIRECT("v_buffer_hist_hoy!$1:$1"),0)-1,100000,1),0)),"")</calculatedColumnFormula>
    </tableColumn>
    <tableColumn id="33" name="COMPROMETIDO" dataDxfId="61">
      <calculatedColumnFormula>IFERROR(INDEX(OFFSET(INDIRECT("v_buffer_hist_hoy!$A$1"),1,MATCH("buh_comprometido",INDIRECT("v_buffer_hist_hoy!$1:$1"),0)-1,100000,1),MATCH(CLEAN(TABLATRANSFERENCIA[[#This Row],[CODIGO]]),OFFSET(INDIRECT("v_buffer_hist_hoy!$A$1"),1,MATCH("buh_codigo",INDIRECT("v_buffer_hist_hoy!$1:$1"),0)-1,100000,1),0)),"")</calculatedColumnFormula>
    </tableColumn>
    <tableColumn id="34" name="BACKORDER" dataDxfId="60">
      <calculatedColumnFormula>IFERROR(INDEX(OFFSET(INDIRECT("v_buffer_hist_hoy!$A$1"),1,MATCH("buh_backorder",INDIRECT("v_buffer_hist_hoy!$1:$1"),0)-1,100000,1),MATCH(CLEAN(TABLATRANSFERENCIA[[#This Row],[CODIGO]]),OFFSET(INDIRECT("v_buffer_hist_hoy!$A$1"),1,MATCH("buh_codigo",INDIRECT("v_buffer_hist_hoy!$1:$1"),0)-1,100000,1),0)),"")</calculatedColumnFormula>
    </tableColumn>
    <tableColumn id="40" name="INV PROYECTADO" dataDxfId="59">
      <calculatedColumnFormula>IFERROR(INDEX(OFFSET(INDIRECT("v_buffer_hist_hoy!$A$1"),1,MATCH("buh_inventario_proyectado",INDIRECT("v_buffer_hist_hoy!$1:$1"),0)-1,100000,1),MATCH(CLEAN(TABLATRANSFERENCIA[[#This Row],[CODIGO]]),OFFSET(INDIRECT("v_buffer_hist_hoy!$A$1"),1,MATCH("buh_codigo",INDIRECT("v_buffer_hist_hoy!$1:$1"),0)-1,100000,1),0)),"")</calculatedColumnFormula>
    </tableColumn>
    <tableColumn id="46" name="CONSUMO INV PROY" dataDxfId="58">
      <calculatedColumnFormula>IFERROR(INDEX(OFFSET(INDIRECT("v_buffer_hist_hoy!$A$1"),1,MATCH("buh_estado_inventario_proyectado",INDIRECT("v_buffer_hist_hoy!$1:$1"),0)-1,100000,1),MATCH(CLEAN(TABLATRANSFERENCIA[[#This Row],[CODIGO]]),OFFSET(INDIRECT("v_buffer_hist_hoy!$A$1"),1,MATCH("buh_codigo",INDIRECT("v_buffer_hist_hoy!$1:$1"),0)-1,100000,1),0)),"")</calculatedColumnFormula>
    </tableColumn>
    <tableColumn id="51" name="COLOR1" dataDxfId="57">
      <calculatedColumnFormula>IFERROR(INDEX(OFFSET(INDIRECT("v_buffer_hist_hoy!$A$1"),1,MATCH("buh_color_inventario_proyectado",INDIRECT("v_buffer_hist_hoy!$1:$1"),0)-1,100000,1),MATCH(CLEAN(TABLATRANSFERENCIA[[#This Row],[CODIGO]]),OFFSET(INDIRECT("v_buffer_hist_hoy!$A$1"),1,MATCH("buh_codigo",INDIRECT("v_buffer_hist_hoy!$1:$1"),0)-1,100000,1),0)),"")</calculatedColumnFormula>
    </tableColumn>
    <tableColumn id="37" name="PEDIDO MIN" dataDxfId="56">
      <calculatedColumnFormula>IFERROR(INDEX(OFFSET(INDIRECT("v_buffer_hist_hoy!$A$1"),1,MATCH("buh_pedido_minimo",INDIRECT("v_buffer_hist_hoy!$1:$1"),0)-1,100000,1),MATCH(CLEAN(TABLATRANSFERENCIA[[#This Row],[CODIGO]]),OFFSET(INDIRECT("v_buffer_hist_hoy!$A$1"),1,MATCH("buh_codigo",INDIRECT("v_buffer_hist_hoy!$1:$1"),0)-1,100000,1),0)),"")</calculatedColumnFormula>
    </tableColumn>
    <tableColumn id="38" name="PEDIDO MIN GRUPO" dataDxfId="55">
      <calculatedColumnFormula>IFERROR(INDEX(OFFSET(INDIRECT("v_buffer_hist_hoy!$A$1"),1,MATCH("buh_pedido_minimo_grupo",INDIRECT("v_buffer_hist_hoy!$1:$1"),0)-1,100000,1),MATCH(CLEAN(TABLATRANSFERENCIA[[#This Row],[CODIGO]]),OFFSET(INDIRECT("v_buffer_hist_hoy!$A$1"),1,MATCH("buh_codigo",INDIRECT("v_buffer_hist_hoy!$1:$1"),0)-1,100000,1),0)),"")</calculatedColumnFormula>
    </tableColumn>
    <tableColumn id="30" name="UNIDAD EMPAQUE" dataDxfId="54">
      <calculatedColumnFormula>IFERROR(INDEX(OFFSET(INDIRECT("v_buffer_hist_hoy!$A$1"),1,MATCH("buh_unidad_empaque",INDIRECT("v_buffer_hist_hoy!$1:$1"),0)-1,100000,1),MATCH(CLEAN(TABLATRANSFERENCIA[[#This Row],[CODIGO]]),OFFSET(INDIRECT("v_buffer_hist_hoy!$A$1"),1,MATCH("buh_codigo",INDIRECT("v_buffer_hist_hoy!$1:$1"),0)-1,100000,1),0)),"")</calculatedColumnFormula>
    </tableColumn>
    <tableColumn id="12" name="PEDIDO PROMEDIO" dataDxfId="53">
      <calculatedColumnFormula>IFERROR(INDEX(OFFSET(INDIRECT("v_buffer_hist_hoy!$A$1"),1,MATCH("buh_pedido_promedio",INDIRECT("v_buffer_hist_hoy!$1:$1"),0)-1,100000,1),MATCH(CLEAN(TABLATRANSFERENCIA[[#This Row],[CODIGO]]),OFFSET(INDIRECT("v_buffer_hist_hoy!$A$1"),1,MATCH("buh_codigo",INDIRECT("v_buffer_hist_hoy!$1:$1"),0)-1,100000,1),0)),"")</calculatedColumnFormula>
    </tableColumn>
    <tableColumn id="47" name="COBERT BUFFER" dataDxfId="52">
      <calculatedColumnFormula>IFERROR(INDEX(OFFSET(INDIRECT("v_buffer_hist_hoy!$A$1"),1,MATCH("buh_cobertura_buffer",INDIRECT("v_buffer_hist_hoy!$1:$1"),0)-1,100000,1),MATCH(CLEAN(TABLATRANSFERENCIA[[#This Row],[CODIGO]]),OFFSET(INDIRECT("v_buffer_hist_hoy!$A$1"),1,MATCH("buh_codigo",INDIRECT("v_buffer_hist_hoy!$1:$1"),0)-1,100000,1),0)),"")</calculatedColumnFormula>
    </tableColumn>
    <tableColumn id="48" name="COBERT INV PROY" dataDxfId="51">
      <calculatedColumnFormula>IFERROR(INDEX(OFFSET(INDIRECT("v_buffer_hist_hoy!$A$1"),1,MATCH("buh_cobertura_inventario_proyectado",INDIRECT("v_buffer_hist_hoy!$1:$1"),0)-1,100000,1),MATCH(CLEAN(TABLATRANSFERENCIA[[#This Row],[CODIGO]]),OFFSET(INDIRECT("v_buffer_hist_hoy!$A$1"),1,MATCH("buh_codigo",INDIRECT("v_buffer_hist_hoy!$1:$1"),0)-1,100000,1),0)),"")</calculatedColumnFormula>
    </tableColumn>
    <tableColumn id="49" name="COBERT PEDID MIN" dataDxfId="50">
      <calculatedColumnFormula>IFERROR(INDEX(OFFSET(INDIRECT("v_buffer_hist_hoy!$A$1"),1,MATCH("buh_cobertura_pedido_minimo",INDIRECT("v_buffer_hist_hoy!$1:$1"),0)-1,100000,1),MATCH(CLEAN(TABLATRANSFERENCIA[[#This Row],[CODIGO]]),OFFSET(INDIRECT("v_buffer_hist_hoy!$A$1"),1,MATCH("buh_codigo",INDIRECT("v_buffer_hist_hoy!$1:$1"),0)-1,100000,1),0)),"")</calculatedColumnFormula>
    </tableColumn>
    <tableColumn id="52" name="DIAS DESABASTECIM" dataDxfId="49">
      <calculatedColumnFormula>IFERROR(INDEX(OFFSET(INDIRECT("v_buffer_hist_hoy!$A$1"),1,MATCH("buh_dias_desabastecimiento",INDIRECT("v_buffer_hist_hoy!$1:$1"),0)-1,100000,1),MATCH(CLEAN(TABLATRANSFERENCIA[[#This Row],[CODIGO]]),OFFSET(INDIRECT("v_buffer_hist_hoy!$A$1"),1,MATCH("buh_codigo",INDIRECT("v_buffer_hist_hoy!$1:$1"),0)-1,100000,1),0)),"")</calculatedColumnFormula>
    </tableColumn>
    <tableColumn id="67" name="ULT TRANSFER INI" dataDxfId="48">
      <calculatedColumnFormula>IFERROR(INDEX(OFFSET(INDIRECT("v_buffer_hist_hoy!$A$1"),1,MATCH("buh_ultima_transferencia_ini",INDIRECT("v_buffer_hist_hoy!$1:$1"),0)-1,100000,1),MATCH(CLEAN(TABLATRANSFERENCIA[[#This Row],[CODIGO]]),OFFSET(INDIRECT("v_buffer_hist_hoy!$A$1"),1,MATCH("buh_codigo",INDIRECT("v_buffer_hist_hoy!$1:$1"),0)-1,100000,1),0)),"")</calculatedColumnFormula>
    </tableColumn>
    <tableColumn id="68" name="ULT TRANSFER FIN" dataDxfId="47">
      <calculatedColumnFormula>IFERROR(INDEX(OFFSET(INDIRECT("v_buffer_hist_hoy!$A$1"),1,MATCH("buh_ultima_transferencia_fin",INDIRECT("v_buffer_hist_hoy!$1:$1"),0)-1,100000,1),MATCH(CLEAN(TABLATRANSFERENCIA[[#This Row],[CODIGO]]),OFFSET(INDIRECT("v_buffer_hist_hoy!$A$1"),1,MATCH("buh_codigo",INDIRECT("v_buffer_hist_hoy!$1:$1"),0)-1,100000,1),0)),"")</calculatedColumnFormula>
    </tableColumn>
    <tableColumn id="64" name="2016-5" dataDxfId="46">
      <calculatedColumnFormula array="1">IFERROR(INDEX(Datos_Consumo[CANTIDAD],MATCH(XXYY[[#This Row],[CODIGO]]&amp;XXYY[[#Headers],[2016-5]],Datos_Consumo[CODIGO]&amp;Datos_Consumo[FECHA_FORMATO],0)),0)</calculatedColumnFormula>
    </tableColumn>
    <tableColumn id="63" name="2016-6" dataDxfId="45">
      <calculatedColumnFormula array="1">IFERROR(INDEX(Datos_Consumo[CANTIDAD],MATCH(XXYY[[#This Row],[CODIGO]]&amp;XXYY[[#Headers],[2016-6]],Datos_Consumo[CODIGO]&amp;Datos_Consumo[FECHA_FORMATO],0)),0)</calculatedColumnFormula>
    </tableColumn>
    <tableColumn id="62" name="Columna3" dataDxfId="44">
      <calculatedColumnFormula array="1">IFERROR(INDEX(Datos_Consumo[CANTIDAD],MATCH(XXYY[[#This Row],[CODIGO]]&amp;XXYY[[#Headers],[Columna3]],Datos_Consumo[CODIGO]&amp;Datos_Consumo[FECHA_FORMATO],0)),0)</calculatedColumnFormula>
    </tableColumn>
    <tableColumn id="61" name="Columna4" dataDxfId="43">
      <calculatedColumnFormula array="1">IFERROR(INDEX(Datos_Consumo[CANTIDAD],MATCH(XXYY[[#This Row],[CODIGO]]&amp;XXYY[[#Headers],[Columna4]],Datos_Consumo[CODIGO]&amp;Datos_Consumo[FECHA_FORMATO],0)),0)</calculatedColumnFormula>
    </tableColumn>
    <tableColumn id="60" name="Columna5" dataDxfId="42">
      <calculatedColumnFormula array="1">IFERROR(INDEX(Datos_Consumo[CANTIDAD],MATCH(XXYY[[#This Row],[CODIGO]]&amp;XXYY[[#Headers],[Columna5]],Datos_Consumo[CODIGO]&amp;Datos_Consumo[FECHA_FORMATO],0)),0)</calculatedColumnFormula>
    </tableColumn>
    <tableColumn id="59" name="Columna6" dataDxfId="41">
      <calculatedColumnFormula array="1">IFERROR(INDEX(Datos_Consumo[CANTIDAD],MATCH(XXYY[[#This Row],[CODIGO]]&amp;XXYY[[#Headers],[Columna6]],Datos_Consumo[CODIGO]&amp;Datos_Consumo[FECHA_FORMATO],0)),0)</calculatedColumnFormula>
    </tableColumn>
    <tableColumn id="8" name="REQUERIM" dataDxfId="40"/>
    <tableColumn id="13" name="REQ TOTAL" dataDxfId="39"/>
    <tableColumn id="66" name="EMBARQUES" dataDxfId="38"/>
    <tableColumn id="69" name="Emb1" dataDxfId="37">
      <calculatedColumnFormula>IF(RIGHT(XXYY[[#Headers],[Emb1]],1)*1&lt;=XXYY[[#This Row],[EMBARQUES]],IF(ISBLANK(XXYY[[#This Row],[EMBARQUES]]),XXYY[[#This Row],[REQUERIM]],ROUND(XXYY[[#This Row],[REQUERIM]]/XXYY[[#This Row],[EMBARQUES]],0)),XXYY[[#This Row],[REQUERIM]])</calculatedColumnFormula>
    </tableColumn>
    <tableColumn id="70" name="Emb2" dataDxfId="36">
      <calculatedColumnFormula>IF(RIGHT(XXYY[[#Headers],[Emb2]],1)*1&lt;XXYY[[#This Row],[EMBARQUES]],ROUND(XXYY[[#This Row],[REQUERIM]]/XXYY[[#This Row],[EMBARQUES]],0),IF(RIGHT(XXYY[[#Headers],[Emb2]],1)*1=XXYY[[#This Row],[EMBARQUES]],XXYY[[#This Row],[REQUERIM]]-SUM(XXYY[[#This Row],[Emb1]]),0))</calculatedColumnFormula>
    </tableColumn>
    <tableColumn id="71" name="Emb3" dataDxfId="35">
      <calculatedColumnFormula>IF(RIGHT(XXYY[[#Headers],[Emb3]],1)*1&lt;XXYY[[#This Row],[EMBARQUES]],ROUND(XXYY[[#This Row],[REQUERIM]]/XXYY[[#This Row],[EMBARQUES]],0),IF(RIGHT(XXYY[[#Headers],[Emb3]],1)*1=XXYY[[#This Row],[EMBARQUES]],XXYY[[#This Row],[REQUERIM]]-SUM(XXYY[[#This Row],[Emb1]:[Emb2]]),0))</calculatedColumnFormula>
    </tableColumn>
    <tableColumn id="72" name="Emb4" dataDxfId="34">
      <calculatedColumnFormula>IF(RIGHT(XXYY[[#Headers],[Emb4]],1)*1&lt;XXYY[[#This Row],[EMBARQUES]],ROUND(XXYY[[#This Row],[REQUERIM]]/XXYY[[#This Row],[EMBARQUES]],0),IF(RIGHT(XXYY[[#Headers],[Emb4]],1)*1=XXYY[[#This Row],[EMBARQUES]],XXYY[[#This Row],[REQUERIM]]-SUM(XXYY[[#This Row],[Emb1]:[Emb3]]),0))</calculatedColumnFormula>
    </tableColumn>
    <tableColumn id="73" name="Emb5" dataDxfId="33">
      <calculatedColumnFormula>IF(RIGHT(XXYY[[#Headers],[Emb5]],1)*1&lt;XXYY[[#This Row],[EMBARQUES]],ROUND(XXYY[[#This Row],[REQUERIM]]/XXYY[[#This Row],[EMBARQUES]],0),IF(RIGHT(XXYY[[#Headers],[Emb5]],1)*1=XXYY[[#This Row],[EMBARQUES]],XXYY[[#This Row],[REQUERIM]]-SUM(XXYY[[#This Row],[Emb1]:[Emb4]]),0))</calculatedColumnFormula>
    </tableColumn>
    <tableColumn id="74" name="OBSERVACIONES" dataDxfId="32"/>
    <tableColumn id="44" name="TAMAÑO RELATIVO" dataDxfId="31">
      <calculatedColumnFormula>IFERROR(XXYY[[#This Row],[REQUERIM]]/XXYY[[#This Row],[PEDIDO PROMEDIO]],0)</calculatedColumnFormula>
    </tableColumn>
    <tableColumn id="9" name="DESPACHO" dataDxfId="30"/>
    <tableColumn id="10" name="RECIBIDO" dataDxfId="29"/>
    <tableColumn id="11" name="TRANSITO" dataDxfId="28">
      <calculatedColumnFormula>IF(XXYY[[#This Row],[RECIBIDO]]&lt;&gt;"",0,IF(XXYY[[#This Row],[DESPACHO]]&lt;&gt;"",XXYY[[#This Row],[DESPACHO]],XXYY[[#This Row],[REQUERIM]]))</calculatedColumnFormula>
    </tableColumn>
    <tableColumn id="16" name="OBSERVACIONES DESPACHOS" dataDxfId="27"/>
    <tableColumn id="17" name="OBSERVACIONES RECEPCIONES" dataDxfId="26"/>
    <tableColumn id="18" name="TIPO TRANSF" dataDxfId="25">
      <calculatedColumnFormula>"N"</calculatedColumnFormula>
    </tableColumn>
    <tableColumn id="35" name="Error Pedid Min Grupo" dataDxfId="24">
      <calculatedColumnFormula array="1">IF(SUM(--(XXYY[[#This Row],[CODIGO GENERICO]]=XXYY[CODIGO GENERICO])*XXYY[REQUERIM])&lt;XXYY[[#This Row],[PEDIDO MIN GRUPO]],1,0)</calculatedColumnFormula>
    </tableColumn>
    <tableColumn id="56" name="Color Proyectado" dataDxfId="23">
      <calculatedColumnFormula>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calculatedColumnFormula>
    </tableColumn>
    <tableColumn id="57" name="ZONA AMARILLA" dataDxfId="22">
      <calculatedColumnFormula>IFERROR(INDEX(OFFSET(INDIRECT("v_buffer_hist_hoy!$A$1"),1,MATCH("buh_zona_amarilla",INDIRECT("v_buffer_hist_hoy!$1:$1"),0)-1,100000,1),MATCH(CLEAN(TABLATRANSFERENCIA[[#This Row],[CODIGO]]),OFFSET(INDIRECT("v_buffer_hist_hoy!$A$1"),1,MATCH("buh_codigo",INDIRECT("v_buffer_hist_hoy!$1:$1"),0)-1,100000,1),0)),"")</calculatedColumnFormula>
    </tableColumn>
    <tableColumn id="58" name="ZONA ROJA" dataDxfId="21">
      <calculatedColumnFormula>IFERROR(INDEX(OFFSET(INDIRECT("v_buffer_hist_hoy!$A$1"),1,MATCH("buh_zona_roja",INDIRECT("v_buffer_hist_hoy!$1:$1"),0)-1,100000,1),MATCH(CLEAN(TABLATRANSFERENCIA[[#This Row],[CODIGO]]),OFFSET(INDIRECT("v_buffer_hist_hoy!$A$1"),1,MATCH("buh_codigo",INDIRECT("v_buffer_hist_hoy!$1:$1"),0)-1,100000,1),0)),"")</calculatedColumnFormula>
    </tableColumn>
    <tableColumn id="76" name="Pedido Calculado" dataDxfId="20">
      <calculatedColumnFormula>IFERROR(INDEX(OFFSET(INDIRECT("v_buffer_hist_hoy!$A$1"),1,MATCH("buh_pedido_calculado",INDIRECT("v_buffer_hist_hoy!$1:$1"),0)-1,100000,1),MATCH(CLEAN(TABLATRANSFERENCIA[[#This Row],[CODIGO]]),OFFSET(INDIRECT("v_buffer_hist_hoy!$A$1"),1,MATCH("buh_codigo",INDIRECT("v_buffer_hist_hoy!$1:$1"),0)-1,100000,1),0)),"")</calculatedColumnFormula>
    </tableColumn>
  </tableColumns>
  <tableStyleInfo name="TableStyleLight1" showFirstColumn="0" showLastColumn="0" showRowStripes="1" showColumnStripes="0"/>
</table>
</file>

<file path=xl/tables/table3.xml><?xml version="1.0" encoding="utf-8"?>
<table xmlns="http://schemas.openxmlformats.org/spreadsheetml/2006/main" id="9" name="Tabla_Datos_Codigo" displayName="Tabla_Datos_Codigo" ref="A1:E2" tableType="queryTable" insertRow="1"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19"/>
  </tableColumns>
  <tableStyleInfo name="TableStyleMedium9" showFirstColumn="0" showLastColumn="0" showRowStripes="1" showColumnStripes="0"/>
</table>
</file>

<file path=xl/tables/table4.xml><?xml version="1.0" encoding="utf-8"?>
<table xmlns="http://schemas.openxmlformats.org/spreadsheetml/2006/main" id="10" name="Tabla_Path_Codigo11" displayName="Tabla_Path_Codigo11"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5.xml><?xml version="1.0" encoding="utf-8"?>
<table xmlns="http://schemas.openxmlformats.org/spreadsheetml/2006/main" id="11"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18"/>
    <tableColumn id="7" uniqueName="7" name="PATH" queryTableFieldId="7" dataDxfId="17"/>
    <tableColumn id="5" uniqueName="5" name="COMPLETO" queryTableFieldId="5" dataDxfId="16">
      <calculatedColumnFormula>Tabla_Path_Codigo_Nueva[PATH]&amp;"\"&amp;Tabla_Path_Codigo_Nueva[ARCHIVO]</calculatedColumnFormula>
    </tableColumn>
  </tableColumns>
  <tableStyleInfo name="TableStyleMedium9" showFirstColumn="0" showLastColumn="0" showRowStripes="1" showColumnStripes="0"/>
</table>
</file>

<file path=xl/tables/table6.xml><?xml version="1.0" encoding="utf-8"?>
<table xmlns="http://schemas.openxmlformats.org/spreadsheetml/2006/main" id="3" name="tbl_Datos_Empresa" displayName="tbl_Datos_Empresa" ref="Q1:R3" tableType="queryTable" totalsRowShown="0">
  <autoFilter ref="Q1:R3"/>
  <tableColumns count="2">
    <tableColumn id="1" uniqueName="1" name="emp_codigo" queryTableFieldId="1"/>
    <tableColumn id="2" uniqueName="2" name="emp_nombre" queryTableFieldId="2"/>
  </tableColumns>
  <tableStyleInfo name="TableStyleMedium3" showFirstColumn="0" showLastColumn="0" showRowStripes="1" showColumnStripes="0"/>
</table>
</file>

<file path=xl/tables/table7.xml><?xml version="1.0" encoding="utf-8"?>
<table xmlns="http://schemas.openxmlformats.org/spreadsheetml/2006/main" id="12" name="tbl_Datos_Bodega" displayName="tbl_Datos_Bodega" ref="T1:W111" tableType="queryTable" totalsRowShown="0">
  <autoFilter ref="T1:W111"/>
  <tableColumns count="4">
    <tableColumn id="7" uniqueName="7" name="emp_codigo" queryTableFieldId="7"/>
    <tableColumn id="8" uniqueName="8" name="emp_nombre" queryTableFieldId="8"/>
    <tableColumn id="9" uniqueName="9" name="bod_codigo" queryTableFieldId="9"/>
    <tableColumn id="10" uniqueName="10" name="bod_nombre" queryTableFieldId="10"/>
  </tableColumns>
  <tableStyleInfo name="TableStyleMedium13" showFirstColumn="0" showLastColumn="0" showRowStripes="1" showColumnStripes="0"/>
</table>
</file>

<file path=xl/tables/table8.xml><?xml version="1.0" encoding="utf-8"?>
<table xmlns="http://schemas.openxmlformats.org/spreadsheetml/2006/main" id="2" name="Tabla_CubicajeAgrota" displayName="Tabla_CubicajeAgrota" ref="A1:C2" insertRow="1" totalsRowShown="0">
  <autoFilter ref="A1:C2"/>
  <tableColumns count="3">
    <tableColumn id="1" name="CODIGO"/>
    <tableColumn id="2" name="VOL"/>
    <tableColumn id="3" name="CANTIDAD" dataDxfId="15"/>
  </tableColumns>
  <tableStyleInfo name="TableStyleMedium9" showFirstColumn="0" showLastColumn="0" showRowStripes="1" showColumnStripes="0"/>
</table>
</file>

<file path=xl/tables/table9.xml><?xml version="1.0" encoding="utf-8"?>
<table xmlns="http://schemas.openxmlformats.org/spreadsheetml/2006/main" id="5" name="Tabla_Recetas" displayName="Tabla_Recetas" ref="A1:I24" tableType="queryTable" totalsRowShown="0">
  <autoFilter ref="A1:I24"/>
  <tableColumns count="9">
    <tableColumn id="1" uniqueName="1" name="Cod Padre" queryTableFieldId="1"/>
    <tableColumn id="2" uniqueName="2" name="Descripcion Padre" queryTableFieldId="2"/>
    <tableColumn id="3" uniqueName="3" name="Unidad Padre" queryTableFieldId="3"/>
    <tableColumn id="4" uniqueName="4" name="Cod Hijo" queryTableFieldId="4"/>
    <tableColumn id="5" uniqueName="5" name="Descripcion Hijo" queryTableFieldId="5"/>
    <tableColumn id="6" uniqueName="6" name="Cantidad" queryTableFieldId="6"/>
    <tableColumn id="7" uniqueName="7" name="Unidad Hijo" queryTableFieldId="7"/>
    <tableColumn id="8" uniqueName="8" name="ExistePadre" queryTableFieldId="8" dataDxfId="14">
      <calculatedColumnFormula>IFERROR(MATCH(Tabla_Recetas[[#This Row],[Cod Padre]],TABLATRANSFERENCIA[CODIGO],0),0)</calculatedColumnFormula>
    </tableColumn>
    <tableColumn id="12" uniqueName="12" name="Cantidad Requerida" queryTableFieldId="12" dataDxfId="13">
      <calculatedColumnFormula>IF(Tabla_Recetas[[#This Row],[ExistePadre]]=0,0,IFERROR(INDEX(TABLATRANSFERENCIA[REQUERIM],Tabla_Recetas[[#This Row],[ExistePadre]],1),0))*Tabla_Recetas[[#This Row],[Cantidad]]</calculatedColumnFormula>
    </tableColumn>
  </tableColumns>
  <tableStyleInfo name="TableStyleMedium9" showFirstColumn="0" showLastColumn="0" showRowStripes="1" showColumnStripes="0"/>
</table>
</file>

<file path=xl/tables/table10.xml><?xml version="1.0" encoding="utf-8"?>
<table xmlns="http://schemas.openxmlformats.org/spreadsheetml/2006/main" id="6" name="Tabla_MPyPT" displayName="Tabla_MPyPT" ref="A1:B745" tableType="queryTable" totalsRowShown="0">
  <autoFilter ref="A1:B745"/>
  <tableColumns count="2">
    <tableColumn id="1" uniqueName="1" name="CodigoVentaproducto" queryTableFieldId="1"/>
    <tableColumn id="2" uniqueName="2" name="NombreGrupo" queryTableFieldId="2"/>
  </tableColumns>
  <tableStyleInfo name="TableStyleMedium9" showFirstColumn="0" showLastColumn="0" showRowStripes="1" showColumnStripes="0"/>
</table>
</file>

<file path=xl/tables/table11.xml><?xml version="1.0" encoding="utf-8"?>
<table xmlns="http://schemas.openxmlformats.org/spreadsheetml/2006/main" id="7" name="Tabla_Causas" displayName="Tabla_Causas" ref="A1:A4" tableType="queryTable" totalsRowShown="0">
  <autoFilter ref="A1:A4"/>
  <tableColumns count="1">
    <tableColumn id="1" uniqueName="1" name="Causa" queryTableFieldId="1"/>
  </tableColumns>
  <tableStyleInfo name="TableStyleMedium9" showFirstColumn="0" showLastColumn="0" showRowStripes="1" showColumnStripes="0"/>
</table>
</file>

<file path=xl/tables/table12.xml><?xml version="1.0" encoding="utf-8"?>
<table xmlns="http://schemas.openxmlformats.org/spreadsheetml/2006/main" id="8" name="Tabla_Impresion_Requerimientos" displayName="Tabla_Impresion_Requerimientos" ref="A5:D6" insertRow="1" totalsRowShown="0" headerRowDxfId="12">
  <autoFilter ref="A5:D6"/>
  <tableColumns count="4">
    <tableColumn id="1" name="CÓDIGO"/>
    <tableColumn id="2" name="DESCRIPCIÓN"/>
    <tableColumn id="3" name="CANTIDAD" dataDxfId="11"/>
    <tableColumn id="4" name="CUMPLIMIENTO"/>
  </tableColumns>
  <tableStyleInfo name="TableStyleLight15" showFirstColumn="0" showLastColumn="0" showRowStripes="0" showColumnStripes="0"/>
</table>
</file>

<file path=xl/tables/table13.xml><?xml version="1.0" encoding="utf-8"?>
<table xmlns="http://schemas.openxmlformats.org/spreadsheetml/2006/main" id="4" name="Consolidados" displayName="Consolidados" ref="A1:DF2" insertRow="1" totalsRowShown="0">
  <autoFilter ref="A1:DF2"/>
  <tableColumns count="110">
    <tableColumn id="1" name="datos_consolidados_id"/>
    <tableColumn id="2" name="con_empresa"/>
    <tableColumn id="3" name="con_archivo"/>
    <tableColumn id="4" name="con_bodega"/>
    <tableColumn id="5" name="con_proveedor"/>
    <tableColumn id="6" name="con_perfil"/>
    <tableColumn id="7" name="con_codigo"/>
    <tableColumn id="8" name="con_codigo_generico"/>
    <tableColumn id="9" name="con_codigo_vinculado"/>
    <tableColumn id="10" name="con_nuevo_buffer_sugerido"/>
    <tableColumn id="11" name="con_nuevo_buffer_real"/>
    <tableColumn id="12" name="con_observaciones"/>
    <tableColumn id="13" name="con_tipo"/>
    <tableColumn id="14" name="con_ctv"/>
    <tableColumn id="15" name="con_pv"/>
    <tableColumn id="16" name="con_pedido_minimo"/>
    <tableColumn id="17" name="con_pedido_minimo_grupo"/>
    <tableColumn id="18" name="con_unidad_empaque"/>
    <tableColumn id="19" name="con_porcentaje_atencion"/>
    <tableColumn id="20" name="con_inventario_proveedor"/>
    <tableColumn id="21" name="con_buffer"/>
    <tableColumn id="22" name="con_inventario_fisico"/>
    <tableColumn id="23" name="con_color"/>
    <tableColumn id="24" name="con_estado_buffer"/>
    <tableColumn id="25" name="con_transito"/>
    <tableColumn id="26" name="con_negociacion"/>
    <tableColumn id="27" name="con_produccion"/>
    <tableColumn id="28" name="con_embarcado"/>
    <tableColumn id="29" name="con_comprometido"/>
    <tableColumn id="30" name="con_backorder"/>
    <tableColumn id="31" name="con_inventario_proyectado"/>
    <tableColumn id="32" name="con_pedido_calculado"/>
    <tableColumn id="33" name="con_pedido_real"/>
    <tableColumn id="34" name="con_pedido_promedio"/>
    <tableColumn id="35" name="con_tdd"/>
    <tableColumn id="36" name="con_idd"/>
    <tableColumn id="37" name="con_rentabilidad"/>
    <tableColumn id="38" name="con_velocity"/>
    <tableColumn id="39" name="con_nivel_servicio"/>
    <tableColumn id="40" name="con_ultimo_cambio"/>
    <tableColumn id="41" name="con_tipo_compra"/>
    <tableColumn id="42" name="con_consumo"/>
    <tableColumn id="43" name="con_ped_prom"/>
    <tableColumn id="44" name="con_fin"/>
    <tableColumn id="45" name="con_gdb"/>
    <tableColumn id="46" name="con_cam"/>
    <tableColumn id="47" name="con_comportamiento"/>
    <tableColumn id="48" name="con_consumo1"/>
    <tableColumn id="49" name="con_buffer_calculado"/>
    <tableColumn id="50" name="con_cobertura_buffer"/>
    <tableColumn id="51" name="con_cobertura_inventario_proyectado"/>
    <tableColumn id="52" name="con_cobertura_pedido_minimo"/>
    <tableColumn id="53" name="con_dias_desabastecimiento"/>
    <tableColumn id="54" name="con_buffer_minimo"/>
    <tableColumn id="55" name="con_buffer_maximo"/>
    <tableColumn id="56" name="con_impacto_faltante"/>
    <tableColumn id="57" name="con_zona_amarilla"/>
    <tableColumn id="58" name="con_zona_roja"/>
    <tableColumn id="59" name="con_color1"/>
    <tableColumn id="60" name="con_ultimo_buffer"/>
    <tableColumn id="61" name="con_buffer_anterior_estacion"/>
    <tableColumn id="62" name="con_buffer_estacional"/>
    <tableColumn id="63" name="con_estado_buffer_proyectado"/>
    <tableColumn id="64" name="con_calendario_estacional"/>
    <tableColumn id="65" name="con_accion_estacional"/>
    <tableColumn id="66" name="con_etapa_estacional"/>
    <tableColumn id="67" name="con_rentabilidad_proyectada"/>
    <tableColumn id="68" name="con_inicio_horizonte"/>
    <tableColumn id="69" name="con_fin_horizonte"/>
    <tableColumn id="70" name="con_variabilidad"/>
    <tableColumn id="71" name="con_rojo_acumulado"/>
    <tableColumn id="72" name="con_negro"/>
    <tableColumn id="73" name="con_rojo"/>
    <tableColumn id="74" name="con_amarillo"/>
    <tableColumn id="75" name="con_verde"/>
    <tableColumn id="76" name="con_lila"/>
    <tableColumn id="77" name="con_ingresos"/>
    <tableColumn id="78" name="con_egresos"/>
    <tableColumn id="105" name="con_pospone_alerta_buf"/>
    <tableColumn id="106" name="con_pospone_alerta_red"/>
    <tableColumn id="107" name="con_pospone_alerta_gdb"/>
    <tableColumn id="108" name="con_estatus" dataDxfId="10"/>
    <tableColumn id="109" name="con_ultima_transferencia_ini" dataDxfId="9"/>
    <tableColumn id="110" name="con_ultima_transferencia_fin" dataDxfId="8"/>
    <tableColumn id="79" name="pro_grupo"/>
    <tableColumn id="80" name="emp_nombre"/>
    <tableColumn id="81" name="bod_nombre"/>
    <tableColumn id="82" name="pro_nombre"/>
    <tableColumn id="83" name="pro_linea"/>
    <tableColumn id="84" name="pro_sublinea"/>
    <tableColumn id="85" name="pro_modelo"/>
    <tableColumn id="86" name="pro_familia"/>
    <tableColumn id="87" name="pro_subfamilia"/>
    <tableColumn id="88" name="pro_categoria"/>
    <tableColumn id="89" name="pro_tipo"/>
    <tableColumn id="90" name="pro_marca"/>
    <tableColumn id="91" name="pro_cat_management"/>
    <tableColumn id="92" name="pro_catpropia1"/>
    <tableColumn id="93" name="pro_catpropia2"/>
    <tableColumn id="94" name="pro_catpropia3"/>
    <tableColumn id="95" name="pro_catpropia4"/>
    <tableColumn id="96" name="pro_catpropia5"/>
    <tableColumn id="97" name="pro_precio"/>
    <tableColumn id="98" name="pro_costo"/>
    <tableColumn id="99" name="pre_nombre"/>
    <tableColumn id="100" name="pro_descripcion"/>
    <tableColumn id="101" name="pro_codigogenerico"/>
    <tableColumn id="102" name="pro_codigovinculado"/>
    <tableColumn id="103" name="pre_tiemposuministro"/>
    <tableColumn id="104" name="pre_frecuenciareposicion"/>
  </tableColumns>
  <tableStyleInfo name="TableStyleMedium9" showFirstColumn="0" showLastColumn="0" showRowStripes="1" showColumnStripes="0"/>
</table>
</file>

<file path=xl/tables/table14.xml><?xml version="1.0" encoding="utf-8"?>
<table xmlns="http://schemas.openxmlformats.org/spreadsheetml/2006/main" id="13" name="Datos_Consumo" displayName="Datos_Consumo" ref="A1:D518" totalsRowShown="0">
  <autoFilter ref="A1:D518"/>
  <tableColumns count="4">
    <tableColumn id="1" name="CODIGO"/>
    <tableColumn id="2" name="CANTIDAD"/>
    <tableColumn id="3" name="FECHA"/>
    <tableColumn id="4" name="FECHA_FORMATO" dataDxfId="7">
      <calculatedColumnFormula>YEAR(Datos_Consumo[[#This Row],[FECHA]])&amp;"-"&amp;MONTH(Datos_Consumo[[#This Row],[FECHA]])</calculatedColumnFormula>
    </tableColumn>
  </tableColumns>
  <tableStyleInfo name="TableStyleMedium9" showFirstColumn="0" showLastColumn="0" showRowStripes="1" showColumnStripes="0"/>
</table>
</file>

<file path=xl/tables/table15.xml><?xml version="1.0" encoding="utf-8"?>
<table xmlns="http://schemas.openxmlformats.org/spreadsheetml/2006/main" id="14" name="Fecha_Consumo" displayName="Fecha_Consumo" ref="F1:G5" totalsRowShown="0">
  <autoFilter ref="F1:G5"/>
  <tableColumns count="2">
    <tableColumn id="1" name="FECHAS_CONSUMO"/>
    <tableColumn id="2" name="FECHA_FORMATO" dataDxfId="6">
      <calculatedColumnFormula>YEAR(Fecha_Consumo[[#This Row],[FECHAS_CONSUMO]])&amp;"-"&amp;MONTH(Fecha_Consumo[[#This Row],[FECHAS_CONSUMO]])</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2.emf"/><Relationship Id="rId50" Type="http://schemas.openxmlformats.org/officeDocument/2006/relationships/control" Target="../activeX/activeX24.xml"/><Relationship Id="rId55" Type="http://schemas.openxmlformats.org/officeDocument/2006/relationships/comments" Target="../comments1.xml"/><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3.emf"/><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45" Type="http://schemas.openxmlformats.org/officeDocument/2006/relationships/image" Target="../media/image21.emf"/><Relationship Id="rId53" Type="http://schemas.openxmlformats.org/officeDocument/2006/relationships/image" Target="../media/image25.emf"/><Relationship Id="rId5" Type="http://schemas.openxmlformats.org/officeDocument/2006/relationships/image" Target="../media/image1.emf"/><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4" Type="http://schemas.openxmlformats.org/officeDocument/2006/relationships/control" Target="../activeX/activeX21.xml"/><Relationship Id="rId52" Type="http://schemas.openxmlformats.org/officeDocument/2006/relationships/control" Target="../activeX/activeX25.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4.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 Id="rId46" Type="http://schemas.openxmlformats.org/officeDocument/2006/relationships/control" Target="../activeX/activeX22.xml"/><Relationship Id="rId20" Type="http://schemas.openxmlformats.org/officeDocument/2006/relationships/control" Target="../activeX/activeX9.xml"/><Relationship Id="rId41" Type="http://schemas.openxmlformats.org/officeDocument/2006/relationships/image" Target="../media/image19.emf"/><Relationship Id="rId54" Type="http://schemas.openxmlformats.org/officeDocument/2006/relationships/table" Target="../tables/table1.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2.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ivotTable" Target="../pivotTables/pivotTable1.xml"/><Relationship Id="rId6" Type="http://schemas.openxmlformats.org/officeDocument/2006/relationships/image" Target="../media/image26.emf"/><Relationship Id="rId5" Type="http://schemas.openxmlformats.org/officeDocument/2006/relationships/control" Target="../activeX/activeX26.xml"/><Relationship Id="rId4"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8" Type="http://schemas.openxmlformats.org/officeDocument/2006/relationships/table" Target="../tables/table12.xml"/><Relationship Id="rId3" Type="http://schemas.openxmlformats.org/officeDocument/2006/relationships/vmlDrawing" Target="../drawings/vmlDrawing4.vml"/><Relationship Id="rId7" Type="http://schemas.openxmlformats.org/officeDocument/2006/relationships/image" Target="../media/image28.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28.xml"/><Relationship Id="rId5" Type="http://schemas.openxmlformats.org/officeDocument/2006/relationships/image" Target="../media/image27.emf"/><Relationship Id="rId4" Type="http://schemas.openxmlformats.org/officeDocument/2006/relationships/control" Target="../activeX/activeX27.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CB10"/>
  <sheetViews>
    <sheetView showGridLines="0" tabSelected="1" zoomScale="80" zoomScaleNormal="80" workbookViewId="0">
      <pane xSplit="4" ySplit="8" topLeftCell="BT9" activePane="bottomRight" state="frozen"/>
      <selection pane="topRight" activeCell="E1" sqref="E1"/>
      <selection pane="bottomLeft" activeCell="A9" sqref="A9"/>
      <selection pane="bottomRight" activeCell="BZ9" sqref="BZ9:CA10"/>
    </sheetView>
  </sheetViews>
  <sheetFormatPr baseColWidth="10" defaultRowHeight="15" x14ac:dyDescent="0.25"/>
  <cols>
    <col min="1" max="1" width="19.5703125" customWidth="1"/>
    <col min="2" max="2" width="46.140625" customWidth="1"/>
    <col min="3" max="3" width="21" customWidth="1"/>
    <col min="4" max="4" width="17.42578125" customWidth="1"/>
    <col min="5" max="5" width="20.7109375" customWidth="1"/>
    <col min="6" max="6" width="20.7109375" hidden="1" customWidth="1"/>
    <col min="7" max="14" width="20.7109375" customWidth="1"/>
    <col min="15" max="20" width="10.7109375" customWidth="1"/>
    <col min="21" max="21" width="15.140625" customWidth="1"/>
    <col min="22" max="23" width="25.7109375" customWidth="1"/>
    <col min="24" max="25" width="12" customWidth="1"/>
    <col min="26" max="27" width="16.42578125" customWidth="1"/>
    <col min="28" max="28" width="11.42578125" customWidth="1"/>
    <col min="29" max="30" width="13.28515625" customWidth="1"/>
    <col min="31" max="35" width="11.42578125" customWidth="1"/>
    <col min="36" max="36" width="13.42578125" customWidth="1"/>
    <col min="37" max="37" width="13.140625" customWidth="1"/>
    <col min="38" max="38" width="15.28515625" customWidth="1"/>
    <col min="39" max="39" width="14.85546875" customWidth="1"/>
    <col min="40" max="40" width="11.42578125" customWidth="1"/>
    <col min="41" max="41" width="13.5703125" customWidth="1"/>
    <col min="42" max="42" width="11.42578125" customWidth="1"/>
    <col min="43" max="53" width="13.140625" customWidth="1"/>
    <col min="54" max="66" width="15.7109375" customWidth="1"/>
    <col min="67" max="67" width="26.85546875" hidden="1" customWidth="1"/>
    <col min="68" max="68" width="17.7109375" hidden="1" customWidth="1"/>
    <col min="69" max="69" width="28.85546875" customWidth="1"/>
    <col min="70" max="70" width="31" customWidth="1"/>
    <col min="71" max="71" width="19.5703125" hidden="1" customWidth="1"/>
    <col min="72" max="72" width="30.7109375" customWidth="1"/>
    <col min="73" max="73" width="29.85546875" customWidth="1"/>
    <col min="74" max="74" width="13.5703125" customWidth="1"/>
    <col min="75" max="75" width="11.42578125" customWidth="1"/>
    <col min="76" max="79" width="11.42578125" hidden="1" customWidth="1"/>
    <col min="80" max="80" width="0" hidden="1" customWidth="1"/>
  </cols>
  <sheetData>
    <row r="1" spans="1:80" ht="51.75" customHeight="1" x14ac:dyDescent="0.3">
      <c r="A1" s="34"/>
      <c r="B1" s="35"/>
      <c r="C1" s="35"/>
      <c r="D1" s="66" t="s">
        <v>1701</v>
      </c>
      <c r="E1" s="35"/>
      <c r="F1" s="35"/>
      <c r="G1" s="35"/>
      <c r="H1" s="35"/>
      <c r="I1" s="35"/>
      <c r="J1" s="35"/>
      <c r="K1" s="35"/>
      <c r="L1" s="35"/>
      <c r="M1" s="35"/>
      <c r="N1" s="35"/>
      <c r="O1" s="35"/>
      <c r="P1" s="35"/>
      <c r="Q1" s="35"/>
      <c r="R1" s="37"/>
      <c r="S1" s="37"/>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row>
    <row r="2" spans="1:80" x14ac:dyDescent="0.25">
      <c r="A2" s="17" t="s">
        <v>12</v>
      </c>
      <c r="B2" s="18">
        <v>51</v>
      </c>
      <c r="C2" s="19" t="s">
        <v>0</v>
      </c>
      <c r="D2" s="20">
        <v>42838</v>
      </c>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row>
    <row r="3" spans="1:80" x14ac:dyDescent="0.25">
      <c r="A3" s="21" t="s">
        <v>2</v>
      </c>
      <c r="B3" s="22" t="s">
        <v>1689</v>
      </c>
      <c r="C3" s="23" t="s">
        <v>1</v>
      </c>
      <c r="D3" s="24"/>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row>
    <row r="4" spans="1:80" x14ac:dyDescent="0.25">
      <c r="A4" s="21" t="s">
        <v>3</v>
      </c>
      <c r="B4" s="25" t="s">
        <v>1368</v>
      </c>
      <c r="C4" s="26" t="str">
        <f>COUNTA(TABLATRANSFERENCIA[CODIGO])&amp;"-"&amp;SUBTOTAL(3,TABLATRANSFERENCIA[CODIGO])&amp;" SKU"</f>
        <v>2-2 SKU</v>
      </c>
      <c r="D4" s="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row>
    <row r="5" spans="1:80" x14ac:dyDescent="0.25">
      <c r="A5" s="21" t="s">
        <v>1376</v>
      </c>
      <c r="B5" s="28" t="s">
        <v>1700</v>
      </c>
      <c r="C5" s="23" t="s">
        <v>23</v>
      </c>
      <c r="D5" s="29">
        <f>IFERROR(SUMPRODUCT(TABLATRANSFERENCIA[CTV],TABLATRANSFERENCIA[TRANSITO]),"")</f>
        <v>2353.5</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row>
    <row r="6" spans="1:80" ht="17.25" x14ac:dyDescent="0.25">
      <c r="A6" s="21" t="s">
        <v>24</v>
      </c>
      <c r="B6" s="24"/>
      <c r="C6" s="23" t="s">
        <v>25</v>
      </c>
      <c r="D6" s="30">
        <f>IFERROR(SUMPRODUCT(Tabla_CubicajeAgrota[VOL],Tabla_CubicajeAgrota[CANTIDAD]),0)</f>
        <v>0</v>
      </c>
      <c r="E6" s="36" t="s">
        <v>29</v>
      </c>
      <c r="F6" s="36"/>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c r="BT6" s="36"/>
      <c r="BU6" s="36"/>
      <c r="BV6" s="36"/>
      <c r="BW6" s="36"/>
      <c r="BX6" s="36"/>
    </row>
    <row r="7" spans="1:80" x14ac:dyDescent="0.25">
      <c r="A7" s="31" t="s">
        <v>837</v>
      </c>
      <c r="B7" s="32"/>
      <c r="C7" s="65" t="str">
        <f>lista_errores</f>
        <v/>
      </c>
      <c r="D7" s="33"/>
      <c r="E7" s="36"/>
      <c r="F7" s="36"/>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c r="BT7" s="36"/>
      <c r="BU7" s="36"/>
      <c r="BV7" s="36"/>
      <c r="BW7" s="36"/>
      <c r="BX7" s="36"/>
    </row>
    <row r="8" spans="1:80" ht="45.75" customHeight="1" x14ac:dyDescent="0.25">
      <c r="A8" s="47" t="s">
        <v>26</v>
      </c>
      <c r="B8" s="47" t="s">
        <v>851</v>
      </c>
      <c r="C8" s="47" t="s">
        <v>909</v>
      </c>
      <c r="D8" s="47" t="s">
        <v>1020</v>
      </c>
      <c r="E8" s="47" t="s">
        <v>892</v>
      </c>
      <c r="F8" s="47" t="s">
        <v>903</v>
      </c>
      <c r="G8" s="47" t="s">
        <v>891</v>
      </c>
      <c r="H8" s="47" t="s">
        <v>884</v>
      </c>
      <c r="I8" s="47" t="s">
        <v>885</v>
      </c>
      <c r="J8" s="47" t="s">
        <v>886</v>
      </c>
      <c r="K8" s="47" t="s">
        <v>887</v>
      </c>
      <c r="L8" s="47" t="s">
        <v>888</v>
      </c>
      <c r="M8" s="47" t="s">
        <v>889</v>
      </c>
      <c r="N8" s="47" t="s">
        <v>890</v>
      </c>
      <c r="O8" s="42" t="s">
        <v>1038</v>
      </c>
      <c r="P8" s="42" t="s">
        <v>18</v>
      </c>
      <c r="Q8" s="42" t="s">
        <v>19</v>
      </c>
      <c r="R8" s="42" t="s">
        <v>10</v>
      </c>
      <c r="S8" s="42" t="s">
        <v>980</v>
      </c>
      <c r="T8" s="42" t="s">
        <v>37</v>
      </c>
      <c r="U8" s="42" t="s">
        <v>38</v>
      </c>
      <c r="V8" s="42" t="s">
        <v>844</v>
      </c>
      <c r="W8" s="42" t="s">
        <v>908</v>
      </c>
      <c r="X8" s="42" t="s">
        <v>1027</v>
      </c>
      <c r="Y8" s="42" t="s">
        <v>1028</v>
      </c>
      <c r="Z8" s="44" t="s">
        <v>8</v>
      </c>
      <c r="AA8" s="44" t="s">
        <v>1148</v>
      </c>
      <c r="AB8" s="44" t="s">
        <v>904</v>
      </c>
      <c r="AC8" s="44" t="s">
        <v>9</v>
      </c>
      <c r="AD8" s="44" t="s">
        <v>977</v>
      </c>
      <c r="AE8" s="44" t="s">
        <v>907</v>
      </c>
      <c r="AF8" s="44" t="s">
        <v>916</v>
      </c>
      <c r="AG8" s="44" t="s">
        <v>917</v>
      </c>
      <c r="AH8" s="44" t="s">
        <v>918</v>
      </c>
      <c r="AI8" s="44" t="s">
        <v>905</v>
      </c>
      <c r="AJ8" s="44" t="s">
        <v>906</v>
      </c>
      <c r="AK8" s="44" t="s">
        <v>913</v>
      </c>
      <c r="AL8" s="44" t="s">
        <v>973</v>
      </c>
      <c r="AM8" s="44" t="s">
        <v>978</v>
      </c>
      <c r="AN8" s="44" t="s">
        <v>910</v>
      </c>
      <c r="AO8" s="44" t="s">
        <v>911</v>
      </c>
      <c r="AP8" s="44" t="s">
        <v>914</v>
      </c>
      <c r="AQ8" s="43" t="s">
        <v>912</v>
      </c>
      <c r="AR8" s="44" t="s">
        <v>974</v>
      </c>
      <c r="AS8" s="44" t="s">
        <v>975</v>
      </c>
      <c r="AT8" s="44" t="s">
        <v>976</v>
      </c>
      <c r="AU8" s="44" t="s">
        <v>979</v>
      </c>
      <c r="AV8" s="43" t="s">
        <v>1039</v>
      </c>
      <c r="AW8" s="43" t="s">
        <v>1040</v>
      </c>
      <c r="AX8" s="51" t="s">
        <v>1664</v>
      </c>
      <c r="AY8" s="51" t="s">
        <v>1665</v>
      </c>
      <c r="AZ8" s="51" t="s">
        <v>1666</v>
      </c>
      <c r="BA8" s="51" t="s">
        <v>1667</v>
      </c>
      <c r="BB8" s="51" t="s">
        <v>1374</v>
      </c>
      <c r="BC8" s="51" t="s">
        <v>1375</v>
      </c>
      <c r="BD8" s="43" t="s">
        <v>11</v>
      </c>
      <c r="BE8" s="43" t="s">
        <v>17</v>
      </c>
      <c r="BF8" s="63" t="s">
        <v>1669</v>
      </c>
      <c r="BG8" s="63" t="s">
        <v>1670</v>
      </c>
      <c r="BH8" s="43" t="s">
        <v>1377</v>
      </c>
      <c r="BI8" s="57" t="s">
        <v>1044</v>
      </c>
      <c r="BJ8" s="56" t="s">
        <v>1045</v>
      </c>
      <c r="BK8" s="56" t="s">
        <v>1046</v>
      </c>
      <c r="BL8" s="56" t="s">
        <v>1047</v>
      </c>
      <c r="BM8" s="56" t="s">
        <v>1048</v>
      </c>
      <c r="BN8" s="56" t="s">
        <v>1049</v>
      </c>
      <c r="BO8" s="43" t="s">
        <v>1050</v>
      </c>
      <c r="BP8" s="44" t="s">
        <v>919</v>
      </c>
      <c r="BQ8" s="43" t="s">
        <v>13</v>
      </c>
      <c r="BR8" s="43" t="s">
        <v>14</v>
      </c>
      <c r="BS8" s="39" t="s">
        <v>15</v>
      </c>
      <c r="BT8" s="38" t="s">
        <v>20</v>
      </c>
      <c r="BU8" s="38" t="s">
        <v>21</v>
      </c>
      <c r="BV8" s="38" t="s">
        <v>22</v>
      </c>
      <c r="BW8" s="38" t="s">
        <v>1684</v>
      </c>
      <c r="BX8" s="41" t="s">
        <v>915</v>
      </c>
      <c r="BY8" s="41" t="s">
        <v>1032</v>
      </c>
      <c r="BZ8" s="41" t="s">
        <v>1033</v>
      </c>
      <c r="CA8" s="41" t="s">
        <v>1034</v>
      </c>
      <c r="CB8" s="41" t="s">
        <v>1668</v>
      </c>
    </row>
    <row r="9" spans="1:80" x14ac:dyDescent="0.25">
      <c r="A9" s="53" t="s">
        <v>1660</v>
      </c>
      <c r="B9" s="3" t="s">
        <v>1692</v>
      </c>
      <c r="C9" s="3" t="s">
        <v>1676</v>
      </c>
      <c r="D9" s="3" t="s">
        <v>1676</v>
      </c>
      <c r="E9" s="3">
        <v>0</v>
      </c>
      <c r="F9" s="3">
        <v>0</v>
      </c>
      <c r="G9" s="3">
        <v>0</v>
      </c>
      <c r="H9" s="3">
        <v>0</v>
      </c>
      <c r="I9" s="3" t="s">
        <v>1693</v>
      </c>
      <c r="J9" s="3">
        <v>0</v>
      </c>
      <c r="K9" s="3">
        <v>0</v>
      </c>
      <c r="L9" s="3" t="s">
        <v>1689</v>
      </c>
      <c r="M9" s="3">
        <v>0</v>
      </c>
      <c r="N9" s="3">
        <v>0</v>
      </c>
      <c r="O9" s="5" t="s">
        <v>1676</v>
      </c>
      <c r="P9" s="5">
        <v>28.17</v>
      </c>
      <c r="Q9" s="5">
        <v>79.13</v>
      </c>
      <c r="R9" s="45">
        <v>0</v>
      </c>
      <c r="S9" s="45">
        <v>6.68</v>
      </c>
      <c r="T9" s="45">
        <v>0</v>
      </c>
      <c r="U9" s="45">
        <v>0</v>
      </c>
      <c r="V9" s="48" t="s">
        <v>1689</v>
      </c>
      <c r="W9" s="48" t="s">
        <v>1691</v>
      </c>
      <c r="X9" s="50">
        <v>5</v>
      </c>
      <c r="Y9" s="50">
        <v>8</v>
      </c>
      <c r="Z9" s="6">
        <v>20</v>
      </c>
      <c r="AA9" s="6">
        <v>1000000000</v>
      </c>
      <c r="AB9" s="6">
        <v>4</v>
      </c>
      <c r="AC9" s="4">
        <v>0.8</v>
      </c>
      <c r="AD9" s="6" t="s">
        <v>1680</v>
      </c>
      <c r="AE9" s="6">
        <v>0</v>
      </c>
      <c r="AF9" s="6">
        <v>0</v>
      </c>
      <c r="AG9" s="6">
        <v>0</v>
      </c>
      <c r="AH9" s="6">
        <v>0</v>
      </c>
      <c r="AI9" s="6">
        <v>0</v>
      </c>
      <c r="AJ9" s="6">
        <v>0</v>
      </c>
      <c r="AK9" s="6">
        <v>4</v>
      </c>
      <c r="AL9" s="4">
        <v>0.8</v>
      </c>
      <c r="AM9" s="6" t="s">
        <v>1680</v>
      </c>
      <c r="AN9" s="6">
        <v>0</v>
      </c>
      <c r="AO9" s="6">
        <v>0</v>
      </c>
      <c r="AP9" s="6">
        <v>10</v>
      </c>
      <c r="AQ9" s="6">
        <v>12</v>
      </c>
      <c r="AR9" s="6">
        <v>11.63</v>
      </c>
      <c r="AS9" s="6">
        <v>2.33</v>
      </c>
      <c r="AT9" s="6">
        <v>0</v>
      </c>
      <c r="AU9" s="6">
        <v>0</v>
      </c>
      <c r="AV9" s="61">
        <v>0</v>
      </c>
      <c r="AW9" s="61">
        <v>0</v>
      </c>
      <c r="AX9" s="6">
        <f t="array" ref="AX9">IFERROR(INDEX(Datos_Consumo[CANTIDAD],MATCH(TABLATRANSFERENCIA[[#This Row],[CODIGO]]&amp;TABLATRANSFERENCIA[[#Headers],[2016-11]],Datos_Consumo[CODIGO]&amp;Datos_Consumo[FECHA_FORMATO],0)),0)</f>
        <v>0</v>
      </c>
      <c r="AY9" s="6">
        <f t="array" ref="AY9">IFERROR(INDEX(Datos_Consumo[CANTIDAD],MATCH(TABLATRANSFERENCIA[[#This Row],[CODIGO]]&amp;TABLATRANSFERENCIA[[#Headers],[2016-12]],Datos_Consumo[CODIGO]&amp;Datos_Consumo[FECHA_FORMATO],0)),0)</f>
        <v>0</v>
      </c>
      <c r="AZ9" s="6">
        <f t="array" ref="AZ9">IFERROR(INDEX(Datos_Consumo[CANTIDAD],MATCH(TABLATRANSFERENCIA[[#This Row],[CODIGO]]&amp;TABLATRANSFERENCIA[[#Headers],[2017-1]],Datos_Consumo[CODIGO]&amp;Datos_Consumo[FECHA_FORMATO],0)),0)</f>
        <v>10</v>
      </c>
      <c r="BA9" s="6">
        <f t="array" ref="BA9">IFERROR(INDEX(Datos_Consumo[CANTIDAD],MATCH(TABLATRANSFERENCIA[[#This Row],[CODIGO]]&amp;TABLATRANSFERENCIA[[#Headers],[2017-2]],Datos_Consumo[CODIGO]&amp;Datos_Consumo[FECHA_FORMATO],0)),0)</f>
        <v>0</v>
      </c>
      <c r="BB9" s="6">
        <f t="array" ref="BB9">IFERROR(INDEX(Datos_Consumo[CANTIDAD],MATCH(TABLATRANSFERENCIA[[#This Row],[CODIGO]]&amp;TABLATRANSFERENCIA[[#Headers],[Columna5]],Datos_Consumo[CODIGO]&amp;Datos_Consumo[FECHA_FORMATO],0)),0)</f>
        <v>0</v>
      </c>
      <c r="BC9" s="6">
        <f t="array" ref="BC9">IFERROR(INDEX(Datos_Consumo[CANTIDAD],MATCH(TABLATRANSFERENCIA[[#This Row],[CODIGO]]&amp;TABLATRANSFERENCIA[[#Headers],[Columna6]],Datos_Consumo[CODIGO]&amp;Datos_Consumo[FECHA_FORMATO],0)),0)</f>
        <v>0</v>
      </c>
      <c r="BD9" s="49">
        <v>20</v>
      </c>
      <c r="BE9" s="54">
        <v>20</v>
      </c>
      <c r="BF9" s="64">
        <v>42838</v>
      </c>
      <c r="BG9" s="62"/>
      <c r="BH9" s="50"/>
      <c r="BI9" s="50"/>
      <c r="BJ9" s="50">
        <f>IF(RIGHT(TABLATRANSFERENCIA[[#Headers],[Emb1]],1)*1&lt;=TABLATRANSFERENCIA[[#This Row],[EMBARQUES]],IF(ISBLANK(TABLATRANSFERENCIA[[#This Row],[EMBARQUES]]),TABLATRANSFERENCIA[[#This Row],[REQUERIM]],ROUND(TABLATRANSFERENCIA[[#This Row],[REQUERIM]]/TABLATRANSFERENCIA[[#This Row],[EMBARQUES]],0)),TABLATRANSFERENCIA[[#This Row],[REQUERIM]])</f>
        <v>20</v>
      </c>
      <c r="BK9"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9"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9"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9"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9" s="50"/>
      <c r="BP9" s="45">
        <f>IFERROR(TABLATRANSFERENCIA[[#This Row],[REQUERIM]]/TABLATRANSFERENCIA[[#This Row],[PEDIDO PROMEDIO]],0)</f>
        <v>1.6666666666666667</v>
      </c>
      <c r="BQ9" s="50"/>
      <c r="BR9" s="59"/>
      <c r="BS9" s="3">
        <f>IF(TABLATRANSFERENCIA[[#This Row],[RECIBIDO]]&lt;&gt;"",0,IF(TABLATRANSFERENCIA[[#This Row],[DESPACHO]]&lt;&gt;"",TABLATRANSFERENCIA[[#This Row],[DESPACHO]],TABLATRANSFERENCIA[[#This Row],[REQUERIM]]))</f>
        <v>20</v>
      </c>
      <c r="BT9" s="49"/>
      <c r="BU9" s="49"/>
      <c r="BV9" s="49" t="str">
        <f>"N"</f>
        <v>N</v>
      </c>
      <c r="BW9" s="50" t="s">
        <v>1685</v>
      </c>
      <c r="BX9" s="50">
        <f t="array" ref="BX9">IF(SUM(--(TABLATRANSFERENCIA[[#This Row],[CODIGO GENERICO]]=TABLATRANSFERENCIA[CODIGO GENERICO])*TABLATRANSFERENCIA[REQUERIM])&lt;TABLATRANSFERENCIA[[#This Row],[PEDIDO MIN GRUPO]],1,0)</f>
        <v>0</v>
      </c>
      <c r="BY9"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L</v>
      </c>
      <c r="BZ9" s="50">
        <v>13</v>
      </c>
      <c r="CA9" s="50">
        <v>7</v>
      </c>
      <c r="CB9" s="50"/>
    </row>
    <row r="10" spans="1:80" x14ac:dyDescent="0.25">
      <c r="A10" s="53" t="s">
        <v>1662</v>
      </c>
      <c r="B10" s="3" t="s">
        <v>1694</v>
      </c>
      <c r="C10" s="3" t="s">
        <v>1676</v>
      </c>
      <c r="D10" s="3" t="s">
        <v>1676</v>
      </c>
      <c r="E10" s="3">
        <v>0</v>
      </c>
      <c r="F10" s="3">
        <v>0</v>
      </c>
      <c r="G10" s="3">
        <v>0</v>
      </c>
      <c r="H10" s="3">
        <v>0</v>
      </c>
      <c r="I10" s="3" t="s">
        <v>1693</v>
      </c>
      <c r="J10" s="3">
        <v>0</v>
      </c>
      <c r="K10" s="3">
        <v>0</v>
      </c>
      <c r="L10" s="3" t="s">
        <v>1689</v>
      </c>
      <c r="M10" s="3">
        <v>0</v>
      </c>
      <c r="N10" s="3">
        <v>0</v>
      </c>
      <c r="O10" s="5" t="s">
        <v>1676</v>
      </c>
      <c r="P10" s="5">
        <v>39.78</v>
      </c>
      <c r="Q10" s="5">
        <v>136.6</v>
      </c>
      <c r="R10" s="45">
        <v>0</v>
      </c>
      <c r="S10" s="45">
        <v>8.99</v>
      </c>
      <c r="T10" s="45">
        <v>0</v>
      </c>
      <c r="U10" s="45">
        <v>0</v>
      </c>
      <c r="V10" s="48" t="s">
        <v>1689</v>
      </c>
      <c r="W10" s="48" t="s">
        <v>1691</v>
      </c>
      <c r="X10" s="50">
        <v>5</v>
      </c>
      <c r="Y10" s="50">
        <v>8</v>
      </c>
      <c r="Z10" s="6">
        <v>120</v>
      </c>
      <c r="AA10" s="6">
        <v>1000000000</v>
      </c>
      <c r="AB10" s="6">
        <v>74</v>
      </c>
      <c r="AC10" s="4">
        <v>0.38</v>
      </c>
      <c r="AD10" s="6" t="s">
        <v>1687</v>
      </c>
      <c r="AE10" s="6">
        <v>0</v>
      </c>
      <c r="AF10" s="6">
        <v>0</v>
      </c>
      <c r="AG10" s="6">
        <v>0</v>
      </c>
      <c r="AH10" s="6">
        <v>0</v>
      </c>
      <c r="AI10" s="6">
        <v>0</v>
      </c>
      <c r="AJ10" s="6">
        <v>0</v>
      </c>
      <c r="AK10" s="6">
        <v>74</v>
      </c>
      <c r="AL10" s="4">
        <v>0.38</v>
      </c>
      <c r="AM10" s="6" t="s">
        <v>1687</v>
      </c>
      <c r="AN10" s="6">
        <v>0</v>
      </c>
      <c r="AO10" s="6">
        <v>0</v>
      </c>
      <c r="AP10" s="6">
        <v>5</v>
      </c>
      <c r="AQ10" s="6">
        <v>74</v>
      </c>
      <c r="AR10" s="6">
        <v>3.32</v>
      </c>
      <c r="AS10" s="6">
        <v>2.0499999999999998</v>
      </c>
      <c r="AT10" s="6">
        <v>0</v>
      </c>
      <c r="AU10" s="6">
        <v>0</v>
      </c>
      <c r="AV10" s="61">
        <v>0</v>
      </c>
      <c r="AW10" s="61">
        <v>0</v>
      </c>
      <c r="AX10" s="6">
        <f t="array" ref="AX10">IFERROR(INDEX(Datos_Consumo[CANTIDAD],MATCH(TABLATRANSFERENCIA[[#This Row],[CODIGO]]&amp;TABLATRANSFERENCIA[[#Headers],[2016-11]],Datos_Consumo[CODIGO]&amp;Datos_Consumo[FECHA_FORMATO],0)),0)</f>
        <v>90</v>
      </c>
      <c r="AY10" s="6">
        <f t="array" ref="AY10">IFERROR(INDEX(Datos_Consumo[CANTIDAD],MATCH(TABLATRANSFERENCIA[[#This Row],[CODIGO]]&amp;TABLATRANSFERENCIA[[#Headers],[2016-12]],Datos_Consumo[CODIGO]&amp;Datos_Consumo[FECHA_FORMATO],0)),0)</f>
        <v>83</v>
      </c>
      <c r="AZ10" s="6">
        <f t="array" ref="AZ10">IFERROR(INDEX(Datos_Consumo[CANTIDAD],MATCH(TABLATRANSFERENCIA[[#This Row],[CODIGO]]&amp;TABLATRANSFERENCIA[[#Headers],[2017-1]],Datos_Consumo[CODIGO]&amp;Datos_Consumo[FECHA_FORMATO],0)),0)</f>
        <v>36</v>
      </c>
      <c r="BA10" s="6">
        <f t="array" ref="BA10">IFERROR(INDEX(Datos_Consumo[CANTIDAD],MATCH(TABLATRANSFERENCIA[[#This Row],[CODIGO]]&amp;TABLATRANSFERENCIA[[#Headers],[2017-2]],Datos_Consumo[CODIGO]&amp;Datos_Consumo[FECHA_FORMATO],0)),0)</f>
        <v>0</v>
      </c>
      <c r="BB10" s="6">
        <f t="array" ref="BB10">IFERROR(INDEX(Datos_Consumo[CANTIDAD],MATCH(TABLATRANSFERENCIA[[#This Row],[CODIGO]]&amp;TABLATRANSFERENCIA[[#Headers],[Columna5]],Datos_Consumo[CODIGO]&amp;Datos_Consumo[FECHA_FORMATO],0)),0)</f>
        <v>0</v>
      </c>
      <c r="BC10" s="6">
        <f t="array" ref="BC10">IFERROR(INDEX(Datos_Consumo[CANTIDAD],MATCH(TABLATRANSFERENCIA[[#This Row],[CODIGO]]&amp;TABLATRANSFERENCIA[[#Headers],[Columna6]],Datos_Consumo[CODIGO]&amp;Datos_Consumo[FECHA_FORMATO],0)),0)</f>
        <v>0</v>
      </c>
      <c r="BD10" s="49">
        <v>45</v>
      </c>
      <c r="BE10" s="54">
        <v>45</v>
      </c>
      <c r="BF10" s="64">
        <v>42838</v>
      </c>
      <c r="BG10" s="62"/>
      <c r="BH10" s="50"/>
      <c r="BI10" s="50"/>
      <c r="BJ10" s="50">
        <f>IF(RIGHT(TABLATRANSFERENCIA[[#Headers],[Emb1]],1)*1&lt;=TABLATRANSFERENCIA[[#This Row],[EMBARQUES]],IF(ISBLANK(TABLATRANSFERENCIA[[#This Row],[EMBARQUES]]),TABLATRANSFERENCIA[[#This Row],[REQUERIM]],ROUND(TABLATRANSFERENCIA[[#This Row],[REQUERIM]]/TABLATRANSFERENCIA[[#This Row],[EMBARQUES]],0)),TABLATRANSFERENCIA[[#This Row],[REQUERIM]])</f>
        <v>45</v>
      </c>
      <c r="BK10" s="50">
        <f>IF(RIGHT(TABLATRANSFERENCIA[[#Headers],[Emb2]],1)*1&lt;TABLATRANSFERENCIA[[#This Row],[EMBARQUES]],ROUND(TABLATRANSFERENCIA[[#This Row],[REQUERIM]]/TABLATRANSFERENCIA[[#This Row],[EMBARQUES]],0),IF(RIGHT(TABLATRANSFERENCIA[[#Headers],[Emb2]],1)*1=TABLATRANSFERENCIA[[#This Row],[EMBARQUES]],TABLATRANSFERENCIA[[#This Row],[REQUERIM]]-SUM(TABLATRANSFERENCIA[[#This Row],[Emb1]]),0))</f>
        <v>0</v>
      </c>
      <c r="BL10" s="50">
        <f>IF(RIGHT(TABLATRANSFERENCIA[[#Headers],[Emb3]],1)*1&lt;TABLATRANSFERENCIA[[#This Row],[EMBARQUES]],ROUND(TABLATRANSFERENCIA[[#This Row],[REQUERIM]]/TABLATRANSFERENCIA[[#This Row],[EMBARQUES]],0),IF(RIGHT(TABLATRANSFERENCIA[[#Headers],[Emb3]],1)*1=TABLATRANSFERENCIA[[#This Row],[EMBARQUES]],TABLATRANSFERENCIA[[#This Row],[REQUERIM]]-SUM(TABLATRANSFERENCIA[[#This Row],[Emb1]:[Emb2]]),0))</f>
        <v>0</v>
      </c>
      <c r="BM10" s="50">
        <f>IF(RIGHT(TABLATRANSFERENCIA[[#Headers],[Emb4]],1)*1&lt;TABLATRANSFERENCIA[[#This Row],[EMBARQUES]],ROUND(TABLATRANSFERENCIA[[#This Row],[REQUERIM]]/TABLATRANSFERENCIA[[#This Row],[EMBARQUES]],0),IF(RIGHT(TABLATRANSFERENCIA[[#Headers],[Emb4]],1)*1=TABLATRANSFERENCIA[[#This Row],[EMBARQUES]],TABLATRANSFERENCIA[[#This Row],[REQUERIM]]-SUM(TABLATRANSFERENCIA[[#This Row],[Emb1]:[Emb3]]),0))</f>
        <v>0</v>
      </c>
      <c r="BN10" s="50">
        <f>IF(RIGHT(TABLATRANSFERENCIA[[#Headers],[Emb5]],1)*1&lt;TABLATRANSFERENCIA[[#This Row],[EMBARQUES]],ROUND(TABLATRANSFERENCIA[[#This Row],[REQUERIM]]/TABLATRANSFERENCIA[[#This Row],[EMBARQUES]],0),IF(RIGHT(TABLATRANSFERENCIA[[#Headers],[Emb5]],1)*1=TABLATRANSFERENCIA[[#This Row],[EMBARQUES]],TABLATRANSFERENCIA[[#This Row],[REQUERIM]]-SUM(TABLATRANSFERENCIA[[#This Row],[Emb1]:[Emb4]]),0))</f>
        <v>0</v>
      </c>
      <c r="BO10" s="50"/>
      <c r="BP10" s="45">
        <f>IFERROR(TABLATRANSFERENCIA[[#This Row],[REQUERIM]]/TABLATRANSFERENCIA[[#This Row],[PEDIDO PROMEDIO]],0)</f>
        <v>0.60810810810810811</v>
      </c>
      <c r="BQ10" s="50"/>
      <c r="BR10" s="59"/>
      <c r="BS10" s="3">
        <f>IF(TABLATRANSFERENCIA[[#This Row],[RECIBIDO]]&lt;&gt;"",0,IF(TABLATRANSFERENCIA[[#This Row],[DESPACHO]]&lt;&gt;"",TABLATRANSFERENCIA[[#This Row],[DESPACHO]],TABLATRANSFERENCIA[[#This Row],[REQUERIM]]))</f>
        <v>45</v>
      </c>
      <c r="BT10" s="49"/>
      <c r="BU10" s="49"/>
      <c r="BV10" s="49" t="str">
        <f>"N"</f>
        <v>N</v>
      </c>
      <c r="BW10" s="50" t="s">
        <v>1685</v>
      </c>
      <c r="BX10" s="50">
        <f t="array" ref="BX10">IF(SUM(--(TABLATRANSFERENCIA[[#This Row],[CODIGO GENERICO]]=TABLATRANSFERENCIA[CODIGO GENERICO])*TABLATRANSFERENCIA[REQUERIM])&lt;TABLATRANSFERENCIA[[#This Row],[PEDIDO MIN GRUPO]],1,0)</f>
        <v>0</v>
      </c>
      <c r="BY10" s="50" t="str">
        <f>IF(OR(TABLATRANSFERENCIA[[#This Row],[BUFFER]]=0,TABLATRANSFERENCIA[[#This Row],[BUFFER]]=""),"G",IF((TABLATRANSFERENCIA[[#This Row],[INV PROYECTADO]]+TABLATRANSFERENCIA[[#This Row],[REQUERIM]])=0,"N",IF((TABLATRANSFERENCIA[[#This Row],[INV PROYECTADO]]+TABLATRANSFERENCIA[[#This Row],[REQUERIM]])&gt;TABLATRANSFERENCIA[[#This Row],[BUFFER]],"L",IF(AND((TABLATRANSFERENCIA[[#This Row],[INV PROYECTADO]]+TABLATRANSFERENCIA[[#This Row],[REQUERIM]])&gt;TABLATRANSFERENCIA[[#This Row],[ZONA ROJA]],(TABLATRANSFERENCIA[[#This Row],[INV PROYECTADO]]+TABLATRANSFERENCIA[[#This Row],[REQUERIM]])&lt;=TABLATRANSFERENCIA[[#This Row],[ZONA AMARILLA]]),"A",IF(AND((TABLATRANSFERENCIA[[#This Row],[INV PROYECTADO]]+TABLATRANSFERENCIA[[#This Row],[REQUERIM]])&gt;0,(TABLATRANSFERENCIA[[#This Row],[INV PROYECTADO]]+TABLATRANSFERENCIA[[#This Row],[REQUERIM]])&lt;=TABLATRANSFERENCIA[[#This Row],[ZONA ROJA]]),"R",IF(AND((TABLATRANSFERENCIA[[#This Row],[INV PROYECTADO]]+TABLATRANSFERENCIA[[#This Row],[REQUERIM]])&gt;TABLATRANSFERENCIA[[#This Row],[ZONA AMARILLA]],(TABLATRANSFERENCIA[[#This Row],[INV PROYECTADO]]+TABLATRANSFERENCIA[[#This Row],[REQUERIM]])&lt;=TABLATRANSFERENCIA[[#This Row],[BUFFER]]),"V","E"))))))</f>
        <v>V</v>
      </c>
      <c r="BZ10" s="50">
        <v>80</v>
      </c>
      <c r="CA10" s="50">
        <v>40</v>
      </c>
      <c r="CB10" s="50"/>
    </row>
  </sheetData>
  <sheetProtection algorithmName="SHA-512" hashValue="677hrR5a/9JV+t+2A5nCHuDN+h+oNxHulo/ZgqKijnttRnzYvCNEcpmw66iKSbeqW0+4P8D2C2y3ZJCmczsFqw==" saltValue="NPsv39CF3e7sDIC/guEM1A==" spinCount="100000" sheet="1" objects="1" scenarios="1" formatCells="0" sort="0" autoFilter="0"/>
  <conditionalFormatting sqref="BQ9:BR10">
    <cfRule type="expression" dxfId="213" priority="36">
      <formula>ISBLANK(BQ9)</formula>
    </cfRule>
  </conditionalFormatting>
  <conditionalFormatting sqref="B5">
    <cfRule type="expression" dxfId="212" priority="28">
      <formula>ISBLANK(REFERENCIA)</formula>
    </cfRule>
  </conditionalFormatting>
  <conditionalFormatting sqref="D3">
    <cfRule type="expression" dxfId="211" priority="26">
      <formula>AND(ISNUMBER($D$3),$D$3&lt;$D$2)</formula>
    </cfRule>
    <cfRule type="expression" dxfId="210" priority="35">
      <formula>ISBLANK(FECHACIERRE)</formula>
    </cfRule>
  </conditionalFormatting>
  <conditionalFormatting sqref="B6 D3">
    <cfRule type="expression" dxfId="209" priority="27">
      <formula>ISBLANK(FECHAARRIBO)</formula>
    </cfRule>
  </conditionalFormatting>
  <conditionalFormatting sqref="B7">
    <cfRule type="expression" dxfId="208" priority="25">
      <formula>NOT((B7=""))</formula>
    </cfRule>
  </conditionalFormatting>
  <conditionalFormatting sqref="AK9:AK10 AB9:AB10">
    <cfRule type="expression" dxfId="207" priority="17">
      <formula>AD9="G"</formula>
    </cfRule>
    <cfRule type="expression" dxfId="206" priority="18">
      <formula>AD9="L"</formula>
    </cfRule>
    <cfRule type="expression" dxfId="205" priority="19">
      <formula>AD9="V"</formula>
    </cfRule>
    <cfRule type="expression" dxfId="204" priority="20">
      <formula>AD9="A"</formula>
    </cfRule>
    <cfRule type="expression" dxfId="203" priority="21">
      <formula>AD9="N"</formula>
    </cfRule>
    <cfRule type="expression" dxfId="202" priority="22">
      <formula>AD9="R"</formula>
    </cfRule>
  </conditionalFormatting>
  <conditionalFormatting sqref="BU9:BU10">
    <cfRule type="expression" dxfId="201" priority="17386">
      <formula>AND(ISNUMBER($BR9),$BQ9&lt;&gt;$BR9)</formula>
    </cfRule>
  </conditionalFormatting>
  <conditionalFormatting sqref="AO9:AO10">
    <cfRule type="expression" dxfId="200" priority="10">
      <formula>$BX9=1</formula>
    </cfRule>
  </conditionalFormatting>
  <conditionalFormatting sqref="BD9:BD10">
    <cfRule type="expression" dxfId="199" priority="4">
      <formula>$BY9="N"</formula>
    </cfRule>
    <cfRule type="expression" dxfId="198" priority="5">
      <formula>$BY9="R"</formula>
    </cfRule>
    <cfRule type="expression" dxfId="197" priority="6">
      <formula>$BY9="A"</formula>
    </cfRule>
    <cfRule type="expression" dxfId="196" priority="7">
      <formula>$BY9="L"</formula>
    </cfRule>
    <cfRule type="expression" dxfId="195" priority="8">
      <formula>$BY9="V"</formula>
    </cfRule>
    <cfRule type="expression" dxfId="194" priority="9">
      <formula>$BY9="G"</formula>
    </cfRule>
  </conditionalFormatting>
  <conditionalFormatting sqref="AV9:AV10">
    <cfRule type="expression" dxfId="193" priority="3">
      <formula>TODAY()&lt;=(AV9+Y9*7)</formula>
    </cfRule>
  </conditionalFormatting>
  <conditionalFormatting sqref="BT9:BT10">
    <cfRule type="expression" dxfId="192" priority="63702">
      <formula>AND(ISNUMBER($BQ9),$BD9&lt;&gt;$BQ9)</formula>
    </cfRule>
  </conditionalFormatting>
  <conditionalFormatting sqref="D1">
    <cfRule type="expression" dxfId="191" priority="1">
      <formula>mensaje="TRANSFERENCIA CARGADA"</formula>
    </cfRule>
    <cfRule type="expression" dxfId="190" priority="2">
      <formula>mensaje&lt;&gt;""</formula>
    </cfRule>
  </conditionalFormatting>
  <conditionalFormatting sqref="R1:S1">
    <cfRule type="expression" dxfId="189" priority="64454">
      <formula>COUNTA($BR$9:$BR$10)=0</formula>
    </cfRule>
  </conditionalFormatting>
  <dataValidations count="9">
    <dataValidation type="date" operator="greaterThan" allowBlank="1" showInputMessage="1" showErrorMessage="1" sqref="B6 D3">
      <formula1>1</formula1>
    </dataValidation>
    <dataValidation type="custom" allowBlank="1" showInputMessage="1" showErrorMessage="1" sqref="B7 B2:B4 D2 D5 D6:E6">
      <formula1>"="</formula1>
    </dataValidation>
    <dataValidation type="list" allowBlank="1" showInputMessage="1" showErrorMessage="1" sqref="BT9:BU10">
      <formula1>RangoCausas</formula1>
    </dataValidation>
    <dataValidation type="whole" allowBlank="1" showErrorMessage="1" promptTitle="Número de Embarques" sqref="BJ9:BN10">
      <formula1>0</formula1>
      <formula2>1000000</formula2>
    </dataValidation>
    <dataValidation type="whole" allowBlank="1" showErrorMessage="1" promptTitle="Número de Embarques" sqref="BI9:BI10">
      <formula1>1</formula1>
      <formula2>5</formula2>
    </dataValidation>
    <dataValidation allowBlank="1" showErrorMessage="1" promptTitle="Número de Embarques" sqref="BO9:BO10"/>
    <dataValidation type="list" allowBlank="1" showInputMessage="1" showErrorMessage="1" sqref="BW9:BW10">
      <formula1>"ACT,INA"</formula1>
    </dataValidation>
    <dataValidation type="custom" operator="greaterThan" allowBlank="1" showInputMessage="1" showErrorMessage="1" error="No puede ser menor a la fecha de inicio." sqref="BG9:BG10">
      <formula1>BG9&gt;=BF9</formula1>
    </dataValidation>
    <dataValidation type="custom" operator="greaterThanOrEqual" allowBlank="1" showInputMessage="1" showErrorMessage="1" error="No puede ser anterior a la fecha de creación de la transferencia ni menor a la fecha de finalización." sqref="BF9:BF10">
      <formula1>AND(BF9&gt;=FECHAORIGEN,BF9&lt;=BG9,ISNUMBER(BF9))</formula1>
    </dataValidation>
  </dataValidations>
  <pageMargins left="0.7" right="0.7" top="0.75" bottom="0.75" header="0.3" footer="0.3"/>
  <pageSetup paperSize="9" orientation="portrait" horizontalDpi="300" verticalDpi="300" r:id="rId1"/>
  <drawing r:id="rId2"/>
  <legacyDrawing r:id="rId3"/>
  <controls>
    <mc:AlternateContent xmlns:mc="http://schemas.openxmlformats.org/markup-compatibility/2006">
      <mc:Choice Requires="x14">
        <control shapeId="1079" r:id="rId4" name="cmdAnadeRegistro">
          <controlPr defaultSize="0" autoLine="0" r:id="rId5">
            <anchor>
              <from>
                <xdr:col>2</xdr:col>
                <xdr:colOff>247650</xdr:colOff>
                <xdr:row>0</xdr:row>
                <xdr:rowOff>28575</xdr:rowOff>
              </from>
              <to>
                <xdr:col>2</xdr:col>
                <xdr:colOff>438150</xdr:colOff>
                <xdr:row>0</xdr:row>
                <xdr:rowOff>266700</xdr:rowOff>
              </to>
            </anchor>
          </controlPr>
        </control>
      </mc:Choice>
      <mc:Fallback>
        <control shapeId="1079" r:id="rId4" name="cmdAnadeRegistro"/>
      </mc:Fallback>
    </mc:AlternateContent>
    <mc:AlternateContent xmlns:mc="http://schemas.openxmlformats.org/markup-compatibility/2006">
      <mc:Choice Requires="x14">
        <control shapeId="1077" r:id="rId6" name="cmdOrdenamientoMultiple">
          <controlPr defaultSize="0" autoLine="0" r:id="rId7">
            <anchor>
              <from>
                <xdr:col>1</xdr:col>
                <xdr:colOff>2886075</xdr:colOff>
                <xdr:row>0</xdr:row>
                <xdr:rowOff>28575</xdr:rowOff>
              </from>
              <to>
                <xdr:col>2</xdr:col>
                <xdr:colOff>66675</xdr:colOff>
                <xdr:row>0</xdr:row>
                <xdr:rowOff>266700</xdr:rowOff>
              </to>
            </anchor>
          </controlPr>
        </control>
      </mc:Choice>
      <mc:Fallback>
        <control shapeId="1077" r:id="rId6" name="cmdOrdenamientoMultiple"/>
      </mc:Fallback>
    </mc:AlternateContent>
    <mc:AlternateContent xmlns:mc="http://schemas.openxmlformats.org/markup-compatibility/2006">
      <mc:Choice Requires="x14">
        <control shapeId="1072" r:id="rId8" name="cmdDescendente">
          <controlPr defaultSize="0" autoLine="0" r:id="rId9">
            <anchor>
              <from>
                <xdr:col>1</xdr:col>
                <xdr:colOff>2695575</xdr:colOff>
                <xdr:row>0</xdr:row>
                <xdr:rowOff>28575</xdr:rowOff>
              </from>
              <to>
                <xdr:col>1</xdr:col>
                <xdr:colOff>2867025</xdr:colOff>
                <xdr:row>0</xdr:row>
                <xdr:rowOff>266700</xdr:rowOff>
              </to>
            </anchor>
          </controlPr>
        </control>
      </mc:Choice>
      <mc:Fallback>
        <control shapeId="1072" r:id="rId8" name="cmdDescendente"/>
      </mc:Fallback>
    </mc:AlternateContent>
    <mc:AlternateContent xmlns:mc="http://schemas.openxmlformats.org/markup-compatibility/2006">
      <mc:Choice Requires="x14">
        <control shapeId="1071" r:id="rId10" name="cmdAscendente">
          <controlPr defaultSize="0" autoLine="0" r:id="rId11">
            <anchor>
              <from>
                <xdr:col>1</xdr:col>
                <xdr:colOff>2514600</xdr:colOff>
                <xdr:row>0</xdr:row>
                <xdr:rowOff>28575</xdr:rowOff>
              </from>
              <to>
                <xdr:col>1</xdr:col>
                <xdr:colOff>2686050</xdr:colOff>
                <xdr:row>0</xdr:row>
                <xdr:rowOff>266700</xdr:rowOff>
              </to>
            </anchor>
          </controlPr>
        </control>
      </mc:Choice>
      <mc:Fallback>
        <control shapeId="1071" r:id="rId10" name="cmdAscendente"/>
      </mc:Fallback>
    </mc:AlternateContent>
    <mc:AlternateContent xmlns:mc="http://schemas.openxmlformats.org/markup-compatibility/2006">
      <mc:Choice Requires="x14">
        <control shapeId="1070" r:id="rId12" name="cmdBorraRegistro">
          <controlPr defaultSize="0" autoLine="0" r:id="rId13">
            <anchor>
              <from>
                <xdr:col>2</xdr:col>
                <xdr:colOff>76200</xdr:colOff>
                <xdr:row>0</xdr:row>
                <xdr:rowOff>28575</xdr:rowOff>
              </from>
              <to>
                <xdr:col>2</xdr:col>
                <xdr:colOff>266700</xdr:colOff>
                <xdr:row>0</xdr:row>
                <xdr:rowOff>266700</xdr:rowOff>
              </to>
            </anchor>
          </controlPr>
        </control>
      </mc:Choice>
      <mc:Fallback>
        <control shapeId="1070" r:id="rId12" name="cmdBorraRegistro"/>
      </mc:Fallback>
    </mc:AlternateContent>
    <mc:AlternateContent xmlns:mc="http://schemas.openxmlformats.org/markup-compatibility/2006">
      <mc:Choice Requires="x14">
        <control shapeId="1067" r:id="rId14" name="cmdImprimir">
          <controlPr defaultSize="0" autoLine="0" r:id="rId15">
            <anchor>
              <from>
                <xdr:col>1</xdr:col>
                <xdr:colOff>219075</xdr:colOff>
                <xdr:row>0</xdr:row>
                <xdr:rowOff>28575</xdr:rowOff>
              </from>
              <to>
                <xdr:col>1</xdr:col>
                <xdr:colOff>590550</xdr:colOff>
                <xdr:row>0</xdr:row>
                <xdr:rowOff>295275</xdr:rowOff>
              </to>
            </anchor>
          </controlPr>
        </control>
      </mc:Choice>
      <mc:Fallback>
        <control shapeId="1067" r:id="rId14" name="cmdImprimir"/>
      </mc:Fallback>
    </mc:AlternateContent>
    <mc:AlternateContent xmlns:mc="http://schemas.openxmlformats.org/markup-compatibility/2006">
      <mc:Choice Requires="x14">
        <control shapeId="1039" r:id="rId16" name="cmdMRP">
          <controlPr defaultSize="0" autoLine="0" r:id="rId17">
            <anchor>
              <from>
                <xdr:col>1</xdr:col>
                <xdr:colOff>581025</xdr:colOff>
                <xdr:row>0</xdr:row>
                <xdr:rowOff>28575</xdr:rowOff>
              </from>
              <to>
                <xdr:col>1</xdr:col>
                <xdr:colOff>923925</xdr:colOff>
                <xdr:row>0</xdr:row>
                <xdr:rowOff>295275</xdr:rowOff>
              </to>
            </anchor>
          </controlPr>
        </control>
      </mc:Choice>
      <mc:Fallback>
        <control shapeId="1039" r:id="rId16" name="cmdMRP"/>
      </mc:Fallback>
    </mc:AlternateContent>
    <mc:AlternateContent xmlns:mc="http://schemas.openxmlformats.org/markup-compatibility/2006">
      <mc:Choice Requires="x14">
        <control shapeId="1038" r:id="rId18" name="cmdFechaCierre">
          <controlPr defaultSize="0" autoLine="0" r:id="rId19">
            <anchor moveWithCells="1">
              <from>
                <xdr:col>3</xdr:col>
                <xdr:colOff>1009650</xdr:colOff>
                <xdr:row>2</xdr:row>
                <xdr:rowOff>0</xdr:rowOff>
              </from>
              <to>
                <xdr:col>4</xdr:col>
                <xdr:colOff>28575</xdr:colOff>
                <xdr:row>3</xdr:row>
                <xdr:rowOff>19050</xdr:rowOff>
              </to>
            </anchor>
          </controlPr>
        </control>
      </mc:Choice>
      <mc:Fallback>
        <control shapeId="1038" r:id="rId18" name="cmdFechaCierre"/>
      </mc:Fallback>
    </mc:AlternateContent>
    <mc:AlternateContent xmlns:mc="http://schemas.openxmlformats.org/markup-compatibility/2006">
      <mc:Choice Requires="x14">
        <control shapeId="1037" r:id="rId20" name="cmdFechaArribo">
          <controlPr defaultSize="0" autoLine="0" r:id="rId21">
            <anchor moveWithCells="1">
              <from>
                <xdr:col>1</xdr:col>
                <xdr:colOff>2933700</xdr:colOff>
                <xdr:row>5</xdr:row>
                <xdr:rowOff>0</xdr:rowOff>
              </from>
              <to>
                <xdr:col>2</xdr:col>
                <xdr:colOff>19050</xdr:colOff>
                <xdr:row>5</xdr:row>
                <xdr:rowOff>209550</xdr:rowOff>
              </to>
            </anchor>
          </controlPr>
        </control>
      </mc:Choice>
      <mc:Fallback>
        <control shapeId="1037" r:id="rId20" name="cmdFechaArribo"/>
      </mc:Fallback>
    </mc:AlternateContent>
    <mc:AlternateContent xmlns:mc="http://schemas.openxmlformats.org/markup-compatibility/2006">
      <mc:Choice Requires="x14">
        <control shapeId="1030" r:id="rId22" name="cmdLlenarTransferEspecial">
          <controlPr defaultSize="0" autoLine="0" r:id="rId23">
            <anchor>
              <from>
                <xdr:col>4</xdr:col>
                <xdr:colOff>1038225</xdr:colOff>
                <xdr:row>0</xdr:row>
                <xdr:rowOff>276225</xdr:rowOff>
              </from>
              <to>
                <xdr:col>6</xdr:col>
                <xdr:colOff>704850</xdr:colOff>
                <xdr:row>0</xdr:row>
                <xdr:rowOff>542925</xdr:rowOff>
              </to>
            </anchor>
          </controlPr>
        </control>
      </mc:Choice>
      <mc:Fallback>
        <control shapeId="1030" r:id="rId22" name="cmdLlenarTransferEspecial"/>
      </mc:Fallback>
    </mc:AlternateContent>
    <mc:AlternateContent xmlns:mc="http://schemas.openxmlformats.org/markup-compatibility/2006">
      <mc:Choice Requires="x14">
        <control shapeId="1028" r:id="rId24" name="cmdDarDeBaja">
          <controlPr defaultSize="0" autoLine="0" r:id="rId25">
            <anchor>
              <from>
                <xdr:col>0</xdr:col>
                <xdr:colOff>1123950</xdr:colOff>
                <xdr:row>0</xdr:row>
                <xdr:rowOff>28575</xdr:rowOff>
              </from>
              <to>
                <xdr:col>1</xdr:col>
                <xdr:colOff>219075</xdr:colOff>
                <xdr:row>0</xdr:row>
                <xdr:rowOff>295275</xdr:rowOff>
              </to>
            </anchor>
          </controlPr>
        </control>
      </mc:Choice>
      <mc:Fallback>
        <control shapeId="1028" r:id="rId24" name="cmdDarDeBaja"/>
      </mc:Fallback>
    </mc:AlternateContent>
    <mc:AlternateContent xmlns:mc="http://schemas.openxmlformats.org/markup-compatibility/2006">
      <mc:Choice Requires="x14">
        <control shapeId="1025" r:id="rId26" name="cmdConfirmar">
          <controlPr defaultSize="0" autoLine="0" r:id="rId27">
            <anchor>
              <from>
                <xdr:col>0</xdr:col>
                <xdr:colOff>28575</xdr:colOff>
                <xdr:row>0</xdr:row>
                <xdr:rowOff>333375</xdr:rowOff>
              </from>
              <to>
                <xdr:col>0</xdr:col>
                <xdr:colOff>685800</xdr:colOff>
                <xdr:row>0</xdr:row>
                <xdr:rowOff>600075</xdr:rowOff>
              </to>
            </anchor>
          </controlPr>
        </control>
      </mc:Choice>
      <mc:Fallback>
        <control shapeId="1025" r:id="rId26" name="cmdConfirmar"/>
      </mc:Fallback>
    </mc:AlternateContent>
    <mc:AlternateContent xmlns:mc="http://schemas.openxmlformats.org/markup-compatibility/2006">
      <mc:Choice Requires="x14">
        <control shapeId="1026" r:id="rId28" name="cmdCancelar">
          <controlPr defaultSize="0" autoLine="0" r:id="rId29">
            <anchor>
              <from>
                <xdr:col>0</xdr:col>
                <xdr:colOff>695325</xdr:colOff>
                <xdr:row>0</xdr:row>
                <xdr:rowOff>333375</xdr:rowOff>
              </from>
              <to>
                <xdr:col>1</xdr:col>
                <xdr:colOff>47625</xdr:colOff>
                <xdr:row>0</xdr:row>
                <xdr:rowOff>600075</xdr:rowOff>
              </to>
            </anchor>
          </controlPr>
        </control>
      </mc:Choice>
      <mc:Fallback>
        <control shapeId="1026" r:id="rId28" name="cmdCancelar"/>
      </mc:Fallback>
    </mc:AlternateContent>
    <mc:AlternateContent xmlns:mc="http://schemas.openxmlformats.org/markup-compatibility/2006">
      <mc:Choice Requires="x14">
        <control shapeId="1029" r:id="rId30" name="cmdLlenarTransfer">
          <controlPr defaultSize="0" autoLine="0" r:id="rId31">
            <anchor>
              <from>
                <xdr:col>6</xdr:col>
                <xdr:colOff>276225</xdr:colOff>
                <xdr:row>0</xdr:row>
                <xdr:rowOff>276225</xdr:rowOff>
              </from>
              <to>
                <xdr:col>6</xdr:col>
                <xdr:colOff>1181100</xdr:colOff>
                <xdr:row>0</xdr:row>
                <xdr:rowOff>542925</xdr:rowOff>
              </to>
            </anchor>
          </controlPr>
        </control>
      </mc:Choice>
      <mc:Fallback>
        <control shapeId="1029" r:id="rId30" name="cmdLlenarTransfer"/>
      </mc:Fallback>
    </mc:AlternateContent>
    <mc:AlternateContent xmlns:mc="http://schemas.openxmlformats.org/markup-compatibility/2006">
      <mc:Choice Requires="x14">
        <control shapeId="1031" r:id="rId32" name="cmdBuscaItem">
          <controlPr defaultSize="0" autoLine="0" r:id="rId33">
            <anchor>
              <from>
                <xdr:col>0</xdr:col>
                <xdr:colOff>0</xdr:colOff>
                <xdr:row>0</xdr:row>
                <xdr:rowOff>28575</xdr:rowOff>
              </from>
              <to>
                <xdr:col>0</xdr:col>
                <xdr:colOff>276225</xdr:colOff>
                <xdr:row>0</xdr:row>
                <xdr:rowOff>295275</xdr:rowOff>
              </to>
            </anchor>
          </controlPr>
        </control>
      </mc:Choice>
      <mc:Fallback>
        <control shapeId="1031" r:id="rId32" name="cmdBuscaItem"/>
      </mc:Fallback>
    </mc:AlternateContent>
    <mc:AlternateContent xmlns:mc="http://schemas.openxmlformats.org/markup-compatibility/2006">
      <mc:Choice Requires="x14">
        <control shapeId="1068" r:id="rId34" name="txtBusqueda">
          <controlPr defaultSize="0" autoLine="0" r:id="rId35">
            <anchor>
              <from>
                <xdr:col>1</xdr:col>
                <xdr:colOff>933450</xdr:colOff>
                <xdr:row>0</xdr:row>
                <xdr:rowOff>28575</xdr:rowOff>
              </from>
              <to>
                <xdr:col>1</xdr:col>
                <xdr:colOff>2276475</xdr:colOff>
                <xdr:row>0</xdr:row>
                <xdr:rowOff>314325</xdr:rowOff>
              </to>
            </anchor>
          </controlPr>
        </control>
      </mc:Choice>
      <mc:Fallback>
        <control shapeId="1068" r:id="rId34" name="txtBusqueda"/>
      </mc:Fallback>
    </mc:AlternateContent>
    <mc:AlternateContent xmlns:mc="http://schemas.openxmlformats.org/markup-compatibility/2006">
      <mc:Choice Requires="x14">
        <control shapeId="1069" r:id="rId36" name="cmdQuitaFiltros">
          <controlPr defaultSize="0" autoLine="0" r:id="rId37">
            <anchor>
              <from>
                <xdr:col>1</xdr:col>
                <xdr:colOff>2276475</xdr:colOff>
                <xdr:row>0</xdr:row>
                <xdr:rowOff>28575</xdr:rowOff>
              </from>
              <to>
                <xdr:col>1</xdr:col>
                <xdr:colOff>2505075</xdr:colOff>
                <xdr:row>0</xdr:row>
                <xdr:rowOff>276225</xdr:rowOff>
              </to>
            </anchor>
          </controlPr>
        </control>
      </mc:Choice>
      <mc:Fallback>
        <control shapeId="1069" r:id="rId36" name="cmdQuitaFiltros"/>
      </mc:Fallback>
    </mc:AlternateContent>
    <mc:AlternateContent xmlns:mc="http://schemas.openxmlformats.org/markup-compatibility/2006">
      <mc:Choice Requires="x14">
        <control shapeId="1073" r:id="rId38" name="cmdVistas">
          <controlPr defaultSize="0" autoLine="0" r:id="rId39">
            <anchor>
              <from>
                <xdr:col>0</xdr:col>
                <xdr:colOff>533400</xdr:colOff>
                <xdr:row>0</xdr:row>
                <xdr:rowOff>28575</xdr:rowOff>
              </from>
              <to>
                <xdr:col>0</xdr:col>
                <xdr:colOff>828675</xdr:colOff>
                <xdr:row>0</xdr:row>
                <xdr:rowOff>295275</xdr:rowOff>
              </to>
            </anchor>
          </controlPr>
        </control>
      </mc:Choice>
      <mc:Fallback>
        <control shapeId="1073" r:id="rId38" name="cmdVistas"/>
      </mc:Fallback>
    </mc:AlternateContent>
    <mc:AlternateContent xmlns:mc="http://schemas.openxmlformats.org/markup-compatibility/2006">
      <mc:Choice Requires="x14">
        <control shapeId="1074" r:id="rId40" name="cmdRefrescar">
          <controlPr defaultSize="0" print="0" autoLine="0" r:id="rId41">
            <anchor>
              <from>
                <xdr:col>0</xdr:col>
                <xdr:colOff>838200</xdr:colOff>
                <xdr:row>0</xdr:row>
                <xdr:rowOff>28575</xdr:rowOff>
              </from>
              <to>
                <xdr:col>0</xdr:col>
                <xdr:colOff>1095375</xdr:colOff>
                <xdr:row>0</xdr:row>
                <xdr:rowOff>295275</xdr:rowOff>
              </to>
            </anchor>
          </controlPr>
        </control>
      </mc:Choice>
      <mc:Fallback>
        <control shapeId="1074" r:id="rId40" name="cmdRefrescar"/>
      </mc:Fallback>
    </mc:AlternateContent>
    <mc:AlternateContent xmlns:mc="http://schemas.openxmlformats.org/markup-compatibility/2006">
      <mc:Choice Requires="x14">
        <control shapeId="1082" r:id="rId42" name="cmdCambiarPropiedad">
          <controlPr defaultSize="0" autoLine="0" r:id="rId43">
            <anchor>
              <from>
                <xdr:col>1</xdr:col>
                <xdr:colOff>47625</xdr:colOff>
                <xdr:row>0</xdr:row>
                <xdr:rowOff>333375</xdr:rowOff>
              </from>
              <to>
                <xdr:col>1</xdr:col>
                <xdr:colOff>704850</xdr:colOff>
                <xdr:row>0</xdr:row>
                <xdr:rowOff>600075</xdr:rowOff>
              </to>
            </anchor>
          </controlPr>
        </control>
      </mc:Choice>
      <mc:Fallback>
        <control shapeId="1082" r:id="rId42" name="cmdCambiarPropiedad"/>
      </mc:Fallback>
    </mc:AlternateContent>
    <mc:AlternateContent xmlns:mc="http://schemas.openxmlformats.org/markup-compatibility/2006">
      <mc:Choice Requires="x14">
        <control shapeId="1087" r:id="rId44" name="cmdBuffer">
          <controlPr defaultSize="0" autoLine="0" r:id="rId45">
            <anchor>
              <from>
                <xdr:col>1</xdr:col>
                <xdr:colOff>2276475</xdr:colOff>
                <xdr:row>0</xdr:row>
                <xdr:rowOff>333375</xdr:rowOff>
              </from>
              <to>
                <xdr:col>1</xdr:col>
                <xdr:colOff>2533650</xdr:colOff>
                <xdr:row>0</xdr:row>
                <xdr:rowOff>581025</xdr:rowOff>
              </to>
            </anchor>
          </controlPr>
        </control>
      </mc:Choice>
      <mc:Fallback>
        <control shapeId="1087" r:id="rId44" name="cmdBuffer"/>
      </mc:Fallback>
    </mc:AlternateContent>
    <mc:AlternateContent xmlns:mc="http://schemas.openxmlformats.org/markup-compatibility/2006">
      <mc:Choice Requires="x14">
        <control shapeId="1088" r:id="rId46" name="cmdReq">
          <controlPr defaultSize="0" autoLine="0" r:id="rId47">
            <anchor>
              <from>
                <xdr:col>1</xdr:col>
                <xdr:colOff>2552700</xdr:colOff>
                <xdr:row>0</xdr:row>
                <xdr:rowOff>333375</xdr:rowOff>
              </from>
              <to>
                <xdr:col>1</xdr:col>
                <xdr:colOff>2800350</xdr:colOff>
                <xdr:row>0</xdr:row>
                <xdr:rowOff>581025</xdr:rowOff>
              </to>
            </anchor>
          </controlPr>
        </control>
      </mc:Choice>
      <mc:Fallback>
        <control shapeId="1088" r:id="rId46" name="cmdReq"/>
      </mc:Fallback>
    </mc:AlternateContent>
    <mc:AlternateContent xmlns:mc="http://schemas.openxmlformats.org/markup-compatibility/2006">
      <mc:Choice Requires="x14">
        <control shapeId="1090" r:id="rId48" name="cmdConsumoVer">
          <controlPr defaultSize="0" autoLine="0" r:id="rId49">
            <anchor>
              <from>
                <xdr:col>1</xdr:col>
                <xdr:colOff>2809875</xdr:colOff>
                <xdr:row>0</xdr:row>
                <xdr:rowOff>333375</xdr:rowOff>
              </from>
              <to>
                <xdr:col>1</xdr:col>
                <xdr:colOff>3067050</xdr:colOff>
                <xdr:row>0</xdr:row>
                <xdr:rowOff>581025</xdr:rowOff>
              </to>
            </anchor>
          </controlPr>
        </control>
      </mc:Choice>
      <mc:Fallback>
        <control shapeId="1090" r:id="rId48" name="cmdConsumoVer"/>
      </mc:Fallback>
    </mc:AlternateContent>
    <mc:AlternateContent xmlns:mc="http://schemas.openxmlformats.org/markup-compatibility/2006">
      <mc:Choice Requires="x14">
        <control shapeId="1093" r:id="rId50" name="cmdEstatus">
          <controlPr defaultSize="0" autoLine="0" r:id="rId51">
            <anchor>
              <from>
                <xdr:col>2</xdr:col>
                <xdr:colOff>0</xdr:colOff>
                <xdr:row>0</xdr:row>
                <xdr:rowOff>333375</xdr:rowOff>
              </from>
              <to>
                <xdr:col>2</xdr:col>
                <xdr:colOff>257175</xdr:colOff>
                <xdr:row>0</xdr:row>
                <xdr:rowOff>581025</xdr:rowOff>
              </to>
            </anchor>
          </controlPr>
        </control>
      </mc:Choice>
      <mc:Fallback>
        <control shapeId="1093" r:id="rId50" name="cmdEstatus"/>
      </mc:Fallback>
    </mc:AlternateContent>
    <mc:AlternateContent xmlns:mc="http://schemas.openxmlformats.org/markup-compatibility/2006">
      <mc:Choice Requires="x14">
        <control shapeId="1095" r:id="rId52" name="cmdDespacho">
          <controlPr defaultSize="0" autoLine="0" r:id="rId53">
            <anchor>
              <from>
                <xdr:col>2</xdr:col>
                <xdr:colOff>266700</xdr:colOff>
                <xdr:row>0</xdr:row>
                <xdr:rowOff>333375</xdr:rowOff>
              </from>
              <to>
                <xdr:col>2</xdr:col>
                <xdr:colOff>514350</xdr:colOff>
                <xdr:row>0</xdr:row>
                <xdr:rowOff>581025</xdr:rowOff>
              </to>
            </anchor>
          </controlPr>
        </control>
      </mc:Choice>
      <mc:Fallback>
        <control shapeId="1095" r:id="rId52" name="cmdDespacho"/>
      </mc:Fallback>
    </mc:AlternateContent>
  </controls>
  <tableParts count="1">
    <tablePart r:id="rId54"/>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D4"/>
  <sheetViews>
    <sheetView workbookViewId="0">
      <selection activeCell="D1" sqref="D1"/>
    </sheetView>
  </sheetViews>
  <sheetFormatPr baseColWidth="10" defaultRowHeight="15" x14ac:dyDescent="0.25"/>
  <cols>
    <col min="1" max="1" width="43" customWidth="1"/>
  </cols>
  <sheetData>
    <row r="1" spans="1:4" x14ac:dyDescent="0.25">
      <c r="A1" t="s">
        <v>1671</v>
      </c>
      <c r="B1">
        <f>IF(COUNTBLANK(TABLATRANSFERENCIA[DE FECHA])&gt;0,1,0)</f>
        <v>0</v>
      </c>
      <c r="D1" t="str">
        <f>IF(error1,"Vacíos en fecha de inicio",IF(error2,"Error de Pedido Mínimo de Grupo",IF(error3,"Registros con código vacío","")))</f>
        <v/>
      </c>
    </row>
    <row r="2" spans="1:4" x14ac:dyDescent="0.25">
      <c r="A2" t="s">
        <v>1672</v>
      </c>
      <c r="B2">
        <f>IF(SUM(TABLATRANSFERENCIA[Error Pedid Min Grupo])&gt;0,1,0)</f>
        <v>0</v>
      </c>
    </row>
    <row r="3" spans="1:4" x14ac:dyDescent="0.25">
      <c r="A3" t="s">
        <v>1674</v>
      </c>
      <c r="B3">
        <f>IF(COUNTBLANK(TABLATRANSFERENCIA[CODIGO])&gt;0,1,0)</f>
        <v>0</v>
      </c>
    </row>
    <row r="4" spans="1:4" x14ac:dyDescent="0.25">
      <c r="A4" t="s">
        <v>1673</v>
      </c>
      <c r="B4">
        <f>IF(COUNTBLANK(TABLATRANSFERENCIA[A FECHA])&gt;0,1,0)</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BX2"/>
  <sheetViews>
    <sheetView topLeftCell="BI1" workbookViewId="0">
      <selection activeCell="BX2" sqref="BX2"/>
    </sheetView>
  </sheetViews>
  <sheetFormatPr baseColWidth="10" defaultRowHeight="15" x14ac:dyDescent="0.25"/>
  <sheetData>
    <row r="1" spans="1:76" ht="60" x14ac:dyDescent="0.25">
      <c r="A1" s="60" t="s">
        <v>26</v>
      </c>
      <c r="B1" s="47" t="s">
        <v>851</v>
      </c>
      <c r="C1" s="47" t="s">
        <v>909</v>
      </c>
      <c r="D1" s="47" t="s">
        <v>1020</v>
      </c>
      <c r="E1" s="47" t="s">
        <v>892</v>
      </c>
      <c r="F1" s="47" t="s">
        <v>903</v>
      </c>
      <c r="G1" s="47" t="s">
        <v>891</v>
      </c>
      <c r="H1" s="47" t="s">
        <v>884</v>
      </c>
      <c r="I1" s="47" t="s">
        <v>885</v>
      </c>
      <c r="J1" s="47" t="s">
        <v>886</v>
      </c>
      <c r="K1" s="47" t="s">
        <v>887</v>
      </c>
      <c r="L1" s="47" t="s">
        <v>888</v>
      </c>
      <c r="M1" s="47" t="s">
        <v>889</v>
      </c>
      <c r="N1" s="47" t="s">
        <v>890</v>
      </c>
      <c r="O1" s="42" t="s">
        <v>1038</v>
      </c>
      <c r="P1" s="42" t="s">
        <v>18</v>
      </c>
      <c r="Q1" s="42" t="s">
        <v>19</v>
      </c>
      <c r="R1" s="42" t="s">
        <v>10</v>
      </c>
      <c r="S1" s="42" t="s">
        <v>980</v>
      </c>
      <c r="T1" s="42" t="s">
        <v>37</v>
      </c>
      <c r="U1" s="42" t="s">
        <v>38</v>
      </c>
      <c r="V1" s="42" t="s">
        <v>844</v>
      </c>
      <c r="W1" s="42" t="s">
        <v>908</v>
      </c>
      <c r="X1" s="42" t="s">
        <v>1027</v>
      </c>
      <c r="Y1" s="42" t="s">
        <v>1028</v>
      </c>
      <c r="Z1" s="44" t="s">
        <v>8</v>
      </c>
      <c r="AA1" s="44" t="s">
        <v>1148</v>
      </c>
      <c r="AB1" s="44" t="s">
        <v>904</v>
      </c>
      <c r="AC1" s="44" t="s">
        <v>9</v>
      </c>
      <c r="AD1" s="44" t="s">
        <v>977</v>
      </c>
      <c r="AE1" s="44" t="s">
        <v>907</v>
      </c>
      <c r="AF1" s="44" t="s">
        <v>916</v>
      </c>
      <c r="AG1" s="44" t="s">
        <v>917</v>
      </c>
      <c r="AH1" s="44" t="s">
        <v>918</v>
      </c>
      <c r="AI1" s="44" t="s">
        <v>905</v>
      </c>
      <c r="AJ1" s="44" t="s">
        <v>906</v>
      </c>
      <c r="AK1" s="44" t="s">
        <v>913</v>
      </c>
      <c r="AL1" s="44" t="s">
        <v>973</v>
      </c>
      <c r="AM1" s="44" t="s">
        <v>978</v>
      </c>
      <c r="AN1" s="44" t="s">
        <v>910</v>
      </c>
      <c r="AO1" s="44" t="s">
        <v>911</v>
      </c>
      <c r="AP1" s="44" t="s">
        <v>914</v>
      </c>
      <c r="AQ1" s="43" t="s">
        <v>912</v>
      </c>
      <c r="AR1" s="44" t="s">
        <v>974</v>
      </c>
      <c r="AS1" s="44" t="s">
        <v>975</v>
      </c>
      <c r="AT1" s="44" t="s">
        <v>976</v>
      </c>
      <c r="AU1" s="44" t="s">
        <v>979</v>
      </c>
      <c r="AV1" s="43" t="s">
        <v>1039</v>
      </c>
      <c r="AW1" s="43" t="s">
        <v>1040</v>
      </c>
      <c r="AX1" s="51" t="s">
        <v>1370</v>
      </c>
      <c r="AY1" s="51" t="s">
        <v>1371</v>
      </c>
      <c r="AZ1" s="51" t="s">
        <v>1372</v>
      </c>
      <c r="BA1" s="51" t="s">
        <v>1373</v>
      </c>
      <c r="BB1" s="51" t="s">
        <v>1374</v>
      </c>
      <c r="BC1" s="51" t="s">
        <v>1375</v>
      </c>
      <c r="BD1" s="43" t="s">
        <v>11</v>
      </c>
      <c r="BE1" s="43" t="s">
        <v>17</v>
      </c>
      <c r="BF1" s="57" t="s">
        <v>1044</v>
      </c>
      <c r="BG1" s="56" t="s">
        <v>1045</v>
      </c>
      <c r="BH1" s="56" t="s">
        <v>1046</v>
      </c>
      <c r="BI1" s="56" t="s">
        <v>1047</v>
      </c>
      <c r="BJ1" s="56" t="s">
        <v>1048</v>
      </c>
      <c r="BK1" s="56" t="s">
        <v>1049</v>
      </c>
      <c r="BL1" s="43" t="s">
        <v>1050</v>
      </c>
      <c r="BM1" s="44" t="s">
        <v>919</v>
      </c>
      <c r="BN1" s="43" t="s">
        <v>13</v>
      </c>
      <c r="BO1" s="43" t="s">
        <v>14</v>
      </c>
      <c r="BP1" s="39" t="s">
        <v>15</v>
      </c>
      <c r="BQ1" s="38" t="s">
        <v>20</v>
      </c>
      <c r="BR1" s="38" t="s">
        <v>21</v>
      </c>
      <c r="BS1" s="38" t="s">
        <v>22</v>
      </c>
      <c r="BT1" s="41" t="s">
        <v>915</v>
      </c>
      <c r="BU1" s="41" t="s">
        <v>1032</v>
      </c>
      <c r="BV1" s="41" t="s">
        <v>1033</v>
      </c>
      <c r="BW1" s="41" t="s">
        <v>1034</v>
      </c>
      <c r="BX1" s="41" t="s">
        <v>1681</v>
      </c>
    </row>
    <row r="2" spans="1:76" x14ac:dyDescent="0.25">
      <c r="A2" s="53" t="s">
        <v>1369</v>
      </c>
      <c r="B2" s="58" t="str">
        <f ca="1">IFERROR(INDEX(OFFSET(INDIRECT("v_buffer_hist_hoy!$A$1"),1,MATCH("pro_descripcion",INDIRECT("v_buffer_hist_hoy!$1:$1"),0)-1,100000,1),MATCH(CLEAN(TABLATRANSFERENCIA[[#This Row],[CODIGO]]),OFFSET(INDIRECT("v_buffer_hist_hoy!$A$1"),1,MATCH("buh_codigo",INDIRECT("v_buffer_hist_hoy!$1:$1"),0)-1,100000,1),0)),"")</f>
        <v/>
      </c>
      <c r="C2" s="3" t="str">
        <f ca="1">IFERROR(INDEX(OFFSET(INDIRECT("v_buffer_hist_hoy!$A$1"),1,MATCH("buh_codigo_generico",INDIRECT("v_buffer_hist_hoy!$1:$1"),0)-1,100000,1),MATCH(CLEAN(TABLATRANSFERENCIA[[#This Row],[CODIGO]]),OFFSET(INDIRECT("v_buffer_hist_hoy!$A$1"),1,MATCH("buh_codigo",INDIRECT("v_buffer_hist_hoy!$1:$1"),0)-1,100000,1),0)),"")</f>
        <v/>
      </c>
      <c r="D2" s="3" t="str">
        <f ca="1">IFERROR(INDEX(OFFSET(INDIRECT("v_buffer_hist_hoy!$A$1"),1,MATCH("buh_codigo_vinculado",INDIRECT("v_buffer_hist_hoy!$1:$1"),0)-1,100000,1),MATCH(CLEAN(TABLATRANSFERENCIA[[#This Row],[CODIGO]]),OFFSET(INDIRECT("v_buffer_hist_hoy!$A$1"),1,MATCH("buh_codigo",INDIRECT("v_buffer_hist_hoy!$1:$1"),0)-1,100000,1),0)),"")</f>
        <v/>
      </c>
      <c r="E2" s="3" t="str">
        <f ca="1">IFERROR(INDEX(OFFSET(INDIRECT("v_buffer_hist_hoy!$A$1"),1,MATCH("pro_linea",INDIRECT("v_buffer_hist_hoy!$1:$1"),0)-1,100000,1),MATCH(CLEAN(TABLATRANSFERENCIA[[#This Row],[CODIGO]]),OFFSET(INDIRECT("v_buffer_hist_hoy!$A$1"),1,MATCH("buh_codigo",INDIRECT("v_buffer_hist_hoy!$1:$1"),0)-1,100000,1),0)),"")</f>
        <v/>
      </c>
      <c r="F2" s="3" t="str">
        <f ca="1">IFERROR(INDEX(OFFSET(INDIRECT("v_buffer_hist_hoy!$A$1"),1,MATCH("pro_sublinea",INDIRECT("v_buffer_hist_hoy!$1:$1"),0)-1,100000,1),MATCH(CLEAN(TABLATRANSFERENCIA[[#This Row],[CODIGO]]),OFFSET(INDIRECT("v_buffer_hist_hoy!$A$1"),1,MATCH("buh_codigo",INDIRECT("v_buffer_hist_hoy!$1:$1"),0)-1,100000,1),0)),"")</f>
        <v/>
      </c>
      <c r="G2" s="3" t="str">
        <f ca="1">IFERROR(INDEX(OFFSET(INDIRECT("v_buffer_hist_hoy!$A$1"),1,MATCH("pro_grupo",INDIRECT("v_buffer_hist_hoy!$1:$1"),0)-1,100000,1),MATCH(CLEAN(TABLATRANSFERENCIA[[#This Row],[CODIGO]]),OFFSET(INDIRECT("v_buffer_hist_hoy!$A$1"),1,MATCH("buh_codigo",INDIRECT("v_buffer_hist_hoy!$1:$1"),0)-1,100000,1),0)),"")</f>
        <v/>
      </c>
      <c r="H2" s="3" t="str">
        <f ca="1">IFERROR(INDEX(OFFSET(INDIRECT("v_buffer_hist_hoy!$A$1"),1,MATCH("pro_familia",INDIRECT("v_buffer_hist_hoy!$1:$1"),0)-1,100000,1),MATCH(CLEAN(TABLATRANSFERENCIA[[#This Row],[CODIGO]]),OFFSET(INDIRECT("v_buffer_hist_hoy!$A$1"),1,MATCH("buh_codigo",INDIRECT("v_buffer_hist_hoy!$1:$1"),0)-1,100000,1),0)),"")</f>
        <v/>
      </c>
      <c r="I2" s="3" t="str">
        <f ca="1">IFERROR(INDEX(OFFSET(INDIRECT("v_buffer_hist_hoy!$A$1"),1,MATCH("pro_subfamilia",INDIRECT("v_buffer_hist_hoy!$1:$1"),0)-1,100000,1),MATCH(CLEAN(TABLATRANSFERENCIA[[#This Row],[CODIGO]]),OFFSET(INDIRECT("v_buffer_hist_hoy!$A$1"),1,MATCH("buh_codigo",INDIRECT("v_buffer_hist_hoy!$1:$1"),0)-1,100000,1),0)),"")</f>
        <v/>
      </c>
      <c r="J2" s="3" t="str">
        <f ca="1">IFERROR(INDEX(OFFSET(INDIRECT("v_buffer_hist_hoy!$A$1"),1,MATCH("pro_categoria",INDIRECT("v_buffer_hist_hoy!$1:$1"),0)-1,100000,1),MATCH(CLEAN(TABLATRANSFERENCIA[[#This Row],[CODIGO]]),OFFSET(INDIRECT("v_buffer_hist_hoy!$A$1"),1,MATCH("buh_codigo",INDIRECT("v_buffer_hist_hoy!$1:$1"),0)-1,100000,1),0)),"")</f>
        <v/>
      </c>
      <c r="K2" s="3" t="str">
        <f ca="1">IFERROR(INDEX(OFFSET(INDIRECT("v_buffer_hist_hoy!$A$1"),1,MATCH("pro_tipo",INDIRECT("v_buffer_hist_hoy!$1:$1"),0)-1,100000,1),MATCH(CLEAN(TABLATRANSFERENCIA[[#This Row],[CODIGO]]),OFFSET(INDIRECT("v_buffer_hist_hoy!$A$1"),1,MATCH("buh_codigo",INDIRECT("v_buffer_hist_hoy!$1:$1"),0)-1,100000,1),0)),"")</f>
        <v/>
      </c>
      <c r="L2" s="3" t="str">
        <f ca="1">IFERROR(INDEX(OFFSET(INDIRECT("v_buffer_hist_hoy!$A$1"),1,MATCH("pro_marca",INDIRECT("v_buffer_hist_hoy!$1:$1"),0)-1,100000,1),MATCH(CLEAN(TABLATRANSFERENCIA[[#This Row],[CODIGO]]),OFFSET(INDIRECT("v_buffer_hist_hoy!$A$1"),1,MATCH("buh_codigo",INDIRECT("v_buffer_hist_hoy!$1:$1"),0)-1,100000,1),0)),"")</f>
        <v/>
      </c>
      <c r="M2" s="3" t="str">
        <f ca="1">IFERROR(INDEX(OFFSET(INDIRECT("v_buffer_hist_hoy!$A$1"),1,MATCH("pro_modelo",INDIRECT("v_buffer_hist_hoy!$1:$1"),0)-1,100000,1),MATCH(CLEAN(TABLATRANSFERENCIA[[#This Row],[CODIGO]]),OFFSET(INDIRECT("v_buffer_hist_hoy!$A$1"),1,MATCH("buh_codigo",INDIRECT("v_buffer_hist_hoy!$1:$1"),0)-1,100000,1),0)),"")</f>
        <v/>
      </c>
      <c r="N2" s="3" t="str">
        <f ca="1">IFERROR(INDEX(OFFSET(INDIRECT("v_buffer_hist_hoy!$A$1"),1,MATCH("pro_cat_management",INDIRECT("v_buffer_hist_hoy!$1:$1"),0)-1,100000,1),MATCH(CLEAN(TABLATRANSFERENCIA[[#This Row],[CODIGO]]),OFFSET(INDIRECT("v_buffer_hist_hoy!$A$1"),1,MATCH("buh_codigo",INDIRECT("v_buffer_hist_hoy!$1:$1"),0)-1,100000,1),0)),"")</f>
        <v/>
      </c>
      <c r="O2" s="5" t="str">
        <f ca="1">IFERROR(INDEX(OFFSET(INDIRECT("v_buffer_hist_hoy!$A$1"),1,MATCH("buh_estatus",INDIRECT("v_buffer_hist_hoy!$1:$1"),0)-1,100000,1),MATCH(CLEAN(TABLATRANSFERENCIA[[#This Row],[CODIGO]]),OFFSET(INDIRECT("v_buffer_hist_hoy!$A$1"),1,MATCH("buh_codigo",INDIRECT("v_buffer_hist_hoy!$1:$1"),0)-1,100000,1),0)),"")</f>
        <v/>
      </c>
      <c r="P2" s="5" t="str">
        <f ca="1">IFERROR(INDEX(OFFSET(INDIRECT("v_buffer_hist_hoy!$A$1"),1,MATCH("buh_ctv",INDIRECT("v_buffer_hist_hoy!$1:$1"),0)-1,100000,1),MATCH(CLEAN(TABLATRANSFERENCIA[[#This Row],[CODIGO]]),OFFSET(INDIRECT("v_buffer_hist_hoy!$A$1"),1,MATCH("buh_codigo",INDIRECT("v_buffer_hist_hoy!$1:$1"),0)-1,100000,1),0)),"")</f>
        <v/>
      </c>
      <c r="Q2" s="5" t="str">
        <f ca="1">IFERROR(INDEX(OFFSET(INDIRECT("v_buffer_hist_hoy!$A$1"),1,MATCH("buh_pv",INDIRECT("v_buffer_hist_hoy!$1:$1"),0)-1,100000,1),MATCH(CLEAN(TABLATRANSFERENCIA[[#This Row],[CODIGO]]),OFFSET(INDIRECT("v_buffer_hist_hoy!$A$1"),1,MATCH("buh_codigo",INDIRECT("v_buffer_hist_hoy!$1:$1"),0)-1,100000,1),0)),"")</f>
        <v/>
      </c>
      <c r="R2" s="45" t="str">
        <f ca="1">IFERROR(INDEX(OFFSET(INDIRECT("v_buffer_hist_hoy!$A$1"),1,MATCH("buh_roi_pasado",INDIRECT("v_buffer_hist_hoy!$1:$1"),0)-1,100000,1),MATCH(CLEAN(TABLATRANSFERENCIA[[#This Row],[CODIGO]]),OFFSET(INDIRECT("v_buffer_hist_hoy!$A$1"),1,MATCH("buh_codigo",INDIRECT("v_buffer_hist_hoy!$1:$1"),0)-1,100000,1),0)),"")</f>
        <v/>
      </c>
      <c r="S2" s="45" t="str">
        <f ca="1">IFERROR(INDEX(OFFSET(INDIRECT("v_buffer_hist_hoy!$A$1"),1,MATCH("buh_roi_proyectado",INDIRECT("v_buffer_hist_hoy!$1:$1"),0)-1,100000,1),MATCH(CLEAN(TABLATRANSFERENCIA[[#This Row],[CODIGO]]),OFFSET(INDIRECT("v_buffer_hist_hoy!$A$1"),1,MATCH("buh_codigo",INDIRECT("v_buffer_hist_hoy!$1:$1"),0)-1,100000,1),0)),"")</f>
        <v/>
      </c>
      <c r="T2" s="45" t="str">
        <f ca="1">IFERROR(INDEX(OFFSET(INDIRECT("v_buffer_hist_hoy!$A$1"),1,MATCH("buh_velocity",INDIRECT("v_buffer_hist_hoy!$1:$1"),0)-1,100000,1),MATCH(CLEAN(TABLATRANSFERENCIA[[#This Row],[CODIGO]]),OFFSET(INDIRECT("v_buffer_hist_hoy!$A$1"),1,MATCH("buh_codigo",INDIRECT("v_buffer_hist_hoy!$1:$1"),0)-1,100000,1),0)),"")</f>
        <v/>
      </c>
      <c r="U2" s="45" t="str">
        <f ca="1">IFERROR(INDEX(OFFSET(INDIRECT("v_buffer_hist_hoy!$A$1"),1,MATCH("buh_nivel_servicio",INDIRECT("v_buffer_hist_hoy!$1:$1"),0)-1,100000,1),MATCH(CLEAN(TABLATRANSFERENCIA[[#This Row],[CODIGO]]),OFFSET(INDIRECT("v_buffer_hist_hoy!$A$1"),1,MATCH("buh_codigo",INDIRECT("v_buffer_hist_hoy!$1:$1"),0)-1,100000,1),0)),"")</f>
        <v/>
      </c>
      <c r="V2" s="48" t="str">
        <f ca="1">IFERROR(INDEX(OFFSET(INDIRECT("v_buffer_hist_hoy!$A$1"),1,MATCH("pro_nombre",INDIRECT("v_buffer_hist_hoy!$1:$1"),0)-1,100000,1),MATCH(CLEAN(TABLATRANSFERENCIA[[#This Row],[CODIGO]]),OFFSET(INDIRECT("v_buffer_hist_hoy!$A$1"),1,MATCH("buh_codigo",INDIRECT("v_buffer_hist_hoy!$1:$1"),0)-1,100000,1),0)),"")</f>
        <v/>
      </c>
      <c r="W2" s="48" t="str">
        <f ca="1">IFERROR(INDEX(OFFSET(INDIRECT("v_buffer_hist_hoy!$A$1"),1,MATCH("pre_nombre",INDIRECT("v_buffer_hist_hoy!$1:$1"),0)-1,100000,1),MATCH(CLEAN(TABLATRANSFERENCIA[[#This Row],[CODIGO]]),OFFSET(INDIRECT("v_buffer_hist_hoy!$A$1"),1,MATCH("buh_codigo",INDIRECT("v_buffer_hist_hoy!$1:$1"),0)-1,100000,1),0)),"")</f>
        <v/>
      </c>
      <c r="X2" s="50" t="str">
        <f ca="1">IFERROR(INDEX(OFFSET(INDIRECT("v_buffer_hist_hoy!$A$1"),1,MATCH("buh_tiempo_suministro",INDIRECT("v_buffer_hist_hoy!$1:$1"),0)-1,100000,1),MATCH(CLEAN(TABLATRANSFERENCIA[[#This Row],[CODIGO]]),OFFSET(INDIRECT("v_buffer_hist_hoy!$A$1"),1,MATCH("buh_codigo",INDIRECT("v_buffer_hist_hoy!$1:$1"),0)-1,100000,1),0)),"")</f>
        <v/>
      </c>
      <c r="Y2" s="50" t="str">
        <f ca="1">IFERROR(INDEX(OFFSET(INDIRECT("v_buffer_hist_hoy!$A$1"),1,MATCH("buh_frecuencia_reposicion",INDIRECT("v_buffer_hist_hoy!$1:$1"),0)-1,100000,1),MATCH(CLEAN(TABLATRANSFERENCIA[[#This Row],[CODIGO]]),OFFSET(INDIRECT("v_buffer_hist_hoy!$A$1"),1,MATCH("buh_codigo",INDIRECT("v_buffer_hist_hoy!$1:$1"),0)-1,100000,1),0)),"")</f>
        <v/>
      </c>
      <c r="Z2" s="50" t="str">
        <f ca="1">IFERROR(INDEX(OFFSET(INDIRECT("v_buffer_hist_hoy!$A$1"),1,MATCH("buh_buffer_actual",INDIRECT("v_buffer_hist_hoy!$1:$1"),0)-1,100000,1),MATCH(CLEAN(TABLATRANSFERENCIA[[#This Row],[CODIGO]]),OFFSET(INDIRECT("v_buffer_hist_hoy!$A$1"),1,MATCH("buh_codigo",INDIRECT("v_buffer_hist_hoy!$1:$1"),0)-1,100000,1),0)),"")</f>
        <v/>
      </c>
      <c r="AA2" s="50" t="str">
        <f ca="1">IFERROR(INDEX(OFFSET(INDIRECT("v_buffer_hist_hoy!$A$1"),1,MATCH("buh_inventario_proveedor",INDIRECT("v_buffer_hist_hoy!$1:$1"),0)-1,100000,1),MATCH(CLEAN(TABLATRANSFERENCIA[[#This Row],[CODIGO]]),OFFSET(INDIRECT("v_buffer_hist_hoy!$A$1"),1,MATCH("buh_codigo",INDIRECT("v_buffer_hist_hoy!$1:$1"),0)-1,100000,1),0)),"")</f>
        <v/>
      </c>
      <c r="AB2" s="6" t="str">
        <f ca="1">IFERROR(INDEX(OFFSET(INDIRECT("v_buffer_hist_hoy!$A$1"),1,MATCH("buh_inventario_fisico",INDIRECT("v_buffer_hist_hoy!$1:$1"),0)-1,100000,1),MATCH(CLEAN(TABLATRANSFERENCIA[[#This Row],[CODIGO]]),OFFSET(INDIRECT("v_buffer_hist_hoy!$A$1"),1,MATCH("buh_codigo",INDIRECT("v_buffer_hist_hoy!$1:$1"),0)-1,100000,1),0)),"")</f>
        <v/>
      </c>
      <c r="AC2" s="4" t="str">
        <f ca="1">IFERROR(INDEX(OFFSET(INDIRECT("v_buffer_hist_hoy!$A$1"),1,MATCH("buh_estado_inventario_fisico",INDIRECT("v_buffer_hist_hoy!$1:$1"),0)-1,100000,1),MATCH(CLEAN(TABLATRANSFERENCIA[[#This Row],[CODIGO]]),OFFSET(INDIRECT("v_buffer_hist_hoy!$A$1"),1,MATCH("buh_codigo",INDIRECT("v_buffer_hist_hoy!$1:$1"),0)-1,100000,1),0)),"")</f>
        <v/>
      </c>
      <c r="AD2" s="6" t="str">
        <f ca="1">IFERROR(INDEX(OFFSET(INDIRECT("v_buffer_hist_hoy!$A$1"),1,MATCH("buh_color_inventario_fisico",INDIRECT("v_buffer_hist_hoy!$1:$1"),0)-1,100000,1),MATCH(CLEAN(TABLATRANSFERENCIA[[#This Row],[CODIGO]]),OFFSET(INDIRECT("v_buffer_hist_hoy!$A$1"),1,MATCH("buh_codigo",INDIRECT("v_buffer_hist_hoy!$1:$1"),0)-1,100000,1),0)),"")</f>
        <v/>
      </c>
      <c r="AE2" s="6" t="str">
        <f ca="1">IFERROR(INDEX(OFFSET(INDIRECT("v_buffer_hist_hoy!$A$1"),1,MATCH("buh_transito",INDIRECT("v_buffer_hist_hoy!$1:$1"),0)-1,100000,1),MATCH(CLEAN(TABLATRANSFERENCIA[[#This Row],[CODIGO]]),OFFSET(INDIRECT("v_buffer_hist_hoy!$A$1"),1,MATCH("buh_codigo",INDIRECT("v_buffer_hist_hoy!$1:$1"),0)-1,100000,1),0)),"")</f>
        <v/>
      </c>
      <c r="AF2" s="6" t="str">
        <f ca="1">IFERROR(INDEX(OFFSET(INDIRECT("v_buffer_hist_hoy!$A$1"),1,MATCH("buh_negociacion",INDIRECT("v_buffer_hist_hoy!$1:$1"),0)-1,100000,1),MATCH(CLEAN(TABLATRANSFERENCIA[[#This Row],[CODIGO]]),OFFSET(INDIRECT("v_buffer_hist_hoy!$A$1"),1,MATCH("buh_codigo",INDIRECT("v_buffer_hist_hoy!$1:$1"),0)-1,100000,1),0)),"")</f>
        <v/>
      </c>
      <c r="AG2" s="6" t="str">
        <f ca="1">IFERROR(INDEX(OFFSET(INDIRECT("v_buffer_hist_hoy!$A$1"),1,MATCH("buh_produccion",INDIRECT("v_buffer_hist_hoy!$1:$1"),0)-1,100000,1),MATCH(CLEAN(TABLATRANSFERENCIA[[#This Row],[CODIGO]]),OFFSET(INDIRECT("v_buffer_hist_hoy!$A$1"),1,MATCH("buh_codigo",INDIRECT("v_buffer_hist_hoy!$1:$1"),0)-1,100000,1),0)),"")</f>
        <v/>
      </c>
      <c r="AH2" s="6" t="str">
        <f ca="1">IFERROR(INDEX(OFFSET(INDIRECT("v_buffer_hist_hoy!$A$1"),1,MATCH("buh_embarcado",INDIRECT("v_buffer_hist_hoy!$1:$1"),0)-1,100000,1),MATCH(CLEAN(TABLATRANSFERENCIA[[#This Row],[CODIGO]]),OFFSET(INDIRECT("v_buffer_hist_hoy!$A$1"),1,MATCH("buh_codigo",INDIRECT("v_buffer_hist_hoy!$1:$1"),0)-1,100000,1),0)),"")</f>
        <v/>
      </c>
      <c r="AI2" s="6" t="str">
        <f ca="1">IFERROR(INDEX(OFFSET(INDIRECT("v_buffer_hist_hoy!$A$1"),1,MATCH("buh_comprometido",INDIRECT("v_buffer_hist_hoy!$1:$1"),0)-1,100000,1),MATCH(CLEAN(TABLATRANSFERENCIA[[#This Row],[CODIGO]]),OFFSET(INDIRECT("v_buffer_hist_hoy!$A$1"),1,MATCH("buh_codigo",INDIRECT("v_buffer_hist_hoy!$1:$1"),0)-1,100000,1),0)),"")</f>
        <v/>
      </c>
      <c r="AJ2" s="6" t="str">
        <f ca="1">IFERROR(INDEX(OFFSET(INDIRECT("v_buffer_hist_hoy!$A$1"),1,MATCH("buh_backorder",INDIRECT("v_buffer_hist_hoy!$1:$1"),0)-1,100000,1),MATCH(CLEAN(TABLATRANSFERENCIA[[#This Row],[CODIGO]]),OFFSET(INDIRECT("v_buffer_hist_hoy!$A$1"),1,MATCH("buh_codigo",INDIRECT("v_buffer_hist_hoy!$1:$1"),0)-1,100000,1),0)),"")</f>
        <v/>
      </c>
      <c r="AK2" s="6" t="str">
        <f ca="1">IFERROR(INDEX(OFFSET(INDIRECT("v_buffer_hist_hoy!$A$1"),1,MATCH("buh_inventario_proyectado",INDIRECT("v_buffer_hist_hoy!$1:$1"),0)-1,100000,1),MATCH(CLEAN(TABLATRANSFERENCIA[[#This Row],[CODIGO]]),OFFSET(INDIRECT("v_buffer_hist_hoy!$A$1"),1,MATCH("buh_codigo",INDIRECT("v_buffer_hist_hoy!$1:$1"),0)-1,100000,1),0)),"")</f>
        <v/>
      </c>
      <c r="AL2" s="4" t="str">
        <f ca="1">IFERROR(INDEX(OFFSET(INDIRECT("v_buffer_hist_hoy!$A$1"),1,MATCH("buh_estado_inventario_proyectado",INDIRECT("v_buffer_hist_hoy!$1:$1"),0)-1,100000,1),MATCH(CLEAN(TABLATRANSFERENCIA[[#This Row],[CODIGO]]),OFFSET(INDIRECT("v_buffer_hist_hoy!$A$1"),1,MATCH("buh_codigo",INDIRECT("v_buffer_hist_hoy!$1:$1"),0)-1,100000,1),0)),"")</f>
        <v/>
      </c>
      <c r="AM2" s="6" t="str">
        <f ca="1">IFERROR(INDEX(OFFSET(INDIRECT("v_buffer_hist_hoy!$A$1"),1,MATCH("buh_color_inventario_proyectado",INDIRECT("v_buffer_hist_hoy!$1:$1"),0)-1,100000,1),MATCH(CLEAN(TABLATRANSFERENCIA[[#This Row],[CODIGO]]),OFFSET(INDIRECT("v_buffer_hist_hoy!$A$1"),1,MATCH("buh_codigo",INDIRECT("v_buffer_hist_hoy!$1:$1"),0)-1,100000,1),0)),"")</f>
        <v/>
      </c>
      <c r="AN2" s="6" t="str">
        <f ca="1">IFERROR(INDEX(OFFSET(INDIRECT("v_buffer_hist_hoy!$A$1"),1,MATCH("buh_pedido_minimo",INDIRECT("v_buffer_hist_hoy!$1:$1"),0)-1,100000,1),MATCH(CLEAN(TABLATRANSFERENCIA[[#This Row],[CODIGO]]),OFFSET(INDIRECT("v_buffer_hist_hoy!$A$1"),1,MATCH("buh_codigo",INDIRECT("v_buffer_hist_hoy!$1:$1"),0)-1,100000,1),0)),"")</f>
        <v/>
      </c>
      <c r="AO2" s="6" t="str">
        <f ca="1">IFERROR(INDEX(OFFSET(INDIRECT("v_buffer_hist_hoy!$A$1"),1,MATCH("buh_pedido_minimo_grupo",INDIRECT("v_buffer_hist_hoy!$1:$1"),0)-1,100000,1),MATCH(CLEAN(TABLATRANSFERENCIA[[#This Row],[CODIGO]]),OFFSET(INDIRECT("v_buffer_hist_hoy!$A$1"),1,MATCH("buh_codigo",INDIRECT("v_buffer_hist_hoy!$1:$1"),0)-1,100000,1),0)),"")</f>
        <v/>
      </c>
      <c r="AP2" s="6" t="str">
        <f ca="1">IFERROR(INDEX(OFFSET(INDIRECT("v_buffer_hist_hoy!$A$1"),1,MATCH("buh_unidad_empaque",INDIRECT("v_buffer_hist_hoy!$1:$1"),0)-1,100000,1),MATCH(CLEAN(TABLATRANSFERENCIA[[#This Row],[CODIGO]]),OFFSET(INDIRECT("v_buffer_hist_hoy!$A$1"),1,MATCH("buh_codigo",INDIRECT("v_buffer_hist_hoy!$1:$1"),0)-1,100000,1),0)),"")</f>
        <v/>
      </c>
      <c r="AQ2" s="6" t="str">
        <f ca="1">IFERROR(INDEX(OFFSET(INDIRECT("v_buffer_hist_hoy!$A$1"),1,MATCH("buh_pedido_promedio",INDIRECT("v_buffer_hist_hoy!$1:$1"),0)-1,100000,1),MATCH(CLEAN(TABLATRANSFERENCIA[[#This Row],[CODIGO]]),OFFSET(INDIRECT("v_buffer_hist_hoy!$A$1"),1,MATCH("buh_codigo",INDIRECT("v_buffer_hist_hoy!$1:$1"),0)-1,100000,1),0)),"")</f>
        <v/>
      </c>
      <c r="AR2" s="6" t="str">
        <f ca="1">IFERROR(INDEX(OFFSET(INDIRECT("v_buffer_hist_hoy!$A$1"),1,MATCH("buh_cobertura_buffer",INDIRECT("v_buffer_hist_hoy!$1:$1"),0)-1,100000,1),MATCH(CLEAN(TABLATRANSFERENCIA[[#This Row],[CODIGO]]),OFFSET(INDIRECT("v_buffer_hist_hoy!$A$1"),1,MATCH("buh_codigo",INDIRECT("v_buffer_hist_hoy!$1:$1"),0)-1,100000,1),0)),"")</f>
        <v/>
      </c>
      <c r="AS2" s="6" t="str">
        <f ca="1">IFERROR(INDEX(OFFSET(INDIRECT("v_buffer_hist_hoy!$A$1"),1,MATCH("buh_cobertura_inventario_proyectado",INDIRECT("v_buffer_hist_hoy!$1:$1"),0)-1,100000,1),MATCH(CLEAN(TABLATRANSFERENCIA[[#This Row],[CODIGO]]),OFFSET(INDIRECT("v_buffer_hist_hoy!$A$1"),1,MATCH("buh_codigo",INDIRECT("v_buffer_hist_hoy!$1:$1"),0)-1,100000,1),0)),"")</f>
        <v/>
      </c>
      <c r="AT2" s="6" t="str">
        <f ca="1">IFERROR(INDEX(OFFSET(INDIRECT("v_buffer_hist_hoy!$A$1"),1,MATCH("buh_cobertura_pedido_minimo",INDIRECT("v_buffer_hist_hoy!$1:$1"),0)-1,100000,1),MATCH(CLEAN(TABLATRANSFERENCIA[[#This Row],[CODIGO]]),OFFSET(INDIRECT("v_buffer_hist_hoy!$A$1"),1,MATCH("buh_codigo",INDIRECT("v_buffer_hist_hoy!$1:$1"),0)-1,100000,1),0)),"")</f>
        <v/>
      </c>
      <c r="AU2" s="6" t="str">
        <f ca="1">IFERROR(INDEX(OFFSET(INDIRECT("v_buffer_hist_hoy!$A$1"),1,MATCH("buh_dias_desabastecimiento",INDIRECT("v_buffer_hist_hoy!$1:$1"),0)-1,100000,1),MATCH(CLEAN(TABLATRANSFERENCIA[[#This Row],[CODIGO]]),OFFSET(INDIRECT("v_buffer_hist_hoy!$A$1"),1,MATCH("buh_codigo",INDIRECT("v_buffer_hist_hoy!$1:$1"),0)-1,100000,1),0)),"")</f>
        <v/>
      </c>
      <c r="AV2" s="55" t="str">
        <f ca="1">IFERROR(INDEX(OFFSET(INDIRECT("v_buffer_hist_hoy!$A$1"),1,MATCH("buh_ultima_transferencia_ini",INDIRECT("v_buffer_hist_hoy!$1:$1"),0)-1,100000,1),MATCH(CLEAN(TABLATRANSFERENCIA[[#This Row],[CODIGO]]),OFFSET(INDIRECT("v_buffer_hist_hoy!$A$1"),1,MATCH("buh_codigo",INDIRECT("v_buffer_hist_hoy!$1:$1"),0)-1,100000,1),0)),"")</f>
        <v/>
      </c>
      <c r="AW2" s="55" t="str">
        <f ca="1">IFERROR(INDEX(OFFSET(INDIRECT("v_buffer_hist_hoy!$A$1"),1,MATCH("buh_ultima_transferencia_fin",INDIRECT("v_buffer_hist_hoy!$1:$1"),0)-1,100000,1),MATCH(CLEAN(TABLATRANSFERENCIA[[#This Row],[CODIGO]]),OFFSET(INDIRECT("v_buffer_hist_hoy!$A$1"),1,MATCH("buh_codigo",INDIRECT("v_buffer_hist_hoy!$1:$1"),0)-1,100000,1),0)),"")</f>
        <v/>
      </c>
      <c r="AX2" s="6">
        <f t="array" ref="AX2">IFERROR(INDEX(Datos_Consumo[CANTIDAD],MATCH(XXYY[[#This Row],[CODIGO]]&amp;XXYY[[#Headers],[2016-5]],Datos_Consumo[CODIGO]&amp;Datos_Consumo[FECHA_FORMATO],0)),0)</f>
        <v>0</v>
      </c>
      <c r="AY2" s="6">
        <f t="array" ref="AY2">IFERROR(INDEX(Datos_Consumo[CANTIDAD],MATCH(XXYY[[#This Row],[CODIGO]]&amp;XXYY[[#Headers],[2016-6]],Datos_Consumo[CODIGO]&amp;Datos_Consumo[FECHA_FORMATO],0)),0)</f>
        <v>0</v>
      </c>
      <c r="AZ2" s="6">
        <f t="array" ref="AZ2">IFERROR(INDEX(Datos_Consumo[CANTIDAD],MATCH(XXYY[[#This Row],[CODIGO]]&amp;XXYY[[#Headers],[Columna3]],Datos_Consumo[CODIGO]&amp;Datos_Consumo[FECHA_FORMATO],0)),0)</f>
        <v>0</v>
      </c>
      <c r="BA2" s="6">
        <f t="array" ref="BA2">IFERROR(INDEX(Datos_Consumo[CANTIDAD],MATCH(XXYY[[#This Row],[CODIGO]]&amp;XXYY[[#Headers],[Columna4]],Datos_Consumo[CODIGO]&amp;Datos_Consumo[FECHA_FORMATO],0)),0)</f>
        <v>0</v>
      </c>
      <c r="BB2" s="6">
        <f t="array" ref="BB2">IFERROR(INDEX(Datos_Consumo[CANTIDAD],MATCH(XXYY[[#This Row],[CODIGO]]&amp;XXYY[[#Headers],[Columna5]],Datos_Consumo[CODIGO]&amp;Datos_Consumo[FECHA_FORMATO],0)),0)</f>
        <v>0</v>
      </c>
      <c r="BC2" s="6">
        <f t="array" ref="BC2">IFERROR(INDEX(Datos_Consumo[CANTIDAD],MATCH(XXYY[[#This Row],[CODIGO]]&amp;XXYY[[#Headers],[Columna6]],Datos_Consumo[CODIGO]&amp;Datos_Consumo[FECHA_FORMATO],0)),0)</f>
        <v>0</v>
      </c>
      <c r="BD2" s="49">
        <v>3</v>
      </c>
      <c r="BE2" s="54">
        <v>3</v>
      </c>
      <c r="BF2" s="50"/>
      <c r="BG2" s="50">
        <f>IF(RIGHT(XXYY[[#Headers],[Emb1]],1)*1&lt;=XXYY[[#This Row],[EMBARQUES]],IF(ISBLANK(XXYY[[#This Row],[EMBARQUES]]),XXYY[[#This Row],[REQUERIM]],ROUND(XXYY[[#This Row],[REQUERIM]]/XXYY[[#This Row],[EMBARQUES]],0)),XXYY[[#This Row],[REQUERIM]])</f>
        <v>3</v>
      </c>
      <c r="BH2" s="50">
        <f>IF(RIGHT(XXYY[[#Headers],[Emb2]],1)*1&lt;XXYY[[#This Row],[EMBARQUES]],ROUND(XXYY[[#This Row],[REQUERIM]]/XXYY[[#This Row],[EMBARQUES]],0),IF(RIGHT(XXYY[[#Headers],[Emb2]],1)*1=XXYY[[#This Row],[EMBARQUES]],XXYY[[#This Row],[REQUERIM]]-SUM(XXYY[[#This Row],[Emb1]]),0))</f>
        <v>0</v>
      </c>
      <c r="BI2" s="50">
        <f>IF(RIGHT(XXYY[[#Headers],[Emb3]],1)*1&lt;XXYY[[#This Row],[EMBARQUES]],ROUND(XXYY[[#This Row],[REQUERIM]]/XXYY[[#This Row],[EMBARQUES]],0),IF(RIGHT(XXYY[[#Headers],[Emb3]],1)*1=XXYY[[#This Row],[EMBARQUES]],XXYY[[#This Row],[REQUERIM]]-SUM(XXYY[[#This Row],[Emb1]:[Emb2]]),0))</f>
        <v>0</v>
      </c>
      <c r="BJ2" s="50">
        <f>IF(RIGHT(XXYY[[#Headers],[Emb4]],1)*1&lt;XXYY[[#This Row],[EMBARQUES]],ROUND(XXYY[[#This Row],[REQUERIM]]/XXYY[[#This Row],[EMBARQUES]],0),IF(RIGHT(XXYY[[#Headers],[Emb4]],1)*1=XXYY[[#This Row],[EMBARQUES]],XXYY[[#This Row],[REQUERIM]]-SUM(XXYY[[#This Row],[Emb1]:[Emb3]]),0))</f>
        <v>0</v>
      </c>
      <c r="BK2" s="50">
        <f>IF(RIGHT(XXYY[[#Headers],[Emb5]],1)*1&lt;XXYY[[#This Row],[EMBARQUES]],ROUND(XXYY[[#This Row],[REQUERIM]]/XXYY[[#This Row],[EMBARQUES]],0),IF(RIGHT(XXYY[[#Headers],[Emb5]],1)*1=XXYY[[#This Row],[EMBARQUES]],XXYY[[#This Row],[REQUERIM]]-SUM(XXYY[[#This Row],[Emb1]:[Emb4]]),0))</f>
        <v>0</v>
      </c>
      <c r="BL2" s="50"/>
      <c r="BM2" s="45">
        <f ca="1">IFERROR(XXYY[[#This Row],[REQUERIM]]/XXYY[[#This Row],[PEDIDO PROMEDIO]],0)</f>
        <v>0</v>
      </c>
      <c r="BN2" s="50"/>
      <c r="BO2" s="59"/>
      <c r="BP2" s="3">
        <f>IF(XXYY[[#This Row],[RECIBIDO]]&lt;&gt;"",0,IF(XXYY[[#This Row],[DESPACHO]]&lt;&gt;"",XXYY[[#This Row],[DESPACHO]],XXYY[[#This Row],[REQUERIM]]))</f>
        <v>3</v>
      </c>
      <c r="BQ2" s="49"/>
      <c r="BR2" s="49"/>
      <c r="BS2" s="49" t="str">
        <f>"N"</f>
        <v>N</v>
      </c>
      <c r="BT2" s="50">
        <f t="array" aca="1" ref="BT2" ca="1">IF(SUM(--(XXYY[[#This Row],[CODIGO GENERICO]]=XXYY[CODIGO GENERICO])*XXYY[REQUERIM])&lt;XXYY[[#This Row],[PEDIDO MIN GRUPO]],1,0)</f>
        <v>1</v>
      </c>
      <c r="BU2" s="50" t="str">
        <f ca="1">IF(OR(XXYY[[#This Row],[BUFFER]]=0,XXYY[[#This Row],[BUFFER]]=""),"G",IF((XXYY[[#This Row],[INV PROYECTADO]]+XXYY[[#This Row],[REQUERIM]])=0,"N",IF((XXYY[[#This Row],[INV PROYECTADO]]+XXYY[[#This Row],[REQUERIM]])&gt;XXYY[[#This Row],[BUFFER]],"L",IF(AND((XXYY[[#This Row],[INV PROYECTADO]]+XXYY[[#This Row],[REQUERIM]])&gt;XXYY[[#This Row],[ZONA ROJA]],(XXYY[[#This Row],[INV PROYECTADO]]+XXYY[[#This Row],[REQUERIM]])&lt;=XXYY[[#This Row],[ZONA AMARILLA]]),"A",IF(AND((XXYY[[#This Row],[INV PROYECTADO]]+XXYY[[#This Row],[REQUERIM]])&gt;0,(XXYY[[#This Row],[INV PROYECTADO]]+XXYY[[#This Row],[REQUERIM]])&lt;=XXYY[[#This Row],[ZONA ROJA]]),"R",IF(AND((XXYY[[#This Row],[INV PROYECTADO]]+XXYY[[#This Row],[REQUERIM]])&gt;XXYY[[#This Row],[ZONA AMARILLA]],(XXYY[[#This Row],[INV PROYECTADO]]+XXYY[[#This Row],[REQUERIM]])&lt;=XXYY[[#This Row],[BUFFER]]),"V","E"))))))</f>
        <v>G</v>
      </c>
      <c r="BV2" s="50" t="str">
        <f ca="1">IFERROR(INDEX(OFFSET(INDIRECT("v_buffer_hist_hoy!$A$1"),1,MATCH("buh_zona_amarilla",INDIRECT("v_buffer_hist_hoy!$1:$1"),0)-1,100000,1),MATCH(CLEAN(TABLATRANSFERENCIA[[#This Row],[CODIGO]]),OFFSET(INDIRECT("v_buffer_hist_hoy!$A$1"),1,MATCH("buh_codigo",INDIRECT("v_buffer_hist_hoy!$1:$1"),0)-1,100000,1),0)),"")</f>
        <v/>
      </c>
      <c r="BW2" s="50" t="str">
        <f ca="1">IFERROR(INDEX(OFFSET(INDIRECT("v_buffer_hist_hoy!$A$1"),1,MATCH("buh_zona_roja",INDIRECT("v_buffer_hist_hoy!$1:$1"),0)-1,100000,1),MATCH(CLEAN(TABLATRANSFERENCIA[[#This Row],[CODIGO]]),OFFSET(INDIRECT("v_buffer_hist_hoy!$A$1"),1,MATCH("buh_codigo",INDIRECT("v_buffer_hist_hoy!$1:$1"),0)-1,100000,1),0)),"")</f>
        <v/>
      </c>
      <c r="BX2" s="50" t="str">
        <f ca="1">IFERROR(INDEX(OFFSET(INDIRECT("v_buffer_hist_hoy!$A$1"),1,MATCH("buh_pedido_calculado",INDIRECT("v_buffer_hist_hoy!$1:$1"),0)-1,100000,1),MATCH(CLEAN(TABLATRANSFERENCIA[[#This Row],[CODIGO]]),OFFSET(INDIRECT("v_buffer_hist_hoy!$A$1"),1,MATCH("buh_codigo",INDIRECT("v_buffer_hist_hoy!$1:$1"),0)-1,100000,1),0)),"")</f>
        <v/>
      </c>
    </row>
  </sheetData>
  <conditionalFormatting sqref="BN2:BO2">
    <cfRule type="expression" dxfId="113" priority="15">
      <formula>ISBLANK(BN2)</formula>
    </cfRule>
  </conditionalFormatting>
  <conditionalFormatting sqref="AK2 AB2">
    <cfRule type="expression" dxfId="112" priority="9">
      <formula>AD2="G"</formula>
    </cfRule>
    <cfRule type="expression" dxfId="111" priority="10">
      <formula>AD2="L"</formula>
    </cfRule>
    <cfRule type="expression" dxfId="110" priority="11">
      <formula>AD2="V"</formula>
    </cfRule>
    <cfRule type="expression" dxfId="109" priority="12">
      <formula>AD2="A"</formula>
    </cfRule>
    <cfRule type="expression" dxfId="108" priority="13">
      <formula>AD2="N"</formula>
    </cfRule>
    <cfRule type="expression" dxfId="107" priority="14">
      <formula>AD2="R"</formula>
    </cfRule>
  </conditionalFormatting>
  <conditionalFormatting sqref="BR2">
    <cfRule type="expression" dxfId="106" priority="16">
      <formula>AND(ISNUMBER($BO2),$BN2&lt;&gt;$BO2)</formula>
    </cfRule>
  </conditionalFormatting>
  <conditionalFormatting sqref="AO2">
    <cfRule type="expression" dxfId="105" priority="8">
      <formula>$BT2=1</formula>
    </cfRule>
  </conditionalFormatting>
  <conditionalFormatting sqref="BD2">
    <cfRule type="expression" dxfId="104" priority="2">
      <formula>$BU2="N"</formula>
    </cfRule>
    <cfRule type="expression" dxfId="103" priority="3">
      <formula>$BU2="R"</formula>
    </cfRule>
    <cfRule type="expression" dxfId="102" priority="4">
      <formula>$BU2="A"</formula>
    </cfRule>
    <cfRule type="expression" dxfId="101" priority="5">
      <formula>$BU2="L"</formula>
    </cfRule>
    <cfRule type="expression" dxfId="100" priority="6">
      <formula>$BU2="V"</formula>
    </cfRule>
    <cfRule type="expression" dxfId="99" priority="7">
      <formula>$BU2="G"</formula>
    </cfRule>
  </conditionalFormatting>
  <conditionalFormatting sqref="BQ2">
    <cfRule type="expression" dxfId="98" priority="17">
      <formula>AND(ISNUMBER($BN2),$BD2&lt;&gt;$BN2)</formula>
    </cfRule>
  </conditionalFormatting>
  <conditionalFormatting sqref="AV2">
    <cfRule type="expression" dxfId="97" priority="1">
      <formula>TODAY()&lt;=(AV2+Y2*7)</formula>
    </cfRule>
  </conditionalFormatting>
  <dataValidations count="4">
    <dataValidation allowBlank="1" showErrorMessage="1" promptTitle="Número de Embarques" sqref="BL2"/>
    <dataValidation type="whole" allowBlank="1" showErrorMessage="1" promptTitle="Número de Embarques" sqref="BF2">
      <formula1>1</formula1>
      <formula2>5</formula2>
    </dataValidation>
    <dataValidation type="whole" allowBlank="1" showErrorMessage="1" promptTitle="Número de Embarques" sqref="BG2:BK2">
      <formula1>0</formula1>
      <formula2>1000000</formula2>
    </dataValidation>
    <dataValidation type="list" allowBlank="1" showInputMessage="1" showErrorMessage="1" sqref="BQ2:BR2">
      <formula1>RangoCausas</formula1>
    </dataValidation>
  </dataValidations>
  <pageMargins left="0.7" right="0.7" top="0.75" bottom="0.75" header="0.3" footer="0.3"/>
  <legacy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A5"/>
  <sheetViews>
    <sheetView workbookViewId="0">
      <selection activeCell="A5" sqref="A5"/>
    </sheetView>
  </sheetViews>
  <sheetFormatPr baseColWidth="10" defaultRowHeight="15" x14ac:dyDescent="0.25"/>
  <sheetData>
    <row r="1" spans="1:1" x14ac:dyDescent="0.25">
      <c r="A1" t="s">
        <v>1566</v>
      </c>
    </row>
    <row r="3" spans="1:1" x14ac:dyDescent="0.25">
      <c r="A3">
        <v>-1</v>
      </c>
    </row>
    <row r="5" spans="1:1" x14ac:dyDescent="0.25">
      <c r="A5" t="s">
        <v>1685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dimension ref="A1"/>
  <sheetViews>
    <sheetView workbookViewId="0">
      <selection activeCell="D24" sqref="D24"/>
    </sheetView>
  </sheetViews>
  <sheetFormatPr baseColWidth="10" defaultRowHeight="15" x14ac:dyDescent="0.2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dimension ref="A1:W111"/>
  <sheetViews>
    <sheetView showGridLines="0" workbookViewId="0">
      <selection activeCell="K2" sqref="K2"/>
    </sheetView>
  </sheetViews>
  <sheetFormatPr baseColWidth="10" defaultRowHeight="15" x14ac:dyDescent="0.25"/>
  <cols>
    <col min="1" max="1" width="10.85546875" customWidth="1"/>
    <col min="2" max="2" width="9.85546875" customWidth="1"/>
    <col min="3" max="3" width="9.42578125" customWidth="1"/>
    <col min="4" max="4" width="10"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31.28515625" customWidth="1"/>
    <col min="17" max="17" width="16.28515625" customWidth="1"/>
    <col min="18" max="18" width="15.28515625" customWidth="1"/>
    <col min="20" max="20" width="16.28515625" bestFit="1" customWidth="1"/>
    <col min="21" max="21" width="15.28515625" bestFit="1" customWidth="1"/>
    <col min="22" max="22" width="21" bestFit="1" customWidth="1"/>
    <col min="23" max="23" width="54.5703125" bestFit="1" customWidth="1"/>
    <col min="24" max="24" width="12.42578125" customWidth="1"/>
    <col min="25" max="25" width="17.7109375" customWidth="1"/>
    <col min="26" max="26" width="22.140625" customWidth="1"/>
    <col min="27" max="27" width="73" bestFit="1" customWidth="1"/>
    <col min="28" max="28" width="10.140625" customWidth="1"/>
    <col min="29" max="29" width="12.85546875" customWidth="1"/>
  </cols>
  <sheetData>
    <row r="1" spans="1:23" x14ac:dyDescent="0.25">
      <c r="A1" t="s">
        <v>30</v>
      </c>
      <c r="B1" t="s">
        <v>31</v>
      </c>
      <c r="C1" t="s">
        <v>4</v>
      </c>
      <c r="D1" t="s">
        <v>32</v>
      </c>
      <c r="E1" t="s">
        <v>33</v>
      </c>
      <c r="G1" t="s">
        <v>34</v>
      </c>
      <c r="H1" t="s">
        <v>35</v>
      </c>
      <c r="I1" t="s">
        <v>36</v>
      </c>
      <c r="K1" t="s">
        <v>34</v>
      </c>
      <c r="L1" t="s">
        <v>35</v>
      </c>
      <c r="M1" t="s">
        <v>36</v>
      </c>
      <c r="N1" t="s">
        <v>881</v>
      </c>
      <c r="Q1" t="s">
        <v>969</v>
      </c>
      <c r="R1" t="s">
        <v>970</v>
      </c>
      <c r="T1" t="s">
        <v>969</v>
      </c>
      <c r="U1" t="s">
        <v>970</v>
      </c>
      <c r="V1" t="s">
        <v>971</v>
      </c>
      <c r="W1" t="s">
        <v>972</v>
      </c>
    </row>
    <row r="2" spans="1:23" x14ac:dyDescent="0.25">
      <c r="E2" s="3"/>
      <c r="L2" s="40"/>
      <c r="M2" s="40"/>
      <c r="N2" s="40"/>
      <c r="Q2" t="s">
        <v>1024</v>
      </c>
      <c r="R2" t="s">
        <v>1147</v>
      </c>
      <c r="T2" t="s">
        <v>1024</v>
      </c>
      <c r="U2" t="s">
        <v>1147</v>
      </c>
      <c r="V2" t="s">
        <v>1151</v>
      </c>
      <c r="W2" t="s">
        <v>1152</v>
      </c>
    </row>
    <row r="3" spans="1:23" x14ac:dyDescent="0.25">
      <c r="Q3" t="s">
        <v>1149</v>
      </c>
      <c r="R3" t="s">
        <v>1150</v>
      </c>
      <c r="T3" t="s">
        <v>1024</v>
      </c>
      <c r="U3" t="s">
        <v>1147</v>
      </c>
      <c r="V3" t="s">
        <v>1153</v>
      </c>
      <c r="W3" t="s">
        <v>1154</v>
      </c>
    </row>
    <row r="4" spans="1:23" x14ac:dyDescent="0.25">
      <c r="T4" t="s">
        <v>1024</v>
      </c>
      <c r="U4" t="s">
        <v>1147</v>
      </c>
      <c r="V4" t="s">
        <v>1155</v>
      </c>
      <c r="W4" t="s">
        <v>1156</v>
      </c>
    </row>
    <row r="5" spans="1:23" x14ac:dyDescent="0.25">
      <c r="T5" t="s">
        <v>1024</v>
      </c>
      <c r="U5" t="s">
        <v>1147</v>
      </c>
      <c r="V5" t="s">
        <v>1157</v>
      </c>
      <c r="W5" t="s">
        <v>1158</v>
      </c>
    </row>
    <row r="6" spans="1:23" x14ac:dyDescent="0.25">
      <c r="T6" t="s">
        <v>1024</v>
      </c>
      <c r="U6" t="s">
        <v>1147</v>
      </c>
      <c r="V6" t="s">
        <v>1159</v>
      </c>
      <c r="W6" t="s">
        <v>1160</v>
      </c>
    </row>
    <row r="7" spans="1:23" x14ac:dyDescent="0.25">
      <c r="T7" t="s">
        <v>1024</v>
      </c>
      <c r="U7" t="s">
        <v>1147</v>
      </c>
      <c r="V7" t="s">
        <v>1161</v>
      </c>
      <c r="W7" t="s">
        <v>1162</v>
      </c>
    </row>
    <row r="8" spans="1:23" x14ac:dyDescent="0.25">
      <c r="D8" s="40"/>
      <c r="T8" t="s">
        <v>1024</v>
      </c>
      <c r="U8" t="s">
        <v>1147</v>
      </c>
      <c r="V8" t="s">
        <v>1163</v>
      </c>
      <c r="W8" t="s">
        <v>1164</v>
      </c>
    </row>
    <row r="9" spans="1:23" x14ac:dyDescent="0.25">
      <c r="T9" t="s">
        <v>1024</v>
      </c>
      <c r="U9" t="s">
        <v>1147</v>
      </c>
      <c r="V9" t="s">
        <v>1165</v>
      </c>
      <c r="W9" t="s">
        <v>1166</v>
      </c>
    </row>
    <row r="10" spans="1:23" x14ac:dyDescent="0.25">
      <c r="T10" t="s">
        <v>1024</v>
      </c>
      <c r="U10" t="s">
        <v>1147</v>
      </c>
      <c r="V10" t="s">
        <v>1167</v>
      </c>
      <c r="W10" t="s">
        <v>1168</v>
      </c>
    </row>
    <row r="11" spans="1:23" x14ac:dyDescent="0.25">
      <c r="T11" t="s">
        <v>1024</v>
      </c>
      <c r="U11" t="s">
        <v>1147</v>
      </c>
      <c r="V11" t="s">
        <v>1169</v>
      </c>
      <c r="W11" t="s">
        <v>1170</v>
      </c>
    </row>
    <row r="12" spans="1:23" x14ac:dyDescent="0.25">
      <c r="T12" t="s">
        <v>1024</v>
      </c>
      <c r="U12" t="s">
        <v>1147</v>
      </c>
      <c r="V12" t="s">
        <v>1171</v>
      </c>
      <c r="W12" t="s">
        <v>1172</v>
      </c>
    </row>
    <row r="13" spans="1:23" x14ac:dyDescent="0.25">
      <c r="T13" t="s">
        <v>1024</v>
      </c>
      <c r="U13" t="s">
        <v>1147</v>
      </c>
      <c r="V13" t="s">
        <v>1173</v>
      </c>
      <c r="W13" t="s">
        <v>1174</v>
      </c>
    </row>
    <row r="14" spans="1:23" x14ac:dyDescent="0.25">
      <c r="T14" t="s">
        <v>1024</v>
      </c>
      <c r="U14" t="s">
        <v>1147</v>
      </c>
      <c r="V14" t="s">
        <v>1175</v>
      </c>
      <c r="W14" t="s">
        <v>1176</v>
      </c>
    </row>
    <row r="15" spans="1:23" x14ac:dyDescent="0.25">
      <c r="T15" t="s">
        <v>1024</v>
      </c>
      <c r="U15" t="s">
        <v>1147</v>
      </c>
      <c r="V15" t="s">
        <v>1177</v>
      </c>
      <c r="W15" t="s">
        <v>1178</v>
      </c>
    </row>
    <row r="16" spans="1:23" x14ac:dyDescent="0.25">
      <c r="T16" t="s">
        <v>1024</v>
      </c>
      <c r="U16" t="s">
        <v>1147</v>
      </c>
      <c r="V16" t="s">
        <v>1179</v>
      </c>
      <c r="W16" t="s">
        <v>1180</v>
      </c>
    </row>
    <row r="17" spans="6:23" x14ac:dyDescent="0.25">
      <c r="T17" t="s">
        <v>1024</v>
      </c>
      <c r="U17" t="s">
        <v>1147</v>
      </c>
      <c r="V17" t="s">
        <v>1181</v>
      </c>
      <c r="W17" t="s">
        <v>1182</v>
      </c>
    </row>
    <row r="18" spans="6:23" x14ac:dyDescent="0.25">
      <c r="T18" t="s">
        <v>1024</v>
      </c>
      <c r="U18" t="s">
        <v>1147</v>
      </c>
      <c r="V18" t="s">
        <v>1183</v>
      </c>
      <c r="W18" t="s">
        <v>1184</v>
      </c>
    </row>
    <row r="19" spans="6:23" x14ac:dyDescent="0.25">
      <c r="T19" t="s">
        <v>1024</v>
      </c>
      <c r="U19" t="s">
        <v>1147</v>
      </c>
      <c r="V19" t="s">
        <v>1185</v>
      </c>
      <c r="W19" t="s">
        <v>1186</v>
      </c>
    </row>
    <row r="20" spans="6:23" x14ac:dyDescent="0.25">
      <c r="T20" t="s">
        <v>1024</v>
      </c>
      <c r="U20" t="s">
        <v>1147</v>
      </c>
      <c r="V20" t="s">
        <v>1187</v>
      </c>
      <c r="W20" t="s">
        <v>1188</v>
      </c>
    </row>
    <row r="21" spans="6:23" x14ac:dyDescent="0.25">
      <c r="T21" t="s">
        <v>1024</v>
      </c>
      <c r="U21" t="s">
        <v>1147</v>
      </c>
      <c r="V21" t="s">
        <v>1189</v>
      </c>
      <c r="W21" t="s">
        <v>1190</v>
      </c>
    </row>
    <row r="22" spans="6:23" x14ac:dyDescent="0.25">
      <c r="T22" t="s">
        <v>1024</v>
      </c>
      <c r="U22" t="s">
        <v>1147</v>
      </c>
      <c r="V22" t="s">
        <v>1191</v>
      </c>
      <c r="W22" t="s">
        <v>1192</v>
      </c>
    </row>
    <row r="23" spans="6:23" x14ac:dyDescent="0.25">
      <c r="T23" t="s">
        <v>1024</v>
      </c>
      <c r="U23" t="s">
        <v>1147</v>
      </c>
      <c r="V23" t="s">
        <v>1193</v>
      </c>
      <c r="W23" t="s">
        <v>1194</v>
      </c>
    </row>
    <row r="24" spans="6:23" x14ac:dyDescent="0.25">
      <c r="T24" t="s">
        <v>1024</v>
      </c>
      <c r="U24" t="s">
        <v>1147</v>
      </c>
      <c r="V24" t="s">
        <v>1195</v>
      </c>
      <c r="W24" t="s">
        <v>1196</v>
      </c>
    </row>
    <row r="25" spans="6:23" x14ac:dyDescent="0.25">
      <c r="F25" s="40"/>
      <c r="T25" t="s">
        <v>1024</v>
      </c>
      <c r="U25" t="s">
        <v>1147</v>
      </c>
      <c r="V25" t="s">
        <v>1197</v>
      </c>
      <c r="W25" t="s">
        <v>1198</v>
      </c>
    </row>
    <row r="26" spans="6:23" x14ac:dyDescent="0.25">
      <c r="T26" t="s">
        <v>1024</v>
      </c>
      <c r="U26" t="s">
        <v>1147</v>
      </c>
      <c r="V26" t="s">
        <v>1199</v>
      </c>
      <c r="W26" t="s">
        <v>1200</v>
      </c>
    </row>
    <row r="27" spans="6:23" x14ac:dyDescent="0.25">
      <c r="T27" t="s">
        <v>1024</v>
      </c>
      <c r="U27" t="s">
        <v>1147</v>
      </c>
      <c r="V27" t="s">
        <v>1201</v>
      </c>
      <c r="W27" t="s">
        <v>1202</v>
      </c>
    </row>
    <row r="28" spans="6:23" x14ac:dyDescent="0.25">
      <c r="T28" t="s">
        <v>1024</v>
      </c>
      <c r="U28" t="s">
        <v>1147</v>
      </c>
      <c r="V28" t="s">
        <v>1203</v>
      </c>
      <c r="W28" t="s">
        <v>1204</v>
      </c>
    </row>
    <row r="29" spans="6:23" x14ac:dyDescent="0.25">
      <c r="T29" t="s">
        <v>1024</v>
      </c>
      <c r="U29" t="s">
        <v>1147</v>
      </c>
      <c r="V29" t="s">
        <v>1205</v>
      </c>
      <c r="W29" t="s">
        <v>612</v>
      </c>
    </row>
    <row r="30" spans="6:23" x14ac:dyDescent="0.25">
      <c r="T30" t="s">
        <v>1024</v>
      </c>
      <c r="U30" t="s">
        <v>1147</v>
      </c>
      <c r="V30" t="s">
        <v>1206</v>
      </c>
      <c r="W30" t="s">
        <v>1207</v>
      </c>
    </row>
    <row r="31" spans="6:23" x14ac:dyDescent="0.25">
      <c r="T31" t="s">
        <v>1024</v>
      </c>
      <c r="U31" t="s">
        <v>1147</v>
      </c>
      <c r="V31" t="s">
        <v>1208</v>
      </c>
      <c r="W31" t="s">
        <v>1209</v>
      </c>
    </row>
    <row r="32" spans="6:23" x14ac:dyDescent="0.25">
      <c r="T32" t="s">
        <v>1024</v>
      </c>
      <c r="U32" t="s">
        <v>1147</v>
      </c>
      <c r="V32" t="s">
        <v>1210</v>
      </c>
      <c r="W32" t="s">
        <v>1211</v>
      </c>
    </row>
    <row r="33" spans="20:23" x14ac:dyDescent="0.25">
      <c r="T33" t="s">
        <v>1024</v>
      </c>
      <c r="U33" t="s">
        <v>1147</v>
      </c>
      <c r="V33" t="s">
        <v>1212</v>
      </c>
      <c r="W33" t="s">
        <v>1213</v>
      </c>
    </row>
    <row r="34" spans="20:23" x14ac:dyDescent="0.25">
      <c r="T34" t="s">
        <v>1024</v>
      </c>
      <c r="U34" t="s">
        <v>1147</v>
      </c>
      <c r="V34" t="s">
        <v>1214</v>
      </c>
      <c r="W34" t="s">
        <v>1215</v>
      </c>
    </row>
    <row r="35" spans="20:23" x14ac:dyDescent="0.25">
      <c r="T35" t="s">
        <v>1024</v>
      </c>
      <c r="U35" t="s">
        <v>1147</v>
      </c>
      <c r="V35" t="s">
        <v>1216</v>
      </c>
      <c r="W35" t="s">
        <v>1217</v>
      </c>
    </row>
    <row r="36" spans="20:23" x14ac:dyDescent="0.25">
      <c r="T36" t="s">
        <v>1024</v>
      </c>
      <c r="U36" t="s">
        <v>1147</v>
      </c>
      <c r="V36" t="s">
        <v>1218</v>
      </c>
      <c r="W36" t="s">
        <v>1219</v>
      </c>
    </row>
    <row r="37" spans="20:23" x14ac:dyDescent="0.25">
      <c r="T37" t="s">
        <v>1024</v>
      </c>
      <c r="U37" t="s">
        <v>1147</v>
      </c>
      <c r="V37" t="s">
        <v>1220</v>
      </c>
      <c r="W37" t="s">
        <v>1221</v>
      </c>
    </row>
    <row r="38" spans="20:23" x14ac:dyDescent="0.25">
      <c r="T38" t="s">
        <v>1024</v>
      </c>
      <c r="U38" t="s">
        <v>1147</v>
      </c>
      <c r="V38" t="s">
        <v>1222</v>
      </c>
      <c r="W38" t="s">
        <v>1223</v>
      </c>
    </row>
    <row r="39" spans="20:23" x14ac:dyDescent="0.25">
      <c r="T39" t="s">
        <v>1024</v>
      </c>
      <c r="U39" t="s">
        <v>1147</v>
      </c>
      <c r="V39" t="s">
        <v>1224</v>
      </c>
      <c r="W39" t="s">
        <v>1225</v>
      </c>
    </row>
    <row r="40" spans="20:23" x14ac:dyDescent="0.25">
      <c r="T40" t="s">
        <v>1024</v>
      </c>
      <c r="U40" t="s">
        <v>1147</v>
      </c>
      <c r="V40" t="s">
        <v>1226</v>
      </c>
      <c r="W40" t="s">
        <v>1227</v>
      </c>
    </row>
    <row r="41" spans="20:23" x14ac:dyDescent="0.25">
      <c r="T41" t="s">
        <v>1024</v>
      </c>
      <c r="U41" t="s">
        <v>1147</v>
      </c>
      <c r="V41" t="s">
        <v>1228</v>
      </c>
      <c r="W41" t="s">
        <v>1229</v>
      </c>
    </row>
    <row r="42" spans="20:23" x14ac:dyDescent="0.25">
      <c r="T42" t="s">
        <v>1024</v>
      </c>
      <c r="U42" t="s">
        <v>1147</v>
      </c>
      <c r="V42" t="s">
        <v>1230</v>
      </c>
      <c r="W42" t="s">
        <v>1231</v>
      </c>
    </row>
    <row r="43" spans="20:23" x14ac:dyDescent="0.25">
      <c r="T43" t="s">
        <v>1024</v>
      </c>
      <c r="U43" t="s">
        <v>1147</v>
      </c>
      <c r="V43" t="s">
        <v>1232</v>
      </c>
      <c r="W43" t="s">
        <v>1233</v>
      </c>
    </row>
    <row r="44" spans="20:23" x14ac:dyDescent="0.25">
      <c r="T44" t="s">
        <v>1024</v>
      </c>
      <c r="U44" t="s">
        <v>1147</v>
      </c>
      <c r="V44" t="s">
        <v>1234</v>
      </c>
      <c r="W44" t="s">
        <v>1235</v>
      </c>
    </row>
    <row r="45" spans="20:23" x14ac:dyDescent="0.25">
      <c r="T45" t="s">
        <v>1024</v>
      </c>
      <c r="U45" t="s">
        <v>1147</v>
      </c>
      <c r="V45" t="s">
        <v>1236</v>
      </c>
      <c r="W45" t="s">
        <v>1237</v>
      </c>
    </row>
    <row r="46" spans="20:23" x14ac:dyDescent="0.25">
      <c r="T46" t="s">
        <v>1024</v>
      </c>
      <c r="U46" t="s">
        <v>1147</v>
      </c>
      <c r="V46" t="s">
        <v>1238</v>
      </c>
      <c r="W46" t="s">
        <v>1239</v>
      </c>
    </row>
    <row r="47" spans="20:23" x14ac:dyDescent="0.25">
      <c r="T47" t="s">
        <v>1024</v>
      </c>
      <c r="U47" t="s">
        <v>1147</v>
      </c>
      <c r="V47" t="s">
        <v>1240</v>
      </c>
      <c r="W47" t="s">
        <v>1241</v>
      </c>
    </row>
    <row r="48" spans="20:23" x14ac:dyDescent="0.25">
      <c r="T48" t="s">
        <v>1024</v>
      </c>
      <c r="U48" t="s">
        <v>1147</v>
      </c>
      <c r="V48" t="s">
        <v>1242</v>
      </c>
      <c r="W48" t="s">
        <v>1243</v>
      </c>
    </row>
    <row r="49" spans="20:23" x14ac:dyDescent="0.25">
      <c r="T49" t="s">
        <v>1024</v>
      </c>
      <c r="U49" t="s">
        <v>1147</v>
      </c>
      <c r="V49" t="s">
        <v>1244</v>
      </c>
      <c r="W49" t="s">
        <v>1245</v>
      </c>
    </row>
    <row r="50" spans="20:23" x14ac:dyDescent="0.25">
      <c r="T50" t="s">
        <v>1024</v>
      </c>
      <c r="U50" t="s">
        <v>1147</v>
      </c>
      <c r="V50" t="s">
        <v>1246</v>
      </c>
      <c r="W50" t="s">
        <v>1247</v>
      </c>
    </row>
    <row r="51" spans="20:23" x14ac:dyDescent="0.25">
      <c r="T51" t="s">
        <v>1024</v>
      </c>
      <c r="U51" t="s">
        <v>1147</v>
      </c>
      <c r="V51" t="s">
        <v>1248</v>
      </c>
      <c r="W51" t="s">
        <v>1249</v>
      </c>
    </row>
    <row r="52" spans="20:23" x14ac:dyDescent="0.25">
      <c r="T52" t="s">
        <v>1024</v>
      </c>
      <c r="U52" t="s">
        <v>1147</v>
      </c>
      <c r="V52" t="s">
        <v>1250</v>
      </c>
      <c r="W52" t="s">
        <v>1251</v>
      </c>
    </row>
    <row r="53" spans="20:23" x14ac:dyDescent="0.25">
      <c r="T53" t="s">
        <v>1024</v>
      </c>
      <c r="U53" t="s">
        <v>1147</v>
      </c>
      <c r="V53" t="s">
        <v>1252</v>
      </c>
      <c r="W53" t="s">
        <v>1253</v>
      </c>
    </row>
    <row r="54" spans="20:23" x14ac:dyDescent="0.25">
      <c r="T54" t="s">
        <v>1024</v>
      </c>
      <c r="U54" t="s">
        <v>1147</v>
      </c>
      <c r="V54" t="s">
        <v>1254</v>
      </c>
      <c r="W54" t="s">
        <v>1255</v>
      </c>
    </row>
    <row r="55" spans="20:23" x14ac:dyDescent="0.25">
      <c r="T55" t="s">
        <v>1024</v>
      </c>
      <c r="U55" t="s">
        <v>1147</v>
      </c>
      <c r="V55" t="s">
        <v>1256</v>
      </c>
      <c r="W55" t="s">
        <v>1257</v>
      </c>
    </row>
    <row r="56" spans="20:23" x14ac:dyDescent="0.25">
      <c r="T56" t="s">
        <v>1024</v>
      </c>
      <c r="U56" t="s">
        <v>1147</v>
      </c>
      <c r="V56" t="s">
        <v>1258</v>
      </c>
      <c r="W56" t="s">
        <v>1259</v>
      </c>
    </row>
    <row r="57" spans="20:23" x14ac:dyDescent="0.25">
      <c r="T57" t="s">
        <v>1024</v>
      </c>
      <c r="U57" t="s">
        <v>1147</v>
      </c>
      <c r="V57" t="s">
        <v>1260</v>
      </c>
      <c r="W57" t="s">
        <v>1261</v>
      </c>
    </row>
    <row r="58" spans="20:23" x14ac:dyDescent="0.25">
      <c r="T58" t="s">
        <v>1024</v>
      </c>
      <c r="U58" t="s">
        <v>1147</v>
      </c>
      <c r="V58" t="s">
        <v>1262</v>
      </c>
      <c r="W58" t="s">
        <v>1263</v>
      </c>
    </row>
    <row r="59" spans="20:23" x14ac:dyDescent="0.25">
      <c r="T59" t="s">
        <v>1024</v>
      </c>
      <c r="U59" t="s">
        <v>1147</v>
      </c>
      <c r="V59" t="s">
        <v>1264</v>
      </c>
      <c r="W59" t="s">
        <v>1265</v>
      </c>
    </row>
    <row r="60" spans="20:23" x14ac:dyDescent="0.25">
      <c r="T60" t="s">
        <v>1024</v>
      </c>
      <c r="U60" t="s">
        <v>1147</v>
      </c>
      <c r="V60" t="s">
        <v>1266</v>
      </c>
      <c r="W60" t="s">
        <v>1267</v>
      </c>
    </row>
    <row r="61" spans="20:23" x14ac:dyDescent="0.25">
      <c r="T61" t="s">
        <v>1024</v>
      </c>
      <c r="U61" t="s">
        <v>1147</v>
      </c>
      <c r="V61" t="s">
        <v>1268</v>
      </c>
      <c r="W61" t="s">
        <v>1269</v>
      </c>
    </row>
    <row r="62" spans="20:23" x14ac:dyDescent="0.25">
      <c r="T62" t="s">
        <v>1024</v>
      </c>
      <c r="U62" t="s">
        <v>1147</v>
      </c>
      <c r="V62" t="s">
        <v>1270</v>
      </c>
      <c r="W62" t="s">
        <v>1271</v>
      </c>
    </row>
    <row r="63" spans="20:23" x14ac:dyDescent="0.25">
      <c r="T63" t="s">
        <v>1024</v>
      </c>
      <c r="U63" t="s">
        <v>1147</v>
      </c>
      <c r="V63" t="s">
        <v>1272</v>
      </c>
      <c r="W63" t="s">
        <v>1273</v>
      </c>
    </row>
    <row r="64" spans="20:23" x14ac:dyDescent="0.25">
      <c r="T64" t="s">
        <v>1024</v>
      </c>
      <c r="U64" t="s">
        <v>1147</v>
      </c>
      <c r="V64" t="s">
        <v>1274</v>
      </c>
      <c r="W64" t="s">
        <v>1275</v>
      </c>
    </row>
    <row r="65" spans="20:23" x14ac:dyDescent="0.25">
      <c r="T65" t="s">
        <v>1024</v>
      </c>
      <c r="U65" t="s">
        <v>1147</v>
      </c>
      <c r="V65" t="s">
        <v>1276</v>
      </c>
      <c r="W65" t="s">
        <v>1277</v>
      </c>
    </row>
    <row r="66" spans="20:23" x14ac:dyDescent="0.25">
      <c r="T66" t="s">
        <v>1024</v>
      </c>
      <c r="U66" t="s">
        <v>1147</v>
      </c>
      <c r="V66" t="s">
        <v>1278</v>
      </c>
      <c r="W66" t="s">
        <v>1279</v>
      </c>
    </row>
    <row r="67" spans="20:23" x14ac:dyDescent="0.25">
      <c r="T67" t="s">
        <v>1024</v>
      </c>
      <c r="U67" t="s">
        <v>1147</v>
      </c>
      <c r="V67" t="s">
        <v>1280</v>
      </c>
      <c r="W67" t="s">
        <v>1281</v>
      </c>
    </row>
    <row r="68" spans="20:23" x14ac:dyDescent="0.25">
      <c r="T68" t="s">
        <v>1024</v>
      </c>
      <c r="U68" t="s">
        <v>1147</v>
      </c>
      <c r="V68" t="s">
        <v>1282</v>
      </c>
      <c r="W68" t="s">
        <v>1283</v>
      </c>
    </row>
    <row r="69" spans="20:23" x14ac:dyDescent="0.25">
      <c r="T69" t="s">
        <v>1024</v>
      </c>
      <c r="U69" t="s">
        <v>1147</v>
      </c>
      <c r="V69" t="s">
        <v>1284</v>
      </c>
      <c r="W69" t="s">
        <v>1285</v>
      </c>
    </row>
    <row r="70" spans="20:23" x14ac:dyDescent="0.25">
      <c r="T70" t="s">
        <v>1024</v>
      </c>
      <c r="U70" t="s">
        <v>1147</v>
      </c>
      <c r="V70" t="s">
        <v>1286</v>
      </c>
      <c r="W70" t="s">
        <v>1287</v>
      </c>
    </row>
    <row r="71" spans="20:23" x14ac:dyDescent="0.25">
      <c r="T71" t="s">
        <v>1024</v>
      </c>
      <c r="U71" t="s">
        <v>1147</v>
      </c>
      <c r="V71" t="s">
        <v>1288</v>
      </c>
      <c r="W71" t="s">
        <v>1289</v>
      </c>
    </row>
    <row r="72" spans="20:23" x14ac:dyDescent="0.25">
      <c r="T72" t="s">
        <v>1024</v>
      </c>
      <c r="U72" t="s">
        <v>1147</v>
      </c>
      <c r="V72" t="s">
        <v>1290</v>
      </c>
      <c r="W72" t="s">
        <v>1291</v>
      </c>
    </row>
    <row r="73" spans="20:23" x14ac:dyDescent="0.25">
      <c r="T73" t="s">
        <v>1024</v>
      </c>
      <c r="U73" t="s">
        <v>1147</v>
      </c>
      <c r="V73" t="s">
        <v>1292</v>
      </c>
      <c r="W73" t="s">
        <v>1293</v>
      </c>
    </row>
    <row r="74" spans="20:23" x14ac:dyDescent="0.25">
      <c r="T74" t="s">
        <v>1024</v>
      </c>
      <c r="U74" t="s">
        <v>1147</v>
      </c>
      <c r="V74" t="s">
        <v>1294</v>
      </c>
      <c r="W74" t="s">
        <v>1295</v>
      </c>
    </row>
    <row r="75" spans="20:23" x14ac:dyDescent="0.25">
      <c r="T75" t="s">
        <v>1024</v>
      </c>
      <c r="U75" t="s">
        <v>1147</v>
      </c>
      <c r="V75" t="s">
        <v>1296</v>
      </c>
      <c r="W75" t="s">
        <v>1297</v>
      </c>
    </row>
    <row r="76" spans="20:23" x14ac:dyDescent="0.25">
      <c r="T76" t="s">
        <v>1024</v>
      </c>
      <c r="U76" t="s">
        <v>1147</v>
      </c>
      <c r="V76" t="s">
        <v>1298</v>
      </c>
      <c r="W76" t="s">
        <v>1299</v>
      </c>
    </row>
    <row r="77" spans="20:23" x14ac:dyDescent="0.25">
      <c r="T77" t="s">
        <v>1024</v>
      </c>
      <c r="U77" t="s">
        <v>1147</v>
      </c>
      <c r="V77" t="s">
        <v>1300</v>
      </c>
      <c r="W77" t="s">
        <v>1301</v>
      </c>
    </row>
    <row r="78" spans="20:23" x14ac:dyDescent="0.25">
      <c r="T78" t="s">
        <v>1024</v>
      </c>
      <c r="U78" t="s">
        <v>1147</v>
      </c>
      <c r="V78" t="s">
        <v>1302</v>
      </c>
      <c r="W78" t="s">
        <v>1303</v>
      </c>
    </row>
    <row r="79" spans="20:23" x14ac:dyDescent="0.25">
      <c r="T79" t="s">
        <v>1024</v>
      </c>
      <c r="U79" t="s">
        <v>1147</v>
      </c>
      <c r="V79" t="s">
        <v>1304</v>
      </c>
      <c r="W79" t="s">
        <v>1305</v>
      </c>
    </row>
    <row r="80" spans="20:23" x14ac:dyDescent="0.25">
      <c r="T80" t="s">
        <v>1024</v>
      </c>
      <c r="U80" t="s">
        <v>1147</v>
      </c>
      <c r="V80" t="s">
        <v>1306</v>
      </c>
      <c r="W80" t="s">
        <v>1307</v>
      </c>
    </row>
    <row r="81" spans="20:23" x14ac:dyDescent="0.25">
      <c r="T81" t="s">
        <v>1024</v>
      </c>
      <c r="U81" t="s">
        <v>1147</v>
      </c>
      <c r="V81" t="s">
        <v>1308</v>
      </c>
      <c r="W81" t="s">
        <v>1309</v>
      </c>
    </row>
    <row r="82" spans="20:23" x14ac:dyDescent="0.25">
      <c r="T82" t="s">
        <v>1024</v>
      </c>
      <c r="U82" t="s">
        <v>1147</v>
      </c>
      <c r="V82" t="s">
        <v>1310</v>
      </c>
      <c r="W82" t="s">
        <v>1311</v>
      </c>
    </row>
    <row r="83" spans="20:23" x14ac:dyDescent="0.25">
      <c r="T83" t="s">
        <v>1024</v>
      </c>
      <c r="U83" t="s">
        <v>1147</v>
      </c>
      <c r="V83" t="s">
        <v>1312</v>
      </c>
      <c r="W83" t="s">
        <v>1313</v>
      </c>
    </row>
    <row r="84" spans="20:23" x14ac:dyDescent="0.25">
      <c r="T84" t="s">
        <v>1024</v>
      </c>
      <c r="U84" t="s">
        <v>1147</v>
      </c>
      <c r="V84" t="s">
        <v>1314</v>
      </c>
      <c r="W84" t="s">
        <v>1315</v>
      </c>
    </row>
    <row r="85" spans="20:23" x14ac:dyDescent="0.25">
      <c r="T85" t="s">
        <v>1024</v>
      </c>
      <c r="U85" t="s">
        <v>1147</v>
      </c>
      <c r="V85" t="s">
        <v>1316</v>
      </c>
      <c r="W85" t="s">
        <v>1317</v>
      </c>
    </row>
    <row r="86" spans="20:23" x14ac:dyDescent="0.25">
      <c r="T86" t="s">
        <v>1024</v>
      </c>
      <c r="U86" t="s">
        <v>1147</v>
      </c>
      <c r="V86" t="s">
        <v>1318</v>
      </c>
      <c r="W86" t="s">
        <v>1319</v>
      </c>
    </row>
    <row r="87" spans="20:23" x14ac:dyDescent="0.25">
      <c r="T87" t="s">
        <v>1024</v>
      </c>
      <c r="U87" t="s">
        <v>1147</v>
      </c>
      <c r="V87" t="s">
        <v>1320</v>
      </c>
      <c r="W87" t="s">
        <v>1321</v>
      </c>
    </row>
    <row r="88" spans="20:23" x14ac:dyDescent="0.25">
      <c r="T88" t="s">
        <v>1024</v>
      </c>
      <c r="U88" t="s">
        <v>1147</v>
      </c>
      <c r="V88" t="s">
        <v>1322</v>
      </c>
      <c r="W88" t="s">
        <v>1323</v>
      </c>
    </row>
    <row r="89" spans="20:23" x14ac:dyDescent="0.25">
      <c r="T89" t="s">
        <v>1024</v>
      </c>
      <c r="U89" t="s">
        <v>1147</v>
      </c>
      <c r="V89" t="s">
        <v>1324</v>
      </c>
      <c r="W89" t="s">
        <v>1325</v>
      </c>
    </row>
    <row r="90" spans="20:23" x14ac:dyDescent="0.25">
      <c r="T90" t="s">
        <v>1024</v>
      </c>
      <c r="U90" t="s">
        <v>1147</v>
      </c>
      <c r="V90" t="s">
        <v>1326</v>
      </c>
      <c r="W90" t="s">
        <v>1327</v>
      </c>
    </row>
    <row r="91" spans="20:23" x14ac:dyDescent="0.25">
      <c r="T91" t="s">
        <v>1024</v>
      </c>
      <c r="U91" t="s">
        <v>1147</v>
      </c>
      <c r="V91" t="s">
        <v>1146</v>
      </c>
      <c r="W91" t="s">
        <v>1146</v>
      </c>
    </row>
    <row r="92" spans="20:23" x14ac:dyDescent="0.25">
      <c r="T92" t="s">
        <v>1149</v>
      </c>
      <c r="U92" t="s">
        <v>1150</v>
      </c>
      <c r="V92" t="s">
        <v>1328</v>
      </c>
      <c r="W92" t="s">
        <v>1329</v>
      </c>
    </row>
    <row r="93" spans="20:23" x14ac:dyDescent="0.25">
      <c r="T93" t="s">
        <v>1149</v>
      </c>
      <c r="U93" t="s">
        <v>1150</v>
      </c>
      <c r="V93" t="s">
        <v>1330</v>
      </c>
      <c r="W93" t="s">
        <v>1331</v>
      </c>
    </row>
    <row r="94" spans="20:23" x14ac:dyDescent="0.25">
      <c r="T94" t="s">
        <v>1149</v>
      </c>
      <c r="U94" t="s">
        <v>1150</v>
      </c>
      <c r="V94" t="s">
        <v>1332</v>
      </c>
      <c r="W94" t="s">
        <v>1333</v>
      </c>
    </row>
    <row r="95" spans="20:23" x14ac:dyDescent="0.25">
      <c r="T95" t="s">
        <v>1149</v>
      </c>
      <c r="U95" t="s">
        <v>1150</v>
      </c>
      <c r="V95" t="s">
        <v>1334</v>
      </c>
      <c r="W95" t="s">
        <v>1335</v>
      </c>
    </row>
    <row r="96" spans="20:23" x14ac:dyDescent="0.25">
      <c r="T96" t="s">
        <v>1149</v>
      </c>
      <c r="U96" t="s">
        <v>1150</v>
      </c>
      <c r="V96" t="s">
        <v>1336</v>
      </c>
      <c r="W96" t="s">
        <v>1337</v>
      </c>
    </row>
    <row r="97" spans="20:23" x14ac:dyDescent="0.25">
      <c r="T97" t="s">
        <v>1149</v>
      </c>
      <c r="U97" t="s">
        <v>1150</v>
      </c>
      <c r="V97" t="s">
        <v>1338</v>
      </c>
      <c r="W97" t="s">
        <v>1339</v>
      </c>
    </row>
    <row r="98" spans="20:23" x14ac:dyDescent="0.25">
      <c r="T98" t="s">
        <v>1149</v>
      </c>
      <c r="U98" t="s">
        <v>1150</v>
      </c>
      <c r="V98" t="s">
        <v>1340</v>
      </c>
      <c r="W98" t="s">
        <v>1341</v>
      </c>
    </row>
    <row r="99" spans="20:23" x14ac:dyDescent="0.25">
      <c r="T99" t="s">
        <v>1149</v>
      </c>
      <c r="U99" t="s">
        <v>1150</v>
      </c>
      <c r="V99" t="s">
        <v>1342</v>
      </c>
      <c r="W99" t="s">
        <v>1343</v>
      </c>
    </row>
    <row r="100" spans="20:23" x14ac:dyDescent="0.25">
      <c r="T100" t="s">
        <v>1149</v>
      </c>
      <c r="U100" t="s">
        <v>1150</v>
      </c>
      <c r="V100" t="s">
        <v>1344</v>
      </c>
      <c r="W100" t="s">
        <v>1345</v>
      </c>
    </row>
    <row r="101" spans="20:23" x14ac:dyDescent="0.25">
      <c r="T101" t="s">
        <v>1149</v>
      </c>
      <c r="U101" t="s">
        <v>1150</v>
      </c>
      <c r="V101" t="s">
        <v>1346</v>
      </c>
      <c r="W101" t="s">
        <v>1347</v>
      </c>
    </row>
    <row r="102" spans="20:23" x14ac:dyDescent="0.25">
      <c r="T102" t="s">
        <v>1149</v>
      </c>
      <c r="U102" t="s">
        <v>1150</v>
      </c>
      <c r="V102" t="s">
        <v>1348</v>
      </c>
      <c r="W102" t="s">
        <v>1349</v>
      </c>
    </row>
    <row r="103" spans="20:23" x14ac:dyDescent="0.25">
      <c r="T103" t="s">
        <v>1149</v>
      </c>
      <c r="U103" t="s">
        <v>1150</v>
      </c>
      <c r="V103" t="s">
        <v>1350</v>
      </c>
      <c r="W103" t="s">
        <v>1351</v>
      </c>
    </row>
    <row r="104" spans="20:23" x14ac:dyDescent="0.25">
      <c r="T104" t="s">
        <v>1149</v>
      </c>
      <c r="U104" t="s">
        <v>1150</v>
      </c>
      <c r="V104" t="s">
        <v>1352</v>
      </c>
      <c r="W104" t="s">
        <v>1353</v>
      </c>
    </row>
    <row r="105" spans="20:23" x14ac:dyDescent="0.25">
      <c r="T105" t="s">
        <v>1149</v>
      </c>
      <c r="U105" t="s">
        <v>1150</v>
      </c>
      <c r="V105" t="s">
        <v>1354</v>
      </c>
      <c r="W105" t="s">
        <v>1355</v>
      </c>
    </row>
    <row r="106" spans="20:23" x14ac:dyDescent="0.25">
      <c r="T106" t="s">
        <v>1149</v>
      </c>
      <c r="U106" t="s">
        <v>1150</v>
      </c>
      <c r="V106" t="s">
        <v>1356</v>
      </c>
      <c r="W106" t="s">
        <v>1357</v>
      </c>
    </row>
    <row r="107" spans="20:23" x14ac:dyDescent="0.25">
      <c r="T107" t="s">
        <v>1149</v>
      </c>
      <c r="U107" t="s">
        <v>1150</v>
      </c>
      <c r="V107" t="s">
        <v>1358</v>
      </c>
      <c r="W107" t="s">
        <v>1359</v>
      </c>
    </row>
    <row r="108" spans="20:23" x14ac:dyDescent="0.25">
      <c r="T108" t="s">
        <v>1149</v>
      </c>
      <c r="U108" t="s">
        <v>1150</v>
      </c>
      <c r="V108" t="s">
        <v>1360</v>
      </c>
      <c r="W108" t="s">
        <v>1361</v>
      </c>
    </row>
    <row r="109" spans="20:23" x14ac:dyDescent="0.25">
      <c r="T109" t="s">
        <v>1149</v>
      </c>
      <c r="U109" t="s">
        <v>1150</v>
      </c>
      <c r="V109" t="s">
        <v>1362</v>
      </c>
      <c r="W109" t="s">
        <v>1363</v>
      </c>
    </row>
    <row r="110" spans="20:23" x14ac:dyDescent="0.25">
      <c r="T110" t="s">
        <v>1149</v>
      </c>
      <c r="U110" t="s">
        <v>1150</v>
      </c>
      <c r="V110" t="s">
        <v>1364</v>
      </c>
      <c r="W110" t="s">
        <v>1365</v>
      </c>
    </row>
    <row r="111" spans="20:23" x14ac:dyDescent="0.25">
      <c r="T111" t="s">
        <v>1149</v>
      </c>
      <c r="U111" t="s">
        <v>1150</v>
      </c>
      <c r="V111" t="s">
        <v>1366</v>
      </c>
      <c r="W111" t="s">
        <v>1367</v>
      </c>
    </row>
  </sheetData>
  <pageMargins left="0.7" right="0.7" top="0.75" bottom="0.75" header="0.3" footer="0.3"/>
  <pageSetup orientation="portrait" r:id="rId1"/>
  <tableParts count="5">
    <tablePart r:id="rId2"/>
    <tablePart r:id="rId3"/>
    <tablePart r:id="rId4"/>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7"/>
  <sheetViews>
    <sheetView workbookViewId="0">
      <selection activeCell="A7" sqref="A7"/>
    </sheetView>
  </sheetViews>
  <sheetFormatPr baseColWidth="10" defaultRowHeight="15" x14ac:dyDescent="0.25"/>
  <sheetData>
    <row r="1" spans="1:1" x14ac:dyDescent="0.25">
      <c r="A1" t="str">
        <f>DAY(FECHAORIGEN)&amp;"-"&amp;MONTH(FECHAORIGEN)&amp;"-"&amp;YEAR(FECHAORIGEN)</f>
        <v>13-4-2017</v>
      </c>
    </row>
    <row r="2" spans="1:1" x14ac:dyDescent="0.25">
      <c r="A2" t="str">
        <f ca="1">CELL("nombrearchivo",A1)</f>
        <v>O:\TRANSFERENCIAS ACTIVAS\[51 _ 13-4-2017 - STERYLAB - Bodega ECU.xlsm]DATOS</v>
      </c>
    </row>
    <row r="3" spans="1:1" x14ac:dyDescent="0.25">
      <c r="A3" t="str">
        <f ca="1">LEFT(SUBSTITUTE(SUBSTITUTE(A2,"[",""),"]",""),FIND("xlsm",SUBSTITUTE(SUBSTITUTE(A2,"[",""),"]",""),1)+3)</f>
        <v>O:\TRANSFERENCIAS ACTIVAS\51 _ 13-4-2017 - STERYLAB - Bodega ECU.xlsm</v>
      </c>
    </row>
    <row r="6" spans="1:1" x14ac:dyDescent="0.25">
      <c r="A6" t="s">
        <v>30</v>
      </c>
    </row>
    <row r="7" spans="1:1" x14ac:dyDescent="0.25">
      <c r="A7" t="s">
        <v>1682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U13"/>
  <sheetViews>
    <sheetView workbookViewId="0">
      <selection sqref="A1:U13"/>
    </sheetView>
  </sheetViews>
  <sheetFormatPr baseColWidth="10" defaultRowHeight="15" x14ac:dyDescent="0.25"/>
  <sheetData>
    <row r="1" spans="1:21" x14ac:dyDescent="0.25">
      <c r="A1" t="s">
        <v>4</v>
      </c>
      <c r="B1" t="s">
        <v>5</v>
      </c>
      <c r="C1" t="s">
        <v>6</v>
      </c>
      <c r="D1" t="s">
        <v>7</v>
      </c>
      <c r="E1" t="s">
        <v>16</v>
      </c>
      <c r="F1" t="s">
        <v>18</v>
      </c>
      <c r="G1" t="s">
        <v>19</v>
      </c>
      <c r="H1" t="s">
        <v>8</v>
      </c>
      <c r="I1" t="s">
        <v>9</v>
      </c>
      <c r="J1" t="s">
        <v>10</v>
      </c>
      <c r="K1" t="s">
        <v>37</v>
      </c>
      <c r="L1" t="s">
        <v>38</v>
      </c>
      <c r="M1" t="s">
        <v>11</v>
      </c>
      <c r="N1" t="s">
        <v>17</v>
      </c>
      <c r="O1" t="s">
        <v>13</v>
      </c>
      <c r="P1" t="s">
        <v>14</v>
      </c>
      <c r="Q1" t="s">
        <v>15</v>
      </c>
      <c r="R1" t="s">
        <v>20</v>
      </c>
      <c r="S1" t="s">
        <v>21</v>
      </c>
      <c r="T1" t="s">
        <v>22</v>
      </c>
      <c r="U1" t="s">
        <v>844</v>
      </c>
    </row>
    <row r="2" spans="1:21" x14ac:dyDescent="0.25">
      <c r="A2" t="s">
        <v>854</v>
      </c>
      <c r="B2" t="s">
        <v>855</v>
      </c>
      <c r="C2" t="s">
        <v>856</v>
      </c>
      <c r="D2" t="s">
        <v>852</v>
      </c>
      <c r="E2">
        <v>68</v>
      </c>
      <c r="F2">
        <v>306.59879999999998</v>
      </c>
      <c r="G2">
        <v>764</v>
      </c>
      <c r="H2">
        <v>150</v>
      </c>
      <c r="I2">
        <v>0.93</v>
      </c>
      <c r="J2">
        <v>1.49</v>
      </c>
      <c r="K2">
        <v>0</v>
      </c>
      <c r="L2">
        <v>0.89371999999999996</v>
      </c>
      <c r="M2">
        <v>67</v>
      </c>
      <c r="N2">
        <v>67</v>
      </c>
      <c r="O2">
        <v>67</v>
      </c>
      <c r="P2">
        <v>67</v>
      </c>
      <c r="Q2">
        <v>0</v>
      </c>
      <c r="T2" t="s">
        <v>838</v>
      </c>
    </row>
    <row r="3" spans="1:21" x14ac:dyDescent="0.25">
      <c r="A3" t="s">
        <v>40</v>
      </c>
      <c r="B3" t="s">
        <v>857</v>
      </c>
      <c r="C3" t="s">
        <v>858</v>
      </c>
      <c r="D3" t="s">
        <v>852</v>
      </c>
      <c r="E3">
        <v>10</v>
      </c>
      <c r="F3">
        <v>229.81200000000001</v>
      </c>
      <c r="G3">
        <v>464</v>
      </c>
      <c r="H3">
        <v>20</v>
      </c>
      <c r="I3">
        <v>0.9</v>
      </c>
      <c r="J3">
        <v>0.73</v>
      </c>
      <c r="K3">
        <v>0</v>
      </c>
      <c r="L3">
        <v>0.46969699999999998</v>
      </c>
      <c r="M3">
        <v>7</v>
      </c>
      <c r="N3">
        <v>7</v>
      </c>
      <c r="O3">
        <v>7</v>
      </c>
      <c r="P3">
        <v>7</v>
      </c>
      <c r="Q3">
        <v>0</v>
      </c>
      <c r="T3" t="s">
        <v>838</v>
      </c>
    </row>
    <row r="4" spans="1:21" x14ac:dyDescent="0.25">
      <c r="A4" t="s">
        <v>859</v>
      </c>
      <c r="B4" t="s">
        <v>860</v>
      </c>
      <c r="C4" t="s">
        <v>858</v>
      </c>
      <c r="D4" t="s">
        <v>852</v>
      </c>
      <c r="E4">
        <v>8</v>
      </c>
      <c r="F4">
        <v>378.37759999999997</v>
      </c>
      <c r="G4">
        <v>780</v>
      </c>
      <c r="H4">
        <v>15</v>
      </c>
      <c r="I4">
        <v>0.87</v>
      </c>
      <c r="J4">
        <v>0.33</v>
      </c>
      <c r="K4">
        <v>0</v>
      </c>
      <c r="L4">
        <v>1</v>
      </c>
      <c r="M4">
        <v>5</v>
      </c>
      <c r="N4">
        <v>5</v>
      </c>
      <c r="O4">
        <v>5</v>
      </c>
      <c r="P4">
        <v>5</v>
      </c>
      <c r="Q4">
        <v>0</v>
      </c>
      <c r="T4" t="s">
        <v>838</v>
      </c>
    </row>
    <row r="5" spans="1:21" x14ac:dyDescent="0.25">
      <c r="A5" t="s">
        <v>39</v>
      </c>
      <c r="B5" t="s">
        <v>861</v>
      </c>
      <c r="C5" t="s">
        <v>856</v>
      </c>
      <c r="D5" t="s">
        <v>852</v>
      </c>
      <c r="E5">
        <v>290</v>
      </c>
      <c r="F5">
        <v>324.18680000000001</v>
      </c>
      <c r="G5">
        <v>795</v>
      </c>
      <c r="H5">
        <v>650</v>
      </c>
      <c r="I5">
        <v>0.78</v>
      </c>
      <c r="J5">
        <v>1.27</v>
      </c>
      <c r="K5">
        <v>0</v>
      </c>
      <c r="L5">
        <v>0.46803099999999997</v>
      </c>
      <c r="M5">
        <v>207</v>
      </c>
      <c r="N5">
        <v>207</v>
      </c>
      <c r="O5">
        <v>207</v>
      </c>
      <c r="P5">
        <v>207</v>
      </c>
      <c r="Q5">
        <v>0</v>
      </c>
      <c r="T5" t="s">
        <v>838</v>
      </c>
    </row>
    <row r="6" spans="1:21" x14ac:dyDescent="0.25">
      <c r="A6" t="s">
        <v>862</v>
      </c>
      <c r="B6" t="s">
        <v>863</v>
      </c>
      <c r="C6" t="s">
        <v>864</v>
      </c>
      <c r="D6" t="s">
        <v>852</v>
      </c>
      <c r="E6">
        <v>37</v>
      </c>
      <c r="F6">
        <v>372.49869999999999</v>
      </c>
      <c r="G6">
        <v>624</v>
      </c>
      <c r="H6">
        <v>80</v>
      </c>
      <c r="I6">
        <v>0.76</v>
      </c>
      <c r="J6">
        <v>0.19</v>
      </c>
      <c r="K6">
        <v>0</v>
      </c>
      <c r="L6">
        <v>0.52694600000000003</v>
      </c>
      <c r="M6">
        <v>31</v>
      </c>
      <c r="N6">
        <v>31</v>
      </c>
      <c r="O6">
        <v>31</v>
      </c>
      <c r="P6">
        <v>31</v>
      </c>
      <c r="Q6">
        <v>0</v>
      </c>
      <c r="T6" t="s">
        <v>838</v>
      </c>
    </row>
    <row r="7" spans="1:21" x14ac:dyDescent="0.25">
      <c r="A7" t="s">
        <v>865</v>
      </c>
      <c r="B7" t="s">
        <v>866</v>
      </c>
      <c r="C7" t="s">
        <v>853</v>
      </c>
      <c r="D7" t="s">
        <v>852</v>
      </c>
      <c r="E7">
        <v>17</v>
      </c>
      <c r="F7">
        <v>1.3399000000000001</v>
      </c>
      <c r="G7">
        <v>3.81</v>
      </c>
      <c r="H7">
        <v>36</v>
      </c>
      <c r="I7">
        <v>0.72</v>
      </c>
      <c r="J7">
        <v>1.75</v>
      </c>
      <c r="K7">
        <v>0</v>
      </c>
      <c r="L7">
        <v>0.94594599999999995</v>
      </c>
      <c r="M7">
        <v>11</v>
      </c>
      <c r="N7">
        <v>11</v>
      </c>
      <c r="O7">
        <v>11</v>
      </c>
      <c r="P7">
        <v>11</v>
      </c>
      <c r="Q7">
        <v>0</v>
      </c>
      <c r="T7" t="s">
        <v>838</v>
      </c>
    </row>
    <row r="8" spans="1:21" x14ac:dyDescent="0.25">
      <c r="A8" t="s">
        <v>41</v>
      </c>
      <c r="B8" t="s">
        <v>867</v>
      </c>
      <c r="C8" t="s">
        <v>868</v>
      </c>
      <c r="D8" t="s">
        <v>852</v>
      </c>
      <c r="E8">
        <v>48</v>
      </c>
      <c r="F8">
        <v>379.2577</v>
      </c>
      <c r="G8">
        <v>774</v>
      </c>
      <c r="H8">
        <v>105</v>
      </c>
      <c r="I8">
        <v>0.7</v>
      </c>
      <c r="J8">
        <v>0.83</v>
      </c>
      <c r="K8">
        <v>0</v>
      </c>
      <c r="L8">
        <v>0.31236900000000001</v>
      </c>
      <c r="M8">
        <v>6</v>
      </c>
      <c r="N8">
        <v>6</v>
      </c>
      <c r="O8">
        <v>6</v>
      </c>
      <c r="P8">
        <v>6</v>
      </c>
      <c r="Q8">
        <v>0</v>
      </c>
      <c r="T8" t="s">
        <v>838</v>
      </c>
    </row>
    <row r="9" spans="1:21" x14ac:dyDescent="0.25">
      <c r="A9" t="s">
        <v>869</v>
      </c>
      <c r="B9" t="s">
        <v>870</v>
      </c>
      <c r="C9" t="s">
        <v>871</v>
      </c>
      <c r="D9" t="s">
        <v>852</v>
      </c>
      <c r="E9">
        <v>2</v>
      </c>
      <c r="F9">
        <v>2.16</v>
      </c>
      <c r="G9">
        <v>4.13</v>
      </c>
      <c r="H9">
        <v>3</v>
      </c>
      <c r="I9">
        <v>0.67</v>
      </c>
      <c r="J9">
        <v>0.51</v>
      </c>
      <c r="K9">
        <v>0</v>
      </c>
      <c r="L9">
        <v>1</v>
      </c>
      <c r="M9">
        <v>2</v>
      </c>
      <c r="N9">
        <v>2</v>
      </c>
      <c r="O9">
        <v>2</v>
      </c>
      <c r="P9">
        <v>2</v>
      </c>
      <c r="Q9">
        <v>0</v>
      </c>
      <c r="T9" t="s">
        <v>838</v>
      </c>
    </row>
    <row r="10" spans="1:21" x14ac:dyDescent="0.25">
      <c r="A10" t="s">
        <v>872</v>
      </c>
      <c r="B10" t="s">
        <v>873</v>
      </c>
      <c r="C10" t="s">
        <v>853</v>
      </c>
      <c r="D10" t="s">
        <v>852</v>
      </c>
      <c r="E10">
        <v>10</v>
      </c>
      <c r="F10">
        <v>14.616899999999999</v>
      </c>
      <c r="G10">
        <v>35</v>
      </c>
      <c r="H10">
        <v>20</v>
      </c>
      <c r="I10">
        <v>0.6</v>
      </c>
      <c r="J10">
        <v>1.32</v>
      </c>
      <c r="K10">
        <v>0</v>
      </c>
      <c r="L10">
        <v>0.90909099999999998</v>
      </c>
      <c r="M10">
        <v>12</v>
      </c>
      <c r="N10">
        <v>12</v>
      </c>
      <c r="O10">
        <v>12</v>
      </c>
      <c r="P10">
        <v>12</v>
      </c>
      <c r="Q10">
        <v>0</v>
      </c>
      <c r="T10" t="s">
        <v>838</v>
      </c>
    </row>
    <row r="11" spans="1:21" x14ac:dyDescent="0.25">
      <c r="A11" t="s">
        <v>42</v>
      </c>
      <c r="B11" t="s">
        <v>874</v>
      </c>
      <c r="C11" t="s">
        <v>875</v>
      </c>
      <c r="D11" t="s">
        <v>852</v>
      </c>
      <c r="E11">
        <v>12</v>
      </c>
      <c r="F11">
        <v>301.73</v>
      </c>
      <c r="G11">
        <v>694</v>
      </c>
      <c r="H11">
        <v>24</v>
      </c>
      <c r="I11">
        <v>0.57999999999999996</v>
      </c>
      <c r="J11">
        <v>1.1399999999999999</v>
      </c>
      <c r="K11">
        <v>0</v>
      </c>
      <c r="L11">
        <v>0.293103</v>
      </c>
      <c r="M11">
        <v>6</v>
      </c>
      <c r="N11">
        <v>6</v>
      </c>
      <c r="O11">
        <v>6</v>
      </c>
      <c r="P11">
        <v>6</v>
      </c>
      <c r="Q11">
        <v>0</v>
      </c>
      <c r="T11" t="s">
        <v>838</v>
      </c>
    </row>
    <row r="12" spans="1:21" x14ac:dyDescent="0.25">
      <c r="A12" t="s">
        <v>876</v>
      </c>
      <c r="B12" t="s">
        <v>877</v>
      </c>
      <c r="C12" t="s">
        <v>878</v>
      </c>
      <c r="D12" t="s">
        <v>852</v>
      </c>
      <c r="E12">
        <v>2</v>
      </c>
      <c r="F12">
        <v>20.21</v>
      </c>
      <c r="G12">
        <v>117</v>
      </c>
      <c r="H12">
        <v>2</v>
      </c>
      <c r="I12">
        <v>0.5</v>
      </c>
      <c r="J12">
        <v>0.86</v>
      </c>
      <c r="K12">
        <v>0</v>
      </c>
      <c r="L12">
        <v>1</v>
      </c>
      <c r="M12">
        <v>1</v>
      </c>
      <c r="N12">
        <v>1</v>
      </c>
      <c r="O12">
        <v>1</v>
      </c>
      <c r="P12">
        <v>1</v>
      </c>
      <c r="Q12">
        <v>0</v>
      </c>
      <c r="T12" t="s">
        <v>838</v>
      </c>
    </row>
    <row r="13" spans="1:21" x14ac:dyDescent="0.25">
      <c r="A13" t="s">
        <v>879</v>
      </c>
      <c r="B13" t="s">
        <v>880</v>
      </c>
      <c r="C13" t="s">
        <v>856</v>
      </c>
      <c r="D13" t="s">
        <v>852</v>
      </c>
      <c r="E13">
        <v>8</v>
      </c>
      <c r="F13">
        <v>141.1199</v>
      </c>
      <c r="G13">
        <v>273</v>
      </c>
      <c r="H13">
        <v>16</v>
      </c>
      <c r="I13">
        <v>0.38</v>
      </c>
      <c r="J13">
        <v>0.25</v>
      </c>
      <c r="K13">
        <v>0</v>
      </c>
      <c r="L13">
        <v>0.38888899999999998</v>
      </c>
      <c r="M13">
        <v>2</v>
      </c>
      <c r="N13">
        <v>2</v>
      </c>
      <c r="O13">
        <v>2</v>
      </c>
      <c r="P13">
        <v>2</v>
      </c>
      <c r="Q13">
        <v>0</v>
      </c>
      <c r="T13" t="s">
        <v>838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
  <sheetViews>
    <sheetView workbookViewId="0"/>
  </sheetViews>
  <sheetFormatPr baseColWidth="10" defaultRowHeight="15" x14ac:dyDescent="0.25"/>
  <sheetData>
    <row r="1" spans="1:1" x14ac:dyDescent="0.25">
      <c r="A1" t="s">
        <v>1566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C2"/>
  <sheetViews>
    <sheetView workbookViewId="0">
      <selection activeCell="E5" sqref="E5"/>
    </sheetView>
  </sheetViews>
  <sheetFormatPr baseColWidth="10" defaultRowHeight="15" x14ac:dyDescent="0.25"/>
  <sheetData>
    <row r="1" spans="1:3" x14ac:dyDescent="0.25">
      <c r="A1" t="s">
        <v>26</v>
      </c>
      <c r="B1" t="s">
        <v>27</v>
      </c>
      <c r="C1" t="s">
        <v>28</v>
      </c>
    </row>
    <row r="2" spans="1:3" x14ac:dyDescent="0.25">
      <c r="C2" s="3"/>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I24"/>
  <sheetViews>
    <sheetView workbookViewId="0">
      <selection activeCell="A2" sqref="A2:I24"/>
    </sheetView>
  </sheetViews>
  <sheetFormatPr baseColWidth="10" defaultRowHeight="15" x14ac:dyDescent="0.25"/>
  <cols>
    <col min="1" max="1" width="42" customWidth="1"/>
    <col min="2" max="2" width="64.28515625" customWidth="1"/>
    <col min="3" max="3" width="18.42578125" customWidth="1"/>
    <col min="4" max="4" width="20" customWidth="1"/>
    <col min="5" max="5" width="70.28515625" customWidth="1"/>
    <col min="6" max="6" width="11" bestFit="1" customWidth="1"/>
    <col min="7" max="7" width="18.42578125" customWidth="1"/>
    <col min="8" max="8" width="13.5703125" bestFit="1" customWidth="1"/>
    <col min="9" max="9" width="20.7109375" bestFit="1" customWidth="1"/>
  </cols>
  <sheetData>
    <row r="1" spans="1:9" x14ac:dyDescent="0.25">
      <c r="A1" t="s">
        <v>43</v>
      </c>
      <c r="B1" t="s">
        <v>44</v>
      </c>
      <c r="C1" t="s">
        <v>45</v>
      </c>
      <c r="D1" t="s">
        <v>46</v>
      </c>
      <c r="E1" t="s">
        <v>47</v>
      </c>
      <c r="F1" t="s">
        <v>48</v>
      </c>
      <c r="G1" t="s">
        <v>49</v>
      </c>
      <c r="H1" t="s">
        <v>50</v>
      </c>
      <c r="I1" t="s">
        <v>51</v>
      </c>
    </row>
    <row r="2" spans="1:9" x14ac:dyDescent="0.25">
      <c r="A2" t="s">
        <v>215</v>
      </c>
      <c r="B2" t="s">
        <v>822</v>
      </c>
      <c r="C2" t="s">
        <v>53</v>
      </c>
      <c r="D2" t="s">
        <v>216</v>
      </c>
      <c r="E2" t="s">
        <v>823</v>
      </c>
      <c r="F2">
        <v>1</v>
      </c>
      <c r="G2" t="s">
        <v>62</v>
      </c>
      <c r="H2" s="3">
        <f>IFERROR(MATCH(Tabla_Recetas[[#This Row],[Cod Padre]],TABLATRANSFERENCIA[CODIGO],0),0)</f>
        <v>0</v>
      </c>
      <c r="I2" s="3">
        <f>IF(Tabla_Recetas[[#This Row],[ExistePadre]]=0,0,IFERROR(INDEX(TABLATRANSFERENCIA[REQUERIM],Tabla_Recetas[[#This Row],[ExistePadre]],1),0))*Tabla_Recetas[[#This Row],[Cantidad]]</f>
        <v>0</v>
      </c>
    </row>
    <row r="3" spans="1:9" x14ac:dyDescent="0.25">
      <c r="A3" t="s">
        <v>215</v>
      </c>
      <c r="B3" t="s">
        <v>822</v>
      </c>
      <c r="C3" t="s">
        <v>53</v>
      </c>
      <c r="D3" t="s">
        <v>217</v>
      </c>
      <c r="E3" t="s">
        <v>824</v>
      </c>
      <c r="F3">
        <v>5.0000000000000001E-3</v>
      </c>
      <c r="G3" t="s">
        <v>59</v>
      </c>
      <c r="H3" s="3">
        <f>IFERROR(MATCH(Tabla_Recetas[[#This Row],[Cod Padre]],TABLATRANSFERENCIA[CODIGO],0),0)</f>
        <v>0</v>
      </c>
      <c r="I3" s="3">
        <f>IF(Tabla_Recetas[[#This Row],[ExistePadre]]=0,0,IFERROR(INDEX(TABLATRANSFERENCIA[REQUERIM],Tabla_Recetas[[#This Row],[ExistePadre]],1),0))*Tabla_Recetas[[#This Row],[Cantidad]]</f>
        <v>0</v>
      </c>
    </row>
    <row r="4" spans="1:9" x14ac:dyDescent="0.25">
      <c r="A4" t="s">
        <v>215</v>
      </c>
      <c r="B4" t="s">
        <v>822</v>
      </c>
      <c r="C4" t="s">
        <v>53</v>
      </c>
      <c r="D4" t="s">
        <v>54</v>
      </c>
      <c r="E4" t="s">
        <v>55</v>
      </c>
      <c r="F4">
        <v>1</v>
      </c>
      <c r="G4" t="s">
        <v>56</v>
      </c>
      <c r="H4" s="3">
        <f>IFERROR(MATCH(Tabla_Recetas[[#This Row],[Cod Padre]],TABLATRANSFERENCIA[CODIGO],0),0)</f>
        <v>0</v>
      </c>
      <c r="I4" s="3">
        <f>IF(Tabla_Recetas[[#This Row],[ExistePadre]]=0,0,IFERROR(INDEX(TABLATRANSFERENCIA[REQUERIM],Tabla_Recetas[[#This Row],[ExistePadre]],1),0))*Tabla_Recetas[[#This Row],[Cantidad]]</f>
        <v>0</v>
      </c>
    </row>
    <row r="5" spans="1:9" x14ac:dyDescent="0.25">
      <c r="A5" t="s">
        <v>231</v>
      </c>
      <c r="B5" t="s">
        <v>825</v>
      </c>
      <c r="C5" t="s">
        <v>818</v>
      </c>
      <c r="D5" t="s">
        <v>232</v>
      </c>
      <c r="E5" t="s">
        <v>826</v>
      </c>
      <c r="F5">
        <v>1</v>
      </c>
      <c r="G5" t="s">
        <v>56</v>
      </c>
      <c r="H5" s="3">
        <f>IFERROR(MATCH(Tabla_Recetas[[#This Row],[Cod Padre]],TABLATRANSFERENCIA[CODIGO],0),0)</f>
        <v>0</v>
      </c>
      <c r="I5" s="3">
        <f>IF(Tabla_Recetas[[#This Row],[ExistePadre]]=0,0,IFERROR(INDEX(TABLATRANSFERENCIA[REQUERIM],Tabla_Recetas[[#This Row],[ExistePadre]],1),0))*Tabla_Recetas[[#This Row],[Cantidad]]</f>
        <v>0</v>
      </c>
    </row>
    <row r="6" spans="1:9" x14ac:dyDescent="0.25">
      <c r="A6" t="s">
        <v>231</v>
      </c>
      <c r="B6" t="s">
        <v>825</v>
      </c>
      <c r="C6" t="s">
        <v>818</v>
      </c>
      <c r="D6" t="s">
        <v>233</v>
      </c>
      <c r="E6" t="s">
        <v>827</v>
      </c>
      <c r="F6">
        <v>0.5</v>
      </c>
      <c r="G6" t="s">
        <v>53</v>
      </c>
      <c r="H6" s="3">
        <f>IFERROR(MATCH(Tabla_Recetas[[#This Row],[Cod Padre]],TABLATRANSFERENCIA[CODIGO],0),0)</f>
        <v>0</v>
      </c>
      <c r="I6" s="3">
        <f>IF(Tabla_Recetas[[#This Row],[ExistePadre]]=0,0,IFERROR(INDEX(TABLATRANSFERENCIA[REQUERIM],Tabla_Recetas[[#This Row],[ExistePadre]],1),0))*Tabla_Recetas[[#This Row],[Cantidad]]</f>
        <v>0</v>
      </c>
    </row>
    <row r="7" spans="1:9" x14ac:dyDescent="0.25">
      <c r="A7" t="s">
        <v>231</v>
      </c>
      <c r="B7" t="s">
        <v>825</v>
      </c>
      <c r="C7" t="s">
        <v>818</v>
      </c>
      <c r="D7" t="s">
        <v>182</v>
      </c>
      <c r="E7" t="s">
        <v>821</v>
      </c>
      <c r="F7">
        <v>1</v>
      </c>
      <c r="G7" t="s">
        <v>56</v>
      </c>
      <c r="H7" s="3">
        <f>IFERROR(MATCH(Tabla_Recetas[[#This Row],[Cod Padre]],TABLATRANSFERENCIA[CODIGO],0),0)</f>
        <v>0</v>
      </c>
      <c r="I7" s="3">
        <f>IF(Tabla_Recetas[[#This Row],[ExistePadre]]=0,0,IFERROR(INDEX(TABLATRANSFERENCIA[REQUERIM],Tabla_Recetas[[#This Row],[ExistePadre]],1),0))*Tabla_Recetas[[#This Row],[Cantidad]]</f>
        <v>0</v>
      </c>
    </row>
    <row r="8" spans="1:9" x14ac:dyDescent="0.25">
      <c r="A8" t="s">
        <v>234</v>
      </c>
      <c r="B8" t="s">
        <v>828</v>
      </c>
      <c r="C8" t="s">
        <v>817</v>
      </c>
      <c r="D8" t="s">
        <v>233</v>
      </c>
      <c r="E8" t="s">
        <v>827</v>
      </c>
      <c r="F8">
        <v>0.25</v>
      </c>
      <c r="G8" t="s">
        <v>53</v>
      </c>
      <c r="H8" s="3">
        <f>IFERROR(MATCH(Tabla_Recetas[[#This Row],[Cod Padre]],TABLATRANSFERENCIA[CODIGO],0),0)</f>
        <v>0</v>
      </c>
      <c r="I8" s="3">
        <f>IF(Tabla_Recetas[[#This Row],[ExistePadre]]=0,0,IFERROR(INDEX(TABLATRANSFERENCIA[REQUERIM],Tabla_Recetas[[#This Row],[ExistePadre]],1),0))*Tabla_Recetas[[#This Row],[Cantidad]]</f>
        <v>0</v>
      </c>
    </row>
    <row r="9" spans="1:9" x14ac:dyDescent="0.25">
      <c r="A9" t="s">
        <v>234</v>
      </c>
      <c r="B9" t="s">
        <v>828</v>
      </c>
      <c r="C9" t="s">
        <v>817</v>
      </c>
      <c r="D9" t="s">
        <v>159</v>
      </c>
      <c r="E9" t="s">
        <v>820</v>
      </c>
      <c r="F9">
        <v>1</v>
      </c>
      <c r="G9" t="s">
        <v>56</v>
      </c>
      <c r="H9" s="3">
        <f>IFERROR(MATCH(Tabla_Recetas[[#This Row],[Cod Padre]],TABLATRANSFERENCIA[CODIGO],0),0)</f>
        <v>0</v>
      </c>
      <c r="I9" s="3">
        <f>IF(Tabla_Recetas[[#This Row],[ExistePadre]]=0,0,IFERROR(INDEX(TABLATRANSFERENCIA[REQUERIM],Tabla_Recetas[[#This Row],[ExistePadre]],1),0))*Tabla_Recetas[[#This Row],[Cantidad]]</f>
        <v>0</v>
      </c>
    </row>
    <row r="10" spans="1:9" x14ac:dyDescent="0.25">
      <c r="A10" t="s">
        <v>234</v>
      </c>
      <c r="B10" t="s">
        <v>828</v>
      </c>
      <c r="C10" t="s">
        <v>817</v>
      </c>
      <c r="D10" t="s">
        <v>235</v>
      </c>
      <c r="E10" t="s">
        <v>829</v>
      </c>
      <c r="F10">
        <v>1</v>
      </c>
      <c r="G10" t="s">
        <v>56</v>
      </c>
      <c r="H10" s="3">
        <f>IFERROR(MATCH(Tabla_Recetas[[#This Row],[Cod Padre]],TABLATRANSFERENCIA[CODIGO],0),0)</f>
        <v>0</v>
      </c>
      <c r="I10" s="3">
        <f>IF(Tabla_Recetas[[#This Row],[ExistePadre]]=0,0,IFERROR(INDEX(TABLATRANSFERENCIA[REQUERIM],Tabla_Recetas[[#This Row],[ExistePadre]],1),0))*Tabla_Recetas[[#This Row],[Cantidad]]</f>
        <v>0</v>
      </c>
    </row>
    <row r="11" spans="1:9" x14ac:dyDescent="0.25">
      <c r="A11" t="s">
        <v>236</v>
      </c>
      <c r="B11" t="s">
        <v>830</v>
      </c>
      <c r="C11" t="s">
        <v>67</v>
      </c>
      <c r="D11" t="s">
        <v>237</v>
      </c>
      <c r="E11" t="s">
        <v>831</v>
      </c>
      <c r="F11">
        <v>1</v>
      </c>
      <c r="G11" t="s">
        <v>56</v>
      </c>
      <c r="H11" s="3">
        <f>IFERROR(MATCH(Tabla_Recetas[[#This Row],[Cod Padre]],TABLATRANSFERENCIA[CODIGO],0),0)</f>
        <v>0</v>
      </c>
      <c r="I11" s="3">
        <f>IF(Tabla_Recetas[[#This Row],[ExistePadre]]=0,0,IFERROR(INDEX(TABLATRANSFERENCIA[REQUERIM],Tabla_Recetas[[#This Row],[ExistePadre]],1),0))*Tabla_Recetas[[#This Row],[Cantidad]]</f>
        <v>0</v>
      </c>
    </row>
    <row r="12" spans="1:9" x14ac:dyDescent="0.25">
      <c r="A12" t="s">
        <v>236</v>
      </c>
      <c r="B12" t="s">
        <v>830</v>
      </c>
      <c r="C12" t="s">
        <v>67</v>
      </c>
      <c r="D12" t="s">
        <v>233</v>
      </c>
      <c r="E12" t="s">
        <v>827</v>
      </c>
      <c r="F12">
        <v>0.1</v>
      </c>
      <c r="G12" t="s">
        <v>53</v>
      </c>
      <c r="H12" s="3">
        <f>IFERROR(MATCH(Tabla_Recetas[[#This Row],[Cod Padre]],TABLATRANSFERENCIA[CODIGO],0),0)</f>
        <v>0</v>
      </c>
      <c r="I12" s="3">
        <f>IF(Tabla_Recetas[[#This Row],[ExistePadre]]=0,0,IFERROR(INDEX(TABLATRANSFERENCIA[REQUERIM],Tabla_Recetas[[#This Row],[ExistePadre]],1),0))*Tabla_Recetas[[#This Row],[Cantidad]]</f>
        <v>0</v>
      </c>
    </row>
    <row r="13" spans="1:9" x14ac:dyDescent="0.25">
      <c r="A13" t="s">
        <v>236</v>
      </c>
      <c r="B13" t="s">
        <v>830</v>
      </c>
      <c r="C13" t="s">
        <v>67</v>
      </c>
      <c r="D13" t="s">
        <v>147</v>
      </c>
      <c r="E13" t="s">
        <v>819</v>
      </c>
      <c r="F13">
        <v>1</v>
      </c>
      <c r="G13" t="s">
        <v>56</v>
      </c>
      <c r="H13" s="3">
        <f>IFERROR(MATCH(Tabla_Recetas[[#This Row],[Cod Padre]],TABLATRANSFERENCIA[CODIGO],0),0)</f>
        <v>0</v>
      </c>
      <c r="I13" s="3">
        <f>IF(Tabla_Recetas[[#This Row],[ExistePadre]]=0,0,IFERROR(INDEX(TABLATRANSFERENCIA[REQUERIM],Tabla_Recetas[[#This Row],[ExistePadre]],1),0))*Tabla_Recetas[[#This Row],[Cantidad]]</f>
        <v>0</v>
      </c>
    </row>
    <row r="14" spans="1:9" x14ac:dyDescent="0.25">
      <c r="A14" t="s">
        <v>238</v>
      </c>
      <c r="B14" t="s">
        <v>832</v>
      </c>
      <c r="C14" t="s">
        <v>53</v>
      </c>
      <c r="D14" t="s">
        <v>239</v>
      </c>
      <c r="E14" t="s">
        <v>833</v>
      </c>
      <c r="F14">
        <v>1</v>
      </c>
      <c r="G14" t="s">
        <v>56</v>
      </c>
      <c r="H14" s="3">
        <f>IFERROR(MATCH(Tabla_Recetas[[#This Row],[Cod Padre]],TABLATRANSFERENCIA[CODIGO],0),0)</f>
        <v>0</v>
      </c>
      <c r="I14" s="3">
        <f>IF(Tabla_Recetas[[#This Row],[ExistePadre]]=0,0,IFERROR(INDEX(TABLATRANSFERENCIA[REQUERIM],Tabla_Recetas[[#This Row],[ExistePadre]],1),0))*Tabla_Recetas[[#This Row],[Cantidad]]</f>
        <v>0</v>
      </c>
    </row>
    <row r="15" spans="1:9" x14ac:dyDescent="0.25">
      <c r="A15" t="s">
        <v>238</v>
      </c>
      <c r="B15" t="s">
        <v>832</v>
      </c>
      <c r="C15" t="s">
        <v>53</v>
      </c>
      <c r="D15" t="s">
        <v>233</v>
      </c>
      <c r="E15" t="s">
        <v>827</v>
      </c>
      <c r="F15">
        <v>1</v>
      </c>
      <c r="G15" t="s">
        <v>53</v>
      </c>
      <c r="H15" s="3">
        <f>IFERROR(MATCH(Tabla_Recetas[[#This Row],[Cod Padre]],TABLATRANSFERENCIA[CODIGO],0),0)</f>
        <v>0</v>
      </c>
      <c r="I15" s="3">
        <f>IF(Tabla_Recetas[[#This Row],[ExistePadre]]=0,0,IFERROR(INDEX(TABLATRANSFERENCIA[REQUERIM],Tabla_Recetas[[#This Row],[ExistePadre]],1),0))*Tabla_Recetas[[#This Row],[Cantidad]]</f>
        <v>0</v>
      </c>
    </row>
    <row r="16" spans="1:9" x14ac:dyDescent="0.25">
      <c r="A16" t="s">
        <v>238</v>
      </c>
      <c r="B16" t="s">
        <v>832</v>
      </c>
      <c r="C16" t="s">
        <v>53</v>
      </c>
      <c r="D16" t="s">
        <v>54</v>
      </c>
      <c r="E16" t="s">
        <v>55</v>
      </c>
      <c r="F16">
        <v>1</v>
      </c>
      <c r="G16" t="s">
        <v>56</v>
      </c>
      <c r="H16" s="3">
        <f>IFERROR(MATCH(Tabla_Recetas[[#This Row],[Cod Padre]],TABLATRANSFERENCIA[CODIGO],0),0)</f>
        <v>0</v>
      </c>
      <c r="I16" s="3">
        <f>IF(Tabla_Recetas[[#This Row],[ExistePadre]]=0,0,IFERROR(INDEX(TABLATRANSFERENCIA[REQUERIM],Tabla_Recetas[[#This Row],[ExistePadre]],1),0))*Tabla_Recetas[[#This Row],[Cantidad]]</f>
        <v>0</v>
      </c>
    </row>
    <row r="17" spans="1:9" x14ac:dyDescent="0.25">
      <c r="A17" t="s">
        <v>628</v>
      </c>
      <c r="B17" t="s">
        <v>849</v>
      </c>
      <c r="C17" t="s">
        <v>53</v>
      </c>
      <c r="D17" t="s">
        <v>245</v>
      </c>
      <c r="E17" t="s">
        <v>834</v>
      </c>
      <c r="F17">
        <v>5.0000000000000001E-3</v>
      </c>
      <c r="G17" t="s">
        <v>59</v>
      </c>
      <c r="H17" s="3">
        <f>IFERROR(MATCH(Tabla_Recetas[[#This Row],[Cod Padre]],TABLATRANSFERENCIA[CODIGO],0),0)</f>
        <v>0</v>
      </c>
      <c r="I17" s="3">
        <f>IF(Tabla_Recetas[[#This Row],[ExistePadre]]=0,0,IFERROR(INDEX(TABLATRANSFERENCIA[REQUERIM],Tabla_Recetas[[#This Row],[ExistePadre]],1),0))*Tabla_Recetas[[#This Row],[Cantidad]]</f>
        <v>0</v>
      </c>
    </row>
    <row r="18" spans="1:9" x14ac:dyDescent="0.25">
      <c r="A18" t="s">
        <v>628</v>
      </c>
      <c r="B18" t="s">
        <v>849</v>
      </c>
      <c r="C18" t="s">
        <v>53</v>
      </c>
      <c r="D18" t="s">
        <v>54</v>
      </c>
      <c r="E18" t="s">
        <v>55</v>
      </c>
      <c r="F18">
        <v>1</v>
      </c>
      <c r="G18" t="s">
        <v>56</v>
      </c>
      <c r="H18" s="3">
        <f>IFERROR(MATCH(Tabla_Recetas[[#This Row],[Cod Padre]],TABLATRANSFERENCIA[CODIGO],0),0)</f>
        <v>0</v>
      </c>
      <c r="I18" s="3">
        <f>IF(Tabla_Recetas[[#This Row],[ExistePadre]]=0,0,IFERROR(INDEX(TABLATRANSFERENCIA[REQUERIM],Tabla_Recetas[[#This Row],[ExistePadre]],1),0))*Tabla_Recetas[[#This Row],[Cantidad]]</f>
        <v>0</v>
      </c>
    </row>
    <row r="19" spans="1:9" x14ac:dyDescent="0.25">
      <c r="A19" t="s">
        <v>628</v>
      </c>
      <c r="B19" t="s">
        <v>849</v>
      </c>
      <c r="C19" t="s">
        <v>53</v>
      </c>
      <c r="D19" t="s">
        <v>277</v>
      </c>
      <c r="E19" t="s">
        <v>835</v>
      </c>
      <c r="F19">
        <v>1</v>
      </c>
      <c r="G19" t="s">
        <v>56</v>
      </c>
      <c r="H19" s="3">
        <f>IFERROR(MATCH(Tabla_Recetas[[#This Row],[Cod Padre]],TABLATRANSFERENCIA[CODIGO],0),0)</f>
        <v>0</v>
      </c>
      <c r="I19" s="3">
        <f>IF(Tabla_Recetas[[#This Row],[ExistePadre]]=0,0,IFERROR(INDEX(TABLATRANSFERENCIA[REQUERIM],Tabla_Recetas[[#This Row],[ExistePadre]],1),0))*Tabla_Recetas[[#This Row],[Cantidad]]</f>
        <v>0</v>
      </c>
    </row>
    <row r="20" spans="1:9" x14ac:dyDescent="0.25">
      <c r="A20" t="s">
        <v>388</v>
      </c>
      <c r="B20" t="s">
        <v>389</v>
      </c>
      <c r="C20" t="s">
        <v>109</v>
      </c>
      <c r="D20" t="s">
        <v>390</v>
      </c>
      <c r="E20" t="s">
        <v>391</v>
      </c>
      <c r="F20">
        <v>1</v>
      </c>
      <c r="G20" t="s">
        <v>56</v>
      </c>
      <c r="H20" s="3">
        <f>IFERROR(MATCH(Tabla_Recetas[[#This Row],[Cod Padre]],TABLATRANSFERENCIA[CODIGO],0),0)</f>
        <v>0</v>
      </c>
      <c r="I20" s="3">
        <f>IF(Tabla_Recetas[[#This Row],[ExistePadre]]=0,0,IFERROR(INDEX(TABLATRANSFERENCIA[REQUERIM],Tabla_Recetas[[#This Row],[ExistePadre]],1),0))*Tabla_Recetas[[#This Row],[Cantidad]]</f>
        <v>0</v>
      </c>
    </row>
    <row r="21" spans="1:9" x14ac:dyDescent="0.25">
      <c r="A21" t="s">
        <v>388</v>
      </c>
      <c r="B21" t="s">
        <v>389</v>
      </c>
      <c r="C21" t="s">
        <v>109</v>
      </c>
      <c r="D21" t="s">
        <v>392</v>
      </c>
      <c r="E21" t="s">
        <v>393</v>
      </c>
      <c r="F21">
        <v>1</v>
      </c>
      <c r="G21" t="s">
        <v>109</v>
      </c>
      <c r="H21" s="3">
        <f>IFERROR(MATCH(Tabla_Recetas[[#This Row],[Cod Padre]],TABLATRANSFERENCIA[CODIGO],0),0)</f>
        <v>0</v>
      </c>
      <c r="I21" s="3">
        <f>IF(Tabla_Recetas[[#This Row],[ExistePadre]]=0,0,IFERROR(INDEX(TABLATRANSFERENCIA[REQUERIM],Tabla_Recetas[[#This Row],[ExistePadre]],1),0))*Tabla_Recetas[[#This Row],[Cantidad]]</f>
        <v>0</v>
      </c>
    </row>
    <row r="22" spans="1:9" x14ac:dyDescent="0.25">
      <c r="A22" t="s">
        <v>388</v>
      </c>
      <c r="B22" t="s">
        <v>389</v>
      </c>
      <c r="C22" t="s">
        <v>109</v>
      </c>
      <c r="D22" t="s">
        <v>164</v>
      </c>
      <c r="E22" t="s">
        <v>165</v>
      </c>
      <c r="F22">
        <v>1</v>
      </c>
      <c r="G22" t="s">
        <v>56</v>
      </c>
      <c r="H22" s="3">
        <f>IFERROR(MATCH(Tabla_Recetas[[#This Row],[Cod Padre]],TABLATRANSFERENCIA[CODIGO],0),0)</f>
        <v>0</v>
      </c>
      <c r="I22" s="3">
        <f>IF(Tabla_Recetas[[#This Row],[ExistePadre]]=0,0,IFERROR(INDEX(TABLATRANSFERENCIA[REQUERIM],Tabla_Recetas[[#This Row],[ExistePadre]],1),0))*Tabla_Recetas[[#This Row],[Cantidad]]</f>
        <v>0</v>
      </c>
    </row>
    <row r="23" spans="1:9" x14ac:dyDescent="0.25">
      <c r="A23" t="s">
        <v>395</v>
      </c>
      <c r="B23" t="s">
        <v>396</v>
      </c>
      <c r="C23" t="s">
        <v>109</v>
      </c>
      <c r="D23" t="s">
        <v>397</v>
      </c>
      <c r="E23" t="s">
        <v>398</v>
      </c>
      <c r="F23">
        <v>1</v>
      </c>
      <c r="G23" t="s">
        <v>56</v>
      </c>
      <c r="H23" s="3">
        <f>IFERROR(MATCH(Tabla_Recetas[[#This Row],[Cod Padre]],TABLATRANSFERENCIA[CODIGO],0),0)</f>
        <v>0</v>
      </c>
      <c r="I23" s="3">
        <f>IF(Tabla_Recetas[[#This Row],[ExistePadre]]=0,0,IFERROR(INDEX(TABLATRANSFERENCIA[REQUERIM],Tabla_Recetas[[#This Row],[ExistePadre]],1),0))*Tabla_Recetas[[#This Row],[Cantidad]]</f>
        <v>0</v>
      </c>
    </row>
    <row r="24" spans="1:9" x14ac:dyDescent="0.25">
      <c r="A24" t="s">
        <v>395</v>
      </c>
      <c r="B24" t="s">
        <v>396</v>
      </c>
      <c r="C24" t="s">
        <v>109</v>
      </c>
      <c r="D24" t="s">
        <v>399</v>
      </c>
      <c r="E24" t="s">
        <v>400</v>
      </c>
      <c r="F24">
        <v>1</v>
      </c>
      <c r="G24" t="s">
        <v>109</v>
      </c>
      <c r="H24" s="3">
        <f>IFERROR(MATCH(Tabla_Recetas[[#This Row],[Cod Padre]],TABLATRANSFERENCIA[CODIGO],0),0)</f>
        <v>0</v>
      </c>
      <c r="I24" s="3">
        <f>IF(Tabla_Recetas[[#This Row],[ExistePadre]]=0,0,IFERROR(INDEX(TABLATRANSFERENCIA[REQUERIM],Tabla_Recetas[[#This Row],[ExistePadre]],1),0))*Tabla_Recetas[[#This Row],[Cantidad]]</f>
        <v>0</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G21"/>
  <sheetViews>
    <sheetView showGridLines="0" workbookViewId="0">
      <selection activeCell="A9" sqref="A9"/>
    </sheetView>
  </sheetViews>
  <sheetFormatPr baseColWidth="10" defaultRowHeight="15" x14ac:dyDescent="0.25"/>
  <cols>
    <col min="2" max="2" width="43.85546875" customWidth="1"/>
    <col min="3" max="3" width="9.28515625" customWidth="1"/>
    <col min="4" max="4" width="15.7109375" bestFit="1" customWidth="1"/>
  </cols>
  <sheetData>
    <row r="1" spans="1:7" ht="18.75" x14ac:dyDescent="0.3">
      <c r="A1" s="7" t="s">
        <v>605</v>
      </c>
    </row>
    <row r="3" spans="1:7" x14ac:dyDescent="0.25">
      <c r="A3" s="8" t="s">
        <v>606</v>
      </c>
      <c r="B3" s="8" t="s">
        <v>607</v>
      </c>
      <c r="C3" t="s">
        <v>608</v>
      </c>
      <c r="D3" s="9" t="s">
        <v>816</v>
      </c>
    </row>
    <row r="4" spans="1:7" x14ac:dyDescent="0.25">
      <c r="A4" t="s">
        <v>399</v>
      </c>
      <c r="B4" t="s">
        <v>400</v>
      </c>
      <c r="C4" s="3">
        <v>0</v>
      </c>
      <c r="D4" t="str">
        <f>IFERROR(INDEX(Tabla_MPyPT[NombreGrupo],MATCH(A4,Tabla_MPyPT[CodigoVentaproducto],0),1),"")</f>
        <v xml:space="preserve">MATERIA PRIMA </v>
      </c>
    </row>
    <row r="5" spans="1:7" x14ac:dyDescent="0.25">
      <c r="A5" t="s">
        <v>392</v>
      </c>
      <c r="B5" t="s">
        <v>393</v>
      </c>
      <c r="C5" s="3">
        <v>0</v>
      </c>
      <c r="D5" t="str">
        <f>IFERROR(INDEX(Tabla_MPyPT[NombreGrupo],MATCH(A5,Tabla_MPyPT[CodigoVentaproducto],0),1),"")</f>
        <v xml:space="preserve">MATERIA PRIMA </v>
      </c>
    </row>
    <row r="6" spans="1:7" x14ac:dyDescent="0.25">
      <c r="A6" t="s">
        <v>217</v>
      </c>
      <c r="B6" t="s">
        <v>824</v>
      </c>
      <c r="C6" s="3">
        <v>0</v>
      </c>
      <c r="D6" t="str">
        <f>IFERROR(INDEX(Tabla_MPyPT[NombreGrupo],MATCH(A6,Tabla_MPyPT[CodigoVentaproducto],0),1),"")</f>
        <v xml:space="preserve">MATERIA PRIMA </v>
      </c>
      <c r="G6" t="str">
        <f>IFERROR(INDEX(Tabla_MPyPT[NombreGrupo],MATCH(D6,Tabla_MPyPT[CodigoVentaproducto],0),1),"")</f>
        <v/>
      </c>
    </row>
    <row r="7" spans="1:7" x14ac:dyDescent="0.25">
      <c r="A7" t="s">
        <v>233</v>
      </c>
      <c r="B7" t="s">
        <v>827</v>
      </c>
      <c r="C7" s="3">
        <v>0</v>
      </c>
      <c r="D7" t="str">
        <f>IFERROR(INDEX(Tabla_MPyPT[NombreGrupo],MATCH(A7,Tabla_MPyPT[CodigoVentaproducto],0),1),"")</f>
        <v xml:space="preserve">MATERIA PRIMA </v>
      </c>
    </row>
    <row r="8" spans="1:7" x14ac:dyDescent="0.25">
      <c r="A8" t="s">
        <v>245</v>
      </c>
      <c r="B8" t="s">
        <v>834</v>
      </c>
      <c r="C8" s="3">
        <v>0</v>
      </c>
      <c r="D8" t="str">
        <f>IFERROR(INDEX(Tabla_MPyPT[NombreGrupo],MATCH(A8,Tabla_MPyPT[CodigoVentaproducto],0),1),"")</f>
        <v>MATERIA PRIMA</v>
      </c>
    </row>
    <row r="9" spans="1:7" x14ac:dyDescent="0.25">
      <c r="A9" t="s">
        <v>390</v>
      </c>
      <c r="B9" t="s">
        <v>391</v>
      </c>
      <c r="C9" s="3">
        <v>0</v>
      </c>
      <c r="D9" t="str">
        <f>IFERROR(INDEX(Tabla_MPyPT[NombreGrupo],MATCH(A9,Tabla_MPyPT[CodigoVentaproducto],0),1),"")</f>
        <v>MATERIA PRIMA</v>
      </c>
    </row>
    <row r="10" spans="1:7" x14ac:dyDescent="0.25">
      <c r="A10" t="s">
        <v>216</v>
      </c>
      <c r="B10" t="s">
        <v>823</v>
      </c>
      <c r="C10" s="3">
        <v>0</v>
      </c>
      <c r="D10" t="str">
        <f>IFERROR(INDEX(Tabla_MPyPT[NombreGrupo],MATCH(A10,Tabla_MPyPT[CodigoVentaproducto],0),1),"")</f>
        <v>MATERIA PRIMA</v>
      </c>
    </row>
    <row r="11" spans="1:7" x14ac:dyDescent="0.25">
      <c r="A11" t="s">
        <v>277</v>
      </c>
      <c r="B11" t="s">
        <v>835</v>
      </c>
      <c r="C11" s="3">
        <v>0</v>
      </c>
      <c r="D11" t="str">
        <f>IFERROR(INDEX(Tabla_MPyPT[NombreGrupo],MATCH(A11,Tabla_MPyPT[CodigoVentaproducto],0),1),"")</f>
        <v>MATERIA PRIMA</v>
      </c>
    </row>
    <row r="12" spans="1:7" x14ac:dyDescent="0.25">
      <c r="A12" t="s">
        <v>235</v>
      </c>
      <c r="B12" t="s">
        <v>829</v>
      </c>
      <c r="C12" s="3">
        <v>0</v>
      </c>
      <c r="D12" t="str">
        <f>IFERROR(INDEX(Tabla_MPyPT[NombreGrupo],MATCH(A12,Tabla_MPyPT[CodigoVentaproducto],0),1),"")</f>
        <v>MATERIA PRIMA</v>
      </c>
    </row>
    <row r="13" spans="1:7" x14ac:dyDescent="0.25">
      <c r="A13" t="s">
        <v>232</v>
      </c>
      <c r="B13" t="s">
        <v>826</v>
      </c>
      <c r="C13" s="3">
        <v>0</v>
      </c>
      <c r="D13" t="str">
        <f>IFERROR(INDEX(Tabla_MPyPT[NombreGrupo],MATCH(A13,Tabla_MPyPT[CodigoVentaproducto],0),1),"")</f>
        <v>MATERIA PRIMA</v>
      </c>
    </row>
    <row r="14" spans="1:7" x14ac:dyDescent="0.25">
      <c r="A14" t="s">
        <v>237</v>
      </c>
      <c r="B14" t="s">
        <v>831</v>
      </c>
      <c r="C14" s="3">
        <v>0</v>
      </c>
      <c r="D14" t="str">
        <f>IFERROR(INDEX(Tabla_MPyPT[NombreGrupo],MATCH(A14,Tabla_MPyPT[CodigoVentaproducto],0),1),"")</f>
        <v>MATERIA PRIMA</v>
      </c>
    </row>
    <row r="15" spans="1:7" x14ac:dyDescent="0.25">
      <c r="A15" t="s">
        <v>239</v>
      </c>
      <c r="B15" t="s">
        <v>833</v>
      </c>
      <c r="C15" s="3">
        <v>0</v>
      </c>
      <c r="D15" t="str">
        <f>IFERROR(INDEX(Tabla_MPyPT[NombreGrupo],MATCH(A15,Tabla_MPyPT[CodigoVentaproducto],0),1),"")</f>
        <v>MATERIA PRIMA</v>
      </c>
    </row>
    <row r="16" spans="1:7" x14ac:dyDescent="0.25">
      <c r="A16" t="s">
        <v>164</v>
      </c>
      <c r="B16" t="s">
        <v>165</v>
      </c>
      <c r="C16" s="3">
        <v>0</v>
      </c>
      <c r="D16" t="str">
        <f>IFERROR(INDEX(Tabla_MPyPT[NombreGrupo],MATCH(A16,Tabla_MPyPT[CodigoVentaproducto],0),1),"")</f>
        <v xml:space="preserve">MATERIA PRIMA </v>
      </c>
    </row>
    <row r="17" spans="1:4" x14ac:dyDescent="0.25">
      <c r="A17" t="s">
        <v>54</v>
      </c>
      <c r="B17" t="s">
        <v>55</v>
      </c>
      <c r="C17" s="3">
        <v>0</v>
      </c>
      <c r="D17" t="str">
        <f>IFERROR(INDEX(Tabla_MPyPT[NombreGrupo],MATCH(A17,Tabla_MPyPT[CodigoVentaproducto],0),1),"")</f>
        <v xml:space="preserve">MATERIA PRIMA </v>
      </c>
    </row>
    <row r="18" spans="1:4" x14ac:dyDescent="0.25">
      <c r="A18" t="s">
        <v>182</v>
      </c>
      <c r="B18" t="s">
        <v>821</v>
      </c>
      <c r="C18" s="3">
        <v>0</v>
      </c>
      <c r="D18" t="str">
        <f>IFERROR(INDEX(Tabla_MPyPT[NombreGrupo],MATCH(A18,Tabla_MPyPT[CodigoVentaproducto],0),1),"")</f>
        <v xml:space="preserve">MATERIA PRIMA </v>
      </c>
    </row>
    <row r="19" spans="1:4" x14ac:dyDescent="0.25">
      <c r="A19" t="s">
        <v>159</v>
      </c>
      <c r="B19" t="s">
        <v>820</v>
      </c>
      <c r="C19" s="3">
        <v>0</v>
      </c>
      <c r="D19" t="str">
        <f>IFERROR(INDEX(Tabla_MPyPT[NombreGrupo],MATCH(A19,Tabla_MPyPT[CodigoVentaproducto],0),1),"")</f>
        <v xml:space="preserve">MATERIA PRIMA </v>
      </c>
    </row>
    <row r="20" spans="1:4" x14ac:dyDescent="0.25">
      <c r="A20" t="s">
        <v>147</v>
      </c>
      <c r="B20" t="s">
        <v>819</v>
      </c>
      <c r="C20" s="3">
        <v>0</v>
      </c>
      <c r="D20" t="str">
        <f>IFERROR(INDEX(Tabla_MPyPT[NombreGrupo],MATCH(A20,Tabla_MPyPT[CodigoVentaproducto],0),1),"")</f>
        <v xml:space="preserve">MATERIA PRIMA </v>
      </c>
    </row>
    <row r="21" spans="1:4" x14ac:dyDescent="0.25">
      <c r="A21" t="s">
        <v>397</v>
      </c>
      <c r="B21" t="s">
        <v>398</v>
      </c>
      <c r="C21" s="3">
        <v>0</v>
      </c>
      <c r="D21" t="str">
        <f>IFERROR(INDEX(Tabla_MPyPT[NombreGrupo],MATCH(A21,Tabla_MPyPT[CodigoVentaproducto],0),1),"")</f>
        <v>MATERIA PRIMA</v>
      </c>
    </row>
  </sheetData>
  <pageMargins left="0.7" right="0.7" top="0.75" bottom="0.75" header="0.3" footer="0.3"/>
  <pageSetup orientation="portrait" r:id="rId2"/>
  <drawing r:id="rId3"/>
  <legacyDrawing r:id="rId4"/>
  <controls>
    <mc:AlternateContent xmlns:mc="http://schemas.openxmlformats.org/markup-compatibility/2006">
      <mc:Choice Requires="x14">
        <control shapeId="2049" r:id="rId5" name="cmdVolver">
          <controlPr defaultSize="0" print="0" autoLine="0" r:id="rId6">
            <anchor>
              <from>
                <xdr:col>1</xdr:col>
                <xdr:colOff>2714625</xdr:colOff>
                <xdr:row>0</xdr:row>
                <xdr:rowOff>104775</xdr:rowOff>
              </from>
              <to>
                <xdr:col>2</xdr:col>
                <xdr:colOff>600075</xdr:colOff>
                <xdr:row>1</xdr:row>
                <xdr:rowOff>123825</xdr:rowOff>
              </to>
            </anchor>
          </controlPr>
        </control>
      </mc:Choice>
      <mc:Fallback>
        <control shapeId="2049" r:id="rId5" name="cmdVolver"/>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B745"/>
  <sheetViews>
    <sheetView workbookViewId="0">
      <selection activeCell="B20" sqref="B20"/>
    </sheetView>
  </sheetViews>
  <sheetFormatPr baseColWidth="10" defaultRowHeight="15" x14ac:dyDescent="0.25"/>
  <cols>
    <col min="1" max="1" width="24.85546875" bestFit="1" customWidth="1"/>
    <col min="2" max="2" width="16" bestFit="1" customWidth="1"/>
  </cols>
  <sheetData>
    <row r="1" spans="1:2" x14ac:dyDescent="0.25">
      <c r="A1" t="s">
        <v>609</v>
      </c>
      <c r="B1" t="s">
        <v>610</v>
      </c>
    </row>
    <row r="2" spans="1:2" x14ac:dyDescent="0.25">
      <c r="A2" t="s">
        <v>611</v>
      </c>
      <c r="B2" t="s">
        <v>612</v>
      </c>
    </row>
    <row r="3" spans="1:2" x14ac:dyDescent="0.25">
      <c r="A3" t="s">
        <v>613</v>
      </c>
      <c r="B3" t="s">
        <v>612</v>
      </c>
    </row>
    <row r="4" spans="1:2" x14ac:dyDescent="0.25">
      <c r="A4" t="s">
        <v>614</v>
      </c>
      <c r="B4" t="s">
        <v>612</v>
      </c>
    </row>
    <row r="5" spans="1:2" x14ac:dyDescent="0.25">
      <c r="A5" t="s">
        <v>615</v>
      </c>
      <c r="B5" t="s">
        <v>616</v>
      </c>
    </row>
    <row r="6" spans="1:2" x14ac:dyDescent="0.25">
      <c r="A6" t="s">
        <v>163</v>
      </c>
      <c r="B6" t="s">
        <v>616</v>
      </c>
    </row>
    <row r="7" spans="1:2" x14ac:dyDescent="0.25">
      <c r="A7" t="s">
        <v>617</v>
      </c>
      <c r="B7" t="s">
        <v>616</v>
      </c>
    </row>
    <row r="8" spans="1:2" x14ac:dyDescent="0.25">
      <c r="A8" t="s">
        <v>52</v>
      </c>
      <c r="B8" t="s">
        <v>618</v>
      </c>
    </row>
    <row r="9" spans="1:2" x14ac:dyDescent="0.25">
      <c r="A9" t="s">
        <v>619</v>
      </c>
      <c r="B9" t="s">
        <v>616</v>
      </c>
    </row>
    <row r="10" spans="1:2" x14ac:dyDescent="0.25">
      <c r="A10" t="s">
        <v>60</v>
      </c>
      <c r="B10" t="s">
        <v>616</v>
      </c>
    </row>
    <row r="11" spans="1:2" x14ac:dyDescent="0.25">
      <c r="A11" t="s">
        <v>61</v>
      </c>
      <c r="B11" t="s">
        <v>616</v>
      </c>
    </row>
    <row r="12" spans="1:2" x14ac:dyDescent="0.25">
      <c r="A12" t="s">
        <v>136</v>
      </c>
      <c r="B12" t="s">
        <v>618</v>
      </c>
    </row>
    <row r="13" spans="1:2" x14ac:dyDescent="0.25">
      <c r="A13" t="s">
        <v>140</v>
      </c>
      <c r="B13" t="s">
        <v>618</v>
      </c>
    </row>
    <row r="14" spans="1:2" x14ac:dyDescent="0.25">
      <c r="A14" t="s">
        <v>142</v>
      </c>
      <c r="B14" t="s">
        <v>612</v>
      </c>
    </row>
    <row r="15" spans="1:2" x14ac:dyDescent="0.25">
      <c r="A15" t="s">
        <v>145</v>
      </c>
      <c r="B15" t="s">
        <v>618</v>
      </c>
    </row>
    <row r="16" spans="1:2" x14ac:dyDescent="0.25">
      <c r="A16" t="s">
        <v>148</v>
      </c>
      <c r="B16" t="s">
        <v>620</v>
      </c>
    </row>
    <row r="17" spans="1:2" x14ac:dyDescent="0.25">
      <c r="A17" t="s">
        <v>139</v>
      </c>
      <c r="B17" t="s">
        <v>618</v>
      </c>
    </row>
    <row r="18" spans="1:2" x14ac:dyDescent="0.25">
      <c r="A18" t="s">
        <v>621</v>
      </c>
      <c r="B18" t="s">
        <v>620</v>
      </c>
    </row>
    <row r="19" spans="1:2" x14ac:dyDescent="0.25">
      <c r="A19" t="s">
        <v>152</v>
      </c>
      <c r="B19" t="s">
        <v>620</v>
      </c>
    </row>
    <row r="20" spans="1:2" x14ac:dyDescent="0.25">
      <c r="A20" t="s">
        <v>156</v>
      </c>
      <c r="B20" t="s">
        <v>620</v>
      </c>
    </row>
    <row r="21" spans="1:2" x14ac:dyDescent="0.25">
      <c r="A21" t="s">
        <v>622</v>
      </c>
      <c r="B21" t="s">
        <v>612</v>
      </c>
    </row>
    <row r="22" spans="1:2" x14ac:dyDescent="0.25">
      <c r="A22" t="s">
        <v>623</v>
      </c>
      <c r="B22" t="s">
        <v>620</v>
      </c>
    </row>
    <row r="23" spans="1:2" x14ac:dyDescent="0.25">
      <c r="A23" t="s">
        <v>624</v>
      </c>
      <c r="B23" t="s">
        <v>612</v>
      </c>
    </row>
    <row r="24" spans="1:2" x14ac:dyDescent="0.25">
      <c r="A24" t="s">
        <v>91</v>
      </c>
      <c r="B24" t="s">
        <v>620</v>
      </c>
    </row>
    <row r="25" spans="1:2" x14ac:dyDescent="0.25">
      <c r="A25" t="s">
        <v>160</v>
      </c>
      <c r="B25" t="s">
        <v>620</v>
      </c>
    </row>
    <row r="26" spans="1:2" x14ac:dyDescent="0.25">
      <c r="A26" t="s">
        <v>161</v>
      </c>
      <c r="B26" t="s">
        <v>620</v>
      </c>
    </row>
    <row r="27" spans="1:2" x14ac:dyDescent="0.25">
      <c r="A27" t="s">
        <v>625</v>
      </c>
      <c r="B27" t="s">
        <v>612</v>
      </c>
    </row>
    <row r="28" spans="1:2" x14ac:dyDescent="0.25">
      <c r="A28" t="s">
        <v>162</v>
      </c>
      <c r="B28" t="s">
        <v>620</v>
      </c>
    </row>
    <row r="29" spans="1:2" x14ac:dyDescent="0.25">
      <c r="A29" t="s">
        <v>626</v>
      </c>
      <c r="B29" t="s">
        <v>612</v>
      </c>
    </row>
    <row r="30" spans="1:2" x14ac:dyDescent="0.25">
      <c r="A30" t="s">
        <v>169</v>
      </c>
      <c r="B30" t="s">
        <v>616</v>
      </c>
    </row>
    <row r="31" spans="1:2" x14ac:dyDescent="0.25">
      <c r="A31" t="s">
        <v>453</v>
      </c>
      <c r="B31" t="s">
        <v>616</v>
      </c>
    </row>
    <row r="32" spans="1:2" x14ac:dyDescent="0.25">
      <c r="A32" t="s">
        <v>93</v>
      </c>
      <c r="B32" t="s">
        <v>620</v>
      </c>
    </row>
    <row r="33" spans="1:2" x14ac:dyDescent="0.25">
      <c r="A33" t="s">
        <v>102</v>
      </c>
      <c r="B33" t="s">
        <v>620</v>
      </c>
    </row>
    <row r="34" spans="1:2" x14ac:dyDescent="0.25">
      <c r="A34" t="s">
        <v>627</v>
      </c>
      <c r="B34" t="s">
        <v>618</v>
      </c>
    </row>
    <row r="35" spans="1:2" x14ac:dyDescent="0.25">
      <c r="A35" t="s">
        <v>184</v>
      </c>
      <c r="B35" t="s">
        <v>620</v>
      </c>
    </row>
    <row r="36" spans="1:2" x14ac:dyDescent="0.25">
      <c r="A36" t="s">
        <v>188</v>
      </c>
      <c r="B36" t="s">
        <v>620</v>
      </c>
    </row>
    <row r="37" spans="1:2" x14ac:dyDescent="0.25">
      <c r="A37" t="s">
        <v>192</v>
      </c>
      <c r="B37" t="s">
        <v>618</v>
      </c>
    </row>
    <row r="38" spans="1:2" x14ac:dyDescent="0.25">
      <c r="A38" t="s">
        <v>196</v>
      </c>
      <c r="B38" t="s">
        <v>620</v>
      </c>
    </row>
    <row r="39" spans="1:2" x14ac:dyDescent="0.25">
      <c r="A39" t="s">
        <v>126</v>
      </c>
      <c r="B39" t="s">
        <v>620</v>
      </c>
    </row>
    <row r="40" spans="1:2" x14ac:dyDescent="0.25">
      <c r="A40" t="s">
        <v>200</v>
      </c>
      <c r="B40" t="s">
        <v>620</v>
      </c>
    </row>
    <row r="41" spans="1:2" x14ac:dyDescent="0.25">
      <c r="A41" t="s">
        <v>201</v>
      </c>
      <c r="B41" t="s">
        <v>620</v>
      </c>
    </row>
    <row r="42" spans="1:2" x14ac:dyDescent="0.25">
      <c r="A42" t="s">
        <v>204</v>
      </c>
      <c r="B42" t="s">
        <v>620</v>
      </c>
    </row>
    <row r="43" spans="1:2" x14ac:dyDescent="0.25">
      <c r="A43" t="s">
        <v>129</v>
      </c>
      <c r="B43" t="s">
        <v>620</v>
      </c>
    </row>
    <row r="44" spans="1:2" x14ac:dyDescent="0.25">
      <c r="A44" t="s">
        <v>209</v>
      </c>
      <c r="B44" t="s">
        <v>618</v>
      </c>
    </row>
    <row r="45" spans="1:2" x14ac:dyDescent="0.25">
      <c r="A45" t="s">
        <v>210</v>
      </c>
      <c r="B45" t="s">
        <v>620</v>
      </c>
    </row>
    <row r="46" spans="1:2" x14ac:dyDescent="0.25">
      <c r="A46" t="s">
        <v>213</v>
      </c>
      <c r="B46" t="s">
        <v>618</v>
      </c>
    </row>
    <row r="47" spans="1:2" x14ac:dyDescent="0.25">
      <c r="A47" t="s">
        <v>215</v>
      </c>
      <c r="B47" t="s">
        <v>620</v>
      </c>
    </row>
    <row r="48" spans="1:2" x14ac:dyDescent="0.25">
      <c r="A48" t="s">
        <v>218</v>
      </c>
      <c r="B48" t="s">
        <v>620</v>
      </c>
    </row>
    <row r="49" spans="1:2" x14ac:dyDescent="0.25">
      <c r="A49" t="s">
        <v>96</v>
      </c>
      <c r="B49" t="s">
        <v>620</v>
      </c>
    </row>
    <row r="50" spans="1:2" x14ac:dyDescent="0.25">
      <c r="A50" t="s">
        <v>173</v>
      </c>
      <c r="B50" t="s">
        <v>618</v>
      </c>
    </row>
    <row r="51" spans="1:2" x14ac:dyDescent="0.25">
      <c r="A51" t="s">
        <v>133</v>
      </c>
      <c r="B51" t="s">
        <v>620</v>
      </c>
    </row>
    <row r="52" spans="1:2" x14ac:dyDescent="0.25">
      <c r="A52" t="s">
        <v>227</v>
      </c>
      <c r="B52" t="s">
        <v>618</v>
      </c>
    </row>
    <row r="53" spans="1:2" x14ac:dyDescent="0.25">
      <c r="A53" t="s">
        <v>229</v>
      </c>
      <c r="B53" t="s">
        <v>618</v>
      </c>
    </row>
    <row r="54" spans="1:2" x14ac:dyDescent="0.25">
      <c r="A54" t="s">
        <v>240</v>
      </c>
      <c r="B54" t="s">
        <v>618</v>
      </c>
    </row>
    <row r="55" spans="1:2" x14ac:dyDescent="0.25">
      <c r="A55" t="s">
        <v>242</v>
      </c>
      <c r="B55" t="s">
        <v>618</v>
      </c>
    </row>
    <row r="56" spans="1:2" x14ac:dyDescent="0.25">
      <c r="A56" t="s">
        <v>244</v>
      </c>
      <c r="B56" t="s">
        <v>620</v>
      </c>
    </row>
    <row r="57" spans="1:2" x14ac:dyDescent="0.25">
      <c r="A57" t="s">
        <v>247</v>
      </c>
      <c r="B57" t="s">
        <v>620</v>
      </c>
    </row>
    <row r="58" spans="1:2" x14ac:dyDescent="0.25">
      <c r="A58" t="s">
        <v>251</v>
      </c>
      <c r="B58" t="s">
        <v>620</v>
      </c>
    </row>
    <row r="59" spans="1:2" x14ac:dyDescent="0.25">
      <c r="A59" t="s">
        <v>254</v>
      </c>
      <c r="B59" t="s">
        <v>618</v>
      </c>
    </row>
    <row r="60" spans="1:2" x14ac:dyDescent="0.25">
      <c r="A60" t="s">
        <v>257</v>
      </c>
      <c r="B60" t="s">
        <v>618</v>
      </c>
    </row>
    <row r="61" spans="1:2" x14ac:dyDescent="0.25">
      <c r="A61" t="s">
        <v>106</v>
      </c>
      <c r="B61" t="s">
        <v>618</v>
      </c>
    </row>
    <row r="62" spans="1:2" x14ac:dyDescent="0.25">
      <c r="A62" t="s">
        <v>261</v>
      </c>
      <c r="B62" t="s">
        <v>618</v>
      </c>
    </row>
    <row r="63" spans="1:2" x14ac:dyDescent="0.25">
      <c r="A63" t="s">
        <v>265</v>
      </c>
      <c r="B63" t="s">
        <v>618</v>
      </c>
    </row>
    <row r="64" spans="1:2" x14ac:dyDescent="0.25">
      <c r="A64" t="s">
        <v>78</v>
      </c>
      <c r="B64" t="s">
        <v>618</v>
      </c>
    </row>
    <row r="65" spans="1:2" x14ac:dyDescent="0.25">
      <c r="A65" t="s">
        <v>270</v>
      </c>
      <c r="B65" t="s">
        <v>618</v>
      </c>
    </row>
    <row r="66" spans="1:2" x14ac:dyDescent="0.25">
      <c r="A66" t="s">
        <v>273</v>
      </c>
      <c r="B66" t="s">
        <v>618</v>
      </c>
    </row>
    <row r="67" spans="1:2" x14ac:dyDescent="0.25">
      <c r="A67" t="s">
        <v>275</v>
      </c>
      <c r="B67" t="s">
        <v>618</v>
      </c>
    </row>
    <row r="68" spans="1:2" x14ac:dyDescent="0.25">
      <c r="A68" t="s">
        <v>628</v>
      </c>
      <c r="B68" t="s">
        <v>620</v>
      </c>
    </row>
    <row r="69" spans="1:2" x14ac:dyDescent="0.25">
      <c r="A69" t="s">
        <v>280</v>
      </c>
      <c r="B69" t="s">
        <v>620</v>
      </c>
    </row>
    <row r="70" spans="1:2" x14ac:dyDescent="0.25">
      <c r="A70" t="s">
        <v>281</v>
      </c>
      <c r="B70" t="s">
        <v>620</v>
      </c>
    </row>
    <row r="71" spans="1:2" x14ac:dyDescent="0.25">
      <c r="A71" t="s">
        <v>283</v>
      </c>
      <c r="B71" t="s">
        <v>618</v>
      </c>
    </row>
    <row r="72" spans="1:2" x14ac:dyDescent="0.25">
      <c r="A72" t="s">
        <v>284</v>
      </c>
      <c r="B72" t="s">
        <v>620</v>
      </c>
    </row>
    <row r="73" spans="1:2" x14ac:dyDescent="0.25">
      <c r="A73" t="s">
        <v>110</v>
      </c>
      <c r="B73" t="s">
        <v>620</v>
      </c>
    </row>
    <row r="74" spans="1:2" x14ac:dyDescent="0.25">
      <c r="A74" t="s">
        <v>289</v>
      </c>
      <c r="B74" t="s">
        <v>618</v>
      </c>
    </row>
    <row r="75" spans="1:2" x14ac:dyDescent="0.25">
      <c r="A75" t="s">
        <v>296</v>
      </c>
      <c r="B75" t="s">
        <v>620</v>
      </c>
    </row>
    <row r="76" spans="1:2" x14ac:dyDescent="0.25">
      <c r="A76" t="s">
        <v>299</v>
      </c>
      <c r="B76" t="s">
        <v>618</v>
      </c>
    </row>
    <row r="77" spans="1:2" x14ac:dyDescent="0.25">
      <c r="A77" t="s">
        <v>301</v>
      </c>
      <c r="B77" t="s">
        <v>620</v>
      </c>
    </row>
    <row r="78" spans="1:2" x14ac:dyDescent="0.25">
      <c r="A78" t="s">
        <v>303</v>
      </c>
      <c r="B78" t="s">
        <v>620</v>
      </c>
    </row>
    <row r="79" spans="1:2" x14ac:dyDescent="0.25">
      <c r="A79" t="s">
        <v>305</v>
      </c>
      <c r="B79" t="s">
        <v>618</v>
      </c>
    </row>
    <row r="80" spans="1:2" x14ac:dyDescent="0.25">
      <c r="A80" t="s">
        <v>307</v>
      </c>
      <c r="B80" t="s">
        <v>618</v>
      </c>
    </row>
    <row r="81" spans="1:2" x14ac:dyDescent="0.25">
      <c r="A81" t="s">
        <v>318</v>
      </c>
      <c r="B81" t="s">
        <v>618</v>
      </c>
    </row>
    <row r="82" spans="1:2" x14ac:dyDescent="0.25">
      <c r="A82" t="s">
        <v>90</v>
      </c>
      <c r="B82" t="s">
        <v>620</v>
      </c>
    </row>
    <row r="83" spans="1:2" x14ac:dyDescent="0.25">
      <c r="A83" t="s">
        <v>629</v>
      </c>
      <c r="B83" t="s">
        <v>620</v>
      </c>
    </row>
    <row r="84" spans="1:2" x14ac:dyDescent="0.25">
      <c r="A84" t="s">
        <v>327</v>
      </c>
      <c r="B84" t="s">
        <v>618</v>
      </c>
    </row>
    <row r="85" spans="1:2" x14ac:dyDescent="0.25">
      <c r="A85" t="s">
        <v>73</v>
      </c>
      <c r="B85" t="s">
        <v>620</v>
      </c>
    </row>
    <row r="86" spans="1:2" x14ac:dyDescent="0.25">
      <c r="A86" t="s">
        <v>336</v>
      </c>
      <c r="B86" t="s">
        <v>618</v>
      </c>
    </row>
    <row r="87" spans="1:2" x14ac:dyDescent="0.25">
      <c r="A87" t="s">
        <v>66</v>
      </c>
      <c r="B87" t="s">
        <v>620</v>
      </c>
    </row>
    <row r="88" spans="1:2" x14ac:dyDescent="0.25">
      <c r="A88" t="s">
        <v>343</v>
      </c>
      <c r="B88" t="s">
        <v>618</v>
      </c>
    </row>
    <row r="89" spans="1:2" x14ac:dyDescent="0.25">
      <c r="A89" t="s">
        <v>95</v>
      </c>
      <c r="B89" t="s">
        <v>620</v>
      </c>
    </row>
    <row r="90" spans="1:2" x14ac:dyDescent="0.25">
      <c r="A90" t="s">
        <v>348</v>
      </c>
      <c r="B90" t="s">
        <v>620</v>
      </c>
    </row>
    <row r="91" spans="1:2" x14ac:dyDescent="0.25">
      <c r="A91" t="s">
        <v>351</v>
      </c>
      <c r="B91" t="s">
        <v>620</v>
      </c>
    </row>
    <row r="92" spans="1:2" x14ac:dyDescent="0.25">
      <c r="A92" t="s">
        <v>355</v>
      </c>
      <c r="B92" t="s">
        <v>620</v>
      </c>
    </row>
    <row r="93" spans="1:2" x14ac:dyDescent="0.25">
      <c r="A93" t="s">
        <v>357</v>
      </c>
      <c r="B93" t="s">
        <v>620</v>
      </c>
    </row>
    <row r="94" spans="1:2" x14ac:dyDescent="0.25">
      <c r="A94" t="s">
        <v>361</v>
      </c>
      <c r="B94" t="s">
        <v>620</v>
      </c>
    </row>
    <row r="95" spans="1:2" x14ac:dyDescent="0.25">
      <c r="A95" t="s">
        <v>380</v>
      </c>
      <c r="B95" t="s">
        <v>618</v>
      </c>
    </row>
    <row r="96" spans="1:2" x14ac:dyDescent="0.25">
      <c r="A96" t="s">
        <v>101</v>
      </c>
      <c r="B96" t="s">
        <v>620</v>
      </c>
    </row>
    <row r="97" spans="1:2" x14ac:dyDescent="0.25">
      <c r="A97" t="s">
        <v>388</v>
      </c>
      <c r="B97" t="s">
        <v>620</v>
      </c>
    </row>
    <row r="98" spans="1:2" x14ac:dyDescent="0.25">
      <c r="A98" t="s">
        <v>395</v>
      </c>
      <c r="B98" t="s">
        <v>620</v>
      </c>
    </row>
    <row r="99" spans="1:2" x14ac:dyDescent="0.25">
      <c r="A99" t="s">
        <v>108</v>
      </c>
      <c r="B99" t="s">
        <v>620</v>
      </c>
    </row>
    <row r="100" spans="1:2" x14ac:dyDescent="0.25">
      <c r="A100" t="s">
        <v>403</v>
      </c>
      <c r="B100" t="s">
        <v>620</v>
      </c>
    </row>
    <row r="101" spans="1:2" x14ac:dyDescent="0.25">
      <c r="A101" t="s">
        <v>89</v>
      </c>
      <c r="B101" t="s">
        <v>618</v>
      </c>
    </row>
    <row r="102" spans="1:2" x14ac:dyDescent="0.25">
      <c r="A102" t="s">
        <v>406</v>
      </c>
      <c r="B102" t="s">
        <v>620</v>
      </c>
    </row>
    <row r="103" spans="1:2" x14ac:dyDescent="0.25">
      <c r="A103" t="s">
        <v>408</v>
      </c>
      <c r="B103" t="s">
        <v>620</v>
      </c>
    </row>
    <row r="104" spans="1:2" x14ac:dyDescent="0.25">
      <c r="A104" t="s">
        <v>412</v>
      </c>
      <c r="B104" t="s">
        <v>618</v>
      </c>
    </row>
    <row r="105" spans="1:2" x14ac:dyDescent="0.25">
      <c r="A105" t="s">
        <v>123</v>
      </c>
      <c r="B105" t="s">
        <v>618</v>
      </c>
    </row>
    <row r="106" spans="1:2" x14ac:dyDescent="0.25">
      <c r="A106" t="s">
        <v>415</v>
      </c>
      <c r="B106" t="s">
        <v>618</v>
      </c>
    </row>
    <row r="107" spans="1:2" x14ac:dyDescent="0.25">
      <c r="A107" t="s">
        <v>417</v>
      </c>
      <c r="B107" t="s">
        <v>620</v>
      </c>
    </row>
    <row r="108" spans="1:2" x14ac:dyDescent="0.25">
      <c r="A108" t="s">
        <v>429</v>
      </c>
      <c r="B108" t="s">
        <v>620</v>
      </c>
    </row>
    <row r="109" spans="1:2" x14ac:dyDescent="0.25">
      <c r="A109" t="s">
        <v>431</v>
      </c>
      <c r="B109" t="s">
        <v>620</v>
      </c>
    </row>
    <row r="110" spans="1:2" x14ac:dyDescent="0.25">
      <c r="A110" t="s">
        <v>432</v>
      </c>
      <c r="B110" t="s">
        <v>620</v>
      </c>
    </row>
    <row r="111" spans="1:2" x14ac:dyDescent="0.25">
      <c r="A111" t="s">
        <v>434</v>
      </c>
      <c r="B111" t="s">
        <v>620</v>
      </c>
    </row>
    <row r="112" spans="1:2" x14ac:dyDescent="0.25">
      <c r="A112" t="s">
        <v>455</v>
      </c>
      <c r="B112" t="s">
        <v>620</v>
      </c>
    </row>
    <row r="113" spans="1:2" x14ac:dyDescent="0.25">
      <c r="A113" t="s">
        <v>456</v>
      </c>
      <c r="B113" t="s">
        <v>618</v>
      </c>
    </row>
    <row r="114" spans="1:2" x14ac:dyDescent="0.25">
      <c r="A114" t="s">
        <v>462</v>
      </c>
      <c r="B114" t="s">
        <v>618</v>
      </c>
    </row>
    <row r="115" spans="1:2" x14ac:dyDescent="0.25">
      <c r="A115" t="s">
        <v>467</v>
      </c>
      <c r="B115" t="s">
        <v>618</v>
      </c>
    </row>
    <row r="116" spans="1:2" x14ac:dyDescent="0.25">
      <c r="A116" t="s">
        <v>475</v>
      </c>
      <c r="B116" t="s">
        <v>618</v>
      </c>
    </row>
    <row r="117" spans="1:2" x14ac:dyDescent="0.25">
      <c r="A117" t="s">
        <v>477</v>
      </c>
      <c r="B117" t="s">
        <v>618</v>
      </c>
    </row>
    <row r="118" spans="1:2" x14ac:dyDescent="0.25">
      <c r="A118" t="s">
        <v>478</v>
      </c>
      <c r="B118" t="s">
        <v>620</v>
      </c>
    </row>
    <row r="119" spans="1:2" x14ac:dyDescent="0.25">
      <c r="A119" t="s">
        <v>481</v>
      </c>
      <c r="B119" t="s">
        <v>620</v>
      </c>
    </row>
    <row r="120" spans="1:2" x14ac:dyDescent="0.25">
      <c r="A120" t="s">
        <v>482</v>
      </c>
      <c r="B120" t="s">
        <v>618</v>
      </c>
    </row>
    <row r="121" spans="1:2" x14ac:dyDescent="0.25">
      <c r="A121" t="s">
        <v>485</v>
      </c>
      <c r="B121" t="s">
        <v>618</v>
      </c>
    </row>
    <row r="122" spans="1:2" x14ac:dyDescent="0.25">
      <c r="A122" t="s">
        <v>488</v>
      </c>
      <c r="B122" t="s">
        <v>618</v>
      </c>
    </row>
    <row r="123" spans="1:2" x14ac:dyDescent="0.25">
      <c r="A123" t="s">
        <v>491</v>
      </c>
      <c r="B123" t="s">
        <v>618</v>
      </c>
    </row>
    <row r="124" spans="1:2" x14ac:dyDescent="0.25">
      <c r="A124" t="s">
        <v>630</v>
      </c>
      <c r="B124" t="s">
        <v>616</v>
      </c>
    </row>
    <row r="125" spans="1:2" x14ac:dyDescent="0.25">
      <c r="A125" t="s">
        <v>180</v>
      </c>
      <c r="B125" t="s">
        <v>616</v>
      </c>
    </row>
    <row r="126" spans="1:2" x14ac:dyDescent="0.25">
      <c r="A126" t="s">
        <v>631</v>
      </c>
      <c r="B126" t="s">
        <v>612</v>
      </c>
    </row>
    <row r="127" spans="1:2" x14ac:dyDescent="0.25">
      <c r="A127" t="s">
        <v>632</v>
      </c>
      <c r="B127" t="s">
        <v>612</v>
      </c>
    </row>
    <row r="128" spans="1:2" x14ac:dyDescent="0.25">
      <c r="A128" t="s">
        <v>484</v>
      </c>
      <c r="B128" t="s">
        <v>616</v>
      </c>
    </row>
    <row r="129" spans="1:2" x14ac:dyDescent="0.25">
      <c r="A129" t="s">
        <v>399</v>
      </c>
      <c r="B129" t="s">
        <v>616</v>
      </c>
    </row>
    <row r="130" spans="1:2" x14ac:dyDescent="0.25">
      <c r="A130" t="s">
        <v>381</v>
      </c>
      <c r="B130" t="s">
        <v>616</v>
      </c>
    </row>
    <row r="131" spans="1:2" x14ac:dyDescent="0.25">
      <c r="A131" t="s">
        <v>633</v>
      </c>
      <c r="B131" t="s">
        <v>616</v>
      </c>
    </row>
    <row r="132" spans="1:2" x14ac:dyDescent="0.25">
      <c r="A132" t="s">
        <v>392</v>
      </c>
      <c r="B132" t="s">
        <v>616</v>
      </c>
    </row>
    <row r="133" spans="1:2" x14ac:dyDescent="0.25">
      <c r="A133" t="s">
        <v>194</v>
      </c>
      <c r="B133" t="s">
        <v>616</v>
      </c>
    </row>
    <row r="134" spans="1:2" x14ac:dyDescent="0.25">
      <c r="A134" t="s">
        <v>634</v>
      </c>
      <c r="B134" t="s">
        <v>616</v>
      </c>
    </row>
    <row r="135" spans="1:2" x14ac:dyDescent="0.25">
      <c r="A135" t="s">
        <v>635</v>
      </c>
      <c r="B135" t="s">
        <v>616</v>
      </c>
    </row>
    <row r="136" spans="1:2" x14ac:dyDescent="0.25">
      <c r="A136" t="s">
        <v>636</v>
      </c>
      <c r="B136" t="s">
        <v>616</v>
      </c>
    </row>
    <row r="137" spans="1:2" x14ac:dyDescent="0.25">
      <c r="A137" t="s">
        <v>637</v>
      </c>
      <c r="B137" t="s">
        <v>616</v>
      </c>
    </row>
    <row r="138" spans="1:2" x14ac:dyDescent="0.25">
      <c r="A138" t="s">
        <v>212</v>
      </c>
      <c r="B138" t="s">
        <v>616</v>
      </c>
    </row>
    <row r="139" spans="1:2" x14ac:dyDescent="0.25">
      <c r="A139" t="s">
        <v>187</v>
      </c>
      <c r="B139" t="s">
        <v>616</v>
      </c>
    </row>
    <row r="140" spans="1:2" x14ac:dyDescent="0.25">
      <c r="A140" t="s">
        <v>199</v>
      </c>
      <c r="B140" t="s">
        <v>616</v>
      </c>
    </row>
    <row r="141" spans="1:2" x14ac:dyDescent="0.25">
      <c r="A141" t="s">
        <v>224</v>
      </c>
      <c r="B141" t="s">
        <v>612</v>
      </c>
    </row>
    <row r="142" spans="1:2" x14ac:dyDescent="0.25">
      <c r="A142" t="s">
        <v>202</v>
      </c>
      <c r="B142" t="s">
        <v>616</v>
      </c>
    </row>
    <row r="143" spans="1:2" x14ac:dyDescent="0.25">
      <c r="A143" t="s">
        <v>206</v>
      </c>
      <c r="B143" t="s">
        <v>616</v>
      </c>
    </row>
    <row r="144" spans="1:2" x14ac:dyDescent="0.25">
      <c r="A144" t="s">
        <v>297</v>
      </c>
      <c r="B144" t="s">
        <v>616</v>
      </c>
    </row>
    <row r="145" spans="1:2" x14ac:dyDescent="0.25">
      <c r="A145" t="s">
        <v>411</v>
      </c>
      <c r="B145" t="s">
        <v>616</v>
      </c>
    </row>
    <row r="146" spans="1:2" x14ac:dyDescent="0.25">
      <c r="A146" t="s">
        <v>420</v>
      </c>
      <c r="B146" t="s">
        <v>616</v>
      </c>
    </row>
    <row r="147" spans="1:2" x14ac:dyDescent="0.25">
      <c r="A147" t="s">
        <v>372</v>
      </c>
      <c r="B147" t="s">
        <v>616</v>
      </c>
    </row>
    <row r="148" spans="1:2" x14ac:dyDescent="0.25">
      <c r="A148" t="s">
        <v>591</v>
      </c>
      <c r="B148" t="s">
        <v>616</v>
      </c>
    </row>
    <row r="149" spans="1:2" x14ac:dyDescent="0.25">
      <c r="A149" t="s">
        <v>638</v>
      </c>
      <c r="B149" t="s">
        <v>616</v>
      </c>
    </row>
    <row r="150" spans="1:2" x14ac:dyDescent="0.25">
      <c r="A150" t="s">
        <v>264</v>
      </c>
      <c r="B150" t="s">
        <v>616</v>
      </c>
    </row>
    <row r="151" spans="1:2" x14ac:dyDescent="0.25">
      <c r="A151" t="s">
        <v>639</v>
      </c>
      <c r="B151" t="s">
        <v>616</v>
      </c>
    </row>
    <row r="152" spans="1:2" x14ac:dyDescent="0.25">
      <c r="A152" t="s">
        <v>640</v>
      </c>
      <c r="B152" t="s">
        <v>616</v>
      </c>
    </row>
    <row r="153" spans="1:2" x14ac:dyDescent="0.25">
      <c r="A153" t="s">
        <v>58</v>
      </c>
      <c r="B153" t="s">
        <v>616</v>
      </c>
    </row>
    <row r="154" spans="1:2" x14ac:dyDescent="0.25">
      <c r="A154" t="s">
        <v>490</v>
      </c>
      <c r="B154" t="s">
        <v>616</v>
      </c>
    </row>
    <row r="155" spans="1:2" x14ac:dyDescent="0.25">
      <c r="A155" t="s">
        <v>272</v>
      </c>
      <c r="B155" t="s">
        <v>616</v>
      </c>
    </row>
    <row r="156" spans="1:2" x14ac:dyDescent="0.25">
      <c r="A156" t="s">
        <v>641</v>
      </c>
      <c r="B156" t="s">
        <v>616</v>
      </c>
    </row>
    <row r="157" spans="1:2" x14ac:dyDescent="0.25">
      <c r="A157" t="s">
        <v>492</v>
      </c>
      <c r="B157" t="s">
        <v>616</v>
      </c>
    </row>
    <row r="158" spans="1:2" x14ac:dyDescent="0.25">
      <c r="A158" t="s">
        <v>217</v>
      </c>
      <c r="B158" t="s">
        <v>616</v>
      </c>
    </row>
    <row r="159" spans="1:2" x14ac:dyDescent="0.25">
      <c r="A159" t="s">
        <v>290</v>
      </c>
      <c r="B159" t="s">
        <v>616</v>
      </c>
    </row>
    <row r="160" spans="1:2" x14ac:dyDescent="0.25">
      <c r="A160" t="s">
        <v>328</v>
      </c>
      <c r="B160" t="s">
        <v>616</v>
      </c>
    </row>
    <row r="161" spans="1:2" x14ac:dyDescent="0.25">
      <c r="A161" t="s">
        <v>245</v>
      </c>
      <c r="B161" t="s">
        <v>612</v>
      </c>
    </row>
    <row r="162" spans="1:2" x14ac:dyDescent="0.25">
      <c r="A162" t="s">
        <v>345</v>
      </c>
      <c r="B162" t="s">
        <v>612</v>
      </c>
    </row>
    <row r="163" spans="1:2" x14ac:dyDescent="0.25">
      <c r="A163" t="s">
        <v>553</v>
      </c>
      <c r="B163" t="s">
        <v>616</v>
      </c>
    </row>
    <row r="164" spans="1:2" x14ac:dyDescent="0.25">
      <c r="A164" t="s">
        <v>642</v>
      </c>
      <c r="B164" t="s">
        <v>616</v>
      </c>
    </row>
    <row r="165" spans="1:2" x14ac:dyDescent="0.25">
      <c r="A165" t="s">
        <v>643</v>
      </c>
      <c r="B165" t="s">
        <v>616</v>
      </c>
    </row>
    <row r="166" spans="1:2" x14ac:dyDescent="0.25">
      <c r="A166" t="s">
        <v>360</v>
      </c>
      <c r="B166" t="s">
        <v>616</v>
      </c>
    </row>
    <row r="167" spans="1:2" x14ac:dyDescent="0.25">
      <c r="A167" t="s">
        <v>522</v>
      </c>
      <c r="B167" t="s">
        <v>616</v>
      </c>
    </row>
    <row r="168" spans="1:2" x14ac:dyDescent="0.25">
      <c r="A168" t="s">
        <v>570</v>
      </c>
      <c r="B168" t="s">
        <v>616</v>
      </c>
    </row>
    <row r="169" spans="1:2" x14ac:dyDescent="0.25">
      <c r="A169" t="s">
        <v>376</v>
      </c>
      <c r="B169" t="s">
        <v>616</v>
      </c>
    </row>
    <row r="170" spans="1:2" x14ac:dyDescent="0.25">
      <c r="A170" t="s">
        <v>599</v>
      </c>
      <c r="B170" t="s">
        <v>616</v>
      </c>
    </row>
    <row r="171" spans="1:2" x14ac:dyDescent="0.25">
      <c r="A171" t="s">
        <v>480</v>
      </c>
      <c r="B171" t="s">
        <v>616</v>
      </c>
    </row>
    <row r="172" spans="1:2" x14ac:dyDescent="0.25">
      <c r="A172" t="s">
        <v>404</v>
      </c>
      <c r="B172" t="s">
        <v>612</v>
      </c>
    </row>
    <row r="173" spans="1:2" x14ac:dyDescent="0.25">
      <c r="A173" t="s">
        <v>390</v>
      </c>
      <c r="B173" t="s">
        <v>612</v>
      </c>
    </row>
    <row r="174" spans="1:2" x14ac:dyDescent="0.25">
      <c r="A174" t="s">
        <v>644</v>
      </c>
      <c r="B174" t="s">
        <v>612</v>
      </c>
    </row>
    <row r="175" spans="1:2" x14ac:dyDescent="0.25">
      <c r="A175" t="s">
        <v>645</v>
      </c>
      <c r="B175" t="s">
        <v>612</v>
      </c>
    </row>
    <row r="176" spans="1:2" x14ac:dyDescent="0.25">
      <c r="A176" t="s">
        <v>646</v>
      </c>
      <c r="B176" t="s">
        <v>612</v>
      </c>
    </row>
    <row r="177" spans="1:2" x14ac:dyDescent="0.25">
      <c r="A177" t="s">
        <v>647</v>
      </c>
      <c r="B177" t="s">
        <v>612</v>
      </c>
    </row>
    <row r="178" spans="1:2" x14ac:dyDescent="0.25">
      <c r="A178" t="s">
        <v>211</v>
      </c>
      <c r="B178" t="s">
        <v>612</v>
      </c>
    </row>
    <row r="179" spans="1:2" x14ac:dyDescent="0.25">
      <c r="A179" t="s">
        <v>287</v>
      </c>
      <c r="B179" t="s">
        <v>612</v>
      </c>
    </row>
    <row r="180" spans="1:2" x14ac:dyDescent="0.25">
      <c r="A180" t="s">
        <v>320</v>
      </c>
      <c r="B180" t="s">
        <v>612</v>
      </c>
    </row>
    <row r="181" spans="1:2" x14ac:dyDescent="0.25">
      <c r="A181" t="s">
        <v>197</v>
      </c>
      <c r="B181" t="s">
        <v>612</v>
      </c>
    </row>
    <row r="182" spans="1:2" x14ac:dyDescent="0.25">
      <c r="A182" t="s">
        <v>282</v>
      </c>
      <c r="B182" t="s">
        <v>612</v>
      </c>
    </row>
    <row r="183" spans="1:2" x14ac:dyDescent="0.25">
      <c r="A183" t="s">
        <v>648</v>
      </c>
      <c r="B183" t="s">
        <v>612</v>
      </c>
    </row>
    <row r="184" spans="1:2" x14ac:dyDescent="0.25">
      <c r="A184" t="s">
        <v>195</v>
      </c>
      <c r="B184" t="s">
        <v>612</v>
      </c>
    </row>
    <row r="185" spans="1:2" x14ac:dyDescent="0.25">
      <c r="A185" t="s">
        <v>286</v>
      </c>
      <c r="B185" t="s">
        <v>612</v>
      </c>
    </row>
    <row r="186" spans="1:2" x14ac:dyDescent="0.25">
      <c r="A186" t="s">
        <v>208</v>
      </c>
      <c r="B186" t="s">
        <v>612</v>
      </c>
    </row>
    <row r="187" spans="1:2" x14ac:dyDescent="0.25">
      <c r="A187" t="s">
        <v>186</v>
      </c>
      <c r="B187" t="s">
        <v>612</v>
      </c>
    </row>
    <row r="188" spans="1:2" x14ac:dyDescent="0.25">
      <c r="A188" t="s">
        <v>499</v>
      </c>
      <c r="B188" t="s">
        <v>612</v>
      </c>
    </row>
    <row r="189" spans="1:2" x14ac:dyDescent="0.25">
      <c r="A189" t="s">
        <v>288</v>
      </c>
      <c r="B189" t="s">
        <v>612</v>
      </c>
    </row>
    <row r="190" spans="1:2" x14ac:dyDescent="0.25">
      <c r="A190" t="s">
        <v>198</v>
      </c>
      <c r="B190" t="s">
        <v>612</v>
      </c>
    </row>
    <row r="191" spans="1:2" x14ac:dyDescent="0.25">
      <c r="A191" t="s">
        <v>500</v>
      </c>
      <c r="B191" t="s">
        <v>612</v>
      </c>
    </row>
    <row r="192" spans="1:2" x14ac:dyDescent="0.25">
      <c r="A192" t="s">
        <v>203</v>
      </c>
      <c r="B192" t="s">
        <v>612</v>
      </c>
    </row>
    <row r="193" spans="1:2" x14ac:dyDescent="0.25">
      <c r="A193" t="s">
        <v>649</v>
      </c>
      <c r="B193" t="s">
        <v>612</v>
      </c>
    </row>
    <row r="194" spans="1:2" x14ac:dyDescent="0.25">
      <c r="A194" t="s">
        <v>252</v>
      </c>
      <c r="B194" t="s">
        <v>612</v>
      </c>
    </row>
    <row r="195" spans="1:2" x14ac:dyDescent="0.25">
      <c r="A195" t="s">
        <v>205</v>
      </c>
      <c r="B195" t="s">
        <v>612</v>
      </c>
    </row>
    <row r="196" spans="1:2" x14ac:dyDescent="0.25">
      <c r="A196" t="s">
        <v>321</v>
      </c>
      <c r="B196" t="s">
        <v>612</v>
      </c>
    </row>
    <row r="197" spans="1:2" x14ac:dyDescent="0.25">
      <c r="A197" t="s">
        <v>298</v>
      </c>
      <c r="B197" t="s">
        <v>612</v>
      </c>
    </row>
    <row r="198" spans="1:2" x14ac:dyDescent="0.25">
      <c r="A198" t="s">
        <v>425</v>
      </c>
      <c r="B198" t="s">
        <v>612</v>
      </c>
    </row>
    <row r="199" spans="1:2" x14ac:dyDescent="0.25">
      <c r="A199" t="s">
        <v>410</v>
      </c>
      <c r="B199" t="s">
        <v>612</v>
      </c>
    </row>
    <row r="200" spans="1:2" x14ac:dyDescent="0.25">
      <c r="A200" t="s">
        <v>479</v>
      </c>
      <c r="B200" t="s">
        <v>612</v>
      </c>
    </row>
    <row r="201" spans="1:2" x14ac:dyDescent="0.25">
      <c r="A201" t="s">
        <v>501</v>
      </c>
      <c r="B201" t="s">
        <v>612</v>
      </c>
    </row>
    <row r="202" spans="1:2" x14ac:dyDescent="0.25">
      <c r="A202" t="s">
        <v>496</v>
      </c>
      <c r="B202" t="s">
        <v>612</v>
      </c>
    </row>
    <row r="203" spans="1:2" x14ac:dyDescent="0.25">
      <c r="A203" t="s">
        <v>596</v>
      </c>
      <c r="B203" t="s">
        <v>612</v>
      </c>
    </row>
    <row r="204" spans="1:2" x14ac:dyDescent="0.25">
      <c r="A204" t="s">
        <v>584</v>
      </c>
      <c r="B204" t="s">
        <v>612</v>
      </c>
    </row>
    <row r="205" spans="1:2" x14ac:dyDescent="0.25">
      <c r="A205" t="s">
        <v>557</v>
      </c>
      <c r="B205" t="s">
        <v>612</v>
      </c>
    </row>
    <row r="206" spans="1:2" x14ac:dyDescent="0.25">
      <c r="A206" t="s">
        <v>559</v>
      </c>
      <c r="B206" t="s">
        <v>612</v>
      </c>
    </row>
    <row r="207" spans="1:2" x14ac:dyDescent="0.25">
      <c r="A207" t="s">
        <v>581</v>
      </c>
      <c r="B207" t="s">
        <v>612</v>
      </c>
    </row>
    <row r="208" spans="1:2" x14ac:dyDescent="0.25">
      <c r="A208" t="s">
        <v>650</v>
      </c>
      <c r="B208" t="s">
        <v>612</v>
      </c>
    </row>
    <row r="209" spans="1:2" x14ac:dyDescent="0.25">
      <c r="A209" t="s">
        <v>651</v>
      </c>
      <c r="B209" t="s">
        <v>612</v>
      </c>
    </row>
    <row r="210" spans="1:2" x14ac:dyDescent="0.25">
      <c r="A210" t="s">
        <v>489</v>
      </c>
      <c r="B210" t="s">
        <v>612</v>
      </c>
    </row>
    <row r="211" spans="1:2" x14ac:dyDescent="0.25">
      <c r="A211" t="s">
        <v>483</v>
      </c>
      <c r="B211" t="s">
        <v>612</v>
      </c>
    </row>
    <row r="212" spans="1:2" x14ac:dyDescent="0.25">
      <c r="A212" t="s">
        <v>308</v>
      </c>
      <c r="B212" t="s">
        <v>612</v>
      </c>
    </row>
    <row r="213" spans="1:2" x14ac:dyDescent="0.25">
      <c r="A213" t="s">
        <v>255</v>
      </c>
      <c r="B213" t="s">
        <v>612</v>
      </c>
    </row>
    <row r="214" spans="1:2" x14ac:dyDescent="0.25">
      <c r="A214" t="s">
        <v>468</v>
      </c>
      <c r="B214" t="s">
        <v>612</v>
      </c>
    </row>
    <row r="215" spans="1:2" x14ac:dyDescent="0.25">
      <c r="A215" t="s">
        <v>416</v>
      </c>
      <c r="B215" t="s">
        <v>612</v>
      </c>
    </row>
    <row r="216" spans="1:2" x14ac:dyDescent="0.25">
      <c r="A216" t="s">
        <v>269</v>
      </c>
      <c r="B216" t="s">
        <v>612</v>
      </c>
    </row>
    <row r="217" spans="1:2" x14ac:dyDescent="0.25">
      <c r="A217" t="s">
        <v>267</v>
      </c>
      <c r="B217" t="s">
        <v>612</v>
      </c>
    </row>
    <row r="218" spans="1:2" x14ac:dyDescent="0.25">
      <c r="A218" t="s">
        <v>263</v>
      </c>
      <c r="B218" t="s">
        <v>612</v>
      </c>
    </row>
    <row r="219" spans="1:2" x14ac:dyDescent="0.25">
      <c r="A219" t="s">
        <v>309</v>
      </c>
      <c r="B219" t="s">
        <v>612</v>
      </c>
    </row>
    <row r="220" spans="1:2" x14ac:dyDescent="0.25">
      <c r="A220" t="s">
        <v>652</v>
      </c>
      <c r="B220" t="s">
        <v>612</v>
      </c>
    </row>
    <row r="221" spans="1:2" x14ac:dyDescent="0.25">
      <c r="A221" t="s">
        <v>653</v>
      </c>
      <c r="B221" t="s">
        <v>612</v>
      </c>
    </row>
    <row r="222" spans="1:2" x14ac:dyDescent="0.25">
      <c r="A222" t="s">
        <v>566</v>
      </c>
      <c r="B222" t="s">
        <v>612</v>
      </c>
    </row>
    <row r="223" spans="1:2" x14ac:dyDescent="0.25">
      <c r="A223" t="s">
        <v>564</v>
      </c>
      <c r="B223" t="s">
        <v>612</v>
      </c>
    </row>
    <row r="224" spans="1:2" x14ac:dyDescent="0.25">
      <c r="A224" t="s">
        <v>57</v>
      </c>
      <c r="B224" t="s">
        <v>612</v>
      </c>
    </row>
    <row r="225" spans="1:2" x14ac:dyDescent="0.25">
      <c r="A225" t="s">
        <v>214</v>
      </c>
      <c r="B225" t="s">
        <v>612</v>
      </c>
    </row>
    <row r="226" spans="1:2" x14ac:dyDescent="0.25">
      <c r="A226" t="s">
        <v>228</v>
      </c>
      <c r="B226" t="s">
        <v>612</v>
      </c>
    </row>
    <row r="227" spans="1:2" x14ac:dyDescent="0.25">
      <c r="A227" t="s">
        <v>476</v>
      </c>
      <c r="B227" t="s">
        <v>612</v>
      </c>
    </row>
    <row r="228" spans="1:2" x14ac:dyDescent="0.25">
      <c r="A228" t="s">
        <v>654</v>
      </c>
      <c r="B228" t="s">
        <v>612</v>
      </c>
    </row>
    <row r="229" spans="1:2" x14ac:dyDescent="0.25">
      <c r="A229" t="s">
        <v>271</v>
      </c>
      <c r="B229" t="s">
        <v>612</v>
      </c>
    </row>
    <row r="230" spans="1:2" x14ac:dyDescent="0.25">
      <c r="A230" t="s">
        <v>274</v>
      </c>
      <c r="B230" t="s">
        <v>612</v>
      </c>
    </row>
    <row r="231" spans="1:2" x14ac:dyDescent="0.25">
      <c r="A231" t="s">
        <v>337</v>
      </c>
      <c r="B231" t="s">
        <v>612</v>
      </c>
    </row>
    <row r="232" spans="1:2" x14ac:dyDescent="0.25">
      <c r="A232" t="s">
        <v>259</v>
      </c>
      <c r="B232" t="s">
        <v>612</v>
      </c>
    </row>
    <row r="233" spans="1:2" x14ac:dyDescent="0.25">
      <c r="A233" t="s">
        <v>502</v>
      </c>
      <c r="B233" t="s">
        <v>612</v>
      </c>
    </row>
    <row r="234" spans="1:2" x14ac:dyDescent="0.25">
      <c r="A234" t="s">
        <v>655</v>
      </c>
      <c r="B234" t="s">
        <v>612</v>
      </c>
    </row>
    <row r="235" spans="1:2" x14ac:dyDescent="0.25">
      <c r="A235" t="s">
        <v>191</v>
      </c>
      <c r="B235" t="s">
        <v>612</v>
      </c>
    </row>
    <row r="236" spans="1:2" x14ac:dyDescent="0.25">
      <c r="A236" t="s">
        <v>656</v>
      </c>
      <c r="B236" t="s">
        <v>612</v>
      </c>
    </row>
    <row r="237" spans="1:2" x14ac:dyDescent="0.25">
      <c r="A237" t="s">
        <v>253</v>
      </c>
      <c r="B237" t="s">
        <v>612</v>
      </c>
    </row>
    <row r="238" spans="1:2" x14ac:dyDescent="0.25">
      <c r="A238" t="s">
        <v>216</v>
      </c>
      <c r="B238" t="s">
        <v>612</v>
      </c>
    </row>
    <row r="239" spans="1:2" x14ac:dyDescent="0.25">
      <c r="A239" t="s">
        <v>226</v>
      </c>
      <c r="B239" t="s">
        <v>612</v>
      </c>
    </row>
    <row r="240" spans="1:2" x14ac:dyDescent="0.25">
      <c r="A240" t="s">
        <v>221</v>
      </c>
      <c r="B240" t="s">
        <v>612</v>
      </c>
    </row>
    <row r="241" spans="1:2" x14ac:dyDescent="0.25">
      <c r="A241" t="s">
        <v>657</v>
      </c>
      <c r="B241" t="s">
        <v>612</v>
      </c>
    </row>
    <row r="242" spans="1:2" x14ac:dyDescent="0.25">
      <c r="A242" t="s">
        <v>658</v>
      </c>
      <c r="B242" t="s">
        <v>612</v>
      </c>
    </row>
    <row r="243" spans="1:2" x14ac:dyDescent="0.25">
      <c r="A243" t="s">
        <v>292</v>
      </c>
      <c r="B243" t="s">
        <v>616</v>
      </c>
    </row>
    <row r="244" spans="1:2" x14ac:dyDescent="0.25">
      <c r="A244" t="s">
        <v>383</v>
      </c>
      <c r="B244" t="s">
        <v>612</v>
      </c>
    </row>
    <row r="245" spans="1:2" x14ac:dyDescent="0.25">
      <c r="A245" t="s">
        <v>346</v>
      </c>
      <c r="B245" t="s">
        <v>612</v>
      </c>
    </row>
    <row r="246" spans="1:2" x14ac:dyDescent="0.25">
      <c r="A246" t="s">
        <v>295</v>
      </c>
      <c r="B246" t="s">
        <v>612</v>
      </c>
    </row>
    <row r="247" spans="1:2" x14ac:dyDescent="0.25">
      <c r="A247" t="s">
        <v>306</v>
      </c>
      <c r="B247" t="s">
        <v>612</v>
      </c>
    </row>
    <row r="248" spans="1:2" x14ac:dyDescent="0.25">
      <c r="A248" t="s">
        <v>464</v>
      </c>
      <c r="B248" t="s">
        <v>612</v>
      </c>
    </row>
    <row r="249" spans="1:2" x14ac:dyDescent="0.25">
      <c r="A249" t="s">
        <v>659</v>
      </c>
      <c r="B249" t="s">
        <v>612</v>
      </c>
    </row>
    <row r="250" spans="1:2" x14ac:dyDescent="0.25">
      <c r="A250" t="s">
        <v>466</v>
      </c>
      <c r="B250" t="s">
        <v>612</v>
      </c>
    </row>
    <row r="251" spans="1:2" x14ac:dyDescent="0.25">
      <c r="A251" t="s">
        <v>379</v>
      </c>
      <c r="B251" t="s">
        <v>612</v>
      </c>
    </row>
    <row r="252" spans="1:2" x14ac:dyDescent="0.25">
      <c r="A252" t="s">
        <v>319</v>
      </c>
      <c r="B252" t="s">
        <v>612</v>
      </c>
    </row>
    <row r="253" spans="1:2" x14ac:dyDescent="0.25">
      <c r="A253" t="s">
        <v>504</v>
      </c>
      <c r="B253" t="s">
        <v>612</v>
      </c>
    </row>
    <row r="254" spans="1:2" x14ac:dyDescent="0.25">
      <c r="A254" t="s">
        <v>660</v>
      </c>
      <c r="B254" t="s">
        <v>612</v>
      </c>
    </row>
    <row r="255" spans="1:2" x14ac:dyDescent="0.25">
      <c r="A255" t="s">
        <v>277</v>
      </c>
      <c r="B255" t="s">
        <v>612</v>
      </c>
    </row>
    <row r="256" spans="1:2" x14ac:dyDescent="0.25">
      <c r="A256" t="s">
        <v>246</v>
      </c>
      <c r="B256" t="s">
        <v>612</v>
      </c>
    </row>
    <row r="257" spans="1:2" x14ac:dyDescent="0.25">
      <c r="A257" t="s">
        <v>189</v>
      </c>
      <c r="B257" t="s">
        <v>612</v>
      </c>
    </row>
    <row r="258" spans="1:2" x14ac:dyDescent="0.25">
      <c r="A258" t="s">
        <v>190</v>
      </c>
      <c r="B258" t="s">
        <v>612</v>
      </c>
    </row>
    <row r="259" spans="1:2" x14ac:dyDescent="0.25">
      <c r="A259" t="s">
        <v>505</v>
      </c>
      <c r="B259" t="s">
        <v>612</v>
      </c>
    </row>
    <row r="260" spans="1:2" x14ac:dyDescent="0.25">
      <c r="A260" t="s">
        <v>572</v>
      </c>
      <c r="B260" t="s">
        <v>612</v>
      </c>
    </row>
    <row r="261" spans="1:2" x14ac:dyDescent="0.25">
      <c r="A261" t="s">
        <v>382</v>
      </c>
      <c r="B261" t="s">
        <v>612</v>
      </c>
    </row>
    <row r="262" spans="1:2" x14ac:dyDescent="0.25">
      <c r="A262" t="s">
        <v>661</v>
      </c>
      <c r="B262" t="s">
        <v>612</v>
      </c>
    </row>
    <row r="263" spans="1:2" x14ac:dyDescent="0.25">
      <c r="A263" t="s">
        <v>256</v>
      </c>
      <c r="B263" t="s">
        <v>612</v>
      </c>
    </row>
    <row r="264" spans="1:2" x14ac:dyDescent="0.25">
      <c r="A264" t="s">
        <v>222</v>
      </c>
      <c r="B264" t="s">
        <v>612</v>
      </c>
    </row>
    <row r="265" spans="1:2" x14ac:dyDescent="0.25">
      <c r="A265" t="s">
        <v>220</v>
      </c>
      <c r="B265" t="s">
        <v>612</v>
      </c>
    </row>
    <row r="266" spans="1:2" x14ac:dyDescent="0.25">
      <c r="A266" t="s">
        <v>219</v>
      </c>
      <c r="B266" t="s">
        <v>612</v>
      </c>
    </row>
    <row r="267" spans="1:2" x14ac:dyDescent="0.25">
      <c r="A267" t="s">
        <v>183</v>
      </c>
      <c r="B267" t="s">
        <v>612</v>
      </c>
    </row>
    <row r="268" spans="1:2" x14ac:dyDescent="0.25">
      <c r="A268" t="s">
        <v>465</v>
      </c>
      <c r="B268" t="s">
        <v>612</v>
      </c>
    </row>
    <row r="269" spans="1:2" x14ac:dyDescent="0.25">
      <c r="A269" t="s">
        <v>384</v>
      </c>
      <c r="B269" t="s">
        <v>612</v>
      </c>
    </row>
    <row r="270" spans="1:2" x14ac:dyDescent="0.25">
      <c r="A270" t="s">
        <v>495</v>
      </c>
      <c r="B270" t="s">
        <v>612</v>
      </c>
    </row>
    <row r="271" spans="1:2" x14ac:dyDescent="0.25">
      <c r="A271" t="s">
        <v>498</v>
      </c>
      <c r="B271" t="s">
        <v>612</v>
      </c>
    </row>
    <row r="272" spans="1:2" x14ac:dyDescent="0.25">
      <c r="A272" t="s">
        <v>497</v>
      </c>
      <c r="B272" t="s">
        <v>612</v>
      </c>
    </row>
    <row r="273" spans="1:2" x14ac:dyDescent="0.25">
      <c r="A273" t="s">
        <v>293</v>
      </c>
      <c r="B273" t="s">
        <v>612</v>
      </c>
    </row>
    <row r="274" spans="1:2" x14ac:dyDescent="0.25">
      <c r="A274" t="s">
        <v>291</v>
      </c>
      <c r="B274" t="s">
        <v>612</v>
      </c>
    </row>
    <row r="275" spans="1:2" x14ac:dyDescent="0.25">
      <c r="A275" t="s">
        <v>503</v>
      </c>
      <c r="B275" t="s">
        <v>612</v>
      </c>
    </row>
    <row r="276" spans="1:2" x14ac:dyDescent="0.25">
      <c r="A276" t="s">
        <v>587</v>
      </c>
      <c r="B276" t="s">
        <v>612</v>
      </c>
    </row>
    <row r="277" spans="1:2" x14ac:dyDescent="0.25">
      <c r="A277" t="s">
        <v>561</v>
      </c>
      <c r="B277" t="s">
        <v>612</v>
      </c>
    </row>
    <row r="278" spans="1:2" x14ac:dyDescent="0.25">
      <c r="A278" t="s">
        <v>662</v>
      </c>
      <c r="B278" t="s">
        <v>612</v>
      </c>
    </row>
    <row r="279" spans="1:2" x14ac:dyDescent="0.25">
      <c r="A279" t="s">
        <v>521</v>
      </c>
      <c r="B279" t="s">
        <v>612</v>
      </c>
    </row>
    <row r="280" spans="1:2" x14ac:dyDescent="0.25">
      <c r="A280" t="s">
        <v>579</v>
      </c>
      <c r="B280" t="s">
        <v>612</v>
      </c>
    </row>
    <row r="281" spans="1:2" x14ac:dyDescent="0.25">
      <c r="A281" t="s">
        <v>604</v>
      </c>
      <c r="B281" t="s">
        <v>612</v>
      </c>
    </row>
    <row r="282" spans="1:2" x14ac:dyDescent="0.25">
      <c r="A282" t="s">
        <v>576</v>
      </c>
      <c r="B282" t="s">
        <v>612</v>
      </c>
    </row>
    <row r="283" spans="1:2" x14ac:dyDescent="0.25">
      <c r="A283" t="s">
        <v>574</v>
      </c>
      <c r="B283" t="s">
        <v>612</v>
      </c>
    </row>
    <row r="284" spans="1:2" x14ac:dyDescent="0.25">
      <c r="A284" t="s">
        <v>663</v>
      </c>
      <c r="B284" t="s">
        <v>612</v>
      </c>
    </row>
    <row r="285" spans="1:2" x14ac:dyDescent="0.25">
      <c r="A285" t="s">
        <v>54</v>
      </c>
      <c r="B285" t="s">
        <v>616</v>
      </c>
    </row>
    <row r="286" spans="1:2" x14ac:dyDescent="0.25">
      <c r="A286" t="s">
        <v>182</v>
      </c>
      <c r="B286" t="s">
        <v>616</v>
      </c>
    </row>
    <row r="287" spans="1:2" x14ac:dyDescent="0.25">
      <c r="A287" t="s">
        <v>159</v>
      </c>
      <c r="B287" t="s">
        <v>616</v>
      </c>
    </row>
    <row r="288" spans="1:2" x14ac:dyDescent="0.25">
      <c r="A288" t="s">
        <v>141</v>
      </c>
      <c r="B288" t="s">
        <v>616</v>
      </c>
    </row>
    <row r="289" spans="1:2" x14ac:dyDescent="0.25">
      <c r="A289" t="s">
        <v>285</v>
      </c>
      <c r="B289" t="s">
        <v>616</v>
      </c>
    </row>
    <row r="290" spans="1:2" x14ac:dyDescent="0.25">
      <c r="A290" t="s">
        <v>185</v>
      </c>
      <c r="B290" t="s">
        <v>616</v>
      </c>
    </row>
    <row r="291" spans="1:2" x14ac:dyDescent="0.25">
      <c r="A291" t="s">
        <v>144</v>
      </c>
      <c r="B291" t="s">
        <v>616</v>
      </c>
    </row>
    <row r="292" spans="1:2" x14ac:dyDescent="0.25">
      <c r="A292" t="s">
        <v>147</v>
      </c>
      <c r="B292" t="s">
        <v>616</v>
      </c>
    </row>
    <row r="293" spans="1:2" x14ac:dyDescent="0.25">
      <c r="A293" t="s">
        <v>262</v>
      </c>
      <c r="B293" t="s">
        <v>616</v>
      </c>
    </row>
    <row r="294" spans="1:2" x14ac:dyDescent="0.25">
      <c r="A294" t="s">
        <v>241</v>
      </c>
      <c r="B294" t="s">
        <v>612</v>
      </c>
    </row>
    <row r="295" spans="1:2" x14ac:dyDescent="0.25">
      <c r="A295" t="s">
        <v>664</v>
      </c>
      <c r="B295" t="s">
        <v>612</v>
      </c>
    </row>
    <row r="296" spans="1:2" x14ac:dyDescent="0.25">
      <c r="A296" t="s">
        <v>493</v>
      </c>
      <c r="B296" t="s">
        <v>612</v>
      </c>
    </row>
    <row r="297" spans="1:2" x14ac:dyDescent="0.25">
      <c r="A297" t="s">
        <v>230</v>
      </c>
      <c r="B297" t="s">
        <v>612</v>
      </c>
    </row>
    <row r="298" spans="1:2" x14ac:dyDescent="0.25">
      <c r="A298" t="s">
        <v>243</v>
      </c>
      <c r="B298" t="s">
        <v>612</v>
      </c>
    </row>
    <row r="299" spans="1:2" x14ac:dyDescent="0.25">
      <c r="A299" t="s">
        <v>304</v>
      </c>
      <c r="B299" t="s">
        <v>612</v>
      </c>
    </row>
    <row r="300" spans="1:2" x14ac:dyDescent="0.25">
      <c r="A300" t="s">
        <v>665</v>
      </c>
      <c r="B300" t="s">
        <v>612</v>
      </c>
    </row>
    <row r="301" spans="1:2" x14ac:dyDescent="0.25">
      <c r="A301" t="s">
        <v>666</v>
      </c>
      <c r="B301" t="s">
        <v>612</v>
      </c>
    </row>
    <row r="302" spans="1:2" x14ac:dyDescent="0.25">
      <c r="A302" t="s">
        <v>667</v>
      </c>
      <c r="B302" t="s">
        <v>612</v>
      </c>
    </row>
    <row r="303" spans="1:2" x14ac:dyDescent="0.25">
      <c r="A303" t="s">
        <v>463</v>
      </c>
      <c r="B303" t="s">
        <v>612</v>
      </c>
    </row>
    <row r="304" spans="1:2" x14ac:dyDescent="0.25">
      <c r="A304" t="s">
        <v>668</v>
      </c>
      <c r="B304" t="s">
        <v>612</v>
      </c>
    </row>
    <row r="305" spans="1:2" x14ac:dyDescent="0.25">
      <c r="A305" t="s">
        <v>669</v>
      </c>
      <c r="B305" t="s">
        <v>612</v>
      </c>
    </row>
    <row r="306" spans="1:2" x14ac:dyDescent="0.25">
      <c r="A306" t="s">
        <v>569</v>
      </c>
      <c r="B306" t="s">
        <v>612</v>
      </c>
    </row>
    <row r="307" spans="1:2" x14ac:dyDescent="0.25">
      <c r="A307" t="s">
        <v>335</v>
      </c>
      <c r="B307" t="s">
        <v>612</v>
      </c>
    </row>
    <row r="308" spans="1:2" x14ac:dyDescent="0.25">
      <c r="A308" t="s">
        <v>260</v>
      </c>
      <c r="B308" t="s">
        <v>612</v>
      </c>
    </row>
    <row r="309" spans="1:2" x14ac:dyDescent="0.25">
      <c r="A309" t="s">
        <v>340</v>
      </c>
      <c r="B309" t="s">
        <v>612</v>
      </c>
    </row>
    <row r="310" spans="1:2" x14ac:dyDescent="0.25">
      <c r="A310" t="s">
        <v>520</v>
      </c>
      <c r="B310" t="s">
        <v>612</v>
      </c>
    </row>
    <row r="311" spans="1:2" x14ac:dyDescent="0.25">
      <c r="A311" t="s">
        <v>342</v>
      </c>
      <c r="B311" t="s">
        <v>612</v>
      </c>
    </row>
    <row r="312" spans="1:2" x14ac:dyDescent="0.25">
      <c r="A312" t="s">
        <v>670</v>
      </c>
      <c r="B312" t="s">
        <v>612</v>
      </c>
    </row>
    <row r="313" spans="1:2" x14ac:dyDescent="0.25">
      <c r="A313" t="s">
        <v>344</v>
      </c>
      <c r="B313" t="s">
        <v>616</v>
      </c>
    </row>
    <row r="314" spans="1:2" x14ac:dyDescent="0.25">
      <c r="A314" t="s">
        <v>562</v>
      </c>
      <c r="B314" t="s">
        <v>612</v>
      </c>
    </row>
    <row r="315" spans="1:2" x14ac:dyDescent="0.25">
      <c r="A315" t="s">
        <v>364</v>
      </c>
      <c r="B315" t="s">
        <v>620</v>
      </c>
    </row>
    <row r="316" spans="1:2" x14ac:dyDescent="0.25">
      <c r="A316" t="s">
        <v>179</v>
      </c>
      <c r="B316" t="s">
        <v>612</v>
      </c>
    </row>
    <row r="317" spans="1:2" x14ac:dyDescent="0.25">
      <c r="A317" t="s">
        <v>352</v>
      </c>
      <c r="B317" t="s">
        <v>616</v>
      </c>
    </row>
    <row r="318" spans="1:2" x14ac:dyDescent="0.25">
      <c r="A318" t="s">
        <v>671</v>
      </c>
      <c r="B318" t="s">
        <v>612</v>
      </c>
    </row>
    <row r="319" spans="1:2" x14ac:dyDescent="0.25">
      <c r="A319" t="s">
        <v>248</v>
      </c>
      <c r="B319" t="s">
        <v>612</v>
      </c>
    </row>
    <row r="320" spans="1:2" x14ac:dyDescent="0.25">
      <c r="A320" t="s">
        <v>363</v>
      </c>
      <c r="B320" t="s">
        <v>612</v>
      </c>
    </row>
    <row r="321" spans="1:2" x14ac:dyDescent="0.25">
      <c r="A321" t="s">
        <v>365</v>
      </c>
      <c r="B321" t="s">
        <v>612</v>
      </c>
    </row>
    <row r="322" spans="1:2" x14ac:dyDescent="0.25">
      <c r="A322" t="s">
        <v>672</v>
      </c>
      <c r="B322" t="s">
        <v>616</v>
      </c>
    </row>
    <row r="323" spans="1:2" x14ac:dyDescent="0.25">
      <c r="A323" t="s">
        <v>347</v>
      </c>
      <c r="B323" t="s">
        <v>612</v>
      </c>
    </row>
    <row r="324" spans="1:2" x14ac:dyDescent="0.25">
      <c r="A324" t="s">
        <v>673</v>
      </c>
      <c r="B324" t="s">
        <v>612</v>
      </c>
    </row>
    <row r="325" spans="1:2" x14ac:dyDescent="0.25">
      <c r="A325" t="s">
        <v>353</v>
      </c>
      <c r="B325" t="s">
        <v>612</v>
      </c>
    </row>
    <row r="326" spans="1:2" x14ac:dyDescent="0.25">
      <c r="A326" t="s">
        <v>354</v>
      </c>
      <c r="B326" t="s">
        <v>612</v>
      </c>
    </row>
    <row r="327" spans="1:2" x14ac:dyDescent="0.25">
      <c r="A327" t="s">
        <v>674</v>
      </c>
      <c r="B327" t="s">
        <v>612</v>
      </c>
    </row>
    <row r="328" spans="1:2" x14ac:dyDescent="0.25">
      <c r="A328" t="s">
        <v>294</v>
      </c>
      <c r="B328" t="s">
        <v>616</v>
      </c>
    </row>
    <row r="329" spans="1:2" x14ac:dyDescent="0.25">
      <c r="A329" t="s">
        <v>151</v>
      </c>
      <c r="B329" t="s">
        <v>612</v>
      </c>
    </row>
    <row r="330" spans="1:2" x14ac:dyDescent="0.25">
      <c r="A330" t="s">
        <v>350</v>
      </c>
      <c r="B330" t="s">
        <v>612</v>
      </c>
    </row>
    <row r="331" spans="1:2" x14ac:dyDescent="0.25">
      <c r="A331" t="s">
        <v>359</v>
      </c>
      <c r="B331" t="s">
        <v>612</v>
      </c>
    </row>
    <row r="332" spans="1:2" x14ac:dyDescent="0.25">
      <c r="A332" t="s">
        <v>362</v>
      </c>
      <c r="B332" t="s">
        <v>612</v>
      </c>
    </row>
    <row r="333" spans="1:2" x14ac:dyDescent="0.25">
      <c r="A333" t="s">
        <v>138</v>
      </c>
      <c r="B333" t="s">
        <v>616</v>
      </c>
    </row>
    <row r="334" spans="1:2" x14ac:dyDescent="0.25">
      <c r="A334" t="s">
        <v>516</v>
      </c>
      <c r="B334" t="s">
        <v>612</v>
      </c>
    </row>
    <row r="335" spans="1:2" x14ac:dyDescent="0.25">
      <c r="A335" t="s">
        <v>487</v>
      </c>
      <c r="B335" t="s">
        <v>612</v>
      </c>
    </row>
    <row r="336" spans="1:2" x14ac:dyDescent="0.25">
      <c r="A336" t="s">
        <v>486</v>
      </c>
      <c r="B336" t="s">
        <v>616</v>
      </c>
    </row>
    <row r="337" spans="1:2" x14ac:dyDescent="0.25">
      <c r="A337" t="s">
        <v>397</v>
      </c>
      <c r="B337" t="s">
        <v>612</v>
      </c>
    </row>
    <row r="338" spans="1:2" x14ac:dyDescent="0.25">
      <c r="A338" t="s">
        <v>401</v>
      </c>
      <c r="B338" t="s">
        <v>612</v>
      </c>
    </row>
    <row r="339" spans="1:2" x14ac:dyDescent="0.25">
      <c r="A339" t="s">
        <v>675</v>
      </c>
      <c r="B339" t="s">
        <v>612</v>
      </c>
    </row>
    <row r="340" spans="1:2" x14ac:dyDescent="0.25">
      <c r="A340" t="s">
        <v>676</v>
      </c>
      <c r="B340" t="s">
        <v>612</v>
      </c>
    </row>
    <row r="341" spans="1:2" x14ac:dyDescent="0.25">
      <c r="A341" t="s">
        <v>677</v>
      </c>
      <c r="B341" t="s">
        <v>612</v>
      </c>
    </row>
    <row r="342" spans="1:2" x14ac:dyDescent="0.25">
      <c r="A342" t="s">
        <v>678</v>
      </c>
      <c r="B342" t="s">
        <v>612</v>
      </c>
    </row>
    <row r="343" spans="1:2" x14ac:dyDescent="0.25">
      <c r="A343" t="s">
        <v>506</v>
      </c>
      <c r="B343" t="s">
        <v>612</v>
      </c>
    </row>
    <row r="344" spans="1:2" x14ac:dyDescent="0.25">
      <c r="A344" t="s">
        <v>679</v>
      </c>
      <c r="B344" t="s">
        <v>612</v>
      </c>
    </row>
    <row r="345" spans="1:2" x14ac:dyDescent="0.25">
      <c r="A345" t="s">
        <v>680</v>
      </c>
      <c r="B345" t="s">
        <v>616</v>
      </c>
    </row>
    <row r="346" spans="1:2" x14ac:dyDescent="0.25">
      <c r="A346" t="s">
        <v>681</v>
      </c>
      <c r="B346" t="s">
        <v>612</v>
      </c>
    </row>
    <row r="347" spans="1:2" x14ac:dyDescent="0.25">
      <c r="A347" t="s">
        <v>682</v>
      </c>
      <c r="B347" t="s">
        <v>612</v>
      </c>
    </row>
    <row r="348" spans="1:2" x14ac:dyDescent="0.25">
      <c r="A348" t="s">
        <v>168</v>
      </c>
      <c r="B348" t="s">
        <v>612</v>
      </c>
    </row>
    <row r="349" spans="1:2" x14ac:dyDescent="0.25">
      <c r="A349" t="s">
        <v>171</v>
      </c>
      <c r="B349" t="s">
        <v>612</v>
      </c>
    </row>
    <row r="350" spans="1:2" x14ac:dyDescent="0.25">
      <c r="A350" t="s">
        <v>407</v>
      </c>
      <c r="B350" t="s">
        <v>616</v>
      </c>
    </row>
    <row r="351" spans="1:2" x14ac:dyDescent="0.25">
      <c r="A351" t="s">
        <v>683</v>
      </c>
      <c r="B351" t="s">
        <v>612</v>
      </c>
    </row>
    <row r="352" spans="1:2" x14ac:dyDescent="0.25">
      <c r="A352" t="s">
        <v>684</v>
      </c>
      <c r="B352" t="s">
        <v>612</v>
      </c>
    </row>
    <row r="353" spans="1:2" x14ac:dyDescent="0.25">
      <c r="A353" t="s">
        <v>594</v>
      </c>
      <c r="B353" t="s">
        <v>612</v>
      </c>
    </row>
    <row r="354" spans="1:2" x14ac:dyDescent="0.25">
      <c r="A354" t="s">
        <v>143</v>
      </c>
      <c r="B354" t="s">
        <v>612</v>
      </c>
    </row>
    <row r="355" spans="1:2" x14ac:dyDescent="0.25">
      <c r="A355" t="s">
        <v>300</v>
      </c>
      <c r="B355" t="s">
        <v>612</v>
      </c>
    </row>
    <row r="356" spans="1:2" x14ac:dyDescent="0.25">
      <c r="A356" t="s">
        <v>146</v>
      </c>
      <c r="B356" t="s">
        <v>612</v>
      </c>
    </row>
    <row r="357" spans="1:2" x14ac:dyDescent="0.25">
      <c r="A357" t="s">
        <v>507</v>
      </c>
      <c r="B357" t="s">
        <v>612</v>
      </c>
    </row>
    <row r="358" spans="1:2" x14ac:dyDescent="0.25">
      <c r="A358" t="s">
        <v>508</v>
      </c>
      <c r="B358" t="s">
        <v>612</v>
      </c>
    </row>
    <row r="359" spans="1:2" x14ac:dyDescent="0.25">
      <c r="A359" t="s">
        <v>413</v>
      </c>
      <c r="B359" t="s">
        <v>616</v>
      </c>
    </row>
    <row r="360" spans="1:2" x14ac:dyDescent="0.25">
      <c r="A360" t="s">
        <v>223</v>
      </c>
      <c r="B360" t="s">
        <v>618</v>
      </c>
    </row>
    <row r="361" spans="1:2" x14ac:dyDescent="0.25">
      <c r="A361" t="s">
        <v>577</v>
      </c>
      <c r="B361" t="s">
        <v>616</v>
      </c>
    </row>
    <row r="362" spans="1:2" x14ac:dyDescent="0.25">
      <c r="A362" t="s">
        <v>685</v>
      </c>
      <c r="B362" t="s">
        <v>616</v>
      </c>
    </row>
    <row r="363" spans="1:2" x14ac:dyDescent="0.25">
      <c r="A363" t="s">
        <v>268</v>
      </c>
      <c r="B363" t="s">
        <v>616</v>
      </c>
    </row>
    <row r="364" spans="1:2" x14ac:dyDescent="0.25">
      <c r="A364" t="s">
        <v>266</v>
      </c>
      <c r="B364" t="s">
        <v>616</v>
      </c>
    </row>
    <row r="365" spans="1:2" x14ac:dyDescent="0.25">
      <c r="A365" t="s">
        <v>686</v>
      </c>
      <c r="B365" t="s">
        <v>616</v>
      </c>
    </row>
    <row r="366" spans="1:2" x14ac:dyDescent="0.25">
      <c r="A366" t="s">
        <v>687</v>
      </c>
      <c r="B366" t="s">
        <v>612</v>
      </c>
    </row>
    <row r="367" spans="1:2" x14ac:dyDescent="0.25">
      <c r="A367" t="s">
        <v>688</v>
      </c>
      <c r="B367" t="s">
        <v>612</v>
      </c>
    </row>
    <row r="368" spans="1:2" x14ac:dyDescent="0.25">
      <c r="A368" t="s">
        <v>358</v>
      </c>
      <c r="B368" t="s">
        <v>612</v>
      </c>
    </row>
    <row r="369" spans="1:2" x14ac:dyDescent="0.25">
      <c r="A369" t="s">
        <v>155</v>
      </c>
      <c r="B369" t="s">
        <v>612</v>
      </c>
    </row>
    <row r="370" spans="1:2" x14ac:dyDescent="0.25">
      <c r="A370" t="s">
        <v>689</v>
      </c>
      <c r="B370" t="s">
        <v>612</v>
      </c>
    </row>
    <row r="371" spans="1:2" x14ac:dyDescent="0.25">
      <c r="A371" t="s">
        <v>158</v>
      </c>
      <c r="B371" t="s">
        <v>612</v>
      </c>
    </row>
    <row r="372" spans="1:2" x14ac:dyDescent="0.25">
      <c r="A372" t="s">
        <v>552</v>
      </c>
      <c r="B372" t="s">
        <v>612</v>
      </c>
    </row>
    <row r="373" spans="1:2" x14ac:dyDescent="0.25">
      <c r="A373" t="s">
        <v>555</v>
      </c>
      <c r="B373" t="s">
        <v>612</v>
      </c>
    </row>
    <row r="374" spans="1:2" x14ac:dyDescent="0.25">
      <c r="A374" t="s">
        <v>166</v>
      </c>
      <c r="B374" t="s">
        <v>612</v>
      </c>
    </row>
    <row r="375" spans="1:2" x14ac:dyDescent="0.25">
      <c r="A375" t="s">
        <v>409</v>
      </c>
      <c r="B375" t="s">
        <v>616</v>
      </c>
    </row>
    <row r="376" spans="1:2" x14ac:dyDescent="0.25">
      <c r="A376" t="s">
        <v>509</v>
      </c>
      <c r="B376" t="s">
        <v>616</v>
      </c>
    </row>
    <row r="377" spans="1:2" x14ac:dyDescent="0.25">
      <c r="A377" t="s">
        <v>193</v>
      </c>
      <c r="B377" t="s">
        <v>612</v>
      </c>
    </row>
    <row r="378" spans="1:2" x14ac:dyDescent="0.25">
      <c r="A378" t="s">
        <v>339</v>
      </c>
      <c r="B378" t="s">
        <v>616</v>
      </c>
    </row>
    <row r="379" spans="1:2" x14ac:dyDescent="0.25">
      <c r="A379" t="s">
        <v>690</v>
      </c>
      <c r="B379" t="s">
        <v>616</v>
      </c>
    </row>
    <row r="380" spans="1:2" x14ac:dyDescent="0.25">
      <c r="A380" t="s">
        <v>691</v>
      </c>
      <c r="B380" t="s">
        <v>612</v>
      </c>
    </row>
    <row r="381" spans="1:2" x14ac:dyDescent="0.25">
      <c r="A381" t="s">
        <v>692</v>
      </c>
      <c r="B381" t="s">
        <v>612</v>
      </c>
    </row>
    <row r="382" spans="1:2" x14ac:dyDescent="0.25">
      <c r="A382" t="s">
        <v>157</v>
      </c>
      <c r="B382" t="s">
        <v>616</v>
      </c>
    </row>
    <row r="383" spans="1:2" x14ac:dyDescent="0.25">
      <c r="A383" t="s">
        <v>693</v>
      </c>
      <c r="B383" t="s">
        <v>616</v>
      </c>
    </row>
    <row r="384" spans="1:2" x14ac:dyDescent="0.25">
      <c r="A384" t="s">
        <v>510</v>
      </c>
      <c r="B384" t="s">
        <v>616</v>
      </c>
    </row>
    <row r="385" spans="1:2" x14ac:dyDescent="0.25">
      <c r="A385" t="s">
        <v>511</v>
      </c>
      <c r="B385" t="s">
        <v>616</v>
      </c>
    </row>
    <row r="386" spans="1:2" x14ac:dyDescent="0.25">
      <c r="A386" t="s">
        <v>512</v>
      </c>
      <c r="B386" t="s">
        <v>616</v>
      </c>
    </row>
    <row r="387" spans="1:2" x14ac:dyDescent="0.25">
      <c r="A387" t="s">
        <v>694</v>
      </c>
      <c r="B387" t="s">
        <v>616</v>
      </c>
    </row>
    <row r="388" spans="1:2" x14ac:dyDescent="0.25">
      <c r="A388" t="s">
        <v>695</v>
      </c>
      <c r="B388" t="s">
        <v>616</v>
      </c>
    </row>
    <row r="389" spans="1:2" x14ac:dyDescent="0.25">
      <c r="A389" t="s">
        <v>696</v>
      </c>
      <c r="B389" t="s">
        <v>618</v>
      </c>
    </row>
    <row r="390" spans="1:2" x14ac:dyDescent="0.25">
      <c r="A390" t="s">
        <v>697</v>
      </c>
      <c r="B390" t="s">
        <v>616</v>
      </c>
    </row>
    <row r="391" spans="1:2" x14ac:dyDescent="0.25">
      <c r="A391" t="s">
        <v>178</v>
      </c>
      <c r="B391" t="s">
        <v>612</v>
      </c>
    </row>
    <row r="392" spans="1:2" x14ac:dyDescent="0.25">
      <c r="A392" t="s">
        <v>137</v>
      </c>
      <c r="B392" t="s">
        <v>612</v>
      </c>
    </row>
    <row r="393" spans="1:2" x14ac:dyDescent="0.25">
      <c r="A393" t="s">
        <v>458</v>
      </c>
      <c r="B393" t="s">
        <v>616</v>
      </c>
    </row>
    <row r="394" spans="1:2" x14ac:dyDescent="0.25">
      <c r="A394" t="s">
        <v>457</v>
      </c>
      <c r="B394" t="s">
        <v>612</v>
      </c>
    </row>
    <row r="395" spans="1:2" x14ac:dyDescent="0.25">
      <c r="A395" t="s">
        <v>698</v>
      </c>
      <c r="B395" t="s">
        <v>612</v>
      </c>
    </row>
    <row r="396" spans="1:2" x14ac:dyDescent="0.25">
      <c r="A396" t="s">
        <v>699</v>
      </c>
      <c r="B396" t="s">
        <v>612</v>
      </c>
    </row>
    <row r="397" spans="1:2" x14ac:dyDescent="0.25">
      <c r="A397" t="s">
        <v>700</v>
      </c>
      <c r="B397" t="s">
        <v>612</v>
      </c>
    </row>
    <row r="398" spans="1:2" x14ac:dyDescent="0.25">
      <c r="A398" t="s">
        <v>513</v>
      </c>
      <c r="B398" t="s">
        <v>612</v>
      </c>
    </row>
    <row r="399" spans="1:2" x14ac:dyDescent="0.25">
      <c r="A399" t="s">
        <v>701</v>
      </c>
      <c r="B399" t="s">
        <v>620</v>
      </c>
    </row>
    <row r="400" spans="1:2" x14ac:dyDescent="0.25">
      <c r="A400" t="s">
        <v>702</v>
      </c>
      <c r="B400" t="s">
        <v>616</v>
      </c>
    </row>
    <row r="401" spans="1:2" x14ac:dyDescent="0.25">
      <c r="A401" t="s">
        <v>515</v>
      </c>
      <c r="B401" t="s">
        <v>620</v>
      </c>
    </row>
    <row r="402" spans="1:2" x14ac:dyDescent="0.25">
      <c r="A402" t="s">
        <v>135</v>
      </c>
      <c r="B402" t="s">
        <v>616</v>
      </c>
    </row>
    <row r="403" spans="1:2" x14ac:dyDescent="0.25">
      <c r="A403" t="s">
        <v>122</v>
      </c>
      <c r="B403" t="s">
        <v>616</v>
      </c>
    </row>
    <row r="404" spans="1:2" x14ac:dyDescent="0.25">
      <c r="A404" t="s">
        <v>125</v>
      </c>
      <c r="B404" t="s">
        <v>616</v>
      </c>
    </row>
    <row r="405" spans="1:2" x14ac:dyDescent="0.25">
      <c r="A405" t="s">
        <v>98</v>
      </c>
      <c r="B405" t="s">
        <v>616</v>
      </c>
    </row>
    <row r="406" spans="1:2" x14ac:dyDescent="0.25">
      <c r="A406" t="s">
        <v>85</v>
      </c>
      <c r="B406" t="s">
        <v>616</v>
      </c>
    </row>
    <row r="407" spans="1:2" x14ac:dyDescent="0.25">
      <c r="A407" t="s">
        <v>334</v>
      </c>
      <c r="B407" t="s">
        <v>616</v>
      </c>
    </row>
    <row r="408" spans="1:2" x14ac:dyDescent="0.25">
      <c r="A408" t="s">
        <v>517</v>
      </c>
      <c r="B408" t="s">
        <v>620</v>
      </c>
    </row>
    <row r="409" spans="1:2" x14ac:dyDescent="0.25">
      <c r="A409" t="s">
        <v>518</v>
      </c>
      <c r="B409" t="s">
        <v>618</v>
      </c>
    </row>
    <row r="410" spans="1:2" x14ac:dyDescent="0.25">
      <c r="A410" t="s">
        <v>519</v>
      </c>
      <c r="B410" t="s">
        <v>620</v>
      </c>
    </row>
    <row r="411" spans="1:2" x14ac:dyDescent="0.25">
      <c r="A411" t="s">
        <v>523</v>
      </c>
      <c r="B411" t="s">
        <v>618</v>
      </c>
    </row>
    <row r="412" spans="1:2" x14ac:dyDescent="0.25">
      <c r="A412" t="s">
        <v>524</v>
      </c>
      <c r="B412" t="s">
        <v>620</v>
      </c>
    </row>
    <row r="413" spans="1:2" x14ac:dyDescent="0.25">
      <c r="A413" t="s">
        <v>703</v>
      </c>
      <c r="B413" t="s">
        <v>616</v>
      </c>
    </row>
    <row r="414" spans="1:2" x14ac:dyDescent="0.25">
      <c r="A414" t="s">
        <v>525</v>
      </c>
      <c r="B414" t="s">
        <v>616</v>
      </c>
    </row>
    <row r="415" spans="1:2" x14ac:dyDescent="0.25">
      <c r="A415" t="s">
        <v>526</v>
      </c>
      <c r="B415" t="s">
        <v>616</v>
      </c>
    </row>
    <row r="416" spans="1:2" x14ac:dyDescent="0.25">
      <c r="A416" t="s">
        <v>551</v>
      </c>
      <c r="B416" t="s">
        <v>620</v>
      </c>
    </row>
    <row r="417" spans="1:2" x14ac:dyDescent="0.25">
      <c r="A417" t="s">
        <v>554</v>
      </c>
      <c r="B417" t="s">
        <v>620</v>
      </c>
    </row>
    <row r="418" spans="1:2" x14ac:dyDescent="0.25">
      <c r="A418" t="s">
        <v>556</v>
      </c>
      <c r="B418" t="s">
        <v>618</v>
      </c>
    </row>
    <row r="419" spans="1:2" x14ac:dyDescent="0.25">
      <c r="A419" t="s">
        <v>558</v>
      </c>
      <c r="B419" t="s">
        <v>618</v>
      </c>
    </row>
    <row r="420" spans="1:2" x14ac:dyDescent="0.25">
      <c r="A420" t="s">
        <v>560</v>
      </c>
      <c r="B420" t="s">
        <v>620</v>
      </c>
    </row>
    <row r="421" spans="1:2" x14ac:dyDescent="0.25">
      <c r="A421" t="s">
        <v>563</v>
      </c>
      <c r="B421" t="s">
        <v>618</v>
      </c>
    </row>
    <row r="422" spans="1:2" x14ac:dyDescent="0.25">
      <c r="A422" t="s">
        <v>565</v>
      </c>
      <c r="B422" t="s">
        <v>618</v>
      </c>
    </row>
    <row r="423" spans="1:2" x14ac:dyDescent="0.25">
      <c r="A423" t="s">
        <v>567</v>
      </c>
      <c r="B423" t="s">
        <v>620</v>
      </c>
    </row>
    <row r="424" spans="1:2" x14ac:dyDescent="0.25">
      <c r="A424" t="s">
        <v>76</v>
      </c>
      <c r="B424" t="s">
        <v>620</v>
      </c>
    </row>
    <row r="425" spans="1:2" x14ac:dyDescent="0.25">
      <c r="A425" t="s">
        <v>571</v>
      </c>
      <c r="B425" t="s">
        <v>620</v>
      </c>
    </row>
    <row r="426" spans="1:2" x14ac:dyDescent="0.25">
      <c r="A426" t="s">
        <v>88</v>
      </c>
      <c r="B426" t="s">
        <v>620</v>
      </c>
    </row>
    <row r="427" spans="1:2" x14ac:dyDescent="0.25">
      <c r="A427" t="s">
        <v>573</v>
      </c>
      <c r="B427" t="s">
        <v>620</v>
      </c>
    </row>
    <row r="428" spans="1:2" x14ac:dyDescent="0.25">
      <c r="A428" t="s">
        <v>575</v>
      </c>
      <c r="B428" t="s">
        <v>620</v>
      </c>
    </row>
    <row r="429" spans="1:2" x14ac:dyDescent="0.25">
      <c r="A429" t="s">
        <v>72</v>
      </c>
      <c r="B429" t="s">
        <v>620</v>
      </c>
    </row>
    <row r="430" spans="1:2" x14ac:dyDescent="0.25">
      <c r="A430" t="s">
        <v>578</v>
      </c>
      <c r="B430" t="s">
        <v>620</v>
      </c>
    </row>
    <row r="431" spans="1:2" x14ac:dyDescent="0.25">
      <c r="A431" t="s">
        <v>580</v>
      </c>
      <c r="B431" t="s">
        <v>618</v>
      </c>
    </row>
    <row r="432" spans="1:2" x14ac:dyDescent="0.25">
      <c r="A432" t="s">
        <v>65</v>
      </c>
      <c r="B432" t="s">
        <v>620</v>
      </c>
    </row>
    <row r="433" spans="1:2" x14ac:dyDescent="0.25">
      <c r="A433" t="s">
        <v>585</v>
      </c>
      <c r="B433" t="s">
        <v>620</v>
      </c>
    </row>
    <row r="434" spans="1:2" x14ac:dyDescent="0.25">
      <c r="A434" t="s">
        <v>588</v>
      </c>
      <c r="B434" t="s">
        <v>620</v>
      </c>
    </row>
    <row r="435" spans="1:2" x14ac:dyDescent="0.25">
      <c r="A435" t="s">
        <v>590</v>
      </c>
      <c r="B435" t="s">
        <v>618</v>
      </c>
    </row>
    <row r="436" spans="1:2" x14ac:dyDescent="0.25">
      <c r="A436" t="s">
        <v>592</v>
      </c>
      <c r="B436" t="s">
        <v>618</v>
      </c>
    </row>
    <row r="437" spans="1:2" x14ac:dyDescent="0.25">
      <c r="A437" t="s">
        <v>595</v>
      </c>
      <c r="B437" t="s">
        <v>620</v>
      </c>
    </row>
    <row r="438" spans="1:2" x14ac:dyDescent="0.25">
      <c r="A438" t="s">
        <v>597</v>
      </c>
      <c r="B438" t="s">
        <v>620</v>
      </c>
    </row>
    <row r="439" spans="1:2" x14ac:dyDescent="0.25">
      <c r="A439" t="s">
        <v>333</v>
      </c>
      <c r="B439" t="s">
        <v>616</v>
      </c>
    </row>
    <row r="440" spans="1:2" x14ac:dyDescent="0.25">
      <c r="A440" t="s">
        <v>704</v>
      </c>
      <c r="B440" t="s">
        <v>616</v>
      </c>
    </row>
    <row r="441" spans="1:2" x14ac:dyDescent="0.25">
      <c r="A441" t="s">
        <v>593</v>
      </c>
      <c r="B441" t="s">
        <v>616</v>
      </c>
    </row>
    <row r="442" spans="1:2" x14ac:dyDescent="0.25">
      <c r="A442" t="s">
        <v>405</v>
      </c>
      <c r="B442" t="s">
        <v>616</v>
      </c>
    </row>
    <row r="443" spans="1:2" x14ac:dyDescent="0.25">
      <c r="A443" t="s">
        <v>705</v>
      </c>
      <c r="B443" t="s">
        <v>616</v>
      </c>
    </row>
    <row r="444" spans="1:2" x14ac:dyDescent="0.25">
      <c r="A444" t="s">
        <v>706</v>
      </c>
      <c r="B444" t="s">
        <v>612</v>
      </c>
    </row>
    <row r="445" spans="1:2" x14ac:dyDescent="0.25">
      <c r="A445" t="s">
        <v>707</v>
      </c>
      <c r="B445" t="s">
        <v>612</v>
      </c>
    </row>
    <row r="446" spans="1:2" x14ac:dyDescent="0.25">
      <c r="A446" t="s">
        <v>494</v>
      </c>
      <c r="B446" t="s">
        <v>616</v>
      </c>
    </row>
    <row r="447" spans="1:2" x14ac:dyDescent="0.25">
      <c r="A447" t="s">
        <v>708</v>
      </c>
      <c r="B447" t="s">
        <v>620</v>
      </c>
    </row>
    <row r="448" spans="1:2" x14ac:dyDescent="0.25">
      <c r="A448" t="s">
        <v>443</v>
      </c>
      <c r="B448" t="s">
        <v>612</v>
      </c>
    </row>
    <row r="449" spans="1:2" x14ac:dyDescent="0.25">
      <c r="A449" t="s">
        <v>583</v>
      </c>
      <c r="B449" t="s">
        <v>612</v>
      </c>
    </row>
    <row r="450" spans="1:2" x14ac:dyDescent="0.25">
      <c r="A450" t="s">
        <v>709</v>
      </c>
      <c r="B450" t="s">
        <v>612</v>
      </c>
    </row>
    <row r="451" spans="1:2" x14ac:dyDescent="0.25">
      <c r="A451" t="s">
        <v>710</v>
      </c>
      <c r="B451" t="s">
        <v>612</v>
      </c>
    </row>
    <row r="452" spans="1:2" x14ac:dyDescent="0.25">
      <c r="A452" t="s">
        <v>711</v>
      </c>
      <c r="B452" t="s">
        <v>612</v>
      </c>
    </row>
    <row r="453" spans="1:2" x14ac:dyDescent="0.25">
      <c r="A453" t="s">
        <v>712</v>
      </c>
      <c r="B453" t="s">
        <v>620</v>
      </c>
    </row>
    <row r="454" spans="1:2" x14ac:dyDescent="0.25">
      <c r="A454" t="s">
        <v>170</v>
      </c>
      <c r="B454" t="s">
        <v>620</v>
      </c>
    </row>
    <row r="455" spans="1:2" x14ac:dyDescent="0.25">
      <c r="A455" t="s">
        <v>713</v>
      </c>
      <c r="B455" t="s">
        <v>618</v>
      </c>
    </row>
    <row r="456" spans="1:2" x14ac:dyDescent="0.25">
      <c r="A456" t="s">
        <v>714</v>
      </c>
      <c r="B456" t="s">
        <v>618</v>
      </c>
    </row>
    <row r="457" spans="1:2" x14ac:dyDescent="0.25">
      <c r="A457" t="s">
        <v>332</v>
      </c>
      <c r="B457" t="s">
        <v>612</v>
      </c>
    </row>
    <row r="458" spans="1:2" x14ac:dyDescent="0.25">
      <c r="A458" t="s">
        <v>715</v>
      </c>
      <c r="B458" t="s">
        <v>618</v>
      </c>
    </row>
    <row r="459" spans="1:2" x14ac:dyDescent="0.25">
      <c r="A459" t="s">
        <v>716</v>
      </c>
      <c r="B459" t="s">
        <v>618</v>
      </c>
    </row>
    <row r="460" spans="1:2" x14ac:dyDescent="0.25">
      <c r="A460" t="s">
        <v>302</v>
      </c>
      <c r="B460" t="s">
        <v>612</v>
      </c>
    </row>
    <row r="461" spans="1:2" x14ac:dyDescent="0.25">
      <c r="A461" t="s">
        <v>249</v>
      </c>
      <c r="B461" t="s">
        <v>620</v>
      </c>
    </row>
    <row r="462" spans="1:2" x14ac:dyDescent="0.25">
      <c r="A462" t="s">
        <v>717</v>
      </c>
      <c r="B462" t="s">
        <v>618</v>
      </c>
    </row>
    <row r="463" spans="1:2" x14ac:dyDescent="0.25">
      <c r="A463" t="s">
        <v>84</v>
      </c>
      <c r="B463" t="s">
        <v>620</v>
      </c>
    </row>
    <row r="464" spans="1:2" x14ac:dyDescent="0.25">
      <c r="A464" t="s">
        <v>338</v>
      </c>
      <c r="B464" t="s">
        <v>620</v>
      </c>
    </row>
    <row r="465" spans="1:2" x14ac:dyDescent="0.25">
      <c r="A465" t="s">
        <v>375</v>
      </c>
      <c r="B465" t="s">
        <v>620</v>
      </c>
    </row>
    <row r="466" spans="1:2" x14ac:dyDescent="0.25">
      <c r="A466" t="s">
        <v>385</v>
      </c>
      <c r="B466" t="s">
        <v>620</v>
      </c>
    </row>
    <row r="467" spans="1:2" x14ac:dyDescent="0.25">
      <c r="A467" t="s">
        <v>718</v>
      </c>
      <c r="B467" t="s">
        <v>616</v>
      </c>
    </row>
    <row r="468" spans="1:2" x14ac:dyDescent="0.25">
      <c r="A468" t="s">
        <v>438</v>
      </c>
      <c r="B468" t="s">
        <v>618</v>
      </c>
    </row>
    <row r="469" spans="1:2" x14ac:dyDescent="0.25">
      <c r="A469" t="s">
        <v>442</v>
      </c>
      <c r="B469" t="s">
        <v>618</v>
      </c>
    </row>
    <row r="470" spans="1:2" x14ac:dyDescent="0.25">
      <c r="A470" t="s">
        <v>568</v>
      </c>
      <c r="B470" t="s">
        <v>616</v>
      </c>
    </row>
    <row r="471" spans="1:2" x14ac:dyDescent="0.25">
      <c r="A471" t="s">
        <v>128</v>
      </c>
      <c r="B471" t="s">
        <v>616</v>
      </c>
    </row>
    <row r="472" spans="1:2" x14ac:dyDescent="0.25">
      <c r="A472" t="s">
        <v>437</v>
      </c>
      <c r="B472" t="s">
        <v>612</v>
      </c>
    </row>
    <row r="473" spans="1:2" x14ac:dyDescent="0.25">
      <c r="A473" t="s">
        <v>719</v>
      </c>
      <c r="B473" t="s">
        <v>612</v>
      </c>
    </row>
    <row r="474" spans="1:2" x14ac:dyDescent="0.25">
      <c r="A474" t="s">
        <v>441</v>
      </c>
      <c r="B474" t="s">
        <v>612</v>
      </c>
    </row>
    <row r="475" spans="1:2" x14ac:dyDescent="0.25">
      <c r="A475" t="s">
        <v>446</v>
      </c>
      <c r="B475" t="s">
        <v>612</v>
      </c>
    </row>
    <row r="476" spans="1:2" x14ac:dyDescent="0.25">
      <c r="A476" t="s">
        <v>720</v>
      </c>
      <c r="B476" t="s">
        <v>612</v>
      </c>
    </row>
    <row r="477" spans="1:2" x14ac:dyDescent="0.25">
      <c r="A477" t="s">
        <v>448</v>
      </c>
      <c r="B477" t="s">
        <v>612</v>
      </c>
    </row>
    <row r="478" spans="1:2" x14ac:dyDescent="0.25">
      <c r="A478" t="s">
        <v>80</v>
      </c>
      <c r="B478" t="s">
        <v>618</v>
      </c>
    </row>
    <row r="479" spans="1:2" x14ac:dyDescent="0.25">
      <c r="A479" t="s">
        <v>721</v>
      </c>
      <c r="B479" t="s">
        <v>616</v>
      </c>
    </row>
    <row r="480" spans="1:2" x14ac:dyDescent="0.25">
      <c r="A480" t="s">
        <v>722</v>
      </c>
      <c r="B480" t="s">
        <v>620</v>
      </c>
    </row>
    <row r="481" spans="1:2" x14ac:dyDescent="0.25">
      <c r="A481" t="s">
        <v>454</v>
      </c>
      <c r="B481" t="s">
        <v>612</v>
      </c>
    </row>
    <row r="482" spans="1:2" x14ac:dyDescent="0.25">
      <c r="A482" t="s">
        <v>436</v>
      </c>
      <c r="B482" t="s">
        <v>618</v>
      </c>
    </row>
    <row r="483" spans="1:2" x14ac:dyDescent="0.25">
      <c r="A483" t="s">
        <v>723</v>
      </c>
      <c r="B483" t="s">
        <v>620</v>
      </c>
    </row>
    <row r="484" spans="1:2" x14ac:dyDescent="0.25">
      <c r="A484" t="s">
        <v>452</v>
      </c>
      <c r="B484" t="s">
        <v>618</v>
      </c>
    </row>
    <row r="485" spans="1:2" x14ac:dyDescent="0.25">
      <c r="A485" t="s">
        <v>724</v>
      </c>
      <c r="B485" t="s">
        <v>620</v>
      </c>
    </row>
    <row r="486" spans="1:2" x14ac:dyDescent="0.25">
      <c r="A486" t="s">
        <v>725</v>
      </c>
      <c r="B486" t="s">
        <v>620</v>
      </c>
    </row>
    <row r="487" spans="1:2" x14ac:dyDescent="0.25">
      <c r="A487" t="s">
        <v>726</v>
      </c>
      <c r="B487" t="s">
        <v>612</v>
      </c>
    </row>
    <row r="488" spans="1:2" x14ac:dyDescent="0.25">
      <c r="A488" t="s">
        <v>250</v>
      </c>
      <c r="B488" t="s">
        <v>612</v>
      </c>
    </row>
    <row r="489" spans="1:2" x14ac:dyDescent="0.25">
      <c r="A489" t="s">
        <v>727</v>
      </c>
      <c r="B489" t="s">
        <v>616</v>
      </c>
    </row>
    <row r="490" spans="1:2" x14ac:dyDescent="0.25">
      <c r="A490" t="s">
        <v>728</v>
      </c>
      <c r="B490" t="s">
        <v>616</v>
      </c>
    </row>
    <row r="491" spans="1:2" x14ac:dyDescent="0.25">
      <c r="A491" t="s">
        <v>315</v>
      </c>
      <c r="B491" t="s">
        <v>612</v>
      </c>
    </row>
    <row r="492" spans="1:2" x14ac:dyDescent="0.25">
      <c r="A492" t="s">
        <v>311</v>
      </c>
      <c r="B492" t="s">
        <v>612</v>
      </c>
    </row>
    <row r="493" spans="1:2" x14ac:dyDescent="0.25">
      <c r="A493" t="s">
        <v>150</v>
      </c>
      <c r="B493" t="s">
        <v>616</v>
      </c>
    </row>
    <row r="494" spans="1:2" x14ac:dyDescent="0.25">
      <c r="A494" t="s">
        <v>729</v>
      </c>
      <c r="B494" t="s">
        <v>616</v>
      </c>
    </row>
    <row r="495" spans="1:2" x14ac:dyDescent="0.25">
      <c r="A495" t="s">
        <v>356</v>
      </c>
      <c r="B495" t="s">
        <v>616</v>
      </c>
    </row>
    <row r="496" spans="1:2" x14ac:dyDescent="0.25">
      <c r="A496" t="s">
        <v>730</v>
      </c>
      <c r="B496" t="s">
        <v>616</v>
      </c>
    </row>
    <row r="497" spans="1:2" x14ac:dyDescent="0.25">
      <c r="A497" t="s">
        <v>435</v>
      </c>
      <c r="B497" t="s">
        <v>616</v>
      </c>
    </row>
    <row r="498" spans="1:2" x14ac:dyDescent="0.25">
      <c r="A498" t="s">
        <v>582</v>
      </c>
      <c r="B498" t="s">
        <v>618</v>
      </c>
    </row>
    <row r="499" spans="1:2" x14ac:dyDescent="0.25">
      <c r="A499" t="s">
        <v>112</v>
      </c>
      <c r="B499" t="s">
        <v>616</v>
      </c>
    </row>
    <row r="500" spans="1:2" x14ac:dyDescent="0.25">
      <c r="A500" t="s">
        <v>104</v>
      </c>
      <c r="B500" t="s">
        <v>616</v>
      </c>
    </row>
    <row r="501" spans="1:2" x14ac:dyDescent="0.25">
      <c r="A501" t="s">
        <v>460</v>
      </c>
      <c r="B501" t="s">
        <v>612</v>
      </c>
    </row>
    <row r="502" spans="1:2" x14ac:dyDescent="0.25">
      <c r="A502" t="s">
        <v>107</v>
      </c>
      <c r="B502" t="s">
        <v>616</v>
      </c>
    </row>
    <row r="503" spans="1:2" x14ac:dyDescent="0.25">
      <c r="A503" t="s">
        <v>428</v>
      </c>
      <c r="B503" t="s">
        <v>612</v>
      </c>
    </row>
    <row r="504" spans="1:2" x14ac:dyDescent="0.25">
      <c r="A504" t="s">
        <v>114</v>
      </c>
      <c r="B504" t="s">
        <v>616</v>
      </c>
    </row>
    <row r="505" spans="1:2" x14ac:dyDescent="0.25">
      <c r="A505" t="s">
        <v>87</v>
      </c>
      <c r="B505" t="s">
        <v>616</v>
      </c>
    </row>
    <row r="506" spans="1:2" x14ac:dyDescent="0.25">
      <c r="A506" t="s">
        <v>94</v>
      </c>
      <c r="B506" t="s">
        <v>616</v>
      </c>
    </row>
    <row r="507" spans="1:2" x14ac:dyDescent="0.25">
      <c r="A507" t="s">
        <v>731</v>
      </c>
      <c r="B507" t="s">
        <v>612</v>
      </c>
    </row>
    <row r="508" spans="1:2" x14ac:dyDescent="0.25">
      <c r="A508" t="s">
        <v>100</v>
      </c>
      <c r="B508" t="s">
        <v>616</v>
      </c>
    </row>
    <row r="509" spans="1:2" x14ac:dyDescent="0.25">
      <c r="A509" t="s">
        <v>732</v>
      </c>
      <c r="B509" t="s">
        <v>616</v>
      </c>
    </row>
    <row r="510" spans="1:2" x14ac:dyDescent="0.25">
      <c r="A510" t="s">
        <v>733</v>
      </c>
      <c r="B510" t="s">
        <v>612</v>
      </c>
    </row>
    <row r="511" spans="1:2" x14ac:dyDescent="0.25">
      <c r="A511" t="s">
        <v>734</v>
      </c>
      <c r="B511" t="s">
        <v>618</v>
      </c>
    </row>
    <row r="512" spans="1:2" x14ac:dyDescent="0.25">
      <c r="A512" t="s">
        <v>735</v>
      </c>
      <c r="B512" t="s">
        <v>616</v>
      </c>
    </row>
    <row r="513" spans="1:2" x14ac:dyDescent="0.25">
      <c r="A513" t="s">
        <v>736</v>
      </c>
      <c r="B513" t="s">
        <v>616</v>
      </c>
    </row>
    <row r="514" spans="1:2" x14ac:dyDescent="0.25">
      <c r="A514" t="s">
        <v>737</v>
      </c>
      <c r="B514" t="s">
        <v>618</v>
      </c>
    </row>
    <row r="515" spans="1:2" x14ac:dyDescent="0.25">
      <c r="A515" t="s">
        <v>149</v>
      </c>
      <c r="B515" t="s">
        <v>616</v>
      </c>
    </row>
    <row r="516" spans="1:2" x14ac:dyDescent="0.25">
      <c r="A516" t="s">
        <v>439</v>
      </c>
      <c r="B516" t="s">
        <v>612</v>
      </c>
    </row>
    <row r="517" spans="1:2" x14ac:dyDescent="0.25">
      <c r="A517" t="s">
        <v>167</v>
      </c>
      <c r="B517" t="s">
        <v>618</v>
      </c>
    </row>
    <row r="518" spans="1:2" x14ac:dyDescent="0.25">
      <c r="A518" t="s">
        <v>738</v>
      </c>
      <c r="B518" t="s">
        <v>616</v>
      </c>
    </row>
    <row r="519" spans="1:2" x14ac:dyDescent="0.25">
      <c r="A519" t="s">
        <v>739</v>
      </c>
      <c r="B519" t="s">
        <v>616</v>
      </c>
    </row>
    <row r="520" spans="1:2" x14ac:dyDescent="0.25">
      <c r="A520" t="s">
        <v>740</v>
      </c>
      <c r="B520" t="s">
        <v>616</v>
      </c>
    </row>
    <row r="521" spans="1:2" x14ac:dyDescent="0.25">
      <c r="A521" t="s">
        <v>418</v>
      </c>
      <c r="B521" t="s">
        <v>612</v>
      </c>
    </row>
    <row r="522" spans="1:2" x14ac:dyDescent="0.25">
      <c r="A522" t="s">
        <v>741</v>
      </c>
      <c r="B522" t="s">
        <v>616</v>
      </c>
    </row>
    <row r="523" spans="1:2" x14ac:dyDescent="0.25">
      <c r="A523" t="s">
        <v>387</v>
      </c>
      <c r="B523" t="s">
        <v>612</v>
      </c>
    </row>
    <row r="524" spans="1:2" x14ac:dyDescent="0.25">
      <c r="A524" t="s">
        <v>386</v>
      </c>
      <c r="B524" t="s">
        <v>612</v>
      </c>
    </row>
    <row r="525" spans="1:2" x14ac:dyDescent="0.25">
      <c r="A525" t="s">
        <v>349</v>
      </c>
      <c r="B525" t="s">
        <v>616</v>
      </c>
    </row>
    <row r="526" spans="1:2" x14ac:dyDescent="0.25">
      <c r="A526" t="s">
        <v>258</v>
      </c>
      <c r="B526" t="s">
        <v>616</v>
      </c>
    </row>
    <row r="527" spans="1:2" x14ac:dyDescent="0.25">
      <c r="A527" t="s">
        <v>742</v>
      </c>
      <c r="B527" t="s">
        <v>612</v>
      </c>
    </row>
    <row r="528" spans="1:2" x14ac:dyDescent="0.25">
      <c r="A528" t="s">
        <v>323</v>
      </c>
      <c r="B528" t="s">
        <v>616</v>
      </c>
    </row>
    <row r="529" spans="1:2" x14ac:dyDescent="0.25">
      <c r="A529" t="s">
        <v>207</v>
      </c>
      <c r="B529" t="s">
        <v>620</v>
      </c>
    </row>
    <row r="530" spans="1:2" x14ac:dyDescent="0.25">
      <c r="A530" t="s">
        <v>743</v>
      </c>
      <c r="B530" t="s">
        <v>618</v>
      </c>
    </row>
    <row r="531" spans="1:2" x14ac:dyDescent="0.25">
      <c r="A531" t="s">
        <v>440</v>
      </c>
      <c r="B531" t="s">
        <v>618</v>
      </c>
    </row>
    <row r="532" spans="1:2" x14ac:dyDescent="0.25">
      <c r="A532" t="s">
        <v>132</v>
      </c>
      <c r="B532" t="s">
        <v>618</v>
      </c>
    </row>
    <row r="533" spans="1:2" x14ac:dyDescent="0.25">
      <c r="A533" t="s">
        <v>331</v>
      </c>
      <c r="B533" t="s">
        <v>612</v>
      </c>
    </row>
    <row r="534" spans="1:2" x14ac:dyDescent="0.25">
      <c r="A534" t="s">
        <v>330</v>
      </c>
      <c r="B534" t="s">
        <v>612</v>
      </c>
    </row>
    <row r="535" spans="1:2" x14ac:dyDescent="0.25">
      <c r="A535" t="s">
        <v>64</v>
      </c>
      <c r="B535" t="s">
        <v>620</v>
      </c>
    </row>
    <row r="536" spans="1:2" x14ac:dyDescent="0.25">
      <c r="A536" t="s">
        <v>74</v>
      </c>
      <c r="B536" t="s">
        <v>620</v>
      </c>
    </row>
    <row r="537" spans="1:2" x14ac:dyDescent="0.25">
      <c r="A537" t="s">
        <v>77</v>
      </c>
      <c r="B537" t="s">
        <v>618</v>
      </c>
    </row>
    <row r="538" spans="1:2" x14ac:dyDescent="0.25">
      <c r="A538" t="s">
        <v>81</v>
      </c>
      <c r="B538" t="s">
        <v>618</v>
      </c>
    </row>
    <row r="539" spans="1:2" x14ac:dyDescent="0.25">
      <c r="A539" t="s">
        <v>86</v>
      </c>
      <c r="B539" t="s">
        <v>620</v>
      </c>
    </row>
    <row r="540" spans="1:2" x14ac:dyDescent="0.25">
      <c r="A540" t="s">
        <v>92</v>
      </c>
      <c r="B540" t="s">
        <v>620</v>
      </c>
    </row>
    <row r="541" spans="1:2" x14ac:dyDescent="0.25">
      <c r="A541" t="s">
        <v>97</v>
      </c>
      <c r="B541" t="s">
        <v>620</v>
      </c>
    </row>
    <row r="542" spans="1:2" x14ac:dyDescent="0.25">
      <c r="A542" t="s">
        <v>99</v>
      </c>
      <c r="B542" t="s">
        <v>620</v>
      </c>
    </row>
    <row r="543" spans="1:2" x14ac:dyDescent="0.25">
      <c r="A543" t="s">
        <v>103</v>
      </c>
      <c r="B543" t="s">
        <v>620</v>
      </c>
    </row>
    <row r="544" spans="1:2" x14ac:dyDescent="0.25">
      <c r="A544" t="s">
        <v>105</v>
      </c>
      <c r="B544" t="s">
        <v>620</v>
      </c>
    </row>
    <row r="545" spans="1:2" x14ac:dyDescent="0.25">
      <c r="A545" t="s">
        <v>111</v>
      </c>
      <c r="B545" t="s">
        <v>620</v>
      </c>
    </row>
    <row r="546" spans="1:2" x14ac:dyDescent="0.25">
      <c r="A546" t="s">
        <v>113</v>
      </c>
      <c r="B546" t="s">
        <v>620</v>
      </c>
    </row>
    <row r="547" spans="1:2" x14ac:dyDescent="0.25">
      <c r="A547" t="s">
        <v>119</v>
      </c>
      <c r="B547" t="s">
        <v>620</v>
      </c>
    </row>
    <row r="548" spans="1:2" x14ac:dyDescent="0.25">
      <c r="A548" t="s">
        <v>744</v>
      </c>
      <c r="B548" t="s">
        <v>620</v>
      </c>
    </row>
    <row r="549" spans="1:2" x14ac:dyDescent="0.25">
      <c r="A549" t="s">
        <v>371</v>
      </c>
      <c r="B549" t="s">
        <v>618</v>
      </c>
    </row>
    <row r="550" spans="1:2" x14ac:dyDescent="0.25">
      <c r="A550" t="s">
        <v>154</v>
      </c>
      <c r="B550" t="s">
        <v>616</v>
      </c>
    </row>
    <row r="551" spans="1:2" x14ac:dyDescent="0.25">
      <c r="A551" t="s">
        <v>225</v>
      </c>
      <c r="B551" t="s">
        <v>616</v>
      </c>
    </row>
    <row r="552" spans="1:2" x14ac:dyDescent="0.25">
      <c r="A552" t="s">
        <v>745</v>
      </c>
      <c r="B552" t="s">
        <v>616</v>
      </c>
    </row>
    <row r="553" spans="1:2" x14ac:dyDescent="0.25">
      <c r="A553" t="s">
        <v>451</v>
      </c>
      <c r="B553" t="s">
        <v>616</v>
      </c>
    </row>
    <row r="554" spans="1:2" x14ac:dyDescent="0.25">
      <c r="A554" t="s">
        <v>419</v>
      </c>
      <c r="B554" t="s">
        <v>620</v>
      </c>
    </row>
    <row r="555" spans="1:2" x14ac:dyDescent="0.25">
      <c r="A555" t="s">
        <v>374</v>
      </c>
      <c r="B555" t="s">
        <v>618</v>
      </c>
    </row>
    <row r="556" spans="1:2" x14ac:dyDescent="0.25">
      <c r="A556" t="s">
        <v>120</v>
      </c>
      <c r="B556" t="s">
        <v>612</v>
      </c>
    </row>
    <row r="557" spans="1:2" x14ac:dyDescent="0.25">
      <c r="A557" t="s">
        <v>79</v>
      </c>
      <c r="B557" t="s">
        <v>612</v>
      </c>
    </row>
    <row r="558" spans="1:2" x14ac:dyDescent="0.25">
      <c r="A558" t="s">
        <v>75</v>
      </c>
      <c r="B558" t="s">
        <v>612</v>
      </c>
    </row>
    <row r="559" spans="1:2" x14ac:dyDescent="0.25">
      <c r="A559" t="s">
        <v>746</v>
      </c>
      <c r="B559" t="s">
        <v>616</v>
      </c>
    </row>
    <row r="560" spans="1:2" x14ac:dyDescent="0.25">
      <c r="A560" t="s">
        <v>747</v>
      </c>
      <c r="B560" t="s">
        <v>612</v>
      </c>
    </row>
    <row r="561" spans="1:2" x14ac:dyDescent="0.25">
      <c r="A561" t="s">
        <v>233</v>
      </c>
      <c r="B561" t="s">
        <v>616</v>
      </c>
    </row>
    <row r="562" spans="1:2" x14ac:dyDescent="0.25">
      <c r="A562" t="s">
        <v>377</v>
      </c>
      <c r="B562" t="s">
        <v>620</v>
      </c>
    </row>
    <row r="563" spans="1:2" x14ac:dyDescent="0.25">
      <c r="A563" t="s">
        <v>373</v>
      </c>
      <c r="B563" t="s">
        <v>620</v>
      </c>
    </row>
    <row r="564" spans="1:2" x14ac:dyDescent="0.25">
      <c r="A564" t="s">
        <v>445</v>
      </c>
      <c r="B564" t="s">
        <v>612</v>
      </c>
    </row>
    <row r="565" spans="1:2" x14ac:dyDescent="0.25">
      <c r="A565" t="s">
        <v>235</v>
      </c>
      <c r="B565" t="s">
        <v>612</v>
      </c>
    </row>
    <row r="566" spans="1:2" x14ac:dyDescent="0.25">
      <c r="A566" t="s">
        <v>424</v>
      </c>
      <c r="B566" t="s">
        <v>612</v>
      </c>
    </row>
    <row r="567" spans="1:2" x14ac:dyDescent="0.25">
      <c r="A567" t="s">
        <v>422</v>
      </c>
      <c r="B567" t="s">
        <v>612</v>
      </c>
    </row>
    <row r="568" spans="1:2" x14ac:dyDescent="0.25">
      <c r="A568" t="s">
        <v>447</v>
      </c>
      <c r="B568" t="s">
        <v>612</v>
      </c>
    </row>
    <row r="569" spans="1:2" x14ac:dyDescent="0.25">
      <c r="A569" t="s">
        <v>232</v>
      </c>
      <c r="B569" t="s">
        <v>612</v>
      </c>
    </row>
    <row r="570" spans="1:2" x14ac:dyDescent="0.25">
      <c r="A570" t="s">
        <v>421</v>
      </c>
      <c r="B570" t="s">
        <v>618</v>
      </c>
    </row>
    <row r="571" spans="1:2" x14ac:dyDescent="0.25">
      <c r="A571" t="s">
        <v>423</v>
      </c>
      <c r="B571" t="s">
        <v>620</v>
      </c>
    </row>
    <row r="572" spans="1:2" x14ac:dyDescent="0.25">
      <c r="A572" t="s">
        <v>748</v>
      </c>
      <c r="B572" t="s">
        <v>612</v>
      </c>
    </row>
    <row r="573" spans="1:2" x14ac:dyDescent="0.25">
      <c r="A573" t="s">
        <v>749</v>
      </c>
      <c r="B573" t="s">
        <v>616</v>
      </c>
    </row>
    <row r="574" spans="1:2" x14ac:dyDescent="0.25">
      <c r="A574" t="s">
        <v>750</v>
      </c>
      <c r="B574" t="s">
        <v>616</v>
      </c>
    </row>
    <row r="575" spans="1:2" x14ac:dyDescent="0.25">
      <c r="A575" t="s">
        <v>751</v>
      </c>
      <c r="B575" t="s">
        <v>616</v>
      </c>
    </row>
    <row r="576" spans="1:2" x14ac:dyDescent="0.25">
      <c r="A576" t="s">
        <v>444</v>
      </c>
      <c r="B576" t="s">
        <v>618</v>
      </c>
    </row>
    <row r="577" spans="1:2" x14ac:dyDescent="0.25">
      <c r="A577" t="s">
        <v>71</v>
      </c>
      <c r="B577" t="s">
        <v>618</v>
      </c>
    </row>
    <row r="578" spans="1:2" x14ac:dyDescent="0.25">
      <c r="A578" t="s">
        <v>231</v>
      </c>
      <c r="B578" t="s">
        <v>620</v>
      </c>
    </row>
    <row r="579" spans="1:2" x14ac:dyDescent="0.25">
      <c r="A579" t="s">
        <v>234</v>
      </c>
      <c r="B579" t="s">
        <v>620</v>
      </c>
    </row>
    <row r="580" spans="1:2" x14ac:dyDescent="0.25">
      <c r="A580" t="s">
        <v>514</v>
      </c>
      <c r="B580" t="s">
        <v>612</v>
      </c>
    </row>
    <row r="581" spans="1:2" x14ac:dyDescent="0.25">
      <c r="A581" t="s">
        <v>752</v>
      </c>
      <c r="B581" t="s">
        <v>612</v>
      </c>
    </row>
    <row r="582" spans="1:2" x14ac:dyDescent="0.25">
      <c r="A582" t="s">
        <v>121</v>
      </c>
      <c r="B582" t="s">
        <v>618</v>
      </c>
    </row>
    <row r="583" spans="1:2" x14ac:dyDescent="0.25">
      <c r="A583" t="s">
        <v>124</v>
      </c>
      <c r="B583" t="s">
        <v>620</v>
      </c>
    </row>
    <row r="584" spans="1:2" x14ac:dyDescent="0.25">
      <c r="A584" t="s">
        <v>181</v>
      </c>
      <c r="B584" t="s">
        <v>612</v>
      </c>
    </row>
    <row r="585" spans="1:2" x14ac:dyDescent="0.25">
      <c r="A585" t="s">
        <v>70</v>
      </c>
      <c r="B585" t="s">
        <v>620</v>
      </c>
    </row>
    <row r="586" spans="1:2" x14ac:dyDescent="0.25">
      <c r="A586" t="s">
        <v>237</v>
      </c>
      <c r="B586" t="s">
        <v>612</v>
      </c>
    </row>
    <row r="587" spans="1:2" x14ac:dyDescent="0.25">
      <c r="A587" t="s">
        <v>367</v>
      </c>
      <c r="B587" t="s">
        <v>612</v>
      </c>
    </row>
    <row r="588" spans="1:2" x14ac:dyDescent="0.25">
      <c r="A588" t="s">
        <v>370</v>
      </c>
      <c r="B588" t="s">
        <v>612</v>
      </c>
    </row>
    <row r="589" spans="1:2" x14ac:dyDescent="0.25">
      <c r="A589" t="s">
        <v>127</v>
      </c>
      <c r="B589" t="s">
        <v>620</v>
      </c>
    </row>
    <row r="590" spans="1:2" x14ac:dyDescent="0.25">
      <c r="A590" t="s">
        <v>378</v>
      </c>
      <c r="B590" t="s">
        <v>620</v>
      </c>
    </row>
    <row r="591" spans="1:2" x14ac:dyDescent="0.25">
      <c r="A591" t="s">
        <v>753</v>
      </c>
      <c r="B591" t="s">
        <v>616</v>
      </c>
    </row>
    <row r="592" spans="1:2" x14ac:dyDescent="0.25">
      <c r="A592" t="s">
        <v>131</v>
      </c>
      <c r="B592" t="s">
        <v>616</v>
      </c>
    </row>
    <row r="593" spans="1:2" x14ac:dyDescent="0.25">
      <c r="A593" t="s">
        <v>130</v>
      </c>
      <c r="B593" t="s">
        <v>618</v>
      </c>
    </row>
    <row r="594" spans="1:2" x14ac:dyDescent="0.25">
      <c r="A594" t="s">
        <v>236</v>
      </c>
      <c r="B594" t="s">
        <v>620</v>
      </c>
    </row>
    <row r="595" spans="1:2" x14ac:dyDescent="0.25">
      <c r="A595" t="s">
        <v>239</v>
      </c>
      <c r="B595" t="s">
        <v>612</v>
      </c>
    </row>
    <row r="596" spans="1:2" x14ac:dyDescent="0.25">
      <c r="A596" t="s">
        <v>238</v>
      </c>
      <c r="B596" t="s">
        <v>620</v>
      </c>
    </row>
    <row r="597" spans="1:2" x14ac:dyDescent="0.25">
      <c r="A597" t="s">
        <v>153</v>
      </c>
      <c r="B597" t="s">
        <v>616</v>
      </c>
    </row>
    <row r="598" spans="1:2" x14ac:dyDescent="0.25">
      <c r="A598" t="s">
        <v>115</v>
      </c>
      <c r="B598" t="s">
        <v>620</v>
      </c>
    </row>
    <row r="599" spans="1:2" x14ac:dyDescent="0.25">
      <c r="A599" t="s">
        <v>134</v>
      </c>
      <c r="B599" t="s">
        <v>612</v>
      </c>
    </row>
    <row r="600" spans="1:2" x14ac:dyDescent="0.25">
      <c r="A600" t="s">
        <v>754</v>
      </c>
      <c r="B600" t="s">
        <v>616</v>
      </c>
    </row>
    <row r="601" spans="1:2" x14ac:dyDescent="0.25">
      <c r="A601" t="s">
        <v>755</v>
      </c>
      <c r="B601" t="s">
        <v>612</v>
      </c>
    </row>
    <row r="602" spans="1:2" x14ac:dyDescent="0.25">
      <c r="A602" t="s">
        <v>756</v>
      </c>
      <c r="B602" t="s">
        <v>612</v>
      </c>
    </row>
    <row r="603" spans="1:2" x14ac:dyDescent="0.25">
      <c r="A603" t="s">
        <v>369</v>
      </c>
      <c r="B603" t="s">
        <v>612</v>
      </c>
    </row>
    <row r="604" spans="1:2" x14ac:dyDescent="0.25">
      <c r="A604" t="s">
        <v>68</v>
      </c>
      <c r="B604" t="s">
        <v>620</v>
      </c>
    </row>
    <row r="605" spans="1:2" x14ac:dyDescent="0.25">
      <c r="A605" t="s">
        <v>368</v>
      </c>
      <c r="B605" t="s">
        <v>616</v>
      </c>
    </row>
    <row r="606" spans="1:2" x14ac:dyDescent="0.25">
      <c r="A606" t="s">
        <v>164</v>
      </c>
      <c r="B606" t="s">
        <v>616</v>
      </c>
    </row>
    <row r="607" spans="1:2" x14ac:dyDescent="0.25">
      <c r="A607" t="s">
        <v>589</v>
      </c>
      <c r="B607" t="s">
        <v>616</v>
      </c>
    </row>
    <row r="608" spans="1:2" x14ac:dyDescent="0.25">
      <c r="A608" t="s">
        <v>329</v>
      </c>
      <c r="B608" t="s">
        <v>616</v>
      </c>
    </row>
    <row r="609" spans="1:2" x14ac:dyDescent="0.25">
      <c r="A609" t="s">
        <v>366</v>
      </c>
      <c r="B609" t="s">
        <v>620</v>
      </c>
    </row>
    <row r="610" spans="1:2" x14ac:dyDescent="0.25">
      <c r="A610" t="s">
        <v>341</v>
      </c>
      <c r="B610" t="s">
        <v>616</v>
      </c>
    </row>
    <row r="611" spans="1:2" x14ac:dyDescent="0.25">
      <c r="A611" t="s">
        <v>757</v>
      </c>
      <c r="B611" t="s">
        <v>616</v>
      </c>
    </row>
    <row r="612" spans="1:2" x14ac:dyDescent="0.25">
      <c r="A612" t="s">
        <v>758</v>
      </c>
      <c r="B612" t="s">
        <v>616</v>
      </c>
    </row>
    <row r="613" spans="1:2" x14ac:dyDescent="0.25">
      <c r="A613" t="s">
        <v>759</v>
      </c>
      <c r="B613" t="s">
        <v>616</v>
      </c>
    </row>
    <row r="614" spans="1:2" x14ac:dyDescent="0.25">
      <c r="A614" t="s">
        <v>760</v>
      </c>
      <c r="B614" t="s">
        <v>616</v>
      </c>
    </row>
    <row r="615" spans="1:2" x14ac:dyDescent="0.25">
      <c r="A615" t="s">
        <v>761</v>
      </c>
      <c r="B615" t="s">
        <v>616</v>
      </c>
    </row>
    <row r="616" spans="1:2" x14ac:dyDescent="0.25">
      <c r="A616" t="s">
        <v>762</v>
      </c>
      <c r="B616" t="s">
        <v>616</v>
      </c>
    </row>
    <row r="617" spans="1:2" x14ac:dyDescent="0.25">
      <c r="A617" t="s">
        <v>763</v>
      </c>
      <c r="B617" t="s">
        <v>616</v>
      </c>
    </row>
    <row r="618" spans="1:2" x14ac:dyDescent="0.25">
      <c r="A618" t="s">
        <v>764</v>
      </c>
      <c r="B618" t="s">
        <v>616</v>
      </c>
    </row>
    <row r="619" spans="1:2" x14ac:dyDescent="0.25">
      <c r="A619" t="s">
        <v>69</v>
      </c>
      <c r="B619" t="s">
        <v>616</v>
      </c>
    </row>
    <row r="620" spans="1:2" x14ac:dyDescent="0.25">
      <c r="A620" t="s">
        <v>177</v>
      </c>
      <c r="B620" t="s">
        <v>620</v>
      </c>
    </row>
    <row r="621" spans="1:2" x14ac:dyDescent="0.25">
      <c r="A621" t="s">
        <v>765</v>
      </c>
      <c r="B621" t="s">
        <v>616</v>
      </c>
    </row>
    <row r="622" spans="1:2" x14ac:dyDescent="0.25">
      <c r="A622" t="s">
        <v>766</v>
      </c>
      <c r="B622" t="s">
        <v>616</v>
      </c>
    </row>
    <row r="623" spans="1:2" x14ac:dyDescent="0.25">
      <c r="A623" t="s">
        <v>325</v>
      </c>
      <c r="B623" t="s">
        <v>612</v>
      </c>
    </row>
    <row r="624" spans="1:2" x14ac:dyDescent="0.25">
      <c r="A624" t="s">
        <v>326</v>
      </c>
      <c r="B624" t="s">
        <v>612</v>
      </c>
    </row>
    <row r="625" spans="1:2" x14ac:dyDescent="0.25">
      <c r="A625" t="s">
        <v>324</v>
      </c>
      <c r="B625" t="s">
        <v>620</v>
      </c>
    </row>
    <row r="626" spans="1:2" x14ac:dyDescent="0.25">
      <c r="A626" t="s">
        <v>118</v>
      </c>
      <c r="B626" t="s">
        <v>620</v>
      </c>
    </row>
    <row r="627" spans="1:2" x14ac:dyDescent="0.25">
      <c r="A627" t="s">
        <v>279</v>
      </c>
      <c r="B627" t="s">
        <v>616</v>
      </c>
    </row>
    <row r="628" spans="1:2" x14ac:dyDescent="0.25">
      <c r="A628" t="s">
        <v>767</v>
      </c>
      <c r="B628" t="s">
        <v>612</v>
      </c>
    </row>
    <row r="629" spans="1:2" x14ac:dyDescent="0.25">
      <c r="A629" t="s">
        <v>63</v>
      </c>
      <c r="B629" t="s">
        <v>612</v>
      </c>
    </row>
    <row r="630" spans="1:2" x14ac:dyDescent="0.25">
      <c r="A630" t="s">
        <v>768</v>
      </c>
      <c r="B630" t="s">
        <v>616</v>
      </c>
    </row>
    <row r="631" spans="1:2" x14ac:dyDescent="0.25">
      <c r="A631" t="s">
        <v>172</v>
      </c>
      <c r="B631" t="s">
        <v>618</v>
      </c>
    </row>
    <row r="632" spans="1:2" x14ac:dyDescent="0.25">
      <c r="A632" t="s">
        <v>769</v>
      </c>
      <c r="B632" t="s">
        <v>612</v>
      </c>
    </row>
    <row r="633" spans="1:2" x14ac:dyDescent="0.25">
      <c r="A633" t="s">
        <v>770</v>
      </c>
      <c r="B633" t="s">
        <v>616</v>
      </c>
    </row>
    <row r="634" spans="1:2" x14ac:dyDescent="0.25">
      <c r="A634" t="s">
        <v>771</v>
      </c>
      <c r="B634" t="s">
        <v>620</v>
      </c>
    </row>
    <row r="635" spans="1:2" x14ac:dyDescent="0.25">
      <c r="A635" t="s">
        <v>772</v>
      </c>
      <c r="B635" t="s">
        <v>620</v>
      </c>
    </row>
    <row r="636" spans="1:2" x14ac:dyDescent="0.25">
      <c r="A636" t="s">
        <v>471</v>
      </c>
      <c r="B636" t="s">
        <v>620</v>
      </c>
    </row>
    <row r="637" spans="1:2" x14ac:dyDescent="0.25">
      <c r="A637" t="s">
        <v>83</v>
      </c>
      <c r="B637" t="s">
        <v>618</v>
      </c>
    </row>
    <row r="638" spans="1:2" x14ac:dyDescent="0.25">
      <c r="A638" t="s">
        <v>461</v>
      </c>
      <c r="B638" t="s">
        <v>612</v>
      </c>
    </row>
    <row r="639" spans="1:2" x14ac:dyDescent="0.25">
      <c r="A639" t="s">
        <v>470</v>
      </c>
      <c r="B639" t="s">
        <v>616</v>
      </c>
    </row>
    <row r="640" spans="1:2" x14ac:dyDescent="0.25">
      <c r="A640" t="s">
        <v>469</v>
      </c>
      <c r="B640" t="s">
        <v>620</v>
      </c>
    </row>
    <row r="641" spans="1:2" x14ac:dyDescent="0.25">
      <c r="A641" t="s">
        <v>773</v>
      </c>
      <c r="B641" t="s">
        <v>618</v>
      </c>
    </row>
    <row r="642" spans="1:2" x14ac:dyDescent="0.25">
      <c r="A642" t="s">
        <v>774</v>
      </c>
      <c r="B642" t="s">
        <v>618</v>
      </c>
    </row>
    <row r="643" spans="1:2" x14ac:dyDescent="0.25">
      <c r="A643" t="s">
        <v>775</v>
      </c>
      <c r="B643" t="s">
        <v>618</v>
      </c>
    </row>
    <row r="644" spans="1:2" x14ac:dyDescent="0.25">
      <c r="A644" t="s">
        <v>776</v>
      </c>
      <c r="B644" t="s">
        <v>618</v>
      </c>
    </row>
    <row r="645" spans="1:2" x14ac:dyDescent="0.25">
      <c r="A645" t="s">
        <v>777</v>
      </c>
      <c r="B645" t="s">
        <v>618</v>
      </c>
    </row>
    <row r="646" spans="1:2" x14ac:dyDescent="0.25">
      <c r="A646" t="s">
        <v>778</v>
      </c>
      <c r="B646" t="s">
        <v>618</v>
      </c>
    </row>
    <row r="647" spans="1:2" x14ac:dyDescent="0.25">
      <c r="A647" t="s">
        <v>779</v>
      </c>
      <c r="B647" t="s">
        <v>618</v>
      </c>
    </row>
    <row r="648" spans="1:2" x14ac:dyDescent="0.25">
      <c r="A648" t="s">
        <v>314</v>
      </c>
      <c r="B648" t="s">
        <v>618</v>
      </c>
    </row>
    <row r="649" spans="1:2" x14ac:dyDescent="0.25">
      <c r="A649" t="s">
        <v>310</v>
      </c>
      <c r="B649" t="s">
        <v>618</v>
      </c>
    </row>
    <row r="650" spans="1:2" x14ac:dyDescent="0.25">
      <c r="A650" t="s">
        <v>313</v>
      </c>
      <c r="B650" t="s">
        <v>612</v>
      </c>
    </row>
    <row r="651" spans="1:2" x14ac:dyDescent="0.25">
      <c r="A651" t="s">
        <v>312</v>
      </c>
      <c r="B651" t="s">
        <v>618</v>
      </c>
    </row>
    <row r="652" spans="1:2" x14ac:dyDescent="0.25">
      <c r="A652" t="s">
        <v>459</v>
      </c>
      <c r="B652" t="s">
        <v>620</v>
      </c>
    </row>
    <row r="653" spans="1:2" x14ac:dyDescent="0.25">
      <c r="A653" t="s">
        <v>427</v>
      </c>
      <c r="B653" t="s">
        <v>620</v>
      </c>
    </row>
    <row r="654" spans="1:2" x14ac:dyDescent="0.25">
      <c r="A654" t="s">
        <v>317</v>
      </c>
      <c r="B654" t="s">
        <v>612</v>
      </c>
    </row>
    <row r="655" spans="1:2" x14ac:dyDescent="0.25">
      <c r="A655" t="s">
        <v>316</v>
      </c>
      <c r="B655" t="s">
        <v>618</v>
      </c>
    </row>
    <row r="656" spans="1:2" x14ac:dyDescent="0.25">
      <c r="A656" t="s">
        <v>780</v>
      </c>
      <c r="B656" t="s">
        <v>618</v>
      </c>
    </row>
    <row r="657" spans="1:2" x14ac:dyDescent="0.25">
      <c r="A657" t="s">
        <v>781</v>
      </c>
      <c r="B657" t="s">
        <v>620</v>
      </c>
    </row>
    <row r="658" spans="1:2" x14ac:dyDescent="0.25">
      <c r="A658" t="s">
        <v>117</v>
      </c>
      <c r="B658" t="s">
        <v>616</v>
      </c>
    </row>
    <row r="659" spans="1:2" x14ac:dyDescent="0.25">
      <c r="A659" t="s">
        <v>175</v>
      </c>
      <c r="B659" t="s">
        <v>612</v>
      </c>
    </row>
    <row r="660" spans="1:2" x14ac:dyDescent="0.25">
      <c r="A660" t="s">
        <v>543</v>
      </c>
      <c r="B660" t="s">
        <v>612</v>
      </c>
    </row>
    <row r="661" spans="1:2" x14ac:dyDescent="0.25">
      <c r="A661" t="s">
        <v>542</v>
      </c>
      <c r="B661" t="s">
        <v>612</v>
      </c>
    </row>
    <row r="662" spans="1:2" x14ac:dyDescent="0.25">
      <c r="A662" t="s">
        <v>537</v>
      </c>
      <c r="B662" t="s">
        <v>612</v>
      </c>
    </row>
    <row r="663" spans="1:2" x14ac:dyDescent="0.25">
      <c r="A663" t="s">
        <v>536</v>
      </c>
      <c r="B663" t="s">
        <v>612</v>
      </c>
    </row>
    <row r="664" spans="1:2" x14ac:dyDescent="0.25">
      <c r="A664" t="s">
        <v>534</v>
      </c>
      <c r="B664" t="s">
        <v>612</v>
      </c>
    </row>
    <row r="665" spans="1:2" x14ac:dyDescent="0.25">
      <c r="A665" t="s">
        <v>533</v>
      </c>
      <c r="B665" t="s">
        <v>612</v>
      </c>
    </row>
    <row r="666" spans="1:2" x14ac:dyDescent="0.25">
      <c r="A666" t="s">
        <v>540</v>
      </c>
      <c r="B666" t="s">
        <v>612</v>
      </c>
    </row>
    <row r="667" spans="1:2" x14ac:dyDescent="0.25">
      <c r="A667" t="s">
        <v>539</v>
      </c>
      <c r="B667" t="s">
        <v>612</v>
      </c>
    </row>
    <row r="668" spans="1:2" x14ac:dyDescent="0.25">
      <c r="A668" t="s">
        <v>450</v>
      </c>
      <c r="B668" t="s">
        <v>612</v>
      </c>
    </row>
    <row r="669" spans="1:2" x14ac:dyDescent="0.25">
      <c r="A669" t="s">
        <v>782</v>
      </c>
      <c r="B669" t="s">
        <v>620</v>
      </c>
    </row>
    <row r="670" spans="1:2" x14ac:dyDescent="0.25">
      <c r="A670" t="s">
        <v>174</v>
      </c>
      <c r="B670" t="s">
        <v>618</v>
      </c>
    </row>
    <row r="671" spans="1:2" x14ac:dyDescent="0.25">
      <c r="A671" t="s">
        <v>176</v>
      </c>
      <c r="B671" t="s">
        <v>618</v>
      </c>
    </row>
    <row r="672" spans="1:2" x14ac:dyDescent="0.25">
      <c r="A672" t="s">
        <v>322</v>
      </c>
      <c r="B672" t="s">
        <v>620</v>
      </c>
    </row>
    <row r="673" spans="1:2" x14ac:dyDescent="0.25">
      <c r="A673" t="s">
        <v>783</v>
      </c>
      <c r="B673" t="s">
        <v>620</v>
      </c>
    </row>
    <row r="674" spans="1:2" x14ac:dyDescent="0.25">
      <c r="A674" t="s">
        <v>784</v>
      </c>
      <c r="B674" t="s">
        <v>612</v>
      </c>
    </row>
    <row r="675" spans="1:2" x14ac:dyDescent="0.25">
      <c r="A675" t="s">
        <v>785</v>
      </c>
      <c r="B675" t="s">
        <v>618</v>
      </c>
    </row>
    <row r="676" spans="1:2" x14ac:dyDescent="0.25">
      <c r="A676" t="s">
        <v>786</v>
      </c>
      <c r="B676" t="s">
        <v>618</v>
      </c>
    </row>
    <row r="677" spans="1:2" x14ac:dyDescent="0.25">
      <c r="A677" t="s">
        <v>586</v>
      </c>
      <c r="B677" t="s">
        <v>612</v>
      </c>
    </row>
    <row r="678" spans="1:2" x14ac:dyDescent="0.25">
      <c r="A678" t="s">
        <v>433</v>
      </c>
      <c r="B678" t="s">
        <v>612</v>
      </c>
    </row>
    <row r="679" spans="1:2" x14ac:dyDescent="0.25">
      <c r="A679" t="s">
        <v>430</v>
      </c>
      <c r="B679" t="s">
        <v>612</v>
      </c>
    </row>
    <row r="680" spans="1:2" x14ac:dyDescent="0.25">
      <c r="A680" t="s">
        <v>426</v>
      </c>
      <c r="B680" t="s">
        <v>620</v>
      </c>
    </row>
    <row r="681" spans="1:2" x14ac:dyDescent="0.25">
      <c r="A681" t="s">
        <v>394</v>
      </c>
      <c r="B681" t="s">
        <v>618</v>
      </c>
    </row>
    <row r="682" spans="1:2" x14ac:dyDescent="0.25">
      <c r="A682" t="s">
        <v>449</v>
      </c>
      <c r="B682" t="s">
        <v>618</v>
      </c>
    </row>
    <row r="683" spans="1:2" x14ac:dyDescent="0.25">
      <c r="A683" t="s">
        <v>787</v>
      </c>
      <c r="B683" t="s">
        <v>620</v>
      </c>
    </row>
    <row r="684" spans="1:2" x14ac:dyDescent="0.25">
      <c r="A684" t="s">
        <v>788</v>
      </c>
      <c r="B684" t="s">
        <v>620</v>
      </c>
    </row>
    <row r="685" spans="1:2" x14ac:dyDescent="0.25">
      <c r="A685" t="s">
        <v>789</v>
      </c>
      <c r="B685" t="s">
        <v>612</v>
      </c>
    </row>
    <row r="686" spans="1:2" x14ac:dyDescent="0.25">
      <c r="A686" t="s">
        <v>790</v>
      </c>
      <c r="B686" t="s">
        <v>612</v>
      </c>
    </row>
    <row r="687" spans="1:2" x14ac:dyDescent="0.25">
      <c r="A687" t="s">
        <v>791</v>
      </c>
      <c r="B687" t="s">
        <v>612</v>
      </c>
    </row>
    <row r="688" spans="1:2" x14ac:dyDescent="0.25">
      <c r="A688" t="s">
        <v>792</v>
      </c>
      <c r="B688" t="s">
        <v>616</v>
      </c>
    </row>
    <row r="689" spans="1:2" x14ac:dyDescent="0.25">
      <c r="A689" t="s">
        <v>793</v>
      </c>
      <c r="B689" t="s">
        <v>616</v>
      </c>
    </row>
    <row r="690" spans="1:2" x14ac:dyDescent="0.25">
      <c r="A690" t="s">
        <v>276</v>
      </c>
      <c r="B690" t="s">
        <v>620</v>
      </c>
    </row>
    <row r="691" spans="1:2" x14ac:dyDescent="0.25">
      <c r="A691" t="s">
        <v>278</v>
      </c>
      <c r="B691" t="s">
        <v>620</v>
      </c>
    </row>
    <row r="692" spans="1:2" x14ac:dyDescent="0.25">
      <c r="A692" t="s">
        <v>116</v>
      </c>
      <c r="B692" t="s">
        <v>620</v>
      </c>
    </row>
    <row r="693" spans="1:2" x14ac:dyDescent="0.25">
      <c r="A693" t="s">
        <v>474</v>
      </c>
      <c r="B693" t="s">
        <v>616</v>
      </c>
    </row>
    <row r="694" spans="1:2" x14ac:dyDescent="0.25">
      <c r="A694" t="s">
        <v>794</v>
      </c>
      <c r="B694" t="s">
        <v>612</v>
      </c>
    </row>
    <row r="695" spans="1:2" x14ac:dyDescent="0.25">
      <c r="A695" t="s">
        <v>795</v>
      </c>
      <c r="B695" t="s">
        <v>612</v>
      </c>
    </row>
    <row r="696" spans="1:2" x14ac:dyDescent="0.25">
      <c r="A696" t="s">
        <v>796</v>
      </c>
      <c r="B696" t="s">
        <v>612</v>
      </c>
    </row>
    <row r="697" spans="1:2" x14ac:dyDescent="0.25">
      <c r="A697" t="s">
        <v>797</v>
      </c>
      <c r="B697" t="s">
        <v>612</v>
      </c>
    </row>
    <row r="698" spans="1:2" x14ac:dyDescent="0.25">
      <c r="A698" t="s">
        <v>472</v>
      </c>
      <c r="B698" t="s">
        <v>620</v>
      </c>
    </row>
    <row r="699" spans="1:2" x14ac:dyDescent="0.25">
      <c r="A699" t="s">
        <v>82</v>
      </c>
      <c r="B699" t="s">
        <v>618</v>
      </c>
    </row>
    <row r="700" spans="1:2" x14ac:dyDescent="0.25">
      <c r="A700" t="s">
        <v>532</v>
      </c>
      <c r="B700" t="s">
        <v>620</v>
      </c>
    </row>
    <row r="701" spans="1:2" x14ac:dyDescent="0.25">
      <c r="A701" t="s">
        <v>535</v>
      </c>
      <c r="B701" t="s">
        <v>620</v>
      </c>
    </row>
    <row r="702" spans="1:2" x14ac:dyDescent="0.25">
      <c r="A702" t="s">
        <v>538</v>
      </c>
      <c r="B702" t="s">
        <v>620</v>
      </c>
    </row>
    <row r="703" spans="1:2" x14ac:dyDescent="0.25">
      <c r="A703" t="s">
        <v>541</v>
      </c>
      <c r="B703" t="s">
        <v>620</v>
      </c>
    </row>
    <row r="704" spans="1:2" x14ac:dyDescent="0.25">
      <c r="A704" t="s">
        <v>548</v>
      </c>
      <c r="B704" t="s">
        <v>620</v>
      </c>
    </row>
    <row r="705" spans="1:2" x14ac:dyDescent="0.25">
      <c r="A705" t="s">
        <v>414</v>
      </c>
      <c r="B705" t="s">
        <v>612</v>
      </c>
    </row>
    <row r="706" spans="1:2" x14ac:dyDescent="0.25">
      <c r="A706" t="s">
        <v>798</v>
      </c>
      <c r="B706" t="s">
        <v>612</v>
      </c>
    </row>
    <row r="707" spans="1:2" x14ac:dyDescent="0.25">
      <c r="A707" t="s">
        <v>799</v>
      </c>
      <c r="B707" t="s">
        <v>612</v>
      </c>
    </row>
    <row r="708" spans="1:2" x14ac:dyDescent="0.25">
      <c r="A708" t="s">
        <v>544</v>
      </c>
      <c r="B708" t="s">
        <v>620</v>
      </c>
    </row>
    <row r="709" spans="1:2" x14ac:dyDescent="0.25">
      <c r="A709" t="s">
        <v>545</v>
      </c>
      <c r="B709" t="s">
        <v>620</v>
      </c>
    </row>
    <row r="710" spans="1:2" x14ac:dyDescent="0.25">
      <c r="A710" t="s">
        <v>546</v>
      </c>
      <c r="B710" t="s">
        <v>620</v>
      </c>
    </row>
    <row r="711" spans="1:2" x14ac:dyDescent="0.25">
      <c r="A711" t="s">
        <v>547</v>
      </c>
      <c r="B711" t="s">
        <v>620</v>
      </c>
    </row>
    <row r="712" spans="1:2" x14ac:dyDescent="0.25">
      <c r="A712" t="s">
        <v>473</v>
      </c>
      <c r="B712" t="s">
        <v>612</v>
      </c>
    </row>
    <row r="713" spans="1:2" x14ac:dyDescent="0.25">
      <c r="A713" t="s">
        <v>402</v>
      </c>
      <c r="B713" t="s">
        <v>620</v>
      </c>
    </row>
    <row r="714" spans="1:2" x14ac:dyDescent="0.25">
      <c r="A714" t="s">
        <v>550</v>
      </c>
      <c r="B714" t="s">
        <v>612</v>
      </c>
    </row>
    <row r="715" spans="1:2" x14ac:dyDescent="0.25">
      <c r="A715" t="s">
        <v>549</v>
      </c>
      <c r="B715" t="s">
        <v>620</v>
      </c>
    </row>
    <row r="716" spans="1:2" x14ac:dyDescent="0.25">
      <c r="A716" t="s">
        <v>800</v>
      </c>
      <c r="B716" t="s">
        <v>618</v>
      </c>
    </row>
    <row r="717" spans="1:2" x14ac:dyDescent="0.25">
      <c r="A717" t="s">
        <v>528</v>
      </c>
      <c r="B717" t="s">
        <v>618</v>
      </c>
    </row>
    <row r="718" spans="1:2" x14ac:dyDescent="0.25">
      <c r="A718" t="s">
        <v>530</v>
      </c>
      <c r="B718" t="s">
        <v>618</v>
      </c>
    </row>
    <row r="719" spans="1:2" x14ac:dyDescent="0.25">
      <c r="A719" t="s">
        <v>801</v>
      </c>
      <c r="B719" t="s">
        <v>612</v>
      </c>
    </row>
    <row r="720" spans="1:2" x14ac:dyDescent="0.25">
      <c r="A720" t="s">
        <v>529</v>
      </c>
      <c r="B720" t="s">
        <v>612</v>
      </c>
    </row>
    <row r="721" spans="1:2" x14ac:dyDescent="0.25">
      <c r="A721" t="s">
        <v>531</v>
      </c>
      <c r="B721" t="s">
        <v>612</v>
      </c>
    </row>
    <row r="722" spans="1:2" x14ac:dyDescent="0.25">
      <c r="A722" t="s">
        <v>802</v>
      </c>
      <c r="B722" t="s">
        <v>612</v>
      </c>
    </row>
    <row r="723" spans="1:2" x14ac:dyDescent="0.25">
      <c r="A723" t="s">
        <v>803</v>
      </c>
      <c r="B723" t="s">
        <v>612</v>
      </c>
    </row>
    <row r="724" spans="1:2" x14ac:dyDescent="0.25">
      <c r="A724" t="s">
        <v>804</v>
      </c>
      <c r="B724" t="s">
        <v>612</v>
      </c>
    </row>
    <row r="725" spans="1:2" x14ac:dyDescent="0.25">
      <c r="A725" t="s">
        <v>805</v>
      </c>
      <c r="B725" t="s">
        <v>612</v>
      </c>
    </row>
    <row r="726" spans="1:2" x14ac:dyDescent="0.25">
      <c r="A726" t="s">
        <v>527</v>
      </c>
      <c r="B726" t="s">
        <v>618</v>
      </c>
    </row>
    <row r="727" spans="1:2" x14ac:dyDescent="0.25">
      <c r="A727" t="s">
        <v>806</v>
      </c>
      <c r="B727" t="s">
        <v>616</v>
      </c>
    </row>
    <row r="728" spans="1:2" x14ac:dyDescent="0.25">
      <c r="A728" t="s">
        <v>602</v>
      </c>
      <c r="B728" t="s">
        <v>612</v>
      </c>
    </row>
    <row r="729" spans="1:2" x14ac:dyDescent="0.25">
      <c r="A729" t="s">
        <v>601</v>
      </c>
      <c r="B729" t="s">
        <v>618</v>
      </c>
    </row>
    <row r="730" spans="1:2" x14ac:dyDescent="0.25">
      <c r="A730" t="s">
        <v>603</v>
      </c>
      <c r="B730" t="s">
        <v>620</v>
      </c>
    </row>
    <row r="731" spans="1:2" x14ac:dyDescent="0.25">
      <c r="A731" t="s">
        <v>807</v>
      </c>
      <c r="B731" t="s">
        <v>618</v>
      </c>
    </row>
    <row r="732" spans="1:2" x14ac:dyDescent="0.25">
      <c r="A732" t="s">
        <v>808</v>
      </c>
      <c r="B732" t="s">
        <v>618</v>
      </c>
    </row>
    <row r="733" spans="1:2" x14ac:dyDescent="0.25">
      <c r="A733" t="s">
        <v>598</v>
      </c>
      <c r="B733" t="s">
        <v>620</v>
      </c>
    </row>
    <row r="734" spans="1:2" x14ac:dyDescent="0.25">
      <c r="A734" t="s">
        <v>809</v>
      </c>
      <c r="B734" t="s">
        <v>612</v>
      </c>
    </row>
    <row r="735" spans="1:2" x14ac:dyDescent="0.25">
      <c r="A735" t="s">
        <v>810</v>
      </c>
      <c r="B735" t="s">
        <v>612</v>
      </c>
    </row>
    <row r="736" spans="1:2" x14ac:dyDescent="0.25">
      <c r="A736" t="s">
        <v>600</v>
      </c>
      <c r="B736" t="s">
        <v>618</v>
      </c>
    </row>
    <row r="737" spans="1:2" x14ac:dyDescent="0.25">
      <c r="A737" t="s">
        <v>811</v>
      </c>
      <c r="B737" t="s">
        <v>618</v>
      </c>
    </row>
    <row r="738" spans="1:2" x14ac:dyDescent="0.25">
      <c r="A738" t="s">
        <v>812</v>
      </c>
      <c r="B738" t="s">
        <v>618</v>
      </c>
    </row>
    <row r="739" spans="1:2" x14ac:dyDescent="0.25">
      <c r="A739" t="s">
        <v>813</v>
      </c>
      <c r="B739" t="s">
        <v>618</v>
      </c>
    </row>
    <row r="740" spans="1:2" x14ac:dyDescent="0.25">
      <c r="A740" t="s">
        <v>814</v>
      </c>
      <c r="B740" t="s">
        <v>618</v>
      </c>
    </row>
    <row r="741" spans="1:2" x14ac:dyDescent="0.25">
      <c r="A741" t="s">
        <v>815</v>
      </c>
      <c r="B741" t="s">
        <v>612</v>
      </c>
    </row>
    <row r="742" spans="1:2" x14ac:dyDescent="0.25">
      <c r="A742" t="s">
        <v>847</v>
      </c>
      <c r="B742" t="s">
        <v>620</v>
      </c>
    </row>
    <row r="743" spans="1:2" x14ac:dyDescent="0.25">
      <c r="A743" t="s">
        <v>846</v>
      </c>
      <c r="B743" t="s">
        <v>612</v>
      </c>
    </row>
    <row r="744" spans="1:2" x14ac:dyDescent="0.25">
      <c r="A744" t="s">
        <v>845</v>
      </c>
      <c r="B744" t="s">
        <v>618</v>
      </c>
    </row>
    <row r="745" spans="1:2" x14ac:dyDescent="0.25">
      <c r="A745" t="s">
        <v>848</v>
      </c>
      <c r="B745" t="s">
        <v>616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D4"/>
  <sheetViews>
    <sheetView workbookViewId="0">
      <selection activeCell="D2" sqref="D2"/>
    </sheetView>
  </sheetViews>
  <sheetFormatPr baseColWidth="10" defaultRowHeight="15" x14ac:dyDescent="0.25"/>
  <cols>
    <col min="1" max="1" width="33.28515625" customWidth="1"/>
  </cols>
  <sheetData>
    <row r="1" spans="1:4" x14ac:dyDescent="0.25">
      <c r="A1" t="s">
        <v>836</v>
      </c>
    </row>
    <row r="2" spans="1:4" x14ac:dyDescent="0.25">
      <c r="A2" t="s">
        <v>882</v>
      </c>
      <c r="D2" t="str">
        <f t="array" ref="D2">IF(SUM(TABLATRANSFERENCIA[Error Pedid Min Grupo])&gt;0,"Hay errores de pedido mínimo.",IF((SUM(--(ISNUMBER(TABLATRANSFERENCIA[DESPACHO])*(TABLATRANSFERENCIA[REQUERIM]&lt;&gt;TABLATRANSFERENCIA[DESPACHO])*(TABLATRANSFERENCIA[OBSERVACIONES DESPACHOS]="")))+SUM(--(ISNUMBER(TABLATRANSFERENCIA[RECIBIDO])*(TABLATRANSFERENCIA[DESPACHO]&lt;&gt;TABLATRANSFERENCIA[RECIBIDO])*(TABLATRANSFERENCIA[OBSERVACIONES RECEPCIONES]=""))))&lt;&gt;0,"Falta llenar Causas",""))</f>
        <v/>
      </c>
    </row>
    <row r="3" spans="1:4" x14ac:dyDescent="0.25">
      <c r="A3" t="s">
        <v>883</v>
      </c>
    </row>
    <row r="4" spans="1:4" x14ac:dyDescent="0.25">
      <c r="A4" t="s">
        <v>968</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1:D6"/>
  <sheetViews>
    <sheetView showGridLines="0" zoomScaleNormal="100" workbookViewId="0">
      <selection activeCell="A6" sqref="A6:D22"/>
    </sheetView>
  </sheetViews>
  <sheetFormatPr baseColWidth="10" defaultRowHeight="15" x14ac:dyDescent="0.25"/>
  <cols>
    <col min="1" max="1" width="17.140625" customWidth="1"/>
    <col min="2" max="2" width="56" customWidth="1"/>
    <col min="3" max="3" width="13.28515625" customWidth="1"/>
  </cols>
  <sheetData>
    <row r="1" spans="1:4" ht="15.75" x14ac:dyDescent="0.25">
      <c r="A1" s="13" t="s">
        <v>841</v>
      </c>
      <c r="B1" s="1"/>
      <c r="C1" s="1"/>
    </row>
    <row r="2" spans="1:4" x14ac:dyDescent="0.25">
      <c r="A2" t="s">
        <v>842</v>
      </c>
      <c r="B2" t="s">
        <v>1577</v>
      </c>
    </row>
    <row r="3" spans="1:4" x14ac:dyDescent="0.25">
      <c r="A3" t="s">
        <v>843</v>
      </c>
      <c r="B3" s="12">
        <f ca="1">TODAY()</f>
        <v>42838</v>
      </c>
    </row>
    <row r="5" spans="1:4" x14ac:dyDescent="0.25">
      <c r="A5" s="2" t="s">
        <v>839</v>
      </c>
      <c r="B5" s="14" t="s">
        <v>840</v>
      </c>
      <c r="C5" s="2" t="s">
        <v>28</v>
      </c>
      <c r="D5" s="2" t="s">
        <v>850</v>
      </c>
    </row>
    <row r="6" spans="1:4" x14ac:dyDescent="0.25">
      <c r="A6" s="10"/>
      <c r="B6" s="10"/>
      <c r="C6" s="11"/>
    </row>
  </sheetData>
  <sheetProtection sort="0" autoFilter="0"/>
  <pageMargins left="0.7" right="0.7" top="0.75" bottom="0.75" header="0.3" footer="0.3"/>
  <pageSetup paperSize="9" scale="86" orientation="portrait" r:id="rId1"/>
  <drawing r:id="rId2"/>
  <legacyDrawing r:id="rId3"/>
  <controls>
    <mc:AlternateContent xmlns:mc="http://schemas.openxmlformats.org/markup-compatibility/2006">
      <mc:Choice Requires="x14">
        <control shapeId="3075" r:id="rId4" name="cmdImprimir">
          <controlPr defaultSize="0" print="0" disabled="1" autoLine="0" r:id="rId5">
            <anchor>
              <from>
                <xdr:col>3</xdr:col>
                <xdr:colOff>76200</xdr:colOff>
                <xdr:row>1</xdr:row>
                <xdr:rowOff>76200</xdr:rowOff>
              </from>
              <to>
                <xdr:col>4</xdr:col>
                <xdr:colOff>47625</xdr:colOff>
                <xdr:row>2</xdr:row>
                <xdr:rowOff>152400</xdr:rowOff>
              </to>
            </anchor>
          </controlPr>
        </control>
      </mc:Choice>
      <mc:Fallback>
        <control shapeId="3075" r:id="rId4" name="cmdImprimir"/>
      </mc:Fallback>
    </mc:AlternateContent>
    <mc:AlternateContent xmlns:mc="http://schemas.openxmlformats.org/markup-compatibility/2006">
      <mc:Choice Requires="x14">
        <control shapeId="3073" r:id="rId6" name="cmdVolver">
          <controlPr defaultSize="0" print="0" autoLine="0" r:id="rId7">
            <anchor>
              <from>
                <xdr:col>3</xdr:col>
                <xdr:colOff>76200</xdr:colOff>
                <xdr:row>0</xdr:row>
                <xdr:rowOff>19050</xdr:rowOff>
              </from>
              <to>
                <xdr:col>4</xdr:col>
                <xdr:colOff>47625</xdr:colOff>
                <xdr:row>1</xdr:row>
                <xdr:rowOff>85725</xdr:rowOff>
              </to>
            </anchor>
          </controlPr>
        </control>
      </mc:Choice>
      <mc:Fallback>
        <control shapeId="3073" r:id="rId6" name="cmdVolver"/>
      </mc:Fallback>
    </mc:AlternateContent>
  </controls>
  <tableParts count="1">
    <tablePart r:id="rId8"/>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dimension ref="A1:B3"/>
  <sheetViews>
    <sheetView workbookViewId="0">
      <selection sqref="A1:B3"/>
    </sheetView>
  </sheetViews>
  <sheetFormatPr baseColWidth="10" defaultRowHeight="15" x14ac:dyDescent="0.25"/>
  <sheetData>
    <row r="1" spans="1:2" x14ac:dyDescent="0.25">
      <c r="A1" s="15" t="s">
        <v>26</v>
      </c>
      <c r="B1" s="15" t="s">
        <v>851</v>
      </c>
    </row>
    <row r="2" spans="1:2" x14ac:dyDescent="0.25">
      <c r="A2" s="16" t="str">
        <f>"=**"</f>
        <v>=**</v>
      </c>
      <c r="B2" s="15"/>
    </row>
    <row r="3" spans="1:2" x14ac:dyDescent="0.25">
      <c r="A3" s="15"/>
      <c r="B3" s="16" t="str">
        <f>"=**"</f>
        <v>=**</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dimension ref="A1:DF2"/>
  <sheetViews>
    <sheetView workbookViewId="0">
      <selection activeCell="B2" sqref="B2:B140"/>
    </sheetView>
  </sheetViews>
  <sheetFormatPr baseColWidth="10" defaultRowHeight="15" x14ac:dyDescent="0.25"/>
  <cols>
    <col min="1" max="1" width="15" customWidth="1"/>
    <col min="2" max="2" width="13.7109375" customWidth="1"/>
    <col min="3" max="3" width="13.85546875" customWidth="1"/>
    <col min="4" max="4" width="16.5703125" customWidth="1"/>
    <col min="5" max="5" width="12.140625" customWidth="1"/>
    <col min="6" max="6" width="13.140625" customWidth="1"/>
    <col min="7" max="7" width="21.85546875" customWidth="1"/>
    <col min="8" max="8" width="22.7109375" customWidth="1"/>
    <col min="9" max="9" width="32.28515625" bestFit="1" customWidth="1"/>
    <col min="10" max="10" width="12.42578125" customWidth="1"/>
    <col min="11" max="11" width="11.7109375" customWidth="1"/>
    <col min="12" max="12" width="28.140625" customWidth="1"/>
    <col min="13" max="13" width="23.85546875" customWidth="1"/>
    <col min="14" max="14" width="20" customWidth="1"/>
    <col min="18" max="18" width="21.42578125" customWidth="1"/>
    <col min="19" max="19" width="27.5703125" customWidth="1"/>
    <col min="20" max="20" width="22.85546875" customWidth="1"/>
    <col min="21" max="21" width="25.5703125" customWidth="1"/>
    <col min="22" max="22" width="26.7109375" customWidth="1"/>
    <col min="23" max="23" width="12.85546875" customWidth="1"/>
    <col min="24" max="24" width="22.140625" customWidth="1"/>
    <col min="25" max="25" width="11.7109375" customWidth="1"/>
    <col min="26" max="26" width="19.85546875" customWidth="1"/>
    <col min="27" max="27" width="14.140625" customWidth="1"/>
    <col min="28" max="28" width="17.85546875" customWidth="1"/>
    <col min="29" max="30" width="17.140625" customWidth="1"/>
    <col min="31" max="31" width="20.42578125" customWidth="1"/>
    <col min="32" max="32" width="16.140625" customWidth="1"/>
    <col min="33" max="33" width="27.42578125" customWidth="1"/>
    <col min="34" max="34" width="22.85546875" customWidth="1"/>
    <col min="35" max="35" width="18" customWidth="1"/>
    <col min="36" max="36" width="23.28515625" customWidth="1"/>
    <col min="39" max="39" width="18.140625" customWidth="1"/>
    <col min="40" max="40" width="14.28515625" customWidth="1"/>
    <col min="41" max="41" width="19.5703125" customWidth="1"/>
    <col min="42" max="42" width="20.5703125" customWidth="1"/>
    <col min="43" max="43" width="18.42578125" customWidth="1"/>
    <col min="44" max="44" width="15.28515625" customWidth="1"/>
    <col min="45" max="45" width="16.42578125" customWidth="1"/>
  </cols>
  <sheetData>
    <row r="1" spans="1:110" x14ac:dyDescent="0.25">
      <c r="A1" t="s">
        <v>1017</v>
      </c>
      <c r="B1" t="s">
        <v>920</v>
      </c>
      <c r="C1" t="s">
        <v>921</v>
      </c>
      <c r="D1" t="s">
        <v>922</v>
      </c>
      <c r="E1" t="s">
        <v>923</v>
      </c>
      <c r="F1" t="s">
        <v>924</v>
      </c>
      <c r="G1" t="s">
        <v>925</v>
      </c>
      <c r="H1" t="s">
        <v>926</v>
      </c>
      <c r="I1" t="s">
        <v>927</v>
      </c>
      <c r="J1" t="s">
        <v>928</v>
      </c>
      <c r="K1" t="s">
        <v>929</v>
      </c>
      <c r="L1" t="s">
        <v>930</v>
      </c>
      <c r="M1" t="s">
        <v>931</v>
      </c>
      <c r="N1" t="s">
        <v>932</v>
      </c>
      <c r="O1" t="s">
        <v>933</v>
      </c>
      <c r="P1" t="s">
        <v>934</v>
      </c>
      <c r="Q1" t="s">
        <v>935</v>
      </c>
      <c r="R1" t="s">
        <v>936</v>
      </c>
      <c r="S1" t="s">
        <v>937</v>
      </c>
      <c r="T1" t="s">
        <v>938</v>
      </c>
      <c r="U1" t="s">
        <v>939</v>
      </c>
      <c r="V1" t="s">
        <v>940</v>
      </c>
      <c r="W1" t="s">
        <v>941</v>
      </c>
      <c r="X1" t="s">
        <v>942</v>
      </c>
      <c r="Y1" t="s">
        <v>943</v>
      </c>
      <c r="Z1" t="s">
        <v>944</v>
      </c>
      <c r="AA1" t="s">
        <v>945</v>
      </c>
      <c r="AB1" t="s">
        <v>946</v>
      </c>
      <c r="AC1" t="s">
        <v>947</v>
      </c>
      <c r="AD1" t="s">
        <v>948</v>
      </c>
      <c r="AE1" t="s">
        <v>949</v>
      </c>
      <c r="AF1" t="s">
        <v>950</v>
      </c>
      <c r="AG1" t="s">
        <v>951</v>
      </c>
      <c r="AH1" t="s">
        <v>952</v>
      </c>
      <c r="AI1" t="s">
        <v>953</v>
      </c>
      <c r="AJ1" t="s">
        <v>954</v>
      </c>
      <c r="AK1" t="s">
        <v>955</v>
      </c>
      <c r="AL1" t="s">
        <v>956</v>
      </c>
      <c r="AM1" t="s">
        <v>957</v>
      </c>
      <c r="AN1" t="s">
        <v>958</v>
      </c>
      <c r="AO1" t="s">
        <v>959</v>
      </c>
      <c r="AP1" t="s">
        <v>960</v>
      </c>
      <c r="AQ1" t="s">
        <v>961</v>
      </c>
      <c r="AR1" t="s">
        <v>967</v>
      </c>
      <c r="AS1" t="s">
        <v>981</v>
      </c>
      <c r="AT1" t="s">
        <v>982</v>
      </c>
      <c r="AU1" t="s">
        <v>983</v>
      </c>
      <c r="AV1" t="s">
        <v>984</v>
      </c>
      <c r="AW1" t="s">
        <v>985</v>
      </c>
      <c r="AX1" t="s">
        <v>986</v>
      </c>
      <c r="AY1" t="s">
        <v>987</v>
      </c>
      <c r="AZ1" t="s">
        <v>988</v>
      </c>
      <c r="BA1" t="s">
        <v>989</v>
      </c>
      <c r="BB1" t="s">
        <v>990</v>
      </c>
      <c r="BC1" t="s">
        <v>991</v>
      </c>
      <c r="BD1" t="s">
        <v>992</v>
      </c>
      <c r="BE1" t="s">
        <v>993</v>
      </c>
      <c r="BF1" t="s">
        <v>994</v>
      </c>
      <c r="BG1" t="s">
        <v>995</v>
      </c>
      <c r="BH1" t="s">
        <v>996</v>
      </c>
      <c r="BI1" t="s">
        <v>997</v>
      </c>
      <c r="BJ1" t="s">
        <v>998</v>
      </c>
      <c r="BK1" t="s">
        <v>999</v>
      </c>
      <c r="BL1" t="s">
        <v>1000</v>
      </c>
      <c r="BM1" t="s">
        <v>1001</v>
      </c>
      <c r="BN1" t="s">
        <v>1002</v>
      </c>
      <c r="BO1" t="s">
        <v>1003</v>
      </c>
      <c r="BP1" t="s">
        <v>1004</v>
      </c>
      <c r="BQ1" t="s">
        <v>1005</v>
      </c>
      <c r="BR1" t="s">
        <v>1006</v>
      </c>
      <c r="BS1" t="s">
        <v>1007</v>
      </c>
      <c r="BT1" t="s">
        <v>1008</v>
      </c>
      <c r="BU1" t="s">
        <v>1009</v>
      </c>
      <c r="BV1" t="s">
        <v>1010</v>
      </c>
      <c r="BW1" t="s">
        <v>1011</v>
      </c>
      <c r="BX1" t="s">
        <v>1012</v>
      </c>
      <c r="BY1" t="s">
        <v>1013</v>
      </c>
      <c r="BZ1" t="s">
        <v>1014</v>
      </c>
      <c r="CA1" t="s">
        <v>1029</v>
      </c>
      <c r="CB1" t="s">
        <v>1030</v>
      </c>
      <c r="CC1" t="s">
        <v>1031</v>
      </c>
      <c r="CD1" t="s">
        <v>1041</v>
      </c>
      <c r="CE1" t="s">
        <v>1042</v>
      </c>
      <c r="CF1" t="s">
        <v>1043</v>
      </c>
      <c r="CG1" t="s">
        <v>893</v>
      </c>
      <c r="CH1" t="s">
        <v>970</v>
      </c>
      <c r="CI1" t="s">
        <v>972</v>
      </c>
      <c r="CJ1" t="s">
        <v>1018</v>
      </c>
      <c r="CK1" t="s">
        <v>894</v>
      </c>
      <c r="CL1" t="s">
        <v>895</v>
      </c>
      <c r="CM1" t="s">
        <v>896</v>
      </c>
      <c r="CN1" t="s">
        <v>897</v>
      </c>
      <c r="CO1" t="s">
        <v>898</v>
      </c>
      <c r="CP1" t="s">
        <v>899</v>
      </c>
      <c r="CQ1" t="s">
        <v>900</v>
      </c>
      <c r="CR1" t="s">
        <v>901</v>
      </c>
      <c r="CS1" t="s">
        <v>902</v>
      </c>
      <c r="CT1" t="s">
        <v>962</v>
      </c>
      <c r="CU1" t="s">
        <v>963</v>
      </c>
      <c r="CV1" t="s">
        <v>964</v>
      </c>
      <c r="CW1" t="s">
        <v>965</v>
      </c>
      <c r="CX1" t="s">
        <v>966</v>
      </c>
      <c r="CY1" t="s">
        <v>1015</v>
      </c>
      <c r="CZ1" t="s">
        <v>1016</v>
      </c>
      <c r="DA1" t="s">
        <v>1019</v>
      </c>
      <c r="DB1" t="s">
        <v>1021</v>
      </c>
      <c r="DC1" t="s">
        <v>1022</v>
      </c>
      <c r="DD1" t="s">
        <v>1023</v>
      </c>
      <c r="DE1" t="s">
        <v>1025</v>
      </c>
      <c r="DF1" t="s">
        <v>1026</v>
      </c>
    </row>
    <row r="2" spans="1:110" x14ac:dyDescent="0.25">
      <c r="AN2" s="46"/>
      <c r="AP2" s="46"/>
      <c r="BP2" s="46"/>
      <c r="BQ2" s="46"/>
      <c r="CA2" s="46"/>
      <c r="CB2" s="46"/>
      <c r="CC2" s="46"/>
      <c r="CD2" s="55"/>
      <c r="CE2" s="55"/>
      <c r="CF2" s="55"/>
      <c r="CH2" s="46"/>
      <c r="CI2" s="46"/>
    </row>
  </sheetData>
  <pageMargins left="0.7" right="0.7" top="0.75" bottom="0.75" header="0.3" footer="0.3"/>
  <pageSetup orientation="portrait"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DF6"/>
  <sheetViews>
    <sheetView topLeftCell="Y1" workbookViewId="0"/>
  </sheetViews>
  <sheetFormatPr baseColWidth="10" defaultRowHeight="15" x14ac:dyDescent="0.25"/>
  <sheetData>
    <row r="1" spans="1:110" x14ac:dyDescent="0.25">
      <c r="A1" t="s">
        <v>1051</v>
      </c>
      <c r="B1" t="s">
        <v>1052</v>
      </c>
      <c r="C1" t="s">
        <v>1053</v>
      </c>
      <c r="D1" t="s">
        <v>1054</v>
      </c>
      <c r="E1" t="s">
        <v>1055</v>
      </c>
      <c r="F1" t="s">
        <v>1056</v>
      </c>
      <c r="G1" t="s">
        <v>1057</v>
      </c>
      <c r="H1" t="s">
        <v>1058</v>
      </c>
      <c r="I1" t="s">
        <v>1059</v>
      </c>
      <c r="J1" t="s">
        <v>1060</v>
      </c>
      <c r="K1" t="s">
        <v>1061</v>
      </c>
      <c r="L1" t="s">
        <v>1062</v>
      </c>
      <c r="M1" t="s">
        <v>1063</v>
      </c>
      <c r="N1" t="s">
        <v>1064</v>
      </c>
      <c r="O1" t="s">
        <v>1065</v>
      </c>
      <c r="P1" t="s">
        <v>1066</v>
      </c>
      <c r="Q1" t="s">
        <v>1067</v>
      </c>
      <c r="R1" t="s">
        <v>1068</v>
      </c>
      <c r="S1" t="s">
        <v>1069</v>
      </c>
      <c r="T1" t="s">
        <v>1070</v>
      </c>
      <c r="U1" t="s">
        <v>1071</v>
      </c>
      <c r="V1" t="s">
        <v>1072</v>
      </c>
      <c r="W1" t="s">
        <v>1073</v>
      </c>
      <c r="X1" t="s">
        <v>1074</v>
      </c>
      <c r="Y1" t="s">
        <v>1075</v>
      </c>
      <c r="Z1" t="s">
        <v>1076</v>
      </c>
      <c r="AA1" t="s">
        <v>1077</v>
      </c>
      <c r="AB1" t="s">
        <v>1078</v>
      </c>
      <c r="AC1" t="s">
        <v>1079</v>
      </c>
      <c r="AD1" t="s">
        <v>1080</v>
      </c>
      <c r="AE1" t="s">
        <v>1081</v>
      </c>
      <c r="AF1" t="s">
        <v>1082</v>
      </c>
      <c r="AG1" t="s">
        <v>1083</v>
      </c>
      <c r="AH1" t="s">
        <v>1084</v>
      </c>
      <c r="AI1" t="s">
        <v>1085</v>
      </c>
      <c r="AJ1" t="s">
        <v>1086</v>
      </c>
      <c r="AK1" t="s">
        <v>1087</v>
      </c>
      <c r="AL1" t="s">
        <v>1088</v>
      </c>
      <c r="AM1" t="s">
        <v>1089</v>
      </c>
      <c r="AN1" t="s">
        <v>1090</v>
      </c>
      <c r="AO1" t="s">
        <v>1091</v>
      </c>
      <c r="AP1" t="s">
        <v>1143</v>
      </c>
      <c r="AQ1" t="s">
        <v>1092</v>
      </c>
      <c r="AR1" t="s">
        <v>1093</v>
      </c>
      <c r="AS1" t="s">
        <v>1144</v>
      </c>
      <c r="AT1" t="s">
        <v>1094</v>
      </c>
      <c r="AU1" t="s">
        <v>1095</v>
      </c>
      <c r="AV1" t="s">
        <v>1096</v>
      </c>
      <c r="AW1" t="s">
        <v>1097</v>
      </c>
      <c r="AX1" t="s">
        <v>1098</v>
      </c>
      <c r="AY1" t="s">
        <v>1099</v>
      </c>
      <c r="AZ1" t="s">
        <v>1100</v>
      </c>
      <c r="BA1" t="s">
        <v>1101</v>
      </c>
      <c r="BB1" t="s">
        <v>1102</v>
      </c>
      <c r="BC1" t="s">
        <v>1103</v>
      </c>
      <c r="BD1" t="s">
        <v>1104</v>
      </c>
      <c r="BE1" t="s">
        <v>1105</v>
      </c>
      <c r="BF1" t="s">
        <v>1106</v>
      </c>
      <c r="BG1" t="s">
        <v>1107</v>
      </c>
      <c r="BH1" t="s">
        <v>1108</v>
      </c>
      <c r="BI1" t="s">
        <v>1109</v>
      </c>
      <c r="BJ1" t="s">
        <v>1110</v>
      </c>
      <c r="BK1" t="s">
        <v>1111</v>
      </c>
      <c r="BL1" t="s">
        <v>1112</v>
      </c>
      <c r="BM1" t="s">
        <v>1113</v>
      </c>
      <c r="BN1" t="s">
        <v>1114</v>
      </c>
      <c r="BO1" t="s">
        <v>1115</v>
      </c>
      <c r="BP1" t="s">
        <v>1116</v>
      </c>
      <c r="BQ1" t="s">
        <v>1145</v>
      </c>
      <c r="BR1" t="s">
        <v>1117</v>
      </c>
      <c r="BS1" t="s">
        <v>1118</v>
      </c>
      <c r="BT1" t="s">
        <v>1119</v>
      </c>
      <c r="BU1" t="s">
        <v>1120</v>
      </c>
      <c r="BV1" t="s">
        <v>1121</v>
      </c>
      <c r="BW1" t="s">
        <v>1122</v>
      </c>
      <c r="BX1" t="s">
        <v>1123</v>
      </c>
      <c r="BY1" t="s">
        <v>1124</v>
      </c>
      <c r="BZ1" t="s">
        <v>1125</v>
      </c>
      <c r="CA1" t="s">
        <v>1126</v>
      </c>
      <c r="CB1" t="s">
        <v>1127</v>
      </c>
      <c r="CC1" t="s">
        <v>1128</v>
      </c>
      <c r="CD1" t="s">
        <v>1129</v>
      </c>
      <c r="CE1" t="s">
        <v>1130</v>
      </c>
      <c r="CF1" t="s">
        <v>1131</v>
      </c>
      <c r="CG1" t="s">
        <v>1132</v>
      </c>
      <c r="CH1" t="s">
        <v>1133</v>
      </c>
      <c r="CI1" t="s">
        <v>1134</v>
      </c>
      <c r="CJ1" t="s">
        <v>1135</v>
      </c>
      <c r="CK1" t="s">
        <v>1136</v>
      </c>
      <c r="CL1" t="s">
        <v>1137</v>
      </c>
      <c r="CM1" t="s">
        <v>1138</v>
      </c>
      <c r="CN1" t="s">
        <v>1139</v>
      </c>
      <c r="CO1" t="s">
        <v>1140</v>
      </c>
      <c r="CP1" t="s">
        <v>1141</v>
      </c>
      <c r="CQ1" t="s">
        <v>970</v>
      </c>
      <c r="CR1" t="s">
        <v>972</v>
      </c>
      <c r="CS1" t="s">
        <v>1142</v>
      </c>
      <c r="CT1" t="s">
        <v>1018</v>
      </c>
      <c r="CU1" t="s">
        <v>1019</v>
      </c>
      <c r="CV1" t="s">
        <v>1021</v>
      </c>
      <c r="CW1" t="s">
        <v>893</v>
      </c>
      <c r="CX1" t="s">
        <v>894</v>
      </c>
      <c r="CY1" t="s">
        <v>895</v>
      </c>
      <c r="CZ1" t="s">
        <v>896</v>
      </c>
      <c r="DA1" t="s">
        <v>897</v>
      </c>
      <c r="DB1" t="s">
        <v>898</v>
      </c>
      <c r="DC1" t="s">
        <v>899</v>
      </c>
      <c r="DD1" t="s">
        <v>900</v>
      </c>
      <c r="DE1" t="s">
        <v>901</v>
      </c>
      <c r="DF1" t="s">
        <v>902</v>
      </c>
    </row>
    <row r="2" spans="1:110" x14ac:dyDescent="0.25">
      <c r="A2" t="s">
        <v>1682</v>
      </c>
      <c r="B2">
        <v>2</v>
      </c>
      <c r="C2" s="55">
        <v>42837</v>
      </c>
      <c r="D2" t="s">
        <v>1675</v>
      </c>
      <c r="E2" t="s">
        <v>1660</v>
      </c>
      <c r="G2" t="s">
        <v>1676</v>
      </c>
      <c r="H2" t="s">
        <v>1676</v>
      </c>
      <c r="I2" t="s">
        <v>1676</v>
      </c>
      <c r="J2" t="s">
        <v>1676</v>
      </c>
      <c r="K2" t="s">
        <v>1676</v>
      </c>
      <c r="L2">
        <v>28.17</v>
      </c>
      <c r="M2">
        <v>79.13</v>
      </c>
      <c r="N2">
        <v>0</v>
      </c>
      <c r="O2" s="55"/>
      <c r="P2" s="55"/>
      <c r="Q2">
        <v>13738</v>
      </c>
      <c r="R2">
        <v>20</v>
      </c>
      <c r="S2">
        <v>13</v>
      </c>
      <c r="T2">
        <v>5</v>
      </c>
      <c r="U2">
        <v>8</v>
      </c>
      <c r="V2">
        <v>1</v>
      </c>
      <c r="W2" t="s">
        <v>1686</v>
      </c>
      <c r="X2" t="s">
        <v>1690</v>
      </c>
      <c r="AA2">
        <v>0.43</v>
      </c>
      <c r="AB2">
        <v>9</v>
      </c>
      <c r="AC2">
        <v>11.63</v>
      </c>
      <c r="AD2">
        <v>2.33</v>
      </c>
      <c r="AE2">
        <v>0</v>
      </c>
      <c r="AF2">
        <v>0</v>
      </c>
      <c r="AG2">
        <v>0</v>
      </c>
      <c r="AJ2" s="55">
        <v>42666</v>
      </c>
      <c r="AK2" s="55"/>
      <c r="AL2" s="55"/>
      <c r="AP2" t="s">
        <v>1677</v>
      </c>
      <c r="AR2">
        <v>10</v>
      </c>
      <c r="AS2" t="s">
        <v>1678</v>
      </c>
      <c r="AT2">
        <v>1</v>
      </c>
      <c r="AV2">
        <v>20</v>
      </c>
      <c r="AW2">
        <v>13</v>
      </c>
      <c r="AX2">
        <v>7</v>
      </c>
      <c r="AY2" t="s">
        <v>1680</v>
      </c>
      <c r="AZ2" t="s">
        <v>1680</v>
      </c>
      <c r="BA2">
        <v>30</v>
      </c>
      <c r="BD2">
        <v>1000000000</v>
      </c>
      <c r="BE2">
        <v>4</v>
      </c>
      <c r="BF2">
        <v>0.8</v>
      </c>
      <c r="BG2">
        <v>0</v>
      </c>
      <c r="BH2">
        <v>0</v>
      </c>
      <c r="BI2">
        <v>0</v>
      </c>
      <c r="BJ2">
        <v>0</v>
      </c>
      <c r="BK2">
        <v>0</v>
      </c>
      <c r="BL2">
        <v>0</v>
      </c>
      <c r="BM2">
        <v>4</v>
      </c>
      <c r="BN2">
        <v>0.8</v>
      </c>
      <c r="BO2">
        <v>0</v>
      </c>
      <c r="BP2">
        <v>0</v>
      </c>
      <c r="BR2">
        <v>20</v>
      </c>
      <c r="BS2">
        <v>12</v>
      </c>
      <c r="BX2">
        <v>152.88</v>
      </c>
      <c r="BY2">
        <v>0</v>
      </c>
      <c r="BZ2">
        <v>0</v>
      </c>
      <c r="CA2">
        <v>6.68</v>
      </c>
      <c r="CC2">
        <v>0</v>
      </c>
      <c r="CD2" s="55">
        <v>42709</v>
      </c>
      <c r="CE2" s="55">
        <v>42746</v>
      </c>
      <c r="CF2" s="55">
        <v>42746</v>
      </c>
      <c r="CG2" s="55">
        <v>42837</v>
      </c>
      <c r="CH2" s="55">
        <v>0</v>
      </c>
      <c r="CI2" s="55">
        <v>0</v>
      </c>
      <c r="CJ2">
        <v>0.72</v>
      </c>
      <c r="CK2">
        <v>0</v>
      </c>
      <c r="CL2">
        <v>0</v>
      </c>
      <c r="CM2">
        <v>0.95</v>
      </c>
      <c r="CN2">
        <v>0</v>
      </c>
      <c r="CO2">
        <v>0.03</v>
      </c>
      <c r="CP2">
        <v>0</v>
      </c>
      <c r="CQ2" t="s">
        <v>1682</v>
      </c>
      <c r="CR2" t="s">
        <v>1368</v>
      </c>
      <c r="CS2" t="s">
        <v>1683</v>
      </c>
      <c r="CT2" t="s">
        <v>1689</v>
      </c>
      <c r="CU2" t="s">
        <v>1691</v>
      </c>
      <c r="CV2" t="s">
        <v>1692</v>
      </c>
      <c r="DB2" t="s">
        <v>1693</v>
      </c>
      <c r="DE2" t="s">
        <v>1689</v>
      </c>
    </row>
    <row r="3" spans="1:110" x14ac:dyDescent="0.25">
      <c r="A3" t="s">
        <v>1682</v>
      </c>
      <c r="B3">
        <v>2</v>
      </c>
      <c r="C3" s="55">
        <v>42837</v>
      </c>
      <c r="D3" t="s">
        <v>1675</v>
      </c>
      <c r="E3" t="s">
        <v>1661</v>
      </c>
      <c r="G3" t="s">
        <v>1676</v>
      </c>
      <c r="H3" t="s">
        <v>1676</v>
      </c>
      <c r="I3" t="s">
        <v>1676</v>
      </c>
      <c r="J3" t="s">
        <v>1676</v>
      </c>
      <c r="K3" t="s">
        <v>1676</v>
      </c>
      <c r="L3">
        <v>31.53</v>
      </c>
      <c r="M3">
        <v>89.39</v>
      </c>
      <c r="N3">
        <v>0</v>
      </c>
      <c r="O3" s="55"/>
      <c r="P3" s="55"/>
      <c r="Q3">
        <v>13738</v>
      </c>
      <c r="R3">
        <v>20</v>
      </c>
      <c r="S3">
        <v>13</v>
      </c>
      <c r="T3">
        <v>5</v>
      </c>
      <c r="U3">
        <v>8</v>
      </c>
      <c r="V3">
        <v>1</v>
      </c>
      <c r="W3" t="s">
        <v>1686</v>
      </c>
      <c r="X3" t="s">
        <v>1690</v>
      </c>
      <c r="Y3">
        <v>14</v>
      </c>
      <c r="AA3">
        <v>4.32</v>
      </c>
      <c r="AB3">
        <v>85</v>
      </c>
      <c r="AC3">
        <v>1.1599999999999999</v>
      </c>
      <c r="AD3">
        <v>1.1000000000000001</v>
      </c>
      <c r="AE3">
        <v>0</v>
      </c>
      <c r="AF3">
        <v>0</v>
      </c>
      <c r="AG3">
        <v>0</v>
      </c>
      <c r="AJ3" s="55">
        <v>42840</v>
      </c>
      <c r="AK3" s="55"/>
      <c r="AL3" s="55"/>
      <c r="AP3" t="s">
        <v>1677</v>
      </c>
      <c r="AR3">
        <v>5</v>
      </c>
      <c r="AS3" t="s">
        <v>1678</v>
      </c>
      <c r="AT3">
        <v>1</v>
      </c>
      <c r="AV3">
        <v>20</v>
      </c>
      <c r="AW3">
        <v>13</v>
      </c>
      <c r="AX3">
        <v>7</v>
      </c>
      <c r="AY3" t="s">
        <v>1688</v>
      </c>
      <c r="AZ3" t="s">
        <v>1688</v>
      </c>
      <c r="BA3">
        <v>40</v>
      </c>
      <c r="BD3">
        <v>1000000000</v>
      </c>
      <c r="BE3">
        <v>19</v>
      </c>
      <c r="BF3">
        <v>0.05</v>
      </c>
      <c r="BG3">
        <v>0</v>
      </c>
      <c r="BH3">
        <v>0</v>
      </c>
      <c r="BI3">
        <v>0</v>
      </c>
      <c r="BJ3">
        <v>0</v>
      </c>
      <c r="BK3">
        <v>0</v>
      </c>
      <c r="BL3">
        <v>0</v>
      </c>
      <c r="BM3">
        <v>19</v>
      </c>
      <c r="BN3">
        <v>0.05</v>
      </c>
      <c r="BO3">
        <v>0</v>
      </c>
      <c r="BP3">
        <v>0</v>
      </c>
      <c r="BR3">
        <v>0</v>
      </c>
      <c r="BS3">
        <v>12</v>
      </c>
      <c r="BX3">
        <v>0</v>
      </c>
      <c r="BY3">
        <v>0</v>
      </c>
      <c r="BZ3">
        <v>0</v>
      </c>
      <c r="CA3">
        <v>6.78</v>
      </c>
      <c r="CC3">
        <v>0</v>
      </c>
      <c r="CD3" s="55">
        <v>42709</v>
      </c>
      <c r="CE3" s="55">
        <v>42746</v>
      </c>
      <c r="CF3" s="55">
        <v>42746</v>
      </c>
      <c r="CG3" s="55">
        <v>42837</v>
      </c>
      <c r="CH3" s="55">
        <v>0</v>
      </c>
      <c r="CI3" s="55">
        <v>0</v>
      </c>
      <c r="CJ3">
        <v>0.03</v>
      </c>
      <c r="CK3">
        <v>0</v>
      </c>
      <c r="CL3">
        <v>0</v>
      </c>
      <c r="CM3">
        <v>0</v>
      </c>
      <c r="CN3">
        <v>0</v>
      </c>
      <c r="CO3">
        <v>0.99</v>
      </c>
      <c r="CP3">
        <v>0</v>
      </c>
      <c r="CQ3" t="s">
        <v>1682</v>
      </c>
      <c r="CR3" t="s">
        <v>1368</v>
      </c>
      <c r="CS3" t="s">
        <v>1683</v>
      </c>
      <c r="CT3" t="s">
        <v>1689</v>
      </c>
      <c r="CU3" t="s">
        <v>1691</v>
      </c>
      <c r="CV3" t="s">
        <v>1692</v>
      </c>
      <c r="DB3" t="s">
        <v>1693</v>
      </c>
      <c r="DE3" t="s">
        <v>1689</v>
      </c>
    </row>
    <row r="4" spans="1:110" x14ac:dyDescent="0.25">
      <c r="A4" t="s">
        <v>1682</v>
      </c>
      <c r="B4">
        <v>2</v>
      </c>
      <c r="C4" s="55">
        <v>42837</v>
      </c>
      <c r="D4" t="s">
        <v>1675</v>
      </c>
      <c r="E4" t="s">
        <v>1662</v>
      </c>
      <c r="G4" t="s">
        <v>1676</v>
      </c>
      <c r="H4" t="s">
        <v>1676</v>
      </c>
      <c r="I4" t="s">
        <v>1676</v>
      </c>
      <c r="J4" t="s">
        <v>1676</v>
      </c>
      <c r="K4" t="s">
        <v>1676</v>
      </c>
      <c r="L4">
        <v>39.78</v>
      </c>
      <c r="M4">
        <v>136.6</v>
      </c>
      <c r="N4">
        <v>0</v>
      </c>
      <c r="O4" s="55"/>
      <c r="P4" s="55"/>
      <c r="Q4">
        <v>13738</v>
      </c>
      <c r="R4">
        <v>20</v>
      </c>
      <c r="S4">
        <v>13</v>
      </c>
      <c r="T4">
        <v>5</v>
      </c>
      <c r="U4">
        <v>8</v>
      </c>
      <c r="V4">
        <v>1</v>
      </c>
      <c r="W4" t="s">
        <v>1686</v>
      </c>
      <c r="X4" t="s">
        <v>1690</v>
      </c>
      <c r="AA4">
        <v>9.0299999999999994</v>
      </c>
      <c r="AB4">
        <v>177</v>
      </c>
      <c r="AC4">
        <v>3.32</v>
      </c>
      <c r="AD4">
        <v>2.0499999999999998</v>
      </c>
      <c r="AE4">
        <v>0</v>
      </c>
      <c r="AF4">
        <v>0</v>
      </c>
      <c r="AG4">
        <v>0</v>
      </c>
      <c r="AJ4" s="55">
        <v>42840</v>
      </c>
      <c r="AK4" s="55"/>
      <c r="AL4" s="55"/>
      <c r="AP4" t="s">
        <v>1677</v>
      </c>
      <c r="AR4">
        <v>5</v>
      </c>
      <c r="AS4" t="s">
        <v>1678</v>
      </c>
      <c r="AT4">
        <v>1</v>
      </c>
      <c r="AV4">
        <v>120</v>
      </c>
      <c r="AW4">
        <v>80</v>
      </c>
      <c r="AX4">
        <v>40</v>
      </c>
      <c r="AY4" t="s">
        <v>1687</v>
      </c>
      <c r="AZ4" t="s">
        <v>1687</v>
      </c>
      <c r="BA4">
        <v>200</v>
      </c>
      <c r="BD4">
        <v>1000000000</v>
      </c>
      <c r="BE4">
        <v>74</v>
      </c>
      <c r="BF4">
        <v>0.38</v>
      </c>
      <c r="BG4">
        <v>0</v>
      </c>
      <c r="BH4">
        <v>0</v>
      </c>
      <c r="BI4">
        <v>0</v>
      </c>
      <c r="BJ4">
        <v>0</v>
      </c>
      <c r="BK4">
        <v>0</v>
      </c>
      <c r="BL4">
        <v>0</v>
      </c>
      <c r="BM4">
        <v>74</v>
      </c>
      <c r="BN4">
        <v>0.38</v>
      </c>
      <c r="BO4">
        <v>0</v>
      </c>
      <c r="BP4">
        <v>0</v>
      </c>
      <c r="BR4">
        <v>45</v>
      </c>
      <c r="BS4">
        <v>74</v>
      </c>
      <c r="BX4">
        <v>0</v>
      </c>
      <c r="BY4">
        <v>0</v>
      </c>
      <c r="BZ4">
        <v>0</v>
      </c>
      <c r="CA4">
        <v>8.99</v>
      </c>
      <c r="CC4">
        <v>0</v>
      </c>
      <c r="CD4" s="55">
        <v>42709</v>
      </c>
      <c r="CE4" s="55">
        <v>42746</v>
      </c>
      <c r="CF4" s="55">
        <v>42746</v>
      </c>
      <c r="CG4" s="55">
        <v>42837</v>
      </c>
      <c r="CH4" s="55">
        <v>0</v>
      </c>
      <c r="CI4" s="55">
        <v>0</v>
      </c>
      <c r="CJ4">
        <v>0.24</v>
      </c>
      <c r="CK4">
        <v>0</v>
      </c>
      <c r="CL4">
        <v>0</v>
      </c>
      <c r="CM4">
        <v>7.0000000000000007E-2</v>
      </c>
      <c r="CN4">
        <v>0.92</v>
      </c>
      <c r="CO4">
        <v>0</v>
      </c>
      <c r="CP4">
        <v>0</v>
      </c>
      <c r="CQ4" t="s">
        <v>1682</v>
      </c>
      <c r="CR4" t="s">
        <v>1368</v>
      </c>
      <c r="CS4" t="s">
        <v>1683</v>
      </c>
      <c r="CT4" t="s">
        <v>1689</v>
      </c>
      <c r="CU4" t="s">
        <v>1691</v>
      </c>
      <c r="CV4" t="s">
        <v>1694</v>
      </c>
      <c r="DB4" t="s">
        <v>1693</v>
      </c>
      <c r="DE4" t="s">
        <v>1689</v>
      </c>
    </row>
    <row r="5" spans="1:110" x14ac:dyDescent="0.25">
      <c r="A5" t="s">
        <v>1682</v>
      </c>
      <c r="B5">
        <v>2</v>
      </c>
      <c r="C5" s="55">
        <v>42837</v>
      </c>
      <c r="D5" t="s">
        <v>1675</v>
      </c>
      <c r="E5" t="s">
        <v>1695</v>
      </c>
      <c r="G5" t="s">
        <v>1676</v>
      </c>
      <c r="H5" t="s">
        <v>1676</v>
      </c>
      <c r="I5" t="s">
        <v>1676</v>
      </c>
      <c r="J5" t="s">
        <v>1676</v>
      </c>
      <c r="K5" t="s">
        <v>1676</v>
      </c>
      <c r="L5">
        <v>388.7</v>
      </c>
      <c r="M5">
        <v>0</v>
      </c>
      <c r="N5">
        <v>0</v>
      </c>
      <c r="O5" s="55"/>
      <c r="P5" s="55"/>
      <c r="Q5">
        <v>13738</v>
      </c>
      <c r="R5">
        <v>20</v>
      </c>
      <c r="S5">
        <v>13</v>
      </c>
      <c r="T5">
        <v>5</v>
      </c>
      <c r="U5">
        <v>8</v>
      </c>
      <c r="V5">
        <v>1</v>
      </c>
      <c r="X5" t="s">
        <v>1696</v>
      </c>
      <c r="AA5">
        <v>0</v>
      </c>
      <c r="AB5">
        <v>0</v>
      </c>
      <c r="AC5">
        <v>0</v>
      </c>
      <c r="AD5">
        <v>0</v>
      </c>
      <c r="AE5">
        <v>0</v>
      </c>
      <c r="AF5">
        <v>0</v>
      </c>
      <c r="AG5">
        <v>0</v>
      </c>
      <c r="AJ5" s="55">
        <v>42666</v>
      </c>
      <c r="AK5" s="55"/>
      <c r="AL5" s="55"/>
      <c r="AP5" t="s">
        <v>1677</v>
      </c>
      <c r="AR5">
        <v>1</v>
      </c>
      <c r="AS5" t="s">
        <v>1678</v>
      </c>
      <c r="AT5">
        <v>1</v>
      </c>
      <c r="AV5">
        <v>0</v>
      </c>
      <c r="AW5">
        <v>0</v>
      </c>
      <c r="AX5">
        <v>0</v>
      </c>
      <c r="AY5" t="s">
        <v>1679</v>
      </c>
      <c r="AZ5" t="s">
        <v>1679</v>
      </c>
      <c r="BA5">
        <v>0</v>
      </c>
      <c r="BD5">
        <v>1000000000</v>
      </c>
      <c r="BE5">
        <v>1</v>
      </c>
      <c r="BF5">
        <v>0</v>
      </c>
      <c r="BG5">
        <v>0</v>
      </c>
      <c r="BH5">
        <v>0</v>
      </c>
      <c r="BI5">
        <v>0</v>
      </c>
      <c r="BJ5">
        <v>0</v>
      </c>
      <c r="BK5">
        <v>0</v>
      </c>
      <c r="BL5">
        <v>0</v>
      </c>
      <c r="BM5">
        <v>1</v>
      </c>
      <c r="BN5">
        <v>0</v>
      </c>
      <c r="BO5">
        <v>0</v>
      </c>
      <c r="BP5">
        <v>0</v>
      </c>
      <c r="BR5">
        <v>0</v>
      </c>
      <c r="BS5">
        <v>0</v>
      </c>
      <c r="BX5">
        <v>0</v>
      </c>
      <c r="BY5">
        <v>0</v>
      </c>
      <c r="BZ5">
        <v>0</v>
      </c>
      <c r="CA5">
        <v>0</v>
      </c>
      <c r="CC5">
        <v>0</v>
      </c>
      <c r="CD5" s="55">
        <v>42531</v>
      </c>
      <c r="CE5" s="55">
        <v>42746</v>
      </c>
      <c r="CF5" s="55">
        <v>42746</v>
      </c>
      <c r="CG5" s="55">
        <v>42837</v>
      </c>
      <c r="CH5" s="55">
        <v>0</v>
      </c>
      <c r="CI5" s="55">
        <v>0</v>
      </c>
      <c r="CJ5">
        <v>0</v>
      </c>
      <c r="CK5">
        <v>0</v>
      </c>
      <c r="CL5">
        <v>0</v>
      </c>
      <c r="CM5">
        <v>0</v>
      </c>
      <c r="CN5">
        <v>0</v>
      </c>
      <c r="CO5">
        <v>0</v>
      </c>
      <c r="CP5">
        <v>0.99</v>
      </c>
      <c r="CQ5" t="s">
        <v>1682</v>
      </c>
      <c r="CR5" t="s">
        <v>1368</v>
      </c>
      <c r="CS5" t="s">
        <v>1683</v>
      </c>
      <c r="CT5" t="s">
        <v>1689</v>
      </c>
      <c r="CU5" t="s">
        <v>1691</v>
      </c>
      <c r="CV5" t="s">
        <v>1697</v>
      </c>
      <c r="DB5" t="s">
        <v>1693</v>
      </c>
      <c r="DE5" t="s">
        <v>1689</v>
      </c>
    </row>
    <row r="6" spans="1:110" x14ac:dyDescent="0.25">
      <c r="A6" t="s">
        <v>1682</v>
      </c>
      <c r="B6">
        <v>2</v>
      </c>
      <c r="C6" s="55">
        <v>42837</v>
      </c>
      <c r="D6" t="s">
        <v>1675</v>
      </c>
      <c r="E6" t="s">
        <v>1698</v>
      </c>
      <c r="G6" t="s">
        <v>1676</v>
      </c>
      <c r="H6" t="s">
        <v>1676</v>
      </c>
      <c r="I6" t="s">
        <v>1676</v>
      </c>
      <c r="J6" t="s">
        <v>1676</v>
      </c>
      <c r="K6" t="s">
        <v>1676</v>
      </c>
      <c r="L6">
        <v>335.61</v>
      </c>
      <c r="M6">
        <v>0</v>
      </c>
      <c r="N6">
        <v>0</v>
      </c>
      <c r="O6" s="55"/>
      <c r="P6" s="55"/>
      <c r="Q6">
        <v>13738</v>
      </c>
      <c r="R6">
        <v>20</v>
      </c>
      <c r="S6">
        <v>13</v>
      </c>
      <c r="T6">
        <v>5</v>
      </c>
      <c r="U6">
        <v>8</v>
      </c>
      <c r="V6">
        <v>1</v>
      </c>
      <c r="X6" t="s">
        <v>1696</v>
      </c>
      <c r="AA6">
        <v>0</v>
      </c>
      <c r="AB6">
        <v>0</v>
      </c>
      <c r="AC6">
        <v>0</v>
      </c>
      <c r="AD6">
        <v>0</v>
      </c>
      <c r="AE6">
        <v>0</v>
      </c>
      <c r="AF6">
        <v>0</v>
      </c>
      <c r="AG6">
        <v>0</v>
      </c>
      <c r="AJ6" s="55">
        <v>42666</v>
      </c>
      <c r="AK6" s="55"/>
      <c r="AL6" s="55"/>
      <c r="AP6" t="s">
        <v>1677</v>
      </c>
      <c r="AR6">
        <v>1</v>
      </c>
      <c r="AS6" t="s">
        <v>1678</v>
      </c>
      <c r="AT6">
        <v>1</v>
      </c>
      <c r="AV6">
        <v>0</v>
      </c>
      <c r="AW6">
        <v>0</v>
      </c>
      <c r="AX6">
        <v>0</v>
      </c>
      <c r="AY6" t="s">
        <v>1679</v>
      </c>
      <c r="AZ6" t="s">
        <v>1679</v>
      </c>
      <c r="BA6">
        <v>0</v>
      </c>
      <c r="BD6">
        <v>1000000000</v>
      </c>
      <c r="BE6">
        <v>1</v>
      </c>
      <c r="BF6">
        <v>0</v>
      </c>
      <c r="BG6">
        <v>0</v>
      </c>
      <c r="BH6">
        <v>0</v>
      </c>
      <c r="BI6">
        <v>0</v>
      </c>
      <c r="BJ6">
        <v>0</v>
      </c>
      <c r="BK6">
        <v>0</v>
      </c>
      <c r="BL6">
        <v>0</v>
      </c>
      <c r="BM6">
        <v>1</v>
      </c>
      <c r="BN6">
        <v>0</v>
      </c>
      <c r="BO6">
        <v>0</v>
      </c>
      <c r="BP6">
        <v>0</v>
      </c>
      <c r="BR6">
        <v>0</v>
      </c>
      <c r="BS6">
        <v>0</v>
      </c>
      <c r="BX6">
        <v>0</v>
      </c>
      <c r="BY6">
        <v>0</v>
      </c>
      <c r="BZ6">
        <v>0</v>
      </c>
      <c r="CA6">
        <v>0</v>
      </c>
      <c r="CC6">
        <v>0</v>
      </c>
      <c r="CD6" s="55">
        <v>42531</v>
      </c>
      <c r="CE6" s="55">
        <v>42746</v>
      </c>
      <c r="CF6" s="55">
        <v>42746</v>
      </c>
      <c r="CG6" s="55">
        <v>42837</v>
      </c>
      <c r="CH6" s="55">
        <v>0</v>
      </c>
      <c r="CI6" s="55">
        <v>0</v>
      </c>
      <c r="CJ6">
        <v>0</v>
      </c>
      <c r="CK6">
        <v>0</v>
      </c>
      <c r="CL6">
        <v>0</v>
      </c>
      <c r="CM6">
        <v>0</v>
      </c>
      <c r="CN6">
        <v>0</v>
      </c>
      <c r="CO6">
        <v>0</v>
      </c>
      <c r="CP6">
        <v>0.99</v>
      </c>
      <c r="CQ6" t="s">
        <v>1682</v>
      </c>
      <c r="CR6" t="s">
        <v>1368</v>
      </c>
      <c r="CS6" t="s">
        <v>1683</v>
      </c>
      <c r="CT6" t="s">
        <v>1689</v>
      </c>
      <c r="CU6" t="s">
        <v>1691</v>
      </c>
      <c r="CV6" t="s">
        <v>1699</v>
      </c>
      <c r="DB6" t="s">
        <v>1693</v>
      </c>
      <c r="DE6" t="s">
        <v>1689</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G518"/>
  <sheetViews>
    <sheetView workbookViewId="0">
      <selection activeCell="F1" sqref="F1:G1"/>
    </sheetView>
  </sheetViews>
  <sheetFormatPr baseColWidth="10" defaultRowHeight="15" x14ac:dyDescent="0.25"/>
  <cols>
    <col min="3" max="3" width="12.42578125" customWidth="1"/>
    <col min="6" max="6" width="20.5703125" customWidth="1"/>
  </cols>
  <sheetData>
    <row r="1" spans="1:7" x14ac:dyDescent="0.25">
      <c r="A1" t="s">
        <v>26</v>
      </c>
      <c r="B1" t="s">
        <v>28</v>
      </c>
      <c r="C1" t="s">
        <v>1035</v>
      </c>
      <c r="D1" t="s">
        <v>1037</v>
      </c>
      <c r="F1" t="s">
        <v>1036</v>
      </c>
      <c r="G1" t="s">
        <v>1037</v>
      </c>
    </row>
    <row r="2" spans="1:7" x14ac:dyDescent="0.25">
      <c r="A2" t="s">
        <v>1578</v>
      </c>
      <c r="B2">
        <v>8</v>
      </c>
      <c r="C2" s="46">
        <v>42736</v>
      </c>
      <c r="D2" s="3" t="str">
        <f>YEAR(Datos_Consumo[[#This Row],[FECHA]])&amp;"-"&amp;MONTH(Datos_Consumo[[#This Row],[FECHA]])</f>
        <v>2017-1</v>
      </c>
      <c r="F2" s="46">
        <v>42675</v>
      </c>
      <c r="G2" s="52" t="str">
        <f>YEAR(Fecha_Consumo[[#This Row],[FECHAS_CONSUMO]])&amp;"-"&amp;MONTH(Fecha_Consumo[[#This Row],[FECHAS_CONSUMO]])</f>
        <v>2016-11</v>
      </c>
    </row>
    <row r="3" spans="1:7" x14ac:dyDescent="0.25">
      <c r="A3" t="s">
        <v>1579</v>
      </c>
      <c r="B3">
        <v>4</v>
      </c>
      <c r="C3" s="55">
        <v>42675</v>
      </c>
      <c r="D3" s="3" t="str">
        <f>YEAR(Datos_Consumo[[#This Row],[FECHA]])&amp;"-"&amp;MONTH(Datos_Consumo[[#This Row],[FECHA]])</f>
        <v>2016-11</v>
      </c>
      <c r="F3" s="55">
        <v>42705</v>
      </c>
      <c r="G3" s="52" t="str">
        <f>YEAR(Fecha_Consumo[[#This Row],[FECHAS_CONSUMO]])&amp;"-"&amp;MONTH(Fecha_Consumo[[#This Row],[FECHAS_CONSUMO]])</f>
        <v>2016-12</v>
      </c>
    </row>
    <row r="4" spans="1:7" x14ac:dyDescent="0.25">
      <c r="A4" t="s">
        <v>1579</v>
      </c>
      <c r="B4">
        <v>4</v>
      </c>
      <c r="C4" s="55">
        <v>42705</v>
      </c>
      <c r="D4" s="3" t="str">
        <f>YEAR(Datos_Consumo[[#This Row],[FECHA]])&amp;"-"&amp;MONTH(Datos_Consumo[[#This Row],[FECHA]])</f>
        <v>2016-12</v>
      </c>
      <c r="F4" s="55">
        <v>42736</v>
      </c>
      <c r="G4" s="52" t="str">
        <f>YEAR(Fecha_Consumo[[#This Row],[FECHAS_CONSUMO]])&amp;"-"&amp;MONTH(Fecha_Consumo[[#This Row],[FECHAS_CONSUMO]])</f>
        <v>2017-1</v>
      </c>
    </row>
    <row r="5" spans="1:7" x14ac:dyDescent="0.25">
      <c r="A5" t="s">
        <v>1579</v>
      </c>
      <c r="B5">
        <v>108</v>
      </c>
      <c r="C5" s="55">
        <v>42736</v>
      </c>
      <c r="D5" s="3" t="str">
        <f>YEAR(Datos_Consumo[[#This Row],[FECHA]])&amp;"-"&amp;MONTH(Datos_Consumo[[#This Row],[FECHA]])</f>
        <v>2017-1</v>
      </c>
      <c r="F5" s="55">
        <v>42767</v>
      </c>
      <c r="G5" s="52" t="str">
        <f>YEAR(Fecha_Consumo[[#This Row],[FECHAS_CONSUMO]])&amp;"-"&amp;MONTH(Fecha_Consumo[[#This Row],[FECHAS_CONSUMO]])</f>
        <v>2017-2</v>
      </c>
    </row>
    <row r="6" spans="1:7" x14ac:dyDescent="0.25">
      <c r="A6" t="s">
        <v>1579</v>
      </c>
      <c r="B6">
        <v>70</v>
      </c>
      <c r="C6" s="55">
        <v>42767</v>
      </c>
      <c r="D6" s="3" t="str">
        <f>YEAR(Datos_Consumo[[#This Row],[FECHA]])&amp;"-"&amp;MONTH(Datos_Consumo[[#This Row],[FECHA]])</f>
        <v>2017-2</v>
      </c>
    </row>
    <row r="7" spans="1:7" x14ac:dyDescent="0.25">
      <c r="A7" t="s">
        <v>1567</v>
      </c>
      <c r="B7">
        <v>1</v>
      </c>
      <c r="C7" s="55">
        <v>42675</v>
      </c>
      <c r="D7" s="3" t="str">
        <f>YEAR(Datos_Consumo[[#This Row],[FECHA]])&amp;"-"&amp;MONTH(Datos_Consumo[[#This Row],[FECHA]])</f>
        <v>2016-11</v>
      </c>
    </row>
    <row r="8" spans="1:7" x14ac:dyDescent="0.25">
      <c r="A8" t="s">
        <v>1567</v>
      </c>
      <c r="B8">
        <v>2</v>
      </c>
      <c r="C8" s="55">
        <v>42705</v>
      </c>
      <c r="D8" s="3" t="str">
        <f>YEAR(Datos_Consumo[[#This Row],[FECHA]])&amp;"-"&amp;MONTH(Datos_Consumo[[#This Row],[FECHA]])</f>
        <v>2016-12</v>
      </c>
    </row>
    <row r="9" spans="1:7" x14ac:dyDescent="0.25">
      <c r="A9" t="s">
        <v>1567</v>
      </c>
      <c r="B9">
        <v>11</v>
      </c>
      <c r="C9" s="55">
        <v>42736</v>
      </c>
      <c r="D9" s="3" t="str">
        <f>YEAR(Datos_Consumo[[#This Row],[FECHA]])&amp;"-"&amp;MONTH(Datos_Consumo[[#This Row],[FECHA]])</f>
        <v>2017-1</v>
      </c>
    </row>
    <row r="10" spans="1:7" x14ac:dyDescent="0.25">
      <c r="A10" t="s">
        <v>1568</v>
      </c>
      <c r="B10">
        <v>20</v>
      </c>
      <c r="C10" s="55">
        <v>42675</v>
      </c>
      <c r="D10" s="3" t="str">
        <f>YEAR(Datos_Consumo[[#This Row],[FECHA]])&amp;"-"&amp;MONTH(Datos_Consumo[[#This Row],[FECHA]])</f>
        <v>2016-11</v>
      </c>
    </row>
    <row r="11" spans="1:7" x14ac:dyDescent="0.25">
      <c r="A11" t="s">
        <v>1568</v>
      </c>
      <c r="B11">
        <v>42</v>
      </c>
      <c r="C11" s="55">
        <v>42705</v>
      </c>
      <c r="D11" s="3" t="str">
        <f>YEAR(Datos_Consumo[[#This Row],[FECHA]])&amp;"-"&amp;MONTH(Datos_Consumo[[#This Row],[FECHA]])</f>
        <v>2016-12</v>
      </c>
    </row>
    <row r="12" spans="1:7" x14ac:dyDescent="0.25">
      <c r="A12" t="s">
        <v>1568</v>
      </c>
      <c r="B12">
        <v>12</v>
      </c>
      <c r="C12" s="55">
        <v>42736</v>
      </c>
      <c r="D12" s="3" t="str">
        <f>YEAR(Datos_Consumo[[#This Row],[FECHA]])&amp;"-"&amp;MONTH(Datos_Consumo[[#This Row],[FECHA]])</f>
        <v>2017-1</v>
      </c>
    </row>
    <row r="13" spans="1:7" x14ac:dyDescent="0.25">
      <c r="A13" t="s">
        <v>1569</v>
      </c>
      <c r="B13">
        <v>13</v>
      </c>
      <c r="C13" s="55">
        <v>42675</v>
      </c>
      <c r="D13" s="3" t="str">
        <f>YEAR(Datos_Consumo[[#This Row],[FECHA]])&amp;"-"&amp;MONTH(Datos_Consumo[[#This Row],[FECHA]])</f>
        <v>2016-11</v>
      </c>
    </row>
    <row r="14" spans="1:7" x14ac:dyDescent="0.25">
      <c r="A14" t="s">
        <v>1569</v>
      </c>
      <c r="B14">
        <v>12</v>
      </c>
      <c r="C14" s="55">
        <v>42705</v>
      </c>
      <c r="D14" s="3" t="str">
        <f>YEAR(Datos_Consumo[[#This Row],[FECHA]])&amp;"-"&amp;MONTH(Datos_Consumo[[#This Row],[FECHA]])</f>
        <v>2016-12</v>
      </c>
    </row>
    <row r="15" spans="1:7" x14ac:dyDescent="0.25">
      <c r="A15" t="s">
        <v>1580</v>
      </c>
      <c r="B15">
        <v>1</v>
      </c>
      <c r="C15" s="55">
        <v>42675</v>
      </c>
      <c r="D15" s="3" t="str">
        <f>YEAR(Datos_Consumo[[#This Row],[FECHA]])&amp;"-"&amp;MONTH(Datos_Consumo[[#This Row],[FECHA]])</f>
        <v>2016-11</v>
      </c>
    </row>
    <row r="16" spans="1:7" x14ac:dyDescent="0.25">
      <c r="A16" t="s">
        <v>1580</v>
      </c>
      <c r="B16">
        <v>2</v>
      </c>
      <c r="C16" s="55">
        <v>42736</v>
      </c>
      <c r="D16" s="3" t="str">
        <f>YEAR(Datos_Consumo[[#This Row],[FECHA]])&amp;"-"&amp;MONTH(Datos_Consumo[[#This Row],[FECHA]])</f>
        <v>2017-1</v>
      </c>
    </row>
    <row r="17" spans="1:4" x14ac:dyDescent="0.25">
      <c r="A17" t="s">
        <v>1581</v>
      </c>
      <c r="B17">
        <v>1</v>
      </c>
      <c r="C17" s="55">
        <v>42736</v>
      </c>
      <c r="D17" s="3" t="str">
        <f>YEAR(Datos_Consumo[[#This Row],[FECHA]])&amp;"-"&amp;MONTH(Datos_Consumo[[#This Row],[FECHA]])</f>
        <v>2017-1</v>
      </c>
    </row>
    <row r="18" spans="1:4" x14ac:dyDescent="0.25">
      <c r="A18" t="s">
        <v>1582</v>
      </c>
      <c r="B18">
        <v>1</v>
      </c>
      <c r="C18" s="55">
        <v>42736</v>
      </c>
      <c r="D18" s="3" t="str">
        <f>YEAR(Datos_Consumo[[#This Row],[FECHA]])&amp;"-"&amp;MONTH(Datos_Consumo[[#This Row],[FECHA]])</f>
        <v>2017-1</v>
      </c>
    </row>
    <row r="19" spans="1:4" x14ac:dyDescent="0.25">
      <c r="A19" t="s">
        <v>1583</v>
      </c>
      <c r="B19">
        <v>8</v>
      </c>
      <c r="C19" s="55">
        <v>42705</v>
      </c>
      <c r="D19" s="3" t="str">
        <f>YEAR(Datos_Consumo[[#This Row],[FECHA]])&amp;"-"&amp;MONTH(Datos_Consumo[[#This Row],[FECHA]])</f>
        <v>2016-12</v>
      </c>
    </row>
    <row r="20" spans="1:4" x14ac:dyDescent="0.25">
      <c r="A20" t="s">
        <v>1584</v>
      </c>
      <c r="B20">
        <v>1</v>
      </c>
      <c r="C20" s="55">
        <v>42736</v>
      </c>
      <c r="D20" s="3" t="str">
        <f>YEAR(Datos_Consumo[[#This Row],[FECHA]])&amp;"-"&amp;MONTH(Datos_Consumo[[#This Row],[FECHA]])</f>
        <v>2017-1</v>
      </c>
    </row>
    <row r="21" spans="1:4" x14ac:dyDescent="0.25">
      <c r="A21" t="s">
        <v>1585</v>
      </c>
      <c r="B21">
        <v>1</v>
      </c>
      <c r="C21" s="55">
        <v>42675</v>
      </c>
      <c r="D21" s="3" t="str">
        <f>YEAR(Datos_Consumo[[#This Row],[FECHA]])&amp;"-"&amp;MONTH(Datos_Consumo[[#This Row],[FECHA]])</f>
        <v>2016-11</v>
      </c>
    </row>
    <row r="22" spans="1:4" x14ac:dyDescent="0.25">
      <c r="A22" t="s">
        <v>1586</v>
      </c>
      <c r="B22">
        <v>1</v>
      </c>
      <c r="C22" s="55">
        <v>42736</v>
      </c>
      <c r="D22" s="3" t="str">
        <f>YEAR(Datos_Consumo[[#This Row],[FECHA]])&amp;"-"&amp;MONTH(Datos_Consumo[[#This Row],[FECHA]])</f>
        <v>2017-1</v>
      </c>
    </row>
    <row r="23" spans="1:4" x14ac:dyDescent="0.25">
      <c r="A23" t="s">
        <v>1587</v>
      </c>
      <c r="B23">
        <v>1</v>
      </c>
      <c r="C23" s="55">
        <v>42736</v>
      </c>
      <c r="D23" s="3" t="str">
        <f>YEAR(Datos_Consumo[[#This Row],[FECHA]])&amp;"-"&amp;MONTH(Datos_Consumo[[#This Row],[FECHA]])</f>
        <v>2017-1</v>
      </c>
    </row>
    <row r="24" spans="1:4" x14ac:dyDescent="0.25">
      <c r="A24" t="s">
        <v>1588</v>
      </c>
      <c r="B24">
        <v>2</v>
      </c>
      <c r="C24" s="55">
        <v>42675</v>
      </c>
      <c r="D24" s="3" t="str">
        <f>YEAR(Datos_Consumo[[#This Row],[FECHA]])&amp;"-"&amp;MONTH(Datos_Consumo[[#This Row],[FECHA]])</f>
        <v>2016-11</v>
      </c>
    </row>
    <row r="25" spans="1:4" x14ac:dyDescent="0.25">
      <c r="A25" t="s">
        <v>1589</v>
      </c>
      <c r="B25">
        <v>500</v>
      </c>
      <c r="C25" s="55">
        <v>42736</v>
      </c>
      <c r="D25" s="3" t="str">
        <f>YEAR(Datos_Consumo[[#This Row],[FECHA]])&amp;"-"&amp;MONTH(Datos_Consumo[[#This Row],[FECHA]])</f>
        <v>2017-1</v>
      </c>
    </row>
    <row r="26" spans="1:4" x14ac:dyDescent="0.25">
      <c r="A26" t="s">
        <v>1590</v>
      </c>
      <c r="B26">
        <v>500</v>
      </c>
      <c r="C26" s="55">
        <v>42705</v>
      </c>
      <c r="D26" s="3" t="str">
        <f>YEAR(Datos_Consumo[[#This Row],[FECHA]])&amp;"-"&amp;MONTH(Datos_Consumo[[#This Row],[FECHA]])</f>
        <v>2016-12</v>
      </c>
    </row>
    <row r="27" spans="1:4" x14ac:dyDescent="0.25">
      <c r="A27" t="s">
        <v>1591</v>
      </c>
      <c r="B27">
        <v>500</v>
      </c>
      <c r="C27" s="55">
        <v>42705</v>
      </c>
      <c r="D27" s="3" t="str">
        <f>YEAR(Datos_Consumo[[#This Row],[FECHA]])&amp;"-"&amp;MONTH(Datos_Consumo[[#This Row],[FECHA]])</f>
        <v>2016-12</v>
      </c>
    </row>
    <row r="28" spans="1:4" x14ac:dyDescent="0.25">
      <c r="A28" t="s">
        <v>1592</v>
      </c>
      <c r="B28">
        <v>500</v>
      </c>
      <c r="C28" s="55">
        <v>42705</v>
      </c>
      <c r="D28" s="3" t="str">
        <f>YEAR(Datos_Consumo[[#This Row],[FECHA]])&amp;"-"&amp;MONTH(Datos_Consumo[[#This Row],[FECHA]])</f>
        <v>2016-12</v>
      </c>
    </row>
    <row r="29" spans="1:4" x14ac:dyDescent="0.25">
      <c r="A29" t="s">
        <v>1592</v>
      </c>
      <c r="B29">
        <v>500</v>
      </c>
      <c r="C29" s="55">
        <v>42736</v>
      </c>
      <c r="D29" s="3" t="str">
        <f>YEAR(Datos_Consumo[[#This Row],[FECHA]])&amp;"-"&amp;MONTH(Datos_Consumo[[#This Row],[FECHA]])</f>
        <v>2017-1</v>
      </c>
    </row>
    <row r="30" spans="1:4" x14ac:dyDescent="0.25">
      <c r="A30" t="s">
        <v>1593</v>
      </c>
      <c r="B30">
        <v>500</v>
      </c>
      <c r="C30" s="55">
        <v>42705</v>
      </c>
      <c r="D30" s="3" t="str">
        <f>YEAR(Datos_Consumo[[#This Row],[FECHA]])&amp;"-"&amp;MONTH(Datos_Consumo[[#This Row],[FECHA]])</f>
        <v>2016-12</v>
      </c>
    </row>
    <row r="31" spans="1:4" x14ac:dyDescent="0.25">
      <c r="A31" t="s">
        <v>1593</v>
      </c>
      <c r="B31">
        <v>500</v>
      </c>
      <c r="C31" s="55">
        <v>42736</v>
      </c>
      <c r="D31" s="3" t="str">
        <f>YEAR(Datos_Consumo[[#This Row],[FECHA]])&amp;"-"&amp;MONTH(Datos_Consumo[[#This Row],[FECHA]])</f>
        <v>2017-1</v>
      </c>
    </row>
    <row r="32" spans="1:4" x14ac:dyDescent="0.25">
      <c r="A32" t="s">
        <v>1399</v>
      </c>
      <c r="B32">
        <v>2</v>
      </c>
      <c r="C32" s="55">
        <v>42675</v>
      </c>
      <c r="D32" s="3" t="str">
        <f>YEAR(Datos_Consumo[[#This Row],[FECHA]])&amp;"-"&amp;MONTH(Datos_Consumo[[#This Row],[FECHA]])</f>
        <v>2016-11</v>
      </c>
    </row>
    <row r="33" spans="1:4" x14ac:dyDescent="0.25">
      <c r="A33" t="s">
        <v>1400</v>
      </c>
      <c r="B33">
        <v>1</v>
      </c>
      <c r="C33" s="55">
        <v>42705</v>
      </c>
      <c r="D33" s="3" t="str">
        <f>YEAR(Datos_Consumo[[#This Row],[FECHA]])&amp;"-"&amp;MONTH(Datos_Consumo[[#This Row],[FECHA]])</f>
        <v>2016-12</v>
      </c>
    </row>
    <row r="34" spans="1:4" x14ac:dyDescent="0.25">
      <c r="A34" t="s">
        <v>1401</v>
      </c>
      <c r="B34">
        <v>45</v>
      </c>
      <c r="C34" s="55">
        <v>42675</v>
      </c>
      <c r="D34" s="3" t="str">
        <f>YEAR(Datos_Consumo[[#This Row],[FECHA]])&amp;"-"&amp;MONTH(Datos_Consumo[[#This Row],[FECHA]])</f>
        <v>2016-11</v>
      </c>
    </row>
    <row r="35" spans="1:4" x14ac:dyDescent="0.25">
      <c r="A35" t="s">
        <v>1402</v>
      </c>
      <c r="B35">
        <v>4</v>
      </c>
      <c r="C35" s="55">
        <v>42675</v>
      </c>
      <c r="D35" s="3" t="str">
        <f>YEAR(Datos_Consumo[[#This Row],[FECHA]])&amp;"-"&amp;MONTH(Datos_Consumo[[#This Row],[FECHA]])</f>
        <v>2016-11</v>
      </c>
    </row>
    <row r="36" spans="1:4" x14ac:dyDescent="0.25">
      <c r="A36" t="s">
        <v>1594</v>
      </c>
      <c r="B36">
        <v>15</v>
      </c>
      <c r="C36" s="55">
        <v>42705</v>
      </c>
      <c r="D36" s="3" t="str">
        <f>YEAR(Datos_Consumo[[#This Row],[FECHA]])&amp;"-"&amp;MONTH(Datos_Consumo[[#This Row],[FECHA]])</f>
        <v>2016-12</v>
      </c>
    </row>
    <row r="37" spans="1:4" x14ac:dyDescent="0.25">
      <c r="A37" t="s">
        <v>1595</v>
      </c>
      <c r="B37">
        <v>15</v>
      </c>
      <c r="C37" s="55">
        <v>42705</v>
      </c>
      <c r="D37" s="3" t="str">
        <f>YEAR(Datos_Consumo[[#This Row],[FECHA]])&amp;"-"&amp;MONTH(Datos_Consumo[[#This Row],[FECHA]])</f>
        <v>2016-12</v>
      </c>
    </row>
    <row r="38" spans="1:4" x14ac:dyDescent="0.25">
      <c r="A38" t="s">
        <v>1596</v>
      </c>
      <c r="B38">
        <v>80</v>
      </c>
      <c r="C38" s="55">
        <v>42705</v>
      </c>
      <c r="D38" s="3" t="str">
        <f>YEAR(Datos_Consumo[[#This Row],[FECHA]])&amp;"-"&amp;MONTH(Datos_Consumo[[#This Row],[FECHA]])</f>
        <v>2016-12</v>
      </c>
    </row>
    <row r="39" spans="1:4" x14ac:dyDescent="0.25">
      <c r="A39" t="s">
        <v>1596</v>
      </c>
      <c r="B39">
        <v>80</v>
      </c>
      <c r="C39" s="55">
        <v>42736</v>
      </c>
      <c r="D39" s="3" t="str">
        <f>YEAR(Datos_Consumo[[#This Row],[FECHA]])&amp;"-"&amp;MONTH(Datos_Consumo[[#This Row],[FECHA]])</f>
        <v>2017-1</v>
      </c>
    </row>
    <row r="40" spans="1:4" x14ac:dyDescent="0.25">
      <c r="A40" t="s">
        <v>1403</v>
      </c>
      <c r="B40">
        <v>25</v>
      </c>
      <c r="C40" s="55">
        <v>42736</v>
      </c>
      <c r="D40" s="3" t="str">
        <f>YEAR(Datos_Consumo[[#This Row],[FECHA]])&amp;"-"&amp;MONTH(Datos_Consumo[[#This Row],[FECHA]])</f>
        <v>2017-1</v>
      </c>
    </row>
    <row r="41" spans="1:4" x14ac:dyDescent="0.25">
      <c r="A41" t="s">
        <v>1597</v>
      </c>
      <c r="B41">
        <v>1</v>
      </c>
      <c r="C41" s="55">
        <v>42705</v>
      </c>
      <c r="D41" s="3" t="str">
        <f>YEAR(Datos_Consumo[[#This Row],[FECHA]])&amp;"-"&amp;MONTH(Datos_Consumo[[#This Row],[FECHA]])</f>
        <v>2016-12</v>
      </c>
    </row>
    <row r="42" spans="1:4" x14ac:dyDescent="0.25">
      <c r="A42" t="s">
        <v>1597</v>
      </c>
      <c r="B42">
        <v>4</v>
      </c>
      <c r="C42" s="55">
        <v>42736</v>
      </c>
      <c r="D42" s="3" t="str">
        <f>YEAR(Datos_Consumo[[#This Row],[FECHA]])&amp;"-"&amp;MONTH(Datos_Consumo[[#This Row],[FECHA]])</f>
        <v>2017-1</v>
      </c>
    </row>
    <row r="43" spans="1:4" x14ac:dyDescent="0.25">
      <c r="A43" t="s">
        <v>1404</v>
      </c>
      <c r="B43">
        <v>1</v>
      </c>
      <c r="C43" s="55">
        <v>42705</v>
      </c>
      <c r="D43" s="3" t="str">
        <f>YEAR(Datos_Consumo[[#This Row],[FECHA]])&amp;"-"&amp;MONTH(Datos_Consumo[[#This Row],[FECHA]])</f>
        <v>2016-12</v>
      </c>
    </row>
    <row r="44" spans="1:4" x14ac:dyDescent="0.25">
      <c r="A44" t="s">
        <v>1404</v>
      </c>
      <c r="B44">
        <v>2</v>
      </c>
      <c r="C44" s="55">
        <v>42736</v>
      </c>
      <c r="D44" s="3" t="str">
        <f>YEAR(Datos_Consumo[[#This Row],[FECHA]])&amp;"-"&amp;MONTH(Datos_Consumo[[#This Row],[FECHA]])</f>
        <v>2017-1</v>
      </c>
    </row>
    <row r="45" spans="1:4" x14ac:dyDescent="0.25">
      <c r="A45" t="s">
        <v>1405</v>
      </c>
      <c r="B45">
        <v>7</v>
      </c>
      <c r="C45" s="55">
        <v>42675</v>
      </c>
      <c r="D45" s="3" t="str">
        <f>YEAR(Datos_Consumo[[#This Row],[FECHA]])&amp;"-"&amp;MONTH(Datos_Consumo[[#This Row],[FECHA]])</f>
        <v>2016-11</v>
      </c>
    </row>
    <row r="46" spans="1:4" x14ac:dyDescent="0.25">
      <c r="A46" t="s">
        <v>1405</v>
      </c>
      <c r="B46">
        <v>0.4</v>
      </c>
      <c r="C46" s="55">
        <v>42705</v>
      </c>
      <c r="D46" s="3" t="str">
        <f>YEAR(Datos_Consumo[[#This Row],[FECHA]])&amp;"-"&amp;MONTH(Datos_Consumo[[#This Row],[FECHA]])</f>
        <v>2016-12</v>
      </c>
    </row>
    <row r="47" spans="1:4" x14ac:dyDescent="0.25">
      <c r="A47" t="s">
        <v>1405</v>
      </c>
      <c r="B47">
        <v>2</v>
      </c>
      <c r="C47" s="55">
        <v>42736</v>
      </c>
      <c r="D47" s="3" t="str">
        <f>YEAR(Datos_Consumo[[#This Row],[FECHA]])&amp;"-"&amp;MONTH(Datos_Consumo[[#This Row],[FECHA]])</f>
        <v>2017-1</v>
      </c>
    </row>
    <row r="48" spans="1:4" x14ac:dyDescent="0.25">
      <c r="A48" t="s">
        <v>1406</v>
      </c>
      <c r="B48">
        <v>2</v>
      </c>
      <c r="C48" s="55">
        <v>42675</v>
      </c>
      <c r="D48" s="3" t="str">
        <f>YEAR(Datos_Consumo[[#This Row],[FECHA]])&amp;"-"&amp;MONTH(Datos_Consumo[[#This Row],[FECHA]])</f>
        <v>2016-11</v>
      </c>
    </row>
    <row r="49" spans="1:4" x14ac:dyDescent="0.25">
      <c r="A49" t="s">
        <v>1406</v>
      </c>
      <c r="B49">
        <v>0.4</v>
      </c>
      <c r="C49" s="55">
        <v>42705</v>
      </c>
      <c r="D49" s="3" t="str">
        <f>YEAR(Datos_Consumo[[#This Row],[FECHA]])&amp;"-"&amp;MONTH(Datos_Consumo[[#This Row],[FECHA]])</f>
        <v>2016-12</v>
      </c>
    </row>
    <row r="50" spans="1:4" x14ac:dyDescent="0.25">
      <c r="A50" t="s">
        <v>1406</v>
      </c>
      <c r="B50">
        <v>3</v>
      </c>
      <c r="C50" s="55">
        <v>42736</v>
      </c>
      <c r="D50" s="3" t="str">
        <f>YEAR(Datos_Consumo[[#This Row],[FECHA]])&amp;"-"&amp;MONTH(Datos_Consumo[[#This Row],[FECHA]])</f>
        <v>2017-1</v>
      </c>
    </row>
    <row r="51" spans="1:4" x14ac:dyDescent="0.25">
      <c r="A51" t="s">
        <v>1378</v>
      </c>
      <c r="B51">
        <v>0.4</v>
      </c>
      <c r="C51" s="55">
        <v>42705</v>
      </c>
      <c r="D51" s="3" t="str">
        <f>YEAR(Datos_Consumo[[#This Row],[FECHA]])&amp;"-"&amp;MONTH(Datos_Consumo[[#This Row],[FECHA]])</f>
        <v>2016-12</v>
      </c>
    </row>
    <row r="52" spans="1:4" x14ac:dyDescent="0.25">
      <c r="A52" t="s">
        <v>1378</v>
      </c>
      <c r="B52">
        <v>12</v>
      </c>
      <c r="C52" s="55">
        <v>42736</v>
      </c>
      <c r="D52" s="3" t="str">
        <f>YEAR(Datos_Consumo[[#This Row],[FECHA]])&amp;"-"&amp;MONTH(Datos_Consumo[[#This Row],[FECHA]])</f>
        <v>2017-1</v>
      </c>
    </row>
    <row r="53" spans="1:4" x14ac:dyDescent="0.25">
      <c r="A53" t="s">
        <v>1379</v>
      </c>
      <c r="B53">
        <v>1</v>
      </c>
      <c r="C53" s="55">
        <v>42675</v>
      </c>
      <c r="D53" s="3" t="str">
        <f>YEAR(Datos_Consumo[[#This Row],[FECHA]])&amp;"-"&amp;MONTH(Datos_Consumo[[#This Row],[FECHA]])</f>
        <v>2016-11</v>
      </c>
    </row>
    <row r="54" spans="1:4" x14ac:dyDescent="0.25">
      <c r="A54" t="s">
        <v>1379</v>
      </c>
      <c r="B54">
        <v>150</v>
      </c>
      <c r="C54" s="55">
        <v>42705</v>
      </c>
      <c r="D54" s="3" t="str">
        <f>YEAR(Datos_Consumo[[#This Row],[FECHA]])&amp;"-"&amp;MONTH(Datos_Consumo[[#This Row],[FECHA]])</f>
        <v>2016-12</v>
      </c>
    </row>
    <row r="55" spans="1:4" x14ac:dyDescent="0.25">
      <c r="A55" t="s">
        <v>1379</v>
      </c>
      <c r="B55">
        <v>149</v>
      </c>
      <c r="C55" s="55">
        <v>42736</v>
      </c>
      <c r="D55" s="3" t="str">
        <f>YEAR(Datos_Consumo[[#This Row],[FECHA]])&amp;"-"&amp;MONTH(Datos_Consumo[[#This Row],[FECHA]])</f>
        <v>2017-1</v>
      </c>
    </row>
    <row r="56" spans="1:4" x14ac:dyDescent="0.25">
      <c r="A56" t="s">
        <v>1407</v>
      </c>
      <c r="B56">
        <v>3240</v>
      </c>
      <c r="C56" s="55">
        <v>42675</v>
      </c>
      <c r="D56" s="3" t="str">
        <f>YEAR(Datos_Consumo[[#This Row],[FECHA]])&amp;"-"&amp;MONTH(Datos_Consumo[[#This Row],[FECHA]])</f>
        <v>2016-11</v>
      </c>
    </row>
    <row r="57" spans="1:4" x14ac:dyDescent="0.25">
      <c r="A57" t="s">
        <v>1407</v>
      </c>
      <c r="B57">
        <v>2014</v>
      </c>
      <c r="C57" s="55">
        <v>42705</v>
      </c>
      <c r="D57" s="3" t="str">
        <f>YEAR(Datos_Consumo[[#This Row],[FECHA]])&amp;"-"&amp;MONTH(Datos_Consumo[[#This Row],[FECHA]])</f>
        <v>2016-12</v>
      </c>
    </row>
    <row r="58" spans="1:4" x14ac:dyDescent="0.25">
      <c r="A58" t="s">
        <v>1407</v>
      </c>
      <c r="B58">
        <v>80</v>
      </c>
      <c r="C58" s="55">
        <v>42736</v>
      </c>
      <c r="D58" s="3" t="str">
        <f>YEAR(Datos_Consumo[[#This Row],[FECHA]])&amp;"-"&amp;MONTH(Datos_Consumo[[#This Row],[FECHA]])</f>
        <v>2017-1</v>
      </c>
    </row>
    <row r="59" spans="1:4" x14ac:dyDescent="0.25">
      <c r="A59" t="s">
        <v>1598</v>
      </c>
      <c r="B59">
        <v>70</v>
      </c>
      <c r="C59" s="55">
        <v>42675</v>
      </c>
      <c r="D59" s="3" t="str">
        <f>YEAR(Datos_Consumo[[#This Row],[FECHA]])&amp;"-"&amp;MONTH(Datos_Consumo[[#This Row],[FECHA]])</f>
        <v>2016-11</v>
      </c>
    </row>
    <row r="60" spans="1:4" x14ac:dyDescent="0.25">
      <c r="A60" t="s">
        <v>1598</v>
      </c>
      <c r="B60">
        <v>60</v>
      </c>
      <c r="C60" s="55">
        <v>42736</v>
      </c>
      <c r="D60" s="3" t="str">
        <f>YEAR(Datos_Consumo[[#This Row],[FECHA]])&amp;"-"&amp;MONTH(Datos_Consumo[[#This Row],[FECHA]])</f>
        <v>2017-1</v>
      </c>
    </row>
    <row r="61" spans="1:4" x14ac:dyDescent="0.25">
      <c r="A61" t="s">
        <v>1408</v>
      </c>
      <c r="B61">
        <v>15</v>
      </c>
      <c r="C61" s="55">
        <v>42675</v>
      </c>
      <c r="D61" s="3" t="str">
        <f>YEAR(Datos_Consumo[[#This Row],[FECHA]])&amp;"-"&amp;MONTH(Datos_Consumo[[#This Row],[FECHA]])</f>
        <v>2016-11</v>
      </c>
    </row>
    <row r="62" spans="1:4" x14ac:dyDescent="0.25">
      <c r="A62" t="s">
        <v>1408</v>
      </c>
      <c r="B62">
        <v>20</v>
      </c>
      <c r="C62" s="55">
        <v>42736</v>
      </c>
      <c r="D62" s="3" t="str">
        <f>YEAR(Datos_Consumo[[#This Row],[FECHA]])&amp;"-"&amp;MONTH(Datos_Consumo[[#This Row],[FECHA]])</f>
        <v>2017-1</v>
      </c>
    </row>
    <row r="63" spans="1:4" x14ac:dyDescent="0.25">
      <c r="A63" t="s">
        <v>1409</v>
      </c>
      <c r="B63">
        <v>59</v>
      </c>
      <c r="C63" s="55">
        <v>42675</v>
      </c>
      <c r="D63" s="3" t="str">
        <f>YEAR(Datos_Consumo[[#This Row],[FECHA]])&amp;"-"&amp;MONTH(Datos_Consumo[[#This Row],[FECHA]])</f>
        <v>2016-11</v>
      </c>
    </row>
    <row r="64" spans="1:4" x14ac:dyDescent="0.25">
      <c r="A64" t="s">
        <v>1409</v>
      </c>
      <c r="B64">
        <v>28</v>
      </c>
      <c r="C64" s="55">
        <v>42705</v>
      </c>
      <c r="D64" s="3" t="str">
        <f>YEAR(Datos_Consumo[[#This Row],[FECHA]])&amp;"-"&amp;MONTH(Datos_Consumo[[#This Row],[FECHA]])</f>
        <v>2016-12</v>
      </c>
    </row>
    <row r="65" spans="1:4" x14ac:dyDescent="0.25">
      <c r="A65" t="s">
        <v>1409</v>
      </c>
      <c r="B65">
        <v>29</v>
      </c>
      <c r="C65" s="55">
        <v>42736</v>
      </c>
      <c r="D65" s="3" t="str">
        <f>YEAR(Datos_Consumo[[#This Row],[FECHA]])&amp;"-"&amp;MONTH(Datos_Consumo[[#This Row],[FECHA]])</f>
        <v>2017-1</v>
      </c>
    </row>
    <row r="66" spans="1:4" x14ac:dyDescent="0.25">
      <c r="A66" t="s">
        <v>1410</v>
      </c>
      <c r="B66">
        <v>1</v>
      </c>
      <c r="C66" s="55">
        <v>42736</v>
      </c>
      <c r="D66" s="3" t="str">
        <f>YEAR(Datos_Consumo[[#This Row],[FECHA]])&amp;"-"&amp;MONTH(Datos_Consumo[[#This Row],[FECHA]])</f>
        <v>2017-1</v>
      </c>
    </row>
    <row r="67" spans="1:4" x14ac:dyDescent="0.25">
      <c r="A67" t="s">
        <v>1599</v>
      </c>
      <c r="B67">
        <v>1</v>
      </c>
      <c r="C67" s="55">
        <v>42736</v>
      </c>
      <c r="D67" s="3" t="str">
        <f>YEAR(Datos_Consumo[[#This Row],[FECHA]])&amp;"-"&amp;MONTH(Datos_Consumo[[#This Row],[FECHA]])</f>
        <v>2017-1</v>
      </c>
    </row>
    <row r="68" spans="1:4" x14ac:dyDescent="0.25">
      <c r="A68" t="s">
        <v>1600</v>
      </c>
      <c r="B68">
        <v>3</v>
      </c>
      <c r="C68" s="55">
        <v>42675</v>
      </c>
      <c r="D68" s="3" t="str">
        <f>YEAR(Datos_Consumo[[#This Row],[FECHA]])&amp;"-"&amp;MONTH(Datos_Consumo[[#This Row],[FECHA]])</f>
        <v>2016-11</v>
      </c>
    </row>
    <row r="69" spans="1:4" x14ac:dyDescent="0.25">
      <c r="A69" t="s">
        <v>1600</v>
      </c>
      <c r="B69">
        <v>2</v>
      </c>
      <c r="C69" s="55">
        <v>42736</v>
      </c>
      <c r="D69" s="3" t="str">
        <f>YEAR(Datos_Consumo[[#This Row],[FECHA]])&amp;"-"&amp;MONTH(Datos_Consumo[[#This Row],[FECHA]])</f>
        <v>2017-1</v>
      </c>
    </row>
    <row r="70" spans="1:4" x14ac:dyDescent="0.25">
      <c r="A70" t="s">
        <v>1601</v>
      </c>
      <c r="B70">
        <v>2</v>
      </c>
      <c r="C70" s="55">
        <v>42675</v>
      </c>
      <c r="D70" s="3" t="str">
        <f>YEAR(Datos_Consumo[[#This Row],[FECHA]])&amp;"-"&amp;MONTH(Datos_Consumo[[#This Row],[FECHA]])</f>
        <v>2016-11</v>
      </c>
    </row>
    <row r="71" spans="1:4" x14ac:dyDescent="0.25">
      <c r="A71" t="s">
        <v>1601</v>
      </c>
      <c r="B71">
        <v>2</v>
      </c>
      <c r="C71" s="55">
        <v>42736</v>
      </c>
      <c r="D71" s="3" t="str">
        <f>YEAR(Datos_Consumo[[#This Row],[FECHA]])&amp;"-"&amp;MONTH(Datos_Consumo[[#This Row],[FECHA]])</f>
        <v>2017-1</v>
      </c>
    </row>
    <row r="72" spans="1:4" x14ac:dyDescent="0.25">
      <c r="A72" t="s">
        <v>1602</v>
      </c>
      <c r="B72">
        <v>1</v>
      </c>
      <c r="C72" s="55">
        <v>42736</v>
      </c>
      <c r="D72" s="3" t="str">
        <f>YEAR(Datos_Consumo[[#This Row],[FECHA]])&amp;"-"&amp;MONTH(Datos_Consumo[[#This Row],[FECHA]])</f>
        <v>2017-1</v>
      </c>
    </row>
    <row r="73" spans="1:4" x14ac:dyDescent="0.25">
      <c r="A73" t="s">
        <v>1380</v>
      </c>
      <c r="B73">
        <v>5</v>
      </c>
      <c r="C73" s="55">
        <v>42675</v>
      </c>
      <c r="D73" s="3" t="str">
        <f>YEAR(Datos_Consumo[[#This Row],[FECHA]])&amp;"-"&amp;MONTH(Datos_Consumo[[#This Row],[FECHA]])</f>
        <v>2016-11</v>
      </c>
    </row>
    <row r="74" spans="1:4" x14ac:dyDescent="0.25">
      <c r="A74" t="s">
        <v>1380</v>
      </c>
      <c r="B74">
        <v>328</v>
      </c>
      <c r="C74" s="55">
        <v>42705</v>
      </c>
      <c r="D74" s="3" t="str">
        <f>YEAR(Datos_Consumo[[#This Row],[FECHA]])&amp;"-"&amp;MONTH(Datos_Consumo[[#This Row],[FECHA]])</f>
        <v>2016-12</v>
      </c>
    </row>
    <row r="75" spans="1:4" x14ac:dyDescent="0.25">
      <c r="A75" t="s">
        <v>1380</v>
      </c>
      <c r="B75">
        <v>182</v>
      </c>
      <c r="C75" s="55">
        <v>42736</v>
      </c>
      <c r="D75" s="3" t="str">
        <f>YEAR(Datos_Consumo[[#This Row],[FECHA]])&amp;"-"&amp;MONTH(Datos_Consumo[[#This Row],[FECHA]])</f>
        <v>2017-1</v>
      </c>
    </row>
    <row r="76" spans="1:4" x14ac:dyDescent="0.25">
      <c r="A76" t="s">
        <v>1411</v>
      </c>
      <c r="B76">
        <v>400</v>
      </c>
      <c r="C76" s="55">
        <v>42675</v>
      </c>
      <c r="D76" s="3" t="str">
        <f>YEAR(Datos_Consumo[[#This Row],[FECHA]])&amp;"-"&amp;MONTH(Datos_Consumo[[#This Row],[FECHA]])</f>
        <v>2016-11</v>
      </c>
    </row>
    <row r="77" spans="1:4" x14ac:dyDescent="0.25">
      <c r="A77" t="s">
        <v>1411</v>
      </c>
      <c r="B77">
        <v>420</v>
      </c>
      <c r="C77" s="55">
        <v>42705</v>
      </c>
      <c r="D77" s="3" t="str">
        <f>YEAR(Datos_Consumo[[#This Row],[FECHA]])&amp;"-"&amp;MONTH(Datos_Consumo[[#This Row],[FECHA]])</f>
        <v>2016-12</v>
      </c>
    </row>
    <row r="78" spans="1:4" x14ac:dyDescent="0.25">
      <c r="A78" t="s">
        <v>1412</v>
      </c>
      <c r="B78">
        <v>95</v>
      </c>
      <c r="C78" s="55">
        <v>42705</v>
      </c>
      <c r="D78" s="3" t="str">
        <f>YEAR(Datos_Consumo[[#This Row],[FECHA]])&amp;"-"&amp;MONTH(Datos_Consumo[[#This Row],[FECHA]])</f>
        <v>2016-12</v>
      </c>
    </row>
    <row r="79" spans="1:4" x14ac:dyDescent="0.25">
      <c r="A79" t="s">
        <v>1412</v>
      </c>
      <c r="B79">
        <v>20</v>
      </c>
      <c r="C79" s="55">
        <v>42736</v>
      </c>
      <c r="D79" s="3" t="str">
        <f>YEAR(Datos_Consumo[[#This Row],[FECHA]])&amp;"-"&amp;MONTH(Datos_Consumo[[#This Row],[FECHA]])</f>
        <v>2017-1</v>
      </c>
    </row>
    <row r="80" spans="1:4" x14ac:dyDescent="0.25">
      <c r="A80" t="s">
        <v>1413</v>
      </c>
      <c r="B80">
        <v>200</v>
      </c>
      <c r="C80" s="55">
        <v>42675</v>
      </c>
      <c r="D80" s="3" t="str">
        <f>YEAR(Datos_Consumo[[#This Row],[FECHA]])&amp;"-"&amp;MONTH(Datos_Consumo[[#This Row],[FECHA]])</f>
        <v>2016-11</v>
      </c>
    </row>
    <row r="81" spans="1:4" x14ac:dyDescent="0.25">
      <c r="A81" t="s">
        <v>1413</v>
      </c>
      <c r="B81">
        <v>1690</v>
      </c>
      <c r="C81" s="55">
        <v>42705</v>
      </c>
      <c r="D81" s="3" t="str">
        <f>YEAR(Datos_Consumo[[#This Row],[FECHA]])&amp;"-"&amp;MONTH(Datos_Consumo[[#This Row],[FECHA]])</f>
        <v>2016-12</v>
      </c>
    </row>
    <row r="82" spans="1:4" x14ac:dyDescent="0.25">
      <c r="A82" t="s">
        <v>1414</v>
      </c>
      <c r="B82">
        <v>50</v>
      </c>
      <c r="C82" s="55">
        <v>42705</v>
      </c>
      <c r="D82" s="3" t="str">
        <f>YEAR(Datos_Consumo[[#This Row],[FECHA]])&amp;"-"&amp;MONTH(Datos_Consumo[[#This Row],[FECHA]])</f>
        <v>2016-12</v>
      </c>
    </row>
    <row r="83" spans="1:4" x14ac:dyDescent="0.25">
      <c r="A83" t="s">
        <v>1415</v>
      </c>
      <c r="B83">
        <v>10</v>
      </c>
      <c r="C83" s="55">
        <v>42675</v>
      </c>
      <c r="D83" s="3" t="str">
        <f>YEAR(Datos_Consumo[[#This Row],[FECHA]])&amp;"-"&amp;MONTH(Datos_Consumo[[#This Row],[FECHA]])</f>
        <v>2016-11</v>
      </c>
    </row>
    <row r="84" spans="1:4" x14ac:dyDescent="0.25">
      <c r="A84" t="s">
        <v>1415</v>
      </c>
      <c r="B84">
        <v>35</v>
      </c>
      <c r="C84" s="55">
        <v>42705</v>
      </c>
      <c r="D84" s="3" t="str">
        <f>YEAR(Datos_Consumo[[#This Row],[FECHA]])&amp;"-"&amp;MONTH(Datos_Consumo[[#This Row],[FECHA]])</f>
        <v>2016-12</v>
      </c>
    </row>
    <row r="85" spans="1:4" x14ac:dyDescent="0.25">
      <c r="A85" t="s">
        <v>1415</v>
      </c>
      <c r="B85">
        <v>30</v>
      </c>
      <c r="C85" s="55">
        <v>42736</v>
      </c>
      <c r="D85" s="3" t="str">
        <f>YEAR(Datos_Consumo[[#This Row],[FECHA]])&amp;"-"&amp;MONTH(Datos_Consumo[[#This Row],[FECHA]])</f>
        <v>2017-1</v>
      </c>
    </row>
    <row r="86" spans="1:4" x14ac:dyDescent="0.25">
      <c r="A86" t="s">
        <v>1416</v>
      </c>
      <c r="B86">
        <v>25</v>
      </c>
      <c r="C86" s="55">
        <v>42675</v>
      </c>
      <c r="D86" s="3" t="str">
        <f>YEAR(Datos_Consumo[[#This Row],[FECHA]])&amp;"-"&amp;MONTH(Datos_Consumo[[#This Row],[FECHA]])</f>
        <v>2016-11</v>
      </c>
    </row>
    <row r="87" spans="1:4" x14ac:dyDescent="0.25">
      <c r="A87" t="s">
        <v>1416</v>
      </c>
      <c r="B87">
        <v>455</v>
      </c>
      <c r="C87" s="55">
        <v>42705</v>
      </c>
      <c r="D87" s="3" t="str">
        <f>YEAR(Datos_Consumo[[#This Row],[FECHA]])&amp;"-"&amp;MONTH(Datos_Consumo[[#This Row],[FECHA]])</f>
        <v>2016-12</v>
      </c>
    </row>
    <row r="88" spans="1:4" x14ac:dyDescent="0.25">
      <c r="A88" t="s">
        <v>1416</v>
      </c>
      <c r="B88">
        <v>38</v>
      </c>
      <c r="C88" s="55">
        <v>42736</v>
      </c>
      <c r="D88" s="3" t="str">
        <f>YEAR(Datos_Consumo[[#This Row],[FECHA]])&amp;"-"&amp;MONTH(Datos_Consumo[[#This Row],[FECHA]])</f>
        <v>2017-1</v>
      </c>
    </row>
    <row r="89" spans="1:4" x14ac:dyDescent="0.25">
      <c r="A89" t="s">
        <v>1417</v>
      </c>
      <c r="B89">
        <v>10</v>
      </c>
      <c r="C89" s="55">
        <v>42675</v>
      </c>
      <c r="D89" s="3" t="str">
        <f>YEAR(Datos_Consumo[[#This Row],[FECHA]])&amp;"-"&amp;MONTH(Datos_Consumo[[#This Row],[FECHA]])</f>
        <v>2016-11</v>
      </c>
    </row>
    <row r="90" spans="1:4" x14ac:dyDescent="0.25">
      <c r="A90" t="s">
        <v>1417</v>
      </c>
      <c r="B90">
        <v>20</v>
      </c>
      <c r="C90" s="55">
        <v>42705</v>
      </c>
      <c r="D90" s="3" t="str">
        <f>YEAR(Datos_Consumo[[#This Row],[FECHA]])&amp;"-"&amp;MONTH(Datos_Consumo[[#This Row],[FECHA]])</f>
        <v>2016-12</v>
      </c>
    </row>
    <row r="91" spans="1:4" x14ac:dyDescent="0.25">
      <c r="A91" t="s">
        <v>1417</v>
      </c>
      <c r="B91">
        <v>25</v>
      </c>
      <c r="C91" s="55">
        <v>42736</v>
      </c>
      <c r="D91" s="3" t="str">
        <f>YEAR(Datos_Consumo[[#This Row],[FECHA]])&amp;"-"&amp;MONTH(Datos_Consumo[[#This Row],[FECHA]])</f>
        <v>2017-1</v>
      </c>
    </row>
    <row r="92" spans="1:4" x14ac:dyDescent="0.25">
      <c r="A92" t="s">
        <v>1418</v>
      </c>
      <c r="B92">
        <v>8</v>
      </c>
      <c r="C92" s="55">
        <v>42736</v>
      </c>
      <c r="D92" s="3" t="str">
        <f>YEAR(Datos_Consumo[[#This Row],[FECHA]])&amp;"-"&amp;MONTH(Datos_Consumo[[#This Row],[FECHA]])</f>
        <v>2017-1</v>
      </c>
    </row>
    <row r="93" spans="1:4" x14ac:dyDescent="0.25">
      <c r="A93" t="s">
        <v>1381</v>
      </c>
      <c r="B93">
        <v>10</v>
      </c>
      <c r="C93" s="55">
        <v>42675</v>
      </c>
      <c r="D93" s="3" t="str">
        <f>YEAR(Datos_Consumo[[#This Row],[FECHA]])&amp;"-"&amp;MONTH(Datos_Consumo[[#This Row],[FECHA]])</f>
        <v>2016-11</v>
      </c>
    </row>
    <row r="94" spans="1:4" x14ac:dyDescent="0.25">
      <c r="A94" t="s">
        <v>1382</v>
      </c>
      <c r="B94">
        <v>5</v>
      </c>
      <c r="C94" s="55">
        <v>42736</v>
      </c>
      <c r="D94" s="3" t="str">
        <f>YEAR(Datos_Consumo[[#This Row],[FECHA]])&amp;"-"&amp;MONTH(Datos_Consumo[[#This Row],[FECHA]])</f>
        <v>2017-1</v>
      </c>
    </row>
    <row r="95" spans="1:4" x14ac:dyDescent="0.25">
      <c r="A95" t="s">
        <v>1419</v>
      </c>
      <c r="B95">
        <v>36</v>
      </c>
      <c r="C95" s="55">
        <v>42675</v>
      </c>
      <c r="D95" s="3" t="str">
        <f>YEAR(Datos_Consumo[[#This Row],[FECHA]])&amp;"-"&amp;MONTH(Datos_Consumo[[#This Row],[FECHA]])</f>
        <v>2016-11</v>
      </c>
    </row>
    <row r="96" spans="1:4" x14ac:dyDescent="0.25">
      <c r="A96" t="s">
        <v>1419</v>
      </c>
      <c r="B96">
        <v>8</v>
      </c>
      <c r="C96" s="55">
        <v>42705</v>
      </c>
      <c r="D96" s="3" t="str">
        <f>YEAR(Datos_Consumo[[#This Row],[FECHA]])&amp;"-"&amp;MONTH(Datos_Consumo[[#This Row],[FECHA]])</f>
        <v>2016-12</v>
      </c>
    </row>
    <row r="97" spans="1:4" x14ac:dyDescent="0.25">
      <c r="A97" t="s">
        <v>1419</v>
      </c>
      <c r="B97">
        <v>58</v>
      </c>
      <c r="C97" s="55">
        <v>42736</v>
      </c>
      <c r="D97" s="3" t="str">
        <f>YEAR(Datos_Consumo[[#This Row],[FECHA]])&amp;"-"&amp;MONTH(Datos_Consumo[[#This Row],[FECHA]])</f>
        <v>2017-1</v>
      </c>
    </row>
    <row r="98" spans="1:4" x14ac:dyDescent="0.25">
      <c r="A98" t="s">
        <v>1420</v>
      </c>
      <c r="B98">
        <v>45</v>
      </c>
      <c r="C98" s="55">
        <v>42675</v>
      </c>
      <c r="D98" s="3" t="str">
        <f>YEAR(Datos_Consumo[[#This Row],[FECHA]])&amp;"-"&amp;MONTH(Datos_Consumo[[#This Row],[FECHA]])</f>
        <v>2016-11</v>
      </c>
    </row>
    <row r="99" spans="1:4" x14ac:dyDescent="0.25">
      <c r="A99" t="s">
        <v>1420</v>
      </c>
      <c r="B99">
        <v>6</v>
      </c>
      <c r="C99" s="55">
        <v>42705</v>
      </c>
      <c r="D99" s="3" t="str">
        <f>YEAR(Datos_Consumo[[#This Row],[FECHA]])&amp;"-"&amp;MONTH(Datos_Consumo[[#This Row],[FECHA]])</f>
        <v>2016-12</v>
      </c>
    </row>
    <row r="100" spans="1:4" x14ac:dyDescent="0.25">
      <c r="A100" t="s">
        <v>1420</v>
      </c>
      <c r="B100">
        <v>20</v>
      </c>
      <c r="C100" s="55">
        <v>42736</v>
      </c>
      <c r="D100" s="3" t="str">
        <f>YEAR(Datos_Consumo[[#This Row],[FECHA]])&amp;"-"&amp;MONTH(Datos_Consumo[[#This Row],[FECHA]])</f>
        <v>2017-1</v>
      </c>
    </row>
    <row r="101" spans="1:4" x14ac:dyDescent="0.25">
      <c r="A101" t="s">
        <v>1421</v>
      </c>
      <c r="B101">
        <v>285</v>
      </c>
      <c r="C101" s="55">
        <v>42675</v>
      </c>
      <c r="D101" s="3" t="str">
        <f>YEAR(Datos_Consumo[[#This Row],[FECHA]])&amp;"-"&amp;MONTH(Datos_Consumo[[#This Row],[FECHA]])</f>
        <v>2016-11</v>
      </c>
    </row>
    <row r="102" spans="1:4" x14ac:dyDescent="0.25">
      <c r="A102" t="s">
        <v>1421</v>
      </c>
      <c r="B102">
        <v>10</v>
      </c>
      <c r="C102" s="55">
        <v>42705</v>
      </c>
      <c r="D102" s="3" t="str">
        <f>YEAR(Datos_Consumo[[#This Row],[FECHA]])&amp;"-"&amp;MONTH(Datos_Consumo[[#This Row],[FECHA]])</f>
        <v>2016-12</v>
      </c>
    </row>
    <row r="103" spans="1:4" x14ac:dyDescent="0.25">
      <c r="A103" t="s">
        <v>1421</v>
      </c>
      <c r="B103">
        <v>620</v>
      </c>
      <c r="C103" s="55">
        <v>42736</v>
      </c>
      <c r="D103" s="3" t="str">
        <f>YEAR(Datos_Consumo[[#This Row],[FECHA]])&amp;"-"&amp;MONTH(Datos_Consumo[[#This Row],[FECHA]])</f>
        <v>2017-1</v>
      </c>
    </row>
    <row r="104" spans="1:4" x14ac:dyDescent="0.25">
      <c r="A104" t="s">
        <v>1422</v>
      </c>
      <c r="B104">
        <v>28</v>
      </c>
      <c r="C104" s="55">
        <v>42675</v>
      </c>
      <c r="D104" s="3" t="str">
        <f>YEAR(Datos_Consumo[[#This Row],[FECHA]])&amp;"-"&amp;MONTH(Datos_Consumo[[#This Row],[FECHA]])</f>
        <v>2016-11</v>
      </c>
    </row>
    <row r="105" spans="1:4" x14ac:dyDescent="0.25">
      <c r="A105" t="s">
        <v>1423</v>
      </c>
      <c r="B105">
        <v>5</v>
      </c>
      <c r="C105" s="55">
        <v>42736</v>
      </c>
      <c r="D105" s="3" t="str">
        <f>YEAR(Datos_Consumo[[#This Row],[FECHA]])&amp;"-"&amp;MONTH(Datos_Consumo[[#This Row],[FECHA]])</f>
        <v>2017-1</v>
      </c>
    </row>
    <row r="106" spans="1:4" x14ac:dyDescent="0.25">
      <c r="A106" t="s">
        <v>1424</v>
      </c>
      <c r="B106">
        <v>8</v>
      </c>
      <c r="C106" s="55">
        <v>42675</v>
      </c>
      <c r="D106" s="3" t="str">
        <f>YEAR(Datos_Consumo[[#This Row],[FECHA]])&amp;"-"&amp;MONTH(Datos_Consumo[[#This Row],[FECHA]])</f>
        <v>2016-11</v>
      </c>
    </row>
    <row r="107" spans="1:4" x14ac:dyDescent="0.25">
      <c r="A107" t="s">
        <v>1424</v>
      </c>
      <c r="B107">
        <v>13</v>
      </c>
      <c r="C107" s="55">
        <v>42705</v>
      </c>
      <c r="D107" s="3" t="str">
        <f>YEAR(Datos_Consumo[[#This Row],[FECHA]])&amp;"-"&amp;MONTH(Datos_Consumo[[#This Row],[FECHA]])</f>
        <v>2016-12</v>
      </c>
    </row>
    <row r="108" spans="1:4" x14ac:dyDescent="0.25">
      <c r="A108" t="s">
        <v>1424</v>
      </c>
      <c r="B108">
        <v>21</v>
      </c>
      <c r="C108" s="55">
        <v>42736</v>
      </c>
      <c r="D108" s="3" t="str">
        <f>YEAR(Datos_Consumo[[#This Row],[FECHA]])&amp;"-"&amp;MONTH(Datos_Consumo[[#This Row],[FECHA]])</f>
        <v>2017-1</v>
      </c>
    </row>
    <row r="109" spans="1:4" x14ac:dyDescent="0.25">
      <c r="A109" t="s">
        <v>1425</v>
      </c>
      <c r="B109">
        <v>5</v>
      </c>
      <c r="C109" s="55">
        <v>42675</v>
      </c>
      <c r="D109" s="3" t="str">
        <f>YEAR(Datos_Consumo[[#This Row],[FECHA]])&amp;"-"&amp;MONTH(Datos_Consumo[[#This Row],[FECHA]])</f>
        <v>2016-11</v>
      </c>
    </row>
    <row r="110" spans="1:4" x14ac:dyDescent="0.25">
      <c r="A110" t="s">
        <v>1425</v>
      </c>
      <c r="B110">
        <v>10</v>
      </c>
      <c r="C110" s="55">
        <v>42705</v>
      </c>
      <c r="D110" s="3" t="str">
        <f>YEAR(Datos_Consumo[[#This Row],[FECHA]])&amp;"-"&amp;MONTH(Datos_Consumo[[#This Row],[FECHA]])</f>
        <v>2016-12</v>
      </c>
    </row>
    <row r="111" spans="1:4" x14ac:dyDescent="0.25">
      <c r="A111" t="s">
        <v>1425</v>
      </c>
      <c r="B111">
        <v>8</v>
      </c>
      <c r="C111" s="55">
        <v>42736</v>
      </c>
      <c r="D111" s="3" t="str">
        <f>YEAR(Datos_Consumo[[#This Row],[FECHA]])&amp;"-"&amp;MONTH(Datos_Consumo[[#This Row],[FECHA]])</f>
        <v>2017-1</v>
      </c>
    </row>
    <row r="112" spans="1:4" x14ac:dyDescent="0.25">
      <c r="A112" t="s">
        <v>1383</v>
      </c>
      <c r="B112">
        <v>50</v>
      </c>
      <c r="C112" s="55">
        <v>42675</v>
      </c>
      <c r="D112" s="3" t="str">
        <f>YEAR(Datos_Consumo[[#This Row],[FECHA]])&amp;"-"&amp;MONTH(Datos_Consumo[[#This Row],[FECHA]])</f>
        <v>2016-11</v>
      </c>
    </row>
    <row r="113" spans="1:4" x14ac:dyDescent="0.25">
      <c r="A113" t="s">
        <v>1383</v>
      </c>
      <c r="B113">
        <v>18</v>
      </c>
      <c r="C113" s="55">
        <v>42705</v>
      </c>
      <c r="D113" s="3" t="str">
        <f>YEAR(Datos_Consumo[[#This Row],[FECHA]])&amp;"-"&amp;MONTH(Datos_Consumo[[#This Row],[FECHA]])</f>
        <v>2016-12</v>
      </c>
    </row>
    <row r="114" spans="1:4" x14ac:dyDescent="0.25">
      <c r="A114" t="s">
        <v>1383</v>
      </c>
      <c r="B114">
        <v>20</v>
      </c>
      <c r="C114" s="55">
        <v>42736</v>
      </c>
      <c r="D114" s="3" t="str">
        <f>YEAR(Datos_Consumo[[#This Row],[FECHA]])&amp;"-"&amp;MONTH(Datos_Consumo[[#This Row],[FECHA]])</f>
        <v>2017-1</v>
      </c>
    </row>
    <row r="115" spans="1:4" x14ac:dyDescent="0.25">
      <c r="A115" t="s">
        <v>1384</v>
      </c>
      <c r="B115">
        <v>100</v>
      </c>
      <c r="C115" s="55">
        <v>42675</v>
      </c>
      <c r="D115" s="3" t="str">
        <f>YEAR(Datos_Consumo[[#This Row],[FECHA]])&amp;"-"&amp;MONTH(Datos_Consumo[[#This Row],[FECHA]])</f>
        <v>2016-11</v>
      </c>
    </row>
    <row r="116" spans="1:4" x14ac:dyDescent="0.25">
      <c r="A116" t="s">
        <v>1384</v>
      </c>
      <c r="B116">
        <v>500</v>
      </c>
      <c r="C116" s="55">
        <v>42705</v>
      </c>
      <c r="D116" s="3" t="str">
        <f>YEAR(Datos_Consumo[[#This Row],[FECHA]])&amp;"-"&amp;MONTH(Datos_Consumo[[#This Row],[FECHA]])</f>
        <v>2016-12</v>
      </c>
    </row>
    <row r="117" spans="1:4" x14ac:dyDescent="0.25">
      <c r="A117" t="s">
        <v>1426</v>
      </c>
      <c r="B117">
        <v>5</v>
      </c>
      <c r="C117" s="55">
        <v>42675</v>
      </c>
      <c r="D117" s="3" t="str">
        <f>YEAR(Datos_Consumo[[#This Row],[FECHA]])&amp;"-"&amp;MONTH(Datos_Consumo[[#This Row],[FECHA]])</f>
        <v>2016-11</v>
      </c>
    </row>
    <row r="118" spans="1:4" x14ac:dyDescent="0.25">
      <c r="A118" t="s">
        <v>1426</v>
      </c>
      <c r="B118">
        <v>6</v>
      </c>
      <c r="C118" s="55">
        <v>42705</v>
      </c>
      <c r="D118" s="3" t="str">
        <f>YEAR(Datos_Consumo[[#This Row],[FECHA]])&amp;"-"&amp;MONTH(Datos_Consumo[[#This Row],[FECHA]])</f>
        <v>2016-12</v>
      </c>
    </row>
    <row r="119" spans="1:4" x14ac:dyDescent="0.25">
      <c r="A119" t="s">
        <v>1427</v>
      </c>
      <c r="B119">
        <v>20</v>
      </c>
      <c r="C119" s="55">
        <v>42675</v>
      </c>
      <c r="D119" s="3" t="str">
        <f>YEAR(Datos_Consumo[[#This Row],[FECHA]])&amp;"-"&amp;MONTH(Datos_Consumo[[#This Row],[FECHA]])</f>
        <v>2016-11</v>
      </c>
    </row>
    <row r="120" spans="1:4" x14ac:dyDescent="0.25">
      <c r="A120" t="s">
        <v>1427</v>
      </c>
      <c r="B120">
        <v>65</v>
      </c>
      <c r="C120" s="55">
        <v>42705</v>
      </c>
      <c r="D120" s="3" t="str">
        <f>YEAR(Datos_Consumo[[#This Row],[FECHA]])&amp;"-"&amp;MONTH(Datos_Consumo[[#This Row],[FECHA]])</f>
        <v>2016-12</v>
      </c>
    </row>
    <row r="121" spans="1:4" x14ac:dyDescent="0.25">
      <c r="A121" t="s">
        <v>1427</v>
      </c>
      <c r="B121">
        <v>10</v>
      </c>
      <c r="C121" s="55">
        <v>42736</v>
      </c>
      <c r="D121" s="3" t="str">
        <f>YEAR(Datos_Consumo[[#This Row],[FECHA]])&amp;"-"&amp;MONTH(Datos_Consumo[[#This Row],[FECHA]])</f>
        <v>2017-1</v>
      </c>
    </row>
    <row r="122" spans="1:4" x14ac:dyDescent="0.25">
      <c r="A122" t="s">
        <v>1385</v>
      </c>
      <c r="B122">
        <v>12</v>
      </c>
      <c r="C122" s="55">
        <v>42736</v>
      </c>
      <c r="D122" s="3" t="str">
        <f>YEAR(Datos_Consumo[[#This Row],[FECHA]])&amp;"-"&amp;MONTH(Datos_Consumo[[#This Row],[FECHA]])</f>
        <v>2017-1</v>
      </c>
    </row>
    <row r="123" spans="1:4" x14ac:dyDescent="0.25">
      <c r="A123" t="s">
        <v>1386</v>
      </c>
      <c r="B123">
        <v>20</v>
      </c>
      <c r="C123" s="55">
        <v>42675</v>
      </c>
      <c r="D123" s="3" t="str">
        <f>YEAR(Datos_Consumo[[#This Row],[FECHA]])&amp;"-"&amp;MONTH(Datos_Consumo[[#This Row],[FECHA]])</f>
        <v>2016-11</v>
      </c>
    </row>
    <row r="124" spans="1:4" x14ac:dyDescent="0.25">
      <c r="A124" t="s">
        <v>1386</v>
      </c>
      <c r="B124">
        <v>220</v>
      </c>
      <c r="C124" s="55">
        <v>42705</v>
      </c>
      <c r="D124" s="3" t="str">
        <f>YEAR(Datos_Consumo[[#This Row],[FECHA]])&amp;"-"&amp;MONTH(Datos_Consumo[[#This Row],[FECHA]])</f>
        <v>2016-12</v>
      </c>
    </row>
    <row r="125" spans="1:4" x14ac:dyDescent="0.25">
      <c r="A125" t="s">
        <v>1386</v>
      </c>
      <c r="B125">
        <v>2</v>
      </c>
      <c r="C125" s="55">
        <v>42736</v>
      </c>
      <c r="D125" s="3" t="str">
        <f>YEAR(Datos_Consumo[[#This Row],[FECHA]])&amp;"-"&amp;MONTH(Datos_Consumo[[#This Row],[FECHA]])</f>
        <v>2017-1</v>
      </c>
    </row>
    <row r="126" spans="1:4" x14ac:dyDescent="0.25">
      <c r="A126" t="s">
        <v>1603</v>
      </c>
      <c r="B126">
        <v>40</v>
      </c>
      <c r="C126" s="55">
        <v>42736</v>
      </c>
      <c r="D126" s="3" t="str">
        <f>YEAR(Datos_Consumo[[#This Row],[FECHA]])&amp;"-"&amp;MONTH(Datos_Consumo[[#This Row],[FECHA]])</f>
        <v>2017-1</v>
      </c>
    </row>
    <row r="127" spans="1:4" x14ac:dyDescent="0.25">
      <c r="A127" t="s">
        <v>1604</v>
      </c>
      <c r="B127">
        <v>50</v>
      </c>
      <c r="C127" s="55">
        <v>42675</v>
      </c>
      <c r="D127" s="3" t="str">
        <f>YEAR(Datos_Consumo[[#This Row],[FECHA]])&amp;"-"&amp;MONTH(Datos_Consumo[[#This Row],[FECHA]])</f>
        <v>2016-11</v>
      </c>
    </row>
    <row r="128" spans="1:4" x14ac:dyDescent="0.25">
      <c r="A128" t="s">
        <v>1604</v>
      </c>
      <c r="B128">
        <v>30</v>
      </c>
      <c r="C128" s="55">
        <v>42705</v>
      </c>
      <c r="D128" s="3" t="str">
        <f>YEAR(Datos_Consumo[[#This Row],[FECHA]])&amp;"-"&amp;MONTH(Datos_Consumo[[#This Row],[FECHA]])</f>
        <v>2016-12</v>
      </c>
    </row>
    <row r="129" spans="1:4" x14ac:dyDescent="0.25">
      <c r="A129" t="s">
        <v>1604</v>
      </c>
      <c r="B129">
        <v>5</v>
      </c>
      <c r="C129" s="55">
        <v>42736</v>
      </c>
      <c r="D129" s="3" t="str">
        <f>YEAR(Datos_Consumo[[#This Row],[FECHA]])&amp;"-"&amp;MONTH(Datos_Consumo[[#This Row],[FECHA]])</f>
        <v>2017-1</v>
      </c>
    </row>
    <row r="130" spans="1:4" x14ac:dyDescent="0.25">
      <c r="A130" t="s">
        <v>1605</v>
      </c>
      <c r="B130">
        <v>72</v>
      </c>
      <c r="C130" s="55">
        <v>42675</v>
      </c>
      <c r="D130" s="3" t="str">
        <f>YEAR(Datos_Consumo[[#This Row],[FECHA]])&amp;"-"&amp;MONTH(Datos_Consumo[[#This Row],[FECHA]])</f>
        <v>2016-11</v>
      </c>
    </row>
    <row r="131" spans="1:4" x14ac:dyDescent="0.25">
      <c r="A131" t="s">
        <v>1605</v>
      </c>
      <c r="B131">
        <v>98</v>
      </c>
      <c r="C131" s="55">
        <v>42705</v>
      </c>
      <c r="D131" s="3" t="str">
        <f>YEAR(Datos_Consumo[[#This Row],[FECHA]])&amp;"-"&amp;MONTH(Datos_Consumo[[#This Row],[FECHA]])</f>
        <v>2016-12</v>
      </c>
    </row>
    <row r="132" spans="1:4" x14ac:dyDescent="0.25">
      <c r="A132" t="s">
        <v>1605</v>
      </c>
      <c r="B132">
        <v>126</v>
      </c>
      <c r="C132" s="55">
        <v>42736</v>
      </c>
      <c r="D132" s="3" t="str">
        <f>YEAR(Datos_Consumo[[#This Row],[FECHA]])&amp;"-"&amp;MONTH(Datos_Consumo[[#This Row],[FECHA]])</f>
        <v>2017-1</v>
      </c>
    </row>
    <row r="133" spans="1:4" x14ac:dyDescent="0.25">
      <c r="A133" t="s">
        <v>1606</v>
      </c>
      <c r="B133">
        <v>20</v>
      </c>
      <c r="C133" s="55">
        <v>42675</v>
      </c>
      <c r="D133" s="3" t="str">
        <f>YEAR(Datos_Consumo[[#This Row],[FECHA]])&amp;"-"&amp;MONTH(Datos_Consumo[[#This Row],[FECHA]])</f>
        <v>2016-11</v>
      </c>
    </row>
    <row r="134" spans="1:4" x14ac:dyDescent="0.25">
      <c r="A134" t="s">
        <v>1606</v>
      </c>
      <c r="B134">
        <v>5</v>
      </c>
      <c r="C134" s="55">
        <v>42736</v>
      </c>
      <c r="D134" s="3" t="str">
        <f>YEAR(Datos_Consumo[[#This Row],[FECHA]])&amp;"-"&amp;MONTH(Datos_Consumo[[#This Row],[FECHA]])</f>
        <v>2017-1</v>
      </c>
    </row>
    <row r="135" spans="1:4" x14ac:dyDescent="0.25">
      <c r="A135" t="s">
        <v>1428</v>
      </c>
      <c r="B135">
        <v>4</v>
      </c>
      <c r="C135" s="55">
        <v>42736</v>
      </c>
      <c r="D135" s="3" t="str">
        <f>YEAR(Datos_Consumo[[#This Row],[FECHA]])&amp;"-"&amp;MONTH(Datos_Consumo[[#This Row],[FECHA]])</f>
        <v>2017-1</v>
      </c>
    </row>
    <row r="136" spans="1:4" x14ac:dyDescent="0.25">
      <c r="A136" t="s">
        <v>1429</v>
      </c>
      <c r="B136">
        <v>600</v>
      </c>
      <c r="C136" s="55">
        <v>42705</v>
      </c>
      <c r="D136" s="3" t="str">
        <f>YEAR(Datos_Consumo[[#This Row],[FECHA]])&amp;"-"&amp;MONTH(Datos_Consumo[[#This Row],[FECHA]])</f>
        <v>2016-12</v>
      </c>
    </row>
    <row r="137" spans="1:4" x14ac:dyDescent="0.25">
      <c r="A137" t="s">
        <v>1429</v>
      </c>
      <c r="B137">
        <v>604</v>
      </c>
      <c r="C137" s="55">
        <v>42736</v>
      </c>
      <c r="D137" s="3" t="str">
        <f>YEAR(Datos_Consumo[[#This Row],[FECHA]])&amp;"-"&amp;MONTH(Datos_Consumo[[#This Row],[FECHA]])</f>
        <v>2017-1</v>
      </c>
    </row>
    <row r="138" spans="1:4" x14ac:dyDescent="0.25">
      <c r="A138" t="s">
        <v>1430</v>
      </c>
      <c r="B138">
        <v>1236</v>
      </c>
      <c r="C138" s="55">
        <v>42675</v>
      </c>
      <c r="D138" s="3" t="str">
        <f>YEAR(Datos_Consumo[[#This Row],[FECHA]])&amp;"-"&amp;MONTH(Datos_Consumo[[#This Row],[FECHA]])</f>
        <v>2016-11</v>
      </c>
    </row>
    <row r="139" spans="1:4" x14ac:dyDescent="0.25">
      <c r="A139" t="s">
        <v>1430</v>
      </c>
      <c r="B139">
        <v>405</v>
      </c>
      <c r="C139" s="55">
        <v>42736</v>
      </c>
      <c r="D139" s="3" t="str">
        <f>YEAR(Datos_Consumo[[#This Row],[FECHA]])&amp;"-"&amp;MONTH(Datos_Consumo[[#This Row],[FECHA]])</f>
        <v>2017-1</v>
      </c>
    </row>
    <row r="140" spans="1:4" x14ac:dyDescent="0.25">
      <c r="A140" t="s">
        <v>1430</v>
      </c>
      <c r="B140">
        <v>400</v>
      </c>
      <c r="C140" s="55">
        <v>42736</v>
      </c>
      <c r="D140" s="3" t="str">
        <f>YEAR(Datos_Consumo[[#This Row],[FECHA]])&amp;"-"&amp;MONTH(Datos_Consumo[[#This Row],[FECHA]])</f>
        <v>2017-1</v>
      </c>
    </row>
    <row r="141" spans="1:4" x14ac:dyDescent="0.25">
      <c r="A141" t="s">
        <v>1387</v>
      </c>
      <c r="B141">
        <v>6270</v>
      </c>
      <c r="C141" s="55">
        <v>42675</v>
      </c>
      <c r="D141" s="3" t="str">
        <f>YEAR(Datos_Consumo[[#This Row],[FECHA]])&amp;"-"&amp;MONTH(Datos_Consumo[[#This Row],[FECHA]])</f>
        <v>2016-11</v>
      </c>
    </row>
    <row r="142" spans="1:4" x14ac:dyDescent="0.25">
      <c r="A142" t="s">
        <v>1387</v>
      </c>
      <c r="B142">
        <v>5020</v>
      </c>
      <c r="C142" s="55">
        <v>42705</v>
      </c>
      <c r="D142" s="3" t="str">
        <f>YEAR(Datos_Consumo[[#This Row],[FECHA]])&amp;"-"&amp;MONTH(Datos_Consumo[[#This Row],[FECHA]])</f>
        <v>2016-12</v>
      </c>
    </row>
    <row r="143" spans="1:4" x14ac:dyDescent="0.25">
      <c r="A143" t="s">
        <v>1387</v>
      </c>
      <c r="B143">
        <v>5290</v>
      </c>
      <c r="C143" s="55">
        <v>42736</v>
      </c>
      <c r="D143" s="3" t="str">
        <f>YEAR(Datos_Consumo[[#This Row],[FECHA]])&amp;"-"&amp;MONTH(Datos_Consumo[[#This Row],[FECHA]])</f>
        <v>2017-1</v>
      </c>
    </row>
    <row r="144" spans="1:4" x14ac:dyDescent="0.25">
      <c r="A144" t="s">
        <v>1607</v>
      </c>
      <c r="B144">
        <v>10</v>
      </c>
      <c r="C144" s="55">
        <v>42736</v>
      </c>
      <c r="D144" s="3" t="str">
        <f>YEAR(Datos_Consumo[[#This Row],[FECHA]])&amp;"-"&amp;MONTH(Datos_Consumo[[#This Row],[FECHA]])</f>
        <v>2017-1</v>
      </c>
    </row>
    <row r="145" spans="1:4" x14ac:dyDescent="0.25">
      <c r="A145" t="s">
        <v>1608</v>
      </c>
      <c r="B145">
        <v>8</v>
      </c>
      <c r="C145" s="55">
        <v>42705</v>
      </c>
      <c r="D145" s="3" t="str">
        <f>YEAR(Datos_Consumo[[#This Row],[FECHA]])&amp;"-"&amp;MONTH(Datos_Consumo[[#This Row],[FECHA]])</f>
        <v>2016-12</v>
      </c>
    </row>
    <row r="146" spans="1:4" x14ac:dyDescent="0.25">
      <c r="A146" t="s">
        <v>1388</v>
      </c>
      <c r="B146">
        <v>40</v>
      </c>
      <c r="C146" s="55">
        <v>42705</v>
      </c>
      <c r="D146" s="3" t="str">
        <f>YEAR(Datos_Consumo[[#This Row],[FECHA]])&amp;"-"&amp;MONTH(Datos_Consumo[[#This Row],[FECHA]])</f>
        <v>2016-12</v>
      </c>
    </row>
    <row r="147" spans="1:4" x14ac:dyDescent="0.25">
      <c r="A147" t="s">
        <v>1388</v>
      </c>
      <c r="B147">
        <v>10</v>
      </c>
      <c r="C147" s="55">
        <v>42736</v>
      </c>
      <c r="D147" s="3" t="str">
        <f>YEAR(Datos_Consumo[[#This Row],[FECHA]])&amp;"-"&amp;MONTH(Datos_Consumo[[#This Row],[FECHA]])</f>
        <v>2017-1</v>
      </c>
    </row>
    <row r="148" spans="1:4" x14ac:dyDescent="0.25">
      <c r="A148" t="s">
        <v>1431</v>
      </c>
      <c r="B148">
        <v>20</v>
      </c>
      <c r="C148" s="55">
        <v>42675</v>
      </c>
      <c r="D148" s="3" t="str">
        <f>YEAR(Datos_Consumo[[#This Row],[FECHA]])&amp;"-"&amp;MONTH(Datos_Consumo[[#This Row],[FECHA]])</f>
        <v>2016-11</v>
      </c>
    </row>
    <row r="149" spans="1:4" x14ac:dyDescent="0.25">
      <c r="A149" t="s">
        <v>1431</v>
      </c>
      <c r="B149">
        <v>10</v>
      </c>
      <c r="C149" s="55">
        <v>42705</v>
      </c>
      <c r="D149" s="3" t="str">
        <f>YEAR(Datos_Consumo[[#This Row],[FECHA]])&amp;"-"&amp;MONTH(Datos_Consumo[[#This Row],[FECHA]])</f>
        <v>2016-12</v>
      </c>
    </row>
    <row r="150" spans="1:4" x14ac:dyDescent="0.25">
      <c r="A150" t="s">
        <v>1431</v>
      </c>
      <c r="B150">
        <v>30</v>
      </c>
      <c r="C150" s="55">
        <v>42736</v>
      </c>
      <c r="D150" s="3" t="str">
        <f>YEAR(Datos_Consumo[[#This Row],[FECHA]])&amp;"-"&amp;MONTH(Datos_Consumo[[#This Row],[FECHA]])</f>
        <v>2017-1</v>
      </c>
    </row>
    <row r="151" spans="1:4" x14ac:dyDescent="0.25">
      <c r="A151" t="s">
        <v>1432</v>
      </c>
      <c r="B151">
        <v>20</v>
      </c>
      <c r="C151" s="55">
        <v>42675</v>
      </c>
      <c r="D151" s="3" t="str">
        <f>YEAR(Datos_Consumo[[#This Row],[FECHA]])&amp;"-"&amp;MONTH(Datos_Consumo[[#This Row],[FECHA]])</f>
        <v>2016-11</v>
      </c>
    </row>
    <row r="152" spans="1:4" x14ac:dyDescent="0.25">
      <c r="A152" t="s">
        <v>1432</v>
      </c>
      <c r="B152">
        <v>20</v>
      </c>
      <c r="C152" s="55">
        <v>42705</v>
      </c>
      <c r="D152" s="3" t="str">
        <f>YEAR(Datos_Consumo[[#This Row],[FECHA]])&amp;"-"&amp;MONTH(Datos_Consumo[[#This Row],[FECHA]])</f>
        <v>2016-12</v>
      </c>
    </row>
    <row r="153" spans="1:4" x14ac:dyDescent="0.25">
      <c r="A153" t="s">
        <v>1432</v>
      </c>
      <c r="B153">
        <v>24</v>
      </c>
      <c r="C153" s="55">
        <v>42736</v>
      </c>
      <c r="D153" s="3" t="str">
        <f>YEAR(Datos_Consumo[[#This Row],[FECHA]])&amp;"-"&amp;MONTH(Datos_Consumo[[#This Row],[FECHA]])</f>
        <v>2017-1</v>
      </c>
    </row>
    <row r="154" spans="1:4" x14ac:dyDescent="0.25">
      <c r="A154" t="s">
        <v>1433</v>
      </c>
      <c r="B154">
        <v>20</v>
      </c>
      <c r="C154" s="55">
        <v>42675</v>
      </c>
      <c r="D154" s="3" t="str">
        <f>YEAR(Datos_Consumo[[#This Row],[FECHA]])&amp;"-"&amp;MONTH(Datos_Consumo[[#This Row],[FECHA]])</f>
        <v>2016-11</v>
      </c>
    </row>
    <row r="155" spans="1:4" x14ac:dyDescent="0.25">
      <c r="A155" t="s">
        <v>1433</v>
      </c>
      <c r="B155">
        <v>10</v>
      </c>
      <c r="C155" s="55">
        <v>42705</v>
      </c>
      <c r="D155" s="3" t="str">
        <f>YEAR(Datos_Consumo[[#This Row],[FECHA]])&amp;"-"&amp;MONTH(Datos_Consumo[[#This Row],[FECHA]])</f>
        <v>2016-12</v>
      </c>
    </row>
    <row r="156" spans="1:4" x14ac:dyDescent="0.25">
      <c r="A156" t="s">
        <v>1433</v>
      </c>
      <c r="B156">
        <v>23</v>
      </c>
      <c r="C156" s="55">
        <v>42736</v>
      </c>
      <c r="D156" s="3" t="str">
        <f>YEAR(Datos_Consumo[[#This Row],[FECHA]])&amp;"-"&amp;MONTH(Datos_Consumo[[#This Row],[FECHA]])</f>
        <v>2017-1</v>
      </c>
    </row>
    <row r="157" spans="1:4" x14ac:dyDescent="0.25">
      <c r="A157" t="s">
        <v>1434</v>
      </c>
      <c r="B157">
        <v>2</v>
      </c>
      <c r="C157" s="55">
        <v>42675</v>
      </c>
      <c r="D157" s="3" t="str">
        <f>YEAR(Datos_Consumo[[#This Row],[FECHA]])&amp;"-"&amp;MONTH(Datos_Consumo[[#This Row],[FECHA]])</f>
        <v>2016-11</v>
      </c>
    </row>
    <row r="158" spans="1:4" x14ac:dyDescent="0.25">
      <c r="A158" t="s">
        <v>1435</v>
      </c>
      <c r="B158">
        <v>20</v>
      </c>
      <c r="C158" s="55">
        <v>42675</v>
      </c>
      <c r="D158" s="3" t="str">
        <f>YEAR(Datos_Consumo[[#This Row],[FECHA]])&amp;"-"&amp;MONTH(Datos_Consumo[[#This Row],[FECHA]])</f>
        <v>2016-11</v>
      </c>
    </row>
    <row r="159" spans="1:4" x14ac:dyDescent="0.25">
      <c r="A159" t="s">
        <v>1435</v>
      </c>
      <c r="B159">
        <v>1</v>
      </c>
      <c r="C159" s="55">
        <v>42705</v>
      </c>
      <c r="D159" s="3" t="str">
        <f>YEAR(Datos_Consumo[[#This Row],[FECHA]])&amp;"-"&amp;MONTH(Datos_Consumo[[#This Row],[FECHA]])</f>
        <v>2016-12</v>
      </c>
    </row>
    <row r="160" spans="1:4" x14ac:dyDescent="0.25">
      <c r="A160" t="s">
        <v>1435</v>
      </c>
      <c r="B160">
        <v>34</v>
      </c>
      <c r="C160" s="55">
        <v>42736</v>
      </c>
      <c r="D160" s="3" t="str">
        <f>YEAR(Datos_Consumo[[#This Row],[FECHA]])&amp;"-"&amp;MONTH(Datos_Consumo[[#This Row],[FECHA]])</f>
        <v>2017-1</v>
      </c>
    </row>
    <row r="161" spans="1:4" x14ac:dyDescent="0.25">
      <c r="A161" t="s">
        <v>1389</v>
      </c>
      <c r="B161">
        <v>51</v>
      </c>
      <c r="C161" s="55">
        <v>42705</v>
      </c>
      <c r="D161" s="3" t="str">
        <f>YEAR(Datos_Consumo[[#This Row],[FECHA]])&amp;"-"&amp;MONTH(Datos_Consumo[[#This Row],[FECHA]])</f>
        <v>2016-12</v>
      </c>
    </row>
    <row r="162" spans="1:4" x14ac:dyDescent="0.25">
      <c r="A162" t="s">
        <v>1389</v>
      </c>
      <c r="B162">
        <v>2</v>
      </c>
      <c r="C162" s="55">
        <v>42736</v>
      </c>
      <c r="D162" s="3" t="str">
        <f>YEAR(Datos_Consumo[[#This Row],[FECHA]])&amp;"-"&amp;MONTH(Datos_Consumo[[#This Row],[FECHA]])</f>
        <v>2017-1</v>
      </c>
    </row>
    <row r="163" spans="1:4" x14ac:dyDescent="0.25">
      <c r="A163" t="s">
        <v>1436</v>
      </c>
      <c r="B163">
        <v>20</v>
      </c>
      <c r="C163" s="55">
        <v>42675</v>
      </c>
      <c r="D163" s="3" t="str">
        <f>YEAR(Datos_Consumo[[#This Row],[FECHA]])&amp;"-"&amp;MONTH(Datos_Consumo[[#This Row],[FECHA]])</f>
        <v>2016-11</v>
      </c>
    </row>
    <row r="164" spans="1:4" x14ac:dyDescent="0.25">
      <c r="A164" t="s">
        <v>1436</v>
      </c>
      <c r="B164">
        <v>1</v>
      </c>
      <c r="C164" s="55">
        <v>42736</v>
      </c>
      <c r="D164" s="3" t="str">
        <f>YEAR(Datos_Consumo[[#This Row],[FECHA]])&amp;"-"&amp;MONTH(Datos_Consumo[[#This Row],[FECHA]])</f>
        <v>2017-1</v>
      </c>
    </row>
    <row r="165" spans="1:4" x14ac:dyDescent="0.25">
      <c r="A165" t="s">
        <v>1437</v>
      </c>
      <c r="B165">
        <v>20</v>
      </c>
      <c r="C165" s="55">
        <v>42705</v>
      </c>
      <c r="D165" s="3" t="str">
        <f>YEAR(Datos_Consumo[[#This Row],[FECHA]])&amp;"-"&amp;MONTH(Datos_Consumo[[#This Row],[FECHA]])</f>
        <v>2016-12</v>
      </c>
    </row>
    <row r="166" spans="1:4" x14ac:dyDescent="0.25">
      <c r="A166" t="s">
        <v>1438</v>
      </c>
      <c r="B166">
        <v>50</v>
      </c>
      <c r="C166" s="55">
        <v>42705</v>
      </c>
      <c r="D166" s="3" t="str">
        <f>YEAR(Datos_Consumo[[#This Row],[FECHA]])&amp;"-"&amp;MONTH(Datos_Consumo[[#This Row],[FECHA]])</f>
        <v>2016-12</v>
      </c>
    </row>
    <row r="167" spans="1:4" x14ac:dyDescent="0.25">
      <c r="A167" t="s">
        <v>1439</v>
      </c>
      <c r="B167">
        <v>10</v>
      </c>
      <c r="C167" s="55">
        <v>42705</v>
      </c>
      <c r="D167" s="3" t="str">
        <f>YEAR(Datos_Consumo[[#This Row],[FECHA]])&amp;"-"&amp;MONTH(Datos_Consumo[[#This Row],[FECHA]])</f>
        <v>2016-12</v>
      </c>
    </row>
    <row r="168" spans="1:4" x14ac:dyDescent="0.25">
      <c r="A168" t="s">
        <v>1439</v>
      </c>
      <c r="B168">
        <v>5</v>
      </c>
      <c r="C168" s="55">
        <v>42736</v>
      </c>
      <c r="D168" s="3" t="str">
        <f>YEAR(Datos_Consumo[[#This Row],[FECHA]])&amp;"-"&amp;MONTH(Datos_Consumo[[#This Row],[FECHA]])</f>
        <v>2017-1</v>
      </c>
    </row>
    <row r="169" spans="1:4" x14ac:dyDescent="0.25">
      <c r="A169" t="s">
        <v>1440</v>
      </c>
      <c r="B169">
        <v>10</v>
      </c>
      <c r="C169" s="55">
        <v>42705</v>
      </c>
      <c r="D169" s="3" t="str">
        <f>YEAR(Datos_Consumo[[#This Row],[FECHA]])&amp;"-"&amp;MONTH(Datos_Consumo[[#This Row],[FECHA]])</f>
        <v>2016-12</v>
      </c>
    </row>
    <row r="170" spans="1:4" x14ac:dyDescent="0.25">
      <c r="A170" t="s">
        <v>1441</v>
      </c>
      <c r="B170">
        <v>20</v>
      </c>
      <c r="C170" s="55">
        <v>42705</v>
      </c>
      <c r="D170" s="3" t="str">
        <f>YEAR(Datos_Consumo[[#This Row],[FECHA]])&amp;"-"&amp;MONTH(Datos_Consumo[[#This Row],[FECHA]])</f>
        <v>2016-12</v>
      </c>
    </row>
    <row r="171" spans="1:4" x14ac:dyDescent="0.25">
      <c r="A171" t="s">
        <v>1442</v>
      </c>
      <c r="B171">
        <v>40</v>
      </c>
      <c r="C171" s="55">
        <v>42705</v>
      </c>
      <c r="D171" s="3" t="str">
        <f>YEAR(Datos_Consumo[[#This Row],[FECHA]])&amp;"-"&amp;MONTH(Datos_Consumo[[#This Row],[FECHA]])</f>
        <v>2016-12</v>
      </c>
    </row>
    <row r="172" spans="1:4" x14ac:dyDescent="0.25">
      <c r="A172" t="s">
        <v>1443</v>
      </c>
      <c r="B172">
        <v>30</v>
      </c>
      <c r="C172" s="55">
        <v>42705</v>
      </c>
      <c r="D172" s="3" t="str">
        <f>YEAR(Datos_Consumo[[#This Row],[FECHA]])&amp;"-"&amp;MONTH(Datos_Consumo[[#This Row],[FECHA]])</f>
        <v>2016-12</v>
      </c>
    </row>
    <row r="173" spans="1:4" x14ac:dyDescent="0.25">
      <c r="A173" t="s">
        <v>1443</v>
      </c>
      <c r="B173">
        <v>4</v>
      </c>
      <c r="C173" s="55">
        <v>42736</v>
      </c>
      <c r="D173" s="3" t="str">
        <f>YEAR(Datos_Consumo[[#This Row],[FECHA]])&amp;"-"&amp;MONTH(Datos_Consumo[[#This Row],[FECHA]])</f>
        <v>2017-1</v>
      </c>
    </row>
    <row r="174" spans="1:4" x14ac:dyDescent="0.25">
      <c r="A174" t="s">
        <v>1444</v>
      </c>
      <c r="B174">
        <v>20</v>
      </c>
      <c r="C174" s="55">
        <v>42705</v>
      </c>
      <c r="D174" s="3" t="str">
        <f>YEAR(Datos_Consumo[[#This Row],[FECHA]])&amp;"-"&amp;MONTH(Datos_Consumo[[#This Row],[FECHA]])</f>
        <v>2016-12</v>
      </c>
    </row>
    <row r="175" spans="1:4" x14ac:dyDescent="0.25">
      <c r="A175" t="s">
        <v>1444</v>
      </c>
      <c r="B175">
        <v>26</v>
      </c>
      <c r="C175" s="55">
        <v>42736</v>
      </c>
      <c r="D175" s="3" t="str">
        <f>YEAR(Datos_Consumo[[#This Row],[FECHA]])&amp;"-"&amp;MONTH(Datos_Consumo[[#This Row],[FECHA]])</f>
        <v>2017-1</v>
      </c>
    </row>
    <row r="176" spans="1:4" x14ac:dyDescent="0.25">
      <c r="A176" t="s">
        <v>1445</v>
      </c>
      <c r="B176">
        <v>10</v>
      </c>
      <c r="C176" s="55">
        <v>42705</v>
      </c>
      <c r="D176" s="3" t="str">
        <f>YEAR(Datos_Consumo[[#This Row],[FECHA]])&amp;"-"&amp;MONTH(Datos_Consumo[[#This Row],[FECHA]])</f>
        <v>2016-12</v>
      </c>
    </row>
    <row r="177" spans="1:4" x14ac:dyDescent="0.25">
      <c r="A177" t="s">
        <v>1446</v>
      </c>
      <c r="B177">
        <v>1</v>
      </c>
      <c r="C177" s="55">
        <v>42736</v>
      </c>
      <c r="D177" s="3" t="str">
        <f>YEAR(Datos_Consumo[[#This Row],[FECHA]])&amp;"-"&amp;MONTH(Datos_Consumo[[#This Row],[FECHA]])</f>
        <v>2017-1</v>
      </c>
    </row>
    <row r="178" spans="1:4" x14ac:dyDescent="0.25">
      <c r="A178" t="s">
        <v>1390</v>
      </c>
      <c r="B178">
        <v>20</v>
      </c>
      <c r="C178" s="55">
        <v>42675</v>
      </c>
      <c r="D178" s="3" t="str">
        <f>YEAR(Datos_Consumo[[#This Row],[FECHA]])&amp;"-"&amp;MONTH(Datos_Consumo[[#This Row],[FECHA]])</f>
        <v>2016-11</v>
      </c>
    </row>
    <row r="179" spans="1:4" x14ac:dyDescent="0.25">
      <c r="A179" t="s">
        <v>1390</v>
      </c>
      <c r="B179">
        <v>20</v>
      </c>
      <c r="C179" s="55">
        <v>42736</v>
      </c>
      <c r="D179" s="3" t="str">
        <f>YEAR(Datos_Consumo[[#This Row],[FECHA]])&amp;"-"&amp;MONTH(Datos_Consumo[[#This Row],[FECHA]])</f>
        <v>2017-1</v>
      </c>
    </row>
    <row r="180" spans="1:4" x14ac:dyDescent="0.25">
      <c r="A180" t="s">
        <v>1609</v>
      </c>
      <c r="B180">
        <v>50</v>
      </c>
      <c r="C180" s="55">
        <v>42736</v>
      </c>
      <c r="D180" s="3" t="str">
        <f>YEAR(Datos_Consumo[[#This Row],[FECHA]])&amp;"-"&amp;MONTH(Datos_Consumo[[#This Row],[FECHA]])</f>
        <v>2017-1</v>
      </c>
    </row>
    <row r="181" spans="1:4" x14ac:dyDescent="0.25">
      <c r="A181" t="s">
        <v>1610</v>
      </c>
      <c r="B181">
        <v>20</v>
      </c>
      <c r="C181" s="55">
        <v>42675</v>
      </c>
      <c r="D181" s="3" t="str">
        <f>YEAR(Datos_Consumo[[#This Row],[FECHA]])&amp;"-"&amp;MONTH(Datos_Consumo[[#This Row],[FECHA]])</f>
        <v>2016-11</v>
      </c>
    </row>
    <row r="182" spans="1:4" x14ac:dyDescent="0.25">
      <c r="A182" t="s">
        <v>1610</v>
      </c>
      <c r="B182">
        <v>50</v>
      </c>
      <c r="C182" s="55">
        <v>42736</v>
      </c>
      <c r="D182" s="3" t="str">
        <f>YEAR(Datos_Consumo[[#This Row],[FECHA]])&amp;"-"&amp;MONTH(Datos_Consumo[[#This Row],[FECHA]])</f>
        <v>2017-1</v>
      </c>
    </row>
    <row r="183" spans="1:4" x14ac:dyDescent="0.25">
      <c r="A183" t="s">
        <v>1447</v>
      </c>
      <c r="B183">
        <v>20</v>
      </c>
      <c r="C183" s="55">
        <v>42675</v>
      </c>
      <c r="D183" s="3" t="str">
        <f>YEAR(Datos_Consumo[[#This Row],[FECHA]])&amp;"-"&amp;MONTH(Datos_Consumo[[#This Row],[FECHA]])</f>
        <v>2016-11</v>
      </c>
    </row>
    <row r="184" spans="1:4" x14ac:dyDescent="0.25">
      <c r="A184" t="s">
        <v>1447</v>
      </c>
      <c r="B184">
        <v>12</v>
      </c>
      <c r="C184" s="55">
        <v>42705</v>
      </c>
      <c r="D184" s="3" t="str">
        <f>YEAR(Datos_Consumo[[#This Row],[FECHA]])&amp;"-"&amp;MONTH(Datos_Consumo[[#This Row],[FECHA]])</f>
        <v>2016-12</v>
      </c>
    </row>
    <row r="185" spans="1:4" x14ac:dyDescent="0.25">
      <c r="A185" t="s">
        <v>1447</v>
      </c>
      <c r="B185">
        <v>38</v>
      </c>
      <c r="C185" s="55">
        <v>42736</v>
      </c>
      <c r="D185" s="3" t="str">
        <f>YEAR(Datos_Consumo[[#This Row],[FECHA]])&amp;"-"&amp;MONTH(Datos_Consumo[[#This Row],[FECHA]])</f>
        <v>2017-1</v>
      </c>
    </row>
    <row r="186" spans="1:4" x14ac:dyDescent="0.25">
      <c r="A186" t="s">
        <v>1391</v>
      </c>
      <c r="B186">
        <v>75</v>
      </c>
      <c r="C186" s="55">
        <v>42675</v>
      </c>
      <c r="D186" s="3" t="str">
        <f>YEAR(Datos_Consumo[[#This Row],[FECHA]])&amp;"-"&amp;MONTH(Datos_Consumo[[#This Row],[FECHA]])</f>
        <v>2016-11</v>
      </c>
    </row>
    <row r="187" spans="1:4" x14ac:dyDescent="0.25">
      <c r="A187" t="s">
        <v>1391</v>
      </c>
      <c r="B187">
        <v>65</v>
      </c>
      <c r="C187" s="55">
        <v>42705</v>
      </c>
      <c r="D187" s="3" t="str">
        <f>YEAR(Datos_Consumo[[#This Row],[FECHA]])&amp;"-"&amp;MONTH(Datos_Consumo[[#This Row],[FECHA]])</f>
        <v>2016-12</v>
      </c>
    </row>
    <row r="188" spans="1:4" x14ac:dyDescent="0.25">
      <c r="A188" t="s">
        <v>1391</v>
      </c>
      <c r="B188">
        <v>139</v>
      </c>
      <c r="C188" s="55">
        <v>42736</v>
      </c>
      <c r="D188" s="3" t="str">
        <f>YEAR(Datos_Consumo[[#This Row],[FECHA]])&amp;"-"&amp;MONTH(Datos_Consumo[[#This Row],[FECHA]])</f>
        <v>2017-1</v>
      </c>
    </row>
    <row r="189" spans="1:4" x14ac:dyDescent="0.25">
      <c r="A189" t="s">
        <v>1392</v>
      </c>
      <c r="B189">
        <v>80</v>
      </c>
      <c r="C189" s="55">
        <v>42675</v>
      </c>
      <c r="D189" s="3" t="str">
        <f>YEAR(Datos_Consumo[[#This Row],[FECHA]])&amp;"-"&amp;MONTH(Datos_Consumo[[#This Row],[FECHA]])</f>
        <v>2016-11</v>
      </c>
    </row>
    <row r="190" spans="1:4" x14ac:dyDescent="0.25">
      <c r="A190" t="s">
        <v>1392</v>
      </c>
      <c r="B190">
        <v>25</v>
      </c>
      <c r="C190" s="55">
        <v>42705</v>
      </c>
      <c r="D190" s="3" t="str">
        <f>YEAR(Datos_Consumo[[#This Row],[FECHA]])&amp;"-"&amp;MONTH(Datos_Consumo[[#This Row],[FECHA]])</f>
        <v>2016-12</v>
      </c>
    </row>
    <row r="191" spans="1:4" x14ac:dyDescent="0.25">
      <c r="A191" t="s">
        <v>1392</v>
      </c>
      <c r="B191">
        <v>115</v>
      </c>
      <c r="C191" s="55">
        <v>42736</v>
      </c>
      <c r="D191" s="3" t="str">
        <f>YEAR(Datos_Consumo[[#This Row],[FECHA]])&amp;"-"&amp;MONTH(Datos_Consumo[[#This Row],[FECHA]])</f>
        <v>2017-1</v>
      </c>
    </row>
    <row r="192" spans="1:4" x14ac:dyDescent="0.25">
      <c r="A192" t="s">
        <v>1448</v>
      </c>
      <c r="B192">
        <v>5</v>
      </c>
      <c r="C192" s="55">
        <v>42736</v>
      </c>
      <c r="D192" s="3" t="str">
        <f>YEAR(Datos_Consumo[[#This Row],[FECHA]])&amp;"-"&amp;MONTH(Datos_Consumo[[#This Row],[FECHA]])</f>
        <v>2017-1</v>
      </c>
    </row>
    <row r="193" spans="1:4" x14ac:dyDescent="0.25">
      <c r="A193" t="s">
        <v>1449</v>
      </c>
      <c r="B193">
        <v>2</v>
      </c>
      <c r="C193" s="55">
        <v>42736</v>
      </c>
      <c r="D193" s="3" t="str">
        <f>YEAR(Datos_Consumo[[#This Row],[FECHA]])&amp;"-"&amp;MONTH(Datos_Consumo[[#This Row],[FECHA]])</f>
        <v>2017-1</v>
      </c>
    </row>
    <row r="194" spans="1:4" x14ac:dyDescent="0.25">
      <c r="A194" t="s">
        <v>1450</v>
      </c>
      <c r="B194">
        <v>9</v>
      </c>
      <c r="C194" s="55">
        <v>42736</v>
      </c>
      <c r="D194" s="3" t="str">
        <f>YEAR(Datos_Consumo[[#This Row],[FECHA]])&amp;"-"&amp;MONTH(Datos_Consumo[[#This Row],[FECHA]])</f>
        <v>2017-1</v>
      </c>
    </row>
    <row r="195" spans="1:4" x14ac:dyDescent="0.25">
      <c r="A195" t="s">
        <v>1611</v>
      </c>
      <c r="B195">
        <v>1</v>
      </c>
      <c r="C195" s="55">
        <v>42736</v>
      </c>
      <c r="D195" s="3" t="str">
        <f>YEAR(Datos_Consumo[[#This Row],[FECHA]])&amp;"-"&amp;MONTH(Datos_Consumo[[#This Row],[FECHA]])</f>
        <v>2017-1</v>
      </c>
    </row>
    <row r="196" spans="1:4" x14ac:dyDescent="0.25">
      <c r="A196" t="s">
        <v>1612</v>
      </c>
      <c r="B196">
        <v>1</v>
      </c>
      <c r="C196" s="55">
        <v>42675</v>
      </c>
      <c r="D196" s="3" t="str">
        <f>YEAR(Datos_Consumo[[#This Row],[FECHA]])&amp;"-"&amp;MONTH(Datos_Consumo[[#This Row],[FECHA]])</f>
        <v>2016-11</v>
      </c>
    </row>
    <row r="197" spans="1:4" x14ac:dyDescent="0.25">
      <c r="A197" t="s">
        <v>1613</v>
      </c>
      <c r="B197">
        <v>500</v>
      </c>
      <c r="C197" s="55">
        <v>42675</v>
      </c>
      <c r="D197" s="3" t="str">
        <f>YEAR(Datos_Consumo[[#This Row],[FECHA]])&amp;"-"&amp;MONTH(Datos_Consumo[[#This Row],[FECHA]])</f>
        <v>2016-11</v>
      </c>
    </row>
    <row r="198" spans="1:4" x14ac:dyDescent="0.25">
      <c r="A198" t="s">
        <v>1613</v>
      </c>
      <c r="B198">
        <v>10</v>
      </c>
      <c r="C198" s="55">
        <v>42705</v>
      </c>
      <c r="D198" s="3" t="str">
        <f>YEAR(Datos_Consumo[[#This Row],[FECHA]])&amp;"-"&amp;MONTH(Datos_Consumo[[#This Row],[FECHA]])</f>
        <v>2016-12</v>
      </c>
    </row>
    <row r="199" spans="1:4" x14ac:dyDescent="0.25">
      <c r="A199" t="s">
        <v>1570</v>
      </c>
      <c r="B199">
        <v>54</v>
      </c>
      <c r="C199" s="55">
        <v>42675</v>
      </c>
      <c r="D199" s="3" t="str">
        <f>YEAR(Datos_Consumo[[#This Row],[FECHA]])&amp;"-"&amp;MONTH(Datos_Consumo[[#This Row],[FECHA]])</f>
        <v>2016-11</v>
      </c>
    </row>
    <row r="200" spans="1:4" x14ac:dyDescent="0.25">
      <c r="A200" t="s">
        <v>1570</v>
      </c>
      <c r="B200">
        <v>119</v>
      </c>
      <c r="C200" s="55">
        <v>42705</v>
      </c>
      <c r="D200" s="3" t="str">
        <f>YEAR(Datos_Consumo[[#This Row],[FECHA]])&amp;"-"&amp;MONTH(Datos_Consumo[[#This Row],[FECHA]])</f>
        <v>2016-12</v>
      </c>
    </row>
    <row r="201" spans="1:4" x14ac:dyDescent="0.25">
      <c r="A201" t="s">
        <v>1570</v>
      </c>
      <c r="B201">
        <v>48</v>
      </c>
      <c r="C201" s="55">
        <v>42736</v>
      </c>
      <c r="D201" s="3" t="str">
        <f>YEAR(Datos_Consumo[[#This Row],[FECHA]])&amp;"-"&amp;MONTH(Datos_Consumo[[#This Row],[FECHA]])</f>
        <v>2017-1</v>
      </c>
    </row>
    <row r="202" spans="1:4" x14ac:dyDescent="0.25">
      <c r="A202" t="s">
        <v>1571</v>
      </c>
      <c r="B202">
        <v>654</v>
      </c>
      <c r="C202" s="55">
        <v>42675</v>
      </c>
      <c r="D202" s="3" t="str">
        <f>YEAR(Datos_Consumo[[#This Row],[FECHA]])&amp;"-"&amp;MONTH(Datos_Consumo[[#This Row],[FECHA]])</f>
        <v>2016-11</v>
      </c>
    </row>
    <row r="203" spans="1:4" x14ac:dyDescent="0.25">
      <c r="A203" t="s">
        <v>1571</v>
      </c>
      <c r="B203">
        <v>75</v>
      </c>
      <c r="C203" s="55">
        <v>42705</v>
      </c>
      <c r="D203" s="3" t="str">
        <f>YEAR(Datos_Consumo[[#This Row],[FECHA]])&amp;"-"&amp;MONTH(Datos_Consumo[[#This Row],[FECHA]])</f>
        <v>2016-12</v>
      </c>
    </row>
    <row r="204" spans="1:4" x14ac:dyDescent="0.25">
      <c r="A204" t="s">
        <v>1571</v>
      </c>
      <c r="B204">
        <v>192</v>
      </c>
      <c r="C204" s="55">
        <v>42736</v>
      </c>
      <c r="D204" s="3" t="str">
        <f>YEAR(Datos_Consumo[[#This Row],[FECHA]])&amp;"-"&amp;MONTH(Datos_Consumo[[#This Row],[FECHA]])</f>
        <v>2017-1</v>
      </c>
    </row>
    <row r="205" spans="1:4" x14ac:dyDescent="0.25">
      <c r="A205" t="s">
        <v>1614</v>
      </c>
      <c r="B205">
        <v>516</v>
      </c>
      <c r="C205" s="55">
        <v>42675</v>
      </c>
      <c r="D205" s="3" t="str">
        <f>YEAR(Datos_Consumo[[#This Row],[FECHA]])&amp;"-"&amp;MONTH(Datos_Consumo[[#This Row],[FECHA]])</f>
        <v>2016-11</v>
      </c>
    </row>
    <row r="206" spans="1:4" x14ac:dyDescent="0.25">
      <c r="A206" t="s">
        <v>1614</v>
      </c>
      <c r="B206">
        <v>508</v>
      </c>
      <c r="C206" s="55">
        <v>42705</v>
      </c>
      <c r="D206" s="3" t="str">
        <f>YEAR(Datos_Consumo[[#This Row],[FECHA]])&amp;"-"&amp;MONTH(Datos_Consumo[[#This Row],[FECHA]])</f>
        <v>2016-12</v>
      </c>
    </row>
    <row r="207" spans="1:4" x14ac:dyDescent="0.25">
      <c r="A207" t="s">
        <v>1614</v>
      </c>
      <c r="B207">
        <v>515</v>
      </c>
      <c r="C207" s="55">
        <v>42736</v>
      </c>
      <c r="D207" s="3" t="str">
        <f>YEAR(Datos_Consumo[[#This Row],[FECHA]])&amp;"-"&amp;MONTH(Datos_Consumo[[#This Row],[FECHA]])</f>
        <v>2017-1</v>
      </c>
    </row>
    <row r="208" spans="1:4" x14ac:dyDescent="0.25">
      <c r="A208" t="s">
        <v>1615</v>
      </c>
      <c r="B208">
        <v>102</v>
      </c>
      <c r="C208" s="55">
        <v>42675</v>
      </c>
      <c r="D208" s="3" t="str">
        <f>YEAR(Datos_Consumo[[#This Row],[FECHA]])&amp;"-"&amp;MONTH(Datos_Consumo[[#This Row],[FECHA]])</f>
        <v>2016-11</v>
      </c>
    </row>
    <row r="209" spans="1:4" x14ac:dyDescent="0.25">
      <c r="A209" t="s">
        <v>1615</v>
      </c>
      <c r="B209">
        <v>100</v>
      </c>
      <c r="C209" s="55">
        <v>42736</v>
      </c>
      <c r="D209" s="3" t="str">
        <f>YEAR(Datos_Consumo[[#This Row],[FECHA]])&amp;"-"&amp;MONTH(Datos_Consumo[[#This Row],[FECHA]])</f>
        <v>2017-1</v>
      </c>
    </row>
    <row r="210" spans="1:4" x14ac:dyDescent="0.25">
      <c r="A210" t="s">
        <v>1616</v>
      </c>
      <c r="B210">
        <v>2620</v>
      </c>
      <c r="C210" s="55">
        <v>42675</v>
      </c>
      <c r="D210" s="3" t="str">
        <f>YEAR(Datos_Consumo[[#This Row],[FECHA]])&amp;"-"&amp;MONTH(Datos_Consumo[[#This Row],[FECHA]])</f>
        <v>2016-11</v>
      </c>
    </row>
    <row r="211" spans="1:4" x14ac:dyDescent="0.25">
      <c r="A211" t="s">
        <v>1616</v>
      </c>
      <c r="B211">
        <v>2000</v>
      </c>
      <c r="C211" s="55">
        <v>42705</v>
      </c>
      <c r="D211" s="3" t="str">
        <f>YEAR(Datos_Consumo[[#This Row],[FECHA]])&amp;"-"&amp;MONTH(Datos_Consumo[[#This Row],[FECHA]])</f>
        <v>2016-12</v>
      </c>
    </row>
    <row r="212" spans="1:4" x14ac:dyDescent="0.25">
      <c r="A212" t="s">
        <v>1616</v>
      </c>
      <c r="B212">
        <v>2019</v>
      </c>
      <c r="C212" s="55">
        <v>42736</v>
      </c>
      <c r="D212" s="3" t="str">
        <f>YEAR(Datos_Consumo[[#This Row],[FECHA]])&amp;"-"&amp;MONTH(Datos_Consumo[[#This Row],[FECHA]])</f>
        <v>2017-1</v>
      </c>
    </row>
    <row r="213" spans="1:4" x14ac:dyDescent="0.25">
      <c r="A213" t="s">
        <v>1617</v>
      </c>
      <c r="B213">
        <v>2</v>
      </c>
      <c r="C213" s="55">
        <v>42675</v>
      </c>
      <c r="D213" s="3" t="str">
        <f>YEAR(Datos_Consumo[[#This Row],[FECHA]])&amp;"-"&amp;MONTH(Datos_Consumo[[#This Row],[FECHA]])</f>
        <v>2016-11</v>
      </c>
    </row>
    <row r="214" spans="1:4" x14ac:dyDescent="0.25">
      <c r="A214" t="s">
        <v>1618</v>
      </c>
      <c r="B214">
        <v>12</v>
      </c>
      <c r="C214" s="55">
        <v>42736</v>
      </c>
      <c r="D214" s="3" t="str">
        <f>YEAR(Datos_Consumo[[#This Row],[FECHA]])&amp;"-"&amp;MONTH(Datos_Consumo[[#This Row],[FECHA]])</f>
        <v>2017-1</v>
      </c>
    </row>
    <row r="215" spans="1:4" x14ac:dyDescent="0.25">
      <c r="A215" t="s">
        <v>1619</v>
      </c>
      <c r="B215">
        <v>24</v>
      </c>
      <c r="C215" s="55">
        <v>42705</v>
      </c>
      <c r="D215" s="3" t="str">
        <f>YEAR(Datos_Consumo[[#This Row],[FECHA]])&amp;"-"&amp;MONTH(Datos_Consumo[[#This Row],[FECHA]])</f>
        <v>2016-12</v>
      </c>
    </row>
    <row r="216" spans="1:4" x14ac:dyDescent="0.25">
      <c r="A216" t="s">
        <v>1620</v>
      </c>
      <c r="B216">
        <v>1</v>
      </c>
      <c r="C216" s="55">
        <v>42705</v>
      </c>
      <c r="D216" s="3" t="str">
        <f>YEAR(Datos_Consumo[[#This Row],[FECHA]])&amp;"-"&amp;MONTH(Datos_Consumo[[#This Row],[FECHA]])</f>
        <v>2016-12</v>
      </c>
    </row>
    <row r="217" spans="1:4" x14ac:dyDescent="0.25">
      <c r="A217" t="s">
        <v>1572</v>
      </c>
      <c r="B217">
        <v>429</v>
      </c>
      <c r="C217" s="55">
        <v>42675</v>
      </c>
      <c r="D217" s="3" t="str">
        <f>YEAR(Datos_Consumo[[#This Row],[FECHA]])&amp;"-"&amp;MONTH(Datos_Consumo[[#This Row],[FECHA]])</f>
        <v>2016-11</v>
      </c>
    </row>
    <row r="218" spans="1:4" x14ac:dyDescent="0.25">
      <c r="A218" t="s">
        <v>1572</v>
      </c>
      <c r="B218">
        <v>360</v>
      </c>
      <c r="C218" s="55">
        <v>42705</v>
      </c>
      <c r="D218" s="3" t="str">
        <f>YEAR(Datos_Consumo[[#This Row],[FECHA]])&amp;"-"&amp;MONTH(Datos_Consumo[[#This Row],[FECHA]])</f>
        <v>2016-12</v>
      </c>
    </row>
    <row r="219" spans="1:4" x14ac:dyDescent="0.25">
      <c r="A219" t="s">
        <v>1572</v>
      </c>
      <c r="B219">
        <v>81</v>
      </c>
      <c r="C219" s="55">
        <v>42736</v>
      </c>
      <c r="D219" s="3" t="str">
        <f>YEAR(Datos_Consumo[[#This Row],[FECHA]])&amp;"-"&amp;MONTH(Datos_Consumo[[#This Row],[FECHA]])</f>
        <v>2017-1</v>
      </c>
    </row>
    <row r="220" spans="1:4" x14ac:dyDescent="0.25">
      <c r="A220" t="s">
        <v>1621</v>
      </c>
      <c r="B220">
        <v>12</v>
      </c>
      <c r="C220" s="55">
        <v>42705</v>
      </c>
      <c r="D220" s="3" t="str">
        <f>YEAR(Datos_Consumo[[#This Row],[FECHA]])&amp;"-"&amp;MONTH(Datos_Consumo[[#This Row],[FECHA]])</f>
        <v>2016-12</v>
      </c>
    </row>
    <row r="221" spans="1:4" x14ac:dyDescent="0.25">
      <c r="A221" t="s">
        <v>1622</v>
      </c>
      <c r="B221">
        <v>5</v>
      </c>
      <c r="C221" s="55">
        <v>42675</v>
      </c>
      <c r="D221" s="3" t="str">
        <f>YEAR(Datos_Consumo[[#This Row],[FECHA]])&amp;"-"&amp;MONTH(Datos_Consumo[[#This Row],[FECHA]])</f>
        <v>2016-11</v>
      </c>
    </row>
    <row r="222" spans="1:4" x14ac:dyDescent="0.25">
      <c r="A222" t="s">
        <v>1623</v>
      </c>
      <c r="B222">
        <v>20</v>
      </c>
      <c r="C222" s="55">
        <v>42705</v>
      </c>
      <c r="D222" s="3" t="str">
        <f>YEAR(Datos_Consumo[[#This Row],[FECHA]])&amp;"-"&amp;MONTH(Datos_Consumo[[#This Row],[FECHA]])</f>
        <v>2016-12</v>
      </c>
    </row>
    <row r="223" spans="1:4" x14ac:dyDescent="0.25">
      <c r="A223" t="s">
        <v>1623</v>
      </c>
      <c r="B223">
        <v>5</v>
      </c>
      <c r="C223" s="55">
        <v>42736</v>
      </c>
      <c r="D223" s="3" t="str">
        <f>YEAR(Datos_Consumo[[#This Row],[FECHA]])&amp;"-"&amp;MONTH(Datos_Consumo[[#This Row],[FECHA]])</f>
        <v>2017-1</v>
      </c>
    </row>
    <row r="224" spans="1:4" x14ac:dyDescent="0.25">
      <c r="A224" t="s">
        <v>1624</v>
      </c>
      <c r="B224">
        <v>162</v>
      </c>
      <c r="C224" s="55">
        <v>42675</v>
      </c>
      <c r="D224" s="3" t="str">
        <f>YEAR(Datos_Consumo[[#This Row],[FECHA]])&amp;"-"&amp;MONTH(Datos_Consumo[[#This Row],[FECHA]])</f>
        <v>2016-11</v>
      </c>
    </row>
    <row r="225" spans="1:4" x14ac:dyDescent="0.25">
      <c r="A225" t="s">
        <v>1624</v>
      </c>
      <c r="B225">
        <v>210</v>
      </c>
      <c r="C225" s="55">
        <v>42705</v>
      </c>
      <c r="D225" s="3" t="str">
        <f>YEAR(Datos_Consumo[[#This Row],[FECHA]])&amp;"-"&amp;MONTH(Datos_Consumo[[#This Row],[FECHA]])</f>
        <v>2016-12</v>
      </c>
    </row>
    <row r="226" spans="1:4" x14ac:dyDescent="0.25">
      <c r="A226" t="s">
        <v>1624</v>
      </c>
      <c r="B226">
        <v>28</v>
      </c>
      <c r="C226" s="55">
        <v>42736</v>
      </c>
      <c r="D226" s="3" t="str">
        <f>YEAR(Datos_Consumo[[#This Row],[FECHA]])&amp;"-"&amp;MONTH(Datos_Consumo[[#This Row],[FECHA]])</f>
        <v>2017-1</v>
      </c>
    </row>
    <row r="227" spans="1:4" x14ac:dyDescent="0.25">
      <c r="A227" t="s">
        <v>1625</v>
      </c>
      <c r="B227">
        <v>120</v>
      </c>
      <c r="C227" s="55">
        <v>42736</v>
      </c>
      <c r="D227" s="3" t="str">
        <f>YEAR(Datos_Consumo[[#This Row],[FECHA]])&amp;"-"&amp;MONTH(Datos_Consumo[[#This Row],[FECHA]])</f>
        <v>2017-1</v>
      </c>
    </row>
    <row r="228" spans="1:4" x14ac:dyDescent="0.25">
      <c r="A228" t="s">
        <v>1626</v>
      </c>
      <c r="B228">
        <v>160</v>
      </c>
      <c r="C228" s="55">
        <v>42705</v>
      </c>
      <c r="D228" s="3" t="str">
        <f>YEAR(Datos_Consumo[[#This Row],[FECHA]])&amp;"-"&amp;MONTH(Datos_Consumo[[#This Row],[FECHA]])</f>
        <v>2016-12</v>
      </c>
    </row>
    <row r="229" spans="1:4" x14ac:dyDescent="0.25">
      <c r="A229" t="s">
        <v>1627</v>
      </c>
      <c r="B229">
        <v>160</v>
      </c>
      <c r="C229" s="55">
        <v>42705</v>
      </c>
      <c r="D229" s="3" t="str">
        <f>YEAR(Datos_Consumo[[#This Row],[FECHA]])&amp;"-"&amp;MONTH(Datos_Consumo[[#This Row],[FECHA]])</f>
        <v>2016-12</v>
      </c>
    </row>
    <row r="230" spans="1:4" x14ac:dyDescent="0.25">
      <c r="A230" t="s">
        <v>1628</v>
      </c>
      <c r="B230">
        <v>160</v>
      </c>
      <c r="C230" s="55">
        <v>42736</v>
      </c>
      <c r="D230" s="3" t="str">
        <f>YEAR(Datos_Consumo[[#This Row],[FECHA]])&amp;"-"&amp;MONTH(Datos_Consumo[[#This Row],[FECHA]])</f>
        <v>2017-1</v>
      </c>
    </row>
    <row r="231" spans="1:4" x14ac:dyDescent="0.25">
      <c r="A231" t="s">
        <v>1629</v>
      </c>
      <c r="B231">
        <v>12</v>
      </c>
      <c r="C231" s="55">
        <v>42675</v>
      </c>
      <c r="D231" s="3" t="str">
        <f>YEAR(Datos_Consumo[[#This Row],[FECHA]])&amp;"-"&amp;MONTH(Datos_Consumo[[#This Row],[FECHA]])</f>
        <v>2016-11</v>
      </c>
    </row>
    <row r="232" spans="1:4" x14ac:dyDescent="0.25">
      <c r="A232" t="s">
        <v>1629</v>
      </c>
      <c r="B232">
        <v>4</v>
      </c>
      <c r="C232" s="55">
        <v>42705</v>
      </c>
      <c r="D232" s="3" t="str">
        <f>YEAR(Datos_Consumo[[#This Row],[FECHA]])&amp;"-"&amp;MONTH(Datos_Consumo[[#This Row],[FECHA]])</f>
        <v>2016-12</v>
      </c>
    </row>
    <row r="233" spans="1:4" x14ac:dyDescent="0.25">
      <c r="A233" t="s">
        <v>1629</v>
      </c>
      <c r="B233">
        <v>6</v>
      </c>
      <c r="C233" s="55">
        <v>42736</v>
      </c>
      <c r="D233" s="3" t="str">
        <f>YEAR(Datos_Consumo[[#This Row],[FECHA]])&amp;"-"&amp;MONTH(Datos_Consumo[[#This Row],[FECHA]])</f>
        <v>2017-1</v>
      </c>
    </row>
    <row r="234" spans="1:4" x14ac:dyDescent="0.25">
      <c r="A234" t="s">
        <v>1451</v>
      </c>
      <c r="B234">
        <v>5</v>
      </c>
      <c r="C234" s="55">
        <v>42705</v>
      </c>
      <c r="D234" s="3" t="str">
        <f>YEAR(Datos_Consumo[[#This Row],[FECHA]])&amp;"-"&amp;MONTH(Datos_Consumo[[#This Row],[FECHA]])</f>
        <v>2016-12</v>
      </c>
    </row>
    <row r="235" spans="1:4" x14ac:dyDescent="0.25">
      <c r="A235" t="s">
        <v>1630</v>
      </c>
      <c r="B235">
        <v>69</v>
      </c>
      <c r="C235" s="55">
        <v>42675</v>
      </c>
      <c r="D235" s="3" t="str">
        <f>YEAR(Datos_Consumo[[#This Row],[FECHA]])&amp;"-"&amp;MONTH(Datos_Consumo[[#This Row],[FECHA]])</f>
        <v>2016-11</v>
      </c>
    </row>
    <row r="236" spans="1:4" x14ac:dyDescent="0.25">
      <c r="A236" t="s">
        <v>1630</v>
      </c>
      <c r="B236">
        <v>90</v>
      </c>
      <c r="C236" s="55">
        <v>42705</v>
      </c>
      <c r="D236" s="3" t="str">
        <f>YEAR(Datos_Consumo[[#This Row],[FECHA]])&amp;"-"&amp;MONTH(Datos_Consumo[[#This Row],[FECHA]])</f>
        <v>2016-12</v>
      </c>
    </row>
    <row r="237" spans="1:4" x14ac:dyDescent="0.25">
      <c r="A237" t="s">
        <v>1630</v>
      </c>
      <c r="B237">
        <v>90</v>
      </c>
      <c r="C237" s="55">
        <v>42736</v>
      </c>
      <c r="D237" s="3" t="str">
        <f>YEAR(Datos_Consumo[[#This Row],[FECHA]])&amp;"-"&amp;MONTH(Datos_Consumo[[#This Row],[FECHA]])</f>
        <v>2017-1</v>
      </c>
    </row>
    <row r="238" spans="1:4" x14ac:dyDescent="0.25">
      <c r="A238" t="s">
        <v>1452</v>
      </c>
      <c r="B238">
        <v>2</v>
      </c>
      <c r="C238" s="55">
        <v>42736</v>
      </c>
      <c r="D238" s="3" t="str">
        <f>YEAR(Datos_Consumo[[#This Row],[FECHA]])&amp;"-"&amp;MONTH(Datos_Consumo[[#This Row],[FECHA]])</f>
        <v>2017-1</v>
      </c>
    </row>
    <row r="239" spans="1:4" x14ac:dyDescent="0.25">
      <c r="A239" t="s">
        <v>1453</v>
      </c>
      <c r="B239">
        <v>65</v>
      </c>
      <c r="C239" s="55">
        <v>42675</v>
      </c>
      <c r="D239" s="3" t="str">
        <f>YEAR(Datos_Consumo[[#This Row],[FECHA]])&amp;"-"&amp;MONTH(Datos_Consumo[[#This Row],[FECHA]])</f>
        <v>2016-11</v>
      </c>
    </row>
    <row r="240" spans="1:4" x14ac:dyDescent="0.25">
      <c r="A240" t="s">
        <v>1453</v>
      </c>
      <c r="B240">
        <v>1</v>
      </c>
      <c r="C240" s="55">
        <v>42705</v>
      </c>
      <c r="D240" s="3" t="str">
        <f>YEAR(Datos_Consumo[[#This Row],[FECHA]])&amp;"-"&amp;MONTH(Datos_Consumo[[#This Row],[FECHA]])</f>
        <v>2016-12</v>
      </c>
    </row>
    <row r="241" spans="1:4" x14ac:dyDescent="0.25">
      <c r="A241" t="s">
        <v>1454</v>
      </c>
      <c r="B241">
        <v>20</v>
      </c>
      <c r="C241" s="55">
        <v>42675</v>
      </c>
      <c r="D241" s="3" t="str">
        <f>YEAR(Datos_Consumo[[#This Row],[FECHA]])&amp;"-"&amp;MONTH(Datos_Consumo[[#This Row],[FECHA]])</f>
        <v>2016-11</v>
      </c>
    </row>
    <row r="242" spans="1:4" x14ac:dyDescent="0.25">
      <c r="A242" t="s">
        <v>1454</v>
      </c>
      <c r="B242">
        <v>40</v>
      </c>
      <c r="C242" s="55">
        <v>42736</v>
      </c>
      <c r="D242" s="3" t="str">
        <f>YEAR(Datos_Consumo[[#This Row],[FECHA]])&amp;"-"&amp;MONTH(Datos_Consumo[[#This Row],[FECHA]])</f>
        <v>2017-1</v>
      </c>
    </row>
    <row r="243" spans="1:4" x14ac:dyDescent="0.25">
      <c r="A243" t="s">
        <v>1455</v>
      </c>
      <c r="B243">
        <v>120</v>
      </c>
      <c r="C243" s="55">
        <v>42705</v>
      </c>
      <c r="D243" s="3" t="str">
        <f>YEAR(Datos_Consumo[[#This Row],[FECHA]])&amp;"-"&amp;MONTH(Datos_Consumo[[#This Row],[FECHA]])</f>
        <v>2016-12</v>
      </c>
    </row>
    <row r="244" spans="1:4" x14ac:dyDescent="0.25">
      <c r="A244" t="s">
        <v>1456</v>
      </c>
      <c r="B244">
        <v>25000</v>
      </c>
      <c r="C244" s="55">
        <v>42736</v>
      </c>
      <c r="D244" s="3" t="str">
        <f>YEAR(Datos_Consumo[[#This Row],[FECHA]])&amp;"-"&amp;MONTH(Datos_Consumo[[#This Row],[FECHA]])</f>
        <v>2017-1</v>
      </c>
    </row>
    <row r="245" spans="1:4" x14ac:dyDescent="0.25">
      <c r="A245" t="s">
        <v>1457</v>
      </c>
      <c r="B245">
        <v>300</v>
      </c>
      <c r="C245" s="55">
        <v>42705</v>
      </c>
      <c r="D245" s="3" t="str">
        <f>YEAR(Datos_Consumo[[#This Row],[FECHA]])&amp;"-"&amp;MONTH(Datos_Consumo[[#This Row],[FECHA]])</f>
        <v>2016-12</v>
      </c>
    </row>
    <row r="246" spans="1:4" x14ac:dyDescent="0.25">
      <c r="A246" t="s">
        <v>1458</v>
      </c>
      <c r="B246">
        <v>15000</v>
      </c>
      <c r="C246" s="55">
        <v>42736</v>
      </c>
      <c r="D246" s="3" t="str">
        <f>YEAR(Datos_Consumo[[#This Row],[FECHA]])&amp;"-"&amp;MONTH(Datos_Consumo[[#This Row],[FECHA]])</f>
        <v>2017-1</v>
      </c>
    </row>
    <row r="247" spans="1:4" x14ac:dyDescent="0.25">
      <c r="A247" t="s">
        <v>1459</v>
      </c>
      <c r="B247">
        <v>300</v>
      </c>
      <c r="C247" s="55">
        <v>42705</v>
      </c>
      <c r="D247" s="3" t="str">
        <f>YEAR(Datos_Consumo[[#This Row],[FECHA]])&amp;"-"&amp;MONTH(Datos_Consumo[[#This Row],[FECHA]])</f>
        <v>2016-12</v>
      </c>
    </row>
    <row r="248" spans="1:4" x14ac:dyDescent="0.25">
      <c r="A248" t="s">
        <v>1460</v>
      </c>
      <c r="B248">
        <v>10000</v>
      </c>
      <c r="C248" s="55">
        <v>42736</v>
      </c>
      <c r="D248" s="3" t="str">
        <f>YEAR(Datos_Consumo[[#This Row],[FECHA]])&amp;"-"&amp;MONTH(Datos_Consumo[[#This Row],[FECHA]])</f>
        <v>2017-1</v>
      </c>
    </row>
    <row r="249" spans="1:4" x14ac:dyDescent="0.25">
      <c r="A249" t="s">
        <v>1461</v>
      </c>
      <c r="B249">
        <v>127</v>
      </c>
      <c r="C249" s="55">
        <v>42675</v>
      </c>
      <c r="D249" s="3" t="str">
        <f>YEAR(Datos_Consumo[[#This Row],[FECHA]])&amp;"-"&amp;MONTH(Datos_Consumo[[#This Row],[FECHA]])</f>
        <v>2016-11</v>
      </c>
    </row>
    <row r="250" spans="1:4" x14ac:dyDescent="0.25">
      <c r="A250" t="s">
        <v>1462</v>
      </c>
      <c r="B250">
        <v>7</v>
      </c>
      <c r="C250" s="55">
        <v>42675</v>
      </c>
      <c r="D250" s="3" t="str">
        <f>YEAR(Datos_Consumo[[#This Row],[FECHA]])&amp;"-"&amp;MONTH(Datos_Consumo[[#This Row],[FECHA]])</f>
        <v>2016-11</v>
      </c>
    </row>
    <row r="251" spans="1:4" x14ac:dyDescent="0.25">
      <c r="A251" t="s">
        <v>1462</v>
      </c>
      <c r="B251">
        <v>5</v>
      </c>
      <c r="C251" s="55">
        <v>42705</v>
      </c>
      <c r="D251" s="3" t="str">
        <f>YEAR(Datos_Consumo[[#This Row],[FECHA]])&amp;"-"&amp;MONTH(Datos_Consumo[[#This Row],[FECHA]])</f>
        <v>2016-12</v>
      </c>
    </row>
    <row r="252" spans="1:4" x14ac:dyDescent="0.25">
      <c r="A252" t="s">
        <v>1463</v>
      </c>
      <c r="B252">
        <v>2</v>
      </c>
      <c r="C252" s="55">
        <v>42705</v>
      </c>
      <c r="D252" s="3" t="str">
        <f>YEAR(Datos_Consumo[[#This Row],[FECHA]])&amp;"-"&amp;MONTH(Datos_Consumo[[#This Row],[FECHA]])</f>
        <v>2016-12</v>
      </c>
    </row>
    <row r="253" spans="1:4" x14ac:dyDescent="0.25">
      <c r="A253" t="s">
        <v>1463</v>
      </c>
      <c r="B253">
        <v>1</v>
      </c>
      <c r="C253" s="55">
        <v>42736</v>
      </c>
      <c r="D253" s="3" t="str">
        <f>YEAR(Datos_Consumo[[#This Row],[FECHA]])&amp;"-"&amp;MONTH(Datos_Consumo[[#This Row],[FECHA]])</f>
        <v>2017-1</v>
      </c>
    </row>
    <row r="254" spans="1:4" x14ac:dyDescent="0.25">
      <c r="A254" t="s">
        <v>1464</v>
      </c>
      <c r="B254">
        <v>4</v>
      </c>
      <c r="C254" s="55">
        <v>42675</v>
      </c>
      <c r="D254" s="3" t="str">
        <f>YEAR(Datos_Consumo[[#This Row],[FECHA]])&amp;"-"&amp;MONTH(Datos_Consumo[[#This Row],[FECHA]])</f>
        <v>2016-11</v>
      </c>
    </row>
    <row r="255" spans="1:4" x14ac:dyDescent="0.25">
      <c r="A255" t="s">
        <v>1465</v>
      </c>
      <c r="B255">
        <v>3</v>
      </c>
      <c r="C255" s="55">
        <v>42675</v>
      </c>
      <c r="D255" s="3" t="str">
        <f>YEAR(Datos_Consumo[[#This Row],[FECHA]])&amp;"-"&amp;MONTH(Datos_Consumo[[#This Row],[FECHA]])</f>
        <v>2016-11</v>
      </c>
    </row>
    <row r="256" spans="1:4" x14ac:dyDescent="0.25">
      <c r="A256" t="s">
        <v>1465</v>
      </c>
      <c r="B256">
        <v>1</v>
      </c>
      <c r="C256" s="55">
        <v>42705</v>
      </c>
      <c r="D256" s="3" t="str">
        <f>YEAR(Datos_Consumo[[#This Row],[FECHA]])&amp;"-"&amp;MONTH(Datos_Consumo[[#This Row],[FECHA]])</f>
        <v>2016-12</v>
      </c>
    </row>
    <row r="257" spans="1:4" x14ac:dyDescent="0.25">
      <c r="A257" t="s">
        <v>1466</v>
      </c>
      <c r="B257">
        <v>2</v>
      </c>
      <c r="C257" s="55">
        <v>42675</v>
      </c>
      <c r="D257" s="3" t="str">
        <f>YEAR(Datos_Consumo[[#This Row],[FECHA]])&amp;"-"&amp;MONTH(Datos_Consumo[[#This Row],[FECHA]])</f>
        <v>2016-11</v>
      </c>
    </row>
    <row r="258" spans="1:4" x14ac:dyDescent="0.25">
      <c r="A258" t="s">
        <v>1466</v>
      </c>
      <c r="B258">
        <v>2</v>
      </c>
      <c r="C258" s="55">
        <v>42705</v>
      </c>
      <c r="D258" s="3" t="str">
        <f>YEAR(Datos_Consumo[[#This Row],[FECHA]])&amp;"-"&amp;MONTH(Datos_Consumo[[#This Row],[FECHA]])</f>
        <v>2016-12</v>
      </c>
    </row>
    <row r="259" spans="1:4" x14ac:dyDescent="0.25">
      <c r="A259" t="s">
        <v>1467</v>
      </c>
      <c r="B259">
        <v>7</v>
      </c>
      <c r="C259" s="55">
        <v>42675</v>
      </c>
      <c r="D259" s="3" t="str">
        <f>YEAR(Datos_Consumo[[#This Row],[FECHA]])&amp;"-"&amp;MONTH(Datos_Consumo[[#This Row],[FECHA]])</f>
        <v>2016-11</v>
      </c>
    </row>
    <row r="260" spans="1:4" x14ac:dyDescent="0.25">
      <c r="A260" t="s">
        <v>1467</v>
      </c>
      <c r="B260">
        <v>1</v>
      </c>
      <c r="C260" s="55">
        <v>42705</v>
      </c>
      <c r="D260" s="3" t="str">
        <f>YEAR(Datos_Consumo[[#This Row],[FECHA]])&amp;"-"&amp;MONTH(Datos_Consumo[[#This Row],[FECHA]])</f>
        <v>2016-12</v>
      </c>
    </row>
    <row r="261" spans="1:4" x14ac:dyDescent="0.25">
      <c r="A261" t="s">
        <v>1467</v>
      </c>
      <c r="B261">
        <v>3</v>
      </c>
      <c r="C261" s="55">
        <v>42736</v>
      </c>
      <c r="D261" s="3" t="str">
        <f>YEAR(Datos_Consumo[[#This Row],[FECHA]])&amp;"-"&amp;MONTH(Datos_Consumo[[#This Row],[FECHA]])</f>
        <v>2017-1</v>
      </c>
    </row>
    <row r="262" spans="1:4" x14ac:dyDescent="0.25">
      <c r="A262" t="s">
        <v>1468</v>
      </c>
      <c r="B262">
        <v>2</v>
      </c>
      <c r="C262" s="55">
        <v>42736</v>
      </c>
      <c r="D262" s="3" t="str">
        <f>YEAR(Datos_Consumo[[#This Row],[FECHA]])&amp;"-"&amp;MONTH(Datos_Consumo[[#This Row],[FECHA]])</f>
        <v>2017-1</v>
      </c>
    </row>
    <row r="263" spans="1:4" x14ac:dyDescent="0.25">
      <c r="A263" t="s">
        <v>1469</v>
      </c>
      <c r="B263">
        <v>1</v>
      </c>
      <c r="C263" s="55">
        <v>42675</v>
      </c>
      <c r="D263" s="3" t="str">
        <f>YEAR(Datos_Consumo[[#This Row],[FECHA]])&amp;"-"&amp;MONTH(Datos_Consumo[[#This Row],[FECHA]])</f>
        <v>2016-11</v>
      </c>
    </row>
    <row r="264" spans="1:4" x14ac:dyDescent="0.25">
      <c r="A264" t="s">
        <v>1470</v>
      </c>
      <c r="B264">
        <v>1</v>
      </c>
      <c r="C264" s="55">
        <v>42675</v>
      </c>
      <c r="D264" s="3" t="str">
        <f>YEAR(Datos_Consumo[[#This Row],[FECHA]])&amp;"-"&amp;MONTH(Datos_Consumo[[#This Row],[FECHA]])</f>
        <v>2016-11</v>
      </c>
    </row>
    <row r="265" spans="1:4" x14ac:dyDescent="0.25">
      <c r="A265" t="s">
        <v>1470</v>
      </c>
      <c r="B265">
        <v>1</v>
      </c>
      <c r="C265" s="55">
        <v>42705</v>
      </c>
      <c r="D265" s="3" t="str">
        <f>YEAR(Datos_Consumo[[#This Row],[FECHA]])&amp;"-"&amp;MONTH(Datos_Consumo[[#This Row],[FECHA]])</f>
        <v>2016-12</v>
      </c>
    </row>
    <row r="266" spans="1:4" x14ac:dyDescent="0.25">
      <c r="A266" t="s">
        <v>1471</v>
      </c>
      <c r="B266">
        <v>7</v>
      </c>
      <c r="C266" s="55">
        <v>42736</v>
      </c>
      <c r="D266" s="3" t="str">
        <f>YEAR(Datos_Consumo[[#This Row],[FECHA]])&amp;"-"&amp;MONTH(Datos_Consumo[[#This Row],[FECHA]])</f>
        <v>2017-1</v>
      </c>
    </row>
    <row r="267" spans="1:4" x14ac:dyDescent="0.25">
      <c r="A267" t="s">
        <v>1472</v>
      </c>
      <c r="B267">
        <v>1</v>
      </c>
      <c r="C267" s="55">
        <v>42675</v>
      </c>
      <c r="D267" s="3" t="str">
        <f>YEAR(Datos_Consumo[[#This Row],[FECHA]])&amp;"-"&amp;MONTH(Datos_Consumo[[#This Row],[FECHA]])</f>
        <v>2016-11</v>
      </c>
    </row>
    <row r="268" spans="1:4" x14ac:dyDescent="0.25">
      <c r="A268" t="s">
        <v>1472</v>
      </c>
      <c r="B268">
        <v>4</v>
      </c>
      <c r="C268" s="55">
        <v>42705</v>
      </c>
      <c r="D268" s="3" t="str">
        <f>YEAR(Datos_Consumo[[#This Row],[FECHA]])&amp;"-"&amp;MONTH(Datos_Consumo[[#This Row],[FECHA]])</f>
        <v>2016-12</v>
      </c>
    </row>
    <row r="269" spans="1:4" x14ac:dyDescent="0.25">
      <c r="A269" t="s">
        <v>1472</v>
      </c>
      <c r="B269">
        <v>8</v>
      </c>
      <c r="C269" s="55">
        <v>42736</v>
      </c>
      <c r="D269" s="3" t="str">
        <f>YEAR(Datos_Consumo[[#This Row],[FECHA]])&amp;"-"&amp;MONTH(Datos_Consumo[[#This Row],[FECHA]])</f>
        <v>2017-1</v>
      </c>
    </row>
    <row r="270" spans="1:4" x14ac:dyDescent="0.25">
      <c r="A270" t="s">
        <v>1473</v>
      </c>
      <c r="B270">
        <v>3</v>
      </c>
      <c r="C270" s="55">
        <v>42705</v>
      </c>
      <c r="D270" s="3" t="str">
        <f>YEAR(Datos_Consumo[[#This Row],[FECHA]])&amp;"-"&amp;MONTH(Datos_Consumo[[#This Row],[FECHA]])</f>
        <v>2016-12</v>
      </c>
    </row>
    <row r="271" spans="1:4" x14ac:dyDescent="0.25">
      <c r="A271" t="s">
        <v>1474</v>
      </c>
      <c r="B271">
        <v>5</v>
      </c>
      <c r="C271" s="55">
        <v>42675</v>
      </c>
      <c r="D271" s="3" t="str">
        <f>YEAR(Datos_Consumo[[#This Row],[FECHA]])&amp;"-"&amp;MONTH(Datos_Consumo[[#This Row],[FECHA]])</f>
        <v>2016-11</v>
      </c>
    </row>
    <row r="272" spans="1:4" x14ac:dyDescent="0.25">
      <c r="A272" t="s">
        <v>1475</v>
      </c>
      <c r="B272">
        <v>1</v>
      </c>
      <c r="C272" s="55">
        <v>42705</v>
      </c>
      <c r="D272" s="3" t="str">
        <f>YEAR(Datos_Consumo[[#This Row],[FECHA]])&amp;"-"&amp;MONTH(Datos_Consumo[[#This Row],[FECHA]])</f>
        <v>2016-12</v>
      </c>
    </row>
    <row r="273" spans="1:4" x14ac:dyDescent="0.25">
      <c r="A273" t="s">
        <v>1476</v>
      </c>
      <c r="B273">
        <v>125</v>
      </c>
      <c r="C273" s="55">
        <v>42705</v>
      </c>
      <c r="D273" s="3" t="str">
        <f>YEAR(Datos_Consumo[[#This Row],[FECHA]])&amp;"-"&amp;MONTH(Datos_Consumo[[#This Row],[FECHA]])</f>
        <v>2016-12</v>
      </c>
    </row>
    <row r="274" spans="1:4" x14ac:dyDescent="0.25">
      <c r="A274" t="s">
        <v>1477</v>
      </c>
      <c r="B274">
        <v>1</v>
      </c>
      <c r="C274" s="55">
        <v>42736</v>
      </c>
      <c r="D274" s="3" t="str">
        <f>YEAR(Datos_Consumo[[#This Row],[FECHA]])&amp;"-"&amp;MONTH(Datos_Consumo[[#This Row],[FECHA]])</f>
        <v>2017-1</v>
      </c>
    </row>
    <row r="275" spans="1:4" x14ac:dyDescent="0.25">
      <c r="A275" t="s">
        <v>1478</v>
      </c>
      <c r="B275">
        <v>1</v>
      </c>
      <c r="C275" s="55">
        <v>42675</v>
      </c>
      <c r="D275" s="3" t="str">
        <f>YEAR(Datos_Consumo[[#This Row],[FECHA]])&amp;"-"&amp;MONTH(Datos_Consumo[[#This Row],[FECHA]])</f>
        <v>2016-11</v>
      </c>
    </row>
    <row r="276" spans="1:4" x14ac:dyDescent="0.25">
      <c r="A276" t="s">
        <v>1479</v>
      </c>
      <c r="B276">
        <v>1</v>
      </c>
      <c r="C276" s="55">
        <v>42705</v>
      </c>
      <c r="D276" s="3" t="str">
        <f>YEAR(Datos_Consumo[[#This Row],[FECHA]])&amp;"-"&amp;MONTH(Datos_Consumo[[#This Row],[FECHA]])</f>
        <v>2016-12</v>
      </c>
    </row>
    <row r="277" spans="1:4" x14ac:dyDescent="0.25">
      <c r="A277" t="s">
        <v>1480</v>
      </c>
      <c r="B277">
        <v>2</v>
      </c>
      <c r="C277" s="55">
        <v>42736</v>
      </c>
      <c r="D277" s="3" t="str">
        <f>YEAR(Datos_Consumo[[#This Row],[FECHA]])&amp;"-"&amp;MONTH(Datos_Consumo[[#This Row],[FECHA]])</f>
        <v>2017-1</v>
      </c>
    </row>
    <row r="278" spans="1:4" x14ac:dyDescent="0.25">
      <c r="A278" t="s">
        <v>1481</v>
      </c>
      <c r="B278">
        <v>1</v>
      </c>
      <c r="C278" s="55">
        <v>42736</v>
      </c>
      <c r="D278" s="3" t="str">
        <f>YEAR(Datos_Consumo[[#This Row],[FECHA]])&amp;"-"&amp;MONTH(Datos_Consumo[[#This Row],[FECHA]])</f>
        <v>2017-1</v>
      </c>
    </row>
    <row r="279" spans="1:4" x14ac:dyDescent="0.25">
      <c r="A279" t="s">
        <v>1482</v>
      </c>
      <c r="B279">
        <v>1</v>
      </c>
      <c r="C279" s="55">
        <v>42705</v>
      </c>
      <c r="D279" s="3" t="str">
        <f>YEAR(Datos_Consumo[[#This Row],[FECHA]])&amp;"-"&amp;MONTH(Datos_Consumo[[#This Row],[FECHA]])</f>
        <v>2016-12</v>
      </c>
    </row>
    <row r="280" spans="1:4" x14ac:dyDescent="0.25">
      <c r="A280" t="s">
        <v>1631</v>
      </c>
      <c r="B280">
        <v>200</v>
      </c>
      <c r="C280" s="55">
        <v>42675</v>
      </c>
      <c r="D280" s="3" t="str">
        <f>YEAR(Datos_Consumo[[#This Row],[FECHA]])&amp;"-"&amp;MONTH(Datos_Consumo[[#This Row],[FECHA]])</f>
        <v>2016-11</v>
      </c>
    </row>
    <row r="281" spans="1:4" x14ac:dyDescent="0.25">
      <c r="A281" t="s">
        <v>1631</v>
      </c>
      <c r="B281">
        <v>4200</v>
      </c>
      <c r="C281" s="55">
        <v>42736</v>
      </c>
      <c r="D281" s="3" t="str">
        <f>YEAR(Datos_Consumo[[#This Row],[FECHA]])&amp;"-"&amp;MONTH(Datos_Consumo[[#This Row],[FECHA]])</f>
        <v>2017-1</v>
      </c>
    </row>
    <row r="282" spans="1:4" x14ac:dyDescent="0.25">
      <c r="A282" t="s">
        <v>1632</v>
      </c>
      <c r="B282">
        <v>300</v>
      </c>
      <c r="C282" s="55">
        <v>42675</v>
      </c>
      <c r="D282" s="3" t="str">
        <f>YEAR(Datos_Consumo[[#This Row],[FECHA]])&amp;"-"&amp;MONTH(Datos_Consumo[[#This Row],[FECHA]])</f>
        <v>2016-11</v>
      </c>
    </row>
    <row r="283" spans="1:4" x14ac:dyDescent="0.25">
      <c r="A283" t="s">
        <v>1632</v>
      </c>
      <c r="B283">
        <v>14800</v>
      </c>
      <c r="C283" s="55">
        <v>42705</v>
      </c>
      <c r="D283" s="3" t="str">
        <f>YEAR(Datos_Consumo[[#This Row],[FECHA]])&amp;"-"&amp;MONTH(Datos_Consumo[[#This Row],[FECHA]])</f>
        <v>2016-12</v>
      </c>
    </row>
    <row r="284" spans="1:4" x14ac:dyDescent="0.25">
      <c r="A284" t="s">
        <v>1632</v>
      </c>
      <c r="B284">
        <v>2300</v>
      </c>
      <c r="C284" s="55">
        <v>42736</v>
      </c>
      <c r="D284" s="3" t="str">
        <f>YEAR(Datos_Consumo[[#This Row],[FECHA]])&amp;"-"&amp;MONTH(Datos_Consumo[[#This Row],[FECHA]])</f>
        <v>2017-1</v>
      </c>
    </row>
    <row r="285" spans="1:4" x14ac:dyDescent="0.25">
      <c r="A285" t="s">
        <v>1633</v>
      </c>
      <c r="B285">
        <v>200</v>
      </c>
      <c r="C285" s="55">
        <v>42675</v>
      </c>
      <c r="D285" s="3" t="str">
        <f>YEAR(Datos_Consumo[[#This Row],[FECHA]])&amp;"-"&amp;MONTH(Datos_Consumo[[#This Row],[FECHA]])</f>
        <v>2016-11</v>
      </c>
    </row>
    <row r="286" spans="1:4" x14ac:dyDescent="0.25">
      <c r="A286" t="s">
        <v>1633</v>
      </c>
      <c r="B286">
        <v>2200</v>
      </c>
      <c r="C286" s="55">
        <v>42736</v>
      </c>
      <c r="D286" s="3" t="str">
        <f>YEAR(Datos_Consumo[[#This Row],[FECHA]])&amp;"-"&amp;MONTH(Datos_Consumo[[#This Row],[FECHA]])</f>
        <v>2017-1</v>
      </c>
    </row>
    <row r="287" spans="1:4" x14ac:dyDescent="0.25">
      <c r="A287" t="s">
        <v>1634</v>
      </c>
      <c r="B287">
        <v>1</v>
      </c>
      <c r="C287" s="55">
        <v>42675</v>
      </c>
      <c r="D287" s="3" t="str">
        <f>YEAR(Datos_Consumo[[#This Row],[FECHA]])&amp;"-"&amp;MONTH(Datos_Consumo[[#This Row],[FECHA]])</f>
        <v>2016-11</v>
      </c>
    </row>
    <row r="288" spans="1:4" x14ac:dyDescent="0.25">
      <c r="A288" t="s">
        <v>1635</v>
      </c>
      <c r="B288">
        <v>50</v>
      </c>
      <c r="C288" s="55">
        <v>42736</v>
      </c>
      <c r="D288" s="3" t="str">
        <f>YEAR(Datos_Consumo[[#This Row],[FECHA]])&amp;"-"&amp;MONTH(Datos_Consumo[[#This Row],[FECHA]])</f>
        <v>2017-1</v>
      </c>
    </row>
    <row r="289" spans="1:4" x14ac:dyDescent="0.25">
      <c r="A289" t="s">
        <v>1636</v>
      </c>
      <c r="B289">
        <v>10</v>
      </c>
      <c r="C289" s="55">
        <v>42675</v>
      </c>
      <c r="D289" s="3" t="str">
        <f>YEAR(Datos_Consumo[[#This Row],[FECHA]])&amp;"-"&amp;MONTH(Datos_Consumo[[#This Row],[FECHA]])</f>
        <v>2016-11</v>
      </c>
    </row>
    <row r="290" spans="1:4" x14ac:dyDescent="0.25">
      <c r="A290" t="s">
        <v>1636</v>
      </c>
      <c r="B290">
        <v>15</v>
      </c>
      <c r="C290" s="55">
        <v>42705</v>
      </c>
      <c r="D290" s="3" t="str">
        <f>YEAR(Datos_Consumo[[#This Row],[FECHA]])&amp;"-"&amp;MONTH(Datos_Consumo[[#This Row],[FECHA]])</f>
        <v>2016-12</v>
      </c>
    </row>
    <row r="291" spans="1:4" x14ac:dyDescent="0.25">
      <c r="A291" t="s">
        <v>1636</v>
      </c>
      <c r="B291">
        <v>15</v>
      </c>
      <c r="C291" s="55">
        <v>42736</v>
      </c>
      <c r="D291" s="3" t="str">
        <f>YEAR(Datos_Consumo[[#This Row],[FECHA]])&amp;"-"&amp;MONTH(Datos_Consumo[[#This Row],[FECHA]])</f>
        <v>2017-1</v>
      </c>
    </row>
    <row r="292" spans="1:4" x14ac:dyDescent="0.25">
      <c r="A292" t="s">
        <v>1637</v>
      </c>
      <c r="B292">
        <v>500</v>
      </c>
      <c r="C292" s="55">
        <v>42705</v>
      </c>
      <c r="D292" s="3" t="str">
        <f>YEAR(Datos_Consumo[[#This Row],[FECHA]])&amp;"-"&amp;MONTH(Datos_Consumo[[#This Row],[FECHA]])</f>
        <v>2016-12</v>
      </c>
    </row>
    <row r="293" spans="1:4" x14ac:dyDescent="0.25">
      <c r="A293" t="s">
        <v>1637</v>
      </c>
      <c r="B293">
        <v>500</v>
      </c>
      <c r="C293" s="55">
        <v>42736</v>
      </c>
      <c r="D293" s="3" t="str">
        <f>YEAR(Datos_Consumo[[#This Row],[FECHA]])&amp;"-"&amp;MONTH(Datos_Consumo[[#This Row],[FECHA]])</f>
        <v>2017-1</v>
      </c>
    </row>
    <row r="294" spans="1:4" x14ac:dyDescent="0.25">
      <c r="A294" t="s">
        <v>1638</v>
      </c>
      <c r="B294">
        <v>500</v>
      </c>
      <c r="C294" s="55">
        <v>42705</v>
      </c>
      <c r="D294" s="3" t="str">
        <f>YEAR(Datos_Consumo[[#This Row],[FECHA]])&amp;"-"&amp;MONTH(Datos_Consumo[[#This Row],[FECHA]])</f>
        <v>2016-12</v>
      </c>
    </row>
    <row r="295" spans="1:4" x14ac:dyDescent="0.25">
      <c r="A295" t="s">
        <v>1638</v>
      </c>
      <c r="B295">
        <v>500</v>
      </c>
      <c r="C295" s="55">
        <v>42736</v>
      </c>
      <c r="D295" s="3" t="str">
        <f>YEAR(Datos_Consumo[[#This Row],[FECHA]])&amp;"-"&amp;MONTH(Datos_Consumo[[#This Row],[FECHA]])</f>
        <v>2017-1</v>
      </c>
    </row>
    <row r="296" spans="1:4" x14ac:dyDescent="0.25">
      <c r="A296" t="s">
        <v>1639</v>
      </c>
      <c r="B296">
        <v>500</v>
      </c>
      <c r="C296" s="55">
        <v>42705</v>
      </c>
      <c r="D296" s="3" t="str">
        <f>YEAR(Datos_Consumo[[#This Row],[FECHA]])&amp;"-"&amp;MONTH(Datos_Consumo[[#This Row],[FECHA]])</f>
        <v>2016-12</v>
      </c>
    </row>
    <row r="297" spans="1:4" x14ac:dyDescent="0.25">
      <c r="A297" t="s">
        <v>1639</v>
      </c>
      <c r="B297">
        <v>500</v>
      </c>
      <c r="C297" s="55">
        <v>42736</v>
      </c>
      <c r="D297" s="3" t="str">
        <f>YEAR(Datos_Consumo[[#This Row],[FECHA]])&amp;"-"&amp;MONTH(Datos_Consumo[[#This Row],[FECHA]])</f>
        <v>2017-1</v>
      </c>
    </row>
    <row r="298" spans="1:4" x14ac:dyDescent="0.25">
      <c r="A298" t="s">
        <v>1483</v>
      </c>
      <c r="B298">
        <v>31</v>
      </c>
      <c r="C298" s="55">
        <v>42675</v>
      </c>
      <c r="D298" s="3" t="str">
        <f>YEAR(Datos_Consumo[[#This Row],[FECHA]])&amp;"-"&amp;MONTH(Datos_Consumo[[#This Row],[FECHA]])</f>
        <v>2016-11</v>
      </c>
    </row>
    <row r="299" spans="1:4" x14ac:dyDescent="0.25">
      <c r="A299" t="s">
        <v>1483</v>
      </c>
      <c r="B299">
        <v>80</v>
      </c>
      <c r="C299" s="55">
        <v>42705</v>
      </c>
      <c r="D299" s="3" t="str">
        <f>YEAR(Datos_Consumo[[#This Row],[FECHA]])&amp;"-"&amp;MONTH(Datos_Consumo[[#This Row],[FECHA]])</f>
        <v>2016-12</v>
      </c>
    </row>
    <row r="300" spans="1:4" x14ac:dyDescent="0.25">
      <c r="A300" t="s">
        <v>1483</v>
      </c>
      <c r="B300">
        <v>48</v>
      </c>
      <c r="C300" s="55">
        <v>42736</v>
      </c>
      <c r="D300" s="3" t="str">
        <f>YEAR(Datos_Consumo[[#This Row],[FECHA]])&amp;"-"&amp;MONTH(Datos_Consumo[[#This Row],[FECHA]])</f>
        <v>2017-1</v>
      </c>
    </row>
    <row r="301" spans="1:4" x14ac:dyDescent="0.25">
      <c r="A301" t="s">
        <v>1483</v>
      </c>
      <c r="B301">
        <v>1</v>
      </c>
      <c r="C301" s="55">
        <v>42767</v>
      </c>
      <c r="D301" s="3" t="str">
        <f>YEAR(Datos_Consumo[[#This Row],[FECHA]])&amp;"-"&amp;MONTH(Datos_Consumo[[#This Row],[FECHA]])</f>
        <v>2017-2</v>
      </c>
    </row>
    <row r="302" spans="1:4" x14ac:dyDescent="0.25">
      <c r="A302" t="s">
        <v>1484</v>
      </c>
      <c r="B302">
        <v>2</v>
      </c>
      <c r="C302" s="55">
        <v>42675</v>
      </c>
      <c r="D302" s="3" t="str">
        <f>YEAR(Datos_Consumo[[#This Row],[FECHA]])&amp;"-"&amp;MONTH(Datos_Consumo[[#This Row],[FECHA]])</f>
        <v>2016-11</v>
      </c>
    </row>
    <row r="303" spans="1:4" x14ac:dyDescent="0.25">
      <c r="A303" t="s">
        <v>1485</v>
      </c>
      <c r="B303">
        <v>1</v>
      </c>
      <c r="C303" s="55">
        <v>42675</v>
      </c>
      <c r="D303" s="3" t="str">
        <f>YEAR(Datos_Consumo[[#This Row],[FECHA]])&amp;"-"&amp;MONTH(Datos_Consumo[[#This Row],[FECHA]])</f>
        <v>2016-11</v>
      </c>
    </row>
    <row r="304" spans="1:4" x14ac:dyDescent="0.25">
      <c r="A304" t="s">
        <v>1486</v>
      </c>
      <c r="B304">
        <v>2</v>
      </c>
      <c r="C304" s="55">
        <v>42675</v>
      </c>
      <c r="D304" s="3" t="str">
        <f>YEAR(Datos_Consumo[[#This Row],[FECHA]])&amp;"-"&amp;MONTH(Datos_Consumo[[#This Row],[FECHA]])</f>
        <v>2016-11</v>
      </c>
    </row>
    <row r="305" spans="1:4" x14ac:dyDescent="0.25">
      <c r="A305" t="s">
        <v>1487</v>
      </c>
      <c r="B305">
        <v>1</v>
      </c>
      <c r="C305" s="55">
        <v>42675</v>
      </c>
      <c r="D305" s="3" t="str">
        <f>YEAR(Datos_Consumo[[#This Row],[FECHA]])&amp;"-"&amp;MONTH(Datos_Consumo[[#This Row],[FECHA]])</f>
        <v>2016-11</v>
      </c>
    </row>
    <row r="306" spans="1:4" x14ac:dyDescent="0.25">
      <c r="A306" t="s">
        <v>1488</v>
      </c>
      <c r="B306">
        <v>1</v>
      </c>
      <c r="C306" s="55">
        <v>42675</v>
      </c>
      <c r="D306" s="3" t="str">
        <f>YEAR(Datos_Consumo[[#This Row],[FECHA]])&amp;"-"&amp;MONTH(Datos_Consumo[[#This Row],[FECHA]])</f>
        <v>2016-11</v>
      </c>
    </row>
    <row r="307" spans="1:4" x14ac:dyDescent="0.25">
      <c r="A307" t="s">
        <v>1489</v>
      </c>
      <c r="B307">
        <v>1</v>
      </c>
      <c r="C307" s="55">
        <v>42675</v>
      </c>
      <c r="D307" s="3" t="str">
        <f>YEAR(Datos_Consumo[[#This Row],[FECHA]])&amp;"-"&amp;MONTH(Datos_Consumo[[#This Row],[FECHA]])</f>
        <v>2016-11</v>
      </c>
    </row>
    <row r="308" spans="1:4" x14ac:dyDescent="0.25">
      <c r="A308" t="s">
        <v>1490</v>
      </c>
      <c r="B308">
        <v>4</v>
      </c>
      <c r="C308" s="55">
        <v>42675</v>
      </c>
      <c r="D308" s="3" t="str">
        <f>YEAR(Datos_Consumo[[#This Row],[FECHA]])&amp;"-"&amp;MONTH(Datos_Consumo[[#This Row],[FECHA]])</f>
        <v>2016-11</v>
      </c>
    </row>
    <row r="309" spans="1:4" x14ac:dyDescent="0.25">
      <c r="A309" t="s">
        <v>1491</v>
      </c>
      <c r="B309">
        <v>2</v>
      </c>
      <c r="C309" s="55">
        <v>42675</v>
      </c>
      <c r="D309" s="3" t="str">
        <f>YEAR(Datos_Consumo[[#This Row],[FECHA]])&amp;"-"&amp;MONTH(Datos_Consumo[[#This Row],[FECHA]])</f>
        <v>2016-11</v>
      </c>
    </row>
    <row r="310" spans="1:4" x14ac:dyDescent="0.25">
      <c r="A310" t="s">
        <v>1492</v>
      </c>
      <c r="B310">
        <v>2</v>
      </c>
      <c r="C310" s="55">
        <v>42675</v>
      </c>
      <c r="D310" s="3" t="str">
        <f>YEAR(Datos_Consumo[[#This Row],[FECHA]])&amp;"-"&amp;MONTH(Datos_Consumo[[#This Row],[FECHA]])</f>
        <v>2016-11</v>
      </c>
    </row>
    <row r="311" spans="1:4" x14ac:dyDescent="0.25">
      <c r="A311" t="s">
        <v>1493</v>
      </c>
      <c r="B311">
        <v>1</v>
      </c>
      <c r="C311" s="55">
        <v>42675</v>
      </c>
      <c r="D311" s="3" t="str">
        <f>YEAR(Datos_Consumo[[#This Row],[FECHA]])&amp;"-"&amp;MONTH(Datos_Consumo[[#This Row],[FECHA]])</f>
        <v>2016-11</v>
      </c>
    </row>
    <row r="312" spans="1:4" x14ac:dyDescent="0.25">
      <c r="A312" t="s">
        <v>1494</v>
      </c>
      <c r="B312">
        <v>1</v>
      </c>
      <c r="C312" s="55">
        <v>42675</v>
      </c>
      <c r="D312" s="3" t="str">
        <f>YEAR(Datos_Consumo[[#This Row],[FECHA]])&amp;"-"&amp;MONTH(Datos_Consumo[[#This Row],[FECHA]])</f>
        <v>2016-11</v>
      </c>
    </row>
    <row r="313" spans="1:4" x14ac:dyDescent="0.25">
      <c r="A313" t="s">
        <v>1495</v>
      </c>
      <c r="B313">
        <v>3</v>
      </c>
      <c r="C313" s="55">
        <v>42736</v>
      </c>
      <c r="D313" s="3" t="str">
        <f>YEAR(Datos_Consumo[[#This Row],[FECHA]])&amp;"-"&amp;MONTH(Datos_Consumo[[#This Row],[FECHA]])</f>
        <v>2017-1</v>
      </c>
    </row>
    <row r="314" spans="1:4" x14ac:dyDescent="0.25">
      <c r="A314" t="s">
        <v>1495</v>
      </c>
      <c r="B314">
        <v>1</v>
      </c>
      <c r="C314" s="55">
        <v>42767</v>
      </c>
      <c r="D314" s="3" t="str">
        <f>YEAR(Datos_Consumo[[#This Row],[FECHA]])&amp;"-"&amp;MONTH(Datos_Consumo[[#This Row],[FECHA]])</f>
        <v>2017-2</v>
      </c>
    </row>
    <row r="315" spans="1:4" x14ac:dyDescent="0.25">
      <c r="A315" t="s">
        <v>1496</v>
      </c>
      <c r="B315">
        <v>1</v>
      </c>
      <c r="C315" s="55">
        <v>42675</v>
      </c>
      <c r="D315" s="3" t="str">
        <f>YEAR(Datos_Consumo[[#This Row],[FECHA]])&amp;"-"&amp;MONTH(Datos_Consumo[[#This Row],[FECHA]])</f>
        <v>2016-11</v>
      </c>
    </row>
    <row r="316" spans="1:4" x14ac:dyDescent="0.25">
      <c r="A316" t="s">
        <v>1496</v>
      </c>
      <c r="B316">
        <v>1</v>
      </c>
      <c r="C316" s="55">
        <v>42705</v>
      </c>
      <c r="D316" s="3" t="str">
        <f>YEAR(Datos_Consumo[[#This Row],[FECHA]])&amp;"-"&amp;MONTH(Datos_Consumo[[#This Row],[FECHA]])</f>
        <v>2016-12</v>
      </c>
    </row>
    <row r="317" spans="1:4" x14ac:dyDescent="0.25">
      <c r="A317" t="s">
        <v>1496</v>
      </c>
      <c r="B317">
        <v>5</v>
      </c>
      <c r="C317" s="55">
        <v>42736</v>
      </c>
      <c r="D317" s="3" t="str">
        <f>YEAR(Datos_Consumo[[#This Row],[FECHA]])&amp;"-"&amp;MONTH(Datos_Consumo[[#This Row],[FECHA]])</f>
        <v>2017-1</v>
      </c>
    </row>
    <row r="318" spans="1:4" x14ac:dyDescent="0.25">
      <c r="A318" t="s">
        <v>1497</v>
      </c>
      <c r="B318">
        <v>2</v>
      </c>
      <c r="C318" s="55">
        <v>42675</v>
      </c>
      <c r="D318" s="3" t="str">
        <f>YEAR(Datos_Consumo[[#This Row],[FECHA]])&amp;"-"&amp;MONTH(Datos_Consumo[[#This Row],[FECHA]])</f>
        <v>2016-11</v>
      </c>
    </row>
    <row r="319" spans="1:4" x14ac:dyDescent="0.25">
      <c r="A319" t="s">
        <v>1497</v>
      </c>
      <c r="B319">
        <v>2</v>
      </c>
      <c r="C319" s="55">
        <v>42705</v>
      </c>
      <c r="D319" s="3" t="str">
        <f>YEAR(Datos_Consumo[[#This Row],[FECHA]])&amp;"-"&amp;MONTH(Datos_Consumo[[#This Row],[FECHA]])</f>
        <v>2016-12</v>
      </c>
    </row>
    <row r="320" spans="1:4" x14ac:dyDescent="0.25">
      <c r="A320" t="s">
        <v>1497</v>
      </c>
      <c r="B320">
        <v>3</v>
      </c>
      <c r="C320" s="55">
        <v>42736</v>
      </c>
      <c r="D320" s="3" t="str">
        <f>YEAR(Datos_Consumo[[#This Row],[FECHA]])&amp;"-"&amp;MONTH(Datos_Consumo[[#This Row],[FECHA]])</f>
        <v>2017-1</v>
      </c>
    </row>
    <row r="321" spans="1:4" x14ac:dyDescent="0.25">
      <c r="A321" t="s">
        <v>1498</v>
      </c>
      <c r="B321">
        <v>2</v>
      </c>
      <c r="C321" s="55">
        <v>42675</v>
      </c>
      <c r="D321" s="3" t="str">
        <f>YEAR(Datos_Consumo[[#This Row],[FECHA]])&amp;"-"&amp;MONTH(Datos_Consumo[[#This Row],[FECHA]])</f>
        <v>2016-11</v>
      </c>
    </row>
    <row r="322" spans="1:4" x14ac:dyDescent="0.25">
      <c r="A322" t="s">
        <v>1498</v>
      </c>
      <c r="B322">
        <v>3</v>
      </c>
      <c r="C322" s="55">
        <v>42705</v>
      </c>
      <c r="D322" s="3" t="str">
        <f>YEAR(Datos_Consumo[[#This Row],[FECHA]])&amp;"-"&amp;MONTH(Datos_Consumo[[#This Row],[FECHA]])</f>
        <v>2016-12</v>
      </c>
    </row>
    <row r="323" spans="1:4" x14ac:dyDescent="0.25">
      <c r="A323" t="s">
        <v>1498</v>
      </c>
      <c r="B323">
        <v>3</v>
      </c>
      <c r="C323" s="55">
        <v>42736</v>
      </c>
      <c r="D323" s="3" t="str">
        <f>YEAR(Datos_Consumo[[#This Row],[FECHA]])&amp;"-"&amp;MONTH(Datos_Consumo[[#This Row],[FECHA]])</f>
        <v>2017-1</v>
      </c>
    </row>
    <row r="324" spans="1:4" x14ac:dyDescent="0.25">
      <c r="A324" t="s">
        <v>1499</v>
      </c>
      <c r="B324">
        <v>2</v>
      </c>
      <c r="C324" s="55">
        <v>42675</v>
      </c>
      <c r="D324" s="3" t="str">
        <f>YEAR(Datos_Consumo[[#This Row],[FECHA]])&amp;"-"&amp;MONTH(Datos_Consumo[[#This Row],[FECHA]])</f>
        <v>2016-11</v>
      </c>
    </row>
    <row r="325" spans="1:4" x14ac:dyDescent="0.25">
      <c r="A325" t="s">
        <v>1499</v>
      </c>
      <c r="B325">
        <v>1</v>
      </c>
      <c r="C325" s="55">
        <v>42705</v>
      </c>
      <c r="D325" s="3" t="str">
        <f>YEAR(Datos_Consumo[[#This Row],[FECHA]])&amp;"-"&amp;MONTH(Datos_Consumo[[#This Row],[FECHA]])</f>
        <v>2016-12</v>
      </c>
    </row>
    <row r="326" spans="1:4" x14ac:dyDescent="0.25">
      <c r="A326" t="s">
        <v>1500</v>
      </c>
      <c r="B326">
        <v>1</v>
      </c>
      <c r="C326" s="55">
        <v>42675</v>
      </c>
      <c r="D326" s="3" t="str">
        <f>YEAR(Datos_Consumo[[#This Row],[FECHA]])&amp;"-"&amp;MONTH(Datos_Consumo[[#This Row],[FECHA]])</f>
        <v>2016-11</v>
      </c>
    </row>
    <row r="327" spans="1:4" x14ac:dyDescent="0.25">
      <c r="A327" t="s">
        <v>1500</v>
      </c>
      <c r="B327">
        <v>1</v>
      </c>
      <c r="C327" s="55">
        <v>42705</v>
      </c>
      <c r="D327" s="3" t="str">
        <f>YEAR(Datos_Consumo[[#This Row],[FECHA]])&amp;"-"&amp;MONTH(Datos_Consumo[[#This Row],[FECHA]])</f>
        <v>2016-12</v>
      </c>
    </row>
    <row r="328" spans="1:4" x14ac:dyDescent="0.25">
      <c r="A328" t="s">
        <v>1500</v>
      </c>
      <c r="B328">
        <v>1</v>
      </c>
      <c r="C328" s="55">
        <v>42736</v>
      </c>
      <c r="D328" s="3" t="str">
        <f>YEAR(Datos_Consumo[[#This Row],[FECHA]])&amp;"-"&amp;MONTH(Datos_Consumo[[#This Row],[FECHA]])</f>
        <v>2017-1</v>
      </c>
    </row>
    <row r="329" spans="1:4" x14ac:dyDescent="0.25">
      <c r="A329" t="s">
        <v>1501</v>
      </c>
      <c r="B329">
        <v>4</v>
      </c>
      <c r="C329" s="55">
        <v>42675</v>
      </c>
      <c r="D329" s="3" t="str">
        <f>YEAR(Datos_Consumo[[#This Row],[FECHA]])&amp;"-"&amp;MONTH(Datos_Consumo[[#This Row],[FECHA]])</f>
        <v>2016-11</v>
      </c>
    </row>
    <row r="330" spans="1:4" x14ac:dyDescent="0.25">
      <c r="A330" t="s">
        <v>1501</v>
      </c>
      <c r="B330">
        <v>4</v>
      </c>
      <c r="C330" s="55">
        <v>42705</v>
      </c>
      <c r="D330" s="3" t="str">
        <f>YEAR(Datos_Consumo[[#This Row],[FECHA]])&amp;"-"&amp;MONTH(Datos_Consumo[[#This Row],[FECHA]])</f>
        <v>2016-12</v>
      </c>
    </row>
    <row r="331" spans="1:4" x14ac:dyDescent="0.25">
      <c r="A331" t="s">
        <v>1501</v>
      </c>
      <c r="B331">
        <v>1</v>
      </c>
      <c r="C331" s="55">
        <v>42736</v>
      </c>
      <c r="D331" s="3" t="str">
        <f>YEAR(Datos_Consumo[[#This Row],[FECHA]])&amp;"-"&amp;MONTH(Datos_Consumo[[#This Row],[FECHA]])</f>
        <v>2017-1</v>
      </c>
    </row>
    <row r="332" spans="1:4" x14ac:dyDescent="0.25">
      <c r="A332" t="s">
        <v>1502</v>
      </c>
      <c r="B332">
        <v>1</v>
      </c>
      <c r="C332" s="55">
        <v>42675</v>
      </c>
      <c r="D332" s="3" t="str">
        <f>YEAR(Datos_Consumo[[#This Row],[FECHA]])&amp;"-"&amp;MONTH(Datos_Consumo[[#This Row],[FECHA]])</f>
        <v>2016-11</v>
      </c>
    </row>
    <row r="333" spans="1:4" x14ac:dyDescent="0.25">
      <c r="A333" t="s">
        <v>1502</v>
      </c>
      <c r="B333">
        <v>1</v>
      </c>
      <c r="C333" s="55">
        <v>42705</v>
      </c>
      <c r="D333" s="3" t="str">
        <f>YEAR(Datos_Consumo[[#This Row],[FECHA]])&amp;"-"&amp;MONTH(Datos_Consumo[[#This Row],[FECHA]])</f>
        <v>2016-12</v>
      </c>
    </row>
    <row r="334" spans="1:4" x14ac:dyDescent="0.25">
      <c r="A334" t="s">
        <v>1502</v>
      </c>
      <c r="B334">
        <v>3</v>
      </c>
      <c r="C334" s="55">
        <v>42736</v>
      </c>
      <c r="D334" s="3" t="str">
        <f>YEAR(Datos_Consumo[[#This Row],[FECHA]])&amp;"-"&amp;MONTH(Datos_Consumo[[#This Row],[FECHA]])</f>
        <v>2017-1</v>
      </c>
    </row>
    <row r="335" spans="1:4" x14ac:dyDescent="0.25">
      <c r="A335" t="s">
        <v>1503</v>
      </c>
      <c r="B335">
        <v>2</v>
      </c>
      <c r="C335" s="55">
        <v>42675</v>
      </c>
      <c r="D335" s="3" t="str">
        <f>YEAR(Datos_Consumo[[#This Row],[FECHA]])&amp;"-"&amp;MONTH(Datos_Consumo[[#This Row],[FECHA]])</f>
        <v>2016-11</v>
      </c>
    </row>
    <row r="336" spans="1:4" x14ac:dyDescent="0.25">
      <c r="A336" t="s">
        <v>1503</v>
      </c>
      <c r="B336">
        <v>4</v>
      </c>
      <c r="C336" s="55">
        <v>42705</v>
      </c>
      <c r="D336" s="3" t="str">
        <f>YEAR(Datos_Consumo[[#This Row],[FECHA]])&amp;"-"&amp;MONTH(Datos_Consumo[[#This Row],[FECHA]])</f>
        <v>2016-12</v>
      </c>
    </row>
    <row r="337" spans="1:4" x14ac:dyDescent="0.25">
      <c r="A337" t="s">
        <v>1503</v>
      </c>
      <c r="B337">
        <v>3</v>
      </c>
      <c r="C337" s="55">
        <v>42736</v>
      </c>
      <c r="D337" s="3" t="str">
        <f>YEAR(Datos_Consumo[[#This Row],[FECHA]])&amp;"-"&amp;MONTH(Datos_Consumo[[#This Row],[FECHA]])</f>
        <v>2017-1</v>
      </c>
    </row>
    <row r="338" spans="1:4" x14ac:dyDescent="0.25">
      <c r="A338" t="s">
        <v>1504</v>
      </c>
      <c r="B338">
        <v>1</v>
      </c>
      <c r="C338" s="55">
        <v>42675</v>
      </c>
      <c r="D338" s="3" t="str">
        <f>YEAR(Datos_Consumo[[#This Row],[FECHA]])&amp;"-"&amp;MONTH(Datos_Consumo[[#This Row],[FECHA]])</f>
        <v>2016-11</v>
      </c>
    </row>
    <row r="339" spans="1:4" x14ac:dyDescent="0.25">
      <c r="A339" t="s">
        <v>1504</v>
      </c>
      <c r="B339">
        <v>2</v>
      </c>
      <c r="C339" s="55">
        <v>42705</v>
      </c>
      <c r="D339" s="3" t="str">
        <f>YEAR(Datos_Consumo[[#This Row],[FECHA]])&amp;"-"&amp;MONTH(Datos_Consumo[[#This Row],[FECHA]])</f>
        <v>2016-12</v>
      </c>
    </row>
    <row r="340" spans="1:4" x14ac:dyDescent="0.25">
      <c r="A340" t="s">
        <v>1504</v>
      </c>
      <c r="B340">
        <v>1</v>
      </c>
      <c r="C340" s="55">
        <v>42736</v>
      </c>
      <c r="D340" s="3" t="str">
        <f>YEAR(Datos_Consumo[[#This Row],[FECHA]])&amp;"-"&amp;MONTH(Datos_Consumo[[#This Row],[FECHA]])</f>
        <v>2017-1</v>
      </c>
    </row>
    <row r="341" spans="1:4" x14ac:dyDescent="0.25">
      <c r="A341" t="s">
        <v>1505</v>
      </c>
      <c r="B341">
        <v>1</v>
      </c>
      <c r="C341" s="55">
        <v>42675</v>
      </c>
      <c r="D341" s="3" t="str">
        <f>YEAR(Datos_Consumo[[#This Row],[FECHA]])&amp;"-"&amp;MONTH(Datos_Consumo[[#This Row],[FECHA]])</f>
        <v>2016-11</v>
      </c>
    </row>
    <row r="342" spans="1:4" x14ac:dyDescent="0.25">
      <c r="A342" t="s">
        <v>1505</v>
      </c>
      <c r="B342">
        <v>1</v>
      </c>
      <c r="C342" s="55">
        <v>42705</v>
      </c>
      <c r="D342" s="3" t="str">
        <f>YEAR(Datos_Consumo[[#This Row],[FECHA]])&amp;"-"&amp;MONTH(Datos_Consumo[[#This Row],[FECHA]])</f>
        <v>2016-12</v>
      </c>
    </row>
    <row r="343" spans="1:4" x14ac:dyDescent="0.25">
      <c r="A343" t="s">
        <v>1505</v>
      </c>
      <c r="B343">
        <v>3</v>
      </c>
      <c r="C343" s="55">
        <v>42736</v>
      </c>
      <c r="D343" s="3" t="str">
        <f>YEAR(Datos_Consumo[[#This Row],[FECHA]])&amp;"-"&amp;MONTH(Datos_Consumo[[#This Row],[FECHA]])</f>
        <v>2017-1</v>
      </c>
    </row>
    <row r="344" spans="1:4" x14ac:dyDescent="0.25">
      <c r="A344" t="s">
        <v>1506</v>
      </c>
      <c r="B344">
        <v>1</v>
      </c>
      <c r="C344" s="55">
        <v>42675</v>
      </c>
      <c r="D344" s="3" t="str">
        <f>YEAR(Datos_Consumo[[#This Row],[FECHA]])&amp;"-"&amp;MONTH(Datos_Consumo[[#This Row],[FECHA]])</f>
        <v>2016-11</v>
      </c>
    </row>
    <row r="345" spans="1:4" x14ac:dyDescent="0.25">
      <c r="A345" t="s">
        <v>1506</v>
      </c>
      <c r="B345">
        <v>1</v>
      </c>
      <c r="C345" s="55">
        <v>42705</v>
      </c>
      <c r="D345" s="3" t="str">
        <f>YEAR(Datos_Consumo[[#This Row],[FECHA]])&amp;"-"&amp;MONTH(Datos_Consumo[[#This Row],[FECHA]])</f>
        <v>2016-12</v>
      </c>
    </row>
    <row r="346" spans="1:4" x14ac:dyDescent="0.25">
      <c r="A346" t="s">
        <v>1506</v>
      </c>
      <c r="B346">
        <v>9</v>
      </c>
      <c r="C346" s="55">
        <v>42736</v>
      </c>
      <c r="D346" s="3" t="str">
        <f>YEAR(Datos_Consumo[[#This Row],[FECHA]])&amp;"-"&amp;MONTH(Datos_Consumo[[#This Row],[FECHA]])</f>
        <v>2017-1</v>
      </c>
    </row>
    <row r="347" spans="1:4" x14ac:dyDescent="0.25">
      <c r="A347" t="s">
        <v>1507</v>
      </c>
      <c r="B347">
        <v>3</v>
      </c>
      <c r="C347" s="55">
        <v>42675</v>
      </c>
      <c r="D347" s="3" t="str">
        <f>YEAR(Datos_Consumo[[#This Row],[FECHA]])&amp;"-"&amp;MONTH(Datos_Consumo[[#This Row],[FECHA]])</f>
        <v>2016-11</v>
      </c>
    </row>
    <row r="348" spans="1:4" x14ac:dyDescent="0.25">
      <c r="A348" t="s">
        <v>1507</v>
      </c>
      <c r="B348">
        <v>3</v>
      </c>
      <c r="C348" s="55">
        <v>42705</v>
      </c>
      <c r="D348" s="3" t="str">
        <f>YEAR(Datos_Consumo[[#This Row],[FECHA]])&amp;"-"&amp;MONTH(Datos_Consumo[[#This Row],[FECHA]])</f>
        <v>2016-12</v>
      </c>
    </row>
    <row r="349" spans="1:4" x14ac:dyDescent="0.25">
      <c r="A349" t="s">
        <v>1507</v>
      </c>
      <c r="B349">
        <v>2</v>
      </c>
      <c r="C349" s="55">
        <v>42736</v>
      </c>
      <c r="D349" s="3" t="str">
        <f>YEAR(Datos_Consumo[[#This Row],[FECHA]])&amp;"-"&amp;MONTH(Datos_Consumo[[#This Row],[FECHA]])</f>
        <v>2017-1</v>
      </c>
    </row>
    <row r="350" spans="1:4" x14ac:dyDescent="0.25">
      <c r="A350" t="s">
        <v>1508</v>
      </c>
      <c r="B350">
        <v>4</v>
      </c>
      <c r="C350" s="55">
        <v>42675</v>
      </c>
      <c r="D350" s="3" t="str">
        <f>YEAR(Datos_Consumo[[#This Row],[FECHA]])&amp;"-"&amp;MONTH(Datos_Consumo[[#This Row],[FECHA]])</f>
        <v>2016-11</v>
      </c>
    </row>
    <row r="351" spans="1:4" x14ac:dyDescent="0.25">
      <c r="A351" t="s">
        <v>1508</v>
      </c>
      <c r="B351">
        <v>1</v>
      </c>
      <c r="C351" s="55">
        <v>42705</v>
      </c>
      <c r="D351" s="3" t="str">
        <f>YEAR(Datos_Consumo[[#This Row],[FECHA]])&amp;"-"&amp;MONTH(Datos_Consumo[[#This Row],[FECHA]])</f>
        <v>2016-12</v>
      </c>
    </row>
    <row r="352" spans="1:4" x14ac:dyDescent="0.25">
      <c r="A352" t="s">
        <v>1508</v>
      </c>
      <c r="B352">
        <v>2</v>
      </c>
      <c r="C352" s="55">
        <v>42736</v>
      </c>
      <c r="D352" s="3" t="str">
        <f>YEAR(Datos_Consumo[[#This Row],[FECHA]])&amp;"-"&amp;MONTH(Datos_Consumo[[#This Row],[FECHA]])</f>
        <v>2017-1</v>
      </c>
    </row>
    <row r="353" spans="1:4" x14ac:dyDescent="0.25">
      <c r="A353" t="s">
        <v>1508</v>
      </c>
      <c r="B353">
        <v>1</v>
      </c>
      <c r="C353" s="55">
        <v>42767</v>
      </c>
      <c r="D353" s="3" t="str">
        <f>YEAR(Datos_Consumo[[#This Row],[FECHA]])&amp;"-"&amp;MONTH(Datos_Consumo[[#This Row],[FECHA]])</f>
        <v>2017-2</v>
      </c>
    </row>
    <row r="354" spans="1:4" x14ac:dyDescent="0.25">
      <c r="A354" t="s">
        <v>1509</v>
      </c>
      <c r="B354">
        <v>3</v>
      </c>
      <c r="C354" s="55">
        <v>42675</v>
      </c>
      <c r="D354" s="3" t="str">
        <f>YEAR(Datos_Consumo[[#This Row],[FECHA]])&amp;"-"&amp;MONTH(Datos_Consumo[[#This Row],[FECHA]])</f>
        <v>2016-11</v>
      </c>
    </row>
    <row r="355" spans="1:4" x14ac:dyDescent="0.25">
      <c r="A355" t="s">
        <v>1509</v>
      </c>
      <c r="B355">
        <v>1</v>
      </c>
      <c r="C355" s="55">
        <v>42705</v>
      </c>
      <c r="D355" s="3" t="str">
        <f>YEAR(Datos_Consumo[[#This Row],[FECHA]])&amp;"-"&amp;MONTH(Datos_Consumo[[#This Row],[FECHA]])</f>
        <v>2016-12</v>
      </c>
    </row>
    <row r="356" spans="1:4" x14ac:dyDescent="0.25">
      <c r="A356" t="s">
        <v>1509</v>
      </c>
      <c r="B356">
        <v>1</v>
      </c>
      <c r="C356" s="55">
        <v>42736</v>
      </c>
      <c r="D356" s="3" t="str">
        <f>YEAR(Datos_Consumo[[#This Row],[FECHA]])&amp;"-"&amp;MONTH(Datos_Consumo[[#This Row],[FECHA]])</f>
        <v>2017-1</v>
      </c>
    </row>
    <row r="357" spans="1:4" x14ac:dyDescent="0.25">
      <c r="A357" t="s">
        <v>1510</v>
      </c>
      <c r="B357">
        <v>3</v>
      </c>
      <c r="C357" s="55">
        <v>42705</v>
      </c>
      <c r="D357" s="3" t="str">
        <f>YEAR(Datos_Consumo[[#This Row],[FECHA]])&amp;"-"&amp;MONTH(Datos_Consumo[[#This Row],[FECHA]])</f>
        <v>2016-12</v>
      </c>
    </row>
    <row r="358" spans="1:4" x14ac:dyDescent="0.25">
      <c r="A358" t="s">
        <v>1510</v>
      </c>
      <c r="B358">
        <v>1</v>
      </c>
      <c r="C358" s="55">
        <v>42736</v>
      </c>
      <c r="D358" s="3" t="str">
        <f>YEAR(Datos_Consumo[[#This Row],[FECHA]])&amp;"-"&amp;MONTH(Datos_Consumo[[#This Row],[FECHA]])</f>
        <v>2017-1</v>
      </c>
    </row>
    <row r="359" spans="1:4" x14ac:dyDescent="0.25">
      <c r="A359" t="s">
        <v>1511</v>
      </c>
      <c r="B359">
        <v>2</v>
      </c>
      <c r="C359" s="55">
        <v>42675</v>
      </c>
      <c r="D359" s="3" t="str">
        <f>YEAR(Datos_Consumo[[#This Row],[FECHA]])&amp;"-"&amp;MONTH(Datos_Consumo[[#This Row],[FECHA]])</f>
        <v>2016-11</v>
      </c>
    </row>
    <row r="360" spans="1:4" x14ac:dyDescent="0.25">
      <c r="A360" t="s">
        <v>1511</v>
      </c>
      <c r="B360">
        <v>2</v>
      </c>
      <c r="C360" s="55">
        <v>42705</v>
      </c>
      <c r="D360" s="3" t="str">
        <f>YEAR(Datos_Consumo[[#This Row],[FECHA]])&amp;"-"&amp;MONTH(Datos_Consumo[[#This Row],[FECHA]])</f>
        <v>2016-12</v>
      </c>
    </row>
    <row r="361" spans="1:4" x14ac:dyDescent="0.25">
      <c r="A361" t="s">
        <v>1511</v>
      </c>
      <c r="B361">
        <v>1</v>
      </c>
      <c r="C361" s="55">
        <v>42736</v>
      </c>
      <c r="D361" s="3" t="str">
        <f>YEAR(Datos_Consumo[[#This Row],[FECHA]])&amp;"-"&amp;MONTH(Datos_Consumo[[#This Row],[FECHA]])</f>
        <v>2017-1</v>
      </c>
    </row>
    <row r="362" spans="1:4" x14ac:dyDescent="0.25">
      <c r="A362" t="s">
        <v>1512</v>
      </c>
      <c r="B362">
        <v>5</v>
      </c>
      <c r="C362" s="55">
        <v>42675</v>
      </c>
      <c r="D362" s="3" t="str">
        <f>YEAR(Datos_Consumo[[#This Row],[FECHA]])&amp;"-"&amp;MONTH(Datos_Consumo[[#This Row],[FECHA]])</f>
        <v>2016-11</v>
      </c>
    </row>
    <row r="363" spans="1:4" x14ac:dyDescent="0.25">
      <c r="A363" t="s">
        <v>1512</v>
      </c>
      <c r="B363">
        <v>4</v>
      </c>
      <c r="C363" s="55">
        <v>42705</v>
      </c>
      <c r="D363" s="3" t="str">
        <f>YEAR(Datos_Consumo[[#This Row],[FECHA]])&amp;"-"&amp;MONTH(Datos_Consumo[[#This Row],[FECHA]])</f>
        <v>2016-12</v>
      </c>
    </row>
    <row r="364" spans="1:4" x14ac:dyDescent="0.25">
      <c r="A364" t="s">
        <v>1512</v>
      </c>
      <c r="B364">
        <v>1</v>
      </c>
      <c r="C364" s="55">
        <v>42736</v>
      </c>
      <c r="D364" s="3" t="str">
        <f>YEAR(Datos_Consumo[[#This Row],[FECHA]])&amp;"-"&amp;MONTH(Datos_Consumo[[#This Row],[FECHA]])</f>
        <v>2017-1</v>
      </c>
    </row>
    <row r="365" spans="1:4" x14ac:dyDescent="0.25">
      <c r="A365" t="s">
        <v>1513</v>
      </c>
      <c r="B365">
        <v>3</v>
      </c>
      <c r="C365" s="55">
        <v>42675</v>
      </c>
      <c r="D365" s="3" t="str">
        <f>YEAR(Datos_Consumo[[#This Row],[FECHA]])&amp;"-"&amp;MONTH(Datos_Consumo[[#This Row],[FECHA]])</f>
        <v>2016-11</v>
      </c>
    </row>
    <row r="366" spans="1:4" x14ac:dyDescent="0.25">
      <c r="A366" t="s">
        <v>1513</v>
      </c>
      <c r="B366">
        <v>5</v>
      </c>
      <c r="C366" s="55">
        <v>42705</v>
      </c>
      <c r="D366" s="3" t="str">
        <f>YEAR(Datos_Consumo[[#This Row],[FECHA]])&amp;"-"&amp;MONTH(Datos_Consumo[[#This Row],[FECHA]])</f>
        <v>2016-12</v>
      </c>
    </row>
    <row r="367" spans="1:4" x14ac:dyDescent="0.25">
      <c r="A367" t="s">
        <v>1513</v>
      </c>
      <c r="B367">
        <v>4</v>
      </c>
      <c r="C367" s="55">
        <v>42736</v>
      </c>
      <c r="D367" s="3" t="str">
        <f>YEAR(Datos_Consumo[[#This Row],[FECHA]])&amp;"-"&amp;MONTH(Datos_Consumo[[#This Row],[FECHA]])</f>
        <v>2017-1</v>
      </c>
    </row>
    <row r="368" spans="1:4" x14ac:dyDescent="0.25">
      <c r="A368" t="s">
        <v>1514</v>
      </c>
      <c r="B368">
        <v>2</v>
      </c>
      <c r="C368" s="55">
        <v>42705</v>
      </c>
      <c r="D368" s="3" t="str">
        <f>YEAR(Datos_Consumo[[#This Row],[FECHA]])&amp;"-"&amp;MONTH(Datos_Consumo[[#This Row],[FECHA]])</f>
        <v>2016-12</v>
      </c>
    </row>
    <row r="369" spans="1:4" x14ac:dyDescent="0.25">
      <c r="A369" t="s">
        <v>1514</v>
      </c>
      <c r="B369">
        <v>2</v>
      </c>
      <c r="C369" s="55">
        <v>42736</v>
      </c>
      <c r="D369" s="3" t="str">
        <f>YEAR(Datos_Consumo[[#This Row],[FECHA]])&amp;"-"&amp;MONTH(Datos_Consumo[[#This Row],[FECHA]])</f>
        <v>2017-1</v>
      </c>
    </row>
    <row r="370" spans="1:4" x14ac:dyDescent="0.25">
      <c r="A370" t="s">
        <v>1515</v>
      </c>
      <c r="B370">
        <v>3</v>
      </c>
      <c r="C370" s="55">
        <v>42705</v>
      </c>
      <c r="D370" s="3" t="str">
        <f>YEAR(Datos_Consumo[[#This Row],[FECHA]])&amp;"-"&amp;MONTH(Datos_Consumo[[#This Row],[FECHA]])</f>
        <v>2016-12</v>
      </c>
    </row>
    <row r="371" spans="1:4" x14ac:dyDescent="0.25">
      <c r="A371" t="s">
        <v>1515</v>
      </c>
      <c r="B371">
        <v>1</v>
      </c>
      <c r="C371" s="55">
        <v>42736</v>
      </c>
      <c r="D371" s="3" t="str">
        <f>YEAR(Datos_Consumo[[#This Row],[FECHA]])&amp;"-"&amp;MONTH(Datos_Consumo[[#This Row],[FECHA]])</f>
        <v>2017-1</v>
      </c>
    </row>
    <row r="372" spans="1:4" x14ac:dyDescent="0.25">
      <c r="A372" t="s">
        <v>1516</v>
      </c>
      <c r="B372">
        <v>1</v>
      </c>
      <c r="C372" s="55">
        <v>42675</v>
      </c>
      <c r="D372" s="3" t="str">
        <f>YEAR(Datos_Consumo[[#This Row],[FECHA]])&amp;"-"&amp;MONTH(Datos_Consumo[[#This Row],[FECHA]])</f>
        <v>2016-11</v>
      </c>
    </row>
    <row r="373" spans="1:4" x14ac:dyDescent="0.25">
      <c r="A373" t="s">
        <v>1516</v>
      </c>
      <c r="B373">
        <v>2</v>
      </c>
      <c r="C373" s="55">
        <v>42705</v>
      </c>
      <c r="D373" s="3" t="str">
        <f>YEAR(Datos_Consumo[[#This Row],[FECHA]])&amp;"-"&amp;MONTH(Datos_Consumo[[#This Row],[FECHA]])</f>
        <v>2016-12</v>
      </c>
    </row>
    <row r="374" spans="1:4" x14ac:dyDescent="0.25">
      <c r="A374" t="s">
        <v>1516</v>
      </c>
      <c r="B374">
        <v>1</v>
      </c>
      <c r="C374" s="55">
        <v>42736</v>
      </c>
      <c r="D374" s="3" t="str">
        <f>YEAR(Datos_Consumo[[#This Row],[FECHA]])&amp;"-"&amp;MONTH(Datos_Consumo[[#This Row],[FECHA]])</f>
        <v>2017-1</v>
      </c>
    </row>
    <row r="375" spans="1:4" x14ac:dyDescent="0.25">
      <c r="A375" t="s">
        <v>1517</v>
      </c>
      <c r="B375">
        <v>1</v>
      </c>
      <c r="C375" s="55">
        <v>42675</v>
      </c>
      <c r="D375" s="3" t="str">
        <f>YEAR(Datos_Consumo[[#This Row],[FECHA]])&amp;"-"&amp;MONTH(Datos_Consumo[[#This Row],[FECHA]])</f>
        <v>2016-11</v>
      </c>
    </row>
    <row r="376" spans="1:4" x14ac:dyDescent="0.25">
      <c r="A376" t="s">
        <v>1518</v>
      </c>
      <c r="B376">
        <v>1</v>
      </c>
      <c r="C376" s="55">
        <v>42675</v>
      </c>
      <c r="D376" s="3" t="str">
        <f>YEAR(Datos_Consumo[[#This Row],[FECHA]])&amp;"-"&amp;MONTH(Datos_Consumo[[#This Row],[FECHA]])</f>
        <v>2016-11</v>
      </c>
    </row>
    <row r="377" spans="1:4" x14ac:dyDescent="0.25">
      <c r="A377" t="s">
        <v>1519</v>
      </c>
      <c r="B377">
        <v>3</v>
      </c>
      <c r="C377" s="55">
        <v>42736</v>
      </c>
      <c r="D377" s="3" t="str">
        <f>YEAR(Datos_Consumo[[#This Row],[FECHA]])&amp;"-"&amp;MONTH(Datos_Consumo[[#This Row],[FECHA]])</f>
        <v>2017-1</v>
      </c>
    </row>
    <row r="378" spans="1:4" x14ac:dyDescent="0.25">
      <c r="A378" t="s">
        <v>1520</v>
      </c>
      <c r="B378">
        <v>2</v>
      </c>
      <c r="C378" s="55">
        <v>42675</v>
      </c>
      <c r="D378" s="3" t="str">
        <f>YEAR(Datos_Consumo[[#This Row],[FECHA]])&amp;"-"&amp;MONTH(Datos_Consumo[[#This Row],[FECHA]])</f>
        <v>2016-11</v>
      </c>
    </row>
    <row r="379" spans="1:4" x14ac:dyDescent="0.25">
      <c r="A379" t="s">
        <v>1521</v>
      </c>
      <c r="B379">
        <v>2</v>
      </c>
      <c r="C379" s="55">
        <v>42675</v>
      </c>
      <c r="D379" s="3" t="str">
        <f>YEAR(Datos_Consumo[[#This Row],[FECHA]])&amp;"-"&amp;MONTH(Datos_Consumo[[#This Row],[FECHA]])</f>
        <v>2016-11</v>
      </c>
    </row>
    <row r="380" spans="1:4" x14ac:dyDescent="0.25">
      <c r="A380" t="s">
        <v>1521</v>
      </c>
      <c r="B380">
        <v>1</v>
      </c>
      <c r="C380" s="55">
        <v>42705</v>
      </c>
      <c r="D380" s="3" t="str">
        <f>YEAR(Datos_Consumo[[#This Row],[FECHA]])&amp;"-"&amp;MONTH(Datos_Consumo[[#This Row],[FECHA]])</f>
        <v>2016-12</v>
      </c>
    </row>
    <row r="381" spans="1:4" x14ac:dyDescent="0.25">
      <c r="A381" t="s">
        <v>1522</v>
      </c>
      <c r="B381">
        <v>1</v>
      </c>
      <c r="C381" s="55">
        <v>42675</v>
      </c>
      <c r="D381" s="3" t="str">
        <f>YEAR(Datos_Consumo[[#This Row],[FECHA]])&amp;"-"&amp;MONTH(Datos_Consumo[[#This Row],[FECHA]])</f>
        <v>2016-11</v>
      </c>
    </row>
    <row r="382" spans="1:4" x14ac:dyDescent="0.25">
      <c r="A382" t="s">
        <v>1522</v>
      </c>
      <c r="B382">
        <v>2</v>
      </c>
      <c r="C382" s="55">
        <v>42705</v>
      </c>
      <c r="D382" s="3" t="str">
        <f>YEAR(Datos_Consumo[[#This Row],[FECHA]])&amp;"-"&amp;MONTH(Datos_Consumo[[#This Row],[FECHA]])</f>
        <v>2016-12</v>
      </c>
    </row>
    <row r="383" spans="1:4" x14ac:dyDescent="0.25">
      <c r="A383" t="s">
        <v>1523</v>
      </c>
      <c r="B383">
        <v>1</v>
      </c>
      <c r="C383" s="55">
        <v>42675</v>
      </c>
      <c r="D383" s="3" t="str">
        <f>YEAR(Datos_Consumo[[#This Row],[FECHA]])&amp;"-"&amp;MONTH(Datos_Consumo[[#This Row],[FECHA]])</f>
        <v>2016-11</v>
      </c>
    </row>
    <row r="384" spans="1:4" x14ac:dyDescent="0.25">
      <c r="A384" t="s">
        <v>1523</v>
      </c>
      <c r="B384">
        <v>2</v>
      </c>
      <c r="C384" s="55">
        <v>42705</v>
      </c>
      <c r="D384" s="3" t="str">
        <f>YEAR(Datos_Consumo[[#This Row],[FECHA]])&amp;"-"&amp;MONTH(Datos_Consumo[[#This Row],[FECHA]])</f>
        <v>2016-12</v>
      </c>
    </row>
    <row r="385" spans="1:4" x14ac:dyDescent="0.25">
      <c r="A385" t="s">
        <v>1523</v>
      </c>
      <c r="B385">
        <v>1</v>
      </c>
      <c r="C385" s="55">
        <v>42736</v>
      </c>
      <c r="D385" s="3" t="str">
        <f>YEAR(Datos_Consumo[[#This Row],[FECHA]])&amp;"-"&amp;MONTH(Datos_Consumo[[#This Row],[FECHA]])</f>
        <v>2017-1</v>
      </c>
    </row>
    <row r="386" spans="1:4" x14ac:dyDescent="0.25">
      <c r="A386" t="s">
        <v>1524</v>
      </c>
      <c r="B386">
        <v>1</v>
      </c>
      <c r="C386" s="55">
        <v>42705</v>
      </c>
      <c r="D386" s="3" t="str">
        <f>YEAR(Datos_Consumo[[#This Row],[FECHA]])&amp;"-"&amp;MONTH(Datos_Consumo[[#This Row],[FECHA]])</f>
        <v>2016-12</v>
      </c>
    </row>
    <row r="387" spans="1:4" x14ac:dyDescent="0.25">
      <c r="A387" t="s">
        <v>1524</v>
      </c>
      <c r="B387">
        <v>1</v>
      </c>
      <c r="C387" s="55">
        <v>42736</v>
      </c>
      <c r="D387" s="3" t="str">
        <f>YEAR(Datos_Consumo[[#This Row],[FECHA]])&amp;"-"&amp;MONTH(Datos_Consumo[[#This Row],[FECHA]])</f>
        <v>2017-1</v>
      </c>
    </row>
    <row r="388" spans="1:4" x14ac:dyDescent="0.25">
      <c r="A388" t="s">
        <v>1525</v>
      </c>
      <c r="B388">
        <v>1</v>
      </c>
      <c r="C388" s="55">
        <v>42736</v>
      </c>
      <c r="D388" s="3" t="str">
        <f>YEAR(Datos_Consumo[[#This Row],[FECHA]])&amp;"-"&amp;MONTH(Datos_Consumo[[#This Row],[FECHA]])</f>
        <v>2017-1</v>
      </c>
    </row>
    <row r="389" spans="1:4" x14ac:dyDescent="0.25">
      <c r="A389" t="s">
        <v>1526</v>
      </c>
      <c r="B389">
        <v>1</v>
      </c>
      <c r="C389" s="55">
        <v>42675</v>
      </c>
      <c r="D389" s="3" t="str">
        <f>YEAR(Datos_Consumo[[#This Row],[FECHA]])&amp;"-"&amp;MONTH(Datos_Consumo[[#This Row],[FECHA]])</f>
        <v>2016-11</v>
      </c>
    </row>
    <row r="390" spans="1:4" x14ac:dyDescent="0.25">
      <c r="A390" t="s">
        <v>1527</v>
      </c>
      <c r="B390">
        <v>5</v>
      </c>
      <c r="C390" s="55">
        <v>42675</v>
      </c>
      <c r="D390" s="3" t="str">
        <f>YEAR(Datos_Consumo[[#This Row],[FECHA]])&amp;"-"&amp;MONTH(Datos_Consumo[[#This Row],[FECHA]])</f>
        <v>2016-11</v>
      </c>
    </row>
    <row r="391" spans="1:4" x14ac:dyDescent="0.25">
      <c r="A391" t="s">
        <v>1527</v>
      </c>
      <c r="B391">
        <v>6</v>
      </c>
      <c r="C391" s="55">
        <v>42705</v>
      </c>
      <c r="D391" s="3" t="str">
        <f>YEAR(Datos_Consumo[[#This Row],[FECHA]])&amp;"-"&amp;MONTH(Datos_Consumo[[#This Row],[FECHA]])</f>
        <v>2016-12</v>
      </c>
    </row>
    <row r="392" spans="1:4" x14ac:dyDescent="0.25">
      <c r="A392" t="s">
        <v>1527</v>
      </c>
      <c r="B392">
        <v>6</v>
      </c>
      <c r="C392" s="55">
        <v>42736</v>
      </c>
      <c r="D392" s="3" t="str">
        <f>YEAR(Datos_Consumo[[#This Row],[FECHA]])&amp;"-"&amp;MONTH(Datos_Consumo[[#This Row],[FECHA]])</f>
        <v>2017-1</v>
      </c>
    </row>
    <row r="393" spans="1:4" x14ac:dyDescent="0.25">
      <c r="A393" t="s">
        <v>1528</v>
      </c>
      <c r="B393">
        <v>3</v>
      </c>
      <c r="C393" s="55">
        <v>42675</v>
      </c>
      <c r="D393" s="3" t="str">
        <f>YEAR(Datos_Consumo[[#This Row],[FECHA]])&amp;"-"&amp;MONTH(Datos_Consumo[[#This Row],[FECHA]])</f>
        <v>2016-11</v>
      </c>
    </row>
    <row r="394" spans="1:4" x14ac:dyDescent="0.25">
      <c r="A394" t="s">
        <v>1528</v>
      </c>
      <c r="B394">
        <v>1</v>
      </c>
      <c r="C394" s="55">
        <v>42705</v>
      </c>
      <c r="D394" s="3" t="str">
        <f>YEAR(Datos_Consumo[[#This Row],[FECHA]])&amp;"-"&amp;MONTH(Datos_Consumo[[#This Row],[FECHA]])</f>
        <v>2016-12</v>
      </c>
    </row>
    <row r="395" spans="1:4" x14ac:dyDescent="0.25">
      <c r="A395" t="s">
        <v>1528</v>
      </c>
      <c r="B395">
        <v>3</v>
      </c>
      <c r="C395" s="55">
        <v>42736</v>
      </c>
      <c r="D395" s="3" t="str">
        <f>YEAR(Datos_Consumo[[#This Row],[FECHA]])&amp;"-"&amp;MONTH(Datos_Consumo[[#This Row],[FECHA]])</f>
        <v>2017-1</v>
      </c>
    </row>
    <row r="396" spans="1:4" x14ac:dyDescent="0.25">
      <c r="A396" t="s">
        <v>1529</v>
      </c>
      <c r="B396">
        <v>1</v>
      </c>
      <c r="C396" s="55">
        <v>42675</v>
      </c>
      <c r="D396" s="3" t="str">
        <f>YEAR(Datos_Consumo[[#This Row],[FECHA]])&amp;"-"&amp;MONTH(Datos_Consumo[[#This Row],[FECHA]])</f>
        <v>2016-11</v>
      </c>
    </row>
    <row r="397" spans="1:4" x14ac:dyDescent="0.25">
      <c r="A397" t="s">
        <v>1529</v>
      </c>
      <c r="B397">
        <v>1</v>
      </c>
      <c r="C397" s="55">
        <v>42705</v>
      </c>
      <c r="D397" s="3" t="str">
        <f>YEAR(Datos_Consumo[[#This Row],[FECHA]])&amp;"-"&amp;MONTH(Datos_Consumo[[#This Row],[FECHA]])</f>
        <v>2016-12</v>
      </c>
    </row>
    <row r="398" spans="1:4" x14ac:dyDescent="0.25">
      <c r="A398" t="s">
        <v>1529</v>
      </c>
      <c r="B398">
        <v>1</v>
      </c>
      <c r="C398" s="55">
        <v>42736</v>
      </c>
      <c r="D398" s="3" t="str">
        <f>YEAR(Datos_Consumo[[#This Row],[FECHA]])&amp;"-"&amp;MONTH(Datos_Consumo[[#This Row],[FECHA]])</f>
        <v>2017-1</v>
      </c>
    </row>
    <row r="399" spans="1:4" x14ac:dyDescent="0.25">
      <c r="A399" t="s">
        <v>1530</v>
      </c>
      <c r="B399">
        <v>1</v>
      </c>
      <c r="C399" s="55">
        <v>42705</v>
      </c>
      <c r="D399" s="3" t="str">
        <f>YEAR(Datos_Consumo[[#This Row],[FECHA]])&amp;"-"&amp;MONTH(Datos_Consumo[[#This Row],[FECHA]])</f>
        <v>2016-12</v>
      </c>
    </row>
    <row r="400" spans="1:4" x14ac:dyDescent="0.25">
      <c r="A400" t="s">
        <v>1530</v>
      </c>
      <c r="B400">
        <v>2</v>
      </c>
      <c r="C400" s="55">
        <v>42736</v>
      </c>
      <c r="D400" s="3" t="str">
        <f>YEAR(Datos_Consumo[[#This Row],[FECHA]])&amp;"-"&amp;MONTH(Datos_Consumo[[#This Row],[FECHA]])</f>
        <v>2017-1</v>
      </c>
    </row>
    <row r="401" spans="1:4" x14ac:dyDescent="0.25">
      <c r="A401" t="s">
        <v>1531</v>
      </c>
      <c r="B401">
        <v>4</v>
      </c>
      <c r="C401" s="55">
        <v>42675</v>
      </c>
      <c r="D401" s="3" t="str">
        <f>YEAR(Datos_Consumo[[#This Row],[FECHA]])&amp;"-"&amp;MONTH(Datos_Consumo[[#This Row],[FECHA]])</f>
        <v>2016-11</v>
      </c>
    </row>
    <row r="402" spans="1:4" x14ac:dyDescent="0.25">
      <c r="A402" t="s">
        <v>1531</v>
      </c>
      <c r="B402">
        <v>3</v>
      </c>
      <c r="C402" s="55">
        <v>42705</v>
      </c>
      <c r="D402" s="3" t="str">
        <f>YEAR(Datos_Consumo[[#This Row],[FECHA]])&amp;"-"&amp;MONTH(Datos_Consumo[[#This Row],[FECHA]])</f>
        <v>2016-12</v>
      </c>
    </row>
    <row r="403" spans="1:4" x14ac:dyDescent="0.25">
      <c r="A403" t="s">
        <v>1531</v>
      </c>
      <c r="B403">
        <v>1</v>
      </c>
      <c r="C403" s="55">
        <v>42767</v>
      </c>
      <c r="D403" s="3" t="str">
        <f>YEAR(Datos_Consumo[[#This Row],[FECHA]])&amp;"-"&amp;MONTH(Datos_Consumo[[#This Row],[FECHA]])</f>
        <v>2017-2</v>
      </c>
    </row>
    <row r="404" spans="1:4" x14ac:dyDescent="0.25">
      <c r="A404" t="s">
        <v>1532</v>
      </c>
      <c r="B404">
        <v>1</v>
      </c>
      <c r="C404" s="55">
        <v>42675</v>
      </c>
      <c r="D404" s="3" t="str">
        <f>YEAR(Datos_Consumo[[#This Row],[FECHA]])&amp;"-"&amp;MONTH(Datos_Consumo[[#This Row],[FECHA]])</f>
        <v>2016-11</v>
      </c>
    </row>
    <row r="405" spans="1:4" x14ac:dyDescent="0.25">
      <c r="A405" t="s">
        <v>1532</v>
      </c>
      <c r="B405">
        <v>3</v>
      </c>
      <c r="C405" s="55">
        <v>42705</v>
      </c>
      <c r="D405" s="3" t="str">
        <f>YEAR(Datos_Consumo[[#This Row],[FECHA]])&amp;"-"&amp;MONTH(Datos_Consumo[[#This Row],[FECHA]])</f>
        <v>2016-12</v>
      </c>
    </row>
    <row r="406" spans="1:4" x14ac:dyDescent="0.25">
      <c r="A406" t="s">
        <v>1532</v>
      </c>
      <c r="B406">
        <v>1</v>
      </c>
      <c r="C406" s="55">
        <v>42736</v>
      </c>
      <c r="D406" s="3" t="str">
        <f>YEAR(Datos_Consumo[[#This Row],[FECHA]])&amp;"-"&amp;MONTH(Datos_Consumo[[#This Row],[FECHA]])</f>
        <v>2017-1</v>
      </c>
    </row>
    <row r="407" spans="1:4" x14ac:dyDescent="0.25">
      <c r="A407" t="s">
        <v>1533</v>
      </c>
      <c r="B407">
        <v>2</v>
      </c>
      <c r="C407" s="55">
        <v>42705</v>
      </c>
      <c r="D407" s="3" t="str">
        <f>YEAR(Datos_Consumo[[#This Row],[FECHA]])&amp;"-"&amp;MONTH(Datos_Consumo[[#This Row],[FECHA]])</f>
        <v>2016-12</v>
      </c>
    </row>
    <row r="408" spans="1:4" x14ac:dyDescent="0.25">
      <c r="A408" t="s">
        <v>1533</v>
      </c>
      <c r="B408">
        <v>2</v>
      </c>
      <c r="C408" s="55">
        <v>42736</v>
      </c>
      <c r="D408" s="3" t="str">
        <f>YEAR(Datos_Consumo[[#This Row],[FECHA]])&amp;"-"&amp;MONTH(Datos_Consumo[[#This Row],[FECHA]])</f>
        <v>2017-1</v>
      </c>
    </row>
    <row r="409" spans="1:4" x14ac:dyDescent="0.25">
      <c r="A409" t="s">
        <v>1534</v>
      </c>
      <c r="B409">
        <v>1</v>
      </c>
      <c r="C409" s="55">
        <v>42675</v>
      </c>
      <c r="D409" s="3" t="str">
        <f>YEAR(Datos_Consumo[[#This Row],[FECHA]])&amp;"-"&amp;MONTH(Datos_Consumo[[#This Row],[FECHA]])</f>
        <v>2016-11</v>
      </c>
    </row>
    <row r="410" spans="1:4" x14ac:dyDescent="0.25">
      <c r="A410" t="s">
        <v>1534</v>
      </c>
      <c r="B410">
        <v>1</v>
      </c>
      <c r="C410" s="55">
        <v>42705</v>
      </c>
      <c r="D410" s="3" t="str">
        <f>YEAR(Datos_Consumo[[#This Row],[FECHA]])&amp;"-"&amp;MONTH(Datos_Consumo[[#This Row],[FECHA]])</f>
        <v>2016-12</v>
      </c>
    </row>
    <row r="411" spans="1:4" x14ac:dyDescent="0.25">
      <c r="A411" t="s">
        <v>1534</v>
      </c>
      <c r="B411">
        <v>2</v>
      </c>
      <c r="C411" s="55">
        <v>42736</v>
      </c>
      <c r="D411" s="3" t="str">
        <f>YEAR(Datos_Consumo[[#This Row],[FECHA]])&amp;"-"&amp;MONTH(Datos_Consumo[[#This Row],[FECHA]])</f>
        <v>2017-1</v>
      </c>
    </row>
    <row r="412" spans="1:4" x14ac:dyDescent="0.25">
      <c r="A412" t="s">
        <v>1535</v>
      </c>
      <c r="B412">
        <v>2</v>
      </c>
      <c r="C412" s="55">
        <v>42705</v>
      </c>
      <c r="D412" s="3" t="str">
        <f>YEAR(Datos_Consumo[[#This Row],[FECHA]])&amp;"-"&amp;MONTH(Datos_Consumo[[#This Row],[FECHA]])</f>
        <v>2016-12</v>
      </c>
    </row>
    <row r="413" spans="1:4" x14ac:dyDescent="0.25">
      <c r="A413" t="s">
        <v>1536</v>
      </c>
      <c r="B413">
        <v>2</v>
      </c>
      <c r="C413" s="55">
        <v>42705</v>
      </c>
      <c r="D413" s="3" t="str">
        <f>YEAR(Datos_Consumo[[#This Row],[FECHA]])&amp;"-"&amp;MONTH(Datos_Consumo[[#This Row],[FECHA]])</f>
        <v>2016-12</v>
      </c>
    </row>
    <row r="414" spans="1:4" x14ac:dyDescent="0.25">
      <c r="A414" t="s">
        <v>1537</v>
      </c>
      <c r="B414">
        <v>1</v>
      </c>
      <c r="C414" s="55">
        <v>42705</v>
      </c>
      <c r="D414" s="3" t="str">
        <f>YEAR(Datos_Consumo[[#This Row],[FECHA]])&amp;"-"&amp;MONTH(Datos_Consumo[[#This Row],[FECHA]])</f>
        <v>2016-12</v>
      </c>
    </row>
    <row r="415" spans="1:4" x14ac:dyDescent="0.25">
      <c r="A415" t="s">
        <v>1538</v>
      </c>
      <c r="B415">
        <v>2</v>
      </c>
      <c r="C415" s="55">
        <v>42675</v>
      </c>
      <c r="D415" s="3" t="str">
        <f>YEAR(Datos_Consumo[[#This Row],[FECHA]])&amp;"-"&amp;MONTH(Datos_Consumo[[#This Row],[FECHA]])</f>
        <v>2016-11</v>
      </c>
    </row>
    <row r="416" spans="1:4" x14ac:dyDescent="0.25">
      <c r="A416" t="s">
        <v>1538</v>
      </c>
      <c r="B416">
        <v>1</v>
      </c>
      <c r="C416" s="55">
        <v>42705</v>
      </c>
      <c r="D416" s="3" t="str">
        <f>YEAR(Datos_Consumo[[#This Row],[FECHA]])&amp;"-"&amp;MONTH(Datos_Consumo[[#This Row],[FECHA]])</f>
        <v>2016-12</v>
      </c>
    </row>
    <row r="417" spans="1:4" x14ac:dyDescent="0.25">
      <c r="A417" t="s">
        <v>1538</v>
      </c>
      <c r="B417">
        <v>2</v>
      </c>
      <c r="C417" s="55">
        <v>42736</v>
      </c>
      <c r="D417" s="3" t="str">
        <f>YEAR(Datos_Consumo[[#This Row],[FECHA]])&amp;"-"&amp;MONTH(Datos_Consumo[[#This Row],[FECHA]])</f>
        <v>2017-1</v>
      </c>
    </row>
    <row r="418" spans="1:4" x14ac:dyDescent="0.25">
      <c r="A418" t="s">
        <v>1539</v>
      </c>
      <c r="B418">
        <v>2</v>
      </c>
      <c r="C418" s="55">
        <v>42675</v>
      </c>
      <c r="D418" s="3" t="str">
        <f>YEAR(Datos_Consumo[[#This Row],[FECHA]])&amp;"-"&amp;MONTH(Datos_Consumo[[#This Row],[FECHA]])</f>
        <v>2016-11</v>
      </c>
    </row>
    <row r="419" spans="1:4" x14ac:dyDescent="0.25">
      <c r="A419" t="s">
        <v>1539</v>
      </c>
      <c r="B419">
        <v>2</v>
      </c>
      <c r="C419" s="55">
        <v>42736</v>
      </c>
      <c r="D419" s="3" t="str">
        <f>YEAR(Datos_Consumo[[#This Row],[FECHA]])&amp;"-"&amp;MONTH(Datos_Consumo[[#This Row],[FECHA]])</f>
        <v>2017-1</v>
      </c>
    </row>
    <row r="420" spans="1:4" x14ac:dyDescent="0.25">
      <c r="A420" t="s">
        <v>1540</v>
      </c>
      <c r="B420">
        <v>1</v>
      </c>
      <c r="C420" s="55">
        <v>42675</v>
      </c>
      <c r="D420" s="3" t="str">
        <f>YEAR(Datos_Consumo[[#This Row],[FECHA]])&amp;"-"&amp;MONTH(Datos_Consumo[[#This Row],[FECHA]])</f>
        <v>2016-11</v>
      </c>
    </row>
    <row r="421" spans="1:4" x14ac:dyDescent="0.25">
      <c r="A421" t="s">
        <v>1540</v>
      </c>
      <c r="B421">
        <v>3</v>
      </c>
      <c r="C421" s="55">
        <v>42705</v>
      </c>
      <c r="D421" s="3" t="str">
        <f>YEAR(Datos_Consumo[[#This Row],[FECHA]])&amp;"-"&amp;MONTH(Datos_Consumo[[#This Row],[FECHA]])</f>
        <v>2016-12</v>
      </c>
    </row>
    <row r="422" spans="1:4" x14ac:dyDescent="0.25">
      <c r="A422" t="s">
        <v>1541</v>
      </c>
      <c r="B422">
        <v>2</v>
      </c>
      <c r="C422" s="55">
        <v>42705</v>
      </c>
      <c r="D422" s="3" t="str">
        <f>YEAR(Datos_Consumo[[#This Row],[FECHA]])&amp;"-"&amp;MONTH(Datos_Consumo[[#This Row],[FECHA]])</f>
        <v>2016-12</v>
      </c>
    </row>
    <row r="423" spans="1:4" x14ac:dyDescent="0.25">
      <c r="A423" t="s">
        <v>1541</v>
      </c>
      <c r="B423">
        <v>1</v>
      </c>
      <c r="C423" s="55">
        <v>42736</v>
      </c>
      <c r="D423" s="3" t="str">
        <f>YEAR(Datos_Consumo[[#This Row],[FECHA]])&amp;"-"&amp;MONTH(Datos_Consumo[[#This Row],[FECHA]])</f>
        <v>2017-1</v>
      </c>
    </row>
    <row r="424" spans="1:4" x14ac:dyDescent="0.25">
      <c r="A424" t="s">
        <v>1542</v>
      </c>
      <c r="B424">
        <v>1</v>
      </c>
      <c r="C424" s="55">
        <v>42675</v>
      </c>
      <c r="D424" s="3" t="str">
        <f>YEAR(Datos_Consumo[[#This Row],[FECHA]])&amp;"-"&amp;MONTH(Datos_Consumo[[#This Row],[FECHA]])</f>
        <v>2016-11</v>
      </c>
    </row>
    <row r="425" spans="1:4" x14ac:dyDescent="0.25">
      <c r="A425" t="s">
        <v>1543</v>
      </c>
      <c r="B425">
        <v>1</v>
      </c>
      <c r="C425" s="55">
        <v>42705</v>
      </c>
      <c r="D425" s="3" t="str">
        <f>YEAR(Datos_Consumo[[#This Row],[FECHA]])&amp;"-"&amp;MONTH(Datos_Consumo[[#This Row],[FECHA]])</f>
        <v>2016-12</v>
      </c>
    </row>
    <row r="426" spans="1:4" x14ac:dyDescent="0.25">
      <c r="A426" t="s">
        <v>1544</v>
      </c>
      <c r="B426">
        <v>3</v>
      </c>
      <c r="C426" s="55">
        <v>42705</v>
      </c>
      <c r="D426" s="3" t="str">
        <f>YEAR(Datos_Consumo[[#This Row],[FECHA]])&amp;"-"&amp;MONTH(Datos_Consumo[[#This Row],[FECHA]])</f>
        <v>2016-12</v>
      </c>
    </row>
    <row r="427" spans="1:4" x14ac:dyDescent="0.25">
      <c r="A427" t="s">
        <v>1545</v>
      </c>
      <c r="B427">
        <v>1</v>
      </c>
      <c r="C427" s="55">
        <v>42675</v>
      </c>
      <c r="D427" s="3" t="str">
        <f>YEAR(Datos_Consumo[[#This Row],[FECHA]])&amp;"-"&amp;MONTH(Datos_Consumo[[#This Row],[FECHA]])</f>
        <v>2016-11</v>
      </c>
    </row>
    <row r="428" spans="1:4" x14ac:dyDescent="0.25">
      <c r="A428" t="s">
        <v>1546</v>
      </c>
      <c r="B428">
        <v>1</v>
      </c>
      <c r="C428" s="55">
        <v>42675</v>
      </c>
      <c r="D428" s="3" t="str">
        <f>YEAR(Datos_Consumo[[#This Row],[FECHA]])&amp;"-"&amp;MONTH(Datos_Consumo[[#This Row],[FECHA]])</f>
        <v>2016-11</v>
      </c>
    </row>
    <row r="429" spans="1:4" x14ac:dyDescent="0.25">
      <c r="A429" t="s">
        <v>1547</v>
      </c>
      <c r="B429">
        <v>1</v>
      </c>
      <c r="C429" s="55">
        <v>42705</v>
      </c>
      <c r="D429" s="3" t="str">
        <f>YEAR(Datos_Consumo[[#This Row],[FECHA]])&amp;"-"&amp;MONTH(Datos_Consumo[[#This Row],[FECHA]])</f>
        <v>2016-12</v>
      </c>
    </row>
    <row r="430" spans="1:4" x14ac:dyDescent="0.25">
      <c r="A430" t="s">
        <v>1548</v>
      </c>
      <c r="B430">
        <v>1</v>
      </c>
      <c r="C430" s="55">
        <v>42675</v>
      </c>
      <c r="D430" s="3" t="str">
        <f>YEAR(Datos_Consumo[[#This Row],[FECHA]])&amp;"-"&amp;MONTH(Datos_Consumo[[#This Row],[FECHA]])</f>
        <v>2016-11</v>
      </c>
    </row>
    <row r="431" spans="1:4" x14ac:dyDescent="0.25">
      <c r="A431" t="s">
        <v>1549</v>
      </c>
      <c r="B431">
        <v>1</v>
      </c>
      <c r="C431" s="55">
        <v>42675</v>
      </c>
      <c r="D431" s="3" t="str">
        <f>YEAR(Datos_Consumo[[#This Row],[FECHA]])&amp;"-"&amp;MONTH(Datos_Consumo[[#This Row],[FECHA]])</f>
        <v>2016-11</v>
      </c>
    </row>
    <row r="432" spans="1:4" x14ac:dyDescent="0.25">
      <c r="A432" t="s">
        <v>1550</v>
      </c>
      <c r="B432">
        <v>1</v>
      </c>
      <c r="C432" s="55">
        <v>42675</v>
      </c>
      <c r="D432" s="3" t="str">
        <f>YEAR(Datos_Consumo[[#This Row],[FECHA]])&amp;"-"&amp;MONTH(Datos_Consumo[[#This Row],[FECHA]])</f>
        <v>2016-11</v>
      </c>
    </row>
    <row r="433" spans="1:4" x14ac:dyDescent="0.25">
      <c r="A433" t="s">
        <v>1551</v>
      </c>
      <c r="B433">
        <v>1</v>
      </c>
      <c r="C433" s="55">
        <v>42705</v>
      </c>
      <c r="D433" s="3" t="str">
        <f>YEAR(Datos_Consumo[[#This Row],[FECHA]])&amp;"-"&amp;MONTH(Datos_Consumo[[#This Row],[FECHA]])</f>
        <v>2016-12</v>
      </c>
    </row>
    <row r="434" spans="1:4" x14ac:dyDescent="0.25">
      <c r="A434" t="s">
        <v>1552</v>
      </c>
      <c r="B434">
        <v>1</v>
      </c>
      <c r="C434" s="55">
        <v>42675</v>
      </c>
      <c r="D434" s="3" t="str">
        <f>YEAR(Datos_Consumo[[#This Row],[FECHA]])&amp;"-"&amp;MONTH(Datos_Consumo[[#This Row],[FECHA]])</f>
        <v>2016-11</v>
      </c>
    </row>
    <row r="435" spans="1:4" x14ac:dyDescent="0.25">
      <c r="A435" t="s">
        <v>1553</v>
      </c>
      <c r="B435">
        <v>1</v>
      </c>
      <c r="C435" s="55">
        <v>42675</v>
      </c>
      <c r="D435" s="3" t="str">
        <f>YEAR(Datos_Consumo[[#This Row],[FECHA]])&amp;"-"&amp;MONTH(Datos_Consumo[[#This Row],[FECHA]])</f>
        <v>2016-11</v>
      </c>
    </row>
    <row r="436" spans="1:4" x14ac:dyDescent="0.25">
      <c r="A436" t="s">
        <v>1554</v>
      </c>
      <c r="B436">
        <v>1</v>
      </c>
      <c r="C436" s="55">
        <v>42705</v>
      </c>
      <c r="D436" s="3" t="str">
        <f>YEAR(Datos_Consumo[[#This Row],[FECHA]])&amp;"-"&amp;MONTH(Datos_Consumo[[#This Row],[FECHA]])</f>
        <v>2016-12</v>
      </c>
    </row>
    <row r="437" spans="1:4" x14ac:dyDescent="0.25">
      <c r="A437" t="s">
        <v>1555</v>
      </c>
      <c r="B437">
        <v>2</v>
      </c>
      <c r="C437" s="55">
        <v>42675</v>
      </c>
      <c r="D437" s="3" t="str">
        <f>YEAR(Datos_Consumo[[#This Row],[FECHA]])&amp;"-"&amp;MONTH(Datos_Consumo[[#This Row],[FECHA]])</f>
        <v>2016-11</v>
      </c>
    </row>
    <row r="438" spans="1:4" x14ac:dyDescent="0.25">
      <c r="A438" t="s">
        <v>1556</v>
      </c>
      <c r="B438">
        <v>1</v>
      </c>
      <c r="C438" s="55">
        <v>42675</v>
      </c>
      <c r="D438" s="3" t="str">
        <f>YEAR(Datos_Consumo[[#This Row],[FECHA]])&amp;"-"&amp;MONTH(Datos_Consumo[[#This Row],[FECHA]])</f>
        <v>2016-11</v>
      </c>
    </row>
    <row r="439" spans="1:4" x14ac:dyDescent="0.25">
      <c r="A439" t="s">
        <v>1556</v>
      </c>
      <c r="B439">
        <v>1</v>
      </c>
      <c r="C439" s="55">
        <v>42736</v>
      </c>
      <c r="D439" s="3" t="str">
        <f>YEAR(Datos_Consumo[[#This Row],[FECHA]])&amp;"-"&amp;MONTH(Datos_Consumo[[#This Row],[FECHA]])</f>
        <v>2017-1</v>
      </c>
    </row>
    <row r="440" spans="1:4" x14ac:dyDescent="0.25">
      <c r="A440" t="s">
        <v>1557</v>
      </c>
      <c r="B440">
        <v>4</v>
      </c>
      <c r="C440" s="55">
        <v>42705</v>
      </c>
      <c r="D440" s="3" t="str">
        <f>YEAR(Datos_Consumo[[#This Row],[FECHA]])&amp;"-"&amp;MONTH(Datos_Consumo[[#This Row],[FECHA]])</f>
        <v>2016-12</v>
      </c>
    </row>
    <row r="441" spans="1:4" x14ac:dyDescent="0.25">
      <c r="A441" t="s">
        <v>1557</v>
      </c>
      <c r="B441">
        <v>4</v>
      </c>
      <c r="C441" s="55">
        <v>42736</v>
      </c>
      <c r="D441" s="3" t="str">
        <f>YEAR(Datos_Consumo[[#This Row],[FECHA]])&amp;"-"&amp;MONTH(Datos_Consumo[[#This Row],[FECHA]])</f>
        <v>2017-1</v>
      </c>
    </row>
    <row r="442" spans="1:4" x14ac:dyDescent="0.25">
      <c r="A442" t="s">
        <v>1558</v>
      </c>
      <c r="B442">
        <v>1</v>
      </c>
      <c r="C442" s="55">
        <v>42675</v>
      </c>
      <c r="D442" s="3" t="str">
        <f>YEAR(Datos_Consumo[[#This Row],[FECHA]])&amp;"-"&amp;MONTH(Datos_Consumo[[#This Row],[FECHA]])</f>
        <v>2016-11</v>
      </c>
    </row>
    <row r="443" spans="1:4" x14ac:dyDescent="0.25">
      <c r="A443" t="s">
        <v>1559</v>
      </c>
      <c r="B443">
        <v>1</v>
      </c>
      <c r="C443" s="55">
        <v>42675</v>
      </c>
      <c r="D443" s="3" t="str">
        <f>YEAR(Datos_Consumo[[#This Row],[FECHA]])&amp;"-"&amp;MONTH(Datos_Consumo[[#This Row],[FECHA]])</f>
        <v>2016-11</v>
      </c>
    </row>
    <row r="444" spans="1:4" x14ac:dyDescent="0.25">
      <c r="A444" t="s">
        <v>1560</v>
      </c>
      <c r="B444">
        <v>1</v>
      </c>
      <c r="C444" s="55">
        <v>42675</v>
      </c>
      <c r="D444" s="3" t="str">
        <f>YEAR(Datos_Consumo[[#This Row],[FECHA]])&amp;"-"&amp;MONTH(Datos_Consumo[[#This Row],[FECHA]])</f>
        <v>2016-11</v>
      </c>
    </row>
    <row r="445" spans="1:4" x14ac:dyDescent="0.25">
      <c r="A445" t="s">
        <v>1561</v>
      </c>
      <c r="B445">
        <v>1</v>
      </c>
      <c r="C445" s="55">
        <v>42675</v>
      </c>
      <c r="D445" s="3" t="str">
        <f>YEAR(Datos_Consumo[[#This Row],[FECHA]])&amp;"-"&amp;MONTH(Datos_Consumo[[#This Row],[FECHA]])</f>
        <v>2016-11</v>
      </c>
    </row>
    <row r="446" spans="1:4" x14ac:dyDescent="0.25">
      <c r="A446" t="s">
        <v>1640</v>
      </c>
      <c r="B446">
        <v>1</v>
      </c>
      <c r="C446" s="55">
        <v>42705</v>
      </c>
      <c r="D446" s="3" t="str">
        <f>YEAR(Datos_Consumo[[#This Row],[FECHA]])&amp;"-"&amp;MONTH(Datos_Consumo[[#This Row],[FECHA]])</f>
        <v>2016-12</v>
      </c>
    </row>
    <row r="447" spans="1:4" x14ac:dyDescent="0.25">
      <c r="A447" t="s">
        <v>1641</v>
      </c>
      <c r="B447">
        <v>1</v>
      </c>
      <c r="C447" s="55">
        <v>42705</v>
      </c>
      <c r="D447" s="3" t="str">
        <f>YEAR(Datos_Consumo[[#This Row],[FECHA]])&amp;"-"&amp;MONTH(Datos_Consumo[[#This Row],[FECHA]])</f>
        <v>2016-12</v>
      </c>
    </row>
    <row r="448" spans="1:4" x14ac:dyDescent="0.25">
      <c r="A448" t="s">
        <v>1642</v>
      </c>
      <c r="B448">
        <v>1</v>
      </c>
      <c r="C448" s="55">
        <v>42675</v>
      </c>
      <c r="D448" s="3" t="str">
        <f>YEAR(Datos_Consumo[[#This Row],[FECHA]])&amp;"-"&amp;MONTH(Datos_Consumo[[#This Row],[FECHA]])</f>
        <v>2016-11</v>
      </c>
    </row>
    <row r="449" spans="1:4" x14ac:dyDescent="0.25">
      <c r="A449" t="s">
        <v>1642</v>
      </c>
      <c r="B449">
        <v>1</v>
      </c>
      <c r="C449" s="55">
        <v>42705</v>
      </c>
      <c r="D449" s="3" t="str">
        <f>YEAR(Datos_Consumo[[#This Row],[FECHA]])&amp;"-"&amp;MONTH(Datos_Consumo[[#This Row],[FECHA]])</f>
        <v>2016-12</v>
      </c>
    </row>
    <row r="450" spans="1:4" x14ac:dyDescent="0.25">
      <c r="A450" t="s">
        <v>1643</v>
      </c>
      <c r="B450">
        <v>1</v>
      </c>
      <c r="C450" s="55">
        <v>42675</v>
      </c>
      <c r="D450" s="3" t="str">
        <f>YEAR(Datos_Consumo[[#This Row],[FECHA]])&amp;"-"&amp;MONTH(Datos_Consumo[[#This Row],[FECHA]])</f>
        <v>2016-11</v>
      </c>
    </row>
    <row r="451" spans="1:4" x14ac:dyDescent="0.25">
      <c r="A451" t="s">
        <v>1644</v>
      </c>
      <c r="B451">
        <v>1</v>
      </c>
      <c r="C451" s="55">
        <v>42736</v>
      </c>
      <c r="D451" s="3" t="str">
        <f>YEAR(Datos_Consumo[[#This Row],[FECHA]])&amp;"-"&amp;MONTH(Datos_Consumo[[#This Row],[FECHA]])</f>
        <v>2017-1</v>
      </c>
    </row>
    <row r="452" spans="1:4" x14ac:dyDescent="0.25">
      <c r="A452" t="s">
        <v>1645</v>
      </c>
      <c r="B452">
        <v>2</v>
      </c>
      <c r="C452" s="55">
        <v>42675</v>
      </c>
      <c r="D452" s="3" t="str">
        <f>YEAR(Datos_Consumo[[#This Row],[FECHA]])&amp;"-"&amp;MONTH(Datos_Consumo[[#This Row],[FECHA]])</f>
        <v>2016-11</v>
      </c>
    </row>
    <row r="453" spans="1:4" x14ac:dyDescent="0.25">
      <c r="A453" t="s">
        <v>1562</v>
      </c>
      <c r="B453">
        <v>1</v>
      </c>
      <c r="C453" s="55">
        <v>42675</v>
      </c>
      <c r="D453" s="3" t="str">
        <f>YEAR(Datos_Consumo[[#This Row],[FECHA]])&amp;"-"&amp;MONTH(Datos_Consumo[[#This Row],[FECHA]])</f>
        <v>2016-11</v>
      </c>
    </row>
    <row r="454" spans="1:4" x14ac:dyDescent="0.25">
      <c r="A454" t="s">
        <v>1563</v>
      </c>
      <c r="B454">
        <v>3</v>
      </c>
      <c r="C454" s="55">
        <v>42675</v>
      </c>
      <c r="D454" s="3" t="str">
        <f>YEAR(Datos_Consumo[[#This Row],[FECHA]])&amp;"-"&amp;MONTH(Datos_Consumo[[#This Row],[FECHA]])</f>
        <v>2016-11</v>
      </c>
    </row>
    <row r="455" spans="1:4" x14ac:dyDescent="0.25">
      <c r="A455" t="s">
        <v>1563</v>
      </c>
      <c r="B455">
        <v>2</v>
      </c>
      <c r="C455" s="55">
        <v>42705</v>
      </c>
      <c r="D455" s="3" t="str">
        <f>YEAR(Datos_Consumo[[#This Row],[FECHA]])&amp;"-"&amp;MONTH(Datos_Consumo[[#This Row],[FECHA]])</f>
        <v>2016-12</v>
      </c>
    </row>
    <row r="456" spans="1:4" x14ac:dyDescent="0.25">
      <c r="A456" t="s">
        <v>1563</v>
      </c>
      <c r="B456">
        <v>4</v>
      </c>
      <c r="C456" s="55">
        <v>42736</v>
      </c>
      <c r="D456" s="3" t="str">
        <f>YEAR(Datos_Consumo[[#This Row],[FECHA]])&amp;"-"&amp;MONTH(Datos_Consumo[[#This Row],[FECHA]])</f>
        <v>2017-1</v>
      </c>
    </row>
    <row r="457" spans="1:4" x14ac:dyDescent="0.25">
      <c r="A457" t="s">
        <v>1564</v>
      </c>
      <c r="B457">
        <v>1</v>
      </c>
      <c r="C457" s="55">
        <v>42675</v>
      </c>
      <c r="D457" s="3" t="str">
        <f>YEAR(Datos_Consumo[[#This Row],[FECHA]])&amp;"-"&amp;MONTH(Datos_Consumo[[#This Row],[FECHA]])</f>
        <v>2016-11</v>
      </c>
    </row>
    <row r="458" spans="1:4" x14ac:dyDescent="0.25">
      <c r="A458" t="s">
        <v>1564</v>
      </c>
      <c r="B458">
        <v>4</v>
      </c>
      <c r="C458" s="55">
        <v>42705</v>
      </c>
      <c r="D458" s="3" t="str">
        <f>YEAR(Datos_Consumo[[#This Row],[FECHA]])&amp;"-"&amp;MONTH(Datos_Consumo[[#This Row],[FECHA]])</f>
        <v>2016-12</v>
      </c>
    </row>
    <row r="459" spans="1:4" x14ac:dyDescent="0.25">
      <c r="A459" t="s">
        <v>1646</v>
      </c>
      <c r="B459">
        <v>1</v>
      </c>
      <c r="C459" s="55">
        <v>42675</v>
      </c>
      <c r="D459" s="3" t="str">
        <f>YEAR(Datos_Consumo[[#This Row],[FECHA]])&amp;"-"&amp;MONTH(Datos_Consumo[[#This Row],[FECHA]])</f>
        <v>2016-11</v>
      </c>
    </row>
    <row r="460" spans="1:4" x14ac:dyDescent="0.25">
      <c r="A460" t="s">
        <v>1647</v>
      </c>
      <c r="B460">
        <v>1509</v>
      </c>
      <c r="C460" s="55">
        <v>42675</v>
      </c>
      <c r="D460" s="3" t="str">
        <f>YEAR(Datos_Consumo[[#This Row],[FECHA]])&amp;"-"&amp;MONTH(Datos_Consumo[[#This Row],[FECHA]])</f>
        <v>2016-11</v>
      </c>
    </row>
    <row r="461" spans="1:4" x14ac:dyDescent="0.25">
      <c r="A461" t="s">
        <v>1647</v>
      </c>
      <c r="B461">
        <v>2071</v>
      </c>
      <c r="C461" s="55">
        <v>42705</v>
      </c>
      <c r="D461" s="3" t="str">
        <f>YEAR(Datos_Consumo[[#This Row],[FECHA]])&amp;"-"&amp;MONTH(Datos_Consumo[[#This Row],[FECHA]])</f>
        <v>2016-12</v>
      </c>
    </row>
    <row r="462" spans="1:4" x14ac:dyDescent="0.25">
      <c r="A462" t="s">
        <v>1647</v>
      </c>
      <c r="B462">
        <v>2926</v>
      </c>
      <c r="C462" s="55">
        <v>42736</v>
      </c>
      <c r="D462" s="3" t="str">
        <f>YEAR(Datos_Consumo[[#This Row],[FECHA]])&amp;"-"&amp;MONTH(Datos_Consumo[[#This Row],[FECHA]])</f>
        <v>2017-1</v>
      </c>
    </row>
    <row r="463" spans="1:4" x14ac:dyDescent="0.25">
      <c r="A463" t="s">
        <v>1573</v>
      </c>
      <c r="B463">
        <v>3</v>
      </c>
      <c r="C463" s="55">
        <v>42675</v>
      </c>
      <c r="D463" s="3" t="str">
        <f>YEAR(Datos_Consumo[[#This Row],[FECHA]])&amp;"-"&amp;MONTH(Datos_Consumo[[#This Row],[FECHA]])</f>
        <v>2016-11</v>
      </c>
    </row>
    <row r="464" spans="1:4" x14ac:dyDescent="0.25">
      <c r="A464" t="s">
        <v>1573</v>
      </c>
      <c r="B464">
        <v>1</v>
      </c>
      <c r="C464" s="55">
        <v>42705</v>
      </c>
      <c r="D464" s="3" t="str">
        <f>YEAR(Datos_Consumo[[#This Row],[FECHA]])&amp;"-"&amp;MONTH(Datos_Consumo[[#This Row],[FECHA]])</f>
        <v>2016-12</v>
      </c>
    </row>
    <row r="465" spans="1:4" x14ac:dyDescent="0.25">
      <c r="A465" t="s">
        <v>1648</v>
      </c>
      <c r="B465">
        <v>8</v>
      </c>
      <c r="C465" s="55">
        <v>42675</v>
      </c>
      <c r="D465" s="3" t="str">
        <f>YEAR(Datos_Consumo[[#This Row],[FECHA]])&amp;"-"&amp;MONTH(Datos_Consumo[[#This Row],[FECHA]])</f>
        <v>2016-11</v>
      </c>
    </row>
    <row r="466" spans="1:4" x14ac:dyDescent="0.25">
      <c r="A466" t="s">
        <v>1648</v>
      </c>
      <c r="B466">
        <v>7</v>
      </c>
      <c r="C466" s="55">
        <v>42705</v>
      </c>
      <c r="D466" s="3" t="str">
        <f>YEAR(Datos_Consumo[[#This Row],[FECHA]])&amp;"-"&amp;MONTH(Datos_Consumo[[#This Row],[FECHA]])</f>
        <v>2016-12</v>
      </c>
    </row>
    <row r="467" spans="1:4" x14ac:dyDescent="0.25">
      <c r="A467" t="s">
        <v>1648</v>
      </c>
      <c r="B467">
        <v>9</v>
      </c>
      <c r="C467" s="55">
        <v>42736</v>
      </c>
      <c r="D467" s="3" t="str">
        <f>YEAR(Datos_Consumo[[#This Row],[FECHA]])&amp;"-"&amp;MONTH(Datos_Consumo[[#This Row],[FECHA]])</f>
        <v>2017-1</v>
      </c>
    </row>
    <row r="468" spans="1:4" x14ac:dyDescent="0.25">
      <c r="A468" t="s">
        <v>1649</v>
      </c>
      <c r="B468">
        <v>9</v>
      </c>
      <c r="C468" s="55">
        <v>42675</v>
      </c>
      <c r="D468" s="3" t="str">
        <f>YEAR(Datos_Consumo[[#This Row],[FECHA]])&amp;"-"&amp;MONTH(Datos_Consumo[[#This Row],[FECHA]])</f>
        <v>2016-11</v>
      </c>
    </row>
    <row r="469" spans="1:4" x14ac:dyDescent="0.25">
      <c r="A469" t="s">
        <v>1574</v>
      </c>
      <c r="B469">
        <v>11</v>
      </c>
      <c r="C469" s="55">
        <v>42675</v>
      </c>
      <c r="D469" s="3" t="str">
        <f>YEAR(Datos_Consumo[[#This Row],[FECHA]])&amp;"-"&amp;MONTH(Datos_Consumo[[#This Row],[FECHA]])</f>
        <v>2016-11</v>
      </c>
    </row>
    <row r="470" spans="1:4" x14ac:dyDescent="0.25">
      <c r="A470" t="s">
        <v>1574</v>
      </c>
      <c r="B470">
        <v>10</v>
      </c>
      <c r="C470" s="55">
        <v>42705</v>
      </c>
      <c r="D470" s="3" t="str">
        <f>YEAR(Datos_Consumo[[#This Row],[FECHA]])&amp;"-"&amp;MONTH(Datos_Consumo[[#This Row],[FECHA]])</f>
        <v>2016-12</v>
      </c>
    </row>
    <row r="471" spans="1:4" x14ac:dyDescent="0.25">
      <c r="A471" t="s">
        <v>1574</v>
      </c>
      <c r="B471">
        <v>9</v>
      </c>
      <c r="C471" s="55">
        <v>42736</v>
      </c>
      <c r="D471" s="3" t="str">
        <f>YEAR(Datos_Consumo[[#This Row],[FECHA]])&amp;"-"&amp;MONTH(Datos_Consumo[[#This Row],[FECHA]])</f>
        <v>2017-1</v>
      </c>
    </row>
    <row r="472" spans="1:4" x14ac:dyDescent="0.25">
      <c r="A472" t="s">
        <v>1650</v>
      </c>
      <c r="B472">
        <v>1</v>
      </c>
      <c r="C472" s="55">
        <v>42675</v>
      </c>
      <c r="D472" s="3" t="str">
        <f>YEAR(Datos_Consumo[[#This Row],[FECHA]])&amp;"-"&amp;MONTH(Datos_Consumo[[#This Row],[FECHA]])</f>
        <v>2016-11</v>
      </c>
    </row>
    <row r="473" spans="1:4" x14ac:dyDescent="0.25">
      <c r="A473" t="s">
        <v>1651</v>
      </c>
      <c r="B473">
        <v>10</v>
      </c>
      <c r="C473" s="55">
        <v>42705</v>
      </c>
      <c r="D473" s="3" t="str">
        <f>YEAR(Datos_Consumo[[#This Row],[FECHA]])&amp;"-"&amp;MONTH(Datos_Consumo[[#This Row],[FECHA]])</f>
        <v>2016-12</v>
      </c>
    </row>
    <row r="474" spans="1:4" x14ac:dyDescent="0.25">
      <c r="A474" t="s">
        <v>1393</v>
      </c>
      <c r="B474">
        <v>3070</v>
      </c>
      <c r="C474" s="55">
        <v>42675</v>
      </c>
      <c r="D474" s="3" t="str">
        <f>YEAR(Datos_Consumo[[#This Row],[FECHA]])&amp;"-"&amp;MONTH(Datos_Consumo[[#This Row],[FECHA]])</f>
        <v>2016-11</v>
      </c>
    </row>
    <row r="475" spans="1:4" x14ac:dyDescent="0.25">
      <c r="A475" t="s">
        <v>1393</v>
      </c>
      <c r="B475">
        <v>2985</v>
      </c>
      <c r="C475" s="55">
        <v>42705</v>
      </c>
      <c r="D475" s="3" t="str">
        <f>YEAR(Datos_Consumo[[#This Row],[FECHA]])&amp;"-"&amp;MONTH(Datos_Consumo[[#This Row],[FECHA]])</f>
        <v>2016-12</v>
      </c>
    </row>
    <row r="476" spans="1:4" x14ac:dyDescent="0.25">
      <c r="A476" t="s">
        <v>1393</v>
      </c>
      <c r="B476">
        <v>1317</v>
      </c>
      <c r="C476" s="55">
        <v>42736</v>
      </c>
      <c r="D476" s="3" t="str">
        <f>YEAR(Datos_Consumo[[#This Row],[FECHA]])&amp;"-"&amp;MONTH(Datos_Consumo[[#This Row],[FECHA]])</f>
        <v>2017-1</v>
      </c>
    </row>
    <row r="477" spans="1:4" x14ac:dyDescent="0.25">
      <c r="A477" t="s">
        <v>1394</v>
      </c>
      <c r="B477">
        <v>4898</v>
      </c>
      <c r="C477" s="55">
        <v>42675</v>
      </c>
      <c r="D477" s="3" t="str">
        <f>YEAR(Datos_Consumo[[#This Row],[FECHA]])&amp;"-"&amp;MONTH(Datos_Consumo[[#This Row],[FECHA]])</f>
        <v>2016-11</v>
      </c>
    </row>
    <row r="478" spans="1:4" x14ac:dyDescent="0.25">
      <c r="A478" t="s">
        <v>1394</v>
      </c>
      <c r="B478">
        <v>4791</v>
      </c>
      <c r="C478" s="55">
        <v>42705</v>
      </c>
      <c r="D478" s="3" t="str">
        <f>YEAR(Datos_Consumo[[#This Row],[FECHA]])&amp;"-"&amp;MONTH(Datos_Consumo[[#This Row],[FECHA]])</f>
        <v>2016-12</v>
      </c>
    </row>
    <row r="479" spans="1:4" x14ac:dyDescent="0.25">
      <c r="A479" t="s">
        <v>1394</v>
      </c>
      <c r="B479">
        <v>2126</v>
      </c>
      <c r="C479" s="55">
        <v>42736</v>
      </c>
      <c r="D479" s="3" t="str">
        <f>YEAR(Datos_Consumo[[#This Row],[FECHA]])&amp;"-"&amp;MONTH(Datos_Consumo[[#This Row],[FECHA]])</f>
        <v>2017-1</v>
      </c>
    </row>
    <row r="480" spans="1:4" x14ac:dyDescent="0.25">
      <c r="A480" t="s">
        <v>1394</v>
      </c>
      <c r="B480">
        <v>258</v>
      </c>
      <c r="C480" s="55">
        <v>42767</v>
      </c>
      <c r="D480" s="3" t="str">
        <f>YEAR(Datos_Consumo[[#This Row],[FECHA]])&amp;"-"&amp;MONTH(Datos_Consumo[[#This Row],[FECHA]])</f>
        <v>2017-2</v>
      </c>
    </row>
    <row r="481" spans="1:4" x14ac:dyDescent="0.25">
      <c r="A481" t="s">
        <v>1395</v>
      </c>
      <c r="B481">
        <v>2270</v>
      </c>
      <c r="C481" s="55">
        <v>42675</v>
      </c>
      <c r="D481" s="3" t="str">
        <f>YEAR(Datos_Consumo[[#This Row],[FECHA]])&amp;"-"&amp;MONTH(Datos_Consumo[[#This Row],[FECHA]])</f>
        <v>2016-11</v>
      </c>
    </row>
    <row r="482" spans="1:4" x14ac:dyDescent="0.25">
      <c r="A482" t="s">
        <v>1395</v>
      </c>
      <c r="B482">
        <v>3170</v>
      </c>
      <c r="C482" s="55">
        <v>42705</v>
      </c>
      <c r="D482" s="3" t="str">
        <f>YEAR(Datos_Consumo[[#This Row],[FECHA]])&amp;"-"&amp;MONTH(Datos_Consumo[[#This Row],[FECHA]])</f>
        <v>2016-12</v>
      </c>
    </row>
    <row r="483" spans="1:4" x14ac:dyDescent="0.25">
      <c r="A483" t="s">
        <v>1395</v>
      </c>
      <c r="B483">
        <v>740</v>
      </c>
      <c r="C483" s="55">
        <v>42736</v>
      </c>
      <c r="D483" s="3" t="str">
        <f>YEAR(Datos_Consumo[[#This Row],[FECHA]])&amp;"-"&amp;MONTH(Datos_Consumo[[#This Row],[FECHA]])</f>
        <v>2017-1</v>
      </c>
    </row>
    <row r="484" spans="1:4" x14ac:dyDescent="0.25">
      <c r="A484" t="s">
        <v>1652</v>
      </c>
      <c r="B484">
        <v>10</v>
      </c>
      <c r="C484" s="55">
        <v>42675</v>
      </c>
      <c r="D484" s="3" t="str">
        <f>YEAR(Datos_Consumo[[#This Row],[FECHA]])&amp;"-"&amp;MONTH(Datos_Consumo[[#This Row],[FECHA]])</f>
        <v>2016-11</v>
      </c>
    </row>
    <row r="485" spans="1:4" x14ac:dyDescent="0.25">
      <c r="A485" t="s">
        <v>1653</v>
      </c>
      <c r="B485">
        <v>91</v>
      </c>
      <c r="C485" s="55">
        <v>42675</v>
      </c>
      <c r="D485" s="3" t="str">
        <f>YEAR(Datos_Consumo[[#This Row],[FECHA]])&amp;"-"&amp;MONTH(Datos_Consumo[[#This Row],[FECHA]])</f>
        <v>2016-11</v>
      </c>
    </row>
    <row r="486" spans="1:4" x14ac:dyDescent="0.25">
      <c r="A486" t="s">
        <v>1653</v>
      </c>
      <c r="B486">
        <v>20</v>
      </c>
      <c r="C486" s="55">
        <v>42705</v>
      </c>
      <c r="D486" s="3" t="str">
        <f>YEAR(Datos_Consumo[[#This Row],[FECHA]])&amp;"-"&amp;MONTH(Datos_Consumo[[#This Row],[FECHA]])</f>
        <v>2016-12</v>
      </c>
    </row>
    <row r="487" spans="1:4" x14ac:dyDescent="0.25">
      <c r="A487" t="s">
        <v>1653</v>
      </c>
      <c r="B487">
        <v>4</v>
      </c>
      <c r="C487" s="55">
        <v>42736</v>
      </c>
      <c r="D487" s="3" t="str">
        <f>YEAR(Datos_Consumo[[#This Row],[FECHA]])&amp;"-"&amp;MONTH(Datos_Consumo[[#This Row],[FECHA]])</f>
        <v>2017-1</v>
      </c>
    </row>
    <row r="488" spans="1:4" x14ac:dyDescent="0.25">
      <c r="A488" t="s">
        <v>1575</v>
      </c>
      <c r="B488">
        <v>34</v>
      </c>
      <c r="C488" s="55">
        <v>42736</v>
      </c>
      <c r="D488" s="3" t="str">
        <f>YEAR(Datos_Consumo[[#This Row],[FECHA]])&amp;"-"&amp;MONTH(Datos_Consumo[[#This Row],[FECHA]])</f>
        <v>2017-1</v>
      </c>
    </row>
    <row r="489" spans="1:4" x14ac:dyDescent="0.25">
      <c r="A489" t="s">
        <v>1654</v>
      </c>
      <c r="B489">
        <v>10</v>
      </c>
      <c r="C489" s="55">
        <v>42705</v>
      </c>
      <c r="D489" s="3" t="str">
        <f>YEAR(Datos_Consumo[[#This Row],[FECHA]])&amp;"-"&amp;MONTH(Datos_Consumo[[#This Row],[FECHA]])</f>
        <v>2016-12</v>
      </c>
    </row>
    <row r="490" spans="1:4" x14ac:dyDescent="0.25">
      <c r="A490" t="s">
        <v>1654</v>
      </c>
      <c r="B490">
        <v>10</v>
      </c>
      <c r="C490" s="55">
        <v>42736</v>
      </c>
      <c r="D490" s="3" t="str">
        <f>YEAR(Datos_Consumo[[#This Row],[FECHA]])&amp;"-"&amp;MONTH(Datos_Consumo[[#This Row],[FECHA]])</f>
        <v>2017-1</v>
      </c>
    </row>
    <row r="491" spans="1:4" x14ac:dyDescent="0.25">
      <c r="A491" t="s">
        <v>1655</v>
      </c>
      <c r="B491">
        <v>30</v>
      </c>
      <c r="C491" s="55">
        <v>42736</v>
      </c>
      <c r="D491" s="3" t="str">
        <f>YEAR(Datos_Consumo[[#This Row],[FECHA]])&amp;"-"&amp;MONTH(Datos_Consumo[[#This Row],[FECHA]])</f>
        <v>2017-1</v>
      </c>
    </row>
    <row r="492" spans="1:4" x14ac:dyDescent="0.25">
      <c r="A492" t="s">
        <v>1565</v>
      </c>
      <c r="B492">
        <v>10</v>
      </c>
      <c r="C492" s="55">
        <v>42675</v>
      </c>
      <c r="D492" s="3" t="str">
        <f>YEAR(Datos_Consumo[[#This Row],[FECHA]])&amp;"-"&amp;MONTH(Datos_Consumo[[#This Row],[FECHA]])</f>
        <v>2016-11</v>
      </c>
    </row>
    <row r="493" spans="1:4" x14ac:dyDescent="0.25">
      <c r="A493" t="s">
        <v>1565</v>
      </c>
      <c r="B493">
        <v>12</v>
      </c>
      <c r="C493" s="55">
        <v>42705</v>
      </c>
      <c r="D493" s="3" t="str">
        <f>YEAR(Datos_Consumo[[#This Row],[FECHA]])&amp;"-"&amp;MONTH(Datos_Consumo[[#This Row],[FECHA]])</f>
        <v>2016-12</v>
      </c>
    </row>
    <row r="494" spans="1:4" x14ac:dyDescent="0.25">
      <c r="A494" t="s">
        <v>1396</v>
      </c>
      <c r="B494">
        <v>713</v>
      </c>
      <c r="C494" s="55">
        <v>42675</v>
      </c>
      <c r="D494" s="3" t="str">
        <f>YEAR(Datos_Consumo[[#This Row],[FECHA]])&amp;"-"&amp;MONTH(Datos_Consumo[[#This Row],[FECHA]])</f>
        <v>2016-11</v>
      </c>
    </row>
    <row r="495" spans="1:4" x14ac:dyDescent="0.25">
      <c r="A495" t="s">
        <v>1396</v>
      </c>
      <c r="B495">
        <v>352</v>
      </c>
      <c r="C495" s="55">
        <v>42705</v>
      </c>
      <c r="D495" s="3" t="str">
        <f>YEAR(Datos_Consumo[[#This Row],[FECHA]])&amp;"-"&amp;MONTH(Datos_Consumo[[#This Row],[FECHA]])</f>
        <v>2016-12</v>
      </c>
    </row>
    <row r="496" spans="1:4" x14ac:dyDescent="0.25">
      <c r="A496" t="s">
        <v>1396</v>
      </c>
      <c r="B496">
        <v>502</v>
      </c>
      <c r="C496" s="55">
        <v>42736</v>
      </c>
      <c r="D496" s="3" t="str">
        <f>YEAR(Datos_Consumo[[#This Row],[FECHA]])&amp;"-"&amp;MONTH(Datos_Consumo[[#This Row],[FECHA]])</f>
        <v>2017-1</v>
      </c>
    </row>
    <row r="497" spans="1:4" x14ac:dyDescent="0.25">
      <c r="A497" t="s">
        <v>1397</v>
      </c>
      <c r="B497">
        <v>1594</v>
      </c>
      <c r="C497" s="55">
        <v>42675</v>
      </c>
      <c r="D497" s="3" t="str">
        <f>YEAR(Datos_Consumo[[#This Row],[FECHA]])&amp;"-"&amp;MONTH(Datos_Consumo[[#This Row],[FECHA]])</f>
        <v>2016-11</v>
      </c>
    </row>
    <row r="498" spans="1:4" x14ac:dyDescent="0.25">
      <c r="A498" t="s">
        <v>1397</v>
      </c>
      <c r="B498">
        <v>5238</v>
      </c>
      <c r="C498" s="55">
        <v>42705</v>
      </c>
      <c r="D498" s="3" t="str">
        <f>YEAR(Datos_Consumo[[#This Row],[FECHA]])&amp;"-"&amp;MONTH(Datos_Consumo[[#This Row],[FECHA]])</f>
        <v>2016-12</v>
      </c>
    </row>
    <row r="499" spans="1:4" x14ac:dyDescent="0.25">
      <c r="A499" t="s">
        <v>1397</v>
      </c>
      <c r="B499">
        <v>710</v>
      </c>
      <c r="C499" s="55">
        <v>42736</v>
      </c>
      <c r="D499" s="3" t="str">
        <f>YEAR(Datos_Consumo[[#This Row],[FECHA]])&amp;"-"&amp;MONTH(Datos_Consumo[[#This Row],[FECHA]])</f>
        <v>2017-1</v>
      </c>
    </row>
    <row r="500" spans="1:4" x14ac:dyDescent="0.25">
      <c r="A500" t="s">
        <v>1398</v>
      </c>
      <c r="B500">
        <v>30</v>
      </c>
      <c r="C500" s="55">
        <v>42675</v>
      </c>
      <c r="D500" s="3" t="str">
        <f>YEAR(Datos_Consumo[[#This Row],[FECHA]])&amp;"-"&amp;MONTH(Datos_Consumo[[#This Row],[FECHA]])</f>
        <v>2016-11</v>
      </c>
    </row>
    <row r="501" spans="1:4" x14ac:dyDescent="0.25">
      <c r="A501" t="s">
        <v>1398</v>
      </c>
      <c r="B501">
        <v>20</v>
      </c>
      <c r="C501" s="55">
        <v>42736</v>
      </c>
      <c r="D501" s="3" t="str">
        <f>YEAR(Datos_Consumo[[#This Row],[FECHA]])&amp;"-"&amp;MONTH(Datos_Consumo[[#This Row],[FECHA]])</f>
        <v>2017-1</v>
      </c>
    </row>
    <row r="502" spans="1:4" x14ac:dyDescent="0.25">
      <c r="A502" t="s">
        <v>1656</v>
      </c>
      <c r="B502">
        <v>20</v>
      </c>
      <c r="C502" s="55">
        <v>42675</v>
      </c>
      <c r="D502" s="3" t="str">
        <f>YEAR(Datos_Consumo[[#This Row],[FECHA]])&amp;"-"&amp;MONTH(Datos_Consumo[[#This Row],[FECHA]])</f>
        <v>2016-11</v>
      </c>
    </row>
    <row r="503" spans="1:4" x14ac:dyDescent="0.25">
      <c r="A503" t="s">
        <v>1656</v>
      </c>
      <c r="B503">
        <v>20</v>
      </c>
      <c r="C503" s="55">
        <v>42705</v>
      </c>
      <c r="D503" s="3" t="str">
        <f>YEAR(Datos_Consumo[[#This Row],[FECHA]])&amp;"-"&amp;MONTH(Datos_Consumo[[#This Row],[FECHA]])</f>
        <v>2016-12</v>
      </c>
    </row>
    <row r="504" spans="1:4" x14ac:dyDescent="0.25">
      <c r="A504" t="s">
        <v>1656</v>
      </c>
      <c r="B504">
        <v>20</v>
      </c>
      <c r="C504" s="55">
        <v>42736</v>
      </c>
      <c r="D504" s="3" t="str">
        <f>YEAR(Datos_Consumo[[#This Row],[FECHA]])&amp;"-"&amp;MONTH(Datos_Consumo[[#This Row],[FECHA]])</f>
        <v>2017-1</v>
      </c>
    </row>
    <row r="505" spans="1:4" x14ac:dyDescent="0.25">
      <c r="A505" t="s">
        <v>1657</v>
      </c>
      <c r="B505">
        <v>10</v>
      </c>
      <c r="C505" s="55">
        <v>42705</v>
      </c>
      <c r="D505" s="3" t="str">
        <f>YEAR(Datos_Consumo[[#This Row],[FECHA]])&amp;"-"&amp;MONTH(Datos_Consumo[[#This Row],[FECHA]])</f>
        <v>2016-12</v>
      </c>
    </row>
    <row r="506" spans="1:4" x14ac:dyDescent="0.25">
      <c r="A506" t="s">
        <v>1657</v>
      </c>
      <c r="B506">
        <v>20</v>
      </c>
      <c r="C506" s="55">
        <v>42736</v>
      </c>
      <c r="D506" s="3" t="str">
        <f>YEAR(Datos_Consumo[[#This Row],[FECHA]])&amp;"-"&amp;MONTH(Datos_Consumo[[#This Row],[FECHA]])</f>
        <v>2017-1</v>
      </c>
    </row>
    <row r="507" spans="1:4" x14ac:dyDescent="0.25">
      <c r="A507" t="s">
        <v>1576</v>
      </c>
      <c r="B507">
        <v>2</v>
      </c>
      <c r="C507" s="55">
        <v>42675</v>
      </c>
      <c r="D507" s="3" t="str">
        <f>YEAR(Datos_Consumo[[#This Row],[FECHA]])&amp;"-"&amp;MONTH(Datos_Consumo[[#This Row],[FECHA]])</f>
        <v>2016-11</v>
      </c>
    </row>
    <row r="508" spans="1:4" x14ac:dyDescent="0.25">
      <c r="A508" t="s">
        <v>1576</v>
      </c>
      <c r="B508">
        <v>3</v>
      </c>
      <c r="C508" s="55">
        <v>42705</v>
      </c>
      <c r="D508" s="3" t="str">
        <f>YEAR(Datos_Consumo[[#This Row],[FECHA]])&amp;"-"&amp;MONTH(Datos_Consumo[[#This Row],[FECHA]])</f>
        <v>2016-12</v>
      </c>
    </row>
    <row r="509" spans="1:4" x14ac:dyDescent="0.25">
      <c r="A509" t="s">
        <v>1658</v>
      </c>
      <c r="B509">
        <v>1</v>
      </c>
      <c r="C509" s="55">
        <v>42675</v>
      </c>
      <c r="D509" s="3" t="str">
        <f>YEAR(Datos_Consumo[[#This Row],[FECHA]])&amp;"-"&amp;MONTH(Datos_Consumo[[#This Row],[FECHA]])</f>
        <v>2016-11</v>
      </c>
    </row>
    <row r="510" spans="1:4" x14ac:dyDescent="0.25">
      <c r="A510" t="s">
        <v>1659</v>
      </c>
      <c r="B510">
        <v>2</v>
      </c>
      <c r="C510" s="55">
        <v>42675</v>
      </c>
      <c r="D510" s="3" t="str">
        <f>YEAR(Datos_Consumo[[#This Row],[FECHA]])&amp;"-"&amp;MONTH(Datos_Consumo[[#This Row],[FECHA]])</f>
        <v>2016-11</v>
      </c>
    </row>
    <row r="511" spans="1:4" x14ac:dyDescent="0.25">
      <c r="A511" t="s">
        <v>1660</v>
      </c>
      <c r="B511">
        <v>10</v>
      </c>
      <c r="C511" s="55">
        <v>42736</v>
      </c>
      <c r="D511" s="3" t="str">
        <f>YEAR(Datos_Consumo[[#This Row],[FECHA]])&amp;"-"&amp;MONTH(Datos_Consumo[[#This Row],[FECHA]])</f>
        <v>2017-1</v>
      </c>
    </row>
    <row r="512" spans="1:4" x14ac:dyDescent="0.25">
      <c r="A512" t="s">
        <v>1661</v>
      </c>
      <c r="B512">
        <v>15</v>
      </c>
      <c r="C512" s="55">
        <v>42675</v>
      </c>
      <c r="D512" s="3" t="str">
        <f>YEAR(Datos_Consumo[[#This Row],[FECHA]])&amp;"-"&amp;MONTH(Datos_Consumo[[#This Row],[FECHA]])</f>
        <v>2016-11</v>
      </c>
    </row>
    <row r="513" spans="1:4" x14ac:dyDescent="0.25">
      <c r="A513" t="s">
        <v>1661</v>
      </c>
      <c r="B513">
        <v>59</v>
      </c>
      <c r="C513" s="55">
        <v>42705</v>
      </c>
      <c r="D513" s="3" t="str">
        <f>YEAR(Datos_Consumo[[#This Row],[FECHA]])&amp;"-"&amp;MONTH(Datos_Consumo[[#This Row],[FECHA]])</f>
        <v>2016-12</v>
      </c>
    </row>
    <row r="514" spans="1:4" x14ac:dyDescent="0.25">
      <c r="A514" t="s">
        <v>1661</v>
      </c>
      <c r="B514">
        <v>26</v>
      </c>
      <c r="C514" s="55">
        <v>42736</v>
      </c>
      <c r="D514" s="3" t="str">
        <f>YEAR(Datos_Consumo[[#This Row],[FECHA]])&amp;"-"&amp;MONTH(Datos_Consumo[[#This Row],[FECHA]])</f>
        <v>2017-1</v>
      </c>
    </row>
    <row r="515" spans="1:4" x14ac:dyDescent="0.25">
      <c r="A515" t="s">
        <v>1662</v>
      </c>
      <c r="B515">
        <v>90</v>
      </c>
      <c r="C515" s="55">
        <v>42675</v>
      </c>
      <c r="D515" s="3" t="str">
        <f>YEAR(Datos_Consumo[[#This Row],[FECHA]])&amp;"-"&amp;MONTH(Datos_Consumo[[#This Row],[FECHA]])</f>
        <v>2016-11</v>
      </c>
    </row>
    <row r="516" spans="1:4" x14ac:dyDescent="0.25">
      <c r="A516" t="s">
        <v>1662</v>
      </c>
      <c r="B516">
        <v>83</v>
      </c>
      <c r="C516" s="55">
        <v>42705</v>
      </c>
      <c r="D516" s="3" t="str">
        <f>YEAR(Datos_Consumo[[#This Row],[FECHA]])&amp;"-"&amp;MONTH(Datos_Consumo[[#This Row],[FECHA]])</f>
        <v>2016-12</v>
      </c>
    </row>
    <row r="517" spans="1:4" x14ac:dyDescent="0.25">
      <c r="A517" t="s">
        <v>1662</v>
      </c>
      <c r="B517">
        <v>36</v>
      </c>
      <c r="C517" s="55">
        <v>42736</v>
      </c>
      <c r="D517" s="3" t="str">
        <f>YEAR(Datos_Consumo[[#This Row],[FECHA]])&amp;"-"&amp;MONTH(Datos_Consumo[[#This Row],[FECHA]])</f>
        <v>2017-1</v>
      </c>
    </row>
    <row r="518" spans="1:4" x14ac:dyDescent="0.25">
      <c r="A518" t="s">
        <v>1663</v>
      </c>
      <c r="B518">
        <v>1</v>
      </c>
      <c r="C518" s="55">
        <v>42675</v>
      </c>
      <c r="D518" s="3" t="str">
        <f>YEAR(Datos_Consumo[[#This Row],[FECHA]])&amp;"-"&amp;MONTH(Datos_Consumo[[#This Row],[FECHA]])</f>
        <v>2016-11</v>
      </c>
    </row>
  </sheetData>
  <pageMargins left="0.7" right="0.7" top="0.75" bottom="0.75" header="0.3" footer="0.3"/>
  <pageSetup orientation="portrait" r:id="rId1"/>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17</vt:i4>
      </vt:variant>
      <vt:variant>
        <vt:lpstr>Rangos con nombre</vt:lpstr>
      </vt:variant>
      <vt:variant>
        <vt:i4>30</vt:i4>
      </vt:variant>
    </vt:vector>
  </HeadingPairs>
  <TitlesOfParts>
    <vt:vector size="47" baseType="lpstr">
      <vt:lpstr>TRANSFERENCIA</vt:lpstr>
      <vt:lpstr>AUX</vt:lpstr>
      <vt:lpstr>Form</vt:lpstr>
      <vt:lpstr>PATH</vt:lpstr>
      <vt:lpstr>DATOS</vt:lpstr>
      <vt:lpstr>REPETIDO</vt:lpstr>
      <vt:lpstr>USER</vt:lpstr>
      <vt:lpstr>CUBICAJE</vt:lpstr>
      <vt:lpstr>RECETAS</vt:lpstr>
      <vt:lpstr>ASIGNACION</vt:lpstr>
      <vt:lpstr>MPyPT</vt:lpstr>
      <vt:lpstr>Causas</vt:lpstr>
      <vt:lpstr>IMPRESION</vt:lpstr>
      <vt:lpstr>CriteriosFiltros</vt:lpstr>
      <vt:lpstr>CONSOLIDADOS</vt:lpstr>
      <vt:lpstr>v_buffer_hist_hoy</vt:lpstr>
      <vt:lpstr>CONSUMO</vt:lpstr>
      <vt:lpstr>CODTRANSFERENCIA</vt:lpstr>
      <vt:lpstr>DESTINO</vt:lpstr>
      <vt:lpstr>EMPRESA</vt:lpstr>
      <vt:lpstr>error1</vt:lpstr>
      <vt:lpstr>error2</vt:lpstr>
      <vt:lpstr>error3</vt:lpstr>
      <vt:lpstr>ESTADO</vt:lpstr>
      <vt:lpstr>FaltaCausa</vt:lpstr>
      <vt:lpstr>FECHAARRIBO</vt:lpstr>
      <vt:lpstr>FECHACIERRE</vt:lpstr>
      <vt:lpstr>FECHANOMBRE</vt:lpstr>
      <vt:lpstr>FECHAORIGEN</vt:lpstr>
      <vt:lpstr>ImprEmpresa</vt:lpstr>
      <vt:lpstr>ImprFecha</vt:lpstr>
      <vt:lpstr>INI_PERIODO</vt:lpstr>
      <vt:lpstr>INICIO</vt:lpstr>
      <vt:lpstr>lista_errores</vt:lpstr>
      <vt:lpstr>mensaje</vt:lpstr>
      <vt:lpstr>Observacion</vt:lpstr>
      <vt:lpstr>ORIGEN</vt:lpstr>
      <vt:lpstr>PATHTRANSFERENCIA</vt:lpstr>
      <vt:lpstr>PERSONA</vt:lpstr>
      <vt:lpstr>RangoCausas</vt:lpstr>
      <vt:lpstr>REFERENCIA</vt:lpstr>
      <vt:lpstr>TABLA</vt:lpstr>
      <vt:lpstr>TIPO</vt:lpstr>
      <vt:lpstr>TIPO_TRANSFER</vt:lpstr>
      <vt:lpstr>US</vt:lpstr>
      <vt:lpstr>USER</vt:lpstr>
      <vt:lpstr>VALORTOTAL</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2012-09-10T17:11:01Z</cp:lastPrinted>
  <dcterms:created xsi:type="dcterms:W3CDTF">2010-03-30T06:48:36Z</dcterms:created>
  <dcterms:modified xsi:type="dcterms:W3CDTF">2017-04-13T05:10:37Z</dcterms:modified>
</cp:coreProperties>
</file>