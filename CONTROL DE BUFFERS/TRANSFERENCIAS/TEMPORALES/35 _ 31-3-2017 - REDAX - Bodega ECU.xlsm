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TEMPORALE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TRANSFERENCIA!$A$8:$BY$40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TABLATRANSFERENCIA[[#Headers],[2016-10]]</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TRANSFERENCIA!$A$8:$BU$40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17" r:id="rId21"/>
  </pivotCaches>
</workbook>
</file>

<file path=xl/calcChain.xml><?xml version="1.0" encoding="utf-8"?>
<calcChain xmlns="http://schemas.openxmlformats.org/spreadsheetml/2006/main">
  <c r="BT40" i="1" l="1"/>
  <c r="BT39" i="1"/>
  <c r="BT38" i="1"/>
  <c r="BT37" i="1"/>
  <c r="BT36" i="1"/>
  <c r="BT35" i="1"/>
  <c r="BT34" i="1"/>
  <c r="BT33" i="1"/>
  <c r="BT32" i="1"/>
  <c r="BT31" i="1"/>
  <c r="BT30" i="1"/>
  <c r="BT29" i="1"/>
  <c r="BT28" i="1"/>
  <c r="BT27" i="1"/>
  <c r="BT26" i="1"/>
  <c r="BT25" i="1"/>
  <c r="BT24" i="1"/>
  <c r="BT23" i="1"/>
  <c r="BT22" i="1"/>
  <c r="BT21" i="1"/>
  <c r="BT20" i="1"/>
  <c r="BT19" i="1"/>
  <c r="BT18" i="1"/>
  <c r="BT17" i="1"/>
  <c r="BT16" i="1"/>
  <c r="BT15" i="1"/>
  <c r="BT14" i="1"/>
  <c r="BT13" i="1"/>
  <c r="BT12" i="1"/>
  <c r="BT11" i="1"/>
  <c r="BT10" i="1"/>
  <c r="BT9" i="1"/>
  <c r="AX9" i="1" a="1"/>
  <c r="AX9" i="1" s="1"/>
  <c r="AX10" i="1" a="1"/>
  <c r="AX10" i="1" s="1"/>
  <c r="AX11" i="1" a="1"/>
  <c r="AX11" i="1" s="1"/>
  <c r="AX12" i="1" a="1"/>
  <c r="AX12" i="1" s="1"/>
  <c r="AX13" i="1" a="1"/>
  <c r="AX13" i="1" s="1"/>
  <c r="AX14" i="1" a="1"/>
  <c r="AX14" i="1" s="1"/>
  <c r="AX15" i="1" a="1"/>
  <c r="AX15" i="1" s="1"/>
  <c r="AX16" i="1" a="1"/>
  <c r="AX16" i="1" s="1"/>
  <c r="AX17" i="1" a="1"/>
  <c r="AX17" i="1" s="1"/>
  <c r="AX18" i="1" a="1"/>
  <c r="AX18" i="1" s="1"/>
  <c r="AX19" i="1" a="1"/>
  <c r="AX19" i="1" s="1"/>
  <c r="AX20" i="1" a="1"/>
  <c r="AX20" i="1" s="1"/>
  <c r="AX21" i="1" a="1"/>
  <c r="AX21" i="1" s="1"/>
  <c r="AX22" i="1" a="1"/>
  <c r="AX22" i="1" s="1"/>
  <c r="AX23" i="1" a="1"/>
  <c r="AX23" i="1" s="1"/>
  <c r="AX24" i="1" a="1"/>
  <c r="AX24" i="1" s="1"/>
  <c r="AX25" i="1" a="1"/>
  <c r="AX25" i="1" s="1"/>
  <c r="AX26" i="1" a="1"/>
  <c r="AX26" i="1" s="1"/>
  <c r="AX27" i="1" a="1"/>
  <c r="AX27" i="1" s="1"/>
  <c r="AX28" i="1" a="1"/>
  <c r="AX28" i="1" s="1"/>
  <c r="AX29" i="1" a="1"/>
  <c r="AX29" i="1" s="1"/>
  <c r="AX30" i="1" a="1"/>
  <c r="AX30" i="1" s="1"/>
  <c r="AX31" i="1" a="1"/>
  <c r="AX31" i="1" s="1"/>
  <c r="AX32" i="1" a="1"/>
  <c r="AX32" i="1" s="1"/>
  <c r="AX33" i="1" a="1"/>
  <c r="AX33" i="1" s="1"/>
  <c r="AX34" i="1" a="1"/>
  <c r="AX34" i="1" s="1"/>
  <c r="AX35" i="1" a="1"/>
  <c r="AX35" i="1" s="1"/>
  <c r="AX36" i="1" a="1"/>
  <c r="AX36" i="1" s="1"/>
  <c r="AX37" i="1" a="1"/>
  <c r="AX37" i="1" s="1"/>
  <c r="AX38" i="1" a="1"/>
  <c r="AX38" i="1" s="1"/>
  <c r="AX39" i="1" a="1"/>
  <c r="AX39" i="1" s="1"/>
  <c r="AX40" i="1" a="1"/>
  <c r="AX40" i="1" s="1"/>
  <c r="AY9" i="1" a="1"/>
  <c r="AY9"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s="1"/>
  <c r="AY26" i="1" a="1"/>
  <c r="AY26" i="1" s="1"/>
  <c r="AY27" i="1" a="1"/>
  <c r="AY27" i="1" s="1"/>
  <c r="AY28" i="1" a="1"/>
  <c r="AY28" i="1" s="1"/>
  <c r="AY29" i="1" a="1"/>
  <c r="AY29" i="1" s="1"/>
  <c r="AY30" i="1" a="1"/>
  <c r="AY30" i="1" s="1"/>
  <c r="AY31" i="1" a="1"/>
  <c r="AY31" i="1" s="1"/>
  <c r="AY32" i="1" a="1"/>
  <c r="AY32" i="1" s="1"/>
  <c r="AY33" i="1" a="1"/>
  <c r="AY33" i="1" s="1"/>
  <c r="AY34" i="1" a="1"/>
  <c r="AY34" i="1" s="1"/>
  <c r="AY35" i="1" a="1"/>
  <c r="AY35" i="1" s="1"/>
  <c r="AY36" i="1" a="1"/>
  <c r="AY36" i="1" s="1"/>
  <c r="AY37" i="1" a="1"/>
  <c r="AY37" i="1" s="1"/>
  <c r="AY38" i="1" a="1"/>
  <c r="AY38" i="1" s="1"/>
  <c r="AY39" i="1" a="1"/>
  <c r="AY39" i="1" s="1"/>
  <c r="AY40" i="1" a="1"/>
  <c r="AY40" i="1" s="1"/>
  <c r="AZ9" i="1" a="1"/>
  <c r="AZ9"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AZ23" i="1" a="1"/>
  <c r="AZ23" i="1" s="1"/>
  <c r="AZ24" i="1" a="1"/>
  <c r="AZ24" i="1" s="1"/>
  <c r="AZ25" i="1" a="1"/>
  <c r="AZ25" i="1" s="1"/>
  <c r="AZ26" i="1" a="1"/>
  <c r="AZ26" i="1" s="1"/>
  <c r="AZ27" i="1" a="1"/>
  <c r="AZ27" i="1" s="1"/>
  <c r="AZ28" i="1" a="1"/>
  <c r="AZ28" i="1" s="1"/>
  <c r="AZ29" i="1" a="1"/>
  <c r="AZ29" i="1" s="1"/>
  <c r="AZ30" i="1" a="1"/>
  <c r="AZ30" i="1" s="1"/>
  <c r="AZ31" i="1" a="1"/>
  <c r="AZ31" i="1" s="1"/>
  <c r="AZ32" i="1" a="1"/>
  <c r="AZ32" i="1" s="1"/>
  <c r="AZ33" i="1" a="1"/>
  <c r="AZ33" i="1" s="1"/>
  <c r="AZ34" i="1" a="1"/>
  <c r="AZ34" i="1" s="1"/>
  <c r="AZ35" i="1" a="1"/>
  <c r="AZ35" i="1" s="1"/>
  <c r="AZ36" i="1" a="1"/>
  <c r="AZ36" i="1" s="1"/>
  <c r="AZ37" i="1" a="1"/>
  <c r="AZ37" i="1" s="1"/>
  <c r="AZ38" i="1" a="1"/>
  <c r="AZ38" i="1" s="1"/>
  <c r="AZ39" i="1" a="1"/>
  <c r="AZ39" i="1" s="1"/>
  <c r="AZ40" i="1" a="1"/>
  <c r="AZ40" i="1" s="1"/>
  <c r="BA9" i="1" a="1"/>
  <c r="BA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A23" i="1" a="1"/>
  <c r="BA23" i="1" s="1"/>
  <c r="BA24" i="1" a="1"/>
  <c r="BA24" i="1" s="1"/>
  <c r="BA25" i="1" a="1"/>
  <c r="BA25" i="1" s="1"/>
  <c r="BA26" i="1" a="1"/>
  <c r="BA26" i="1" s="1"/>
  <c r="BA27" i="1" a="1"/>
  <c r="BA27" i="1" s="1"/>
  <c r="BA28" i="1" a="1"/>
  <c r="BA28" i="1" s="1"/>
  <c r="BA29" i="1" a="1"/>
  <c r="BA29" i="1" s="1"/>
  <c r="BA30" i="1" a="1"/>
  <c r="BA30" i="1" s="1"/>
  <c r="BA31" i="1" a="1"/>
  <c r="BA31" i="1" s="1"/>
  <c r="BA32" i="1" a="1"/>
  <c r="BA32" i="1" s="1"/>
  <c r="BA33" i="1" a="1"/>
  <c r="BA33" i="1" s="1"/>
  <c r="BA34" i="1" a="1"/>
  <c r="BA34" i="1" s="1"/>
  <c r="BA35" i="1" a="1"/>
  <c r="BA35" i="1" s="1"/>
  <c r="BA36" i="1" a="1"/>
  <c r="BA36" i="1" s="1"/>
  <c r="BA37" i="1" a="1"/>
  <c r="BA37" i="1" s="1"/>
  <c r="BA38" i="1" a="1"/>
  <c r="BA38" i="1" s="1"/>
  <c r="BA39" i="1" a="1"/>
  <c r="BA39" i="1" s="1"/>
  <c r="BA40" i="1" a="1"/>
  <c r="BA40" i="1" s="1"/>
  <c r="BB9" i="1" a="1"/>
  <c r="BB9"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B23" i="1" a="1"/>
  <c r="BB23" i="1" s="1"/>
  <c r="BB24" i="1" a="1"/>
  <c r="BB24" i="1" s="1"/>
  <c r="BB25" i="1" a="1"/>
  <c r="BB25" i="1" s="1"/>
  <c r="BB26" i="1" a="1"/>
  <c r="BB26" i="1" s="1"/>
  <c r="BB27" i="1" a="1"/>
  <c r="BB27" i="1" s="1"/>
  <c r="BB28" i="1" a="1"/>
  <c r="BB28" i="1" s="1"/>
  <c r="BB29" i="1" a="1"/>
  <c r="BB29" i="1" s="1"/>
  <c r="BB30" i="1" a="1"/>
  <c r="BB30" i="1" s="1"/>
  <c r="BB31" i="1" a="1"/>
  <c r="BB31" i="1" s="1"/>
  <c r="BB32" i="1" a="1"/>
  <c r="BB32" i="1" s="1"/>
  <c r="BB33" i="1" a="1"/>
  <c r="BB33" i="1" s="1"/>
  <c r="BB34" i="1" a="1"/>
  <c r="BB34" i="1" s="1"/>
  <c r="BB35" i="1" a="1"/>
  <c r="BB35" i="1" s="1"/>
  <c r="BB36" i="1" a="1"/>
  <c r="BB36" i="1" s="1"/>
  <c r="BB37" i="1" a="1"/>
  <c r="BB37" i="1" s="1"/>
  <c r="BB38" i="1" a="1"/>
  <c r="BB38" i="1" s="1"/>
  <c r="BB39" i="1" a="1"/>
  <c r="BB39" i="1" s="1"/>
  <c r="BB40" i="1" a="1"/>
  <c r="BB40" i="1" s="1"/>
  <c r="BC9" i="1" a="1"/>
  <c r="BC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C30" i="1" a="1"/>
  <c r="BC30" i="1" s="1"/>
  <c r="BC31" i="1" a="1"/>
  <c r="BC31" i="1" s="1"/>
  <c r="BC32" i="1" a="1"/>
  <c r="BC32" i="1" s="1"/>
  <c r="BC33" i="1" a="1"/>
  <c r="BC33" i="1" s="1"/>
  <c r="BC34" i="1" a="1"/>
  <c r="BC34" i="1" s="1"/>
  <c r="BC35" i="1" a="1"/>
  <c r="BC35" i="1" s="1"/>
  <c r="BC36" i="1" a="1"/>
  <c r="BC36" i="1" s="1"/>
  <c r="BC37" i="1" a="1"/>
  <c r="BC37" i="1" s="1"/>
  <c r="BC38" i="1" a="1"/>
  <c r="BC38" i="1" s="1"/>
  <c r="BC39" i="1" a="1"/>
  <c r="BC39" i="1" s="1"/>
  <c r="BC40" i="1" a="1"/>
  <c r="BC40" i="1" s="1"/>
  <c r="BH9" i="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I9"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J9"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L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Q9"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U9" i="1" a="1"/>
  <c r="BU9" i="1" s="1"/>
  <c r="BU10" i="1" a="1"/>
  <c r="BU10" i="1" s="1"/>
  <c r="BU11" i="1" a="1"/>
  <c r="BU11" i="1" s="1"/>
  <c r="BU12" i="1" a="1"/>
  <c r="BU12" i="1" s="1"/>
  <c r="BU13" i="1" a="1"/>
  <c r="BU13" i="1" s="1"/>
  <c r="BU14" i="1" a="1"/>
  <c r="BU14" i="1" s="1"/>
  <c r="BU15" i="1" a="1"/>
  <c r="BU15" i="1" s="1"/>
  <c r="BU16" i="1" a="1"/>
  <c r="BU16" i="1" s="1"/>
  <c r="BU17" i="1" a="1"/>
  <c r="BU17" i="1" s="1"/>
  <c r="BU18" i="1" a="1"/>
  <c r="BU18" i="1" s="1"/>
  <c r="BU19" i="1" a="1"/>
  <c r="BU19" i="1" s="1"/>
  <c r="BU20" i="1" a="1"/>
  <c r="BU20" i="1" s="1"/>
  <c r="BU21" i="1" a="1"/>
  <c r="BU21" i="1" s="1"/>
  <c r="BU22" i="1" a="1"/>
  <c r="BU22" i="1" s="1"/>
  <c r="BU23" i="1" a="1"/>
  <c r="BU23" i="1" s="1"/>
  <c r="BU24" i="1" a="1"/>
  <c r="BU24" i="1" s="1"/>
  <c r="BU25" i="1" a="1"/>
  <c r="BU25" i="1" s="1"/>
  <c r="BU26" i="1" a="1"/>
  <c r="BU26" i="1" s="1"/>
  <c r="BU27" i="1" a="1"/>
  <c r="BU27" i="1" s="1"/>
  <c r="BU28" i="1" a="1"/>
  <c r="BU28" i="1" s="1"/>
  <c r="BU29" i="1" a="1"/>
  <c r="BU29" i="1" s="1"/>
  <c r="BU30" i="1" a="1"/>
  <c r="BU30" i="1" s="1"/>
  <c r="BU31" i="1" a="1"/>
  <c r="BU31" i="1" s="1"/>
  <c r="BU32" i="1" a="1"/>
  <c r="BU32" i="1" s="1"/>
  <c r="BU33" i="1" a="1"/>
  <c r="BU33" i="1" s="1"/>
  <c r="BU34" i="1" a="1"/>
  <c r="BU34" i="1" s="1"/>
  <c r="BU35" i="1" a="1"/>
  <c r="BU35" i="1" s="1"/>
  <c r="BU36" i="1" a="1"/>
  <c r="BU36" i="1" s="1"/>
  <c r="BU37" i="1" a="1"/>
  <c r="BU37" i="1" s="1"/>
  <c r="BU38" i="1" a="1"/>
  <c r="BU38" i="1" s="1"/>
  <c r="BU39" i="1" a="1"/>
  <c r="BU39" i="1" s="1"/>
  <c r="BU40" i="1" a="1"/>
  <c r="BU40" i="1" s="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G2" i="16" l="1"/>
  <c r="G3" i="16"/>
  <c r="G4" i="16"/>
  <c r="G5" i="16"/>
  <c r="G6"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12" l="1"/>
  <c r="A2" i="12"/>
  <c r="C4" i="1" l="1"/>
  <c r="BS2" i="21" l="1"/>
  <c r="BP2" i="21"/>
  <c r="BK2" i="21"/>
  <c r="BJ2" i="21"/>
  <c r="BI2" i="21"/>
  <c r="BH2" i="21"/>
  <c r="BG2" i="21"/>
  <c r="BC2" i="21" a="1"/>
  <c r="BC2" i="21" s="1"/>
  <c r="BB2" i="21" a="1"/>
  <c r="BB2" i="21" s="1"/>
  <c r="BA2" i="21" a="1"/>
  <c r="BA2" i="21" s="1"/>
  <c r="AZ2" i="21" a="1"/>
  <c r="AZ2" i="21" s="1"/>
  <c r="AY2" i="21" a="1"/>
  <c r="AY2" i="21" s="1"/>
  <c r="AX2" i="21" a="1"/>
  <c r="AX2" i="21" s="1"/>
  <c r="M2" i="21"/>
  <c r="J2" i="21"/>
  <c r="AE2" i="21"/>
  <c r="AN2" i="21"/>
  <c r="F2" i="21"/>
  <c r="AH2" i="21"/>
  <c r="AB2" i="21"/>
  <c r="H2" i="21"/>
  <c r="AF2" i="21"/>
  <c r="W2" i="21"/>
  <c r="AI2" i="21"/>
  <c r="AM2" i="21"/>
  <c r="K2" i="21"/>
  <c r="AG2" i="21"/>
  <c r="BV2" i="21"/>
  <c r="AD2" i="21"/>
  <c r="Z2" i="21"/>
  <c r="AK2" i="21"/>
  <c r="BW2" i="21"/>
  <c r="P2" i="21"/>
  <c r="U2" i="21"/>
  <c r="AS2" i="21"/>
  <c r="AQ2" i="21"/>
  <c r="G2" i="21"/>
  <c r="X2" i="21"/>
  <c r="AR2" i="21"/>
  <c r="I2" i="21"/>
  <c r="O2" i="21"/>
  <c r="AU2" i="21"/>
  <c r="N2" i="21"/>
  <c r="R2" i="21"/>
  <c r="AW2" i="21"/>
  <c r="AJ2" i="21"/>
  <c r="AP2" i="21"/>
  <c r="Y2" i="21"/>
  <c r="V2" i="21"/>
  <c r="C2" i="21"/>
  <c r="Q2" i="21"/>
  <c r="AV2" i="21"/>
  <c r="AL2" i="21"/>
  <c r="T2" i="21"/>
  <c r="AO2" i="21"/>
  <c r="E2" i="21"/>
  <c r="L2" i="21"/>
  <c r="S2" i="21"/>
  <c r="AC2" i="21"/>
  <c r="AA2" i="21"/>
  <c r="AT2" i="21"/>
  <c r="D2" i="21"/>
  <c r="B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<sst xmlns="http://schemas.openxmlformats.org/spreadsheetml/2006/main" count="7247" uniqueCount="2089">
  <si>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</si>
  <si>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</si>
  <si>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</si>
  <si>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</si>
  <si>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</si>
  <si>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</si>
  <si>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</si>
  <si>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</si>
  <si>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</si>
  <si>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</si>
  <si>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</si>
  <si>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</si>
  <si>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</si>
  <si>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</si>
  <si>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</si>
  <si>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</si>
  <si>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</si>
  <si>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</si>
  <si>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</si>
  <si>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</si>
  <si>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</si>
  <si>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</si>
  <si>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</si>
  <si>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</si>
  <si>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</si>
  <si>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</si>
  <si>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</si>
  <si>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</si>
  <si>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</si>
  <si>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</si>
  <si>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</si>
  <si>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</si>
  <si>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</si>
  <si>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</si>
  <si>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</si>
  <si>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</si>
  <si>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</si>
  <si>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</si>
  <si>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</si>
  <si>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</si>
  <si>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</si>
  <si>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</si>
  <si>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</si>
  <si>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</si>
  <si>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</si>
  <si>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</si>
  <si>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</si>
  <si>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</si>
  <si>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</si>
  <si>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</si>
  <si>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</si>
  <si>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</si>
  <si>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</si>
  <si>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</si>
  <si>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</si>
  <si>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</si>
  <si>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</si>
  <si>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</si>
  <si>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</si>
  <si>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</si>
  <si>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</si>
  <si>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</si>
  <si>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</si>
  <si>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</si>
  <si>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</si>
  <si>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</si>
  <si>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</si>
  <si>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</si>
  <si>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</si>
  <si>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</si>
  <si>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</si>
  <si>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</si>
  <si>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</si>
  <si>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</si>
  <si>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</si>
  <si>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</si>
  <si>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</si>
  <si>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</si>
  <si>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</si>
  <si>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</si>
  <si>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</si>
  <si>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</si>
  <si>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</si>
  <si>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</si>
  <si>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</si>
  <si>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</si>
  <si>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</si>
  <si>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</si>
  <si>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</si>
  <si>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</si>
  <si>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</si>
  <si>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</si>
  <si>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</si>
  <si>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</si>
  <si>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</si>
  <si>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</si>
  <si>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</si>
  <si>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</si>
  <si>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</si>
  <si>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</si>
  <si>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</si>
  <si>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</si>
  <si>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</si>
  <si>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</si>
  <si>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</si>
  <si>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</si>
  <si>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</si>
  <si>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</si>
  <si>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</si>
  <si>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</si>
  <si>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</si>
  <si>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</si>
  <si>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</si>
  <si>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</si>
  <si>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</si>
  <si>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</si>
  <si>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</si>
  <si>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</si>
  <si>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</si>
  <si>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</si>
  <si>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</si>
  <si>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</si>
  <si>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</si>
  <si>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</si>
  <si>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</si>
  <si>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</si>
  <si>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</si>
  <si>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</si>
  <si>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</si>
  <si>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</si>
  <si>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</si>
  <si>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</si>
  <si>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</si>
  <si>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</si>
  <si>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</si>
  <si>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</si>
  <si>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</si>
  <si>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</si>
  <si>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</si>
  <si>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</si>
  <si>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</si>
  <si>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</si>
  <si>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</si>
  <si>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</si>
  <si>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</si>
  <si>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</si>
  <si>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</si>
  <si>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</si>
  <si>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</si>
  <si>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</si>
  <si>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</si>
  <si>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</si>
  <si>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</si>
  <si>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</si>
  <si>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</si>
  <si>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</si>
  <si>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</si>
  <si>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</si>
  <si>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</si>
  <si>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</si>
  <si>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</si>
  <si>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</si>
  <si>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</si>
  <si>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</si>
  <si>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</si>
  <si>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</si>
  <si>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</si>
  <si>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</si>
  <si>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</si>
  <si>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</si>
  <si>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</si>
  <si>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</si>
  <si>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</si>
  <si>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</si>
  <si>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</si>
  <si>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</si>
  <si>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</si>
  <si>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</si>
  <si>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</si>
  <si>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</si>
  <si>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</si>
  <si>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</si>
  <si>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</si>
  <si>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</si>
  <si>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</si>
  <si>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</si>
  <si>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</si>
  <si>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</si>
  <si>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</si>
  <si>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</si>
  <si>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</si>
  <si>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</si>
  <si>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</si>
  <si>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</si>
  <si>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</si>
  <si>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</si>
  <si>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</si>
  <si>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</si>
  <si>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</si>
  <si>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</si>
  <si>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</si>
  <si>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</si>
  <si>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</si>
  <si>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</si>
  <si>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</si>
  <si>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</si>
  <si>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</si>
  <si>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</si>
  <si>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</si>
  <si>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</si>
  <si>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</si>
  <si>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</si>
  <si>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</si>
  <si>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</si>
  <si>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</si>
  <si>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</si>
  <si>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</si>
  <si>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</si>
  <si>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</si>
  <si>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</si>
  <si>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</si>
  <si>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</si>
  <si>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</si>
  <si>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</si>
  <si>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</si>
  <si>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</si>
  <si>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</si>
  <si>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</si>
  <si>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</si>
  <si>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</si>
  <si>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</si>
  <si>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</si>
  <si>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</si>
  <si>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</si>
  <si>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</si>
  <si>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</si>
  <si>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</si>
  <si>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</si>
  <si>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</si>
  <si>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</si>
  <si>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</si>
  <si>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</si>
  <si>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</si>
  <si>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</si>
  <si>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</si>
  <si>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</si>
  <si>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</si>
  <si>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</si>
  <si>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</si>
  <si>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</si>
  <si>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</si>
  <si>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</si>
  <si>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</si>
  <si>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</si>
  <si>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</si>
  <si>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</si>
  <si>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</si>
  <si>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</si>
  <si>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</si>
  <si>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</si>
  <si>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</si>
  <si>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</si>
  <si>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</si>
  <si>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</si>
  <si>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</si>
  <si>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</si>
  <si>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</si>
  <si>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</si>
  <si>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</si>
  <si>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</si>
  <si>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</si>
  <si>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</si>
  <si>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</si>
  <si>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</si>
  <si>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</si>
  <si>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</si>
  <si>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</si>
  <si>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</si>
  <si>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</si>
  <si>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</si>
  <si>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</si>
  <si>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</si>
  <si>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</si>
  <si>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</si>
  <si>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</si>
  <si>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</si>
  <si>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</si>
  <si>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</si>
  <si>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</si>
  <si>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</si>
  <si>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</si>
  <si>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</si>
  <si>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</si>
  <si>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</si>
  <si>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</si>
  <si>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</si>
  <si>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</si>
  <si>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</si>
  <si>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</si>
  <si>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</si>
  <si>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</si>
  <si>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</si>
  <si>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</si>
  <si>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</si>
  <si>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</si>
  <si>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</si>
  <si>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</si>
  <si>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</si>
  <si>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</si>
  <si>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</si>
  <si>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</si>
  <si>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</si>
  <si>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</si>
  <si>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</si>
  <si>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</si>
  <si>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</si>
  <si>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</si>
  <si>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</si>
  <si>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</si>
  <si>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</si>
  <si>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</si>
  <si>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</si>
  <si>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</si>
  <si>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</si>
  <si>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</si>
  <si>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</si>
  <si>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</si>
  <si>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</si>
  <si>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</si>
  <si>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</si>
  <si>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</si>
  <si>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</si>
  <si>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</si>
  <si>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</si>
  <si>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</si>
  <si>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</si>
  <si>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</si>
  <si>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</si>
  <si>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</si>
  <si>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</si>
  <si>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</si>
  <si>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</si>
  <si>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</si>
  <si>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</si>
  <si>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</si>
  <si>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</si>
  <si>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</si>
  <si>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</si>
  <si>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</si>
  <si>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</si>
  <si>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</si>
  <si>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</si>
  <si>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</si>
  <si>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</si>
  <si>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</si>
  <si>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</si>
  <si>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</si>
  <si>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</si>
  <si>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</si>
  <si>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</si>
  <si>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</si>
  <si>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</si>
  <si>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</si>
  <si>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</si>
  <si>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</si>
  <si>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</si>
  <si>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</si>
  <si>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</si>
  <si>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</si>
  <si>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</si>
  <si>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</si>
  <si>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</si>
  <si>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</si>
  <si>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</si>
  <si>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</si>
  <si>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</si>
  <si>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</si>
  <si>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</si>
  <si>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</si>
  <si>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</si>
  <si>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</si>
  <si>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</si>
  <si>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</si>
  <si>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</si>
  <si>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</si>
  <si>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</si>
  <si>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</si>
  <si>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</si>
  <si>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</si>
  <si>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</si>
  <si>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</si>
  <si>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</si>
  <si>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</si>
  <si>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</si>
  <si>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</si>
  <si>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</si>
  <si>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</si>
  <si>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</si>
  <si>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</si>
  <si>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</si>
  <si>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</si>
  <si>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</si>
  <si>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</si>
  <si>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</si>
  <si>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</si>
  <si>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</si>
  <si>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</si>
  <si>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</si>
  <si>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</si>
  <si>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</si>
  <si>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</si>
  <si>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</si>
  <si>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</si>
  <si>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</si>
  <si>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</si>
  <si>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</si>
  <si>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</si>
  <si>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</si>
  <si>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</si>
  <si>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</si>
  <si>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</si>
  <si>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</si>
  <si>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</si>
  <si>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</si>
  <si>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</si>
  <si>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</si>
  <si>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</si>
  <si>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</si>
  <si>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</si>
  <si>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</si>
  <si>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</si>
  <si>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</si>
  <si>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</si>
  <si>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</si>
  <si>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</si>
  <si>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</si>
  <si>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</si>
  <si>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</si>
  <si>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</si>
  <si>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</si>
  <si>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</si>
  <si>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</si>
  <si>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</si>
  <si>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</si>
  <si>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</si>
  <si>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</si>
  <si>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</si>
  <si>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</si>
  <si>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</si>
  <si>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</si>
  <si>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</si>
  <si>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</si>
  <si>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</si>
  <si>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</si>
  <si>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</si>
  <si>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</si>
  <si>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</si>
  <si>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</si>
  <si>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</si>
  <si>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</si>
  <si>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</si>
  <si>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</si>
  <si>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</si>
  <si>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</si>
  <si>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</si>
  <si>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</si>
  <si>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</si>
  <si>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</si>
  <si>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</si>
  <si>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</si>
  <si>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</si>
  <si>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</si>
  <si>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</si>
  <si>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</si>
  <si>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</si>
  <si>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</si>
  <si>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</si>
  <si>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</si>
  <si>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</si>
  <si>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</si>
  <si>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</si>
  <si>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</si>
  <si>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</si>
  <si>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</si>
  <si>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</si>
  <si>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</si>
  <si>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</si>
  <si>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</si>
  <si>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</si>
  <si>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</si>
  <si>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</si>
  <si>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</si>
  <si>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</si>
  <si>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</si>
  <si>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</si>
  <si>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</si>
  <si>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</si>
  <si>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</si>
  <si>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</si>
  <si>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</si>
  <si>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</si>
  <si>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</si>
  <si>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</si>
  <si>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</si>
  <si>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</si>
  <si>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</si>
  <si>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</si>
  <si>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</si>
  <si>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</si>
  <si>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</si>
  <si>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</si>
  <si>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</si>
  <si>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</si>
  <si>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</si>
  <si>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</si>
  <si>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</si>
  <si>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</si>
  <si>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</si>
  <si>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</si>
  <si>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</si>
  <si>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</si>
  <si>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</si>
  <si>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</si>
  <si>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</si>
  <si>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</si>
  <si>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</si>
  <si>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</si>
  <si>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</si>
  <si>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</si>
  <si>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</si>
  <si>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</si>
  <si>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</si>
  <si>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</si>
  <si>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</si>
  <si>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</si>
  <si>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</si>
  <si>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</si>
  <si>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</si>
  <si>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</si>
  <si>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</si>
  <si>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</si>
  <si>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</si>
  <si>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</si>
  <si>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</si>
  <si>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</si>
  <si>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</si>
  <si>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</si>
  <si>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</si>
  <si>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</si>
  <si>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</si>
  <si>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</si>
  <si>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</si>
  <si>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</si>
  <si>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</si>
  <si>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</si>
  <si>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</si>
  <si>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</si>
  <si>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</si>
  <si>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</si>
  <si>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</si>
  <si>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</si>
  <si>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</si>
  <si>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</si>
  <si>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</si>
  <si>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</si>
  <si>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</si>
  <si>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</si>
  <si>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</si>
  <si>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</si>
  <si>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</si>
  <si>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</si>
  <si>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</si>
  <si>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</si>
  <si>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</si>
  <si>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</si>
  <si>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</si>
  <si>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</si>
  <si>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</si>
  <si>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</si>
  <si>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</si>
  <si>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</si>
  <si>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</si>
  <si>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</si>
  <si>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</si>
  <si>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</si>
  <si>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</si>
  <si>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</si>
  <si>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</si>
  <si>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</si>
  <si>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</si>
  <si>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</si>
  <si>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</si>
  <si>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</si>
  <si>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</si>
  <si>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</si>
  <si>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</si>
  <si>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</si>
  <si>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</si>
  <si>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</si>
  <si>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</si>
  <si>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</si>
  <si>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</si>
  <si>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</si>
  <si>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</si>
  <si>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</si>
  <si>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</si>
  <si>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</si>
  <si>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</si>
  <si>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</si>
  <si>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</si>
  <si>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</si>
  <si>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</si>
  <si>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</si>
  <si>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</si>
  <si>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</si>
  <si>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</si>
  <si>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</si>
  <si>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</si>
  <si>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</si>
  <si>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</si>
  <si>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</si>
  <si>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</si>
  <si>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</si>
  <si>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</si>
  <si>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</si>
  <si>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</si>
  <si>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</si>
  <si>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</si>
  <si>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</si>
  <si>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</si>
  <si>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</si>
  <si>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</si>
  <si>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</si>
  <si>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</si>
  <si>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</si>
  <si>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</si>
  <si>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</si>
  <si>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</si>
  <si>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</si>
  <si>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</si>
  <si>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</si>
  <si>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</si>
  <si>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</si>
  <si>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</si>
  <si>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</si>
  <si>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</si>
  <si>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</si>
  <si>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</si>
  <si>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</si>
  <si>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</si>
  <si>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</si>
  <si>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</si>
  <si>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</si>
  <si>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</si>
  <si>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</si>
  <si>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</si>
  <si>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</si>
  <si>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</si>
  <si>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</si>
  <si>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</si>
  <si>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</si>
  <si>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</si>
  <si>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</si>
  <si>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</si>
  <si>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</si>
  <si>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</si>
  <si>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</si>
  <si>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</si>
  <si>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</si>
  <si>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</si>
  <si>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</si>
  <si>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</si>
  <si>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</si>
  <si>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</si>
  <si>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</si>
  <si>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</si>
  <si>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</si>
  <si>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</si>
  <si>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</si>
  <si>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</si>
  <si>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</si>
  <si>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</si>
  <si>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</si>
  <si>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</si>
  <si>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</si>
  <si>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</si>
  <si>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</si>
  <si>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</si>
  <si>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</si>
  <si>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</si>
  <si>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</si>
  <si>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</si>
  <si>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</si>
  <si>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</si>
  <si>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</si>
  <si>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</si>
  <si>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</si>
  <si>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</si>
  <si>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</si>
  <si>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</si>
  <si>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</si>
  <si>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</si>
  <si>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</si>
  <si>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</si>
  <si>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</si>
  <si>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</si>
  <si>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</si>
  <si>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</si>
  <si>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</si>
  <si>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</si>
  <si>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</si>
  <si>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</si>
  <si>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</si>
  <si>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</si>
  <si>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</si>
  <si>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</si>
  <si>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</si>
  <si>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</si>
  <si>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</si>
  <si>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</si>
  <si>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</si>
  <si>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</si>
  <si>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</si>
  <si>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</si>
  <si>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</si>
  <si>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</si>
  <si>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</si>
  <si>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</si>
  <si>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</si>
  <si>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</si>
  <si>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</si>
  <si>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</si>
  <si>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</si>
  <si>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</si>
  <si>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</si>
  <si>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</si>
  <si>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</si>
  <si>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</si>
  <si>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</si>
  <si>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</si>
  <si>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</si>
  <si>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</si>
  <si>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</si>
  <si>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</si>
  <si>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</si>
  <si>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</si>
  <si>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</si>
  <si>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</si>
  <si>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</si>
  <si>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</si>
  <si>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</si>
  <si>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</si>
  <si>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</si>
  <si>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</si>
  <si>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</si>
  <si>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</si>
  <si>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</si>
  <si>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</si>
  <si>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</si>
  <si>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</si>
  <si>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</si>
  <si>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</si>
  <si>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</si>
  <si>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</si>
  <si>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</si>
  <si>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</si>
  <si>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</si>
  <si>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</si>
  <si>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</si>
  <si>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</si>
  <si>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</si>
  <si>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</si>
  <si>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</si>
  <si>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</si>
  <si>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</si>
  <si>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</si>
  <si>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</si>
  <si>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</si>
  <si>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</si>
  <si>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</si>
  <si>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</si>
  <si>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</si>
  <si>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</si>
  <si>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</si>
  <si>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</si>
  <si>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</si>
  <si>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</si>
  <si>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</si>
  <si>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</si>
  <si>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</si>
  <si>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</si>
  <si>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</si>
  <si>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</si>
  <si>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</si>
  <si>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</si>
  <si>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</si>
  <si>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</si>
  <si>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</si>
  <si>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</si>
  <si>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</si>
  <si>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</si>
  <si>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</si>
  <si>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</si>
  <si>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</si>
  <si>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</si>
  <si>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</si>
  <si>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</si>
  <si>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</si>
  <si>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</si>
  <si>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</si>
  <si>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</si>
  <si>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</si>
  <si>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</si>
  <si>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</si>
  <si>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</si>
  <si>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</si>
  <si>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</si>
  <si>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</si>
  <si>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</si>
  <si>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</si>
  <si>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</si>
  <si>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</si>
  <si>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</si>
  <si>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</si>
  <si>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</si>
  <si>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</si>
  <si>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</si>
  <si>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</si>
  <si>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</si>
  <si>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</si>
  <si>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</si>
  <si>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</si>
  <si>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</si>
  <si>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</si>
  <si>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</si>
  <si>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</si>
  <si>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</si>
  <si>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</si>
  <si>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</si>
  <si>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</si>
  <si>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</si>
  <si>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</si>
  <si>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</si>
  <si>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</si>
  <si>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</si>
  <si>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</si>
  <si>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</si>
  <si>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</si>
  <si>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</si>
  <si>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</si>
  <si>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</si>
  <si>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</si>
  <si>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</si>
  <si>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</si>
  <si>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</si>
  <si>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</si>
  <si>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</si>
  <si>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</si>
  <si>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</si>
  <si>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</si>
  <si>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</si>
  <si>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</si>
  <si>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</si>
  <si>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</si>
  <si>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</si>
  <si>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</si>
  <si>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</si>
  <si>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</si>
  <si>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</si>
  <si>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</si>
  <si>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</si>
  <si>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</si>
  <si>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</si>
  <si>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</si>
  <si>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</si>
  <si>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</si>
  <si>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</si>
  <si>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</si>
  <si>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</si>
  <si>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</si>
  <si>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</si>
  <si>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</si>
  <si>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</si>
  <si>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</si>
  <si>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</si>
  <si>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</si>
  <si>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</si>
  <si>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</si>
  <si>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</si>
  <si>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</si>
  <si>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</si>
  <si>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</si>
  <si>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</si>
  <si>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</si>
  <si>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</si>
  <si>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</si>
  <si>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</si>
  <si>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</si>
  <si>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</si>
  <si>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</si>
  <si>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</si>
  <si>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</si>
  <si>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</si>
  <si>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</si>
  <si>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</si>
  <si>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</si>
  <si>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</si>
  <si>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</si>
  <si>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</si>
  <si>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</si>
  <si>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</si>
  <si>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</si>
  <si>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</si>
  <si>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</si>
  <si>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</si>
  <si>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</si>
  <si>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</si>
  <si>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</si>
  <si>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</si>
  <si>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</si>
  <si>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</si>
  <si>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</si>
  <si>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</si>
  <si>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</si>
  <si>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</si>
  <si>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</si>
  <si>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</si>
  <si>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</si>
  <si>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</si>
  <si>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</si>
  <si>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</si>
  <si>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</si>
  <si>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</si>
  <si>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</si>
  <si>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</si>
  <si>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</si>
  <si>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</si>
  <si>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</si>
  <si>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</si>
  <si>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</si>
  <si>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</si>
  <si>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</si>
  <si>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</si>
  <si>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</si>
  <si>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</si>
  <si>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</si>
  <si>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</si>
  <si>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</si>
  <si>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</si>
  <si>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</si>
  <si>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</si>
  <si>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</si>
  <si>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</si>
  <si>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</si>
  <si>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</si>
  <si>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</si>
  <si>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</si>
  <si>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</si>
  <si>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</si>
  <si>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</si>
  <si>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</si>
  <si>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</si>
  <si>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</si>
  <si>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</si>
  <si>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</si>
  <si>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</si>
  <si>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</si>
  <si>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</si>
  <si>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</si>
  <si>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</si>
  <si>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</si>
  <si>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</si>
  <si>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</si>
  <si>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</si>
  <si>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</si>
  <si>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</si>
  <si>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</si>
  <si>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</si>
  <si>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</si>
  <si>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</si>
  <si>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</si>
  <si>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</si>
  <si>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</si>
  <si>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</si>
  <si>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</si>
  <si>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</si>
  <si>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</si>
  <si>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</si>
  <si>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</si>
  <si>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</si>
  <si>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</si>
  <si>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</si>
  <si>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</si>
  <si>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</si>
  <si>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</si>
  <si>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</si>
  <si>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</si>
  <si>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</si>
  <si>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</si>
  <si>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</si>
  <si>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</si>
  <si>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</si>
  <si>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</si>
  <si>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</si>
  <si>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</si>
  <si>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</si>
  <si>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</si>
  <si>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</si>
  <si>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</si>
  <si>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</si>
  <si>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</si>
  <si>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</si>
  <si>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</si>
  <si>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</si>
  <si>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</si>
  <si>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</si>
  <si>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</si>
  <si>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</si>
  <si>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</si>
  <si>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</si>
  <si>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</si>
  <si>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</si>
  <si>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</si>
  <si>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</si>
  <si>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</si>
  <si>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</si>
  <si>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</si>
  <si>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</si>
  <si>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</si>
  <si>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</si>
  <si>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</si>
  <si>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</si>
  <si>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</si>
  <si>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</si>
  <si>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</si>
  <si>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</si>
  <si>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</si>
  <si>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</si>
  <si>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</si>
  <si>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</si>
  <si>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</si>
  <si>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</si>
  <si>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</si>
  <si>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</si>
  <si>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</si>
  <si>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</si>
  <si>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</si>
  <si>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</si>
  <si>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</si>
  <si>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</si>
  <si>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</si>
  <si>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</si>
  <si>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</si>
  <si>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</si>
  <si>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</si>
  <si>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</si>
  <si>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</si>
  <si>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</si>
  <si>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</si>
  <si>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</si>
  <si>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</si>
  <si>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</si>
  <si>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</si>
  <si>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</si>
  <si>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</si>
  <si>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</si>
  <si>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</si>
  <si>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</si>
  <si>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</si>
  <si>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</si>
  <si>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</si>
  <si>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</si>
  <si>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</si>
  <si>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</si>
  <si>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</si>
  <si>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</si>
  <si>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</si>
  <si>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</si>
  <si>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</si>
  <si>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</si>
  <si>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</si>
  <si>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</si>
  <si>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</si>
  <si>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</si>
  <si>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</si>
  <si>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</si>
  <si>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</si>
  <si>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</si>
  <si>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</si>
  <si>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</si>
  <si>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</si>
  <si>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</si>
  <si>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</si>
  <si>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</si>
  <si>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</si>
  <si>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</si>
  <si>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</si>
  <si>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</si>
  <si>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</si>
  <si>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</si>
  <si>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</si>
  <si>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</si>
  <si>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</si>
  <si>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</si>
  <si>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</si>
  <si>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</si>
  <si>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</si>
  <si>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</si>
  <si>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</si>
  <si>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</si>
  <si>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</si>
  <si>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</si>
  <si>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</si>
  <si>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</si>
  <si>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</si>
  <si>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</si>
  <si>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</si>
  <si>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</si>
  <si>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</si>
  <si>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</si>
  <si>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</si>
  <si>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</si>
  <si>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</si>
  <si>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</si>
  <si>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</si>
  <si>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</si>
  <si>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</si>
  <si>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</si>
  <si>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</si>
  <si>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</si>
  <si>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</si>
  <si>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</si>
  <si>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</si>
  <si>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</si>
  <si>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</si>
  <si>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</si>
  <si>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</si>
  <si>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</si>
  <si>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</si>
  <si>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</si>
  <si>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</si>
  <si>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</si>
  <si>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</si>
  <si>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</si>
  <si>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</si>
  <si>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</si>
  <si>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</si>
  <si>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</si>
  <si>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</si>
  <si>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</si>
  <si>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</si>
  <si>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</si>
  <si>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</si>
  <si>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</si>
  <si>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</si>
  <si>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</si>
  <si>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</si>
  <si>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</si>
  <si>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</si>
  <si>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</si>
  <si>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</si>
  <si>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</si>
  <si>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</si>
  <si>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</si>
  <si>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</si>
  <si>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</si>
  <si>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</si>
  <si>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</si>
  <si>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</si>
  <si>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</si>
  <si>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</si>
  <si>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</si>
  <si>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</si>
  <si>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</si>
  <si>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</si>
  <si>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</si>
  <si>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</si>
  <si>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</si>
  <si>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</si>
  <si>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</si>
  <si>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</si>
  <si>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</si>
  <si>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</si>
  <si>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</si>
  <si>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</si>
  <si>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</si>
  <si>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</si>
  <si>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</si>
  <si>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</si>
  <si>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</si>
  <si>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</si>
  <si>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</si>
  <si>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</si>
  <si>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</si>
  <si>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</si>
  <si>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</si>
  <si>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</si>
  <si>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</si>
  <si>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</si>
  <si>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</si>
  <si>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</si>
  <si>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</si>
  <si>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</si>
  <si>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</si>
  <si>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</si>
  <si>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</si>
  <si>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</si>
  <si>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</si>
  <si>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</si>
  <si>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</si>
  <si>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</si>
  <si>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</si>
  <si>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</si>
  <si>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</si>
  <si>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</si>
  <si>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</si>
  <si>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</si>
  <si>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</si>
  <si>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</si>
  <si>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</si>
  <si>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</si>
  <si>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</si>
  <si>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</si>
  <si>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</si>
  <si>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</si>
  <si>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</si>
  <si>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</si>
  <si>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</si>
  <si>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</si>
  <si>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</si>
  <si>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</si>
  <si>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</si>
  <si>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</si>
  <si>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</si>
  <si>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</si>
  <si>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</si>
  <si>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</si>
  <si>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</si>
  <si>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</si>
  <si>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</si>
  <si>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</si>
  <si>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</si>
  <si>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</si>
  <si>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</si>
  <si>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</si>
  <si>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</si>
  <si>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</si>
  <si>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</si>
  <si>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</si>
  <si>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</si>
  <si>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</si>
  <si>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</si>
  <si>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</si>
  <si>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</si>
  <si>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</si>
  <si>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</si>
  <si>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</si>
  <si>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</si>
  <si>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</si>
  <si>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</si>
  <si>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</si>
  <si>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</si>
  <si>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</si>
  <si>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</si>
  <si>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</si>
  <si>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</si>
  <si>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</si>
  <si>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</si>
  <si>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</si>
  <si>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</si>
  <si>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</si>
  <si>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</si>
  <si>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</si>
  <si>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</si>
  <si>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</si>
  <si>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</si>
  <si>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</si>
  <si>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</si>
  <si>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</si>
  <si>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</si>
  <si>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</si>
  <si>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</si>
  <si>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</si>
  <si>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</si>
  <si>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</si>
  <si>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</si>
  <si>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</si>
  <si>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</si>
  <si>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</si>
  <si>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</si>
  <si>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</si>
  <si>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</si>
  <si>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</si>
  <si>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</si>
  <si>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</si>
  <si>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</si>
  <si>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</si>
  <si>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</si>
  <si>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</si>
  <si>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</si>
  <si>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</si>
  <si>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</si>
  <si>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</si>
  <si>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</si>
  <si>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</si>
  <si>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</si>
  <si>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</si>
  <si>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</si>
  <si>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</si>
  <si>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</si>
  <si>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</si>
  <si>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</si>
  <si>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</si>
  <si>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</si>
  <si>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</si>
  <si>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</si>
  <si>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</si>
  <si>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</si>
  <si>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</si>
  <si>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</si>
  <si>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</si>
  <si>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</si>
  <si>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</si>
  <si>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</si>
  <si>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</si>
  <si>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</si>
  <si>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</si>
  <si>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</si>
  <si>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</si>
  <si>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</si>
  <si>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</si>
  <si>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</si>
  <si>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</si>
  <si>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</si>
  <si>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</si>
  <si>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</si>
  <si>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</si>
  <si>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</si>
  <si>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</si>
  <si>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</si>
  <si>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</si>
  <si>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</si>
  <si>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</si>
  <si>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</si>
  <si>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</si>
  <si>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</si>
  <si>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</si>
  <si>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</si>
  <si>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</si>
  <si>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</si>
  <si>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</si>
  <si>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</si>
  <si>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</si>
  <si>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</si>
  <si>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</si>
  <si>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</si>
  <si>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</si>
  <si>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</si>
  <si>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</si>
  <si>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</si>
  <si>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</si>
  <si>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</si>
  <si>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</si>
  <si>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</si>
  <si>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</si>
  <si>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</si>
  <si>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</si>
  <si>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</si>
  <si>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</si>
  <si>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</si>
  <si>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</si>
  <si>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</si>
  <si>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</si>
  <si>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</si>
  <si>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</si>
  <si>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</si>
  <si>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</si>
  <si>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</si>
  <si>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</si>
  <si>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</si>
  <si>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</si>
  <si>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</si>
  <si>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</si>
  <si>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</si>
  <si>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</si>
  <si>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</si>
  <si>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</si>
  <si>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</si>
  <si>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</si>
  <si>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</si>
  <si>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</si>
  <si>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</si>
  <si>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</si>
  <si>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</si>
  <si>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</si>
  <si>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</si>
  <si>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</si>
  <si>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</si>
  <si>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</si>
  <si>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</si>
  <si>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</si>
  <si>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10SW8006N</t>
  </si>
  <si>
    <t>10TW5006S</t>
  </si>
  <si>
    <t>10TW5007S</t>
  </si>
  <si>
    <t>11004</t>
  </si>
  <si>
    <t>11011</t>
  </si>
  <si>
    <t>13099</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</si>
  <si>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</si>
  <si>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</si>
  <si>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</si>
  <si>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</si>
  <si>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</si>
  <si>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</si>
  <si>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</si>
  <si>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</si>
  <si>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</si>
  <si>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</si>
  <si>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</si>
  <si>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</si>
  <si>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</si>
  <si>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</si>
  <si>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</si>
  <si>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</si>
  <si>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</si>
  <si>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</si>
  <si>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</si>
  <si>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</si>
  <si>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20531</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</si>
  <si>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</si>
  <si>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</si>
  <si>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</si>
  <si>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</si>
  <si>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</si>
  <si>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</si>
  <si>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</si>
  <si>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</si>
  <si>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</si>
  <si>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</si>
  <si>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</si>
  <si>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</si>
  <si>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</si>
  <si>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</si>
  <si>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</si>
  <si>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</si>
  <si>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</si>
  <si>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</si>
  <si>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</si>
  <si>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</si>
  <si>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</si>
  <si>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</si>
  <si>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</si>
  <si>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</si>
  <si>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25442</t>
  </si>
  <si>
    <t>30063</t>
  </si>
  <si>
    <t>30073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</si>
  <si>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</si>
  <si>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</si>
  <si>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</si>
  <si>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</si>
  <si>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</si>
  <si>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</si>
  <si>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</si>
  <si>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</si>
  <si>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</si>
  <si>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</si>
  <si>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</si>
  <si>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</si>
  <si>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</si>
  <si>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</si>
  <si>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</si>
  <si>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</si>
  <si>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</si>
  <si>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</si>
  <si>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</si>
  <si>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</si>
  <si>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</si>
  <si>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</si>
  <si>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</si>
  <si>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3FKFS250222</t>
  </si>
  <si>
    <t>3FKSS230206</t>
  </si>
  <si>
    <t>3FKSS230210</t>
  </si>
  <si>
    <t>3FKSS230212</t>
  </si>
  <si>
    <t>3FKSS230214</t>
  </si>
  <si>
    <t>3FKSS230216</t>
  </si>
  <si>
    <t>3FKSS230218</t>
  </si>
  <si>
    <t>3FPAP310218</t>
  </si>
  <si>
    <t>41BR2410080810T</t>
  </si>
  <si>
    <t>41BR2610080810T</t>
  </si>
  <si>
    <t>41BR2810080810T</t>
  </si>
  <si>
    <t>41ST3028</t>
  </si>
  <si>
    <t>41ST3030</t>
  </si>
  <si>
    <t>45ST3024</t>
  </si>
  <si>
    <t>45ST3026</t>
  </si>
  <si>
    <t>45ST3028</t>
  </si>
  <si>
    <t>45ST3030</t>
  </si>
  <si>
    <t>71271440</t>
  </si>
  <si>
    <t>71302200</t>
  </si>
  <si>
    <t>71302803</t>
  </si>
  <si>
    <t>71303200</t>
  </si>
  <si>
    <t>71306110</t>
  </si>
  <si>
    <t>71306611</t>
  </si>
  <si>
    <t>71306612</t>
  </si>
  <si>
    <t>71306613</t>
  </si>
  <si>
    <t>71306614</t>
  </si>
  <si>
    <t>71306712</t>
  </si>
  <si>
    <t>71316509</t>
  </si>
  <si>
    <t>71332515</t>
  </si>
  <si>
    <t>71332520</t>
  </si>
  <si>
    <t>71332525</t>
  </si>
  <si>
    <t>71332530</t>
  </si>
  <si>
    <t>71332535</t>
  </si>
  <si>
    <t>71334948</t>
  </si>
  <si>
    <t>71334952</t>
  </si>
  <si>
    <t>71335540</t>
  </si>
  <si>
    <t>71335548</t>
  </si>
  <si>
    <t>71335550</t>
  </si>
  <si>
    <t>71335552</t>
  </si>
  <si>
    <t>71335554</t>
  </si>
  <si>
    <t>71335556</t>
  </si>
  <si>
    <t>71337140</t>
  </si>
  <si>
    <t>71337650</t>
  </si>
  <si>
    <t>71337652</t>
  </si>
  <si>
    <t>71337654</t>
  </si>
  <si>
    <t>71337656</t>
  </si>
  <si>
    <t>71337948</t>
  </si>
  <si>
    <t>71342803</t>
  </si>
  <si>
    <t>71343200</t>
  </si>
  <si>
    <t>71343203</t>
  </si>
  <si>
    <t>71343208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</si>
  <si>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</si>
  <si>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</si>
  <si>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</si>
  <si>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</si>
  <si>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</si>
  <si>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</si>
  <si>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</si>
  <si>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</si>
  <si>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</si>
  <si>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</si>
  <si>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</si>
  <si>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</si>
  <si>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</si>
  <si>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</si>
  <si>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</si>
  <si>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</si>
  <si>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</si>
  <si>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</si>
  <si>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</si>
  <si>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</si>
  <si>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</si>
  <si>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</si>
  <si>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</si>
  <si>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</si>
  <si>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</si>
  <si>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</si>
  <si>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</si>
  <si>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</si>
  <si>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</si>
  <si>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</si>
  <si>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</si>
  <si>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</si>
  <si>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</si>
  <si>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</si>
  <si>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</si>
  <si>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</si>
  <si>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</si>
  <si>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</si>
  <si>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</si>
  <si>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</si>
  <si>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</si>
  <si>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</si>
  <si>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</si>
  <si>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</si>
  <si>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</si>
  <si>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</si>
  <si>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71421113</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</si>
  <si>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</si>
  <si>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</si>
  <si>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</si>
  <si>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</si>
  <si>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</si>
  <si>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</si>
  <si>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</si>
  <si>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</si>
  <si>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</si>
  <si>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</si>
  <si>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</si>
  <si>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</si>
  <si>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</si>
  <si>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</si>
  <si>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</si>
  <si>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</si>
  <si>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71453202</t>
  </si>
  <si>
    <t>71453211</t>
  </si>
  <si>
    <t>71453212</t>
  </si>
  <si>
    <t>71453213</t>
  </si>
  <si>
    <t>71453221</t>
  </si>
  <si>
    <t>71453222</t>
  </si>
  <si>
    <t>72202674</t>
  </si>
  <si>
    <t>72204152</t>
  </si>
  <si>
    <t>72204190</t>
  </si>
  <si>
    <t>92841</t>
  </si>
  <si>
    <t>admin</t>
  </si>
  <si>
    <t>0</t>
  </si>
  <si>
    <t>Default</t>
  </si>
  <si>
    <t>=</t>
  </si>
  <si>
    <t>G</t>
  </si>
  <si>
    <t>10-602</t>
  </si>
  <si>
    <t>10105</t>
  </si>
  <si>
    <t>10110</t>
  </si>
  <si>
    <t>10803</t>
  </si>
  <si>
    <t>30197082</t>
  </si>
  <si>
    <t>30197085</t>
  </si>
  <si>
    <t>30209703</t>
  </si>
  <si>
    <t>8810809</t>
  </si>
  <si>
    <t>8848803</t>
  </si>
  <si>
    <t>9235403</t>
  </si>
  <si>
    <t>CIENT-01</t>
  </si>
  <si>
    <t>MEDITOP</t>
  </si>
  <si>
    <t>ECU</t>
  </si>
  <si>
    <t>A</t>
  </si>
  <si>
    <t>R</t>
  </si>
  <si>
    <t>10-4025</t>
  </si>
  <si>
    <t>10-6000</t>
  </si>
  <si>
    <t>10102</t>
  </si>
  <si>
    <t>10167</t>
  </si>
  <si>
    <t>10314</t>
  </si>
  <si>
    <t>10356T</t>
  </si>
  <si>
    <t>10400</t>
  </si>
  <si>
    <t>10420</t>
  </si>
  <si>
    <t>10714</t>
  </si>
  <si>
    <t>10715</t>
  </si>
  <si>
    <t>10716</t>
  </si>
  <si>
    <t>10800</t>
  </si>
  <si>
    <t>10801</t>
  </si>
  <si>
    <t>1081801</t>
  </si>
  <si>
    <t>1082401</t>
  </si>
  <si>
    <t>1083001</t>
  </si>
  <si>
    <t>1083601</t>
  </si>
  <si>
    <t>1084501</t>
  </si>
  <si>
    <t>11228</t>
  </si>
  <si>
    <t>11232</t>
  </si>
  <si>
    <t>13-5024</t>
  </si>
  <si>
    <t>135100</t>
  </si>
  <si>
    <t>160</t>
  </si>
  <si>
    <t>20016</t>
  </si>
  <si>
    <t>20053</t>
  </si>
  <si>
    <t>20054</t>
  </si>
  <si>
    <t>20055</t>
  </si>
  <si>
    <t>20833</t>
  </si>
  <si>
    <t>20836</t>
  </si>
  <si>
    <t>21032</t>
  </si>
  <si>
    <t>21298</t>
  </si>
  <si>
    <t>21833</t>
  </si>
  <si>
    <t>240</t>
  </si>
  <si>
    <t>24602</t>
  </si>
  <si>
    <t>26030</t>
  </si>
  <si>
    <t>270</t>
  </si>
  <si>
    <t>30177836</t>
  </si>
  <si>
    <t>30193260</t>
  </si>
  <si>
    <t>30196092</t>
  </si>
  <si>
    <t>30196094</t>
  </si>
  <si>
    <t>30197006</t>
  </si>
  <si>
    <t>30200242</t>
  </si>
  <si>
    <t>30204303</t>
  </si>
  <si>
    <t>30204383</t>
  </si>
  <si>
    <t>30204384</t>
  </si>
  <si>
    <t>30207866</t>
  </si>
  <si>
    <t>30207867</t>
  </si>
  <si>
    <t>30209655</t>
  </si>
  <si>
    <t>30210128</t>
  </si>
  <si>
    <t>30210796</t>
  </si>
  <si>
    <t>30212902</t>
  </si>
  <si>
    <t>30212903</t>
  </si>
  <si>
    <t>30215947</t>
  </si>
  <si>
    <t>30216482</t>
  </si>
  <si>
    <t>30218777</t>
  </si>
  <si>
    <t>30218786</t>
  </si>
  <si>
    <t>30218808</t>
  </si>
  <si>
    <t>30218902</t>
  </si>
  <si>
    <t>30220934</t>
  </si>
  <si>
    <t>316</t>
  </si>
  <si>
    <t>4824727</t>
  </si>
  <si>
    <t>5060101</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</si>
  <si>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</si>
  <si>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</si>
  <si>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</si>
  <si>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</si>
  <si>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</si>
  <si>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</si>
  <si>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</si>
  <si>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</si>
  <si>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</si>
  <si>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</si>
  <si>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</si>
  <si>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</si>
  <si>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</si>
  <si>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</si>
  <si>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</si>
  <si>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</si>
  <si>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</si>
  <si>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</si>
  <si>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</si>
  <si>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</si>
  <si>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</si>
  <si>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</si>
  <si>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</si>
  <si>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</si>
  <si>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</si>
  <si>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</si>
  <si>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</si>
  <si>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</si>
  <si>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</si>
  <si>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</si>
  <si>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</si>
  <si>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</si>
  <si>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</si>
  <si>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2016-10</t>
  </si>
  <si>
    <t>2016-11</t>
  </si>
  <si>
    <t>2016-12</t>
  </si>
  <si>
    <t>2017-1</t>
  </si>
  <si>
    <t>2017-2</t>
  </si>
  <si>
    <t>Borrar</t>
  </si>
  <si>
    <t>+-</t>
  </si>
  <si>
    <t>LOHMANN &amp; RAUSCHER</t>
  </si>
  <si>
    <t>30075</t>
  </si>
  <si>
    <t>30078</t>
  </si>
  <si>
    <t>LIBRE-58</t>
  </si>
  <si>
    <t>MEDITOP.xlsm</t>
  </si>
  <si>
    <t>LOHMANN AÉREO</t>
  </si>
  <si>
    <t>Raucocell taponamiento para nariz 45mm</t>
  </si>
  <si>
    <t>Raucocell</t>
  </si>
  <si>
    <t>11010</t>
  </si>
  <si>
    <t>RAUCOCEL STRAIGHT NASAL PACK STERILE</t>
  </si>
  <si>
    <t>BUF</t>
  </si>
  <si>
    <t>V</t>
  </si>
  <si>
    <t>Raucocell taponamiento para nariz 80mm</t>
  </si>
  <si>
    <t>11989</t>
  </si>
  <si>
    <t>LIBRE-174</t>
  </si>
  <si>
    <t>Sentinex mascarilla con protector para f</t>
  </si>
  <si>
    <t>SENTINEX</t>
  </si>
  <si>
    <t>12064</t>
  </si>
  <si>
    <t>Vliwasoft  gasa no tejida  10cm x 10cm</t>
  </si>
  <si>
    <t>Vliwasoft</t>
  </si>
  <si>
    <t>12081</t>
  </si>
  <si>
    <t>Vliwasoft  gasa no tejida 7 5cm x 7 5 cm</t>
  </si>
  <si>
    <t>13019</t>
  </si>
  <si>
    <t>Pro Ophta   5 5 x 7 5cm</t>
  </si>
  <si>
    <t>Pro-Ophta</t>
  </si>
  <si>
    <t>LIBRE-6</t>
  </si>
  <si>
    <t>Curapor Transparent  7 x 5cm</t>
  </si>
  <si>
    <t>Curapor Transparent</t>
  </si>
  <si>
    <t>13102</t>
  </si>
  <si>
    <t>LIBRE-175</t>
  </si>
  <si>
    <t>L</t>
  </si>
  <si>
    <t>Curapor Transparent 10 x 8cm</t>
  </si>
  <si>
    <t>13103</t>
  </si>
  <si>
    <t>Curapor Transparent 10 x 15cm</t>
  </si>
  <si>
    <t>13104</t>
  </si>
  <si>
    <t>Curapor Transparent 10 x 20cm</t>
  </si>
  <si>
    <t>Curapor Transparent 10 x 25cm</t>
  </si>
  <si>
    <t>13200</t>
  </si>
  <si>
    <t>LIBRE-209</t>
  </si>
  <si>
    <t>Tg Soft Tubular Padding Bandage talla s</t>
  </si>
  <si>
    <t>TG Soft</t>
  </si>
  <si>
    <t>13201</t>
  </si>
  <si>
    <t>Tg Soft Tubular Padding Bandage talla m</t>
  </si>
  <si>
    <t>14410</t>
  </si>
  <si>
    <t>Mollelast Haft blanco 4cm x 4m</t>
  </si>
  <si>
    <t>Mollelast Haft</t>
  </si>
  <si>
    <t>Vendaje Tubular simple 2 plg 6cm x 25m</t>
  </si>
  <si>
    <t>Vendaje Tubular (estoquineta)</t>
  </si>
  <si>
    <t>Vendaje Tubular simple 3 plgd 8cm x 25m</t>
  </si>
  <si>
    <t>Vendaje Tubular simple 4 plgd 10cm x 25m</t>
  </si>
  <si>
    <t>Vendaje Tubular simple 6 plgd 15cm x 25m</t>
  </si>
  <si>
    <t>14825</t>
  </si>
  <si>
    <t>Vendaje Tubular simple 8 plgd 20cm x 25m</t>
  </si>
  <si>
    <t>14827</t>
  </si>
  <si>
    <t>Vendaje Tubular simple 12 plg 30cm x 25m</t>
  </si>
  <si>
    <t>Set Pack  10cm x 10cm</t>
  </si>
  <si>
    <t>SET PACK</t>
  </si>
  <si>
    <t>15282</t>
  </si>
  <si>
    <t>Valpeau Crepe F  15cm x 4m</t>
  </si>
  <si>
    <t>Valpeau Crepe</t>
  </si>
  <si>
    <t>FUNDA ESTERIL PARA LAPAROSCOPIA</t>
  </si>
  <si>
    <t>RAUCODRAPE</t>
  </si>
  <si>
    <t>16756</t>
  </si>
  <si>
    <t>Forteast Plus adh adentro 15cm x 4 5m</t>
  </si>
  <si>
    <t>Fortelast Plus</t>
  </si>
  <si>
    <t>"Fortelast Plus - 7,5cm x 4,5m"</t>
  </si>
  <si>
    <t>"Fortelast Plus - 10cm x 4,5m"</t>
  </si>
  <si>
    <t>Komprex II  plancha de espuma 65cmx65cm</t>
  </si>
  <si>
    <t>Komprex II</t>
  </si>
  <si>
    <t>17422</t>
  </si>
  <si>
    <t>Sentinex Astro Extra  gorro escafandra</t>
  </si>
  <si>
    <t>17740</t>
  </si>
  <si>
    <t>Rosidal Mobil  Talla s</t>
  </si>
  <si>
    <t>Rosidal Mobil</t>
  </si>
  <si>
    <t>17742</t>
  </si>
  <si>
    <t>Rosidal Mobil Talla L</t>
  </si>
  <si>
    <t>17743</t>
  </si>
  <si>
    <t>Rosidal Mobil Talla XL</t>
  </si>
  <si>
    <t>17816</t>
  </si>
  <si>
    <t>Valpeau Crepe F  10cm x 4m</t>
  </si>
  <si>
    <t>17817</t>
  </si>
  <si>
    <t>17818</t>
  </si>
  <si>
    <t>Valpeau Crepe F  20cm x 4m</t>
  </si>
  <si>
    <t>18515</t>
  </si>
  <si>
    <t>Gazin gasa 10cm x 10cm</t>
  </si>
  <si>
    <t>GAZIN</t>
  </si>
  <si>
    <t>19461</t>
  </si>
  <si>
    <t>Lenkelast 8cm x 5m</t>
  </si>
  <si>
    <t>Lenkelast</t>
  </si>
  <si>
    <t>19462</t>
  </si>
  <si>
    <t>Lenkelast 10cm x 5m</t>
  </si>
  <si>
    <t>19464</t>
  </si>
  <si>
    <t>Lenkelast 15cm x 5m</t>
  </si>
  <si>
    <t>20254</t>
  </si>
  <si>
    <t>Vliwaktiv aposito carbon activo 10x10cm</t>
  </si>
  <si>
    <t>Vliwaktiv</t>
  </si>
  <si>
    <t>20394</t>
  </si>
  <si>
    <t>"Metalline Tracheo Dressing, Esteril 8x9c"</t>
  </si>
  <si>
    <t>Metalline</t>
  </si>
  <si>
    <t>Suprasorb H standard  15 x 15cm</t>
  </si>
  <si>
    <t>Suprasorb</t>
  </si>
  <si>
    <t>Suprasorb H standard  20 x20cm</t>
  </si>
  <si>
    <t>Suprasorb H standard 10 x 10cm</t>
  </si>
  <si>
    <t>20407</t>
  </si>
  <si>
    <t>Suprasorb P sin adhesivo 10 x 10cm</t>
  </si>
  <si>
    <t>20408</t>
  </si>
  <si>
    <t>Suprasorb P sin adhesivo 15 x 15cm</t>
  </si>
  <si>
    <t>Suprasorb H delgado  5 x 10cm</t>
  </si>
  <si>
    <t>Suprasorb H delgado  5 x 20cm</t>
  </si>
  <si>
    <t>Suprasorb H delgado  10x 10cm</t>
  </si>
  <si>
    <t>Suprasorb H delgado  15 x 15cm</t>
  </si>
  <si>
    <t>20414</t>
  </si>
  <si>
    <t>Suprasorb H delgado  20 x 20cm</t>
  </si>
  <si>
    <t>20415</t>
  </si>
  <si>
    <t>Suprasorb P sacrum  18 x 20 5cm</t>
  </si>
  <si>
    <t>20417</t>
  </si>
  <si>
    <t>Suprasorb P con adhesivo  10 x 10cm</t>
  </si>
  <si>
    <t>20430</t>
  </si>
  <si>
    <t>Suprasorb H delgado  14 x 16cm</t>
  </si>
  <si>
    <t>Suprasorb A 10 x 10cm</t>
  </si>
  <si>
    <t>20442</t>
  </si>
  <si>
    <t>Suprasorb A 10 x 20 cm</t>
  </si>
  <si>
    <t>Suprasorb A 30cm  rope</t>
  </si>
  <si>
    <t>20461</t>
  </si>
  <si>
    <t>Suprasorb F esteril 5 x 7 cm</t>
  </si>
  <si>
    <t>LIBRE-21</t>
  </si>
  <si>
    <t>Suprasorb F esteril 10 x 12 cm</t>
  </si>
  <si>
    <t>20464</t>
  </si>
  <si>
    <t>Suprasorb F Aposito Lamina 25cm x 10m</t>
  </si>
  <si>
    <t>20468</t>
  </si>
  <si>
    <t>Suprasorb F esteril 10cmx10mts</t>
  </si>
  <si>
    <t>20469</t>
  </si>
  <si>
    <t>Suprasorb F Rollo no esteril 15cmx10m</t>
  </si>
  <si>
    <t>Suprasorb G  10 x 10cm</t>
  </si>
  <si>
    <t>20478</t>
  </si>
  <si>
    <t>Suprasorb G  6g  Jeringa</t>
  </si>
  <si>
    <t>Suprasorb G  20g  Jeringa</t>
  </si>
  <si>
    <t>Suprasorb C 4 x 6cm</t>
  </si>
  <si>
    <t>Suprasorb C 6 x 8cm</t>
  </si>
  <si>
    <t>Suprasorb C 8 x 12 cm</t>
  </si>
  <si>
    <t>Suprasorb X  9X9CM</t>
  </si>
  <si>
    <t>20532</t>
  </si>
  <si>
    <t>Suprasorb X  14X20 CM</t>
  </si>
  <si>
    <t>20533</t>
  </si>
  <si>
    <t>Suprasorb X mecha 2X21CM</t>
  </si>
  <si>
    <t>20534</t>
  </si>
  <si>
    <t>Suprasorb X  5X5 CM</t>
  </si>
  <si>
    <t>Suprasorb X PHMB  5X5CM</t>
  </si>
  <si>
    <t>Suprasorb X PHMB  9X9 CM</t>
  </si>
  <si>
    <t>20542</t>
  </si>
  <si>
    <t>Suprasorb X PHMB  14x20cm</t>
  </si>
  <si>
    <t>20543</t>
  </si>
  <si>
    <t>Suprasorb X PHMB mecha  2x21CM</t>
  </si>
  <si>
    <t>Suprasorb A+Ag 5x5cm</t>
  </si>
  <si>
    <t>Suprasorb A+Ag  10 x 10cm</t>
  </si>
  <si>
    <t>Suprasorb A+Ag 10x20cm</t>
  </si>
  <si>
    <t>Suprasorb A+Ag 30cm 2g</t>
  </si>
  <si>
    <t>Varicex venda con oxido de zinc 10cmx1m</t>
  </si>
  <si>
    <t>Varicex</t>
  </si>
  <si>
    <t>Aposito carbon activo + Plata 10 x 10cm</t>
  </si>
  <si>
    <t>Vliwaktiv + Ag</t>
  </si>
  <si>
    <t>20705</t>
  </si>
  <si>
    <t>Aposito carbon activo ma Plata 10x10cm</t>
  </si>
  <si>
    <t>Aposito carbon activo mas Plata 10x20cm</t>
  </si>
  <si>
    <t>22022</t>
  </si>
  <si>
    <t>Dauerbinde K 10cm x 7m</t>
  </si>
  <si>
    <t>Dauerbinde</t>
  </si>
  <si>
    <t>22023</t>
  </si>
  <si>
    <t>Dauerbinde K 12cm x 7m</t>
  </si>
  <si>
    <t>22200</t>
  </si>
  <si>
    <t>Rosidal K  6cm x 5m</t>
  </si>
  <si>
    <t>Rosidal K</t>
  </si>
  <si>
    <t>Rosidal K  8cm x 5m</t>
  </si>
  <si>
    <t>Rosidal K 10cm x 5m</t>
  </si>
  <si>
    <t>22203</t>
  </si>
  <si>
    <t>Rosidal K  12cm x 5m</t>
  </si>
  <si>
    <t>22300</t>
  </si>
  <si>
    <t>Komprex II pad de goma rinon 9x6 5cm</t>
  </si>
  <si>
    <t>22301</t>
  </si>
  <si>
    <t>Komprex II pad de goma rinon 9 x 5cm</t>
  </si>
  <si>
    <t>22304</t>
  </si>
  <si>
    <t>Komprex Talla 3 25cm x 20cm x 1cm</t>
  </si>
  <si>
    <t>22312</t>
  </si>
  <si>
    <t>Komprex II 10cm x 1m</t>
  </si>
  <si>
    <t>22313</t>
  </si>
  <si>
    <t>Komprex II 8cm x 2m</t>
  </si>
  <si>
    <t>22315</t>
  </si>
  <si>
    <t>Haftan - 7cm x 27.5m</t>
  </si>
  <si>
    <t>Haftan</t>
  </si>
  <si>
    <t>22316</t>
  </si>
  <si>
    <t>Haftan - 10cm x 27.5m</t>
  </si>
  <si>
    <t>22320</t>
  </si>
  <si>
    <t>Komprex II plancha de espuma 50cmx1mx1cm</t>
  </si>
  <si>
    <t>22446</t>
  </si>
  <si>
    <t>Cellacare Genucast medium</t>
  </si>
  <si>
    <t>Cellacare Genucast</t>
  </si>
  <si>
    <t>22447</t>
  </si>
  <si>
    <t>Cellacare Genucast  large</t>
  </si>
  <si>
    <t>22466</t>
  </si>
  <si>
    <t>Cellacare Malleo Akut  T1  De</t>
  </si>
  <si>
    <t>Cellacare Maleo Akut</t>
  </si>
  <si>
    <t>22467</t>
  </si>
  <si>
    <t>Cellacare Malleo Akut  T1  Iz</t>
  </si>
  <si>
    <t>22468</t>
  </si>
  <si>
    <t>Cellacare Malleo Akut  T2  De</t>
  </si>
  <si>
    <t>22469</t>
  </si>
  <si>
    <t>Cellacare Malleo Akut T2  Iz</t>
  </si>
  <si>
    <t>23000</t>
  </si>
  <si>
    <t>Metalline aposito no adherente 35X45CM</t>
  </si>
  <si>
    <t>23036</t>
  </si>
  <si>
    <t>Cellacast Active Bandage 7.5 cm x 3.6 m</t>
  </si>
  <si>
    <t>Cellacast Xtra</t>
  </si>
  <si>
    <t>23070</t>
  </si>
  <si>
    <t>Metalline manta 73cm x 10m</t>
  </si>
  <si>
    <t>23080</t>
  </si>
  <si>
    <t>Metalline aposito Rollo 10cm x 5m</t>
  </si>
  <si>
    <t>23081</t>
  </si>
  <si>
    <t>Metalline aposito  8 x 10cm</t>
  </si>
  <si>
    <t>23082</t>
  </si>
  <si>
    <t>Metalline aposito 10 x 12cm</t>
  </si>
  <si>
    <t>23083</t>
  </si>
  <si>
    <t>Metallline aposito 8x10cm</t>
  </si>
  <si>
    <t>23087</t>
  </si>
  <si>
    <t>Metallline aposito 10x20cm</t>
  </si>
  <si>
    <t>23093</t>
  </si>
  <si>
    <t>Metalline Drainage pad Esteril 6x7cm</t>
  </si>
  <si>
    <t>23094</t>
  </si>
  <si>
    <t>Metalline aposito traqueotomia 8 x 9CM</t>
  </si>
  <si>
    <t>Lomatuell H 10 x 20 cm</t>
  </si>
  <si>
    <t>Lomatuell H</t>
  </si>
  <si>
    <t>23317</t>
  </si>
  <si>
    <t>LOMATUELL H 10X30CM</t>
  </si>
  <si>
    <t>Lomatuell H 10 x 10 cm</t>
  </si>
  <si>
    <t>24251</t>
  </si>
  <si>
    <t>Tg Fix Hi El Vendaje tubular talla B</t>
  </si>
  <si>
    <t>TG Fix</t>
  </si>
  <si>
    <t>24252</t>
  </si>
  <si>
    <t>TG Fix tubular</t>
  </si>
  <si>
    <t>24501</t>
  </si>
  <si>
    <t>Vliwasorb 10X10CM</t>
  </si>
  <si>
    <t>Vliwasorb</t>
  </si>
  <si>
    <t>24502</t>
  </si>
  <si>
    <t>Vliwasorb 10X20 CM</t>
  </si>
  <si>
    <t>24503</t>
  </si>
  <si>
    <t>Vliwasorb  20X20 CM</t>
  </si>
  <si>
    <t>Cellacast Xtra Blanca 5cm X 3 6m</t>
  </si>
  <si>
    <t>Cellacast Xtra Blanca 7 5cm x 3 6m</t>
  </si>
  <si>
    <t>Cellacast Xtra Blanca 10cm x 3 6m</t>
  </si>
  <si>
    <t>Cellacast Xtra Blanca 12 5cm x 3 6m</t>
  </si>
  <si>
    <t>Cellacast Xtra AZUL 5cm X 3 6m</t>
  </si>
  <si>
    <t>Cellacast Xtra AZUL 7 5cm x 3 6m</t>
  </si>
  <si>
    <t>Cellacast Xtra AZUL 10cm x 3 6m</t>
  </si>
  <si>
    <t>Cellacast Xtra AZUL 12 5 cm x 3 6m</t>
  </si>
  <si>
    <t>Cellacast Xtra VERDE 5cm X 3 6m</t>
  </si>
  <si>
    <t>Cellacast Xtra VERDE 7 5cm x 3 6m</t>
  </si>
  <si>
    <t>Cellacast Xtra VERDE 10cm x 3 6m</t>
  </si>
  <si>
    <t>25224</t>
  </si>
  <si>
    <t>Cellacast Xtra VERDE 12 5cm x 3 6m</t>
  </si>
  <si>
    <t>Cellacast Xtra Naranja 5cm X 3 6m</t>
  </si>
  <si>
    <t>"Cellacast Xtra Naranja 7,5cm x 3,6m"</t>
  </si>
  <si>
    <t>Cellacast Xtra Naranja 10cm x 3 6m</t>
  </si>
  <si>
    <t>25238</t>
  </si>
  <si>
    <t>Cellacast Xtra Naranja 12 5cm x 3 6m</t>
  </si>
  <si>
    <t>Cellacast Xtra Amarillo 2 5cm X 3 6mt</t>
  </si>
  <si>
    <t>Cellacast Xtra Amarillo 7 5cm x 3 6m</t>
  </si>
  <si>
    <t>Cellacast Xtra Amarillo 10cm x 3 6m</t>
  </si>
  <si>
    <t>Cellacast Xtra Amarillo 12 5cm x 3 6m</t>
  </si>
  <si>
    <t>25441</t>
  </si>
  <si>
    <t>Campo adhesivo para incisicon 10x20cm</t>
  </si>
  <si>
    <t>Campo adhesivo para incisicon 30x20cm</t>
  </si>
  <si>
    <t>Campo adhesivo para incisicon 45x65cm</t>
  </si>
  <si>
    <t>26904</t>
  </si>
  <si>
    <t>Vliwasorb  20X30 CM</t>
  </si>
  <si>
    <t>26942</t>
  </si>
  <si>
    <t>ACTICO TPS M SHORT</t>
  </si>
  <si>
    <t>Actico TPS</t>
  </si>
  <si>
    <t>26944</t>
  </si>
  <si>
    <t>ACTICO TPS M LONG</t>
  </si>
  <si>
    <t>26947</t>
  </si>
  <si>
    <t>ACTICO TPS L</t>
  </si>
  <si>
    <t>Mollelast Haft blanco  8cm x 4m</t>
  </si>
  <si>
    <t>Mollelast Haft blanco 12cm x 4m</t>
  </si>
  <si>
    <t>Mollelast Haft Rosado  6cm x 20 m</t>
  </si>
  <si>
    <t>Mollelast Haft Rosado  8cm x 20 m</t>
  </si>
  <si>
    <t>Mollelast Haft Rojo 10cm x 20m</t>
  </si>
  <si>
    <t>Mollelast Haft Azul 6cm x 20 m</t>
  </si>
  <si>
    <t>Mollelast Haft Azul 8cm x 20 m</t>
  </si>
  <si>
    <t>Mollelast Haft Azul 10cm x 20m</t>
  </si>
  <si>
    <t>30340</t>
  </si>
  <si>
    <t>Curafix H 15cm x 2m</t>
  </si>
  <si>
    <t>Curafix H</t>
  </si>
  <si>
    <t>30343</t>
  </si>
  <si>
    <t>Curafix H 15cm x 10m</t>
  </si>
  <si>
    <t>30451</t>
  </si>
  <si>
    <t>Vliwazell  10 X 20cm</t>
  </si>
  <si>
    <t>Vliwazell</t>
  </si>
  <si>
    <t>Debrisoft - 10X10 CM</t>
  </si>
  <si>
    <t>Debrisoft</t>
  </si>
  <si>
    <t>32429</t>
  </si>
  <si>
    <t>Valpeau Crepe Vendas de Crepe 10cmx4m</t>
  </si>
  <si>
    <t>32430</t>
  </si>
  <si>
    <t>Valpeau Crepe F Vendas de Crepe 15cmx4m</t>
  </si>
  <si>
    <t>Lenkelast all purpose bandage Venda elas</t>
  </si>
  <si>
    <t>50821</t>
  </si>
  <si>
    <t>Cellona tacón de marcha MEDIUM</t>
  </si>
  <si>
    <t>Tacón de Marcha</t>
  </si>
  <si>
    <t>50858</t>
  </si>
  <si>
    <t>Cellona Shoecast-Talla 0  IZ</t>
  </si>
  <si>
    <t>Cellona Shoecast</t>
  </si>
  <si>
    <t>50859</t>
  </si>
  <si>
    <t>Cellona Shoecast Talla 0  DE</t>
  </si>
  <si>
    <t>50860</t>
  </si>
  <si>
    <t>Cellona Shoecast  Talla 1  IZ</t>
  </si>
  <si>
    <t>50861</t>
  </si>
  <si>
    <t>Cellona Shoecast Talla 1  DE</t>
  </si>
  <si>
    <t>50862</t>
  </si>
  <si>
    <t>Cellona Shoecast Talla 2   IZ</t>
  </si>
  <si>
    <t>50863</t>
  </si>
  <si>
    <t>Cellona Shoecast Talla 2  DE</t>
  </si>
  <si>
    <t>50864</t>
  </si>
  <si>
    <t>Cellona Shoecast Talla 3  IZ</t>
  </si>
  <si>
    <t>50865</t>
  </si>
  <si>
    <t>Cellona Shoecast Talla 3  DE</t>
  </si>
  <si>
    <t>-</t>
  </si>
  <si>
    <t>SUSP-12</t>
  </si>
  <si>
    <t>LOHMANN MARÍTIMO</t>
  </si>
  <si>
    <t>Vendo de Yeso 4 pulgadas  10 cm x 2 7m</t>
  </si>
  <si>
    <t>Cellona Xtra</t>
  </si>
  <si>
    <t>"Venda de Yeso de 6 pulgadas 15 cm x 2,7m"</t>
  </si>
  <si>
    <t>Venda de Yeso 8 pulgadas 20 cm x 2 7m</t>
  </si>
  <si>
    <t>Cellona Guata Sintética 7 5cm X 2 7m</t>
  </si>
  <si>
    <t>Cellona Guata sintética</t>
  </si>
  <si>
    <t>Cellona Guata Sintética 10cm X 2 7m</t>
  </si>
  <si>
    <t>Cellona Guata Sintética 15cm x 2 7m</t>
  </si>
  <si>
    <t>Cellona Guata Sintética 20cm x 2 7m</t>
  </si>
  <si>
    <t>93903</t>
  </si>
  <si>
    <t>Lomatuell H 10cm x 7m</t>
  </si>
  <si>
    <t>HOSPICARE</t>
  </si>
  <si>
    <t>REDAX</t>
  </si>
  <si>
    <t>10126</t>
  </si>
  <si>
    <t>10410</t>
  </si>
  <si>
    <t>10802</t>
  </si>
  <si>
    <t>20824</t>
  </si>
  <si>
    <t>21128</t>
  </si>
  <si>
    <t>24110</t>
  </si>
  <si>
    <t>24111</t>
  </si>
  <si>
    <t>24140</t>
  </si>
  <si>
    <t>24141</t>
  </si>
  <si>
    <t>24200</t>
  </si>
  <si>
    <t>24201</t>
  </si>
  <si>
    <t>24210</t>
  </si>
  <si>
    <t>24220</t>
  </si>
  <si>
    <t>24230</t>
  </si>
  <si>
    <t>24231</t>
  </si>
  <si>
    <t>24601</t>
  </si>
  <si>
    <t>24603</t>
  </si>
  <si>
    <t>24604</t>
  </si>
  <si>
    <t>24605</t>
  </si>
  <si>
    <t>24607</t>
  </si>
  <si>
    <t>24612</t>
  </si>
  <si>
    <t>24615</t>
  </si>
  <si>
    <t>24619</t>
  </si>
  <si>
    <t>24621</t>
  </si>
  <si>
    <t>25019</t>
  </si>
  <si>
    <t>25024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</si>
</sst>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3">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8">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7.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3.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8.emf"/><Relationship Id="rId16" Type="http://schemas.openxmlformats.org/officeDocument/2006/relationships/image" Target="../media/image3.emf"/><Relationship Id="rId20" Type="http://schemas.openxmlformats.org/officeDocument/2006/relationships/image" Target="../media/image1.emf"/><Relationship Id="rId1" Type="http://schemas.openxmlformats.org/officeDocument/2006/relationships/image" Target="../media/image9.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6.emf"/><Relationship Id="rId15" Type="http://schemas.openxmlformats.org/officeDocument/2006/relationships/image" Target="../media/image7.emf"/><Relationship Id="rId10" Type="http://schemas.openxmlformats.org/officeDocument/2006/relationships/image" Target="../media/image5.emf"/><Relationship Id="rId19" Type="http://schemas.openxmlformats.org/officeDocument/2006/relationships/image" Target="../media/image20.emf"/><Relationship Id="rId4" Type="http://schemas.openxmlformats.org/officeDocument/2006/relationships/image" Target="../media/image11.emf"/><Relationship Id="rId9" Type="http://schemas.openxmlformats.org/officeDocument/2006/relationships/image" Target="../media/image15.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276225</xdr:rowOff>
        </xdr:from>
        <xdr:to>
          <xdr:col>5</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7"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Y40" totalsRowShown="0" headerRowDxfId="207">
  <autoFilter ref="A8:BY40"/>
  <tableColumns count="77">
    <tableColumn id="1" name="CODIGO" dataDxfId="206"/>
    <tableColumn id="2" name="DESCRIPCION" dataDxfId="205"/>
    <tableColumn id="36" name="CODIGO GENERICO" dataDxfId="204"/>
    <tableColumn id="45" name="CODIGO VINCULADO" dataDxfId="203"/>
    <tableColumn id="4" name="LINEA" dataDxfId="202"/>
    <tableColumn id="29" name="SUBLINEA" dataDxfId="201"/>
    <tableColumn id="3" name="GRUPO" dataDxfId="200"/>
    <tableColumn id="22" name="FAMILIA" dataDxfId="199"/>
    <tableColumn id="23" name="SUBFAMILIA" dataDxfId="198"/>
    <tableColumn id="24" name="CATEGORIA" dataDxfId="197"/>
    <tableColumn id="25" name="TIPO" dataDxfId="196"/>
    <tableColumn id="26" name="MARCA" dataDxfId="195"/>
    <tableColumn id="27" name="MODELO" dataDxfId="194"/>
    <tableColumn id="28" name="CAT MANAGEMENT" dataDxfId="193"/>
    <tableColumn id="65" name="Estatus" dataDxfId="192"/>
    <tableColumn id="14" name="CTV" dataDxfId="191"/>
    <tableColumn id="15" name="PVP" dataDxfId="190"/>
    <tableColumn id="7" name="RENTABILIDAD" dataDxfId="189"/>
    <tableColumn id="53" name="RENTABILID PROY" dataDxfId="188"/>
    <tableColumn id="19" name="VEL EFECT" dataDxfId="187"/>
    <tableColumn id="20" name="SERVICIO" dataDxfId="186"/>
    <tableColumn id="21" name="PROVEEDOR" dataDxfId="185"/>
    <tableColumn id="39" name="PERFIL" dataDxfId="184"/>
    <tableColumn id="54" name="T REP" dataDxfId="183"/>
    <tableColumn id="55" name="F REP" dataDxfId="182"/>
    <tableColumn id="5" name="BUFFER" dataDxfId="181"/>
    <tableColumn id="75" name="INV PROVEEDOR" dataDxfId="180"/>
    <tableColumn id="31" name="INV FISICO" dataDxfId="179"/>
    <tableColumn id="6" name="CONS BUFF" dataDxfId="178"/>
    <tableColumn id="50" name="COLOR" dataDxfId="177"/>
    <tableColumn id="32" name="INV TRANSITO" dataDxfId="176"/>
    <tableColumn id="41" name="NEGOCIACIÓN" dataDxfId="175"/>
    <tableColumn id="42" name="PRODUCCIÓN" dataDxfId="174"/>
    <tableColumn id="43" name="EMBARCADO" dataDxfId="173"/>
    <tableColumn id="33" name="COMPROMETIDO" dataDxfId="172"/>
    <tableColumn id="34" name="BACKORDER" dataDxfId="171"/>
    <tableColumn id="40" name="INV PROYECTADO" dataDxfId="170"/>
    <tableColumn id="46" name="CONSUMO INV PROY" dataDxfId="169"/>
    <tableColumn id="51" name="COLOR1" dataDxfId="168"/>
    <tableColumn id="37" name="PEDIDO MIN" dataDxfId="167"/>
    <tableColumn id="38" name="PEDIDO MIN GRUPO" dataDxfId="166"/>
    <tableColumn id="30" name="UNIDAD EMPAQUE" dataDxfId="165"/>
    <tableColumn id="12" name="PEDIDO PROMEDIO" dataDxfId="164"/>
    <tableColumn id="47" name="COBERT BUFFER" dataDxfId="163"/>
    <tableColumn id="48" name="COBERT INV PROY" dataDxfId="162"/>
    <tableColumn id="49" name="COBERT PEDID MIN" dataDxfId="161"/>
    <tableColumn id="52" name="DIAS DESABASTECIM" dataDxfId="160"/>
    <tableColumn id="67" name="ULT TRANSFER INI" dataDxfId="159"/>
    <tableColumn id="68" name="ULT TRANSFER FIN" dataDxfId="158"/>
    <tableColumn id="64" name="2016-10" dataDxfId="157">
      <calculatedColumnFormula array="1">IFERROR(INDEX(Datos_Consumo[CANTIDAD],MATCH(TABLATRANSFERENCIA[[#This Row],[CODIGO]]&amp;TABLATRANSFERENCIA[[#Headers],[2016-10]],Datos_Consumo[CODIGO]&amp;Datos_Consumo[FECHA_FORMATO],0)),0)</calculatedColumnFormula>
    </tableColumn>
    <tableColumn id="63" name="2016-11" dataDxfId="156">
      <calculatedColumnFormula array="1">IFERROR(INDEX(Datos_Consumo[CANTIDAD],MATCH(TABLATRANSFERENCIA[[#This Row],[CODIGO]]&amp;TABLATRANSFERENCIA[[#Headers],[2016-11]],Datos_Consumo[CODIGO]&amp;Datos_Consumo[FECHA_FORMATO],0)),0)</calculatedColumnFormula>
    </tableColumn>
    <tableColumn id="62" name="2016-12" dataDxfId="155">
      <calculatedColumnFormula array="1">IFERROR(INDEX(Datos_Consumo[CANTIDAD],MATCH(TABLATRANSFERENCIA[[#This Row],[CODIGO]]&amp;TABLATRANSFERENCIA[[#Headers],[2016-12]],Datos_Consumo[CODIGO]&amp;Datos_Consumo[FECHA_FORMATO],0)),0)</calculatedColumnFormula>
    </tableColumn>
    <tableColumn id="61" name="2017-1" dataDxfId="154">
      <calculatedColumnFormula array="1">IFERROR(INDEX(Datos_Consumo[CANTIDAD],MATCH(TABLATRANSFERENCIA[[#This Row],[CODIGO]]&amp;TABLATRANSFERENCIA[[#Headers],[2017-1]],Datos_Consumo[CODIGO]&amp;Datos_Consumo[FECHA_FORMATO],0)),0)</calculatedColumnFormula>
    </tableColumn>
    <tableColumn id="60" name="2017-2" dataDxfId="153">
      <calculatedColumnFormula array="1">IFERROR(INDEX(Datos_Consumo[CANTIDAD],MATCH(TABLATRANSFERENCIA[[#This Row],[CODIGO]]&amp;TABLATRANSFERENCIA[[#Headers],[2017-2]],Datos_Consumo[CODIGO]&amp;Datos_Consumo[FECHA_FORMATO],0)),0)</calculatedColumnFormula>
    </tableColumn>
    <tableColumn id="59" name="Columna6" dataDxfId="152">
      <calculatedColumnFormula array="1">IFERROR(INDEX(Datos_Consumo[CANTIDAD],MATCH(TABLATRANSFERENCIA[[#This Row],[CODIGO]]&amp;TABLATRANSFERENCIA[[#Headers],[Columna6]],Datos_Consumo[CODIGO]&amp;Datos_Consumo[FECHA_FORMATO],0)),0)</calculatedColumnFormula>
    </tableColumn>
    <tableColumn id="8" name="REQUERIM" dataDxfId="151"/>
    <tableColumn id="13" name="REQ TOTAL" dataDxfId="150"/>
    <tableColumn id="76" name="PO" dataDxfId="149"/>
    <tableColumn id="66" name="EMBARQUES" dataDxfId="148"/>
    <tableColumn id="69" name="Emb1" dataDxfId="147">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6">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5">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4">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3">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2"/>
    <tableColumn id="44" name="TAMAÑO RELATIVO" dataDxfId="141">
      <calculatedColumnFormula>IFERROR(TABLATRANSFERENCIA[[#This Row],[REQUERIM]]/TABLATRANSFERENCIA[[#This Row],[PEDIDO PROMEDIO]],0)</calculatedColumnFormula>
    </tableColumn>
    <tableColumn id="9" name="DESPACHO" dataDxfId="140"/>
    <tableColumn id="10" name="RECIBIDO" dataDxfId="139"/>
    <tableColumn id="11" name="TRANSITO" dataDxfId="138">
      <calculatedColumnFormula>IF(TABLATRANSFERENCIA[[#This Row],[RECIBIDO]]&lt;&gt;"",0,IF(TABLATRANSFERENCIA[[#This Row],[DESPACHO]]&lt;&gt;"",TABLATRANSFERENCIA[[#This Row],[DESPACHO]],TABLATRANSFERENCIA[[#This Row],[REQUERIM]]))</calculatedColumnFormula>
    </tableColumn>
    <tableColumn id="16" name="OBSERVACIONES DESPACHOS" dataDxfId="137"/>
    <tableColumn id="17" name="OBSERVACIONES RECEPCIONES" dataDxfId="136"/>
    <tableColumn id="18" name="TIPO TRANSF" dataDxfId="135">
      <calculatedColumnFormula>"N"</calculatedColumnFormula>
    </tableColumn>
    <tableColumn id="35" name="Error Pedid Min Grupo" dataDxfId="134">
      <calculatedColumnFormula array="1">IF(SUM(--(TABLATRANSFERENCIA[[#This Row],[CODIGO GENERICO]]=TABLATRANSFERENCIA[CODIGO GENERICO])*TABLATRANSFERENCIA[REQUERIM])&lt;TABLATRANSFERENCIA[[#This Row],[PEDIDO MIN GRUPO]],1,0)</calculatedColumnFormula>
    </tableColumn>
    <tableColumn id="56" name="Color Proyectado" dataDxfId="133">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2"/>
    <tableColumn id="58" name="ZONA ROJA" dataDxfId="131"/>
    <tableColumn id="77" name="Borrar" dataDxfId="130"/>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29">
  <autoFilter ref="A1:BW2"/>
  <tableColumns count="75">
    <tableColumn id="1" name="CODIGO" dataDxfId="128"/>
    <tableColumn id="2" name="DESCRIPCION" dataDxfId="127">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6">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5">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4">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3">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2">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1">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0">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19">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18">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7">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6">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5">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4">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3">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2">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1">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0">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09">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08">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7">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6">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5">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4">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3">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2">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1">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0">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99">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98">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7">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6">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5">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4">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3">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2">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1">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0">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89">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88">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7">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6">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5">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4">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3">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2">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1">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0">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79">
      <calculatedColumnFormula array="1">IFERROR(INDEX(Datos_Consumo[CANTIDAD],MATCH(XXYY[[#This Row],[CODIGO]]&amp;XXYY[[#Headers],[2016-5]],Datos_Consumo[CODIGO]&amp;Datos_Consumo[FECHA_FORMATO],0)),0)</calculatedColumnFormula>
    </tableColumn>
    <tableColumn id="63" name="2016-6" dataDxfId="78">
      <calculatedColumnFormula array="1">IFERROR(INDEX(Datos_Consumo[CANTIDAD],MATCH(XXYY[[#This Row],[CODIGO]]&amp;XXYY[[#Headers],[2016-6]],Datos_Consumo[CODIGO]&amp;Datos_Consumo[FECHA_FORMATO],0)),0)</calculatedColumnFormula>
    </tableColumn>
    <tableColumn id="62" name="Columna3" dataDxfId="77">
      <calculatedColumnFormula array="1">IFERROR(INDEX(Datos_Consumo[CANTIDAD],MATCH(XXYY[[#This Row],[CODIGO]]&amp;XXYY[[#Headers],[Columna3]],Datos_Consumo[CODIGO]&amp;Datos_Consumo[FECHA_FORMATO],0)),0)</calculatedColumnFormula>
    </tableColumn>
    <tableColumn id="61" name="Columna4" dataDxfId="76">
      <calculatedColumnFormula array="1">IFERROR(INDEX(Datos_Consumo[CANTIDAD],MATCH(XXYY[[#This Row],[CODIGO]]&amp;XXYY[[#Headers],[Columna4]],Datos_Consumo[CODIGO]&amp;Datos_Consumo[FECHA_FORMATO],0)),0)</calculatedColumnFormula>
    </tableColumn>
    <tableColumn id="60" name="Columna5" dataDxfId="75">
      <calculatedColumnFormula array="1">IFERROR(INDEX(Datos_Consumo[CANTIDAD],MATCH(XXYY[[#This Row],[CODIGO]]&amp;XXYY[[#Headers],[Columna5]],Datos_Consumo[CODIGO]&amp;Datos_Consumo[FECHA_FORMATO],0)),0)</calculatedColumnFormula>
    </tableColumn>
    <tableColumn id="59" name="Columna6" dataDxfId="74">
      <calculatedColumnFormula array="1">IFERROR(INDEX(Datos_Consumo[CANTIDAD],MATCH(XXYY[[#This Row],[CODIGO]]&amp;XXYY[[#Headers],[Columna6]],Datos_Consumo[CODIGO]&amp;Datos_Consumo[FECHA_FORMATO],0)),0)</calculatedColumnFormula>
    </tableColumn>
    <tableColumn id="8" name="REQUERIM" dataDxfId="73"/>
    <tableColumn id="13" name="REQ TOTAL" dataDxfId="72"/>
    <tableColumn id="66" name="EMBARQUES" dataDxfId="71"/>
    <tableColumn id="69" name="Emb1" dataDxfId="70">
      <calculatedColumnFormula>IF(RIGHT(XXYY[[#Headers],[Emb1]],1)*1&lt;=XXYY[[#This Row],[EMBARQUES]],IF(ISBLANK(XXYY[[#This Row],[EMBARQUES]]),XXYY[[#This Row],[REQUERIM]],ROUND(XXYY[[#This Row],[REQUERIM]]/XXYY[[#This Row],[EMBARQUES]],0)),XXYY[[#This Row],[REQUERIM]])</calculatedColumnFormula>
    </tableColumn>
    <tableColumn id="70" name="Emb2" dataDxfId="69">
      <calculatedColumnFormula>IF(RIGHT(XXYY[[#Headers],[Emb2]],1)*1&lt;XXYY[[#This Row],[EMBARQUES]],ROUND(XXYY[[#This Row],[REQUERIM]]/XXYY[[#This Row],[EMBARQUES]],0),IF(RIGHT(XXYY[[#Headers],[Emb2]],1)*1=XXYY[[#This Row],[EMBARQUES]],XXYY[[#This Row],[REQUERIM]]-SUM(XXYY[[#This Row],[Emb1]]),0))</calculatedColumnFormula>
    </tableColumn>
    <tableColumn id="71" name="Emb3" dataDxfId="68">
      <calculatedColumnFormula>IF(RIGHT(XXYY[[#Headers],[Emb3]],1)*1&lt;XXYY[[#This Row],[EMBARQUES]],ROUND(XXYY[[#This Row],[REQUERIM]]/XXYY[[#This Row],[EMBARQUES]],0),IF(RIGHT(XXYY[[#Headers],[Emb3]],1)*1=XXYY[[#This Row],[EMBARQUES]],XXYY[[#This Row],[REQUERIM]]-SUM(XXYY[[#This Row],[Emb1]:[Emb2]]),0))</calculatedColumnFormula>
    </tableColumn>
    <tableColumn id="72" name="Emb4" dataDxfId="67">
      <calculatedColumnFormula>IF(RIGHT(XXYY[[#Headers],[Emb4]],1)*1&lt;XXYY[[#This Row],[EMBARQUES]],ROUND(XXYY[[#This Row],[REQUERIM]]/XXYY[[#This Row],[EMBARQUES]],0),IF(RIGHT(XXYY[[#Headers],[Emb4]],1)*1=XXYY[[#This Row],[EMBARQUES]],XXYY[[#This Row],[REQUERIM]]-SUM(XXYY[[#This Row],[Emb1]:[Emb3]]),0))</calculatedColumnFormula>
    </tableColumn>
    <tableColumn id="73" name="Emb5" dataDxfId="66">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5"/>
    <tableColumn id="44" name="TAMAÑO RELATIVO" dataDxfId="64">
      <calculatedColumnFormula>IFERROR(XXYY[[#This Row],[REQUERIM]]/XXYY[[#This Row],[PEDIDO PROMEDIO]],0)</calculatedColumnFormula>
    </tableColumn>
    <tableColumn id="9" name="DESPACHO" dataDxfId="63"/>
    <tableColumn id="10" name="RECIBIDO" dataDxfId="62"/>
    <tableColumn id="11" name="TRANSITO" dataDxfId="61">
      <calculatedColumnFormula>IF(XXYY[[#This Row],[RECIBIDO]]&lt;&gt;"",0,IF(XXYY[[#This Row],[DESPACHO]]&lt;&gt;"",XXYY[[#This Row],[DESPACHO]],XXYY[[#This Row],[REQUERIM]]))</calculatedColumnFormula>
    </tableColumn>
    <tableColumn id="16" name="OBSERVACIONES DESPACHOS" dataDxfId="60"/>
    <tableColumn id="17" name="OBSERVACIONES RECEPCIONES" dataDxfId="59"/>
    <tableColumn id="18" name="TIPO TRANSF" dataDxfId="58">
      <calculatedColumnFormula>"N"</calculatedColumnFormula>
    </tableColumn>
    <tableColumn id="35" name="Error Pedid Min Grupo" dataDxfId="57">
      <calculatedColumnFormula array="1">IF(SUM(--(XXYY[[#This Row],[CODIGO GENERICO]]=XXYY[CODIGO GENERICO])*XXYY[REQUERIM])&lt;XXYY[[#This Row],[PEDIDO MIN GRUPO]],1,0)</calculatedColumnFormula>
    </tableColumn>
    <tableColumn id="56" name="Color Proyectado" dataDxfId="56">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5">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4">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3"/>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2"/>
    <tableColumn id="7" uniqueName="7" name="PATH" queryTableFieldId="7" dataDxfId="51"/>
    <tableColumn id="5" uniqueName="5" name="COMPLETO" queryTableFieldId="5" dataDxfId="50">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49"/>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8">
      <calculatedColumnFormula>IFERROR(MATCH(Tabla_Recetas[[#This Row],[Cod Padre]],TABLATRANSFERENCIA[CODIGO],0),0)</calculatedColumnFormula>
    </tableColumn>
    <tableColumn id="12" uniqueName="12" name="Cantidad Requerida" queryTableFieldId="12" dataDxfId="47">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6">
  <autoFilter ref="A5:D6"/>
  <tableColumns count="4">
    <tableColumn id="1" name="CÓDIGO"/>
    <tableColumn id="2" name="DESCRIPCIÓN"/>
    <tableColumn id="3" name="CANTIDAD" dataDxfId="45"/>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4"/>
    <tableColumn id="109" name="con_ultima_transferencia_ini" dataDxfId="43"/>
    <tableColumn id="110" name="con_ultima_transferencia_fin" dataDxfId="42"/>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692" totalsRowShown="0">
  <autoFilter ref="A1:D692"/>
  <tableColumns count="4">
    <tableColumn id="1" name="CODIGO"/>
    <tableColumn id="2" name="CANTIDAD"/>
    <tableColumn id="3" name="FECHA"/>
    <tableColumn id="4" name="FECHA_FORMATO" dataDxfId="41">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6" totalsRowShown="0">
  <autoFilter ref="F1:G6"/>
  <tableColumns count="2">
    <tableColumn id="1" name="FECHAS_CONSUMO"/>
    <tableColumn id="2" name="FECHA_FORMATO" dataDxfId="40">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Y40"/>
  <sheetViews>
    <sheetView showGridLines="0" tabSelected="1" zoomScale="80" zoomScaleNormal="80" workbookViewId="0">
      <pane xSplit="4" ySplit="8" topLeftCell="E18"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6" width="20.7109375" customWidth="1"/>
    <col min="7" max="11" width="20.7109375" hidden="1" customWidth="1"/>
    <col min="12" max="13" width="20.7109375" customWidth="1"/>
    <col min="14" max="14" width="20.7109375" hidden="1" customWidth="1"/>
    <col min="15" max="15" width="10.7109375" hidden="1" customWidth="1"/>
    <col min="16" max="20" width="10.7109375" customWidth="1"/>
    <col min="21" max="21" width="15.140625" customWidth="1"/>
    <col min="22" max="23" width="25.7109375" customWidth="1"/>
    <col min="24" max="25" width="12" customWidth="1"/>
    <col min="26" max="26" width="16.42578125" customWidth="1"/>
    <col min="27" max="27" width="16.42578125" hidden="1" customWidth="1"/>
    <col min="28" max="28" width="11.42578125" customWidth="1"/>
    <col min="29" max="29" width="13.28515625" customWidth="1"/>
    <col min="30" max="30" width="13.28515625" hidden="1" customWidth="1"/>
    <col min="31" max="35" width="11.42578125" customWidth="1"/>
    <col min="36" max="36" width="13.42578125" customWidth="1"/>
    <col min="37" max="37" width="13.140625" customWidth="1"/>
    <col min="38" max="38" width="15.28515625" customWidth="1"/>
    <col min="39" max="39" width="14.85546875" hidden="1" customWidth="1"/>
    <col min="40" max="40" width="11.42578125" customWidth="1"/>
    <col min="41" max="41" width="13.5703125" customWidth="1"/>
    <col min="42" max="42" width="11.42578125" customWidth="1"/>
    <col min="43" max="47" width="13.140625" customWidth="1"/>
    <col min="48"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customWidth="1"/>
    <col min="68" max="68" width="17.7109375" customWidth="1"/>
    <col min="69" max="69" width="16" hidden="1" customWidth="1"/>
    <col min="70" max="70" width="31" customWidth="1"/>
    <col min="71" max="71" width="33.7109375" customWidth="1"/>
    <col min="72" max="76" width="11.42578125" hidden="1" customWidth="1"/>
    <col min="77" max="77" width="0" hidden="1" customWidth="1"/>
  </cols>
  <sheetData>
    <row r="1" spans="1:77"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7" x14ac:dyDescent="0.25">
      <c r="A2" s="17" t="s">
        <v>12</v>
      </c>
      <c r="B2" s="18">
        <v>35</v>
      </c>
      <c r="C2" s="19" t="s">
        <v>0</v>
      </c>
      <c r="D2" s="20">
        <v>42825</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7" x14ac:dyDescent="0.25">
      <c r="A3" s="21" t="s">
        <v>2</v>
      </c>
      <c r="B3" s="22" t="s">
        <v>2062</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7" x14ac:dyDescent="0.25">
      <c r="A4" s="21" t="s">
        <v>3</v>
      </c>
      <c r="B4" s="25" t="s">
        <v>1368</v>
      </c>
      <c r="C4" s="26" t="str">
        <f>COUNTA(TABLATRANSFERENCIA[CODIGO])&amp;"-"&amp;SUBTOTAL(3,TABLATRANSFERENCIA[CODIGO])&amp;" SKU"</f>
        <v>32-32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7" x14ac:dyDescent="0.25">
      <c r="A5" s="21" t="s">
        <v>1376</v>
      </c>
      <c r="B5" s="28"/>
      <c r="C5" s="23" t="s">
        <v>23</v>
      </c>
      <c r="D5" s="29">
        <f>IFERROR(SUMPRODUCT(TABLATRANSFERENCIA[CTV],TABLATRANSFERENCIA[TRANSITO]),"")</f>
        <v>0</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7"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7"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7"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1717</v>
      </c>
      <c r="AY8" s="52" t="s">
        <v>1718</v>
      </c>
      <c r="AZ8" s="52" t="s">
        <v>1719</v>
      </c>
      <c r="BA8" s="52" t="s">
        <v>1720</v>
      </c>
      <c r="BB8" s="52" t="s">
        <v>1721</v>
      </c>
      <c r="BC8" s="52" t="s">
        <v>1375</v>
      </c>
      <c r="BD8" s="44" t="s">
        <v>11</v>
      </c>
      <c r="BE8" s="44" t="s">
        <v>17</v>
      </c>
      <c r="BF8" s="44" t="s">
        <v>1377</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c r="BY8" s="42" t="s">
        <v>1722</v>
      </c>
    </row>
    <row r="9" spans="1:77" x14ac:dyDescent="0.25">
      <c r="A9" s="54" t="s">
        <v>1608</v>
      </c>
      <c r="B9" s="3"/>
      <c r="C9" s="3"/>
      <c r="D9" s="3"/>
      <c r="E9" s="3"/>
      <c r="F9" s="3"/>
      <c r="G9" s="3"/>
      <c r="H9" s="3"/>
      <c r="I9" s="3"/>
      <c r="J9" s="3"/>
      <c r="K9" s="3"/>
      <c r="L9" s="3"/>
      <c r="M9" s="3"/>
      <c r="N9" s="3"/>
      <c r="O9" s="5"/>
      <c r="P9" s="5"/>
      <c r="Q9" s="5"/>
      <c r="R9" s="46"/>
      <c r="S9" s="46"/>
      <c r="T9" s="46"/>
      <c r="U9" s="46"/>
      <c r="V9" s="49"/>
      <c r="W9" s="49"/>
      <c r="X9" s="51"/>
      <c r="Y9" s="51"/>
      <c r="Z9" s="6"/>
      <c r="AA9" s="6"/>
      <c r="AB9" s="6"/>
      <c r="AC9" s="4"/>
      <c r="AD9" s="6"/>
      <c r="AE9" s="6"/>
      <c r="AF9" s="6"/>
      <c r="AG9" s="6"/>
      <c r="AH9" s="6"/>
      <c r="AI9" s="6"/>
      <c r="AJ9" s="6"/>
      <c r="AK9" s="6"/>
      <c r="AL9" s="4"/>
      <c r="AM9" s="6"/>
      <c r="AN9" s="6"/>
      <c r="AO9" s="6"/>
      <c r="AP9" s="6"/>
      <c r="AQ9" s="6"/>
      <c r="AR9" s="6"/>
      <c r="AS9" s="6"/>
      <c r="AT9" s="6"/>
      <c r="AU9" s="6"/>
      <c r="AV9" s="62"/>
      <c r="AW9" s="62"/>
      <c r="AX9" s="6">
        <f t="array" ref="AX9">IFERROR(INDEX(Datos_Consumo[CANTIDAD],MATCH(TABLATRANSFERENCIA[[#This Row],[CODIGO]]&amp;TABLATRANSFERENCIA[[#Headers],[2016-10]],Datos_Consumo[CODIGO]&amp;Datos_Consumo[FECHA_FORMATO],0)),0)</f>
        <v>28</v>
      </c>
      <c r="AY9" s="6">
        <f t="array" ref="AY9">IFERROR(INDEX(Datos_Consumo[CANTIDAD],MATCH(TABLATRANSFERENCIA[[#This Row],[CODIGO]]&amp;TABLATRANSFERENCIA[[#Headers],[2016-11]],Datos_Consumo[CODIGO]&amp;Datos_Consumo[FECHA_FORMATO],0)),0)</f>
        <v>20</v>
      </c>
      <c r="AZ9" s="6">
        <f t="array" ref="AZ9">IFERROR(INDEX(Datos_Consumo[CANTIDAD],MATCH(TABLATRANSFERENCIA[[#This Row],[CODIGO]]&amp;TABLATRANSFERENCIA[[#Headers],[2016-12]],Datos_Consumo[CODIGO]&amp;Datos_Consumo[FECHA_FORMATO],0)),0)</f>
        <v>42</v>
      </c>
      <c r="BA9" s="6">
        <f t="array" ref="BA9">IFERROR(INDEX(Datos_Consumo[CANTIDAD],MATCH(TABLATRANSFERENCIA[[#This Row],[CODIGO]]&amp;TABLATRANSFERENCIA[[#Headers],[2017-1]],Datos_Consumo[CODIGO]&amp;Datos_Consumo[FECHA_FORMATO],0)),0)</f>
        <v>12</v>
      </c>
      <c r="BB9" s="6">
        <f t="array" ref="BB9">IFERROR(INDEX(Datos_Consumo[CANTIDAD],MATCH(TABLATRANSFERENCIA[[#This Row],[CODIGO]]&amp;TABLATRANSFERENCIA[[#Headers],[2017-2]],Datos_Consumo[CODIGO]&amp;Datos_Consumo[FECHA_FORMATO],0)),0)</f>
        <v>0</v>
      </c>
      <c r="BC9" s="6">
        <f t="array" ref="BC9">IFERROR(INDEX(Datos_Consumo[CANTIDAD],MATCH(TABLATRANSFERENCIA[[#This Row],[CODIGO]]&amp;TABLATRANSFERENCIA[[#Headers],[Columna6]],Datos_Consumo[CODIGO]&amp;Datos_Consumo[FECHA_FORMATO],0)),0)</f>
        <v>0</v>
      </c>
      <c r="BD9" s="50">
        <v>24</v>
      </c>
      <c r="BE9" s="55">
        <v>24</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24</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v>
      </c>
      <c r="BO9" s="51"/>
      <c r="BP9" s="60"/>
      <c r="BQ9" s="3">
        <f>IF(TABLATRANSFERENCIA[[#This Row],[RECIBIDO]]&lt;&gt;"",0,IF(TABLATRANSFERENCIA[[#This Row],[DESPACHO]]&lt;&gt;"",TABLATRANSFERENCIA[[#This Row],[DESPACHO]],TABLATRANSFERENCIA[[#This Row],[REQUERIM]]))</f>
        <v>24</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9" s="51"/>
      <c r="BX9" s="51"/>
      <c r="BY9" s="51"/>
    </row>
    <row r="10" spans="1:77" x14ac:dyDescent="0.25">
      <c r="A10" s="54" t="s">
        <v>2063</v>
      </c>
      <c r="B10" s="3"/>
      <c r="C10" s="3"/>
      <c r="D10" s="3"/>
      <c r="E10" s="3"/>
      <c r="F10" s="3"/>
      <c r="G10" s="3"/>
      <c r="H10" s="3"/>
      <c r="I10" s="3"/>
      <c r="J10" s="3"/>
      <c r="K10" s="3"/>
      <c r="L10" s="3"/>
      <c r="M10" s="3"/>
      <c r="N10" s="3"/>
      <c r="O10" s="5"/>
      <c r="P10" s="5"/>
      <c r="Q10" s="5"/>
      <c r="R10" s="46"/>
      <c r="S10" s="46"/>
      <c r="T10" s="46"/>
      <c r="U10" s="46"/>
      <c r="V10" s="49"/>
      <c r="W10" s="49"/>
      <c r="X10" s="51"/>
      <c r="Y10" s="51"/>
      <c r="Z10" s="6"/>
      <c r="AA10" s="6"/>
      <c r="AB10" s="6"/>
      <c r="AC10" s="4"/>
      <c r="AD10" s="6"/>
      <c r="AE10" s="6"/>
      <c r="AF10" s="6"/>
      <c r="AG10" s="6"/>
      <c r="AH10" s="6"/>
      <c r="AI10" s="6"/>
      <c r="AJ10" s="6"/>
      <c r="AK10" s="6"/>
      <c r="AL10" s="4"/>
      <c r="AM10" s="6"/>
      <c r="AN10" s="6"/>
      <c r="AO10" s="6"/>
      <c r="AP10" s="6"/>
      <c r="AQ10" s="6"/>
      <c r="AR10" s="6"/>
      <c r="AS10" s="6"/>
      <c r="AT10" s="6"/>
      <c r="AU10" s="6"/>
      <c r="AV10" s="62"/>
      <c r="AW10" s="62"/>
      <c r="AX10" s="6">
        <f t="array" ref="AX10">IFERROR(INDEX(Datos_Consumo[CANTIDAD],MATCH(TABLATRANSFERENCIA[[#This Row],[CODIGO]]&amp;TABLATRANSFERENCIA[[#Headers],[2016-10]],Datos_Consumo[CODIGO]&amp;Datos_Consumo[FECHA_FORMATO],0)),0)</f>
        <v>0</v>
      </c>
      <c r="AY10" s="6">
        <f t="array" ref="AY10">IFERROR(INDEX(Datos_Consumo[CANTIDAD],MATCH(TABLATRANSFERENCIA[[#This Row],[CODIGO]]&amp;TABLATRANSFERENCIA[[#Headers],[2016-11]],Datos_Consumo[CODIGO]&amp;Datos_Consumo[FECHA_FORMATO],0)),0)</f>
        <v>0</v>
      </c>
      <c r="AZ10" s="6">
        <f t="array" ref="AZ10">IFERROR(INDEX(Datos_Consumo[CANTIDAD],MATCH(TABLATRANSFERENCIA[[#This Row],[CODIGO]]&amp;TABLATRANSFERENCIA[[#Headers],[2016-12]],Datos_Consumo[CODIGO]&amp;Datos_Consumo[FECHA_FORMATO],0)),0)</f>
        <v>0</v>
      </c>
      <c r="BA10" s="6">
        <f t="array" ref="BA10">IFERROR(INDEX(Datos_Consumo[CANTIDAD],MATCH(TABLATRANSFERENCIA[[#This Row],[CODIGO]]&amp;TABLATRANSFERENCIA[[#Headers],[2017-1]],Datos_Consumo[CODIGO]&amp;Datos_Consumo[FECHA_FORMATO],0)),0)</f>
        <v>0</v>
      </c>
      <c r="BB10" s="6">
        <f t="array" ref="BB10">IFERROR(INDEX(Datos_Consumo[CANTIDAD],MATCH(TABLATRANSFERENCIA[[#This Row],[CODIGO]]&amp;TABLATRANSFERENCIA[[#Headers],[2017-2]],Datos_Consumo[CODIGO]&amp;Datos_Consumo[FECHA_FORMATO],0)),0)</f>
        <v>0</v>
      </c>
      <c r="BC10" s="6">
        <f t="array" ref="BC10">IFERROR(INDEX(Datos_Consumo[CANTIDAD],MATCH(TABLATRANSFERENCIA[[#This Row],[CODIGO]]&amp;TABLATRANSFERENCIA[[#Headers],[Columna6]],Datos_Consumo[CODIGO]&amp;Datos_Consumo[FECHA_FORMATO],0)),0)</f>
        <v>0</v>
      </c>
      <c r="BD10" s="50">
        <v>8</v>
      </c>
      <c r="BE10" s="55">
        <v>8</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0</v>
      </c>
      <c r="BO10" s="51"/>
      <c r="BP10" s="60"/>
      <c r="BQ10" s="3">
        <f>IF(TABLATRANSFERENCIA[[#This Row],[RECIBIDO]]&lt;&gt;"",0,IF(TABLATRANSFERENCIA[[#This Row],[DESPACHO]]&lt;&gt;"",TABLATRANSFERENCIA[[#This Row],[DESPACHO]],TABLATRANSFERENCIA[[#This Row],[REQUERIM]]))</f>
        <v>8</v>
      </c>
      <c r="BR10" s="50"/>
      <c r="BS10" s="50"/>
      <c r="BT10" s="50" t="str">
        <f t="shared" ref="BT10:BT40"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0" s="51"/>
      <c r="BX10" s="51"/>
      <c r="BY10" s="51"/>
    </row>
    <row r="11" spans="1:77" x14ac:dyDescent="0.25">
      <c r="A11" s="54" t="s">
        <v>2064</v>
      </c>
      <c r="B11" s="3"/>
      <c r="C11" s="3"/>
      <c r="D11" s="3"/>
      <c r="E11" s="3"/>
      <c r="F11" s="3"/>
      <c r="G11" s="3"/>
      <c r="H11" s="3"/>
      <c r="I11" s="3"/>
      <c r="J11" s="3"/>
      <c r="K11" s="3"/>
      <c r="L11" s="3"/>
      <c r="M11" s="3"/>
      <c r="N11" s="3"/>
      <c r="O11" s="5"/>
      <c r="P11" s="5"/>
      <c r="Q11" s="5"/>
      <c r="R11" s="46"/>
      <c r="S11" s="46"/>
      <c r="T11" s="46"/>
      <c r="U11" s="46"/>
      <c r="V11" s="49"/>
      <c r="W11" s="49"/>
      <c r="X11" s="51"/>
      <c r="Y11" s="51"/>
      <c r="Z11" s="6"/>
      <c r="AA11" s="6"/>
      <c r="AB11" s="6"/>
      <c r="AC11" s="4"/>
      <c r="AD11" s="6"/>
      <c r="AE11" s="6"/>
      <c r="AF11" s="6"/>
      <c r="AG11" s="6"/>
      <c r="AH11" s="6"/>
      <c r="AI11" s="6"/>
      <c r="AJ11" s="6"/>
      <c r="AK11" s="6"/>
      <c r="AL11" s="4"/>
      <c r="AM11" s="6"/>
      <c r="AN11" s="6"/>
      <c r="AO11" s="6"/>
      <c r="AP11" s="6"/>
      <c r="AQ11" s="6"/>
      <c r="AR11" s="6"/>
      <c r="AS11" s="6"/>
      <c r="AT11" s="6"/>
      <c r="AU11" s="6"/>
      <c r="AV11" s="62"/>
      <c r="AW11" s="62"/>
      <c r="AX11" s="6">
        <f t="array" ref="AX11">IFERROR(INDEX(Datos_Consumo[CANTIDAD],MATCH(TABLATRANSFERENCIA[[#This Row],[CODIGO]]&amp;TABLATRANSFERENCIA[[#Headers],[2016-10]],Datos_Consumo[CODIGO]&amp;Datos_Consumo[FECHA_FORMATO],0)),0)</f>
        <v>0</v>
      </c>
      <c r="AY11" s="6">
        <f t="array" ref="AY11">IFERROR(INDEX(Datos_Consumo[CANTIDAD],MATCH(TABLATRANSFERENCIA[[#This Row],[CODIGO]]&amp;TABLATRANSFERENCIA[[#Headers],[2016-11]],Datos_Consumo[CODIGO]&amp;Datos_Consumo[FECHA_FORMATO],0)),0)</f>
        <v>0</v>
      </c>
      <c r="AZ11" s="6">
        <f t="array" ref="AZ11">IFERROR(INDEX(Datos_Consumo[CANTIDAD],MATCH(TABLATRANSFERENCIA[[#This Row],[CODIGO]]&amp;TABLATRANSFERENCIA[[#Headers],[2016-12]],Datos_Consumo[CODIGO]&amp;Datos_Consumo[FECHA_FORMATO],0)),0)</f>
        <v>0</v>
      </c>
      <c r="BA11" s="6">
        <f t="array" ref="BA11">IFERROR(INDEX(Datos_Consumo[CANTIDAD],MATCH(TABLATRANSFERENCIA[[#This Row],[CODIGO]]&amp;TABLATRANSFERENCIA[[#Headers],[2017-1]],Datos_Consumo[CODIGO]&amp;Datos_Consumo[FECHA_FORMATO],0)),0)</f>
        <v>0</v>
      </c>
      <c r="BB11" s="6">
        <f t="array" ref="BB11">IFERROR(INDEX(Datos_Consumo[CANTIDAD],MATCH(TABLATRANSFERENCIA[[#This Row],[CODIGO]]&amp;TABLATRANSFERENCIA[[#Headers],[2017-2]],Datos_Consumo[CODIGO]&amp;Datos_Consumo[FECHA_FORMATO],0)),0)</f>
        <v>0</v>
      </c>
      <c r="BC11" s="6">
        <f t="array" ref="BC11">IFERROR(INDEX(Datos_Consumo[CANTIDAD],MATCH(TABLATRANSFERENCIA[[#This Row],[CODIGO]]&amp;TABLATRANSFERENCIA[[#Headers],[Columna6]],Datos_Consumo[CODIGO]&amp;Datos_Consumo[FECHA_FORMATO],0)),0)</f>
        <v>0</v>
      </c>
      <c r="BD11" s="50">
        <v>20</v>
      </c>
      <c r="BE11" s="55">
        <v>20</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v>
      </c>
      <c r="BO11" s="51"/>
      <c r="BP11" s="60"/>
      <c r="BQ11" s="3">
        <f>IF(TABLATRANSFERENCIA[[#This Row],[RECIBIDO]]&lt;&gt;"",0,IF(TABLATRANSFERENCIA[[#This Row],[DESPACHO]]&lt;&gt;"",TABLATRANSFERENCIA[[#This Row],[DESPACHO]],TABLATRANSFERENCIA[[#This Row],[REQUERIM]]))</f>
        <v>20</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1" s="51"/>
      <c r="BX11" s="51"/>
      <c r="BY11" s="51"/>
    </row>
    <row r="12" spans="1:77" x14ac:dyDescent="0.25">
      <c r="A12" s="54" t="s">
        <v>2065</v>
      </c>
      <c r="B12" s="3"/>
      <c r="C12" s="3"/>
      <c r="D12" s="3"/>
      <c r="E12" s="3"/>
      <c r="F12" s="3"/>
      <c r="G12" s="3"/>
      <c r="H12" s="3"/>
      <c r="I12" s="3"/>
      <c r="J12" s="3"/>
      <c r="K12" s="3"/>
      <c r="L12" s="3"/>
      <c r="M12" s="3"/>
      <c r="N12" s="3"/>
      <c r="O12" s="5"/>
      <c r="P12" s="5"/>
      <c r="Q12" s="5"/>
      <c r="R12" s="46"/>
      <c r="S12" s="46"/>
      <c r="T12" s="46"/>
      <c r="U12" s="46"/>
      <c r="V12" s="49"/>
      <c r="W12" s="49"/>
      <c r="X12" s="51"/>
      <c r="Y12" s="51"/>
      <c r="Z12" s="6"/>
      <c r="AA12" s="6"/>
      <c r="AB12" s="6"/>
      <c r="AC12" s="4"/>
      <c r="AD12" s="6"/>
      <c r="AE12" s="6"/>
      <c r="AF12" s="6"/>
      <c r="AG12" s="6"/>
      <c r="AH12" s="6"/>
      <c r="AI12" s="6"/>
      <c r="AJ12" s="6"/>
      <c r="AK12" s="6"/>
      <c r="AL12" s="4"/>
      <c r="AM12" s="6"/>
      <c r="AN12" s="6"/>
      <c r="AO12" s="6"/>
      <c r="AP12" s="6"/>
      <c r="AQ12" s="6"/>
      <c r="AR12" s="6"/>
      <c r="AS12" s="6"/>
      <c r="AT12" s="6"/>
      <c r="AU12" s="6"/>
      <c r="AV12" s="62"/>
      <c r="AW12" s="62"/>
      <c r="AX12" s="6">
        <f t="array" ref="AX12">IFERROR(INDEX(Datos_Consumo[CANTIDAD],MATCH(TABLATRANSFERENCIA[[#This Row],[CODIGO]]&amp;TABLATRANSFERENCIA[[#Headers],[2016-10]],Datos_Consumo[CODIGO]&amp;Datos_Consumo[FECHA_FORMATO],0)),0)</f>
        <v>0</v>
      </c>
      <c r="AY12" s="6">
        <f t="array" ref="AY12">IFERROR(INDEX(Datos_Consumo[CANTIDAD],MATCH(TABLATRANSFERENCIA[[#This Row],[CODIGO]]&amp;TABLATRANSFERENCIA[[#Headers],[2016-11]],Datos_Consumo[CODIGO]&amp;Datos_Consumo[FECHA_FORMATO],0)),0)</f>
        <v>0</v>
      </c>
      <c r="AZ12" s="6">
        <f t="array" ref="AZ12">IFERROR(INDEX(Datos_Consumo[CANTIDAD],MATCH(TABLATRANSFERENCIA[[#This Row],[CODIGO]]&amp;TABLATRANSFERENCIA[[#Headers],[2016-12]],Datos_Consumo[CODIGO]&amp;Datos_Consumo[FECHA_FORMATO],0)),0)</f>
        <v>0</v>
      </c>
      <c r="BA12" s="6">
        <f t="array" ref="BA12">IFERROR(INDEX(Datos_Consumo[CANTIDAD],MATCH(TABLATRANSFERENCIA[[#This Row],[CODIGO]]&amp;TABLATRANSFERENCIA[[#Headers],[2017-1]],Datos_Consumo[CODIGO]&amp;Datos_Consumo[FECHA_FORMATO],0)),0)</f>
        <v>0</v>
      </c>
      <c r="BB12" s="6">
        <f t="array" ref="BB12">IFERROR(INDEX(Datos_Consumo[CANTIDAD],MATCH(TABLATRANSFERENCIA[[#This Row],[CODIGO]]&amp;TABLATRANSFERENCIA[[#Headers],[2017-2]],Datos_Consumo[CODIGO]&amp;Datos_Consumo[FECHA_FORMATO],0)),0)</f>
        <v>0</v>
      </c>
      <c r="BC12" s="6">
        <f t="array" ref="BC12">IFERROR(INDEX(Datos_Consumo[CANTIDAD],MATCH(TABLATRANSFERENCIA[[#This Row],[CODIGO]]&amp;TABLATRANSFERENCIA[[#Headers],[Columna6]],Datos_Consumo[CODIGO]&amp;Datos_Consumo[FECHA_FORMATO],0)),0)</f>
        <v>0</v>
      </c>
      <c r="BD12" s="50">
        <v>12</v>
      </c>
      <c r="BE12" s="55">
        <v>12</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v>
      </c>
      <c r="BO12" s="51"/>
      <c r="BP12" s="60"/>
      <c r="BQ12" s="3">
        <f>IF(TABLATRANSFERENCIA[[#This Row],[RECIBIDO]]&lt;&gt;"",0,IF(TABLATRANSFERENCIA[[#This Row],[DESPACHO]]&lt;&gt;"",TABLATRANSFERENCIA[[#This Row],[DESPACHO]],TABLATRANSFERENCIA[[#This Row],[REQUERIM]]))</f>
        <v>12</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2" s="51"/>
      <c r="BX12" s="51"/>
      <c r="BY12" s="51"/>
    </row>
    <row r="13" spans="1:77" x14ac:dyDescent="0.25">
      <c r="A13" s="54" t="s">
        <v>2066</v>
      </c>
      <c r="B13" s="3"/>
      <c r="C13" s="3"/>
      <c r="D13" s="3"/>
      <c r="E13" s="3"/>
      <c r="F13" s="3"/>
      <c r="G13" s="3"/>
      <c r="H13" s="3"/>
      <c r="I13" s="3"/>
      <c r="J13" s="3"/>
      <c r="K13" s="3"/>
      <c r="L13" s="3"/>
      <c r="M13" s="3"/>
      <c r="N13" s="3"/>
      <c r="O13" s="5"/>
      <c r="P13" s="5"/>
      <c r="Q13" s="5"/>
      <c r="R13" s="46"/>
      <c r="S13" s="46"/>
      <c r="T13" s="46"/>
      <c r="U13" s="46"/>
      <c r="V13" s="49"/>
      <c r="W13" s="49"/>
      <c r="X13" s="51"/>
      <c r="Y13" s="51"/>
      <c r="Z13" s="6"/>
      <c r="AA13" s="6"/>
      <c r="AB13" s="6"/>
      <c r="AC13" s="4"/>
      <c r="AD13" s="6"/>
      <c r="AE13" s="6"/>
      <c r="AF13" s="6"/>
      <c r="AG13" s="6"/>
      <c r="AH13" s="6"/>
      <c r="AI13" s="6"/>
      <c r="AJ13" s="6"/>
      <c r="AK13" s="6"/>
      <c r="AL13" s="4"/>
      <c r="AM13" s="6"/>
      <c r="AN13" s="6"/>
      <c r="AO13" s="6"/>
      <c r="AP13" s="6"/>
      <c r="AQ13" s="6"/>
      <c r="AR13" s="6"/>
      <c r="AS13" s="6"/>
      <c r="AT13" s="6"/>
      <c r="AU13" s="6"/>
      <c r="AV13" s="62"/>
      <c r="AW13" s="62"/>
      <c r="AX13" s="6">
        <f t="array" ref="AX13">IFERROR(INDEX(Datos_Consumo[CANTIDAD],MATCH(TABLATRANSFERENCIA[[#This Row],[CODIGO]]&amp;TABLATRANSFERENCIA[[#Headers],[2016-10]],Datos_Consumo[CODIGO]&amp;Datos_Consumo[FECHA_FORMATO],0)),0)</f>
        <v>0</v>
      </c>
      <c r="AY13" s="6">
        <f t="array" ref="AY13">IFERROR(INDEX(Datos_Consumo[CANTIDAD],MATCH(TABLATRANSFERENCIA[[#This Row],[CODIGO]]&amp;TABLATRANSFERENCIA[[#Headers],[2016-11]],Datos_Consumo[CODIGO]&amp;Datos_Consumo[FECHA_FORMATO],0)),0)</f>
        <v>0</v>
      </c>
      <c r="AZ13" s="6">
        <f t="array" ref="AZ13">IFERROR(INDEX(Datos_Consumo[CANTIDAD],MATCH(TABLATRANSFERENCIA[[#This Row],[CODIGO]]&amp;TABLATRANSFERENCIA[[#Headers],[2016-12]],Datos_Consumo[CODIGO]&amp;Datos_Consumo[FECHA_FORMATO],0)),0)</f>
        <v>0</v>
      </c>
      <c r="BA13" s="6">
        <f t="array" ref="BA13">IFERROR(INDEX(Datos_Consumo[CANTIDAD],MATCH(TABLATRANSFERENCIA[[#This Row],[CODIGO]]&amp;TABLATRANSFERENCIA[[#Headers],[2017-1]],Datos_Consumo[CODIGO]&amp;Datos_Consumo[FECHA_FORMATO],0)),0)</f>
        <v>0</v>
      </c>
      <c r="BB13" s="6">
        <f t="array" ref="BB13">IFERROR(INDEX(Datos_Consumo[CANTIDAD],MATCH(TABLATRANSFERENCIA[[#This Row],[CODIGO]]&amp;TABLATRANSFERENCIA[[#Headers],[2017-2]],Datos_Consumo[CODIGO]&amp;Datos_Consumo[FECHA_FORMATO],0)),0)</f>
        <v>0</v>
      </c>
      <c r="BC13" s="6">
        <f t="array" ref="BC13">IFERROR(INDEX(Datos_Consumo[CANTIDAD],MATCH(TABLATRANSFERENCIA[[#This Row],[CODIGO]]&amp;TABLATRANSFERENCIA[[#Headers],[Columna6]],Datos_Consumo[CODIGO]&amp;Datos_Consumo[FECHA_FORMATO],0)),0)</f>
        <v>0</v>
      </c>
      <c r="BD13" s="50">
        <v>20</v>
      </c>
      <c r="BE13" s="55">
        <v>20</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0</v>
      </c>
      <c r="BO13" s="51"/>
      <c r="BP13" s="60"/>
      <c r="BQ13" s="3">
        <f>IF(TABLATRANSFERENCIA[[#This Row],[RECIBIDO]]&lt;&gt;"",0,IF(TABLATRANSFERENCIA[[#This Row],[DESPACHO]]&lt;&gt;"",TABLATRANSFERENCIA[[#This Row],[DESPACHO]],TABLATRANSFERENCIA[[#This Row],[REQUERIM]]))</f>
        <v>20</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3" s="51"/>
      <c r="BX13" s="51"/>
      <c r="BY13" s="51"/>
    </row>
    <row r="14" spans="1:77" x14ac:dyDescent="0.25">
      <c r="A14" s="54" t="s">
        <v>1649</v>
      </c>
      <c r="B14" s="3"/>
      <c r="C14" s="3"/>
      <c r="D14" s="3"/>
      <c r="E14" s="3"/>
      <c r="F14" s="3"/>
      <c r="G14" s="3"/>
      <c r="H14" s="3"/>
      <c r="I14" s="3"/>
      <c r="J14" s="3"/>
      <c r="K14" s="3"/>
      <c r="L14" s="3"/>
      <c r="M14" s="3"/>
      <c r="N14" s="3"/>
      <c r="O14" s="5"/>
      <c r="P14" s="5"/>
      <c r="Q14" s="5"/>
      <c r="R14" s="46"/>
      <c r="S14" s="46"/>
      <c r="T14" s="46"/>
      <c r="U14" s="46"/>
      <c r="V14" s="49"/>
      <c r="W14" s="49"/>
      <c r="X14" s="51"/>
      <c r="Y14" s="51"/>
      <c r="Z14" s="6"/>
      <c r="AA14" s="6"/>
      <c r="AB14" s="6"/>
      <c r="AC14" s="4"/>
      <c r="AD14" s="6"/>
      <c r="AE14" s="6"/>
      <c r="AF14" s="6"/>
      <c r="AG14" s="6"/>
      <c r="AH14" s="6"/>
      <c r="AI14" s="6"/>
      <c r="AJ14" s="6"/>
      <c r="AK14" s="6"/>
      <c r="AL14" s="4"/>
      <c r="AM14" s="6"/>
      <c r="AN14" s="6"/>
      <c r="AO14" s="6"/>
      <c r="AP14" s="6"/>
      <c r="AQ14" s="6"/>
      <c r="AR14" s="6"/>
      <c r="AS14" s="6"/>
      <c r="AT14" s="6"/>
      <c r="AU14" s="6"/>
      <c r="AV14" s="62"/>
      <c r="AW14" s="62"/>
      <c r="AX14" s="6">
        <f t="array" ref="AX14">IFERROR(INDEX(Datos_Consumo[CANTIDAD],MATCH(TABLATRANSFERENCIA[[#This Row],[CODIGO]]&amp;TABLATRANSFERENCIA[[#Headers],[2016-10]],Datos_Consumo[CODIGO]&amp;Datos_Consumo[FECHA_FORMATO],0)),0)</f>
        <v>0</v>
      </c>
      <c r="AY14" s="6">
        <f t="array" ref="AY14">IFERROR(INDEX(Datos_Consumo[CANTIDAD],MATCH(TABLATRANSFERENCIA[[#This Row],[CODIGO]]&amp;TABLATRANSFERENCIA[[#Headers],[2016-11]],Datos_Consumo[CODIGO]&amp;Datos_Consumo[FECHA_FORMATO],0)),0)</f>
        <v>0</v>
      </c>
      <c r="AZ14" s="6">
        <f t="array" ref="AZ14">IFERROR(INDEX(Datos_Consumo[CANTIDAD],MATCH(TABLATRANSFERENCIA[[#This Row],[CODIGO]]&amp;TABLATRANSFERENCIA[[#Headers],[2016-12]],Datos_Consumo[CODIGO]&amp;Datos_Consumo[FECHA_FORMATO],0)),0)</f>
        <v>0</v>
      </c>
      <c r="BA14" s="6">
        <f t="array" ref="BA14">IFERROR(INDEX(Datos_Consumo[CANTIDAD],MATCH(TABLATRANSFERENCIA[[#This Row],[CODIGO]]&amp;TABLATRANSFERENCIA[[#Headers],[2017-1]],Datos_Consumo[CODIGO]&amp;Datos_Consumo[FECHA_FORMATO],0)),0)</f>
        <v>40</v>
      </c>
      <c r="BB14" s="6">
        <f t="array" ref="BB14">IFERROR(INDEX(Datos_Consumo[CANTIDAD],MATCH(TABLATRANSFERENCIA[[#This Row],[CODIGO]]&amp;TABLATRANSFERENCIA[[#Headers],[2017-2]],Datos_Consumo[CODIGO]&amp;Datos_Consumo[FECHA_FORMATO],0)),0)</f>
        <v>0</v>
      </c>
      <c r="BC14" s="6">
        <f t="array" ref="BC14">IFERROR(INDEX(Datos_Consumo[CANTIDAD],MATCH(TABLATRANSFERENCIA[[#This Row],[CODIGO]]&amp;TABLATRANSFERENCIA[[#Headers],[Columna6]],Datos_Consumo[CODIGO]&amp;Datos_Consumo[FECHA_FORMATO],0)),0)</f>
        <v>0</v>
      </c>
      <c r="BD14" s="50">
        <v>20</v>
      </c>
      <c r="BE14" s="55">
        <v>20</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0</v>
      </c>
      <c r="BO14" s="51"/>
      <c r="BP14" s="60"/>
      <c r="BQ14" s="3">
        <f>IF(TABLATRANSFERENCIA[[#This Row],[RECIBIDO]]&lt;&gt;"",0,IF(TABLATRANSFERENCIA[[#This Row],[DESPACHO]]&lt;&gt;"",TABLATRANSFERENCIA[[#This Row],[DESPACHO]],TABLATRANSFERENCIA[[#This Row],[REQUERIM]]))</f>
        <v>20</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4" s="51"/>
      <c r="BX14" s="51"/>
      <c r="BY14" s="51"/>
    </row>
    <row r="15" spans="1:77" x14ac:dyDescent="0.25">
      <c r="A15" s="54" t="s">
        <v>1650</v>
      </c>
      <c r="B15" s="3"/>
      <c r="C15" s="3"/>
      <c r="D15" s="3"/>
      <c r="E15" s="3"/>
      <c r="F15" s="3"/>
      <c r="G15" s="3"/>
      <c r="H15" s="3"/>
      <c r="I15" s="3"/>
      <c r="J15" s="3"/>
      <c r="K15" s="3"/>
      <c r="L15" s="3"/>
      <c r="M15" s="3"/>
      <c r="N15" s="3"/>
      <c r="O15" s="5"/>
      <c r="P15" s="5"/>
      <c r="Q15" s="5"/>
      <c r="R15" s="46"/>
      <c r="S15" s="46"/>
      <c r="T15" s="46"/>
      <c r="U15" s="46"/>
      <c r="V15" s="49"/>
      <c r="W15" s="49"/>
      <c r="X15" s="51"/>
      <c r="Y15" s="51"/>
      <c r="Z15" s="6"/>
      <c r="AA15" s="6"/>
      <c r="AB15" s="6"/>
      <c r="AC15" s="4"/>
      <c r="AD15" s="6"/>
      <c r="AE15" s="6"/>
      <c r="AF15" s="6"/>
      <c r="AG15" s="6"/>
      <c r="AH15" s="6"/>
      <c r="AI15" s="6"/>
      <c r="AJ15" s="6"/>
      <c r="AK15" s="6"/>
      <c r="AL15" s="4"/>
      <c r="AM15" s="6"/>
      <c r="AN15" s="6"/>
      <c r="AO15" s="6"/>
      <c r="AP15" s="6"/>
      <c r="AQ15" s="6"/>
      <c r="AR15" s="6"/>
      <c r="AS15" s="6"/>
      <c r="AT15" s="6"/>
      <c r="AU15" s="6"/>
      <c r="AV15" s="62"/>
      <c r="AW15" s="62"/>
      <c r="AX15" s="6">
        <f t="array" ref="AX15">IFERROR(INDEX(Datos_Consumo[CANTIDAD],MATCH(TABLATRANSFERENCIA[[#This Row],[CODIGO]]&amp;TABLATRANSFERENCIA[[#Headers],[2016-10]],Datos_Consumo[CODIGO]&amp;Datos_Consumo[FECHA_FORMATO],0)),0)</f>
        <v>16</v>
      </c>
      <c r="AY15" s="6">
        <f t="array" ref="AY15">IFERROR(INDEX(Datos_Consumo[CANTIDAD],MATCH(TABLATRANSFERENCIA[[#This Row],[CODIGO]]&amp;TABLATRANSFERENCIA[[#Headers],[2016-11]],Datos_Consumo[CODIGO]&amp;Datos_Consumo[FECHA_FORMATO],0)),0)</f>
        <v>50</v>
      </c>
      <c r="AZ15" s="6">
        <f t="array" ref="AZ15">IFERROR(INDEX(Datos_Consumo[CANTIDAD],MATCH(TABLATRANSFERENCIA[[#This Row],[CODIGO]]&amp;TABLATRANSFERENCIA[[#Headers],[2016-12]],Datos_Consumo[CODIGO]&amp;Datos_Consumo[FECHA_FORMATO],0)),0)</f>
        <v>30</v>
      </c>
      <c r="BA15" s="6">
        <f t="array" ref="BA15">IFERROR(INDEX(Datos_Consumo[CANTIDAD],MATCH(TABLATRANSFERENCIA[[#This Row],[CODIGO]]&amp;TABLATRANSFERENCIA[[#Headers],[2017-1]],Datos_Consumo[CODIGO]&amp;Datos_Consumo[FECHA_FORMATO],0)),0)</f>
        <v>5</v>
      </c>
      <c r="BB15" s="6">
        <f t="array" ref="BB15">IFERROR(INDEX(Datos_Consumo[CANTIDAD],MATCH(TABLATRANSFERENCIA[[#This Row],[CODIGO]]&amp;TABLATRANSFERENCIA[[#Headers],[2017-2]],Datos_Consumo[CODIGO]&amp;Datos_Consumo[FECHA_FORMATO],0)),0)</f>
        <v>0</v>
      </c>
      <c r="BC15" s="6">
        <f t="array" ref="BC15">IFERROR(INDEX(Datos_Consumo[CANTIDAD],MATCH(TABLATRANSFERENCIA[[#This Row],[CODIGO]]&amp;TABLATRANSFERENCIA[[#Headers],[Columna6]],Datos_Consumo[CODIGO]&amp;Datos_Consumo[FECHA_FORMATO],0)),0)</f>
        <v>0</v>
      </c>
      <c r="BD15" s="50">
        <v>20</v>
      </c>
      <c r="BE15" s="55">
        <v>20</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0</v>
      </c>
      <c r="BO15" s="51"/>
      <c r="BP15" s="60"/>
      <c r="BQ15" s="3">
        <f>IF(TABLATRANSFERENCIA[[#This Row],[RECIBIDO]]&lt;&gt;"",0,IF(TABLATRANSFERENCIA[[#This Row],[DESPACHO]]&lt;&gt;"",TABLATRANSFERENCIA[[#This Row],[DESPACHO]],TABLATRANSFERENCIA[[#This Row],[REQUERIM]]))</f>
        <v>20</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5" s="51"/>
      <c r="BX15" s="51"/>
      <c r="BY15" s="51"/>
    </row>
    <row r="16" spans="1:77" x14ac:dyDescent="0.25">
      <c r="A16" s="54" t="s">
        <v>1651</v>
      </c>
      <c r="B16" s="3"/>
      <c r="C16" s="3"/>
      <c r="D16" s="3"/>
      <c r="E16" s="3"/>
      <c r="F16" s="3"/>
      <c r="G16" s="3"/>
      <c r="H16" s="3"/>
      <c r="I16" s="3"/>
      <c r="J16" s="3"/>
      <c r="K16" s="3"/>
      <c r="L16" s="3"/>
      <c r="M16" s="3"/>
      <c r="N16" s="3"/>
      <c r="O16" s="5"/>
      <c r="P16" s="5"/>
      <c r="Q16" s="5"/>
      <c r="R16" s="46"/>
      <c r="S16" s="46"/>
      <c r="T16" s="46"/>
      <c r="U16" s="46"/>
      <c r="V16" s="49"/>
      <c r="W16" s="49"/>
      <c r="X16" s="51"/>
      <c r="Y16" s="51"/>
      <c r="Z16" s="6"/>
      <c r="AA16" s="6"/>
      <c r="AB16" s="6"/>
      <c r="AC16" s="4"/>
      <c r="AD16" s="6"/>
      <c r="AE16" s="6"/>
      <c r="AF16" s="6"/>
      <c r="AG16" s="6"/>
      <c r="AH16" s="6"/>
      <c r="AI16" s="6"/>
      <c r="AJ16" s="6"/>
      <c r="AK16" s="6"/>
      <c r="AL16" s="4"/>
      <c r="AM16" s="6"/>
      <c r="AN16" s="6"/>
      <c r="AO16" s="6"/>
      <c r="AP16" s="6"/>
      <c r="AQ16" s="6"/>
      <c r="AR16" s="6"/>
      <c r="AS16" s="6"/>
      <c r="AT16" s="6"/>
      <c r="AU16" s="6"/>
      <c r="AV16" s="62"/>
      <c r="AW16" s="62"/>
      <c r="AX16" s="6">
        <f t="array" ref="AX16">IFERROR(INDEX(Datos_Consumo[CANTIDAD],MATCH(TABLATRANSFERENCIA[[#This Row],[CODIGO]]&amp;TABLATRANSFERENCIA[[#Headers],[2016-10]],Datos_Consumo[CODIGO]&amp;Datos_Consumo[FECHA_FORMATO],0)),0)</f>
        <v>50</v>
      </c>
      <c r="AY16" s="6">
        <f t="array" ref="AY16">IFERROR(INDEX(Datos_Consumo[CANTIDAD],MATCH(TABLATRANSFERENCIA[[#This Row],[CODIGO]]&amp;TABLATRANSFERENCIA[[#Headers],[2016-11]],Datos_Consumo[CODIGO]&amp;Datos_Consumo[FECHA_FORMATO],0)),0)</f>
        <v>0</v>
      </c>
      <c r="AZ16" s="6">
        <f t="array" ref="AZ16">IFERROR(INDEX(Datos_Consumo[CANTIDAD],MATCH(TABLATRANSFERENCIA[[#This Row],[CODIGO]]&amp;TABLATRANSFERENCIA[[#Headers],[2016-12]],Datos_Consumo[CODIGO]&amp;Datos_Consumo[FECHA_FORMATO],0)),0)</f>
        <v>0</v>
      </c>
      <c r="BA16" s="6">
        <f t="array" ref="BA16">IFERROR(INDEX(Datos_Consumo[CANTIDAD],MATCH(TABLATRANSFERENCIA[[#This Row],[CODIGO]]&amp;TABLATRANSFERENCIA[[#Headers],[2017-1]],Datos_Consumo[CODIGO]&amp;Datos_Consumo[FECHA_FORMATO],0)),0)</f>
        <v>0</v>
      </c>
      <c r="BB16" s="6">
        <f t="array" ref="BB16">IFERROR(INDEX(Datos_Consumo[CANTIDAD],MATCH(TABLATRANSFERENCIA[[#This Row],[CODIGO]]&amp;TABLATRANSFERENCIA[[#Headers],[2017-2]],Datos_Consumo[CODIGO]&amp;Datos_Consumo[FECHA_FORMATO],0)),0)</f>
        <v>0</v>
      </c>
      <c r="BC16" s="6">
        <f t="array" ref="BC16">IFERROR(INDEX(Datos_Consumo[CANTIDAD],MATCH(TABLATRANSFERENCIA[[#This Row],[CODIGO]]&amp;TABLATRANSFERENCIA[[#Headers],[Columna6]],Datos_Consumo[CODIGO]&amp;Datos_Consumo[FECHA_FORMATO],0)),0)</f>
        <v>0</v>
      </c>
      <c r="BD16" s="50">
        <v>40</v>
      </c>
      <c r="BE16" s="55">
        <v>40</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0</v>
      </c>
      <c r="BO16" s="51"/>
      <c r="BP16" s="60"/>
      <c r="BQ16" s="3">
        <f>IF(TABLATRANSFERENCIA[[#This Row],[RECIBIDO]]&lt;&gt;"",0,IF(TABLATRANSFERENCIA[[#This Row],[DESPACHO]]&lt;&gt;"",TABLATRANSFERENCIA[[#This Row],[DESPACHO]],TABLATRANSFERENCIA[[#This Row],[REQUERIM]]))</f>
        <v>40</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6" s="51"/>
      <c r="BX16" s="51"/>
      <c r="BY16" s="51"/>
    </row>
    <row r="17" spans="1:77" x14ac:dyDescent="0.25">
      <c r="A17" s="54" t="s">
        <v>2067</v>
      </c>
      <c r="B17" s="3"/>
      <c r="C17" s="3"/>
      <c r="D17" s="3"/>
      <c r="E17" s="3"/>
      <c r="F17" s="3"/>
      <c r="G17" s="3"/>
      <c r="H17" s="3"/>
      <c r="I17" s="3"/>
      <c r="J17" s="3"/>
      <c r="K17" s="3"/>
      <c r="L17" s="3"/>
      <c r="M17" s="3"/>
      <c r="N17" s="3"/>
      <c r="O17" s="5"/>
      <c r="P17" s="5"/>
      <c r="Q17" s="5"/>
      <c r="R17" s="46"/>
      <c r="S17" s="46"/>
      <c r="T17" s="46"/>
      <c r="U17" s="46"/>
      <c r="V17" s="49"/>
      <c r="W17" s="49"/>
      <c r="X17" s="51"/>
      <c r="Y17" s="51"/>
      <c r="Z17" s="6"/>
      <c r="AA17" s="6"/>
      <c r="AB17" s="6"/>
      <c r="AC17" s="4"/>
      <c r="AD17" s="6"/>
      <c r="AE17" s="6"/>
      <c r="AF17" s="6"/>
      <c r="AG17" s="6"/>
      <c r="AH17" s="6"/>
      <c r="AI17" s="6"/>
      <c r="AJ17" s="6"/>
      <c r="AK17" s="6"/>
      <c r="AL17" s="4"/>
      <c r="AM17" s="6"/>
      <c r="AN17" s="6"/>
      <c r="AO17" s="6"/>
      <c r="AP17" s="6"/>
      <c r="AQ17" s="6"/>
      <c r="AR17" s="6"/>
      <c r="AS17" s="6"/>
      <c r="AT17" s="6"/>
      <c r="AU17" s="6"/>
      <c r="AV17" s="62"/>
      <c r="AW17" s="62"/>
      <c r="AX17" s="6">
        <f t="array" ref="AX17">IFERROR(INDEX(Datos_Consumo[CANTIDAD],MATCH(TABLATRANSFERENCIA[[#This Row],[CODIGO]]&amp;TABLATRANSFERENCIA[[#Headers],[2016-10]],Datos_Consumo[CODIGO]&amp;Datos_Consumo[FECHA_FORMATO],0)),0)</f>
        <v>0</v>
      </c>
      <c r="AY17" s="6">
        <f t="array" ref="AY17">IFERROR(INDEX(Datos_Consumo[CANTIDAD],MATCH(TABLATRANSFERENCIA[[#This Row],[CODIGO]]&amp;TABLATRANSFERENCIA[[#Headers],[2016-11]],Datos_Consumo[CODIGO]&amp;Datos_Consumo[FECHA_FORMATO],0)),0)</f>
        <v>0</v>
      </c>
      <c r="AZ17" s="6">
        <f t="array" ref="AZ17">IFERROR(INDEX(Datos_Consumo[CANTIDAD],MATCH(TABLATRANSFERENCIA[[#This Row],[CODIGO]]&amp;TABLATRANSFERENCIA[[#Headers],[2016-12]],Datos_Consumo[CODIGO]&amp;Datos_Consumo[FECHA_FORMATO],0)),0)</f>
        <v>0</v>
      </c>
      <c r="BA17" s="6">
        <f t="array" ref="BA17">IFERROR(INDEX(Datos_Consumo[CANTIDAD],MATCH(TABLATRANSFERENCIA[[#This Row],[CODIGO]]&amp;TABLATRANSFERENCIA[[#Headers],[2017-1]],Datos_Consumo[CODIGO]&amp;Datos_Consumo[FECHA_FORMATO],0)),0)</f>
        <v>0</v>
      </c>
      <c r="BB17" s="6">
        <f t="array" ref="BB17">IFERROR(INDEX(Datos_Consumo[CANTIDAD],MATCH(TABLATRANSFERENCIA[[#This Row],[CODIGO]]&amp;TABLATRANSFERENCIA[[#Headers],[2017-2]],Datos_Consumo[CODIGO]&amp;Datos_Consumo[FECHA_FORMATO],0)),0)</f>
        <v>0</v>
      </c>
      <c r="BC17" s="6">
        <f t="array" ref="BC17">IFERROR(INDEX(Datos_Consumo[CANTIDAD],MATCH(TABLATRANSFERENCIA[[#This Row],[CODIGO]]&amp;TABLATRANSFERENCIA[[#Headers],[Columna6]],Datos_Consumo[CODIGO]&amp;Datos_Consumo[FECHA_FORMATO],0)),0)</f>
        <v>0</v>
      </c>
      <c r="BD17" s="50">
        <v>10</v>
      </c>
      <c r="BE17" s="55">
        <v>10</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v>
      </c>
      <c r="BO17" s="51"/>
      <c r="BP17" s="60"/>
      <c r="BQ17" s="3">
        <f>IF(TABLATRANSFERENCIA[[#This Row],[RECIBIDO]]&lt;&gt;"",0,IF(TABLATRANSFERENCIA[[#This Row],[DESPACHO]]&lt;&gt;"",TABLATRANSFERENCIA[[#This Row],[DESPACHO]],TABLATRANSFERENCIA[[#This Row],[REQUERIM]]))</f>
        <v>10</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7" s="51"/>
      <c r="BX17" s="51"/>
      <c r="BY17" s="51"/>
    </row>
    <row r="18" spans="1:77" x14ac:dyDescent="0.25">
      <c r="A18" s="54" t="s">
        <v>1653</v>
      </c>
      <c r="B18" s="3"/>
      <c r="C18" s="3"/>
      <c r="D18" s="3"/>
      <c r="E18" s="3"/>
      <c r="F18" s="3"/>
      <c r="G18" s="3"/>
      <c r="H18" s="3"/>
      <c r="I18" s="3"/>
      <c r="J18" s="3"/>
      <c r="K18" s="3"/>
      <c r="L18" s="3"/>
      <c r="M18" s="3"/>
      <c r="N18" s="3"/>
      <c r="O18" s="5"/>
      <c r="P18" s="5"/>
      <c r="Q18" s="5"/>
      <c r="R18" s="46"/>
      <c r="S18" s="46"/>
      <c r="T18" s="46"/>
      <c r="U18" s="46"/>
      <c r="V18" s="49"/>
      <c r="W18" s="49"/>
      <c r="X18" s="51"/>
      <c r="Y18" s="51"/>
      <c r="Z18" s="6"/>
      <c r="AA18" s="6"/>
      <c r="AB18" s="6"/>
      <c r="AC18" s="4"/>
      <c r="AD18" s="6"/>
      <c r="AE18" s="6"/>
      <c r="AF18" s="6"/>
      <c r="AG18" s="6"/>
      <c r="AH18" s="6"/>
      <c r="AI18" s="6"/>
      <c r="AJ18" s="6"/>
      <c r="AK18" s="6"/>
      <c r="AL18" s="4"/>
      <c r="AM18" s="6"/>
      <c r="AN18" s="6"/>
      <c r="AO18" s="6"/>
      <c r="AP18" s="6"/>
      <c r="AQ18" s="6"/>
      <c r="AR18" s="6"/>
      <c r="AS18" s="6"/>
      <c r="AT18" s="6"/>
      <c r="AU18" s="6"/>
      <c r="AV18" s="62"/>
      <c r="AW18" s="62"/>
      <c r="AX18" s="6">
        <f t="array" ref="AX18">IFERROR(INDEX(Datos_Consumo[CANTIDAD],MATCH(TABLATRANSFERENCIA[[#This Row],[CODIGO]]&amp;TABLATRANSFERENCIA[[#Headers],[2016-10]],Datos_Consumo[CODIGO]&amp;Datos_Consumo[FECHA_FORMATO],0)),0)</f>
        <v>15</v>
      </c>
      <c r="AY18" s="6">
        <f t="array" ref="AY18">IFERROR(INDEX(Datos_Consumo[CANTIDAD],MATCH(TABLATRANSFERENCIA[[#This Row],[CODIGO]]&amp;TABLATRANSFERENCIA[[#Headers],[2016-11]],Datos_Consumo[CODIGO]&amp;Datos_Consumo[FECHA_FORMATO],0)),0)</f>
        <v>20</v>
      </c>
      <c r="AZ18" s="6">
        <f t="array" ref="AZ18">IFERROR(INDEX(Datos_Consumo[CANTIDAD],MATCH(TABLATRANSFERENCIA[[#This Row],[CODIGO]]&amp;TABLATRANSFERENCIA[[#Headers],[2016-12]],Datos_Consumo[CODIGO]&amp;Datos_Consumo[FECHA_FORMATO],0)),0)</f>
        <v>0</v>
      </c>
      <c r="BA18" s="6">
        <f t="array" ref="BA18">IFERROR(INDEX(Datos_Consumo[CANTIDAD],MATCH(TABLATRANSFERENCIA[[#This Row],[CODIGO]]&amp;TABLATRANSFERENCIA[[#Headers],[2017-1]],Datos_Consumo[CODIGO]&amp;Datos_Consumo[FECHA_FORMATO],0)),0)</f>
        <v>5</v>
      </c>
      <c r="BB18" s="6">
        <f t="array" ref="BB18">IFERROR(INDEX(Datos_Consumo[CANTIDAD],MATCH(TABLATRANSFERENCIA[[#This Row],[CODIGO]]&amp;TABLATRANSFERENCIA[[#Headers],[2017-2]],Datos_Consumo[CODIGO]&amp;Datos_Consumo[FECHA_FORMATO],0)),0)</f>
        <v>0</v>
      </c>
      <c r="BC18" s="6">
        <f t="array" ref="BC18">IFERROR(INDEX(Datos_Consumo[CANTIDAD],MATCH(TABLATRANSFERENCIA[[#This Row],[CODIGO]]&amp;TABLATRANSFERENCIA[[#Headers],[Columna6]],Datos_Consumo[CODIGO]&amp;Datos_Consumo[FECHA_FORMATO],0)),0)</f>
        <v>0</v>
      </c>
      <c r="BD18" s="50">
        <v>20</v>
      </c>
      <c r="BE18" s="55">
        <v>20</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0</v>
      </c>
      <c r="BO18" s="51"/>
      <c r="BP18" s="60"/>
      <c r="BQ18" s="3">
        <f>IF(TABLATRANSFERENCIA[[#This Row],[RECIBIDO]]&lt;&gt;"",0,IF(TABLATRANSFERENCIA[[#This Row],[DESPACHO]]&lt;&gt;"",TABLATRANSFERENCIA[[#This Row],[DESPACHO]],TABLATRANSFERENCIA[[#This Row],[REQUERIM]]))</f>
        <v>20</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8" s="51"/>
      <c r="BX18" s="51"/>
      <c r="BY18" s="51"/>
    </row>
    <row r="19" spans="1:77" x14ac:dyDescent="0.25">
      <c r="A19" s="54" t="s">
        <v>2068</v>
      </c>
      <c r="B19" s="3"/>
      <c r="C19" s="3"/>
      <c r="D19" s="3"/>
      <c r="E19" s="3"/>
      <c r="F19" s="3"/>
      <c r="G19" s="3"/>
      <c r="H19" s="3"/>
      <c r="I19" s="3"/>
      <c r="J19" s="3"/>
      <c r="K19" s="3"/>
      <c r="L19" s="3"/>
      <c r="M19" s="3"/>
      <c r="N19" s="3"/>
      <c r="O19" s="5"/>
      <c r="P19" s="5"/>
      <c r="Q19" s="5"/>
      <c r="R19" s="46"/>
      <c r="S19" s="46"/>
      <c r="T19" s="46"/>
      <c r="U19" s="46"/>
      <c r="V19" s="49"/>
      <c r="W19" s="49"/>
      <c r="X19" s="51"/>
      <c r="Y19" s="51"/>
      <c r="Z19" s="6"/>
      <c r="AA19" s="6"/>
      <c r="AB19" s="6"/>
      <c r="AC19" s="4"/>
      <c r="AD19" s="6"/>
      <c r="AE19" s="6"/>
      <c r="AF19" s="6"/>
      <c r="AG19" s="6"/>
      <c r="AH19" s="6"/>
      <c r="AI19" s="6"/>
      <c r="AJ19" s="6"/>
      <c r="AK19" s="6"/>
      <c r="AL19" s="4"/>
      <c r="AM19" s="6"/>
      <c r="AN19" s="6"/>
      <c r="AO19" s="6"/>
      <c r="AP19" s="6"/>
      <c r="AQ19" s="6"/>
      <c r="AR19" s="6"/>
      <c r="AS19" s="6"/>
      <c r="AT19" s="6"/>
      <c r="AU19" s="6"/>
      <c r="AV19" s="62"/>
      <c r="AW19" s="62"/>
      <c r="AX19" s="6">
        <f t="array" ref="AX19">IFERROR(INDEX(Datos_Consumo[CANTIDAD],MATCH(TABLATRANSFERENCIA[[#This Row],[CODIGO]]&amp;TABLATRANSFERENCIA[[#Headers],[2016-10]],Datos_Consumo[CODIGO]&amp;Datos_Consumo[FECHA_FORMATO],0)),0)</f>
        <v>0</v>
      </c>
      <c r="AY19" s="6">
        <f t="array" ref="AY19">IFERROR(INDEX(Datos_Consumo[CANTIDAD],MATCH(TABLATRANSFERENCIA[[#This Row],[CODIGO]]&amp;TABLATRANSFERENCIA[[#Headers],[2016-11]],Datos_Consumo[CODIGO]&amp;Datos_Consumo[FECHA_FORMATO],0)),0)</f>
        <v>0</v>
      </c>
      <c r="AZ19" s="6">
        <f t="array" ref="AZ19">IFERROR(INDEX(Datos_Consumo[CANTIDAD],MATCH(TABLATRANSFERENCIA[[#This Row],[CODIGO]]&amp;TABLATRANSFERENCIA[[#Headers],[2016-12]],Datos_Consumo[CODIGO]&amp;Datos_Consumo[FECHA_FORMATO],0)),0)</f>
        <v>0</v>
      </c>
      <c r="BA19" s="6">
        <f t="array" ref="BA19">IFERROR(INDEX(Datos_Consumo[CANTIDAD],MATCH(TABLATRANSFERENCIA[[#This Row],[CODIGO]]&amp;TABLATRANSFERENCIA[[#Headers],[2017-1]],Datos_Consumo[CODIGO]&amp;Datos_Consumo[FECHA_FORMATO],0)),0)</f>
        <v>0</v>
      </c>
      <c r="BB19" s="6">
        <f t="array" ref="BB19">IFERROR(INDEX(Datos_Consumo[CANTIDAD],MATCH(TABLATRANSFERENCIA[[#This Row],[CODIGO]]&amp;TABLATRANSFERENCIA[[#Headers],[2017-2]],Datos_Consumo[CODIGO]&amp;Datos_Consumo[FECHA_FORMATO],0)),0)</f>
        <v>0</v>
      </c>
      <c r="BC19" s="6">
        <f t="array" ref="BC19">IFERROR(INDEX(Datos_Consumo[CANTIDAD],MATCH(TABLATRANSFERENCIA[[#This Row],[CODIGO]]&amp;TABLATRANSFERENCIA[[#Headers],[Columna6]],Datos_Consumo[CODIGO]&amp;Datos_Consumo[FECHA_FORMATO],0)),0)</f>
        <v>0</v>
      </c>
      <c r="BD19" s="50">
        <v>20</v>
      </c>
      <c r="BE19" s="55">
        <v>20</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0</v>
      </c>
      <c r="BO19" s="51"/>
      <c r="BP19" s="60"/>
      <c r="BQ19" s="3">
        <f>IF(TABLATRANSFERENCIA[[#This Row],[RECIBIDO]]&lt;&gt;"",0,IF(TABLATRANSFERENCIA[[#This Row],[DESPACHO]]&lt;&gt;"",TABLATRANSFERENCIA[[#This Row],[DESPACHO]],TABLATRANSFERENCIA[[#This Row],[REQUERIM]]))</f>
        <v>20</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9" s="51"/>
      <c r="BX19" s="51"/>
      <c r="BY19" s="51"/>
    </row>
    <row r="20" spans="1:77" x14ac:dyDescent="0.25">
      <c r="A20" s="54" t="s">
        <v>2069</v>
      </c>
      <c r="B20" s="3"/>
      <c r="C20" s="3"/>
      <c r="D20" s="3"/>
      <c r="E20" s="3"/>
      <c r="F20" s="3"/>
      <c r="G20" s="3"/>
      <c r="H20" s="3"/>
      <c r="I20" s="3"/>
      <c r="J20" s="3"/>
      <c r="K20" s="3"/>
      <c r="L20" s="3"/>
      <c r="M20" s="3"/>
      <c r="N20" s="3"/>
      <c r="O20" s="5"/>
      <c r="P20" s="5"/>
      <c r="Q20" s="5"/>
      <c r="R20" s="46"/>
      <c r="S20" s="46"/>
      <c r="T20" s="46"/>
      <c r="U20" s="46"/>
      <c r="V20" s="49"/>
      <c r="W20" s="49"/>
      <c r="X20" s="51"/>
      <c r="Y20" s="51"/>
      <c r="Z20" s="6"/>
      <c r="AA20" s="6"/>
      <c r="AB20" s="6"/>
      <c r="AC20" s="4"/>
      <c r="AD20" s="6"/>
      <c r="AE20" s="6"/>
      <c r="AF20" s="6"/>
      <c r="AG20" s="6"/>
      <c r="AH20" s="6"/>
      <c r="AI20" s="6"/>
      <c r="AJ20" s="6"/>
      <c r="AK20" s="6"/>
      <c r="AL20" s="4"/>
      <c r="AM20" s="6"/>
      <c r="AN20" s="6"/>
      <c r="AO20" s="6"/>
      <c r="AP20" s="6"/>
      <c r="AQ20" s="6"/>
      <c r="AR20" s="6"/>
      <c r="AS20" s="6"/>
      <c r="AT20" s="6"/>
      <c r="AU20" s="6"/>
      <c r="AV20" s="62"/>
      <c r="AW20" s="62"/>
      <c r="AX20" s="6">
        <f t="array" ref="AX20">IFERROR(INDEX(Datos_Consumo[CANTIDAD],MATCH(TABLATRANSFERENCIA[[#This Row],[CODIGO]]&amp;TABLATRANSFERENCIA[[#Headers],[2016-10]],Datos_Consumo[CODIGO]&amp;Datos_Consumo[FECHA_FORMATO],0)),0)</f>
        <v>0</v>
      </c>
      <c r="AY20" s="6">
        <f t="array" ref="AY20">IFERROR(INDEX(Datos_Consumo[CANTIDAD],MATCH(TABLATRANSFERENCIA[[#This Row],[CODIGO]]&amp;TABLATRANSFERENCIA[[#Headers],[2016-11]],Datos_Consumo[CODIGO]&amp;Datos_Consumo[FECHA_FORMATO],0)),0)</f>
        <v>0</v>
      </c>
      <c r="AZ20" s="6">
        <f t="array" ref="AZ20">IFERROR(INDEX(Datos_Consumo[CANTIDAD],MATCH(TABLATRANSFERENCIA[[#This Row],[CODIGO]]&amp;TABLATRANSFERENCIA[[#Headers],[2016-12]],Datos_Consumo[CODIGO]&amp;Datos_Consumo[FECHA_FORMATO],0)),0)</f>
        <v>0</v>
      </c>
      <c r="BA20" s="6">
        <f t="array" ref="BA20">IFERROR(INDEX(Datos_Consumo[CANTIDAD],MATCH(TABLATRANSFERENCIA[[#This Row],[CODIGO]]&amp;TABLATRANSFERENCIA[[#Headers],[2017-1]],Datos_Consumo[CODIGO]&amp;Datos_Consumo[FECHA_FORMATO],0)),0)</f>
        <v>0</v>
      </c>
      <c r="BB20" s="6">
        <f t="array" ref="BB20">IFERROR(INDEX(Datos_Consumo[CANTIDAD],MATCH(TABLATRANSFERENCIA[[#This Row],[CODIGO]]&amp;TABLATRANSFERENCIA[[#Headers],[2017-2]],Datos_Consumo[CODIGO]&amp;Datos_Consumo[FECHA_FORMATO],0)),0)</f>
        <v>0</v>
      </c>
      <c r="BC20" s="6">
        <f t="array" ref="BC20">IFERROR(INDEX(Datos_Consumo[CANTIDAD],MATCH(TABLATRANSFERENCIA[[#This Row],[CODIGO]]&amp;TABLATRANSFERENCIA[[#Headers],[Columna6]],Datos_Consumo[CODIGO]&amp;Datos_Consumo[FECHA_FORMATO],0)),0)</f>
        <v>0</v>
      </c>
      <c r="BD20" s="50">
        <v>20</v>
      </c>
      <c r="BE20" s="55">
        <v>20</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0</v>
      </c>
      <c r="BO20" s="51"/>
      <c r="BP20" s="60"/>
      <c r="BQ20" s="3">
        <f>IF(TABLATRANSFERENCIA[[#This Row],[RECIBIDO]]&lt;&gt;"",0,IF(TABLATRANSFERENCIA[[#This Row],[DESPACHO]]&lt;&gt;"",TABLATRANSFERENCIA[[#This Row],[DESPACHO]],TABLATRANSFERENCIA[[#This Row],[REQUERIM]]))</f>
        <v>20</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0" s="51"/>
      <c r="BX20" s="51"/>
      <c r="BY20" s="51"/>
    </row>
    <row r="21" spans="1:77" x14ac:dyDescent="0.25">
      <c r="A21" s="54" t="s">
        <v>2070</v>
      </c>
      <c r="B21" s="3"/>
      <c r="C21" s="3"/>
      <c r="D21" s="3"/>
      <c r="E21" s="3"/>
      <c r="F21" s="3"/>
      <c r="G21" s="3"/>
      <c r="H21" s="3"/>
      <c r="I21" s="3"/>
      <c r="J21" s="3"/>
      <c r="K21" s="3"/>
      <c r="L21" s="3"/>
      <c r="M21" s="3"/>
      <c r="N21" s="3"/>
      <c r="O21" s="5"/>
      <c r="P21" s="5"/>
      <c r="Q21" s="5"/>
      <c r="R21" s="46"/>
      <c r="S21" s="46"/>
      <c r="T21" s="46"/>
      <c r="U21" s="46"/>
      <c r="V21" s="49"/>
      <c r="W21" s="49"/>
      <c r="X21" s="51"/>
      <c r="Y21" s="51"/>
      <c r="Z21" s="6"/>
      <c r="AA21" s="6"/>
      <c r="AB21" s="6"/>
      <c r="AC21" s="4"/>
      <c r="AD21" s="6"/>
      <c r="AE21" s="6"/>
      <c r="AF21" s="6"/>
      <c r="AG21" s="6"/>
      <c r="AH21" s="6"/>
      <c r="AI21" s="6"/>
      <c r="AJ21" s="6"/>
      <c r="AK21" s="6"/>
      <c r="AL21" s="4"/>
      <c r="AM21" s="6"/>
      <c r="AN21" s="6"/>
      <c r="AO21" s="6"/>
      <c r="AP21" s="6"/>
      <c r="AQ21" s="6"/>
      <c r="AR21" s="6"/>
      <c r="AS21" s="6"/>
      <c r="AT21" s="6"/>
      <c r="AU21" s="6"/>
      <c r="AV21" s="62"/>
      <c r="AW21" s="62"/>
      <c r="AX21" s="6">
        <f t="array" ref="AX21">IFERROR(INDEX(Datos_Consumo[CANTIDAD],MATCH(TABLATRANSFERENCIA[[#This Row],[CODIGO]]&amp;TABLATRANSFERENCIA[[#Headers],[2016-10]],Datos_Consumo[CODIGO]&amp;Datos_Consumo[FECHA_FORMATO],0)),0)</f>
        <v>0</v>
      </c>
      <c r="AY21" s="6">
        <f t="array" ref="AY21">IFERROR(INDEX(Datos_Consumo[CANTIDAD],MATCH(TABLATRANSFERENCIA[[#This Row],[CODIGO]]&amp;TABLATRANSFERENCIA[[#Headers],[2016-11]],Datos_Consumo[CODIGO]&amp;Datos_Consumo[FECHA_FORMATO],0)),0)</f>
        <v>0</v>
      </c>
      <c r="AZ21" s="6">
        <f t="array" ref="AZ21">IFERROR(INDEX(Datos_Consumo[CANTIDAD],MATCH(TABLATRANSFERENCIA[[#This Row],[CODIGO]]&amp;TABLATRANSFERENCIA[[#Headers],[2016-12]],Datos_Consumo[CODIGO]&amp;Datos_Consumo[FECHA_FORMATO],0)),0)</f>
        <v>0</v>
      </c>
      <c r="BA21" s="6">
        <f t="array" ref="BA21">IFERROR(INDEX(Datos_Consumo[CANTIDAD],MATCH(TABLATRANSFERENCIA[[#This Row],[CODIGO]]&amp;TABLATRANSFERENCIA[[#Headers],[2017-1]],Datos_Consumo[CODIGO]&amp;Datos_Consumo[FECHA_FORMATO],0)),0)</f>
        <v>0</v>
      </c>
      <c r="BB21" s="6">
        <f t="array" ref="BB21">IFERROR(INDEX(Datos_Consumo[CANTIDAD],MATCH(TABLATRANSFERENCIA[[#This Row],[CODIGO]]&amp;TABLATRANSFERENCIA[[#Headers],[2017-2]],Datos_Consumo[CODIGO]&amp;Datos_Consumo[FECHA_FORMATO],0)),0)</f>
        <v>0</v>
      </c>
      <c r="BC21" s="6">
        <f t="array" ref="BC21">IFERROR(INDEX(Datos_Consumo[CANTIDAD],MATCH(TABLATRANSFERENCIA[[#This Row],[CODIGO]]&amp;TABLATRANSFERENCIA[[#Headers],[Columna6]],Datos_Consumo[CODIGO]&amp;Datos_Consumo[FECHA_FORMATO],0)),0)</f>
        <v>0</v>
      </c>
      <c r="BD21" s="50">
        <v>20</v>
      </c>
      <c r="BE21" s="55">
        <v>20</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0</v>
      </c>
      <c r="BO21" s="51"/>
      <c r="BP21" s="60"/>
      <c r="BQ21" s="3">
        <f>IF(TABLATRANSFERENCIA[[#This Row],[RECIBIDO]]&lt;&gt;"",0,IF(TABLATRANSFERENCIA[[#This Row],[DESPACHO]]&lt;&gt;"",TABLATRANSFERENCIA[[#This Row],[DESPACHO]],TABLATRANSFERENCIA[[#This Row],[REQUERIM]]))</f>
        <v>20</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1" s="51"/>
      <c r="BX21" s="51"/>
      <c r="BY21" s="51"/>
    </row>
    <row r="22" spans="1:77" x14ac:dyDescent="0.25">
      <c r="A22" s="54" t="s">
        <v>2071</v>
      </c>
      <c r="B22" s="3"/>
      <c r="C22" s="3"/>
      <c r="D22" s="3"/>
      <c r="E22" s="3"/>
      <c r="F22" s="3"/>
      <c r="G22" s="3"/>
      <c r="H22" s="3"/>
      <c r="I22" s="3"/>
      <c r="J22" s="3"/>
      <c r="K22" s="3"/>
      <c r="L22" s="3"/>
      <c r="M22" s="3"/>
      <c r="N22" s="3"/>
      <c r="O22" s="5"/>
      <c r="P22" s="5"/>
      <c r="Q22" s="5"/>
      <c r="R22" s="46"/>
      <c r="S22" s="46"/>
      <c r="T22" s="46"/>
      <c r="U22" s="46"/>
      <c r="V22" s="49"/>
      <c r="W22" s="49"/>
      <c r="X22" s="51"/>
      <c r="Y22" s="51"/>
      <c r="Z22" s="6"/>
      <c r="AA22" s="6"/>
      <c r="AB22" s="6"/>
      <c r="AC22" s="4"/>
      <c r="AD22" s="6"/>
      <c r="AE22" s="6"/>
      <c r="AF22" s="6"/>
      <c r="AG22" s="6"/>
      <c r="AH22" s="6"/>
      <c r="AI22" s="6"/>
      <c r="AJ22" s="6"/>
      <c r="AK22" s="6"/>
      <c r="AL22" s="4"/>
      <c r="AM22" s="6"/>
      <c r="AN22" s="6"/>
      <c r="AO22" s="6"/>
      <c r="AP22" s="6"/>
      <c r="AQ22" s="6"/>
      <c r="AR22" s="6"/>
      <c r="AS22" s="6"/>
      <c r="AT22" s="6"/>
      <c r="AU22" s="6"/>
      <c r="AV22" s="62"/>
      <c r="AW22" s="62"/>
      <c r="AX22" s="6">
        <f t="array" ref="AX22">IFERROR(INDEX(Datos_Consumo[CANTIDAD],MATCH(TABLATRANSFERENCIA[[#This Row],[CODIGO]]&amp;TABLATRANSFERENCIA[[#Headers],[2016-10]],Datos_Consumo[CODIGO]&amp;Datos_Consumo[FECHA_FORMATO],0)),0)</f>
        <v>0</v>
      </c>
      <c r="AY22" s="6">
        <f t="array" ref="AY22">IFERROR(INDEX(Datos_Consumo[CANTIDAD],MATCH(TABLATRANSFERENCIA[[#This Row],[CODIGO]]&amp;TABLATRANSFERENCIA[[#Headers],[2016-11]],Datos_Consumo[CODIGO]&amp;Datos_Consumo[FECHA_FORMATO],0)),0)</f>
        <v>0</v>
      </c>
      <c r="AZ22" s="6">
        <f t="array" ref="AZ22">IFERROR(INDEX(Datos_Consumo[CANTIDAD],MATCH(TABLATRANSFERENCIA[[#This Row],[CODIGO]]&amp;TABLATRANSFERENCIA[[#Headers],[2016-12]],Datos_Consumo[CODIGO]&amp;Datos_Consumo[FECHA_FORMATO],0)),0)</f>
        <v>0</v>
      </c>
      <c r="BA22" s="6">
        <f t="array" ref="BA22">IFERROR(INDEX(Datos_Consumo[CANTIDAD],MATCH(TABLATRANSFERENCIA[[#This Row],[CODIGO]]&amp;TABLATRANSFERENCIA[[#Headers],[2017-1]],Datos_Consumo[CODIGO]&amp;Datos_Consumo[FECHA_FORMATO],0)),0)</f>
        <v>0</v>
      </c>
      <c r="BB22" s="6">
        <f t="array" ref="BB22">IFERROR(INDEX(Datos_Consumo[CANTIDAD],MATCH(TABLATRANSFERENCIA[[#This Row],[CODIGO]]&amp;TABLATRANSFERENCIA[[#Headers],[2017-2]],Datos_Consumo[CODIGO]&amp;Datos_Consumo[FECHA_FORMATO],0)),0)</f>
        <v>0</v>
      </c>
      <c r="BC22" s="6">
        <f t="array" ref="BC22">IFERROR(INDEX(Datos_Consumo[CANTIDAD],MATCH(TABLATRANSFERENCIA[[#This Row],[CODIGO]]&amp;TABLATRANSFERENCIA[[#Headers],[Columna6]],Datos_Consumo[CODIGO]&amp;Datos_Consumo[FECHA_FORMATO],0)),0)</f>
        <v>0</v>
      </c>
      <c r="BD22" s="50">
        <v>20</v>
      </c>
      <c r="BE22" s="55">
        <v>20</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0</v>
      </c>
      <c r="BO22" s="51"/>
      <c r="BP22" s="60"/>
      <c r="BQ22" s="3">
        <f>IF(TABLATRANSFERENCIA[[#This Row],[RECIBIDO]]&lt;&gt;"",0,IF(TABLATRANSFERENCIA[[#This Row],[DESPACHO]]&lt;&gt;"",TABLATRANSFERENCIA[[#This Row],[DESPACHO]],TABLATRANSFERENCIA[[#This Row],[REQUERIM]]))</f>
        <v>20</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2" s="51"/>
      <c r="BX22" s="51"/>
      <c r="BY22" s="51"/>
    </row>
    <row r="23" spans="1:77" x14ac:dyDescent="0.25">
      <c r="A23" s="54" t="s">
        <v>2072</v>
      </c>
      <c r="B23" s="3"/>
      <c r="C23" s="3"/>
      <c r="D23" s="3"/>
      <c r="E23" s="3"/>
      <c r="F23" s="3"/>
      <c r="G23" s="3"/>
      <c r="H23" s="3"/>
      <c r="I23" s="3"/>
      <c r="J23" s="3"/>
      <c r="K23" s="3"/>
      <c r="L23" s="3"/>
      <c r="M23" s="3"/>
      <c r="N23" s="3"/>
      <c r="O23" s="5"/>
      <c r="P23" s="5"/>
      <c r="Q23" s="5"/>
      <c r="R23" s="46"/>
      <c r="S23" s="46"/>
      <c r="T23" s="46"/>
      <c r="U23" s="46"/>
      <c r="V23" s="49"/>
      <c r="W23" s="49"/>
      <c r="X23" s="51"/>
      <c r="Y23" s="51"/>
      <c r="Z23" s="6"/>
      <c r="AA23" s="6"/>
      <c r="AB23" s="6"/>
      <c r="AC23" s="4"/>
      <c r="AD23" s="6"/>
      <c r="AE23" s="6"/>
      <c r="AF23" s="6"/>
      <c r="AG23" s="6"/>
      <c r="AH23" s="6"/>
      <c r="AI23" s="6"/>
      <c r="AJ23" s="6"/>
      <c r="AK23" s="6"/>
      <c r="AL23" s="4"/>
      <c r="AM23" s="6"/>
      <c r="AN23" s="6"/>
      <c r="AO23" s="6"/>
      <c r="AP23" s="6"/>
      <c r="AQ23" s="6"/>
      <c r="AR23" s="6"/>
      <c r="AS23" s="6"/>
      <c r="AT23" s="6"/>
      <c r="AU23" s="6"/>
      <c r="AV23" s="62"/>
      <c r="AW23" s="62"/>
      <c r="AX23" s="6">
        <f t="array" ref="AX23">IFERROR(INDEX(Datos_Consumo[CANTIDAD],MATCH(TABLATRANSFERENCIA[[#This Row],[CODIGO]]&amp;TABLATRANSFERENCIA[[#Headers],[2016-10]],Datos_Consumo[CODIGO]&amp;Datos_Consumo[FECHA_FORMATO],0)),0)</f>
        <v>0</v>
      </c>
      <c r="AY23" s="6">
        <f t="array" ref="AY23">IFERROR(INDEX(Datos_Consumo[CANTIDAD],MATCH(TABLATRANSFERENCIA[[#This Row],[CODIGO]]&amp;TABLATRANSFERENCIA[[#Headers],[2016-11]],Datos_Consumo[CODIGO]&amp;Datos_Consumo[FECHA_FORMATO],0)),0)</f>
        <v>0</v>
      </c>
      <c r="AZ23" s="6">
        <f t="array" ref="AZ23">IFERROR(INDEX(Datos_Consumo[CANTIDAD],MATCH(TABLATRANSFERENCIA[[#This Row],[CODIGO]]&amp;TABLATRANSFERENCIA[[#Headers],[2016-12]],Datos_Consumo[CODIGO]&amp;Datos_Consumo[FECHA_FORMATO],0)),0)</f>
        <v>0</v>
      </c>
      <c r="BA23" s="6">
        <f t="array" ref="BA23">IFERROR(INDEX(Datos_Consumo[CANTIDAD],MATCH(TABLATRANSFERENCIA[[#This Row],[CODIGO]]&amp;TABLATRANSFERENCIA[[#Headers],[2017-1]],Datos_Consumo[CODIGO]&amp;Datos_Consumo[FECHA_FORMATO],0)),0)</f>
        <v>0</v>
      </c>
      <c r="BB23" s="6">
        <f t="array" ref="BB23">IFERROR(INDEX(Datos_Consumo[CANTIDAD],MATCH(TABLATRANSFERENCIA[[#This Row],[CODIGO]]&amp;TABLATRANSFERENCIA[[#Headers],[2017-2]],Datos_Consumo[CODIGO]&amp;Datos_Consumo[FECHA_FORMATO],0)),0)</f>
        <v>0</v>
      </c>
      <c r="BC23" s="6">
        <f t="array" ref="BC23">IFERROR(INDEX(Datos_Consumo[CANTIDAD],MATCH(TABLATRANSFERENCIA[[#This Row],[CODIGO]]&amp;TABLATRANSFERENCIA[[#Headers],[Columna6]],Datos_Consumo[CODIGO]&amp;Datos_Consumo[FECHA_FORMATO],0)),0)</f>
        <v>0</v>
      </c>
      <c r="BD23" s="50">
        <v>20</v>
      </c>
      <c r="BE23" s="55">
        <v>20</v>
      </c>
      <c r="BF23" s="50"/>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0</v>
      </c>
      <c r="BO23" s="51"/>
      <c r="BP23" s="60"/>
      <c r="BQ23" s="3">
        <f>IF(TABLATRANSFERENCIA[[#This Row],[RECIBIDO]]&lt;&gt;"",0,IF(TABLATRANSFERENCIA[[#This Row],[DESPACHO]]&lt;&gt;"",TABLATRANSFERENCIA[[#This Row],[DESPACHO]],TABLATRANSFERENCIA[[#This Row],[REQUERIM]]))</f>
        <v>20</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3" s="51"/>
      <c r="BX23" s="51"/>
      <c r="BY23" s="51"/>
    </row>
    <row r="24" spans="1:77" x14ac:dyDescent="0.25">
      <c r="A24" s="54" t="s">
        <v>2073</v>
      </c>
      <c r="B24" s="3"/>
      <c r="C24" s="3"/>
      <c r="D24" s="3"/>
      <c r="E24" s="3"/>
      <c r="F24" s="3"/>
      <c r="G24" s="3"/>
      <c r="H24" s="3"/>
      <c r="I24" s="3"/>
      <c r="J24" s="3"/>
      <c r="K24" s="3"/>
      <c r="L24" s="3"/>
      <c r="M24" s="3"/>
      <c r="N24" s="3"/>
      <c r="O24" s="5"/>
      <c r="P24" s="5"/>
      <c r="Q24" s="5"/>
      <c r="R24" s="46"/>
      <c r="S24" s="46"/>
      <c r="T24" s="46"/>
      <c r="U24" s="46"/>
      <c r="V24" s="49"/>
      <c r="W24" s="49"/>
      <c r="X24" s="51"/>
      <c r="Y24" s="51"/>
      <c r="Z24" s="6"/>
      <c r="AA24" s="6"/>
      <c r="AB24" s="6"/>
      <c r="AC24" s="4"/>
      <c r="AD24" s="6"/>
      <c r="AE24" s="6"/>
      <c r="AF24" s="6"/>
      <c r="AG24" s="6"/>
      <c r="AH24" s="6"/>
      <c r="AI24" s="6"/>
      <c r="AJ24" s="6"/>
      <c r="AK24" s="6"/>
      <c r="AL24" s="4"/>
      <c r="AM24" s="6"/>
      <c r="AN24" s="6"/>
      <c r="AO24" s="6"/>
      <c r="AP24" s="6"/>
      <c r="AQ24" s="6"/>
      <c r="AR24" s="6"/>
      <c r="AS24" s="6"/>
      <c r="AT24" s="6"/>
      <c r="AU24" s="6"/>
      <c r="AV24" s="62"/>
      <c r="AW24" s="62"/>
      <c r="AX24" s="6">
        <f t="array" ref="AX24">IFERROR(INDEX(Datos_Consumo[CANTIDAD],MATCH(TABLATRANSFERENCIA[[#This Row],[CODIGO]]&amp;TABLATRANSFERENCIA[[#Headers],[2016-10]],Datos_Consumo[CODIGO]&amp;Datos_Consumo[FECHA_FORMATO],0)),0)</f>
        <v>0</v>
      </c>
      <c r="AY24" s="6">
        <f t="array" ref="AY24">IFERROR(INDEX(Datos_Consumo[CANTIDAD],MATCH(TABLATRANSFERENCIA[[#This Row],[CODIGO]]&amp;TABLATRANSFERENCIA[[#Headers],[2016-11]],Datos_Consumo[CODIGO]&amp;Datos_Consumo[FECHA_FORMATO],0)),0)</f>
        <v>0</v>
      </c>
      <c r="AZ24" s="6">
        <f t="array" ref="AZ24">IFERROR(INDEX(Datos_Consumo[CANTIDAD],MATCH(TABLATRANSFERENCIA[[#This Row],[CODIGO]]&amp;TABLATRANSFERENCIA[[#Headers],[2016-12]],Datos_Consumo[CODIGO]&amp;Datos_Consumo[FECHA_FORMATO],0)),0)</f>
        <v>0</v>
      </c>
      <c r="BA24" s="6">
        <f t="array" ref="BA24">IFERROR(INDEX(Datos_Consumo[CANTIDAD],MATCH(TABLATRANSFERENCIA[[#This Row],[CODIGO]]&amp;TABLATRANSFERENCIA[[#Headers],[2017-1]],Datos_Consumo[CODIGO]&amp;Datos_Consumo[FECHA_FORMATO],0)),0)</f>
        <v>0</v>
      </c>
      <c r="BB24" s="6">
        <f t="array" ref="BB24">IFERROR(INDEX(Datos_Consumo[CANTIDAD],MATCH(TABLATRANSFERENCIA[[#This Row],[CODIGO]]&amp;TABLATRANSFERENCIA[[#Headers],[2017-2]],Datos_Consumo[CODIGO]&amp;Datos_Consumo[FECHA_FORMATO],0)),0)</f>
        <v>0</v>
      </c>
      <c r="BC24" s="6">
        <f t="array" ref="BC24">IFERROR(INDEX(Datos_Consumo[CANTIDAD],MATCH(TABLATRANSFERENCIA[[#This Row],[CODIGO]]&amp;TABLATRANSFERENCIA[[#Headers],[Columna6]],Datos_Consumo[CODIGO]&amp;Datos_Consumo[FECHA_FORMATO],0)),0)</f>
        <v>0</v>
      </c>
      <c r="BD24" s="50">
        <v>20</v>
      </c>
      <c r="BE24" s="55">
        <v>20</v>
      </c>
      <c r="BF24" s="50"/>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0</v>
      </c>
      <c r="BO24" s="51"/>
      <c r="BP24" s="60"/>
      <c r="BQ24" s="3">
        <f>IF(TABLATRANSFERENCIA[[#This Row],[RECIBIDO]]&lt;&gt;"",0,IF(TABLATRANSFERENCIA[[#This Row],[DESPACHO]]&lt;&gt;"",TABLATRANSFERENCIA[[#This Row],[DESPACHO]],TABLATRANSFERENCIA[[#This Row],[REQUERIM]]))</f>
        <v>20</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4" s="51"/>
      <c r="BX24" s="51"/>
      <c r="BY24" s="51"/>
    </row>
    <row r="25" spans="1:77" x14ac:dyDescent="0.25">
      <c r="A25" s="54" t="s">
        <v>2074</v>
      </c>
      <c r="B25" s="3"/>
      <c r="C25" s="3"/>
      <c r="D25" s="3"/>
      <c r="E25" s="3"/>
      <c r="F25" s="3"/>
      <c r="G25" s="3"/>
      <c r="H25" s="3"/>
      <c r="I25" s="3"/>
      <c r="J25" s="3"/>
      <c r="K25" s="3"/>
      <c r="L25" s="3"/>
      <c r="M25" s="3"/>
      <c r="N25" s="3"/>
      <c r="O25" s="5"/>
      <c r="P25" s="5"/>
      <c r="Q25" s="5"/>
      <c r="R25" s="46"/>
      <c r="S25" s="46"/>
      <c r="T25" s="46"/>
      <c r="U25" s="46"/>
      <c r="V25" s="49"/>
      <c r="W25" s="49"/>
      <c r="X25" s="51"/>
      <c r="Y25" s="51"/>
      <c r="Z25" s="6"/>
      <c r="AA25" s="6"/>
      <c r="AB25" s="6"/>
      <c r="AC25" s="4"/>
      <c r="AD25" s="6"/>
      <c r="AE25" s="6"/>
      <c r="AF25" s="6"/>
      <c r="AG25" s="6"/>
      <c r="AH25" s="6"/>
      <c r="AI25" s="6"/>
      <c r="AJ25" s="6"/>
      <c r="AK25" s="6"/>
      <c r="AL25" s="4"/>
      <c r="AM25" s="6"/>
      <c r="AN25" s="6"/>
      <c r="AO25" s="6"/>
      <c r="AP25" s="6"/>
      <c r="AQ25" s="6"/>
      <c r="AR25" s="6"/>
      <c r="AS25" s="6"/>
      <c r="AT25" s="6"/>
      <c r="AU25" s="6"/>
      <c r="AV25" s="62"/>
      <c r="AW25" s="62"/>
      <c r="AX25" s="6">
        <f t="array" ref="AX25">IFERROR(INDEX(Datos_Consumo[CANTIDAD],MATCH(TABLATRANSFERENCIA[[#This Row],[CODIGO]]&amp;TABLATRANSFERENCIA[[#Headers],[2016-10]],Datos_Consumo[CODIGO]&amp;Datos_Consumo[FECHA_FORMATO],0)),0)</f>
        <v>0</v>
      </c>
      <c r="AY25" s="6">
        <f t="array" ref="AY25">IFERROR(INDEX(Datos_Consumo[CANTIDAD],MATCH(TABLATRANSFERENCIA[[#This Row],[CODIGO]]&amp;TABLATRANSFERENCIA[[#Headers],[2016-11]],Datos_Consumo[CODIGO]&amp;Datos_Consumo[FECHA_FORMATO],0)),0)</f>
        <v>0</v>
      </c>
      <c r="AZ25" s="6">
        <f t="array" ref="AZ25">IFERROR(INDEX(Datos_Consumo[CANTIDAD],MATCH(TABLATRANSFERENCIA[[#This Row],[CODIGO]]&amp;TABLATRANSFERENCIA[[#Headers],[2016-12]],Datos_Consumo[CODIGO]&amp;Datos_Consumo[FECHA_FORMATO],0)),0)</f>
        <v>0</v>
      </c>
      <c r="BA25" s="6">
        <f t="array" ref="BA25">IFERROR(INDEX(Datos_Consumo[CANTIDAD],MATCH(TABLATRANSFERENCIA[[#This Row],[CODIGO]]&amp;TABLATRANSFERENCIA[[#Headers],[2017-1]],Datos_Consumo[CODIGO]&amp;Datos_Consumo[FECHA_FORMATO],0)),0)</f>
        <v>0</v>
      </c>
      <c r="BB25" s="6">
        <f t="array" ref="BB25">IFERROR(INDEX(Datos_Consumo[CANTIDAD],MATCH(TABLATRANSFERENCIA[[#This Row],[CODIGO]]&amp;TABLATRANSFERENCIA[[#Headers],[2017-2]],Datos_Consumo[CODIGO]&amp;Datos_Consumo[FECHA_FORMATO],0)),0)</f>
        <v>0</v>
      </c>
      <c r="BC25" s="6">
        <f t="array" ref="BC25">IFERROR(INDEX(Datos_Consumo[CANTIDAD],MATCH(TABLATRANSFERENCIA[[#This Row],[CODIGO]]&amp;TABLATRANSFERENCIA[[#Headers],[Columna6]],Datos_Consumo[CODIGO]&amp;Datos_Consumo[FECHA_FORMATO],0)),0)</f>
        <v>0</v>
      </c>
      <c r="BD25" s="50">
        <v>20</v>
      </c>
      <c r="BE25" s="55">
        <v>20</v>
      </c>
      <c r="BF25" s="50"/>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0</v>
      </c>
      <c r="BO25" s="51"/>
      <c r="BP25" s="60"/>
      <c r="BQ25" s="3">
        <f>IF(TABLATRANSFERENCIA[[#This Row],[RECIBIDO]]&lt;&gt;"",0,IF(TABLATRANSFERENCIA[[#This Row],[DESPACHO]]&lt;&gt;"",TABLATRANSFERENCIA[[#This Row],[DESPACHO]],TABLATRANSFERENCIA[[#This Row],[REQUERIM]]))</f>
        <v>20</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5" s="51"/>
      <c r="BX25" s="51"/>
      <c r="BY25" s="51"/>
    </row>
    <row r="26" spans="1:77" x14ac:dyDescent="0.25">
      <c r="A26" s="54" t="s">
        <v>2075</v>
      </c>
      <c r="B26" s="3"/>
      <c r="C26" s="3"/>
      <c r="D26" s="3"/>
      <c r="E26" s="3"/>
      <c r="F26" s="3"/>
      <c r="G26" s="3"/>
      <c r="H26" s="3"/>
      <c r="I26" s="3"/>
      <c r="J26" s="3"/>
      <c r="K26" s="3"/>
      <c r="L26" s="3"/>
      <c r="M26" s="3"/>
      <c r="N26" s="3"/>
      <c r="O26" s="5"/>
      <c r="P26" s="5"/>
      <c r="Q26" s="5"/>
      <c r="R26" s="46"/>
      <c r="S26" s="46"/>
      <c r="T26" s="46"/>
      <c r="U26" s="46"/>
      <c r="V26" s="49"/>
      <c r="W26" s="49"/>
      <c r="X26" s="51"/>
      <c r="Y26" s="51"/>
      <c r="Z26" s="6"/>
      <c r="AA26" s="6"/>
      <c r="AB26" s="6"/>
      <c r="AC26" s="4"/>
      <c r="AD26" s="6"/>
      <c r="AE26" s="6"/>
      <c r="AF26" s="6"/>
      <c r="AG26" s="6"/>
      <c r="AH26" s="6"/>
      <c r="AI26" s="6"/>
      <c r="AJ26" s="6"/>
      <c r="AK26" s="6"/>
      <c r="AL26" s="4"/>
      <c r="AM26" s="6"/>
      <c r="AN26" s="6"/>
      <c r="AO26" s="6"/>
      <c r="AP26" s="6"/>
      <c r="AQ26" s="6"/>
      <c r="AR26" s="6"/>
      <c r="AS26" s="6"/>
      <c r="AT26" s="6"/>
      <c r="AU26" s="6"/>
      <c r="AV26" s="62"/>
      <c r="AW26" s="62"/>
      <c r="AX26" s="6">
        <f t="array" ref="AX26">IFERROR(INDEX(Datos_Consumo[CANTIDAD],MATCH(TABLATRANSFERENCIA[[#This Row],[CODIGO]]&amp;TABLATRANSFERENCIA[[#Headers],[2016-10]],Datos_Consumo[CODIGO]&amp;Datos_Consumo[FECHA_FORMATO],0)),0)</f>
        <v>0</v>
      </c>
      <c r="AY26" s="6">
        <f t="array" ref="AY26">IFERROR(INDEX(Datos_Consumo[CANTIDAD],MATCH(TABLATRANSFERENCIA[[#This Row],[CODIGO]]&amp;TABLATRANSFERENCIA[[#Headers],[2016-11]],Datos_Consumo[CODIGO]&amp;Datos_Consumo[FECHA_FORMATO],0)),0)</f>
        <v>0</v>
      </c>
      <c r="AZ26" s="6">
        <f t="array" ref="AZ26">IFERROR(INDEX(Datos_Consumo[CANTIDAD],MATCH(TABLATRANSFERENCIA[[#This Row],[CODIGO]]&amp;TABLATRANSFERENCIA[[#Headers],[2016-12]],Datos_Consumo[CODIGO]&amp;Datos_Consumo[FECHA_FORMATO],0)),0)</f>
        <v>0</v>
      </c>
      <c r="BA26" s="6">
        <f t="array" ref="BA26">IFERROR(INDEX(Datos_Consumo[CANTIDAD],MATCH(TABLATRANSFERENCIA[[#This Row],[CODIGO]]&amp;TABLATRANSFERENCIA[[#Headers],[2017-1]],Datos_Consumo[CODIGO]&amp;Datos_Consumo[FECHA_FORMATO],0)),0)</f>
        <v>0</v>
      </c>
      <c r="BB26" s="6">
        <f t="array" ref="BB26">IFERROR(INDEX(Datos_Consumo[CANTIDAD],MATCH(TABLATRANSFERENCIA[[#This Row],[CODIGO]]&amp;TABLATRANSFERENCIA[[#Headers],[2017-2]],Datos_Consumo[CODIGO]&amp;Datos_Consumo[FECHA_FORMATO],0)),0)</f>
        <v>0</v>
      </c>
      <c r="BC26" s="6">
        <f t="array" ref="BC26">IFERROR(INDEX(Datos_Consumo[CANTIDAD],MATCH(TABLATRANSFERENCIA[[#This Row],[CODIGO]]&amp;TABLATRANSFERENCIA[[#Headers],[Columna6]],Datos_Consumo[CODIGO]&amp;Datos_Consumo[FECHA_FORMATO],0)),0)</f>
        <v>0</v>
      </c>
      <c r="BD26" s="50">
        <v>20</v>
      </c>
      <c r="BE26" s="55">
        <v>20</v>
      </c>
      <c r="BF26" s="50"/>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0</v>
      </c>
      <c r="BO26" s="51"/>
      <c r="BP26" s="60"/>
      <c r="BQ26" s="3">
        <f>IF(TABLATRANSFERENCIA[[#This Row],[RECIBIDO]]&lt;&gt;"",0,IF(TABLATRANSFERENCIA[[#This Row],[DESPACHO]]&lt;&gt;"",TABLATRANSFERENCIA[[#This Row],[DESPACHO]],TABLATRANSFERENCIA[[#This Row],[REQUERIM]]))</f>
        <v>20</v>
      </c>
      <c r="BR26" s="50"/>
      <c r="BS26" s="50"/>
      <c r="BT26" s="50" t="str">
        <f t="shared" si="0"/>
        <v>N</v>
      </c>
      <c r="BU26" s="51">
        <f t="array" ref="BU26">IF(SUM(--(TABLATRANSFERENCIA[[#This Row],[CODIGO GENERICO]]=TABLATRANSFERENCIA[CODIGO GENERICO])*TABLATRANSFERENCIA[REQUERIM])&lt;TABLATRANSFERENCIA[[#This Row],[PEDIDO MIN GRUPO]],1,0)</f>
        <v>0</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6" s="51"/>
      <c r="BX26" s="51"/>
      <c r="BY26" s="51"/>
    </row>
    <row r="27" spans="1:77" x14ac:dyDescent="0.25">
      <c r="A27" s="54" t="s">
        <v>2076</v>
      </c>
      <c r="B27" s="3"/>
      <c r="C27" s="3"/>
      <c r="D27" s="3"/>
      <c r="E27" s="3"/>
      <c r="F27" s="3"/>
      <c r="G27" s="3"/>
      <c r="H27" s="3"/>
      <c r="I27" s="3"/>
      <c r="J27" s="3"/>
      <c r="K27" s="3"/>
      <c r="L27" s="3"/>
      <c r="M27" s="3"/>
      <c r="N27" s="3"/>
      <c r="O27" s="5"/>
      <c r="P27" s="5"/>
      <c r="Q27" s="5"/>
      <c r="R27" s="46"/>
      <c r="S27" s="46"/>
      <c r="T27" s="46"/>
      <c r="U27" s="46"/>
      <c r="V27" s="49"/>
      <c r="W27" s="49"/>
      <c r="X27" s="51"/>
      <c r="Y27" s="51"/>
      <c r="Z27" s="6"/>
      <c r="AA27" s="6"/>
      <c r="AB27" s="6"/>
      <c r="AC27" s="4"/>
      <c r="AD27" s="6"/>
      <c r="AE27" s="6"/>
      <c r="AF27" s="6"/>
      <c r="AG27" s="6"/>
      <c r="AH27" s="6"/>
      <c r="AI27" s="6"/>
      <c r="AJ27" s="6"/>
      <c r="AK27" s="6"/>
      <c r="AL27" s="4"/>
      <c r="AM27" s="6"/>
      <c r="AN27" s="6"/>
      <c r="AO27" s="6"/>
      <c r="AP27" s="6"/>
      <c r="AQ27" s="6"/>
      <c r="AR27" s="6"/>
      <c r="AS27" s="6"/>
      <c r="AT27" s="6"/>
      <c r="AU27" s="6"/>
      <c r="AV27" s="62"/>
      <c r="AW27" s="62"/>
      <c r="AX27" s="6">
        <f t="array" ref="AX27">IFERROR(INDEX(Datos_Consumo[CANTIDAD],MATCH(TABLATRANSFERENCIA[[#This Row],[CODIGO]]&amp;TABLATRANSFERENCIA[[#Headers],[2016-10]],Datos_Consumo[CODIGO]&amp;Datos_Consumo[FECHA_FORMATO],0)),0)</f>
        <v>0</v>
      </c>
      <c r="AY27" s="6">
        <f t="array" ref="AY27">IFERROR(INDEX(Datos_Consumo[CANTIDAD],MATCH(TABLATRANSFERENCIA[[#This Row],[CODIGO]]&amp;TABLATRANSFERENCIA[[#Headers],[2016-11]],Datos_Consumo[CODIGO]&amp;Datos_Consumo[FECHA_FORMATO],0)),0)</f>
        <v>0</v>
      </c>
      <c r="AZ27" s="6">
        <f t="array" ref="AZ27">IFERROR(INDEX(Datos_Consumo[CANTIDAD],MATCH(TABLATRANSFERENCIA[[#This Row],[CODIGO]]&amp;TABLATRANSFERENCIA[[#Headers],[2016-12]],Datos_Consumo[CODIGO]&amp;Datos_Consumo[FECHA_FORMATO],0)),0)</f>
        <v>0</v>
      </c>
      <c r="BA27" s="6">
        <f t="array" ref="BA27">IFERROR(INDEX(Datos_Consumo[CANTIDAD],MATCH(TABLATRANSFERENCIA[[#This Row],[CODIGO]]&amp;TABLATRANSFERENCIA[[#Headers],[2017-1]],Datos_Consumo[CODIGO]&amp;Datos_Consumo[FECHA_FORMATO],0)),0)</f>
        <v>0</v>
      </c>
      <c r="BB27" s="6">
        <f t="array" ref="BB27">IFERROR(INDEX(Datos_Consumo[CANTIDAD],MATCH(TABLATRANSFERENCIA[[#This Row],[CODIGO]]&amp;TABLATRANSFERENCIA[[#Headers],[2017-2]],Datos_Consumo[CODIGO]&amp;Datos_Consumo[FECHA_FORMATO],0)),0)</f>
        <v>0</v>
      </c>
      <c r="BC27" s="6">
        <f t="array" ref="BC27">IFERROR(INDEX(Datos_Consumo[CANTIDAD],MATCH(TABLATRANSFERENCIA[[#This Row],[CODIGO]]&amp;TABLATRANSFERENCIA[[#Headers],[Columna6]],Datos_Consumo[CODIGO]&amp;Datos_Consumo[FECHA_FORMATO],0)),0)</f>
        <v>0</v>
      </c>
      <c r="BD27" s="50">
        <v>20</v>
      </c>
      <c r="BE27" s="55">
        <v>20</v>
      </c>
      <c r="BF27" s="50"/>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0</v>
      </c>
      <c r="BO27" s="51"/>
      <c r="BP27" s="60"/>
      <c r="BQ27" s="3">
        <f>IF(TABLATRANSFERENCIA[[#This Row],[RECIBIDO]]&lt;&gt;"",0,IF(TABLATRANSFERENCIA[[#This Row],[DESPACHO]]&lt;&gt;"",TABLATRANSFERENCIA[[#This Row],[DESPACHO]],TABLATRANSFERENCIA[[#This Row],[REQUERIM]]))</f>
        <v>20</v>
      </c>
      <c r="BR27" s="50"/>
      <c r="BS27" s="50"/>
      <c r="BT27" s="50" t="str">
        <f t="shared" si="0"/>
        <v>N</v>
      </c>
      <c r="BU27" s="51">
        <f t="array" ref="BU27">IF(SUM(--(TABLATRANSFERENCIA[[#This Row],[CODIGO GENERICO]]=TABLATRANSFERENCIA[CODIGO GENERICO])*TABLATRANSFERENCIA[REQUERIM])&lt;TABLATRANSFERENCIA[[#This Row],[PEDIDO MIN GRUPO]],1,0)</f>
        <v>0</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7" s="51"/>
      <c r="BX27" s="51"/>
      <c r="BY27" s="51"/>
    </row>
    <row r="28" spans="1:77" x14ac:dyDescent="0.25">
      <c r="A28" s="54" t="s">
        <v>2077</v>
      </c>
      <c r="B28" s="3"/>
      <c r="C28" s="3"/>
      <c r="D28" s="3"/>
      <c r="E28" s="3"/>
      <c r="F28" s="3"/>
      <c r="G28" s="3"/>
      <c r="H28" s="3"/>
      <c r="I28" s="3"/>
      <c r="J28" s="3"/>
      <c r="K28" s="3"/>
      <c r="L28" s="3"/>
      <c r="M28" s="3"/>
      <c r="N28" s="3"/>
      <c r="O28" s="5"/>
      <c r="P28" s="5"/>
      <c r="Q28" s="5"/>
      <c r="R28" s="46"/>
      <c r="S28" s="46"/>
      <c r="T28" s="46"/>
      <c r="U28" s="46"/>
      <c r="V28" s="49"/>
      <c r="W28" s="49"/>
      <c r="X28" s="51"/>
      <c r="Y28" s="51"/>
      <c r="Z28" s="6"/>
      <c r="AA28" s="6"/>
      <c r="AB28" s="6"/>
      <c r="AC28" s="4"/>
      <c r="AD28" s="6"/>
      <c r="AE28" s="6"/>
      <c r="AF28" s="6"/>
      <c r="AG28" s="6"/>
      <c r="AH28" s="6"/>
      <c r="AI28" s="6"/>
      <c r="AJ28" s="6"/>
      <c r="AK28" s="6"/>
      <c r="AL28" s="4"/>
      <c r="AM28" s="6"/>
      <c r="AN28" s="6"/>
      <c r="AO28" s="6"/>
      <c r="AP28" s="6"/>
      <c r="AQ28" s="6"/>
      <c r="AR28" s="6"/>
      <c r="AS28" s="6"/>
      <c r="AT28" s="6"/>
      <c r="AU28" s="6"/>
      <c r="AV28" s="62"/>
      <c r="AW28" s="62"/>
      <c r="AX28" s="6">
        <f t="array" ref="AX28">IFERROR(INDEX(Datos_Consumo[CANTIDAD],MATCH(TABLATRANSFERENCIA[[#This Row],[CODIGO]]&amp;TABLATRANSFERENCIA[[#Headers],[2016-10]],Datos_Consumo[CODIGO]&amp;Datos_Consumo[FECHA_FORMATO],0)),0)</f>
        <v>0</v>
      </c>
      <c r="AY28" s="6">
        <f t="array" ref="AY28">IFERROR(INDEX(Datos_Consumo[CANTIDAD],MATCH(TABLATRANSFERENCIA[[#This Row],[CODIGO]]&amp;TABLATRANSFERENCIA[[#Headers],[2016-11]],Datos_Consumo[CODIGO]&amp;Datos_Consumo[FECHA_FORMATO],0)),0)</f>
        <v>0</v>
      </c>
      <c r="AZ28" s="6">
        <f t="array" ref="AZ28">IFERROR(INDEX(Datos_Consumo[CANTIDAD],MATCH(TABLATRANSFERENCIA[[#This Row],[CODIGO]]&amp;TABLATRANSFERENCIA[[#Headers],[2016-12]],Datos_Consumo[CODIGO]&amp;Datos_Consumo[FECHA_FORMATO],0)),0)</f>
        <v>0</v>
      </c>
      <c r="BA28" s="6">
        <f t="array" ref="BA28">IFERROR(INDEX(Datos_Consumo[CANTIDAD],MATCH(TABLATRANSFERENCIA[[#This Row],[CODIGO]]&amp;TABLATRANSFERENCIA[[#Headers],[2017-1]],Datos_Consumo[CODIGO]&amp;Datos_Consumo[FECHA_FORMATO],0)),0)</f>
        <v>0</v>
      </c>
      <c r="BB28" s="6">
        <f t="array" ref="BB28">IFERROR(INDEX(Datos_Consumo[CANTIDAD],MATCH(TABLATRANSFERENCIA[[#This Row],[CODIGO]]&amp;TABLATRANSFERENCIA[[#Headers],[2017-2]],Datos_Consumo[CODIGO]&amp;Datos_Consumo[FECHA_FORMATO],0)),0)</f>
        <v>0</v>
      </c>
      <c r="BC28" s="6">
        <f t="array" ref="BC28">IFERROR(INDEX(Datos_Consumo[CANTIDAD],MATCH(TABLATRANSFERENCIA[[#This Row],[CODIGO]]&amp;TABLATRANSFERENCIA[[#Headers],[Columna6]],Datos_Consumo[CODIGO]&amp;Datos_Consumo[FECHA_FORMATO],0)),0)</f>
        <v>0</v>
      </c>
      <c r="BD28" s="50">
        <v>20</v>
      </c>
      <c r="BE28" s="55">
        <v>20</v>
      </c>
      <c r="BF28" s="50"/>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0</v>
      </c>
      <c r="BO28" s="51"/>
      <c r="BP28" s="60"/>
      <c r="BQ28" s="3">
        <f>IF(TABLATRANSFERENCIA[[#This Row],[RECIBIDO]]&lt;&gt;"",0,IF(TABLATRANSFERENCIA[[#This Row],[DESPACHO]]&lt;&gt;"",TABLATRANSFERENCIA[[#This Row],[DESPACHO]],TABLATRANSFERENCIA[[#This Row],[REQUERIM]]))</f>
        <v>20</v>
      </c>
      <c r="BR28" s="50"/>
      <c r="BS28" s="50"/>
      <c r="BT28" s="50" t="str">
        <f t="shared" si="0"/>
        <v>N</v>
      </c>
      <c r="BU28" s="51">
        <f t="array" ref="BU28">IF(SUM(--(TABLATRANSFERENCIA[[#This Row],[CODIGO GENERICO]]=TABLATRANSFERENCIA[CODIGO GENERICO])*TABLATRANSFERENCIA[REQUERIM])&lt;TABLATRANSFERENCIA[[#This Row],[PEDIDO MIN GRUPO]],1,0)</f>
        <v>0</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8" s="51"/>
      <c r="BX28" s="51"/>
      <c r="BY28" s="51"/>
    </row>
    <row r="29" spans="1:77" x14ac:dyDescent="0.25">
      <c r="A29" s="54" t="s">
        <v>2078</v>
      </c>
      <c r="B29" s="3"/>
      <c r="C29" s="3"/>
      <c r="D29" s="3"/>
      <c r="E29" s="3"/>
      <c r="F29" s="3"/>
      <c r="G29" s="3"/>
      <c r="H29" s="3"/>
      <c r="I29" s="3"/>
      <c r="J29" s="3"/>
      <c r="K29" s="3"/>
      <c r="L29" s="3"/>
      <c r="M29" s="3"/>
      <c r="N29" s="3"/>
      <c r="O29" s="5"/>
      <c r="P29" s="5"/>
      <c r="Q29" s="5"/>
      <c r="R29" s="46"/>
      <c r="S29" s="46"/>
      <c r="T29" s="46"/>
      <c r="U29" s="46"/>
      <c r="V29" s="49"/>
      <c r="W29" s="49"/>
      <c r="X29" s="51"/>
      <c r="Y29" s="51"/>
      <c r="Z29" s="6"/>
      <c r="AA29" s="6"/>
      <c r="AB29" s="6"/>
      <c r="AC29" s="4"/>
      <c r="AD29" s="6"/>
      <c r="AE29" s="6"/>
      <c r="AF29" s="6"/>
      <c r="AG29" s="6"/>
      <c r="AH29" s="6"/>
      <c r="AI29" s="6"/>
      <c r="AJ29" s="6"/>
      <c r="AK29" s="6"/>
      <c r="AL29" s="4"/>
      <c r="AM29" s="6"/>
      <c r="AN29" s="6"/>
      <c r="AO29" s="6"/>
      <c r="AP29" s="6"/>
      <c r="AQ29" s="6"/>
      <c r="AR29" s="6"/>
      <c r="AS29" s="6"/>
      <c r="AT29" s="6"/>
      <c r="AU29" s="6"/>
      <c r="AV29" s="62"/>
      <c r="AW29" s="62"/>
      <c r="AX29" s="6">
        <f t="array" ref="AX29">IFERROR(INDEX(Datos_Consumo[CANTIDAD],MATCH(TABLATRANSFERENCIA[[#This Row],[CODIGO]]&amp;TABLATRANSFERENCIA[[#Headers],[2016-10]],Datos_Consumo[CODIGO]&amp;Datos_Consumo[FECHA_FORMATO],0)),0)</f>
        <v>0</v>
      </c>
      <c r="AY29" s="6">
        <f t="array" ref="AY29">IFERROR(INDEX(Datos_Consumo[CANTIDAD],MATCH(TABLATRANSFERENCIA[[#This Row],[CODIGO]]&amp;TABLATRANSFERENCIA[[#Headers],[2016-11]],Datos_Consumo[CODIGO]&amp;Datos_Consumo[FECHA_FORMATO],0)),0)</f>
        <v>0</v>
      </c>
      <c r="AZ29" s="6">
        <f t="array" ref="AZ29">IFERROR(INDEX(Datos_Consumo[CANTIDAD],MATCH(TABLATRANSFERENCIA[[#This Row],[CODIGO]]&amp;TABLATRANSFERENCIA[[#Headers],[2016-12]],Datos_Consumo[CODIGO]&amp;Datos_Consumo[FECHA_FORMATO],0)),0)</f>
        <v>0</v>
      </c>
      <c r="BA29" s="6">
        <f t="array" ref="BA29">IFERROR(INDEX(Datos_Consumo[CANTIDAD],MATCH(TABLATRANSFERENCIA[[#This Row],[CODIGO]]&amp;TABLATRANSFERENCIA[[#Headers],[2017-1]],Datos_Consumo[CODIGO]&amp;Datos_Consumo[FECHA_FORMATO],0)),0)</f>
        <v>0</v>
      </c>
      <c r="BB29" s="6">
        <f t="array" ref="BB29">IFERROR(INDEX(Datos_Consumo[CANTIDAD],MATCH(TABLATRANSFERENCIA[[#This Row],[CODIGO]]&amp;TABLATRANSFERENCIA[[#Headers],[2017-2]],Datos_Consumo[CODIGO]&amp;Datos_Consumo[FECHA_FORMATO],0)),0)</f>
        <v>0</v>
      </c>
      <c r="BC29" s="6">
        <f t="array" ref="BC29">IFERROR(INDEX(Datos_Consumo[CANTIDAD],MATCH(TABLATRANSFERENCIA[[#This Row],[CODIGO]]&amp;TABLATRANSFERENCIA[[#Headers],[Columna6]],Datos_Consumo[CODIGO]&amp;Datos_Consumo[FECHA_FORMATO],0)),0)</f>
        <v>0</v>
      </c>
      <c r="BD29" s="50">
        <v>10</v>
      </c>
      <c r="BE29" s="55">
        <v>10</v>
      </c>
      <c r="BF29" s="50"/>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0</v>
      </c>
      <c r="BO29" s="51"/>
      <c r="BP29" s="60"/>
      <c r="BQ29" s="3">
        <f>IF(TABLATRANSFERENCIA[[#This Row],[RECIBIDO]]&lt;&gt;"",0,IF(TABLATRANSFERENCIA[[#This Row],[DESPACHO]]&lt;&gt;"",TABLATRANSFERENCIA[[#This Row],[DESPACHO]],TABLATRANSFERENCIA[[#This Row],[REQUERIM]]))</f>
        <v>10</v>
      </c>
      <c r="BR29" s="50"/>
      <c r="BS29" s="50"/>
      <c r="BT29" s="50" t="str">
        <f t="shared" si="0"/>
        <v>N</v>
      </c>
      <c r="BU29" s="51">
        <f t="array" ref="BU29">IF(SUM(--(TABLATRANSFERENCIA[[#This Row],[CODIGO GENERICO]]=TABLATRANSFERENCIA[CODIGO GENERICO])*TABLATRANSFERENCIA[REQUERIM])&lt;TABLATRANSFERENCIA[[#This Row],[PEDIDO MIN GRUPO]],1,0)</f>
        <v>0</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9" s="51"/>
      <c r="BX29" s="51"/>
      <c r="BY29" s="51"/>
    </row>
    <row r="30" spans="1:77" x14ac:dyDescent="0.25">
      <c r="A30" s="54" t="s">
        <v>1655</v>
      </c>
      <c r="B30" s="3"/>
      <c r="C30" s="3"/>
      <c r="D30" s="3"/>
      <c r="E30" s="3"/>
      <c r="F30" s="3"/>
      <c r="G30" s="3"/>
      <c r="H30" s="3"/>
      <c r="I30" s="3"/>
      <c r="J30" s="3"/>
      <c r="K30" s="3"/>
      <c r="L30" s="3"/>
      <c r="M30" s="3"/>
      <c r="N30" s="3"/>
      <c r="O30" s="5"/>
      <c r="P30" s="5"/>
      <c r="Q30" s="5"/>
      <c r="R30" s="46"/>
      <c r="S30" s="46"/>
      <c r="T30" s="46"/>
      <c r="U30" s="46"/>
      <c r="V30" s="49"/>
      <c r="W30" s="49"/>
      <c r="X30" s="51"/>
      <c r="Y30" s="51"/>
      <c r="Z30" s="6"/>
      <c r="AA30" s="6"/>
      <c r="AB30" s="6"/>
      <c r="AC30" s="4"/>
      <c r="AD30" s="6"/>
      <c r="AE30" s="6"/>
      <c r="AF30" s="6"/>
      <c r="AG30" s="6"/>
      <c r="AH30" s="6"/>
      <c r="AI30" s="6"/>
      <c r="AJ30" s="6"/>
      <c r="AK30" s="6"/>
      <c r="AL30" s="4"/>
      <c r="AM30" s="6"/>
      <c r="AN30" s="6"/>
      <c r="AO30" s="6"/>
      <c r="AP30" s="6"/>
      <c r="AQ30" s="6"/>
      <c r="AR30" s="6"/>
      <c r="AS30" s="6"/>
      <c r="AT30" s="6"/>
      <c r="AU30" s="6"/>
      <c r="AV30" s="62"/>
      <c r="AW30" s="62"/>
      <c r="AX30" s="6">
        <f t="array" ref="AX30">IFERROR(INDEX(Datos_Consumo[CANTIDAD],MATCH(TABLATRANSFERENCIA[[#This Row],[CODIGO]]&amp;TABLATRANSFERENCIA[[#Headers],[2016-10]],Datos_Consumo[CODIGO]&amp;Datos_Consumo[FECHA_FORMATO],0)),0)</f>
        <v>0</v>
      </c>
      <c r="AY30" s="6">
        <f t="array" ref="AY30">IFERROR(INDEX(Datos_Consumo[CANTIDAD],MATCH(TABLATRANSFERENCIA[[#This Row],[CODIGO]]&amp;TABLATRANSFERENCIA[[#Headers],[2016-11]],Datos_Consumo[CODIGO]&amp;Datos_Consumo[FECHA_FORMATO],0)),0)</f>
        <v>0</v>
      </c>
      <c r="AZ30" s="6">
        <f t="array" ref="AZ30">IFERROR(INDEX(Datos_Consumo[CANTIDAD],MATCH(TABLATRANSFERENCIA[[#This Row],[CODIGO]]&amp;TABLATRANSFERENCIA[[#Headers],[2016-12]],Datos_Consumo[CODIGO]&amp;Datos_Consumo[FECHA_FORMATO],0)),0)</f>
        <v>8</v>
      </c>
      <c r="BA30" s="6">
        <f t="array" ref="BA30">IFERROR(INDEX(Datos_Consumo[CANTIDAD],MATCH(TABLATRANSFERENCIA[[#This Row],[CODIGO]]&amp;TABLATRANSFERENCIA[[#Headers],[2017-1]],Datos_Consumo[CODIGO]&amp;Datos_Consumo[FECHA_FORMATO],0)),0)</f>
        <v>0</v>
      </c>
      <c r="BB30" s="6">
        <f t="array" ref="BB30">IFERROR(INDEX(Datos_Consumo[CANTIDAD],MATCH(TABLATRANSFERENCIA[[#This Row],[CODIGO]]&amp;TABLATRANSFERENCIA[[#Headers],[2017-2]],Datos_Consumo[CODIGO]&amp;Datos_Consumo[FECHA_FORMATO],0)),0)</f>
        <v>0</v>
      </c>
      <c r="BC30" s="6">
        <f t="array" ref="BC30">IFERROR(INDEX(Datos_Consumo[CANTIDAD],MATCH(TABLATRANSFERENCIA[[#This Row],[CODIGO]]&amp;TABLATRANSFERENCIA[[#Headers],[Columna6]],Datos_Consumo[CODIGO]&amp;Datos_Consumo[FECHA_FORMATO],0)),0)</f>
        <v>0</v>
      </c>
      <c r="BD30" s="50">
        <v>10</v>
      </c>
      <c r="BE30" s="55">
        <v>10</v>
      </c>
      <c r="BF30" s="50"/>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0</v>
      </c>
      <c r="BO30" s="51"/>
      <c r="BP30" s="60"/>
      <c r="BQ30" s="3">
        <f>IF(TABLATRANSFERENCIA[[#This Row],[RECIBIDO]]&lt;&gt;"",0,IF(TABLATRANSFERENCIA[[#This Row],[DESPACHO]]&lt;&gt;"",TABLATRANSFERENCIA[[#This Row],[DESPACHO]],TABLATRANSFERENCIA[[#This Row],[REQUERIM]]))</f>
        <v>10</v>
      </c>
      <c r="BR30" s="50"/>
      <c r="BS30" s="50"/>
      <c r="BT30" s="50" t="str">
        <f t="shared" si="0"/>
        <v>N</v>
      </c>
      <c r="BU30" s="51">
        <f t="array" ref="BU30">IF(SUM(--(TABLATRANSFERENCIA[[#This Row],[CODIGO GENERICO]]=TABLATRANSFERENCIA[CODIGO GENERICO])*TABLATRANSFERENCIA[REQUERIM])&lt;TABLATRANSFERENCIA[[#This Row],[PEDIDO MIN GRUPO]],1,0)</f>
        <v>0</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0" s="51"/>
      <c r="BX30" s="51"/>
      <c r="BY30" s="51"/>
    </row>
    <row r="31" spans="1:77" x14ac:dyDescent="0.25">
      <c r="A31" s="54" t="s">
        <v>2079</v>
      </c>
      <c r="B31" s="3"/>
      <c r="C31" s="3"/>
      <c r="D31" s="3"/>
      <c r="E31" s="3"/>
      <c r="F31" s="3"/>
      <c r="G31" s="3"/>
      <c r="H31" s="3"/>
      <c r="I31" s="3"/>
      <c r="J31" s="3"/>
      <c r="K31" s="3"/>
      <c r="L31" s="3"/>
      <c r="M31" s="3"/>
      <c r="N31" s="3"/>
      <c r="O31" s="5"/>
      <c r="P31" s="5"/>
      <c r="Q31" s="5"/>
      <c r="R31" s="46"/>
      <c r="S31" s="46"/>
      <c r="T31" s="46"/>
      <c r="U31" s="46"/>
      <c r="V31" s="49"/>
      <c r="W31" s="49"/>
      <c r="X31" s="51"/>
      <c r="Y31" s="51"/>
      <c r="Z31" s="6"/>
      <c r="AA31" s="6"/>
      <c r="AB31" s="6"/>
      <c r="AC31" s="4"/>
      <c r="AD31" s="6"/>
      <c r="AE31" s="6"/>
      <c r="AF31" s="6"/>
      <c r="AG31" s="6"/>
      <c r="AH31" s="6"/>
      <c r="AI31" s="6"/>
      <c r="AJ31" s="6"/>
      <c r="AK31" s="6"/>
      <c r="AL31" s="4"/>
      <c r="AM31" s="6"/>
      <c r="AN31" s="6"/>
      <c r="AO31" s="6"/>
      <c r="AP31" s="6"/>
      <c r="AQ31" s="6"/>
      <c r="AR31" s="6"/>
      <c r="AS31" s="6"/>
      <c r="AT31" s="6"/>
      <c r="AU31" s="6"/>
      <c r="AV31" s="62"/>
      <c r="AW31" s="62"/>
      <c r="AX31" s="6">
        <f t="array" ref="AX31">IFERROR(INDEX(Datos_Consumo[CANTIDAD],MATCH(TABLATRANSFERENCIA[[#This Row],[CODIGO]]&amp;TABLATRANSFERENCIA[[#Headers],[2016-10]],Datos_Consumo[CODIGO]&amp;Datos_Consumo[FECHA_FORMATO],0)),0)</f>
        <v>0</v>
      </c>
      <c r="AY31" s="6">
        <f t="array" ref="AY31">IFERROR(INDEX(Datos_Consumo[CANTIDAD],MATCH(TABLATRANSFERENCIA[[#This Row],[CODIGO]]&amp;TABLATRANSFERENCIA[[#Headers],[2016-11]],Datos_Consumo[CODIGO]&amp;Datos_Consumo[FECHA_FORMATO],0)),0)</f>
        <v>0</v>
      </c>
      <c r="AZ31" s="6">
        <f t="array" ref="AZ31">IFERROR(INDEX(Datos_Consumo[CANTIDAD],MATCH(TABLATRANSFERENCIA[[#This Row],[CODIGO]]&amp;TABLATRANSFERENCIA[[#Headers],[2016-12]],Datos_Consumo[CODIGO]&amp;Datos_Consumo[FECHA_FORMATO],0)),0)</f>
        <v>0</v>
      </c>
      <c r="BA31" s="6">
        <f t="array" ref="BA31">IFERROR(INDEX(Datos_Consumo[CANTIDAD],MATCH(TABLATRANSFERENCIA[[#This Row],[CODIGO]]&amp;TABLATRANSFERENCIA[[#Headers],[2017-1]],Datos_Consumo[CODIGO]&amp;Datos_Consumo[FECHA_FORMATO],0)),0)</f>
        <v>0</v>
      </c>
      <c r="BB31" s="6">
        <f t="array" ref="BB31">IFERROR(INDEX(Datos_Consumo[CANTIDAD],MATCH(TABLATRANSFERENCIA[[#This Row],[CODIGO]]&amp;TABLATRANSFERENCIA[[#Headers],[2017-2]],Datos_Consumo[CODIGO]&amp;Datos_Consumo[FECHA_FORMATO],0)),0)</f>
        <v>0</v>
      </c>
      <c r="BC31" s="6">
        <f t="array" ref="BC31">IFERROR(INDEX(Datos_Consumo[CANTIDAD],MATCH(TABLATRANSFERENCIA[[#This Row],[CODIGO]]&amp;TABLATRANSFERENCIA[[#Headers],[Columna6]],Datos_Consumo[CODIGO]&amp;Datos_Consumo[FECHA_FORMATO],0)),0)</f>
        <v>0</v>
      </c>
      <c r="BD31" s="50">
        <v>10</v>
      </c>
      <c r="BE31" s="55">
        <v>10</v>
      </c>
      <c r="BF31" s="50"/>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0</v>
      </c>
      <c r="BO31" s="51"/>
      <c r="BP31" s="60"/>
      <c r="BQ31" s="3">
        <f>IF(TABLATRANSFERENCIA[[#This Row],[RECIBIDO]]&lt;&gt;"",0,IF(TABLATRANSFERENCIA[[#This Row],[DESPACHO]]&lt;&gt;"",TABLATRANSFERENCIA[[#This Row],[DESPACHO]],TABLATRANSFERENCIA[[#This Row],[REQUERIM]]))</f>
        <v>10</v>
      </c>
      <c r="BR31" s="50"/>
      <c r="BS31" s="50"/>
      <c r="BT31" s="50" t="str">
        <f t="shared" si="0"/>
        <v>N</v>
      </c>
      <c r="BU31" s="51">
        <f t="array" ref="BU31">IF(SUM(--(TABLATRANSFERENCIA[[#This Row],[CODIGO GENERICO]]=TABLATRANSFERENCIA[CODIGO GENERICO])*TABLATRANSFERENCIA[REQUERIM])&lt;TABLATRANSFERENCIA[[#This Row],[PEDIDO MIN GRUPO]],1,0)</f>
        <v>0</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1" s="51"/>
      <c r="BX31" s="51"/>
      <c r="BY31" s="51"/>
    </row>
    <row r="32" spans="1:77" x14ac:dyDescent="0.25">
      <c r="A32" s="54" t="s">
        <v>2080</v>
      </c>
      <c r="B32" s="3"/>
      <c r="C32" s="3"/>
      <c r="D32" s="3"/>
      <c r="E32" s="3"/>
      <c r="F32" s="3"/>
      <c r="G32" s="3"/>
      <c r="H32" s="3"/>
      <c r="I32" s="3"/>
      <c r="J32" s="3"/>
      <c r="K32" s="3"/>
      <c r="L32" s="3"/>
      <c r="M32" s="3"/>
      <c r="N32" s="3"/>
      <c r="O32" s="5"/>
      <c r="P32" s="5"/>
      <c r="Q32" s="5"/>
      <c r="R32" s="46"/>
      <c r="S32" s="46"/>
      <c r="T32" s="46"/>
      <c r="U32" s="46"/>
      <c r="V32" s="49"/>
      <c r="W32" s="49"/>
      <c r="X32" s="51"/>
      <c r="Y32" s="51"/>
      <c r="Z32" s="6"/>
      <c r="AA32" s="6"/>
      <c r="AB32" s="6"/>
      <c r="AC32" s="4"/>
      <c r="AD32" s="6"/>
      <c r="AE32" s="6"/>
      <c r="AF32" s="6"/>
      <c r="AG32" s="6"/>
      <c r="AH32" s="6"/>
      <c r="AI32" s="6"/>
      <c r="AJ32" s="6"/>
      <c r="AK32" s="6"/>
      <c r="AL32" s="4"/>
      <c r="AM32" s="6"/>
      <c r="AN32" s="6"/>
      <c r="AO32" s="6"/>
      <c r="AP32" s="6"/>
      <c r="AQ32" s="6"/>
      <c r="AR32" s="6"/>
      <c r="AS32" s="6"/>
      <c r="AT32" s="6"/>
      <c r="AU32" s="6"/>
      <c r="AV32" s="62"/>
      <c r="AW32" s="62"/>
      <c r="AX32" s="6">
        <f t="array" ref="AX32">IFERROR(INDEX(Datos_Consumo[CANTIDAD],MATCH(TABLATRANSFERENCIA[[#This Row],[CODIGO]]&amp;TABLATRANSFERENCIA[[#Headers],[2016-10]],Datos_Consumo[CODIGO]&amp;Datos_Consumo[FECHA_FORMATO],0)),0)</f>
        <v>0</v>
      </c>
      <c r="AY32" s="6">
        <f t="array" ref="AY32">IFERROR(INDEX(Datos_Consumo[CANTIDAD],MATCH(TABLATRANSFERENCIA[[#This Row],[CODIGO]]&amp;TABLATRANSFERENCIA[[#Headers],[2016-11]],Datos_Consumo[CODIGO]&amp;Datos_Consumo[FECHA_FORMATO],0)),0)</f>
        <v>0</v>
      </c>
      <c r="AZ32" s="6">
        <f t="array" ref="AZ32">IFERROR(INDEX(Datos_Consumo[CANTIDAD],MATCH(TABLATRANSFERENCIA[[#This Row],[CODIGO]]&amp;TABLATRANSFERENCIA[[#Headers],[2016-12]],Datos_Consumo[CODIGO]&amp;Datos_Consumo[FECHA_FORMATO],0)),0)</f>
        <v>0</v>
      </c>
      <c r="BA32" s="6">
        <f t="array" ref="BA32">IFERROR(INDEX(Datos_Consumo[CANTIDAD],MATCH(TABLATRANSFERENCIA[[#This Row],[CODIGO]]&amp;TABLATRANSFERENCIA[[#Headers],[2017-1]],Datos_Consumo[CODIGO]&amp;Datos_Consumo[FECHA_FORMATO],0)),0)</f>
        <v>0</v>
      </c>
      <c r="BB32" s="6">
        <f t="array" ref="BB32">IFERROR(INDEX(Datos_Consumo[CANTIDAD],MATCH(TABLATRANSFERENCIA[[#This Row],[CODIGO]]&amp;TABLATRANSFERENCIA[[#Headers],[2017-2]],Datos_Consumo[CODIGO]&amp;Datos_Consumo[FECHA_FORMATO],0)),0)</f>
        <v>0</v>
      </c>
      <c r="BC32" s="6">
        <f t="array" ref="BC32">IFERROR(INDEX(Datos_Consumo[CANTIDAD],MATCH(TABLATRANSFERENCIA[[#This Row],[CODIGO]]&amp;TABLATRANSFERENCIA[[#Headers],[Columna6]],Datos_Consumo[CODIGO]&amp;Datos_Consumo[FECHA_FORMATO],0)),0)</f>
        <v>0</v>
      </c>
      <c r="BD32" s="50">
        <v>20</v>
      </c>
      <c r="BE32" s="55">
        <v>20</v>
      </c>
      <c r="BF32" s="50"/>
      <c r="BG32" s="51"/>
      <c r="BH3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2" s="51"/>
      <c r="BN32" s="46">
        <f>IFERROR(TABLATRANSFERENCIA[[#This Row],[REQUERIM]]/TABLATRANSFERENCIA[[#This Row],[PEDIDO PROMEDIO]],0)</f>
        <v>0</v>
      </c>
      <c r="BO32" s="51"/>
      <c r="BP32" s="60"/>
      <c r="BQ32" s="3">
        <f>IF(TABLATRANSFERENCIA[[#This Row],[RECIBIDO]]&lt;&gt;"",0,IF(TABLATRANSFERENCIA[[#This Row],[DESPACHO]]&lt;&gt;"",TABLATRANSFERENCIA[[#This Row],[DESPACHO]],TABLATRANSFERENCIA[[#This Row],[REQUERIM]]))</f>
        <v>20</v>
      </c>
      <c r="BR32" s="50"/>
      <c r="BS32" s="50"/>
      <c r="BT32" s="50" t="str">
        <f t="shared" si="0"/>
        <v>N</v>
      </c>
      <c r="BU32" s="51">
        <f t="array" ref="BU32">IF(SUM(--(TABLATRANSFERENCIA[[#This Row],[CODIGO GENERICO]]=TABLATRANSFERENCIA[CODIGO GENERICO])*TABLATRANSFERENCIA[REQUERIM])&lt;TABLATRANSFERENCIA[[#This Row],[PEDIDO MIN GRUPO]],1,0)</f>
        <v>0</v>
      </c>
      <c r="BV3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2" s="51"/>
      <c r="BX32" s="51"/>
      <c r="BY32" s="51"/>
    </row>
    <row r="33" spans="1:77" x14ac:dyDescent="0.25">
      <c r="A33" s="54" t="s">
        <v>2081</v>
      </c>
      <c r="B33" s="3"/>
      <c r="C33" s="3"/>
      <c r="D33" s="3"/>
      <c r="E33" s="3"/>
      <c r="F33" s="3"/>
      <c r="G33" s="3"/>
      <c r="H33" s="3"/>
      <c r="I33" s="3"/>
      <c r="J33" s="3"/>
      <c r="K33" s="3"/>
      <c r="L33" s="3"/>
      <c r="M33" s="3"/>
      <c r="N33" s="3"/>
      <c r="O33" s="5"/>
      <c r="P33" s="5"/>
      <c r="Q33" s="5"/>
      <c r="R33" s="46"/>
      <c r="S33" s="46"/>
      <c r="T33" s="46"/>
      <c r="U33" s="46"/>
      <c r="V33" s="49"/>
      <c r="W33" s="49"/>
      <c r="X33" s="51"/>
      <c r="Y33" s="51"/>
      <c r="Z33" s="6"/>
      <c r="AA33" s="6"/>
      <c r="AB33" s="6"/>
      <c r="AC33" s="4"/>
      <c r="AD33" s="6"/>
      <c r="AE33" s="6"/>
      <c r="AF33" s="6"/>
      <c r="AG33" s="6"/>
      <c r="AH33" s="6"/>
      <c r="AI33" s="6"/>
      <c r="AJ33" s="6"/>
      <c r="AK33" s="6"/>
      <c r="AL33" s="4"/>
      <c r="AM33" s="6"/>
      <c r="AN33" s="6"/>
      <c r="AO33" s="6"/>
      <c r="AP33" s="6"/>
      <c r="AQ33" s="6"/>
      <c r="AR33" s="6"/>
      <c r="AS33" s="6"/>
      <c r="AT33" s="6"/>
      <c r="AU33" s="6"/>
      <c r="AV33" s="62"/>
      <c r="AW33" s="62"/>
      <c r="AX33" s="6">
        <f t="array" ref="AX33">IFERROR(INDEX(Datos_Consumo[CANTIDAD],MATCH(TABLATRANSFERENCIA[[#This Row],[CODIGO]]&amp;TABLATRANSFERENCIA[[#Headers],[2016-10]],Datos_Consumo[CODIGO]&amp;Datos_Consumo[FECHA_FORMATO],0)),0)</f>
        <v>0</v>
      </c>
      <c r="AY33" s="6">
        <f t="array" ref="AY33">IFERROR(INDEX(Datos_Consumo[CANTIDAD],MATCH(TABLATRANSFERENCIA[[#This Row],[CODIGO]]&amp;TABLATRANSFERENCIA[[#Headers],[2016-11]],Datos_Consumo[CODIGO]&amp;Datos_Consumo[FECHA_FORMATO],0)),0)</f>
        <v>0</v>
      </c>
      <c r="AZ33" s="6">
        <f t="array" ref="AZ33">IFERROR(INDEX(Datos_Consumo[CANTIDAD],MATCH(TABLATRANSFERENCIA[[#This Row],[CODIGO]]&amp;TABLATRANSFERENCIA[[#Headers],[2016-12]],Datos_Consumo[CODIGO]&amp;Datos_Consumo[FECHA_FORMATO],0)),0)</f>
        <v>0</v>
      </c>
      <c r="BA33" s="6">
        <f t="array" ref="BA33">IFERROR(INDEX(Datos_Consumo[CANTIDAD],MATCH(TABLATRANSFERENCIA[[#This Row],[CODIGO]]&amp;TABLATRANSFERENCIA[[#Headers],[2017-1]],Datos_Consumo[CODIGO]&amp;Datos_Consumo[FECHA_FORMATO],0)),0)</f>
        <v>0</v>
      </c>
      <c r="BB33" s="6">
        <f t="array" ref="BB33">IFERROR(INDEX(Datos_Consumo[CANTIDAD],MATCH(TABLATRANSFERENCIA[[#This Row],[CODIGO]]&amp;TABLATRANSFERENCIA[[#Headers],[2017-2]],Datos_Consumo[CODIGO]&amp;Datos_Consumo[FECHA_FORMATO],0)),0)</f>
        <v>0</v>
      </c>
      <c r="BC33" s="6">
        <f t="array" ref="BC33">IFERROR(INDEX(Datos_Consumo[CANTIDAD],MATCH(TABLATRANSFERENCIA[[#This Row],[CODIGO]]&amp;TABLATRANSFERENCIA[[#Headers],[Columna6]],Datos_Consumo[CODIGO]&amp;Datos_Consumo[FECHA_FORMATO],0)),0)</f>
        <v>0</v>
      </c>
      <c r="BD33" s="50">
        <v>10</v>
      </c>
      <c r="BE33" s="55">
        <v>10</v>
      </c>
      <c r="BF33" s="50"/>
      <c r="BG33" s="51"/>
      <c r="BH33"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3" s="51"/>
      <c r="BN33" s="46">
        <f>IFERROR(TABLATRANSFERENCIA[[#This Row],[REQUERIM]]/TABLATRANSFERENCIA[[#This Row],[PEDIDO PROMEDIO]],0)</f>
        <v>0</v>
      </c>
      <c r="BO33" s="51"/>
      <c r="BP33" s="60"/>
      <c r="BQ33" s="3">
        <f>IF(TABLATRANSFERENCIA[[#This Row],[RECIBIDO]]&lt;&gt;"",0,IF(TABLATRANSFERENCIA[[#This Row],[DESPACHO]]&lt;&gt;"",TABLATRANSFERENCIA[[#This Row],[DESPACHO]],TABLATRANSFERENCIA[[#This Row],[REQUERIM]]))</f>
        <v>10</v>
      </c>
      <c r="BR33" s="50"/>
      <c r="BS33" s="50"/>
      <c r="BT33" s="50" t="str">
        <f t="shared" si="0"/>
        <v>N</v>
      </c>
      <c r="BU33" s="51">
        <f t="array" ref="BU33">IF(SUM(--(TABLATRANSFERENCIA[[#This Row],[CODIGO GENERICO]]=TABLATRANSFERENCIA[CODIGO GENERICO])*TABLATRANSFERENCIA[REQUERIM])&lt;TABLATRANSFERENCIA[[#This Row],[PEDIDO MIN GRUPO]],1,0)</f>
        <v>0</v>
      </c>
      <c r="BV3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3" s="51"/>
      <c r="BX33" s="51"/>
      <c r="BY33" s="51"/>
    </row>
    <row r="34" spans="1:77" x14ac:dyDescent="0.25">
      <c r="A34" s="54" t="s">
        <v>2082</v>
      </c>
      <c r="B34" s="3"/>
      <c r="C34" s="3"/>
      <c r="D34" s="3"/>
      <c r="E34" s="3"/>
      <c r="F34" s="3"/>
      <c r="G34" s="3"/>
      <c r="H34" s="3"/>
      <c r="I34" s="3"/>
      <c r="J34" s="3"/>
      <c r="K34" s="3"/>
      <c r="L34" s="3"/>
      <c r="M34" s="3"/>
      <c r="N34" s="3"/>
      <c r="O34" s="5"/>
      <c r="P34" s="5"/>
      <c r="Q34" s="5"/>
      <c r="R34" s="46"/>
      <c r="S34" s="46"/>
      <c r="T34" s="46"/>
      <c r="U34" s="46"/>
      <c r="V34" s="49"/>
      <c r="W34" s="49"/>
      <c r="X34" s="51"/>
      <c r="Y34" s="51"/>
      <c r="Z34" s="6"/>
      <c r="AA34" s="6"/>
      <c r="AB34" s="6"/>
      <c r="AC34" s="4"/>
      <c r="AD34" s="6"/>
      <c r="AE34" s="6"/>
      <c r="AF34" s="6"/>
      <c r="AG34" s="6"/>
      <c r="AH34" s="6"/>
      <c r="AI34" s="6"/>
      <c r="AJ34" s="6"/>
      <c r="AK34" s="6"/>
      <c r="AL34" s="4"/>
      <c r="AM34" s="6"/>
      <c r="AN34" s="6"/>
      <c r="AO34" s="6"/>
      <c r="AP34" s="6"/>
      <c r="AQ34" s="6"/>
      <c r="AR34" s="6"/>
      <c r="AS34" s="6"/>
      <c r="AT34" s="6"/>
      <c r="AU34" s="6"/>
      <c r="AV34" s="62"/>
      <c r="AW34" s="62"/>
      <c r="AX34" s="6">
        <f t="array" ref="AX34">IFERROR(INDEX(Datos_Consumo[CANTIDAD],MATCH(TABLATRANSFERENCIA[[#This Row],[CODIGO]]&amp;TABLATRANSFERENCIA[[#Headers],[2016-10]],Datos_Consumo[CODIGO]&amp;Datos_Consumo[FECHA_FORMATO],0)),0)</f>
        <v>0</v>
      </c>
      <c r="AY34" s="6">
        <f t="array" ref="AY34">IFERROR(INDEX(Datos_Consumo[CANTIDAD],MATCH(TABLATRANSFERENCIA[[#This Row],[CODIGO]]&amp;TABLATRANSFERENCIA[[#Headers],[2016-11]],Datos_Consumo[CODIGO]&amp;Datos_Consumo[FECHA_FORMATO],0)),0)</f>
        <v>0</v>
      </c>
      <c r="AZ34" s="6">
        <f t="array" ref="AZ34">IFERROR(INDEX(Datos_Consumo[CANTIDAD],MATCH(TABLATRANSFERENCIA[[#This Row],[CODIGO]]&amp;TABLATRANSFERENCIA[[#Headers],[2016-12]],Datos_Consumo[CODIGO]&amp;Datos_Consumo[FECHA_FORMATO],0)),0)</f>
        <v>0</v>
      </c>
      <c r="BA34" s="6">
        <f t="array" ref="BA34">IFERROR(INDEX(Datos_Consumo[CANTIDAD],MATCH(TABLATRANSFERENCIA[[#This Row],[CODIGO]]&amp;TABLATRANSFERENCIA[[#Headers],[2017-1]],Datos_Consumo[CODIGO]&amp;Datos_Consumo[FECHA_FORMATO],0)),0)</f>
        <v>0</v>
      </c>
      <c r="BB34" s="6">
        <f t="array" ref="BB34">IFERROR(INDEX(Datos_Consumo[CANTIDAD],MATCH(TABLATRANSFERENCIA[[#This Row],[CODIGO]]&amp;TABLATRANSFERENCIA[[#Headers],[2017-2]],Datos_Consumo[CODIGO]&amp;Datos_Consumo[FECHA_FORMATO],0)),0)</f>
        <v>0</v>
      </c>
      <c r="BC34" s="6">
        <f t="array" ref="BC34">IFERROR(INDEX(Datos_Consumo[CANTIDAD],MATCH(TABLATRANSFERENCIA[[#This Row],[CODIGO]]&amp;TABLATRANSFERENCIA[[#Headers],[Columna6]],Datos_Consumo[CODIGO]&amp;Datos_Consumo[FECHA_FORMATO],0)),0)</f>
        <v>0</v>
      </c>
      <c r="BD34" s="50">
        <v>10</v>
      </c>
      <c r="BE34" s="55">
        <v>10</v>
      </c>
      <c r="BF34" s="50"/>
      <c r="BG34" s="51"/>
      <c r="BH34"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4" s="51"/>
      <c r="BN34" s="46">
        <f>IFERROR(TABLATRANSFERENCIA[[#This Row],[REQUERIM]]/TABLATRANSFERENCIA[[#This Row],[PEDIDO PROMEDIO]],0)</f>
        <v>0</v>
      </c>
      <c r="BO34" s="51"/>
      <c r="BP34" s="60"/>
      <c r="BQ34" s="3">
        <f>IF(TABLATRANSFERENCIA[[#This Row],[RECIBIDO]]&lt;&gt;"",0,IF(TABLATRANSFERENCIA[[#This Row],[DESPACHO]]&lt;&gt;"",TABLATRANSFERENCIA[[#This Row],[DESPACHO]],TABLATRANSFERENCIA[[#This Row],[REQUERIM]]))</f>
        <v>10</v>
      </c>
      <c r="BR34" s="50"/>
      <c r="BS34" s="50"/>
      <c r="BT34" s="50" t="str">
        <f t="shared" si="0"/>
        <v>N</v>
      </c>
      <c r="BU34" s="51">
        <f t="array" ref="BU34">IF(SUM(--(TABLATRANSFERENCIA[[#This Row],[CODIGO GENERICO]]=TABLATRANSFERENCIA[CODIGO GENERICO])*TABLATRANSFERENCIA[REQUERIM])&lt;TABLATRANSFERENCIA[[#This Row],[PEDIDO MIN GRUPO]],1,0)</f>
        <v>0</v>
      </c>
      <c r="BV3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4" s="51"/>
      <c r="BX34" s="51"/>
      <c r="BY34" s="51"/>
    </row>
    <row r="35" spans="1:77" x14ac:dyDescent="0.25">
      <c r="A35" s="54" t="s">
        <v>2083</v>
      </c>
      <c r="B35" s="3"/>
      <c r="C35" s="3"/>
      <c r="D35" s="3"/>
      <c r="E35" s="3"/>
      <c r="F35" s="3"/>
      <c r="G35" s="3"/>
      <c r="H35" s="3"/>
      <c r="I35" s="3"/>
      <c r="J35" s="3"/>
      <c r="K35" s="3"/>
      <c r="L35" s="3"/>
      <c r="M35" s="3"/>
      <c r="N35" s="3"/>
      <c r="O35" s="5"/>
      <c r="P35" s="5"/>
      <c r="Q35" s="5"/>
      <c r="R35" s="46"/>
      <c r="S35" s="46"/>
      <c r="T35" s="46"/>
      <c r="U35" s="46"/>
      <c r="V35" s="49"/>
      <c r="W35" s="49"/>
      <c r="X35" s="51"/>
      <c r="Y35" s="51"/>
      <c r="Z35" s="6"/>
      <c r="AA35" s="6"/>
      <c r="AB35" s="6"/>
      <c r="AC35" s="4"/>
      <c r="AD35" s="6"/>
      <c r="AE35" s="6"/>
      <c r="AF35" s="6"/>
      <c r="AG35" s="6"/>
      <c r="AH35" s="6"/>
      <c r="AI35" s="6"/>
      <c r="AJ35" s="6"/>
      <c r="AK35" s="6"/>
      <c r="AL35" s="4"/>
      <c r="AM35" s="6"/>
      <c r="AN35" s="6"/>
      <c r="AO35" s="6"/>
      <c r="AP35" s="6"/>
      <c r="AQ35" s="6"/>
      <c r="AR35" s="6"/>
      <c r="AS35" s="6"/>
      <c r="AT35" s="6"/>
      <c r="AU35" s="6"/>
      <c r="AV35" s="62"/>
      <c r="AW35" s="62"/>
      <c r="AX35" s="6">
        <f t="array" ref="AX35">IFERROR(INDEX(Datos_Consumo[CANTIDAD],MATCH(TABLATRANSFERENCIA[[#This Row],[CODIGO]]&amp;TABLATRANSFERENCIA[[#Headers],[2016-10]],Datos_Consumo[CODIGO]&amp;Datos_Consumo[FECHA_FORMATO],0)),0)</f>
        <v>0</v>
      </c>
      <c r="AY35" s="6">
        <f t="array" ref="AY35">IFERROR(INDEX(Datos_Consumo[CANTIDAD],MATCH(TABLATRANSFERENCIA[[#This Row],[CODIGO]]&amp;TABLATRANSFERENCIA[[#Headers],[2016-11]],Datos_Consumo[CODIGO]&amp;Datos_Consumo[FECHA_FORMATO],0)),0)</f>
        <v>0</v>
      </c>
      <c r="AZ35" s="6">
        <f t="array" ref="AZ35">IFERROR(INDEX(Datos_Consumo[CANTIDAD],MATCH(TABLATRANSFERENCIA[[#This Row],[CODIGO]]&amp;TABLATRANSFERENCIA[[#Headers],[2016-12]],Datos_Consumo[CODIGO]&amp;Datos_Consumo[FECHA_FORMATO],0)),0)</f>
        <v>0</v>
      </c>
      <c r="BA35" s="6">
        <f t="array" ref="BA35">IFERROR(INDEX(Datos_Consumo[CANTIDAD],MATCH(TABLATRANSFERENCIA[[#This Row],[CODIGO]]&amp;TABLATRANSFERENCIA[[#Headers],[2017-1]],Datos_Consumo[CODIGO]&amp;Datos_Consumo[FECHA_FORMATO],0)),0)</f>
        <v>0</v>
      </c>
      <c r="BB35" s="6">
        <f t="array" ref="BB35">IFERROR(INDEX(Datos_Consumo[CANTIDAD],MATCH(TABLATRANSFERENCIA[[#This Row],[CODIGO]]&amp;TABLATRANSFERENCIA[[#Headers],[2017-2]],Datos_Consumo[CODIGO]&amp;Datos_Consumo[FECHA_FORMATO],0)),0)</f>
        <v>0</v>
      </c>
      <c r="BC35" s="6">
        <f t="array" ref="BC35">IFERROR(INDEX(Datos_Consumo[CANTIDAD],MATCH(TABLATRANSFERENCIA[[#This Row],[CODIGO]]&amp;TABLATRANSFERENCIA[[#Headers],[Columna6]],Datos_Consumo[CODIGO]&amp;Datos_Consumo[FECHA_FORMATO],0)),0)</f>
        <v>0</v>
      </c>
      <c r="BD35" s="50">
        <v>10</v>
      </c>
      <c r="BE35" s="55">
        <v>10</v>
      </c>
      <c r="BF35" s="50"/>
      <c r="BG35" s="51"/>
      <c r="BH35"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5" s="51"/>
      <c r="BN35" s="46">
        <f>IFERROR(TABLATRANSFERENCIA[[#This Row],[REQUERIM]]/TABLATRANSFERENCIA[[#This Row],[PEDIDO PROMEDIO]],0)</f>
        <v>0</v>
      </c>
      <c r="BO35" s="51"/>
      <c r="BP35" s="60"/>
      <c r="BQ35" s="3">
        <f>IF(TABLATRANSFERENCIA[[#This Row],[RECIBIDO]]&lt;&gt;"",0,IF(TABLATRANSFERENCIA[[#This Row],[DESPACHO]]&lt;&gt;"",TABLATRANSFERENCIA[[#This Row],[DESPACHO]],TABLATRANSFERENCIA[[#This Row],[REQUERIM]]))</f>
        <v>10</v>
      </c>
      <c r="BR35" s="50"/>
      <c r="BS35" s="50"/>
      <c r="BT35" s="50" t="str">
        <f t="shared" si="0"/>
        <v>N</v>
      </c>
      <c r="BU35" s="51">
        <f t="array" ref="BU35">IF(SUM(--(TABLATRANSFERENCIA[[#This Row],[CODIGO GENERICO]]=TABLATRANSFERENCIA[CODIGO GENERICO])*TABLATRANSFERENCIA[REQUERIM])&lt;TABLATRANSFERENCIA[[#This Row],[PEDIDO MIN GRUPO]],1,0)</f>
        <v>0</v>
      </c>
      <c r="BV3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5" s="51"/>
      <c r="BX35" s="51"/>
      <c r="BY35" s="51"/>
    </row>
    <row r="36" spans="1:77" x14ac:dyDescent="0.25">
      <c r="A36" s="54" t="s">
        <v>2084</v>
      </c>
      <c r="B36" s="3"/>
      <c r="C36" s="3"/>
      <c r="D36" s="3"/>
      <c r="E36" s="3"/>
      <c r="F36" s="3"/>
      <c r="G36" s="3"/>
      <c r="H36" s="3"/>
      <c r="I36" s="3"/>
      <c r="J36" s="3"/>
      <c r="K36" s="3"/>
      <c r="L36" s="3"/>
      <c r="M36" s="3"/>
      <c r="N36" s="3"/>
      <c r="O36" s="5"/>
      <c r="P36" s="5"/>
      <c r="Q36" s="5"/>
      <c r="R36" s="46"/>
      <c r="S36" s="46"/>
      <c r="T36" s="46"/>
      <c r="U36" s="46"/>
      <c r="V36" s="49"/>
      <c r="W36" s="49"/>
      <c r="X36" s="51"/>
      <c r="Y36" s="51"/>
      <c r="Z36" s="6"/>
      <c r="AA36" s="6"/>
      <c r="AB36" s="6"/>
      <c r="AC36" s="4"/>
      <c r="AD36" s="6"/>
      <c r="AE36" s="6"/>
      <c r="AF36" s="6"/>
      <c r="AG36" s="6"/>
      <c r="AH36" s="6"/>
      <c r="AI36" s="6"/>
      <c r="AJ36" s="6"/>
      <c r="AK36" s="6"/>
      <c r="AL36" s="4"/>
      <c r="AM36" s="6"/>
      <c r="AN36" s="6"/>
      <c r="AO36" s="6"/>
      <c r="AP36" s="6"/>
      <c r="AQ36" s="6"/>
      <c r="AR36" s="6"/>
      <c r="AS36" s="6"/>
      <c r="AT36" s="6"/>
      <c r="AU36" s="6"/>
      <c r="AV36" s="62"/>
      <c r="AW36" s="62"/>
      <c r="AX36" s="6">
        <f t="array" ref="AX36">IFERROR(INDEX(Datos_Consumo[CANTIDAD],MATCH(TABLATRANSFERENCIA[[#This Row],[CODIGO]]&amp;TABLATRANSFERENCIA[[#Headers],[2016-10]],Datos_Consumo[CODIGO]&amp;Datos_Consumo[FECHA_FORMATO],0)),0)</f>
        <v>0</v>
      </c>
      <c r="AY36" s="6">
        <f t="array" ref="AY36">IFERROR(INDEX(Datos_Consumo[CANTIDAD],MATCH(TABLATRANSFERENCIA[[#This Row],[CODIGO]]&amp;TABLATRANSFERENCIA[[#Headers],[2016-11]],Datos_Consumo[CODIGO]&amp;Datos_Consumo[FECHA_FORMATO],0)),0)</f>
        <v>0</v>
      </c>
      <c r="AZ36" s="6">
        <f t="array" ref="AZ36">IFERROR(INDEX(Datos_Consumo[CANTIDAD],MATCH(TABLATRANSFERENCIA[[#This Row],[CODIGO]]&amp;TABLATRANSFERENCIA[[#Headers],[2016-12]],Datos_Consumo[CODIGO]&amp;Datos_Consumo[FECHA_FORMATO],0)),0)</f>
        <v>0</v>
      </c>
      <c r="BA36" s="6">
        <f t="array" ref="BA36">IFERROR(INDEX(Datos_Consumo[CANTIDAD],MATCH(TABLATRANSFERENCIA[[#This Row],[CODIGO]]&amp;TABLATRANSFERENCIA[[#Headers],[2017-1]],Datos_Consumo[CODIGO]&amp;Datos_Consumo[FECHA_FORMATO],0)),0)</f>
        <v>0</v>
      </c>
      <c r="BB36" s="6">
        <f t="array" ref="BB36">IFERROR(INDEX(Datos_Consumo[CANTIDAD],MATCH(TABLATRANSFERENCIA[[#This Row],[CODIGO]]&amp;TABLATRANSFERENCIA[[#Headers],[2017-2]],Datos_Consumo[CODIGO]&amp;Datos_Consumo[FECHA_FORMATO],0)),0)</f>
        <v>0</v>
      </c>
      <c r="BC36" s="6">
        <f t="array" ref="BC36">IFERROR(INDEX(Datos_Consumo[CANTIDAD],MATCH(TABLATRANSFERENCIA[[#This Row],[CODIGO]]&amp;TABLATRANSFERENCIA[[#Headers],[Columna6]],Datos_Consumo[CODIGO]&amp;Datos_Consumo[FECHA_FORMATO],0)),0)</f>
        <v>0</v>
      </c>
      <c r="BD36" s="50">
        <v>10</v>
      </c>
      <c r="BE36" s="55">
        <v>10</v>
      </c>
      <c r="BF36" s="50"/>
      <c r="BG36" s="51"/>
      <c r="BH36"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6" s="51"/>
      <c r="BN36" s="46">
        <f>IFERROR(TABLATRANSFERENCIA[[#This Row],[REQUERIM]]/TABLATRANSFERENCIA[[#This Row],[PEDIDO PROMEDIO]],0)</f>
        <v>0</v>
      </c>
      <c r="BO36" s="51"/>
      <c r="BP36" s="60"/>
      <c r="BQ36" s="3">
        <f>IF(TABLATRANSFERENCIA[[#This Row],[RECIBIDO]]&lt;&gt;"",0,IF(TABLATRANSFERENCIA[[#This Row],[DESPACHO]]&lt;&gt;"",TABLATRANSFERENCIA[[#This Row],[DESPACHO]],TABLATRANSFERENCIA[[#This Row],[REQUERIM]]))</f>
        <v>10</v>
      </c>
      <c r="BR36" s="50"/>
      <c r="BS36" s="50"/>
      <c r="BT36" s="50" t="str">
        <f t="shared" si="0"/>
        <v>N</v>
      </c>
      <c r="BU36" s="51">
        <f t="array" ref="BU36">IF(SUM(--(TABLATRANSFERENCIA[[#This Row],[CODIGO GENERICO]]=TABLATRANSFERENCIA[CODIGO GENERICO])*TABLATRANSFERENCIA[REQUERIM])&lt;TABLATRANSFERENCIA[[#This Row],[PEDIDO MIN GRUPO]],1,0)</f>
        <v>0</v>
      </c>
      <c r="BV3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6" s="51"/>
      <c r="BX36" s="51"/>
      <c r="BY36" s="51"/>
    </row>
    <row r="37" spans="1:77" x14ac:dyDescent="0.25">
      <c r="A37" s="54" t="s">
        <v>2085</v>
      </c>
      <c r="B37" s="3"/>
      <c r="C37" s="3"/>
      <c r="D37" s="3"/>
      <c r="E37" s="3"/>
      <c r="F37" s="3"/>
      <c r="G37" s="3"/>
      <c r="H37" s="3"/>
      <c r="I37" s="3"/>
      <c r="J37" s="3"/>
      <c r="K37" s="3"/>
      <c r="L37" s="3"/>
      <c r="M37" s="3"/>
      <c r="N37" s="3"/>
      <c r="O37" s="5"/>
      <c r="P37" s="5"/>
      <c r="Q37" s="5"/>
      <c r="R37" s="46"/>
      <c r="S37" s="46"/>
      <c r="T37" s="46"/>
      <c r="U37" s="46"/>
      <c r="V37" s="49"/>
      <c r="W37" s="49"/>
      <c r="X37" s="51"/>
      <c r="Y37" s="51"/>
      <c r="Z37" s="6"/>
      <c r="AA37" s="6"/>
      <c r="AB37" s="6"/>
      <c r="AC37" s="4"/>
      <c r="AD37" s="6"/>
      <c r="AE37" s="6"/>
      <c r="AF37" s="6"/>
      <c r="AG37" s="6"/>
      <c r="AH37" s="6"/>
      <c r="AI37" s="6"/>
      <c r="AJ37" s="6"/>
      <c r="AK37" s="6"/>
      <c r="AL37" s="4"/>
      <c r="AM37" s="6"/>
      <c r="AN37" s="6"/>
      <c r="AO37" s="6"/>
      <c r="AP37" s="6"/>
      <c r="AQ37" s="6"/>
      <c r="AR37" s="6"/>
      <c r="AS37" s="6"/>
      <c r="AT37" s="6"/>
      <c r="AU37" s="6"/>
      <c r="AV37" s="62"/>
      <c r="AW37" s="62"/>
      <c r="AX37" s="6">
        <f t="array" ref="AX37">IFERROR(INDEX(Datos_Consumo[CANTIDAD],MATCH(TABLATRANSFERENCIA[[#This Row],[CODIGO]]&amp;TABLATRANSFERENCIA[[#Headers],[2016-10]],Datos_Consumo[CODIGO]&amp;Datos_Consumo[FECHA_FORMATO],0)),0)</f>
        <v>0</v>
      </c>
      <c r="AY37" s="6">
        <f t="array" ref="AY37">IFERROR(INDEX(Datos_Consumo[CANTIDAD],MATCH(TABLATRANSFERENCIA[[#This Row],[CODIGO]]&amp;TABLATRANSFERENCIA[[#Headers],[2016-11]],Datos_Consumo[CODIGO]&amp;Datos_Consumo[FECHA_FORMATO],0)),0)</f>
        <v>0</v>
      </c>
      <c r="AZ37" s="6">
        <f t="array" ref="AZ37">IFERROR(INDEX(Datos_Consumo[CANTIDAD],MATCH(TABLATRANSFERENCIA[[#This Row],[CODIGO]]&amp;TABLATRANSFERENCIA[[#Headers],[2016-12]],Datos_Consumo[CODIGO]&amp;Datos_Consumo[FECHA_FORMATO],0)),0)</f>
        <v>0</v>
      </c>
      <c r="BA37" s="6">
        <f t="array" ref="BA37">IFERROR(INDEX(Datos_Consumo[CANTIDAD],MATCH(TABLATRANSFERENCIA[[#This Row],[CODIGO]]&amp;TABLATRANSFERENCIA[[#Headers],[2017-1]],Datos_Consumo[CODIGO]&amp;Datos_Consumo[FECHA_FORMATO],0)),0)</f>
        <v>0</v>
      </c>
      <c r="BB37" s="6">
        <f t="array" ref="BB37">IFERROR(INDEX(Datos_Consumo[CANTIDAD],MATCH(TABLATRANSFERENCIA[[#This Row],[CODIGO]]&amp;TABLATRANSFERENCIA[[#Headers],[2017-2]],Datos_Consumo[CODIGO]&amp;Datos_Consumo[FECHA_FORMATO],0)),0)</f>
        <v>0</v>
      </c>
      <c r="BC37" s="6">
        <f t="array" ref="BC37">IFERROR(INDEX(Datos_Consumo[CANTIDAD],MATCH(TABLATRANSFERENCIA[[#This Row],[CODIGO]]&amp;TABLATRANSFERENCIA[[#Headers],[Columna6]],Datos_Consumo[CODIGO]&amp;Datos_Consumo[FECHA_FORMATO],0)),0)</f>
        <v>0</v>
      </c>
      <c r="BD37" s="50">
        <v>10</v>
      </c>
      <c r="BE37" s="55">
        <v>10</v>
      </c>
      <c r="BF37" s="50"/>
      <c r="BG37" s="51"/>
      <c r="BH37"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7" s="51"/>
      <c r="BN37" s="46">
        <f>IFERROR(TABLATRANSFERENCIA[[#This Row],[REQUERIM]]/TABLATRANSFERENCIA[[#This Row],[PEDIDO PROMEDIO]],0)</f>
        <v>0</v>
      </c>
      <c r="BO37" s="51"/>
      <c r="BP37" s="60"/>
      <c r="BQ37" s="3">
        <f>IF(TABLATRANSFERENCIA[[#This Row],[RECIBIDO]]&lt;&gt;"",0,IF(TABLATRANSFERENCIA[[#This Row],[DESPACHO]]&lt;&gt;"",TABLATRANSFERENCIA[[#This Row],[DESPACHO]],TABLATRANSFERENCIA[[#This Row],[REQUERIM]]))</f>
        <v>10</v>
      </c>
      <c r="BR37" s="50"/>
      <c r="BS37" s="50"/>
      <c r="BT37" s="50" t="str">
        <f t="shared" si="0"/>
        <v>N</v>
      </c>
      <c r="BU37" s="51">
        <f t="array" ref="BU37">IF(SUM(--(TABLATRANSFERENCIA[[#This Row],[CODIGO GENERICO]]=TABLATRANSFERENCIA[CODIGO GENERICO])*TABLATRANSFERENCIA[REQUERIM])&lt;TABLATRANSFERENCIA[[#This Row],[PEDIDO MIN GRUPO]],1,0)</f>
        <v>0</v>
      </c>
      <c r="BV3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7" s="51"/>
      <c r="BX37" s="51"/>
      <c r="BY37" s="51"/>
    </row>
    <row r="38" spans="1:77" x14ac:dyDescent="0.25">
      <c r="A38" s="54" t="s">
        <v>2086</v>
      </c>
      <c r="B38" s="3"/>
      <c r="C38" s="3"/>
      <c r="D38" s="3"/>
      <c r="E38" s="3"/>
      <c r="F38" s="3"/>
      <c r="G38" s="3"/>
      <c r="H38" s="3"/>
      <c r="I38" s="3"/>
      <c r="J38" s="3"/>
      <c r="K38" s="3"/>
      <c r="L38" s="3"/>
      <c r="M38" s="3"/>
      <c r="N38" s="3"/>
      <c r="O38" s="5"/>
      <c r="P38" s="5"/>
      <c r="Q38" s="5"/>
      <c r="R38" s="46"/>
      <c r="S38" s="46"/>
      <c r="T38" s="46"/>
      <c r="U38" s="46"/>
      <c r="V38" s="49"/>
      <c r="W38" s="49"/>
      <c r="X38" s="51"/>
      <c r="Y38" s="51"/>
      <c r="Z38" s="6"/>
      <c r="AA38" s="6"/>
      <c r="AB38" s="6"/>
      <c r="AC38" s="4"/>
      <c r="AD38" s="6"/>
      <c r="AE38" s="6"/>
      <c r="AF38" s="6"/>
      <c r="AG38" s="6"/>
      <c r="AH38" s="6"/>
      <c r="AI38" s="6"/>
      <c r="AJ38" s="6"/>
      <c r="AK38" s="6"/>
      <c r="AL38" s="4"/>
      <c r="AM38" s="6"/>
      <c r="AN38" s="6"/>
      <c r="AO38" s="6"/>
      <c r="AP38" s="6"/>
      <c r="AQ38" s="6"/>
      <c r="AR38" s="6"/>
      <c r="AS38" s="6"/>
      <c r="AT38" s="6"/>
      <c r="AU38" s="6"/>
      <c r="AV38" s="62"/>
      <c r="AW38" s="62"/>
      <c r="AX38" s="6">
        <f t="array" ref="AX38">IFERROR(INDEX(Datos_Consumo[CANTIDAD],MATCH(TABLATRANSFERENCIA[[#This Row],[CODIGO]]&amp;TABLATRANSFERENCIA[[#Headers],[2016-10]],Datos_Consumo[CODIGO]&amp;Datos_Consumo[FECHA_FORMATO],0)),0)</f>
        <v>0</v>
      </c>
      <c r="AY38" s="6">
        <f t="array" ref="AY38">IFERROR(INDEX(Datos_Consumo[CANTIDAD],MATCH(TABLATRANSFERENCIA[[#This Row],[CODIGO]]&amp;TABLATRANSFERENCIA[[#Headers],[2016-11]],Datos_Consumo[CODIGO]&amp;Datos_Consumo[FECHA_FORMATO],0)),0)</f>
        <v>0</v>
      </c>
      <c r="AZ38" s="6">
        <f t="array" ref="AZ38">IFERROR(INDEX(Datos_Consumo[CANTIDAD],MATCH(TABLATRANSFERENCIA[[#This Row],[CODIGO]]&amp;TABLATRANSFERENCIA[[#Headers],[2016-12]],Datos_Consumo[CODIGO]&amp;Datos_Consumo[FECHA_FORMATO],0)),0)</f>
        <v>0</v>
      </c>
      <c r="BA38" s="6">
        <f t="array" ref="BA38">IFERROR(INDEX(Datos_Consumo[CANTIDAD],MATCH(TABLATRANSFERENCIA[[#This Row],[CODIGO]]&amp;TABLATRANSFERENCIA[[#Headers],[2017-1]],Datos_Consumo[CODIGO]&amp;Datos_Consumo[FECHA_FORMATO],0)),0)</f>
        <v>0</v>
      </c>
      <c r="BB38" s="6">
        <f t="array" ref="BB38">IFERROR(INDEX(Datos_Consumo[CANTIDAD],MATCH(TABLATRANSFERENCIA[[#This Row],[CODIGO]]&amp;TABLATRANSFERENCIA[[#Headers],[2017-2]],Datos_Consumo[CODIGO]&amp;Datos_Consumo[FECHA_FORMATO],0)),0)</f>
        <v>0</v>
      </c>
      <c r="BC38" s="6">
        <f t="array" ref="BC38">IFERROR(INDEX(Datos_Consumo[CANTIDAD],MATCH(TABLATRANSFERENCIA[[#This Row],[CODIGO]]&amp;TABLATRANSFERENCIA[[#Headers],[Columna6]],Datos_Consumo[CODIGO]&amp;Datos_Consumo[FECHA_FORMATO],0)),0)</f>
        <v>0</v>
      </c>
      <c r="BD38" s="50">
        <v>10</v>
      </c>
      <c r="BE38" s="55">
        <v>10</v>
      </c>
      <c r="BF38" s="50"/>
      <c r="BG38" s="51"/>
      <c r="BH38"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8" s="51"/>
      <c r="BN38" s="46">
        <f>IFERROR(TABLATRANSFERENCIA[[#This Row],[REQUERIM]]/TABLATRANSFERENCIA[[#This Row],[PEDIDO PROMEDIO]],0)</f>
        <v>0</v>
      </c>
      <c r="BO38" s="51"/>
      <c r="BP38" s="60"/>
      <c r="BQ38" s="3">
        <f>IF(TABLATRANSFERENCIA[[#This Row],[RECIBIDO]]&lt;&gt;"",0,IF(TABLATRANSFERENCIA[[#This Row],[DESPACHO]]&lt;&gt;"",TABLATRANSFERENCIA[[#This Row],[DESPACHO]],TABLATRANSFERENCIA[[#This Row],[REQUERIM]]))</f>
        <v>10</v>
      </c>
      <c r="BR38" s="50"/>
      <c r="BS38" s="50"/>
      <c r="BT38" s="50" t="str">
        <f t="shared" si="0"/>
        <v>N</v>
      </c>
      <c r="BU38" s="51">
        <f t="array" ref="BU38">IF(SUM(--(TABLATRANSFERENCIA[[#This Row],[CODIGO GENERICO]]=TABLATRANSFERENCIA[CODIGO GENERICO])*TABLATRANSFERENCIA[REQUERIM])&lt;TABLATRANSFERENCIA[[#This Row],[PEDIDO MIN GRUPO]],1,0)</f>
        <v>0</v>
      </c>
      <c r="BV3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8" s="51"/>
      <c r="BX38" s="51"/>
      <c r="BY38" s="51"/>
    </row>
    <row r="39" spans="1:77" x14ac:dyDescent="0.25">
      <c r="A39" s="54" t="s">
        <v>2087</v>
      </c>
      <c r="B39" s="3"/>
      <c r="C39" s="3"/>
      <c r="D39" s="3"/>
      <c r="E39" s="3"/>
      <c r="F39" s="3"/>
      <c r="G39" s="3"/>
      <c r="H39" s="3"/>
      <c r="I39" s="3"/>
      <c r="J39" s="3"/>
      <c r="K39" s="3"/>
      <c r="L39" s="3"/>
      <c r="M39" s="3"/>
      <c r="N39" s="3"/>
      <c r="O39" s="5"/>
      <c r="P39" s="5"/>
      <c r="Q39" s="5"/>
      <c r="R39" s="46"/>
      <c r="S39" s="46"/>
      <c r="T39" s="46"/>
      <c r="U39" s="46"/>
      <c r="V39" s="49"/>
      <c r="W39" s="49"/>
      <c r="X39" s="51"/>
      <c r="Y39" s="51"/>
      <c r="Z39" s="6"/>
      <c r="AA39" s="6"/>
      <c r="AB39" s="6"/>
      <c r="AC39" s="4"/>
      <c r="AD39" s="6"/>
      <c r="AE39" s="6"/>
      <c r="AF39" s="6"/>
      <c r="AG39" s="6"/>
      <c r="AH39" s="6"/>
      <c r="AI39" s="6"/>
      <c r="AJ39" s="6"/>
      <c r="AK39" s="6"/>
      <c r="AL39" s="4"/>
      <c r="AM39" s="6"/>
      <c r="AN39" s="6"/>
      <c r="AO39" s="6"/>
      <c r="AP39" s="6"/>
      <c r="AQ39" s="6"/>
      <c r="AR39" s="6"/>
      <c r="AS39" s="6"/>
      <c r="AT39" s="6"/>
      <c r="AU39" s="6"/>
      <c r="AV39" s="62"/>
      <c r="AW39" s="62"/>
      <c r="AX39" s="6">
        <f t="array" ref="AX39">IFERROR(INDEX(Datos_Consumo[CANTIDAD],MATCH(TABLATRANSFERENCIA[[#This Row],[CODIGO]]&amp;TABLATRANSFERENCIA[[#Headers],[2016-10]],Datos_Consumo[CODIGO]&amp;Datos_Consumo[FECHA_FORMATO],0)),0)</f>
        <v>0</v>
      </c>
      <c r="AY39" s="6">
        <f t="array" ref="AY39">IFERROR(INDEX(Datos_Consumo[CANTIDAD],MATCH(TABLATRANSFERENCIA[[#This Row],[CODIGO]]&amp;TABLATRANSFERENCIA[[#Headers],[2016-11]],Datos_Consumo[CODIGO]&amp;Datos_Consumo[FECHA_FORMATO],0)),0)</f>
        <v>0</v>
      </c>
      <c r="AZ39" s="6">
        <f t="array" ref="AZ39">IFERROR(INDEX(Datos_Consumo[CANTIDAD],MATCH(TABLATRANSFERENCIA[[#This Row],[CODIGO]]&amp;TABLATRANSFERENCIA[[#Headers],[2016-12]],Datos_Consumo[CODIGO]&amp;Datos_Consumo[FECHA_FORMATO],0)),0)</f>
        <v>0</v>
      </c>
      <c r="BA39" s="6">
        <f t="array" ref="BA39">IFERROR(INDEX(Datos_Consumo[CANTIDAD],MATCH(TABLATRANSFERENCIA[[#This Row],[CODIGO]]&amp;TABLATRANSFERENCIA[[#Headers],[2017-1]],Datos_Consumo[CODIGO]&amp;Datos_Consumo[FECHA_FORMATO],0)),0)</f>
        <v>0</v>
      </c>
      <c r="BB39" s="6">
        <f t="array" ref="BB39">IFERROR(INDEX(Datos_Consumo[CANTIDAD],MATCH(TABLATRANSFERENCIA[[#This Row],[CODIGO]]&amp;TABLATRANSFERENCIA[[#Headers],[2017-2]],Datos_Consumo[CODIGO]&amp;Datos_Consumo[FECHA_FORMATO],0)),0)</f>
        <v>0</v>
      </c>
      <c r="BC39" s="6">
        <f t="array" ref="BC39">IFERROR(INDEX(Datos_Consumo[CANTIDAD],MATCH(TABLATRANSFERENCIA[[#This Row],[CODIGO]]&amp;TABLATRANSFERENCIA[[#Headers],[Columna6]],Datos_Consumo[CODIGO]&amp;Datos_Consumo[FECHA_FORMATO],0)),0)</f>
        <v>0</v>
      </c>
      <c r="BD39" s="50">
        <v>10</v>
      </c>
      <c r="BE39" s="55">
        <v>10</v>
      </c>
      <c r="BF39" s="50"/>
      <c r="BG39" s="51"/>
      <c r="BH3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9" s="51"/>
      <c r="BN39" s="46">
        <f>IFERROR(TABLATRANSFERENCIA[[#This Row],[REQUERIM]]/TABLATRANSFERENCIA[[#This Row],[PEDIDO PROMEDIO]],0)</f>
        <v>0</v>
      </c>
      <c r="BO39" s="51"/>
      <c r="BP39" s="60"/>
      <c r="BQ39" s="3">
        <f>IF(TABLATRANSFERENCIA[[#This Row],[RECIBIDO]]&lt;&gt;"",0,IF(TABLATRANSFERENCIA[[#This Row],[DESPACHO]]&lt;&gt;"",TABLATRANSFERENCIA[[#This Row],[DESPACHO]],TABLATRANSFERENCIA[[#This Row],[REQUERIM]]))</f>
        <v>10</v>
      </c>
      <c r="BR39" s="50"/>
      <c r="BS39" s="50"/>
      <c r="BT39" s="50" t="str">
        <f t="shared" si="0"/>
        <v>N</v>
      </c>
      <c r="BU39" s="51">
        <f t="array" ref="BU39">IF(SUM(--(TABLATRANSFERENCIA[[#This Row],[CODIGO GENERICO]]=TABLATRANSFERENCIA[CODIGO GENERICO])*TABLATRANSFERENCIA[REQUERIM])&lt;TABLATRANSFERENCIA[[#This Row],[PEDIDO MIN GRUPO]],1,0)</f>
        <v>0</v>
      </c>
      <c r="BV3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9" s="51"/>
      <c r="BX39" s="51"/>
      <c r="BY39" s="51"/>
    </row>
    <row r="40" spans="1:77" x14ac:dyDescent="0.25">
      <c r="A40" s="54" t="s">
        <v>2088</v>
      </c>
      <c r="B40" s="3"/>
      <c r="C40" s="3"/>
      <c r="D40" s="3"/>
      <c r="E40" s="3"/>
      <c r="F40" s="3"/>
      <c r="G40" s="3"/>
      <c r="H40" s="3"/>
      <c r="I40" s="3"/>
      <c r="J40" s="3"/>
      <c r="K40" s="3"/>
      <c r="L40" s="3"/>
      <c r="M40" s="3"/>
      <c r="N40" s="3"/>
      <c r="O40" s="5"/>
      <c r="P40" s="5"/>
      <c r="Q40" s="5"/>
      <c r="R40" s="46"/>
      <c r="S40" s="46"/>
      <c r="T40" s="46"/>
      <c r="U40" s="46"/>
      <c r="V40" s="49"/>
      <c r="W40" s="49"/>
      <c r="X40" s="51"/>
      <c r="Y40" s="51"/>
      <c r="Z40" s="6"/>
      <c r="AA40" s="6"/>
      <c r="AB40" s="6"/>
      <c r="AC40" s="4"/>
      <c r="AD40" s="6"/>
      <c r="AE40" s="6"/>
      <c r="AF40" s="6"/>
      <c r="AG40" s="6"/>
      <c r="AH40" s="6"/>
      <c r="AI40" s="6"/>
      <c r="AJ40" s="6"/>
      <c r="AK40" s="6"/>
      <c r="AL40" s="4"/>
      <c r="AM40" s="6"/>
      <c r="AN40" s="6"/>
      <c r="AO40" s="6"/>
      <c r="AP40" s="6"/>
      <c r="AQ40" s="6"/>
      <c r="AR40" s="6"/>
      <c r="AS40" s="6"/>
      <c r="AT40" s="6"/>
      <c r="AU40" s="6"/>
      <c r="AV40" s="62"/>
      <c r="AW40" s="62"/>
      <c r="AX40" s="6">
        <f t="array" ref="AX40">IFERROR(INDEX(Datos_Consumo[CANTIDAD],MATCH(TABLATRANSFERENCIA[[#This Row],[CODIGO]]&amp;TABLATRANSFERENCIA[[#Headers],[2016-10]],Datos_Consumo[CODIGO]&amp;Datos_Consumo[FECHA_FORMATO],0)),0)</f>
        <v>0</v>
      </c>
      <c r="AY40" s="6">
        <f t="array" ref="AY40">IFERROR(INDEX(Datos_Consumo[CANTIDAD],MATCH(TABLATRANSFERENCIA[[#This Row],[CODIGO]]&amp;TABLATRANSFERENCIA[[#Headers],[2016-11]],Datos_Consumo[CODIGO]&amp;Datos_Consumo[FECHA_FORMATO],0)),0)</f>
        <v>0</v>
      </c>
      <c r="AZ40" s="6">
        <f t="array" ref="AZ40">IFERROR(INDEX(Datos_Consumo[CANTIDAD],MATCH(TABLATRANSFERENCIA[[#This Row],[CODIGO]]&amp;TABLATRANSFERENCIA[[#Headers],[2016-12]],Datos_Consumo[CODIGO]&amp;Datos_Consumo[FECHA_FORMATO],0)),0)</f>
        <v>0</v>
      </c>
      <c r="BA40" s="6">
        <f t="array" ref="BA40">IFERROR(INDEX(Datos_Consumo[CANTIDAD],MATCH(TABLATRANSFERENCIA[[#This Row],[CODIGO]]&amp;TABLATRANSFERENCIA[[#Headers],[2017-1]],Datos_Consumo[CODIGO]&amp;Datos_Consumo[FECHA_FORMATO],0)),0)</f>
        <v>0</v>
      </c>
      <c r="BB40" s="6">
        <f t="array" ref="BB40">IFERROR(INDEX(Datos_Consumo[CANTIDAD],MATCH(TABLATRANSFERENCIA[[#This Row],[CODIGO]]&amp;TABLATRANSFERENCIA[[#Headers],[2017-2]],Datos_Consumo[CODIGO]&amp;Datos_Consumo[FECHA_FORMATO],0)),0)</f>
        <v>0</v>
      </c>
      <c r="BC40" s="6">
        <f t="array" ref="BC40">IFERROR(INDEX(Datos_Consumo[CANTIDAD],MATCH(TABLATRANSFERENCIA[[#This Row],[CODIGO]]&amp;TABLATRANSFERENCIA[[#Headers],[Columna6]],Datos_Consumo[CODIGO]&amp;Datos_Consumo[FECHA_FORMATO],0)),0)</f>
        <v>0</v>
      </c>
      <c r="BD40" s="50">
        <v>20</v>
      </c>
      <c r="BE40" s="55">
        <v>20</v>
      </c>
      <c r="BF40" s="50"/>
      <c r="BG40" s="51"/>
      <c r="BH40"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0" s="51"/>
      <c r="BN40" s="46">
        <f>IFERROR(TABLATRANSFERENCIA[[#This Row],[REQUERIM]]/TABLATRANSFERENCIA[[#This Row],[PEDIDO PROMEDIO]],0)</f>
        <v>0</v>
      </c>
      <c r="BO40" s="51"/>
      <c r="BP40" s="60"/>
      <c r="BQ40" s="3">
        <f>IF(TABLATRANSFERENCIA[[#This Row],[RECIBIDO]]&lt;&gt;"",0,IF(TABLATRANSFERENCIA[[#This Row],[DESPACHO]]&lt;&gt;"",TABLATRANSFERENCIA[[#This Row],[DESPACHO]],TABLATRANSFERENCIA[[#This Row],[REQUERIM]]))</f>
        <v>20</v>
      </c>
      <c r="BR40" s="50"/>
      <c r="BS40" s="50"/>
      <c r="BT40" s="50" t="str">
        <f t="shared" si="0"/>
        <v>N</v>
      </c>
      <c r="BU40" s="51">
        <f t="array" ref="BU40">IF(SUM(--(TABLATRANSFERENCIA[[#This Row],[CODIGO GENERICO]]=TABLATRANSFERENCIA[CODIGO GENERICO])*TABLATRANSFERENCIA[REQUERIM])&lt;TABLATRANSFERENCIA[[#This Row],[PEDIDO MIN GRUPO]],1,0)</f>
        <v>0</v>
      </c>
      <c r="BV4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40" s="51"/>
      <c r="BX40" s="51"/>
      <c r="BY40" s="51"/>
    </row>
  </sheetData>
  <sheetProtection algorithmName="SHA-512" hashValue="f5aM7mB9UoiRWVxQzbdjkGXN2FK23ssP0IqJYQv6BjOsN+MDQZWcpRr+wx1zqfSvJcIWgfqMpSPuGjwfeQkFBg==" saltValue="IEUVZwq7nr/415Ce4PIAvw==" spinCount="100000" sheet="1" objects="1" scenarios="1" formatCells="0" sort="0" autoFilter="0"/>
  <conditionalFormatting sqref="BO9:BP40">
    <cfRule type="expression" dxfId="39" priority="34">
      <formula>ISBLANK(BO9)</formula>
    </cfRule>
  </conditionalFormatting>
  <conditionalFormatting sqref="B5">
    <cfRule type="expression" dxfId="38" priority="26">
      <formula>ISBLANK(REFERENCIA)</formula>
    </cfRule>
  </conditionalFormatting>
  <conditionalFormatting sqref="D3">
    <cfRule type="expression" dxfId="37" priority="24">
      <formula>AND(ISNUMBER($D$3),$D$3&lt;$D$2)</formula>
    </cfRule>
    <cfRule type="expression" dxfId="36" priority="33">
      <formula>ISBLANK(FECHACIERRE)</formula>
    </cfRule>
  </conditionalFormatting>
  <conditionalFormatting sqref="B6 D3">
    <cfRule type="expression" dxfId="35" priority="25">
      <formula>ISBLANK(FECHAARRIBO)</formula>
    </cfRule>
  </conditionalFormatting>
  <conditionalFormatting sqref="B7">
    <cfRule type="expression" dxfId="34" priority="23">
      <formula>NOT((B7=""))</formula>
    </cfRule>
  </conditionalFormatting>
  <conditionalFormatting sqref="AK9:AK40 AB9:AB40">
    <cfRule type="expression" dxfId="33" priority="15">
      <formula>AD9="G"</formula>
    </cfRule>
    <cfRule type="expression" dxfId="32" priority="16">
      <formula>AD9="L"</formula>
    </cfRule>
    <cfRule type="expression" dxfId="31" priority="17">
      <formula>AD9="V"</formula>
    </cfRule>
    <cfRule type="expression" dxfId="30" priority="18">
      <formula>AD9="A"</formula>
    </cfRule>
    <cfRule type="expression" dxfId="29" priority="19">
      <formula>AD9="N"</formula>
    </cfRule>
    <cfRule type="expression" dxfId="28" priority="20">
      <formula>AD9="R"</formula>
    </cfRule>
  </conditionalFormatting>
  <conditionalFormatting sqref="BS9:BS40">
    <cfRule type="expression" dxfId="27" priority="17384">
      <formula>AND(ISNUMBER($BP9),$BO9&lt;&gt;$BP9)</formula>
    </cfRule>
  </conditionalFormatting>
  <conditionalFormatting sqref="AO9:AO40">
    <cfRule type="expression" dxfId="26" priority="8">
      <formula>$BU9=1</formula>
    </cfRule>
  </conditionalFormatting>
  <conditionalFormatting sqref="BD9:BD40">
    <cfRule type="expression" dxfId="25" priority="2">
      <formula>$BV9="N"</formula>
    </cfRule>
    <cfRule type="expression" dxfId="24" priority="3">
      <formula>$BV9="R"</formula>
    </cfRule>
    <cfRule type="expression" dxfId="23" priority="4">
      <formula>$BV9="A"</formula>
    </cfRule>
    <cfRule type="expression" dxfId="22" priority="5">
      <formula>$BV9="L"</formula>
    </cfRule>
    <cfRule type="expression" dxfId="21" priority="6">
      <formula>$BV9="V"</formula>
    </cfRule>
    <cfRule type="expression" dxfId="20" priority="7">
      <formula>$BV9="G"</formula>
    </cfRule>
  </conditionalFormatting>
  <conditionalFormatting sqref="BR9:BR40">
    <cfRule type="expression" dxfId="19" priority="35604">
      <formula>AND(ISNUMBER($BO9),$BD9&lt;&gt;$BO9)</formula>
    </cfRule>
  </conditionalFormatting>
  <conditionalFormatting sqref="AV9:AV40">
    <cfRule type="expression" dxfId="18" priority="1">
      <formula>TODAY()&lt;=(AV9+Y9*7)</formula>
    </cfRule>
  </conditionalFormatting>
  <conditionalFormatting sqref="R1:S1">
    <cfRule type="expression" dxfId="0" priority="63465">
      <formula>COUNTA($BP$9:$BP$40)=0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40">
      <formula1>RangoCausas</formula1>
    </dataValidation>
    <dataValidation type="whole" allowBlank="1" showErrorMessage="1" promptTitle="Número de Embarques" sqref="BH9:BL40">
      <formula1>0</formula1>
      <formula2>1000000</formula2>
    </dataValidation>
    <dataValidation type="whole" allowBlank="1" showErrorMessage="1" promptTitle="Número de Embarques" sqref="BG9:BG40">
      <formula1>1</formula1>
      <formula2>5</formula2>
    </dataValidation>
    <dataValidation allowBlank="1" showErrorMessage="1" promptTitle="Número de Embarques" sqref="BM9:BM40"/>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82" r:id="rId4" name="cmdCambiarPropiedad">
          <controlPr defaultSize="0" autoLine="0" r:id="rId5">
            <anchor>
              <from>
                <xdr:col>1</xdr:col>
                <xdr:colOff>47625</xdr:colOff>
                <xdr:row>0</xdr:row>
                <xdr:rowOff>333375</xdr:rowOff>
              </from>
              <to>
                <xdr:col>1</xdr:col>
                <xdr:colOff>704850</xdr:colOff>
                <xdr:row>0</xdr:row>
                <xdr:rowOff>600075</xdr:rowOff>
              </to>
            </anchor>
          </controlPr>
        </control>
      </mc:Choice>
      <mc:Fallback>
        <control shapeId="1082" r:id="rId4" name="cmdCambiarPropiedad"/>
      </mc:Fallback>
    </mc:AlternateContent>
    <mc:AlternateContent xmlns:mc="http://schemas.openxmlformats.org/markup-compatibility/2006">
      <mc:Choice Requires="x14">
        <control shapeId="1074" r:id="rId6" name="cmdRefrescar">
          <controlPr defaultSize="0" print="0" autoLine="0" r:id="rId7">
            <anchor>
              <from>
                <xdr:col>0</xdr:col>
                <xdr:colOff>828675</xdr:colOff>
                <xdr:row>0</xdr:row>
                <xdr:rowOff>28575</xdr:rowOff>
              </from>
              <to>
                <xdr:col>0</xdr:col>
                <xdr:colOff>1085850</xdr:colOff>
                <xdr:row>0</xdr:row>
                <xdr:rowOff>295275</xdr:rowOff>
              </to>
            </anchor>
          </controlPr>
        </control>
      </mc:Choice>
      <mc:Fallback>
        <control shapeId="1074" r:id="rId6" name="cmdRefrescar"/>
      </mc:Fallback>
    </mc:AlternateContent>
    <mc:AlternateContent xmlns:mc="http://schemas.openxmlformats.org/markup-compatibility/2006">
      <mc:Choice Requires="x14">
        <control shapeId="1073" r:id="rId8" name="cmdVistas">
          <controlPr defaultSize="0" autoLine="0" r:id="rId9">
            <anchor>
              <from>
                <xdr:col>0</xdr:col>
                <xdr:colOff>533400</xdr:colOff>
                <xdr:row>0</xdr:row>
                <xdr:rowOff>28575</xdr:rowOff>
              </from>
              <to>
                <xdr:col>0</xdr:col>
                <xdr:colOff>828675</xdr:colOff>
                <xdr:row>0</xdr:row>
                <xdr:rowOff>295275</xdr:rowOff>
              </to>
            </anchor>
          </controlPr>
        </control>
      </mc:Choice>
      <mc:Fallback>
        <control shapeId="1073" r:id="rId8" name="cmdVistas"/>
      </mc:Fallback>
    </mc:AlternateContent>
    <mc:AlternateContent xmlns:mc="http://schemas.openxmlformats.org/markup-compatibility/2006">
      <mc:Choice Requires="x14">
        <control shapeId="1069" r:id="rId10" name="cmdQuitaFiltros">
          <controlPr defaultSize="0" autoLine="0" r:id="rId11">
            <anchor>
              <from>
                <xdr:col>1</xdr:col>
                <xdr:colOff>2276475</xdr:colOff>
                <xdr:row>0</xdr:row>
                <xdr:rowOff>28575</xdr:rowOff>
              </from>
              <to>
                <xdr:col>1</xdr:col>
                <xdr:colOff>2505075</xdr:colOff>
                <xdr:row>0</xdr:row>
                <xdr:rowOff>276225</xdr:rowOff>
              </to>
            </anchor>
          </controlPr>
        </control>
      </mc:Choice>
      <mc:Fallback>
        <control shapeId="1069" r:id="rId10" name="cmdQuitaFiltros"/>
      </mc:Fallback>
    </mc:AlternateContent>
    <mc:AlternateContent xmlns:mc="http://schemas.openxmlformats.org/markup-compatibility/2006">
      <mc:Choice Requires="x14">
        <control shapeId="1068" r:id="rId12" name="txtBusqueda">
          <controlPr defaultSize="0" autoLine="0" r:id="rId13">
            <anchor>
              <from>
                <xdr:col>1</xdr:col>
                <xdr:colOff>933450</xdr:colOff>
                <xdr:row>0</xdr:row>
                <xdr:rowOff>28575</xdr:rowOff>
              </from>
              <to>
                <xdr:col>1</xdr:col>
                <xdr:colOff>2276475</xdr:colOff>
                <xdr:row>0</xdr:row>
                <xdr:rowOff>314325</xdr:rowOff>
              </to>
            </anchor>
          </controlPr>
        </control>
      </mc:Choice>
      <mc:Fallback>
        <control shapeId="1068" r:id="rId12" name="txtBusqueda"/>
      </mc:Fallback>
    </mc:AlternateContent>
    <mc:AlternateContent xmlns:mc="http://schemas.openxmlformats.org/markup-compatibility/2006">
      <mc:Choice Requires="x14">
        <control shapeId="1031" r:id="rId14" name="cmdBuscaItem">
          <controlPr defaultSize="0" autoLine="0" r:id="rId15">
            <anchor>
              <from>
                <xdr:col>0</xdr:col>
                <xdr:colOff>0</xdr:colOff>
                <xdr:row>0</xdr:row>
                <xdr:rowOff>28575</xdr:rowOff>
              </from>
              <to>
                <xdr:col>0</xdr:col>
                <xdr:colOff>276225</xdr:colOff>
                <xdr:row>0</xdr:row>
                <xdr:rowOff>295275</xdr:rowOff>
              </to>
            </anchor>
          </controlPr>
        </control>
      </mc:Choice>
      <mc:Fallback>
        <control shapeId="1031" r:id="rId14" name="cmdBuscaItem"/>
      </mc:Fallback>
    </mc:AlternateContent>
    <mc:AlternateContent xmlns:mc="http://schemas.openxmlformats.org/markup-compatibility/2006">
      <mc:Choice Requires="x14">
        <control shapeId="1029" r:id="rId16" name="cmdLlenarTransfer">
          <controlPr defaultSize="0" autoLine="0" r:id="rId17">
            <anchor>
              <from>
                <xdr:col>5</xdr:col>
                <xdr:colOff>276225</xdr:colOff>
                <xdr:row>0</xdr:row>
                <xdr:rowOff>276225</xdr:rowOff>
              </from>
              <to>
                <xdr:col>5</xdr:col>
                <xdr:colOff>1181100</xdr:colOff>
                <xdr:row>0</xdr:row>
                <xdr:rowOff>542925</xdr:rowOff>
              </to>
            </anchor>
          </controlPr>
        </control>
      </mc:Choice>
      <mc:Fallback>
        <control shapeId="1029" r:id="rId16" name="cmdLlenarTransfer"/>
      </mc:Fallback>
    </mc:AlternateContent>
    <mc:AlternateContent xmlns:mc="http://schemas.openxmlformats.org/markup-compatibility/2006">
      <mc:Choice Requires="x14">
        <control shapeId="1026" r:id="rId18" name="cmdCancelar">
          <controlPr defaultSize="0" disabled="1" autoLine="0" r:id="rId19">
            <anchor>
              <from>
                <xdr:col>0</xdr:col>
                <xdr:colOff>685800</xdr:colOff>
                <xdr:row>0</xdr:row>
                <xdr:rowOff>333375</xdr:rowOff>
              </from>
              <to>
                <xdr:col>1</xdr:col>
                <xdr:colOff>38100</xdr:colOff>
                <xdr:row>0</xdr:row>
                <xdr:rowOff>600075</xdr:rowOff>
              </to>
            </anchor>
          </controlPr>
        </control>
      </mc:Choice>
      <mc:Fallback>
        <control shapeId="1026" r:id="rId18" name="cmdCancelar"/>
      </mc:Fallback>
    </mc:AlternateContent>
    <mc:AlternateContent xmlns:mc="http://schemas.openxmlformats.org/markup-compatibility/2006">
      <mc:Choice Requires="x14">
        <control shapeId="1025" r:id="rId20" name="cmdConfirmar">
          <controlPr defaultSize="0" disabled="1" autoLine="0" r:id="rId21">
            <anchor>
              <from>
                <xdr:col>0</xdr:col>
                <xdr:colOff>19050</xdr:colOff>
                <xdr:row>0</xdr:row>
                <xdr:rowOff>333375</xdr:rowOff>
              </from>
              <to>
                <xdr:col>0</xdr:col>
                <xdr:colOff>676275</xdr:colOff>
                <xdr:row>0</xdr:row>
                <xdr:rowOff>600075</xdr:rowOff>
              </to>
            </anchor>
          </controlPr>
        </control>
      </mc:Choice>
      <mc:Fallback>
        <control shapeId="1025" r:id="rId20" name="cmdConfirmar"/>
      </mc:Fallback>
    </mc:AlternateContent>
    <mc:AlternateContent xmlns:mc="http://schemas.openxmlformats.org/markup-compatibility/2006">
      <mc:Choice Requires="x14">
        <control shapeId="1028" r:id="rId22" name="cmdDarDeBaja">
          <controlPr defaultSize="0" autoLine="0" r:id="rId23">
            <anchor>
              <from>
                <xdr:col>0</xdr:col>
                <xdr:colOff>1123950</xdr:colOff>
                <xdr:row>0</xdr:row>
                <xdr:rowOff>28575</xdr:rowOff>
              </from>
              <to>
                <xdr:col>1</xdr:col>
                <xdr:colOff>219075</xdr:colOff>
                <xdr:row>0</xdr:row>
                <xdr:rowOff>295275</xdr:rowOff>
              </to>
            </anchor>
          </controlPr>
        </control>
      </mc:Choice>
      <mc:Fallback>
        <control shapeId="1028" r:id="rId22" name="cmdDarDeBaja"/>
      </mc:Fallback>
    </mc:AlternateContent>
    <mc:AlternateContent xmlns:mc="http://schemas.openxmlformats.org/markup-compatibility/2006">
      <mc:Choice Requires="x14">
        <control shapeId="1030" r:id="rId24" name="cmdLlenarTransferEspecial">
          <controlPr defaultSize="0" autoLine="0" r:id="rId25">
            <anchor>
              <from>
                <xdr:col>4</xdr:col>
                <xdr:colOff>1038225</xdr:colOff>
                <xdr:row>0</xdr:row>
                <xdr:rowOff>276225</xdr:rowOff>
              </from>
              <to>
                <xdr:col>5</xdr:col>
                <xdr:colOff>704850</xdr:colOff>
                <xdr:row>0</xdr:row>
                <xdr:rowOff>542925</xdr:rowOff>
              </to>
            </anchor>
          </controlPr>
        </control>
      </mc:Choice>
      <mc:Fallback>
        <control shapeId="1030" r:id="rId24" name="cmdLlenarTransferEspecial"/>
      </mc:Fallback>
    </mc:AlternateContent>
    <mc:AlternateContent xmlns:mc="http://schemas.openxmlformats.org/markup-compatibility/2006">
      <mc:Choice Requires="x14">
        <control shapeId="1037" r:id="rId26" name="cmdFechaArribo">
          <controlPr defaultSize="0" autoLine="0" r:id="rId27">
            <anchor moveWithCells="1">
              <from>
                <xdr:col>1</xdr:col>
                <xdr:colOff>2933700</xdr:colOff>
                <xdr:row>5</xdr:row>
                <xdr:rowOff>0</xdr:rowOff>
              </from>
              <to>
                <xdr:col>2</xdr:col>
                <xdr:colOff>19050</xdr:colOff>
                <xdr:row>5</xdr:row>
                <xdr:rowOff>209550</xdr:rowOff>
              </to>
            </anchor>
          </controlPr>
        </control>
      </mc:Choice>
      <mc:Fallback>
        <control shapeId="1037" r:id="rId26" name="cmdFechaArribo"/>
      </mc:Fallback>
    </mc:AlternateContent>
    <mc:AlternateContent xmlns:mc="http://schemas.openxmlformats.org/markup-compatibility/2006">
      <mc:Choice Requires="x14">
        <control shapeId="1038" r:id="rId28" name="cmdFechaCierre">
          <controlPr defaultSize="0" autoLine="0" r:id="rId29">
            <anchor moveWithCells="1">
              <from>
                <xdr:col>3</xdr:col>
                <xdr:colOff>1009650</xdr:colOff>
                <xdr:row>2</xdr:row>
                <xdr:rowOff>0</xdr:rowOff>
              </from>
              <to>
                <xdr:col>4</xdr:col>
                <xdr:colOff>28575</xdr:colOff>
                <xdr:row>3</xdr:row>
                <xdr:rowOff>19050</xdr:rowOff>
              </to>
            </anchor>
          </controlPr>
        </control>
      </mc:Choice>
      <mc:Fallback>
        <control shapeId="1038" r:id="rId28" name="cmdFechaCierre"/>
      </mc:Fallback>
    </mc:AlternateContent>
    <mc:AlternateContent xmlns:mc="http://schemas.openxmlformats.org/markup-compatibility/2006">
      <mc:Choice Requires="x14">
        <control shapeId="1039" r:id="rId30" name="cmdMRP">
          <controlPr defaultSize="0" autoLine="0" r:id="rId31">
            <anchor>
              <from>
                <xdr:col>1</xdr:col>
                <xdr:colOff>581025</xdr:colOff>
                <xdr:row>0</xdr:row>
                <xdr:rowOff>28575</xdr:rowOff>
              </from>
              <to>
                <xdr:col>1</xdr:col>
                <xdr:colOff>923925</xdr:colOff>
                <xdr:row>0</xdr:row>
                <xdr:rowOff>295275</xdr:rowOff>
              </to>
            </anchor>
          </controlPr>
        </control>
      </mc:Choice>
      <mc:Fallback>
        <control shapeId="1039" r:id="rId30" name="cmdMRP"/>
      </mc:Fallback>
    </mc:AlternateContent>
    <mc:AlternateContent xmlns:mc="http://schemas.openxmlformats.org/markup-compatibility/2006">
      <mc:Choice Requires="x14">
        <control shapeId="1067" r:id="rId32" name="cmdImprimir">
          <controlPr defaultSize="0" autoLine="0" r:id="rId33">
            <anchor>
              <from>
                <xdr:col>1</xdr:col>
                <xdr:colOff>209550</xdr:colOff>
                <xdr:row>0</xdr:row>
                <xdr:rowOff>28575</xdr:rowOff>
              </from>
              <to>
                <xdr:col>1</xdr:col>
                <xdr:colOff>581025</xdr:colOff>
                <xdr:row>0</xdr:row>
                <xdr:rowOff>295275</xdr:rowOff>
              </to>
            </anchor>
          </controlPr>
        </control>
      </mc:Choice>
      <mc:Fallback>
        <control shapeId="1067" r:id="rId32" name="cmdImprimir"/>
      </mc:Fallback>
    </mc:AlternateContent>
    <mc:AlternateContent xmlns:mc="http://schemas.openxmlformats.org/markup-compatibility/2006">
      <mc:Choice Requires="x14">
        <control shapeId="1070" r:id="rId34" name="cmdBorraRegistro">
          <controlPr defaultSize="0" autoLine="0" r:id="rId35">
            <anchor>
              <from>
                <xdr:col>2</xdr:col>
                <xdr:colOff>76200</xdr:colOff>
                <xdr:row>0</xdr:row>
                <xdr:rowOff>28575</xdr:rowOff>
              </from>
              <to>
                <xdr:col>2</xdr:col>
                <xdr:colOff>266700</xdr:colOff>
                <xdr:row>0</xdr:row>
                <xdr:rowOff>266700</xdr:rowOff>
              </to>
            </anchor>
          </controlPr>
        </control>
      </mc:Choice>
      <mc:Fallback>
        <control shapeId="1070" r:id="rId34" name="cmdBorraRegistro"/>
      </mc:Fallback>
    </mc:AlternateContent>
    <mc:AlternateContent xmlns:mc="http://schemas.openxmlformats.org/markup-compatibility/2006">
      <mc:Choice Requires="x14">
        <control shapeId="1071" r:id="rId36" name="cmdAscendente">
          <controlPr defaultSize="0" autoLine="0" r:id="rId37">
            <anchor>
              <from>
                <xdr:col>1</xdr:col>
                <xdr:colOff>2514600</xdr:colOff>
                <xdr:row>0</xdr:row>
                <xdr:rowOff>28575</xdr:rowOff>
              </from>
              <to>
                <xdr:col>1</xdr:col>
                <xdr:colOff>2686050</xdr:colOff>
                <xdr:row>0</xdr:row>
                <xdr:rowOff>266700</xdr:rowOff>
              </to>
            </anchor>
          </controlPr>
        </control>
      </mc:Choice>
      <mc:Fallback>
        <control shapeId="1071" r:id="rId36" name="cmdAscendente"/>
      </mc:Fallback>
    </mc:AlternateContent>
    <mc:AlternateContent xmlns:mc="http://schemas.openxmlformats.org/markup-compatibility/2006">
      <mc:Choice Requires="x14">
        <control shapeId="1072" r:id="rId38" name="cmdDescendente">
          <controlPr defaultSize="0" autoLine="0" r:id="rId39">
            <anchor>
              <from>
                <xdr:col>1</xdr:col>
                <xdr:colOff>2695575</xdr:colOff>
                <xdr:row>0</xdr:row>
                <xdr:rowOff>28575</xdr:rowOff>
              </from>
              <to>
                <xdr:col>1</xdr:col>
                <xdr:colOff>2867025</xdr:colOff>
                <xdr:row>0</xdr:row>
                <xdr:rowOff>266700</xdr:rowOff>
              </to>
            </anchor>
          </controlPr>
        </control>
      </mc:Choice>
      <mc:Fallback>
        <control shapeId="1072" r:id="rId38" name="cmdDescendente"/>
      </mc:Fallback>
    </mc:AlternateContent>
    <mc:AlternateContent xmlns:mc="http://schemas.openxmlformats.org/markup-compatibility/2006">
      <mc:Choice Requires="x14">
        <control shapeId="1077" r:id="rId40" name="cmdOrdenamientoMultiple">
          <controlPr defaultSize="0" autoLine="0" r:id="rId41">
            <anchor>
              <from>
                <xdr:col>1</xdr:col>
                <xdr:colOff>2886075</xdr:colOff>
                <xdr:row>0</xdr:row>
                <xdr:rowOff>28575</xdr:rowOff>
              </from>
              <to>
                <xdr:col>2</xdr:col>
                <xdr:colOff>66675</xdr:colOff>
                <xdr:row>0</xdr:row>
                <xdr:rowOff>266700</xdr:rowOff>
              </to>
            </anchor>
          </controlPr>
        </control>
      </mc:Choice>
      <mc:Fallback>
        <control shapeId="1077" r:id="rId40" name="cmdOrdenamientoMultiple"/>
      </mc:Fallback>
    </mc:AlternateContent>
    <mc:AlternateContent xmlns:mc="http://schemas.openxmlformats.org/markup-compatibility/2006">
      <mc:Choice Requires="x14">
        <control shapeId="1079" r:id="rId42" name="cmdAnadeRegistro">
          <controlPr defaultSize="0" autoLine="0" r:id="rId43">
            <anchor>
              <from>
                <xdr:col>2</xdr:col>
                <xdr:colOff>247650</xdr:colOff>
                <xdr:row>0</xdr:row>
                <xdr:rowOff>28575</xdr:rowOff>
              </from>
              <to>
                <xdr:col>2</xdr:col>
                <xdr:colOff>438150</xdr:colOff>
                <xdr:row>0</xdr:row>
                <xdr:rowOff>266700</xdr:rowOff>
              </to>
            </anchor>
          </controlPr>
        </control>
      </mc:Choice>
      <mc:Fallback>
        <control shapeId="1079" r:id="rId42" name="cmdAnadeRegistro"/>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1370</v>
      </c>
      <c r="AY1" s="52" t="s">
        <v>1371</v>
      </c>
      <c r="AZ1" s="52" t="s">
        <v>1372</v>
      </c>
      <c r="BA1" s="52" t="s">
        <v>1373</v>
      </c>
      <c r="BB1" s="52" t="s">
        <v>1374</v>
      </c>
      <c r="BC1" s="52" t="s">
        <v>1375</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heetViews>
  <sheetFormatPr baseColWidth="10" defaultRowHeight="15" x14ac:dyDescent="0.25"/>
  <sheetData>
    <row r="1" spans="1:1" x14ac:dyDescent="0.25">
      <c r="A1" t="s">
        <v>1602</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31-3-2017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2061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1602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1618</v>
      </c>
    </row>
    <row r="3" spans="1:4" x14ac:dyDescent="0.25">
      <c r="A3" t="s">
        <v>843</v>
      </c>
      <c r="B3" s="12">
        <f ca="1">TODAY()</f>
        <v>42825</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83"/>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1618</v>
      </c>
      <c r="B2">
        <v>1</v>
      </c>
      <c r="C2" s="56">
        <v>42823</v>
      </c>
      <c r="D2" t="s">
        <v>1619</v>
      </c>
      <c r="E2" t="s">
        <v>1404</v>
      </c>
      <c r="G2" t="s">
        <v>1603</v>
      </c>
      <c r="H2" t="s">
        <v>1603</v>
      </c>
      <c r="I2" t="s">
        <v>1603</v>
      </c>
      <c r="J2" t="s">
        <v>1603</v>
      </c>
      <c r="K2" t="s">
        <v>1603</v>
      </c>
      <c r="L2">
        <v>12.02</v>
      </c>
      <c r="M2">
        <v>22.01</v>
      </c>
      <c r="N2">
        <v>0</v>
      </c>
      <c r="O2" s="56"/>
      <c r="P2" s="56"/>
      <c r="Q2">
        <v>13717</v>
      </c>
      <c r="R2">
        <v>1</v>
      </c>
      <c r="S2">
        <v>8</v>
      </c>
      <c r="T2">
        <v>4</v>
      </c>
      <c r="U2">
        <v>4</v>
      </c>
      <c r="V2">
        <v>1</v>
      </c>
      <c r="X2" t="s">
        <v>1727</v>
      </c>
      <c r="AA2">
        <v>0.23</v>
      </c>
      <c r="AB2">
        <v>3</v>
      </c>
      <c r="AC2">
        <v>0</v>
      </c>
      <c r="AD2">
        <v>90.22</v>
      </c>
      <c r="AE2">
        <v>0</v>
      </c>
      <c r="AF2">
        <v>0</v>
      </c>
      <c r="AG2">
        <v>0</v>
      </c>
      <c r="AJ2" s="56">
        <v>42666</v>
      </c>
      <c r="AK2" s="56"/>
      <c r="AL2" s="56"/>
      <c r="AP2" t="s">
        <v>1604</v>
      </c>
      <c r="AR2">
        <v>240</v>
      </c>
      <c r="AS2" t="s">
        <v>1605</v>
      </c>
      <c r="AT2">
        <v>1</v>
      </c>
      <c r="AV2">
        <v>0</v>
      </c>
      <c r="AW2">
        <v>0</v>
      </c>
      <c r="AX2">
        <v>0</v>
      </c>
      <c r="AY2" t="s">
        <v>1606</v>
      </c>
      <c r="AZ2" t="s">
        <v>1606</v>
      </c>
      <c r="BA2">
        <v>192</v>
      </c>
      <c r="BD2">
        <v>1000000000</v>
      </c>
      <c r="BE2">
        <v>83</v>
      </c>
      <c r="BF2">
        <v>0</v>
      </c>
      <c r="BG2">
        <v>0</v>
      </c>
      <c r="BH2">
        <v>0</v>
      </c>
      <c r="BI2">
        <v>0</v>
      </c>
      <c r="BJ2">
        <v>0</v>
      </c>
      <c r="BK2">
        <v>0</v>
      </c>
      <c r="BL2">
        <v>0</v>
      </c>
      <c r="BM2">
        <v>83</v>
      </c>
      <c r="BN2">
        <v>0</v>
      </c>
      <c r="BO2">
        <v>0</v>
      </c>
      <c r="BP2">
        <v>0</v>
      </c>
      <c r="BR2">
        <v>0</v>
      </c>
      <c r="BS2">
        <v>0</v>
      </c>
      <c r="BX2">
        <v>0</v>
      </c>
      <c r="BY2">
        <v>0</v>
      </c>
      <c r="BZ2">
        <v>0</v>
      </c>
      <c r="CA2">
        <v>0</v>
      </c>
      <c r="CC2">
        <v>1</v>
      </c>
      <c r="CD2" s="56">
        <v>42709</v>
      </c>
      <c r="CE2" s="56">
        <v>42767</v>
      </c>
      <c r="CF2" s="56">
        <v>42767</v>
      </c>
      <c r="CG2" s="56">
        <v>42823</v>
      </c>
      <c r="CH2" s="56"/>
      <c r="CI2" s="56"/>
      <c r="CJ2">
        <v>0</v>
      </c>
      <c r="CK2">
        <v>0</v>
      </c>
      <c r="CL2">
        <v>0</v>
      </c>
      <c r="CM2">
        <v>0</v>
      </c>
      <c r="CN2">
        <v>0</v>
      </c>
      <c r="CO2">
        <v>0</v>
      </c>
      <c r="CP2">
        <v>0.05</v>
      </c>
      <c r="CQ2" t="s">
        <v>1618</v>
      </c>
      <c r="CR2" t="s">
        <v>1368</v>
      </c>
      <c r="CS2" t="s">
        <v>1728</v>
      </c>
      <c r="CT2" t="s">
        <v>1724</v>
      </c>
      <c r="CU2" t="s">
        <v>1729</v>
      </c>
      <c r="CV2" t="s">
        <v>1730</v>
      </c>
      <c r="DB2" t="s">
        <v>1731</v>
      </c>
      <c r="DE2" t="s">
        <v>1724</v>
      </c>
    </row>
    <row r="3" spans="1:110" x14ac:dyDescent="0.25">
      <c r="A3" t="s">
        <v>1618</v>
      </c>
      <c r="B3">
        <v>1</v>
      </c>
      <c r="C3" s="56">
        <v>42823</v>
      </c>
      <c r="D3" t="s">
        <v>1619</v>
      </c>
      <c r="E3" t="s">
        <v>1732</v>
      </c>
      <c r="G3" t="s">
        <v>1603</v>
      </c>
      <c r="H3" t="s">
        <v>1603</v>
      </c>
      <c r="I3" t="s">
        <v>1603</v>
      </c>
      <c r="J3" t="s">
        <v>1603</v>
      </c>
      <c r="K3" t="s">
        <v>1603</v>
      </c>
      <c r="L3">
        <v>9.1199999999999992</v>
      </c>
      <c r="M3">
        <v>2</v>
      </c>
      <c r="N3">
        <v>0</v>
      </c>
      <c r="O3" s="56"/>
      <c r="P3" s="56"/>
      <c r="Q3">
        <v>13717</v>
      </c>
      <c r="R3">
        <v>1</v>
      </c>
      <c r="S3">
        <v>8</v>
      </c>
      <c r="T3">
        <v>4</v>
      </c>
      <c r="U3">
        <v>4</v>
      </c>
      <c r="V3">
        <v>1</v>
      </c>
      <c r="X3" t="s">
        <v>1727</v>
      </c>
      <c r="AA3">
        <v>0</v>
      </c>
      <c r="AB3">
        <v>0</v>
      </c>
      <c r="AC3">
        <v>0</v>
      </c>
      <c r="AD3">
        <v>0</v>
      </c>
      <c r="AE3">
        <v>0</v>
      </c>
      <c r="AF3">
        <v>0</v>
      </c>
      <c r="AG3">
        <v>0</v>
      </c>
      <c r="AJ3" s="56"/>
      <c r="AK3" s="56"/>
      <c r="AL3" s="56"/>
      <c r="AP3" t="s">
        <v>1604</v>
      </c>
      <c r="AR3">
        <v>240</v>
      </c>
      <c r="AS3" t="s">
        <v>1605</v>
      </c>
      <c r="AT3">
        <v>1</v>
      </c>
      <c r="AV3">
        <v>0</v>
      </c>
      <c r="AW3">
        <v>0</v>
      </c>
      <c r="AX3">
        <v>0</v>
      </c>
      <c r="AY3" t="s">
        <v>1606</v>
      </c>
      <c r="AZ3" t="s">
        <v>1606</v>
      </c>
      <c r="BA3">
        <v>58</v>
      </c>
      <c r="BD3">
        <v>1000000000</v>
      </c>
      <c r="BE3">
        <v>67</v>
      </c>
      <c r="BF3">
        <v>0</v>
      </c>
      <c r="BG3">
        <v>0</v>
      </c>
      <c r="BH3">
        <v>0</v>
      </c>
      <c r="BI3">
        <v>0</v>
      </c>
      <c r="BJ3">
        <v>0</v>
      </c>
      <c r="BK3">
        <v>0</v>
      </c>
      <c r="BL3">
        <v>0</v>
      </c>
      <c r="BM3">
        <v>67</v>
      </c>
      <c r="BN3">
        <v>0</v>
      </c>
      <c r="BO3">
        <v>0</v>
      </c>
      <c r="BP3">
        <v>0</v>
      </c>
      <c r="BR3">
        <v>0</v>
      </c>
      <c r="BS3">
        <v>0</v>
      </c>
      <c r="BX3">
        <v>0</v>
      </c>
      <c r="BY3">
        <v>0</v>
      </c>
      <c r="BZ3">
        <v>0</v>
      </c>
      <c r="CA3">
        <v>0</v>
      </c>
      <c r="CC3">
        <v>1</v>
      </c>
      <c r="CD3" s="56">
        <v>42709</v>
      </c>
      <c r="CE3" s="56">
        <v>42767</v>
      </c>
      <c r="CF3" s="56">
        <v>42767</v>
      </c>
      <c r="CG3" s="56">
        <v>42823</v>
      </c>
      <c r="CH3" s="56"/>
      <c r="CI3" s="56"/>
      <c r="CJ3">
        <v>0</v>
      </c>
      <c r="CK3">
        <v>0</v>
      </c>
      <c r="CL3">
        <v>0</v>
      </c>
      <c r="CM3">
        <v>0</v>
      </c>
      <c r="CN3">
        <v>0</v>
      </c>
      <c r="CO3">
        <v>0</v>
      </c>
      <c r="CP3">
        <v>0.05</v>
      </c>
      <c r="CQ3" t="s">
        <v>1618</v>
      </c>
      <c r="CR3" t="s">
        <v>1368</v>
      </c>
      <c r="CS3" t="s">
        <v>1728</v>
      </c>
      <c r="CT3" t="s">
        <v>1724</v>
      </c>
      <c r="CU3" t="s">
        <v>1729</v>
      </c>
      <c r="CV3" t="s">
        <v>1733</v>
      </c>
      <c r="DB3" t="s">
        <v>1731</v>
      </c>
      <c r="DE3" t="s">
        <v>1724</v>
      </c>
    </row>
    <row r="4" spans="1:110" x14ac:dyDescent="0.25">
      <c r="A4" t="s">
        <v>1618</v>
      </c>
      <c r="B4">
        <v>1</v>
      </c>
      <c r="C4" s="56">
        <v>42823</v>
      </c>
      <c r="D4" t="s">
        <v>1619</v>
      </c>
      <c r="E4" t="s">
        <v>1405</v>
      </c>
      <c r="G4" t="s">
        <v>1603</v>
      </c>
      <c r="H4" t="s">
        <v>1603</v>
      </c>
      <c r="I4" t="s">
        <v>1603</v>
      </c>
      <c r="J4" t="s">
        <v>1603</v>
      </c>
      <c r="K4" t="s">
        <v>1603</v>
      </c>
      <c r="L4">
        <v>9.93</v>
      </c>
      <c r="M4">
        <v>2</v>
      </c>
      <c r="N4">
        <v>0</v>
      </c>
      <c r="O4" s="56"/>
      <c r="P4" s="56"/>
      <c r="Q4">
        <v>13717</v>
      </c>
      <c r="R4">
        <v>1</v>
      </c>
      <c r="S4">
        <v>8</v>
      </c>
      <c r="T4">
        <v>4</v>
      </c>
      <c r="U4">
        <v>4</v>
      </c>
      <c r="V4">
        <v>1</v>
      </c>
      <c r="W4" t="s">
        <v>1723</v>
      </c>
      <c r="X4" t="s">
        <v>1727</v>
      </c>
      <c r="Z4" t="s">
        <v>1734</v>
      </c>
      <c r="AA4">
        <v>4.18</v>
      </c>
      <c r="AB4">
        <v>51</v>
      </c>
      <c r="AC4">
        <v>14.35</v>
      </c>
      <c r="AD4">
        <v>14.06</v>
      </c>
      <c r="AE4">
        <v>0</v>
      </c>
      <c r="AF4">
        <v>0</v>
      </c>
      <c r="AG4">
        <v>0</v>
      </c>
      <c r="AJ4" s="56"/>
      <c r="AK4" s="56"/>
      <c r="AL4" s="56"/>
      <c r="AP4" t="s">
        <v>1604</v>
      </c>
      <c r="AR4">
        <v>240</v>
      </c>
      <c r="AS4" t="s">
        <v>1605</v>
      </c>
      <c r="AT4">
        <v>1</v>
      </c>
      <c r="AV4">
        <v>240</v>
      </c>
      <c r="AW4">
        <v>160</v>
      </c>
      <c r="AX4">
        <v>79</v>
      </c>
      <c r="AY4" t="s">
        <v>1735</v>
      </c>
      <c r="AZ4" t="s">
        <v>1735</v>
      </c>
      <c r="BA4">
        <v>0</v>
      </c>
      <c r="BD4">
        <v>1000000000</v>
      </c>
      <c r="BE4">
        <v>235</v>
      </c>
      <c r="BF4">
        <v>0.02</v>
      </c>
      <c r="BG4">
        <v>0</v>
      </c>
      <c r="BH4">
        <v>0</v>
      </c>
      <c r="BI4">
        <v>0</v>
      </c>
      <c r="BJ4">
        <v>0</v>
      </c>
      <c r="BK4">
        <v>0</v>
      </c>
      <c r="BL4">
        <v>0</v>
      </c>
      <c r="BM4">
        <v>235</v>
      </c>
      <c r="BN4">
        <v>0.02</v>
      </c>
      <c r="BO4">
        <v>0</v>
      </c>
      <c r="BP4">
        <v>0</v>
      </c>
      <c r="BR4">
        <v>0</v>
      </c>
      <c r="BS4">
        <v>120</v>
      </c>
      <c r="BX4">
        <v>0</v>
      </c>
      <c r="BY4">
        <v>0</v>
      </c>
      <c r="BZ4">
        <v>0</v>
      </c>
      <c r="CA4">
        <v>-4.79</v>
      </c>
      <c r="CC4">
        <v>1</v>
      </c>
      <c r="CD4" s="56">
        <v>42709</v>
      </c>
      <c r="CE4" s="56">
        <v>42767</v>
      </c>
      <c r="CF4" s="56">
        <v>42767</v>
      </c>
      <c r="CG4" s="56">
        <v>42823</v>
      </c>
      <c r="CH4" s="56"/>
      <c r="CI4" s="56"/>
      <c r="CJ4">
        <v>0</v>
      </c>
      <c r="CK4">
        <v>0</v>
      </c>
      <c r="CL4">
        <v>0</v>
      </c>
      <c r="CM4">
        <v>0</v>
      </c>
      <c r="CN4">
        <v>0</v>
      </c>
      <c r="CO4">
        <v>0.05</v>
      </c>
      <c r="CP4">
        <v>0</v>
      </c>
      <c r="CQ4" t="s">
        <v>1618</v>
      </c>
      <c r="CR4" t="s">
        <v>1368</v>
      </c>
      <c r="CS4" t="s">
        <v>1728</v>
      </c>
      <c r="CT4" t="s">
        <v>1724</v>
      </c>
      <c r="CU4" t="s">
        <v>1729</v>
      </c>
      <c r="CV4" t="s">
        <v>1736</v>
      </c>
      <c r="DB4" t="s">
        <v>1731</v>
      </c>
      <c r="DE4" t="s">
        <v>1724</v>
      </c>
    </row>
    <row r="5" spans="1:110" x14ac:dyDescent="0.25">
      <c r="A5" t="s">
        <v>1618</v>
      </c>
      <c r="B5">
        <v>1</v>
      </c>
      <c r="C5" s="56">
        <v>42823</v>
      </c>
      <c r="D5" t="s">
        <v>1619</v>
      </c>
      <c r="E5" t="s">
        <v>1737</v>
      </c>
      <c r="G5" t="s">
        <v>1603</v>
      </c>
      <c r="H5" t="s">
        <v>1603</v>
      </c>
      <c r="I5" t="s">
        <v>1603</v>
      </c>
      <c r="J5" t="s">
        <v>1603</v>
      </c>
      <c r="K5" t="s">
        <v>1603</v>
      </c>
      <c r="L5">
        <v>1.51</v>
      </c>
      <c r="M5">
        <v>4.01</v>
      </c>
      <c r="N5">
        <v>0</v>
      </c>
      <c r="O5" s="56"/>
      <c r="P5" s="56"/>
      <c r="Q5">
        <v>13717</v>
      </c>
      <c r="R5">
        <v>1</v>
      </c>
      <c r="S5">
        <v>8</v>
      </c>
      <c r="T5">
        <v>4</v>
      </c>
      <c r="U5">
        <v>4</v>
      </c>
      <c r="V5">
        <v>1</v>
      </c>
      <c r="X5" t="s">
        <v>1738</v>
      </c>
      <c r="AA5">
        <v>0</v>
      </c>
      <c r="AB5">
        <v>0</v>
      </c>
      <c r="AC5">
        <v>0</v>
      </c>
      <c r="AD5">
        <v>0</v>
      </c>
      <c r="AE5">
        <v>0</v>
      </c>
      <c r="AF5">
        <v>0</v>
      </c>
      <c r="AG5">
        <v>0</v>
      </c>
      <c r="AJ5" s="56"/>
      <c r="AK5" s="56"/>
      <c r="AL5" s="56"/>
      <c r="AP5" t="s">
        <v>1604</v>
      </c>
      <c r="AR5">
        <v>100</v>
      </c>
      <c r="AS5" t="s">
        <v>1605</v>
      </c>
      <c r="AT5">
        <v>1</v>
      </c>
      <c r="AV5">
        <v>0</v>
      </c>
      <c r="AW5">
        <v>0</v>
      </c>
      <c r="AX5">
        <v>0</v>
      </c>
      <c r="AY5" t="s">
        <v>1606</v>
      </c>
      <c r="AZ5" t="s">
        <v>1606</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6">
        <v>42593</v>
      </c>
      <c r="CE5" s="56">
        <v>42767</v>
      </c>
      <c r="CF5" s="56">
        <v>42767</v>
      </c>
      <c r="CG5" s="56">
        <v>42823</v>
      </c>
      <c r="CH5" s="56"/>
      <c r="CI5" s="56"/>
      <c r="CJ5">
        <v>1</v>
      </c>
      <c r="CK5">
        <v>0</v>
      </c>
      <c r="CL5">
        <v>0.05</v>
      </c>
      <c r="CM5">
        <v>0</v>
      </c>
      <c r="CN5">
        <v>0</v>
      </c>
      <c r="CO5">
        <v>0</v>
      </c>
      <c r="CP5">
        <v>0</v>
      </c>
      <c r="CQ5" t="s">
        <v>1618</v>
      </c>
      <c r="CR5" t="s">
        <v>1368</v>
      </c>
      <c r="CS5" t="s">
        <v>1728</v>
      </c>
      <c r="CT5" t="s">
        <v>1724</v>
      </c>
      <c r="CU5" t="s">
        <v>1729</v>
      </c>
      <c r="CV5" t="s">
        <v>1739</v>
      </c>
      <c r="DB5" t="s">
        <v>1740</v>
      </c>
      <c r="DE5" t="s">
        <v>1724</v>
      </c>
    </row>
    <row r="6" spans="1:110" x14ac:dyDescent="0.25">
      <c r="A6" t="s">
        <v>1618</v>
      </c>
      <c r="B6">
        <v>1</v>
      </c>
      <c r="C6" s="56">
        <v>42823</v>
      </c>
      <c r="D6" t="s">
        <v>1619</v>
      </c>
      <c r="E6" t="s">
        <v>1741</v>
      </c>
      <c r="G6" t="s">
        <v>1603</v>
      </c>
      <c r="H6" t="s">
        <v>1603</v>
      </c>
      <c r="I6" t="s">
        <v>1603</v>
      </c>
      <c r="J6" t="s">
        <v>1603</v>
      </c>
      <c r="K6" t="s">
        <v>1603</v>
      </c>
      <c r="L6">
        <v>0</v>
      </c>
      <c r="M6">
        <v>0.06</v>
      </c>
      <c r="N6">
        <v>0</v>
      </c>
      <c r="O6" s="56"/>
      <c r="P6" s="56"/>
      <c r="Q6">
        <v>13717</v>
      </c>
      <c r="R6">
        <v>1</v>
      </c>
      <c r="S6">
        <v>8</v>
      </c>
      <c r="T6">
        <v>4</v>
      </c>
      <c r="U6">
        <v>4</v>
      </c>
      <c r="V6">
        <v>1</v>
      </c>
      <c r="X6" t="s">
        <v>1738</v>
      </c>
      <c r="AA6">
        <v>0</v>
      </c>
      <c r="AB6">
        <v>0</v>
      </c>
      <c r="AC6">
        <v>0</v>
      </c>
      <c r="AD6">
        <v>0</v>
      </c>
      <c r="AE6">
        <v>0</v>
      </c>
      <c r="AF6">
        <v>0</v>
      </c>
      <c r="AG6">
        <v>0</v>
      </c>
      <c r="AJ6" s="56"/>
      <c r="AK6" s="56"/>
      <c r="AL6" s="56"/>
      <c r="AP6" t="s">
        <v>1604</v>
      </c>
      <c r="AR6">
        <v>2000</v>
      </c>
      <c r="AS6" t="s">
        <v>1605</v>
      </c>
      <c r="AT6">
        <v>1</v>
      </c>
      <c r="AV6">
        <v>0</v>
      </c>
      <c r="AW6">
        <v>0</v>
      </c>
      <c r="AX6">
        <v>0</v>
      </c>
      <c r="AY6" t="s">
        <v>1606</v>
      </c>
      <c r="AZ6" t="s">
        <v>1606</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6">
        <v>42593</v>
      </c>
      <c r="CE6" s="56">
        <v>42767</v>
      </c>
      <c r="CF6" s="56">
        <v>42767</v>
      </c>
      <c r="CG6" s="56">
        <v>42823</v>
      </c>
      <c r="CH6" s="56"/>
      <c r="CI6" s="56"/>
      <c r="CJ6">
        <v>1</v>
      </c>
      <c r="CK6">
        <v>0</v>
      </c>
      <c r="CL6">
        <v>0.05</v>
      </c>
      <c r="CM6">
        <v>0</v>
      </c>
      <c r="CN6">
        <v>0</v>
      </c>
      <c r="CO6">
        <v>0</v>
      </c>
      <c r="CP6">
        <v>0</v>
      </c>
      <c r="CQ6" t="s">
        <v>1618</v>
      </c>
      <c r="CR6" t="s">
        <v>1368</v>
      </c>
      <c r="CS6" t="s">
        <v>1728</v>
      </c>
      <c r="CT6" t="s">
        <v>1724</v>
      </c>
      <c r="CU6" t="s">
        <v>1729</v>
      </c>
      <c r="CV6" t="s">
        <v>1742</v>
      </c>
      <c r="DB6" t="s">
        <v>1743</v>
      </c>
      <c r="DE6" t="s">
        <v>1724</v>
      </c>
    </row>
    <row r="7" spans="1:110" x14ac:dyDescent="0.25">
      <c r="A7" t="s">
        <v>1618</v>
      </c>
      <c r="B7">
        <v>1</v>
      </c>
      <c r="C7" s="56">
        <v>42823</v>
      </c>
      <c r="D7" t="s">
        <v>1619</v>
      </c>
      <c r="E7" t="s">
        <v>1744</v>
      </c>
      <c r="G7" t="s">
        <v>1603</v>
      </c>
      <c r="H7" t="s">
        <v>1603</v>
      </c>
      <c r="I7" t="s">
        <v>1603</v>
      </c>
      <c r="J7" t="s">
        <v>1603</v>
      </c>
      <c r="K7" t="s">
        <v>1603</v>
      </c>
      <c r="L7">
        <v>0.04</v>
      </c>
      <c r="M7">
        <v>0.05</v>
      </c>
      <c r="N7">
        <v>0</v>
      </c>
      <c r="O7" s="56"/>
      <c r="P7" s="56"/>
      <c r="Q7">
        <v>13717</v>
      </c>
      <c r="R7">
        <v>1</v>
      </c>
      <c r="S7">
        <v>8</v>
      </c>
      <c r="T7">
        <v>4</v>
      </c>
      <c r="U7">
        <v>4</v>
      </c>
      <c r="V7">
        <v>1</v>
      </c>
      <c r="X7" t="s">
        <v>1738</v>
      </c>
      <c r="AA7">
        <v>0</v>
      </c>
      <c r="AB7">
        <v>0</v>
      </c>
      <c r="AC7">
        <v>0</v>
      </c>
      <c r="AD7">
        <v>0</v>
      </c>
      <c r="AE7">
        <v>0</v>
      </c>
      <c r="AF7">
        <v>0</v>
      </c>
      <c r="AG7">
        <v>0</v>
      </c>
      <c r="AJ7" s="56"/>
      <c r="AK7" s="56"/>
      <c r="AL7" s="56"/>
      <c r="AP7" t="s">
        <v>1604</v>
      </c>
      <c r="AR7">
        <v>2500</v>
      </c>
      <c r="AS7" t="s">
        <v>1605</v>
      </c>
      <c r="AT7">
        <v>1</v>
      </c>
      <c r="AV7">
        <v>0</v>
      </c>
      <c r="AW7">
        <v>0</v>
      </c>
      <c r="AX7">
        <v>0</v>
      </c>
      <c r="AY7" t="s">
        <v>1606</v>
      </c>
      <c r="AZ7" t="s">
        <v>1606</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6">
        <v>42593</v>
      </c>
      <c r="CE7" s="56">
        <v>42767</v>
      </c>
      <c r="CF7" s="56">
        <v>42767</v>
      </c>
      <c r="CG7" s="56">
        <v>42823</v>
      </c>
      <c r="CH7" s="56"/>
      <c r="CI7" s="56"/>
      <c r="CJ7">
        <v>1</v>
      </c>
      <c r="CK7">
        <v>0</v>
      </c>
      <c r="CL7">
        <v>0.05</v>
      </c>
      <c r="CM7">
        <v>0</v>
      </c>
      <c r="CN7">
        <v>0</v>
      </c>
      <c r="CO7">
        <v>0</v>
      </c>
      <c r="CP7">
        <v>0</v>
      </c>
      <c r="CQ7" t="s">
        <v>1618</v>
      </c>
      <c r="CR7" t="s">
        <v>1368</v>
      </c>
      <c r="CS7" t="s">
        <v>1728</v>
      </c>
      <c r="CT7" t="s">
        <v>1724</v>
      </c>
      <c r="CU7" t="s">
        <v>1729</v>
      </c>
      <c r="CV7" t="s">
        <v>1745</v>
      </c>
      <c r="DB7" t="s">
        <v>1743</v>
      </c>
      <c r="DE7" t="s">
        <v>1724</v>
      </c>
    </row>
    <row r="8" spans="1:110" x14ac:dyDescent="0.25">
      <c r="A8" t="s">
        <v>1618</v>
      </c>
      <c r="B8">
        <v>1</v>
      </c>
      <c r="C8" s="56">
        <v>42823</v>
      </c>
      <c r="D8" t="s">
        <v>1619</v>
      </c>
      <c r="E8" t="s">
        <v>1746</v>
      </c>
      <c r="G8" t="s">
        <v>1603</v>
      </c>
      <c r="H8" t="s">
        <v>1603</v>
      </c>
      <c r="I8" t="s">
        <v>1603</v>
      </c>
      <c r="J8" t="s">
        <v>1603</v>
      </c>
      <c r="K8" t="s">
        <v>1603</v>
      </c>
      <c r="L8">
        <v>0</v>
      </c>
      <c r="M8">
        <v>2.7</v>
      </c>
      <c r="N8">
        <v>0</v>
      </c>
      <c r="O8" s="56"/>
      <c r="P8" s="56"/>
      <c r="Q8">
        <v>13717</v>
      </c>
      <c r="R8">
        <v>1</v>
      </c>
      <c r="S8">
        <v>8</v>
      </c>
      <c r="T8">
        <v>4</v>
      </c>
      <c r="U8">
        <v>4</v>
      </c>
      <c r="V8">
        <v>1</v>
      </c>
      <c r="X8" t="s">
        <v>1738</v>
      </c>
      <c r="AA8">
        <v>0</v>
      </c>
      <c r="AB8">
        <v>0</v>
      </c>
      <c r="AC8">
        <v>0</v>
      </c>
      <c r="AD8">
        <v>0</v>
      </c>
      <c r="AE8">
        <v>0</v>
      </c>
      <c r="AF8">
        <v>0</v>
      </c>
      <c r="AG8">
        <v>0</v>
      </c>
      <c r="AJ8" s="56"/>
      <c r="AK8" s="56"/>
      <c r="AL8" s="56"/>
      <c r="AP8" t="s">
        <v>1604</v>
      </c>
      <c r="AR8">
        <v>200</v>
      </c>
      <c r="AS8" t="s">
        <v>1605</v>
      </c>
      <c r="AT8">
        <v>1</v>
      </c>
      <c r="AV8">
        <v>0</v>
      </c>
      <c r="AW8">
        <v>0</v>
      </c>
      <c r="AX8">
        <v>0</v>
      </c>
      <c r="AY8" t="s">
        <v>1606</v>
      </c>
      <c r="AZ8" t="s">
        <v>1606</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6">
        <v>42593</v>
      </c>
      <c r="CE8" s="56">
        <v>42767</v>
      </c>
      <c r="CF8" s="56">
        <v>42767</v>
      </c>
      <c r="CG8" s="56">
        <v>42823</v>
      </c>
      <c r="CH8" s="56"/>
      <c r="CI8" s="56"/>
      <c r="CJ8">
        <v>1</v>
      </c>
      <c r="CK8">
        <v>0</v>
      </c>
      <c r="CL8">
        <v>0.05</v>
      </c>
      <c r="CM8">
        <v>0</v>
      </c>
      <c r="CN8">
        <v>0</v>
      </c>
      <c r="CO8">
        <v>0</v>
      </c>
      <c r="CP8">
        <v>0</v>
      </c>
      <c r="CQ8" t="s">
        <v>1618</v>
      </c>
      <c r="CR8" t="s">
        <v>1368</v>
      </c>
      <c r="CS8" t="s">
        <v>1728</v>
      </c>
      <c r="CT8" t="s">
        <v>1724</v>
      </c>
      <c r="CU8" t="s">
        <v>1729</v>
      </c>
      <c r="CV8" t="s">
        <v>1747</v>
      </c>
      <c r="DB8" t="s">
        <v>1748</v>
      </c>
      <c r="DE8" t="s">
        <v>1724</v>
      </c>
    </row>
    <row r="9" spans="1:110" x14ac:dyDescent="0.25">
      <c r="A9" t="s">
        <v>1618</v>
      </c>
      <c r="B9">
        <v>1</v>
      </c>
      <c r="C9" s="56">
        <v>42823</v>
      </c>
      <c r="D9" t="s">
        <v>1619</v>
      </c>
      <c r="E9" t="s">
        <v>1406</v>
      </c>
      <c r="G9" t="s">
        <v>1603</v>
      </c>
      <c r="H9" t="s">
        <v>1603</v>
      </c>
      <c r="I9" t="s">
        <v>1603</v>
      </c>
      <c r="J9" t="s">
        <v>1603</v>
      </c>
      <c r="K9" t="s">
        <v>1603</v>
      </c>
      <c r="L9">
        <v>0.37</v>
      </c>
      <c r="M9">
        <v>2.0499999999999998</v>
      </c>
      <c r="N9">
        <v>0</v>
      </c>
      <c r="O9" s="56"/>
      <c r="P9" s="56"/>
      <c r="Q9">
        <v>13717</v>
      </c>
      <c r="R9">
        <v>1</v>
      </c>
      <c r="S9">
        <v>8</v>
      </c>
      <c r="T9">
        <v>4</v>
      </c>
      <c r="U9">
        <v>4</v>
      </c>
      <c r="V9">
        <v>1</v>
      </c>
      <c r="W9" t="s">
        <v>1723</v>
      </c>
      <c r="X9" t="s">
        <v>1749</v>
      </c>
      <c r="Z9" t="s">
        <v>1734</v>
      </c>
      <c r="AA9">
        <v>5.87</v>
      </c>
      <c r="AB9">
        <v>71</v>
      </c>
      <c r="AC9">
        <v>17.04</v>
      </c>
      <c r="AD9">
        <v>16.350000000000001</v>
      </c>
      <c r="AE9">
        <v>0</v>
      </c>
      <c r="AF9">
        <v>0</v>
      </c>
      <c r="AG9">
        <v>0</v>
      </c>
      <c r="AJ9" s="56">
        <v>42666</v>
      </c>
      <c r="AK9" s="56"/>
      <c r="AL9" s="56"/>
      <c r="AP9" t="s">
        <v>1604</v>
      </c>
      <c r="AR9">
        <v>120</v>
      </c>
      <c r="AS9" t="s">
        <v>1605</v>
      </c>
      <c r="AT9">
        <v>1</v>
      </c>
      <c r="AV9">
        <v>400</v>
      </c>
      <c r="AW9">
        <v>266</v>
      </c>
      <c r="AX9">
        <v>132</v>
      </c>
      <c r="AY9" t="s">
        <v>1735</v>
      </c>
      <c r="AZ9" t="s">
        <v>1735</v>
      </c>
      <c r="BA9">
        <v>480</v>
      </c>
      <c r="BD9">
        <v>1000000000</v>
      </c>
      <c r="BE9">
        <v>384</v>
      </c>
      <c r="BF9">
        <v>0.04</v>
      </c>
      <c r="BG9">
        <v>0</v>
      </c>
      <c r="BH9">
        <v>0</v>
      </c>
      <c r="BI9">
        <v>0</v>
      </c>
      <c r="BJ9">
        <v>0</v>
      </c>
      <c r="BK9">
        <v>0</v>
      </c>
      <c r="BL9">
        <v>0</v>
      </c>
      <c r="BM9">
        <v>384</v>
      </c>
      <c r="BN9">
        <v>0.04</v>
      </c>
      <c r="BO9">
        <v>0</v>
      </c>
      <c r="BP9">
        <v>0</v>
      </c>
      <c r="BR9">
        <v>0</v>
      </c>
      <c r="BS9">
        <v>200</v>
      </c>
      <c r="BX9">
        <v>0</v>
      </c>
      <c r="BY9">
        <v>0</v>
      </c>
      <c r="BZ9">
        <v>0</v>
      </c>
      <c r="CA9">
        <v>27.24</v>
      </c>
      <c r="CC9">
        <v>1</v>
      </c>
      <c r="CD9" s="56">
        <v>42761</v>
      </c>
      <c r="CE9" s="56">
        <v>42767</v>
      </c>
      <c r="CF9" s="56">
        <v>42767</v>
      </c>
      <c r="CG9" s="56">
        <v>42823</v>
      </c>
      <c r="CH9" s="56"/>
      <c r="CI9" s="56"/>
      <c r="CJ9">
        <v>0</v>
      </c>
      <c r="CK9">
        <v>0</v>
      </c>
      <c r="CL9">
        <v>0</v>
      </c>
      <c r="CM9">
        <v>0</v>
      </c>
      <c r="CN9">
        <v>0</v>
      </c>
      <c r="CO9">
        <v>0.05</v>
      </c>
      <c r="CP9">
        <v>0</v>
      </c>
      <c r="CQ9" t="s">
        <v>1618</v>
      </c>
      <c r="CR9" t="s">
        <v>1368</v>
      </c>
      <c r="CS9" t="s">
        <v>1728</v>
      </c>
      <c r="CT9" t="s">
        <v>1724</v>
      </c>
      <c r="CU9" t="s">
        <v>1729</v>
      </c>
      <c r="CV9" t="s">
        <v>1750</v>
      </c>
      <c r="DB9" t="s">
        <v>1751</v>
      </c>
      <c r="DE9" t="s">
        <v>1724</v>
      </c>
    </row>
    <row r="10" spans="1:110" x14ac:dyDescent="0.25">
      <c r="A10" t="s">
        <v>1618</v>
      </c>
      <c r="B10">
        <v>1</v>
      </c>
      <c r="C10" s="56">
        <v>42823</v>
      </c>
      <c r="D10" t="s">
        <v>1619</v>
      </c>
      <c r="E10" t="s">
        <v>1752</v>
      </c>
      <c r="G10" t="s">
        <v>1603</v>
      </c>
      <c r="H10" t="s">
        <v>1603</v>
      </c>
      <c r="I10" t="s">
        <v>1603</v>
      </c>
      <c r="J10" t="s">
        <v>1603</v>
      </c>
      <c r="K10" t="s">
        <v>1603</v>
      </c>
      <c r="L10">
        <v>0.33</v>
      </c>
      <c r="M10">
        <v>2.68</v>
      </c>
      <c r="N10">
        <v>0</v>
      </c>
      <c r="O10" s="56"/>
      <c r="P10" s="56"/>
      <c r="Q10">
        <v>13717</v>
      </c>
      <c r="R10">
        <v>1</v>
      </c>
      <c r="S10">
        <v>8</v>
      </c>
      <c r="T10">
        <v>4</v>
      </c>
      <c r="U10">
        <v>4</v>
      </c>
      <c r="V10">
        <v>1</v>
      </c>
      <c r="X10" t="s">
        <v>1753</v>
      </c>
      <c r="AA10">
        <v>0</v>
      </c>
      <c r="AB10">
        <v>0</v>
      </c>
      <c r="AC10">
        <v>0</v>
      </c>
      <c r="AD10">
        <v>0</v>
      </c>
      <c r="AE10">
        <v>0</v>
      </c>
      <c r="AF10">
        <v>0</v>
      </c>
      <c r="AG10">
        <v>0</v>
      </c>
      <c r="AJ10" s="56"/>
      <c r="AK10" s="56"/>
      <c r="AL10" s="56"/>
      <c r="AP10" t="s">
        <v>1604</v>
      </c>
      <c r="AR10">
        <v>200</v>
      </c>
      <c r="AS10" t="s">
        <v>1605</v>
      </c>
      <c r="AT10">
        <v>1</v>
      </c>
      <c r="AV10">
        <v>60</v>
      </c>
      <c r="AW10">
        <v>40</v>
      </c>
      <c r="AX10">
        <v>20</v>
      </c>
      <c r="AY10" t="s">
        <v>1754</v>
      </c>
      <c r="AZ10" t="s">
        <v>1754</v>
      </c>
      <c r="BA10">
        <v>0</v>
      </c>
      <c r="BD10">
        <v>1000000000</v>
      </c>
      <c r="BE10">
        <v>226</v>
      </c>
      <c r="BF10">
        <v>-2.77</v>
      </c>
      <c r="BG10">
        <v>0</v>
      </c>
      <c r="BH10">
        <v>0</v>
      </c>
      <c r="BI10">
        <v>0</v>
      </c>
      <c r="BJ10">
        <v>0</v>
      </c>
      <c r="BK10">
        <v>0</v>
      </c>
      <c r="BL10">
        <v>0</v>
      </c>
      <c r="BM10">
        <v>226</v>
      </c>
      <c r="BN10">
        <v>-2.77</v>
      </c>
      <c r="BO10">
        <v>0</v>
      </c>
      <c r="BP10">
        <v>0</v>
      </c>
      <c r="BR10">
        <v>0</v>
      </c>
      <c r="BS10">
        <v>30</v>
      </c>
      <c r="BX10">
        <v>0</v>
      </c>
      <c r="BY10">
        <v>54.78</v>
      </c>
      <c r="BZ10">
        <v>0</v>
      </c>
      <c r="CA10">
        <v>42.73</v>
      </c>
      <c r="CC10">
        <v>1</v>
      </c>
      <c r="CD10" s="56">
        <v>42592</v>
      </c>
      <c r="CE10" s="56">
        <v>42767</v>
      </c>
      <c r="CF10" s="56">
        <v>42767</v>
      </c>
      <c r="CG10" s="56">
        <v>42823</v>
      </c>
      <c r="CH10" s="56"/>
      <c r="CI10" s="56"/>
      <c r="CJ10">
        <v>0</v>
      </c>
      <c r="CK10">
        <v>0</v>
      </c>
      <c r="CL10">
        <v>0</v>
      </c>
      <c r="CM10">
        <v>0</v>
      </c>
      <c r="CN10">
        <v>0</v>
      </c>
      <c r="CO10">
        <v>0</v>
      </c>
      <c r="CP10">
        <v>0.05</v>
      </c>
      <c r="CQ10" t="s">
        <v>1618</v>
      </c>
      <c r="CR10" t="s">
        <v>1368</v>
      </c>
      <c r="CS10" t="s">
        <v>1728</v>
      </c>
      <c r="CT10" t="s">
        <v>1724</v>
      </c>
      <c r="CU10" t="s">
        <v>1729</v>
      </c>
      <c r="CV10" t="s">
        <v>1755</v>
      </c>
      <c r="DB10" t="s">
        <v>1751</v>
      </c>
      <c r="DE10" t="s">
        <v>1724</v>
      </c>
    </row>
    <row r="11" spans="1:110" x14ac:dyDescent="0.25">
      <c r="A11" t="s">
        <v>1618</v>
      </c>
      <c r="B11">
        <v>1</v>
      </c>
      <c r="C11" s="56">
        <v>42823</v>
      </c>
      <c r="D11" t="s">
        <v>1619</v>
      </c>
      <c r="E11" t="s">
        <v>1756</v>
      </c>
      <c r="G11" t="s">
        <v>1603</v>
      </c>
      <c r="H11" t="s">
        <v>1603</v>
      </c>
      <c r="I11" t="s">
        <v>1603</v>
      </c>
      <c r="J11" t="s">
        <v>1603</v>
      </c>
      <c r="K11" t="s">
        <v>1603</v>
      </c>
      <c r="L11">
        <v>0</v>
      </c>
      <c r="M11">
        <v>3.87</v>
      </c>
      <c r="N11">
        <v>0</v>
      </c>
      <c r="O11" s="56"/>
      <c r="P11" s="56"/>
      <c r="Q11">
        <v>13717</v>
      </c>
      <c r="R11">
        <v>1</v>
      </c>
      <c r="S11">
        <v>8</v>
      </c>
      <c r="T11">
        <v>4</v>
      </c>
      <c r="U11">
        <v>4</v>
      </c>
      <c r="V11">
        <v>1</v>
      </c>
      <c r="W11" t="s">
        <v>1723</v>
      </c>
      <c r="X11" t="s">
        <v>1727</v>
      </c>
      <c r="Y11">
        <v>80</v>
      </c>
      <c r="AA11">
        <v>0</v>
      </c>
      <c r="AB11">
        <v>0</v>
      </c>
      <c r="AC11">
        <v>0</v>
      </c>
      <c r="AD11">
        <v>0</v>
      </c>
      <c r="AE11">
        <v>0</v>
      </c>
      <c r="AF11">
        <v>1</v>
      </c>
      <c r="AG11">
        <v>0</v>
      </c>
      <c r="AJ11" s="56"/>
      <c r="AK11" s="56"/>
      <c r="AL11" s="56"/>
      <c r="AP11" t="s">
        <v>1604</v>
      </c>
      <c r="AR11">
        <v>225</v>
      </c>
      <c r="AS11" t="s">
        <v>1605</v>
      </c>
      <c r="AT11">
        <v>1</v>
      </c>
      <c r="AV11">
        <v>60</v>
      </c>
      <c r="AW11">
        <v>40</v>
      </c>
      <c r="AX11">
        <v>20</v>
      </c>
      <c r="AY11" t="s">
        <v>838</v>
      </c>
      <c r="AZ11" t="s">
        <v>838</v>
      </c>
      <c r="BA11">
        <v>0</v>
      </c>
      <c r="BD11">
        <v>1000000000</v>
      </c>
      <c r="BE11">
        <v>0</v>
      </c>
      <c r="BF11">
        <v>1</v>
      </c>
      <c r="BG11">
        <v>0</v>
      </c>
      <c r="BH11">
        <v>0</v>
      </c>
      <c r="BI11">
        <v>0</v>
      </c>
      <c r="BJ11">
        <v>0</v>
      </c>
      <c r="BK11">
        <v>0</v>
      </c>
      <c r="BL11">
        <v>0</v>
      </c>
      <c r="BM11">
        <v>0</v>
      </c>
      <c r="BN11">
        <v>1</v>
      </c>
      <c r="BO11">
        <v>0</v>
      </c>
      <c r="BP11">
        <v>0</v>
      </c>
      <c r="BR11">
        <v>0</v>
      </c>
      <c r="BS11">
        <v>30</v>
      </c>
      <c r="BX11">
        <v>77.400000000000006</v>
      </c>
      <c r="BY11">
        <v>0</v>
      </c>
      <c r="BZ11">
        <v>0</v>
      </c>
      <c r="CA11">
        <v>0</v>
      </c>
      <c r="CC11">
        <v>1</v>
      </c>
      <c r="CD11" s="56">
        <v>42709</v>
      </c>
      <c r="CE11" s="56">
        <v>42767</v>
      </c>
      <c r="CF11" s="56">
        <v>42767</v>
      </c>
      <c r="CG11" s="56">
        <v>42823</v>
      </c>
      <c r="CH11" s="56"/>
      <c r="CI11" s="56"/>
      <c r="CJ11">
        <v>1</v>
      </c>
      <c r="CK11">
        <v>40</v>
      </c>
      <c r="CL11">
        <v>0.05</v>
      </c>
      <c r="CM11">
        <v>0</v>
      </c>
      <c r="CN11">
        <v>0</v>
      </c>
      <c r="CO11">
        <v>0</v>
      </c>
      <c r="CP11">
        <v>0</v>
      </c>
      <c r="CQ11" t="s">
        <v>1618</v>
      </c>
      <c r="CR11" t="s">
        <v>1368</v>
      </c>
      <c r="CS11" t="s">
        <v>1728</v>
      </c>
      <c r="CT11" t="s">
        <v>1724</v>
      </c>
      <c r="CU11" t="s">
        <v>1729</v>
      </c>
      <c r="CV11" t="s">
        <v>1757</v>
      </c>
      <c r="DB11" t="s">
        <v>1751</v>
      </c>
      <c r="DE11" t="s">
        <v>1724</v>
      </c>
    </row>
    <row r="12" spans="1:110" x14ac:dyDescent="0.25">
      <c r="A12" t="s">
        <v>1618</v>
      </c>
      <c r="B12">
        <v>1</v>
      </c>
      <c r="C12" s="56">
        <v>42823</v>
      </c>
      <c r="D12" t="s">
        <v>1619</v>
      </c>
      <c r="E12" t="s">
        <v>1758</v>
      </c>
      <c r="G12" t="s">
        <v>1603</v>
      </c>
      <c r="H12" t="s">
        <v>1603</v>
      </c>
      <c r="I12" t="s">
        <v>1603</v>
      </c>
      <c r="J12" t="s">
        <v>1603</v>
      </c>
      <c r="K12" t="s">
        <v>1603</v>
      </c>
      <c r="L12">
        <v>0.86</v>
      </c>
      <c r="M12">
        <v>5</v>
      </c>
      <c r="N12">
        <v>0</v>
      </c>
      <c r="O12" s="56"/>
      <c r="P12" s="56"/>
      <c r="Q12">
        <v>13717</v>
      </c>
      <c r="R12">
        <v>1</v>
      </c>
      <c r="S12">
        <v>8</v>
      </c>
      <c r="T12">
        <v>4</v>
      </c>
      <c r="U12">
        <v>4</v>
      </c>
      <c r="V12">
        <v>1</v>
      </c>
      <c r="X12" t="s">
        <v>1753</v>
      </c>
      <c r="AA12">
        <v>0</v>
      </c>
      <c r="AB12">
        <v>0</v>
      </c>
      <c r="AC12">
        <v>0</v>
      </c>
      <c r="AD12">
        <v>0</v>
      </c>
      <c r="AE12">
        <v>0</v>
      </c>
      <c r="AF12">
        <v>0</v>
      </c>
      <c r="AG12">
        <v>0</v>
      </c>
      <c r="AJ12" s="56"/>
      <c r="AK12" s="56"/>
      <c r="AL12" s="56"/>
      <c r="AP12" t="s">
        <v>1604</v>
      </c>
      <c r="AR12">
        <v>225</v>
      </c>
      <c r="AS12" t="s">
        <v>1605</v>
      </c>
      <c r="AT12">
        <v>1</v>
      </c>
      <c r="AV12">
        <v>60</v>
      </c>
      <c r="AW12">
        <v>40</v>
      </c>
      <c r="AX12">
        <v>20</v>
      </c>
      <c r="AY12" t="s">
        <v>1754</v>
      </c>
      <c r="AZ12" t="s">
        <v>1754</v>
      </c>
      <c r="BA12">
        <v>0</v>
      </c>
      <c r="BD12">
        <v>1000000000</v>
      </c>
      <c r="BE12">
        <v>225</v>
      </c>
      <c r="BF12">
        <v>-2.75</v>
      </c>
      <c r="BG12">
        <v>0</v>
      </c>
      <c r="BH12">
        <v>0</v>
      </c>
      <c r="BI12">
        <v>0</v>
      </c>
      <c r="BJ12">
        <v>0</v>
      </c>
      <c r="BK12">
        <v>0</v>
      </c>
      <c r="BL12">
        <v>0</v>
      </c>
      <c r="BM12">
        <v>225</v>
      </c>
      <c r="BN12">
        <v>-2.75</v>
      </c>
      <c r="BO12">
        <v>0</v>
      </c>
      <c r="BP12">
        <v>0</v>
      </c>
      <c r="BR12">
        <v>0</v>
      </c>
      <c r="BS12">
        <v>30</v>
      </c>
      <c r="BX12">
        <v>0</v>
      </c>
      <c r="BY12">
        <v>141.9</v>
      </c>
      <c r="BZ12">
        <v>0</v>
      </c>
      <c r="CA12">
        <v>28.88</v>
      </c>
      <c r="CC12">
        <v>1</v>
      </c>
      <c r="CD12" s="56">
        <v>42592</v>
      </c>
      <c r="CE12" s="56">
        <v>42767</v>
      </c>
      <c r="CF12" s="56">
        <v>42767</v>
      </c>
      <c r="CG12" s="56">
        <v>42823</v>
      </c>
      <c r="CH12" s="56"/>
      <c r="CI12" s="56"/>
      <c r="CJ12">
        <v>0</v>
      </c>
      <c r="CK12">
        <v>0</v>
      </c>
      <c r="CL12">
        <v>0</v>
      </c>
      <c r="CM12">
        <v>0</v>
      </c>
      <c r="CN12">
        <v>0</v>
      </c>
      <c r="CO12">
        <v>0</v>
      </c>
      <c r="CP12">
        <v>0.05</v>
      </c>
      <c r="CQ12" t="s">
        <v>1618</v>
      </c>
      <c r="CR12" t="s">
        <v>1368</v>
      </c>
      <c r="CS12" t="s">
        <v>1728</v>
      </c>
      <c r="CT12" t="s">
        <v>1724</v>
      </c>
      <c r="CU12" t="s">
        <v>1729</v>
      </c>
      <c r="CV12" t="s">
        <v>1759</v>
      </c>
      <c r="DB12" t="s">
        <v>1751</v>
      </c>
      <c r="DE12" t="s">
        <v>1724</v>
      </c>
    </row>
    <row r="13" spans="1:110" x14ac:dyDescent="0.25">
      <c r="A13" t="s">
        <v>1618</v>
      </c>
      <c r="B13">
        <v>1</v>
      </c>
      <c r="C13" s="56">
        <v>42823</v>
      </c>
      <c r="D13" t="s">
        <v>1619</v>
      </c>
      <c r="E13" t="s">
        <v>1407</v>
      </c>
      <c r="G13" t="s">
        <v>1603</v>
      </c>
      <c r="H13" t="s">
        <v>1603</v>
      </c>
      <c r="I13" t="s">
        <v>1603</v>
      </c>
      <c r="J13" t="s">
        <v>1603</v>
      </c>
      <c r="K13" t="s">
        <v>1603</v>
      </c>
      <c r="L13">
        <v>1.83</v>
      </c>
      <c r="M13">
        <v>5.49</v>
      </c>
      <c r="N13">
        <v>0</v>
      </c>
      <c r="O13" s="56"/>
      <c r="P13" s="56"/>
      <c r="Q13">
        <v>13717</v>
      </c>
      <c r="R13">
        <v>1</v>
      </c>
      <c r="S13">
        <v>8</v>
      </c>
      <c r="T13">
        <v>4</v>
      </c>
      <c r="U13">
        <v>4</v>
      </c>
      <c r="V13">
        <v>1</v>
      </c>
      <c r="X13" t="s">
        <v>1753</v>
      </c>
      <c r="Z13" t="s">
        <v>1734</v>
      </c>
      <c r="AA13">
        <v>0.98</v>
      </c>
      <c r="AB13">
        <v>12</v>
      </c>
      <c r="AC13">
        <v>15.31</v>
      </c>
      <c r="AD13">
        <v>33.93</v>
      </c>
      <c r="AE13">
        <v>0</v>
      </c>
      <c r="AF13">
        <v>0</v>
      </c>
      <c r="AG13">
        <v>0</v>
      </c>
      <c r="AJ13" s="56">
        <v>42666</v>
      </c>
      <c r="AK13" s="56"/>
      <c r="AL13" s="56"/>
      <c r="AP13" t="s">
        <v>1604</v>
      </c>
      <c r="AR13">
        <v>225</v>
      </c>
      <c r="AS13" t="s">
        <v>1605</v>
      </c>
      <c r="AT13">
        <v>1</v>
      </c>
      <c r="AV13">
        <v>60</v>
      </c>
      <c r="AW13">
        <v>40</v>
      </c>
      <c r="AX13">
        <v>20</v>
      </c>
      <c r="AY13" t="s">
        <v>1754</v>
      </c>
      <c r="AZ13" t="s">
        <v>1754</v>
      </c>
      <c r="BA13">
        <v>0</v>
      </c>
      <c r="BD13">
        <v>1000000000</v>
      </c>
      <c r="BE13">
        <v>133</v>
      </c>
      <c r="BF13">
        <v>-1.22</v>
      </c>
      <c r="BG13">
        <v>0</v>
      </c>
      <c r="BH13">
        <v>0</v>
      </c>
      <c r="BI13">
        <v>0</v>
      </c>
      <c r="BJ13">
        <v>0</v>
      </c>
      <c r="BK13">
        <v>0</v>
      </c>
      <c r="BL13">
        <v>0</v>
      </c>
      <c r="BM13">
        <v>133</v>
      </c>
      <c r="BN13">
        <v>-1.22</v>
      </c>
      <c r="BO13">
        <v>0</v>
      </c>
      <c r="BP13">
        <v>0</v>
      </c>
      <c r="BR13">
        <v>0</v>
      </c>
      <c r="BS13">
        <v>30</v>
      </c>
      <c r="BX13">
        <v>0</v>
      </c>
      <c r="BY13">
        <v>133.59</v>
      </c>
      <c r="BZ13">
        <v>0</v>
      </c>
      <c r="CA13">
        <v>12</v>
      </c>
      <c r="CC13">
        <v>1</v>
      </c>
      <c r="CD13" s="56">
        <v>42592</v>
      </c>
      <c r="CE13" s="56">
        <v>42767</v>
      </c>
      <c r="CF13" s="56">
        <v>42767</v>
      </c>
      <c r="CG13" s="56">
        <v>42823</v>
      </c>
      <c r="CH13" s="56"/>
      <c r="CI13" s="56"/>
      <c r="CJ13">
        <v>0</v>
      </c>
      <c r="CK13">
        <v>0</v>
      </c>
      <c r="CL13">
        <v>0</v>
      </c>
      <c r="CM13">
        <v>0</v>
      </c>
      <c r="CN13">
        <v>0</v>
      </c>
      <c r="CO13">
        <v>0</v>
      </c>
      <c r="CP13">
        <v>0.05</v>
      </c>
      <c r="CQ13" t="s">
        <v>1618</v>
      </c>
      <c r="CR13" t="s">
        <v>1368</v>
      </c>
      <c r="CS13" t="s">
        <v>1728</v>
      </c>
      <c r="CT13" t="s">
        <v>1724</v>
      </c>
      <c r="CU13" t="s">
        <v>1729</v>
      </c>
      <c r="CV13" t="s">
        <v>1760</v>
      </c>
      <c r="DB13" t="s">
        <v>1751</v>
      </c>
      <c r="DE13" t="s">
        <v>1724</v>
      </c>
    </row>
    <row r="14" spans="1:110" x14ac:dyDescent="0.25">
      <c r="A14" t="s">
        <v>1618</v>
      </c>
      <c r="B14">
        <v>1</v>
      </c>
      <c r="C14" s="56">
        <v>42823</v>
      </c>
      <c r="D14" t="s">
        <v>1619</v>
      </c>
      <c r="E14" t="s">
        <v>1761</v>
      </c>
      <c r="G14" t="s">
        <v>1603</v>
      </c>
      <c r="H14" t="s">
        <v>1603</v>
      </c>
      <c r="I14" t="s">
        <v>1603</v>
      </c>
      <c r="J14" t="s">
        <v>1603</v>
      </c>
      <c r="K14" t="s">
        <v>1603</v>
      </c>
      <c r="L14">
        <v>17.579999999999998</v>
      </c>
      <c r="M14">
        <v>47.84</v>
      </c>
      <c r="N14">
        <v>0</v>
      </c>
      <c r="O14" s="56"/>
      <c r="P14" s="56"/>
      <c r="Q14">
        <v>13717</v>
      </c>
      <c r="R14">
        <v>1</v>
      </c>
      <c r="S14">
        <v>8</v>
      </c>
      <c r="T14">
        <v>4</v>
      </c>
      <c r="U14">
        <v>4</v>
      </c>
      <c r="V14">
        <v>1</v>
      </c>
      <c r="X14" t="s">
        <v>1762</v>
      </c>
      <c r="AA14">
        <v>0</v>
      </c>
      <c r="AB14">
        <v>0</v>
      </c>
      <c r="AC14">
        <v>0</v>
      </c>
      <c r="AD14">
        <v>0</v>
      </c>
      <c r="AE14">
        <v>0</v>
      </c>
      <c r="AF14">
        <v>0</v>
      </c>
      <c r="AG14">
        <v>0</v>
      </c>
      <c r="AJ14" s="56"/>
      <c r="AK14" s="56"/>
      <c r="AL14" s="56"/>
      <c r="AP14" t="s">
        <v>1604</v>
      </c>
      <c r="AS14" t="s">
        <v>1605</v>
      </c>
      <c r="AT14">
        <v>1</v>
      </c>
      <c r="AV14">
        <v>0</v>
      </c>
      <c r="AW14">
        <v>0</v>
      </c>
      <c r="AX14">
        <v>0</v>
      </c>
      <c r="AY14" t="s">
        <v>1606</v>
      </c>
      <c r="AZ14" t="s">
        <v>1606</v>
      </c>
      <c r="BA14">
        <v>0</v>
      </c>
      <c r="BD14">
        <v>1000000000</v>
      </c>
      <c r="BE14">
        <v>5</v>
      </c>
      <c r="BF14">
        <v>0</v>
      </c>
      <c r="BG14">
        <v>0</v>
      </c>
      <c r="BH14">
        <v>0</v>
      </c>
      <c r="BI14">
        <v>0</v>
      </c>
      <c r="BJ14">
        <v>0</v>
      </c>
      <c r="BK14">
        <v>0</v>
      </c>
      <c r="BL14">
        <v>0</v>
      </c>
      <c r="BM14">
        <v>5</v>
      </c>
      <c r="BN14">
        <v>0</v>
      </c>
      <c r="BO14">
        <v>0</v>
      </c>
      <c r="BP14">
        <v>0</v>
      </c>
      <c r="BR14">
        <v>0</v>
      </c>
      <c r="BS14">
        <v>0</v>
      </c>
      <c r="BX14">
        <v>0</v>
      </c>
      <c r="BY14">
        <v>0</v>
      </c>
      <c r="BZ14">
        <v>0</v>
      </c>
      <c r="CA14">
        <v>0</v>
      </c>
      <c r="CC14">
        <v>1</v>
      </c>
      <c r="CD14" s="56">
        <v>42558</v>
      </c>
      <c r="CE14" s="56">
        <v>42767</v>
      </c>
      <c r="CF14" s="56">
        <v>42767</v>
      </c>
      <c r="CG14" s="56">
        <v>42823</v>
      </c>
      <c r="CH14" s="56"/>
      <c r="CI14" s="56"/>
      <c r="CJ14">
        <v>0</v>
      </c>
      <c r="CK14">
        <v>0</v>
      </c>
      <c r="CL14">
        <v>0</v>
      </c>
      <c r="CM14">
        <v>0</v>
      </c>
      <c r="CN14">
        <v>0</v>
      </c>
      <c r="CO14">
        <v>0</v>
      </c>
      <c r="CP14">
        <v>0.05</v>
      </c>
      <c r="CQ14" t="s">
        <v>1618</v>
      </c>
      <c r="CR14" t="s">
        <v>1368</v>
      </c>
      <c r="CS14" t="s">
        <v>1728</v>
      </c>
      <c r="CT14" t="s">
        <v>1724</v>
      </c>
      <c r="CU14" t="s">
        <v>1729</v>
      </c>
      <c r="CV14" t="s">
        <v>1763</v>
      </c>
      <c r="DB14" t="s">
        <v>1764</v>
      </c>
      <c r="DE14" t="s">
        <v>1724</v>
      </c>
    </row>
    <row r="15" spans="1:110" x14ac:dyDescent="0.25">
      <c r="A15" t="s">
        <v>1618</v>
      </c>
      <c r="B15">
        <v>1</v>
      </c>
      <c r="C15" s="56">
        <v>42823</v>
      </c>
      <c r="D15" t="s">
        <v>1619</v>
      </c>
      <c r="E15" t="s">
        <v>1765</v>
      </c>
      <c r="G15" t="s">
        <v>1603</v>
      </c>
      <c r="H15" t="s">
        <v>1603</v>
      </c>
      <c r="I15" t="s">
        <v>1603</v>
      </c>
      <c r="J15" t="s">
        <v>1603</v>
      </c>
      <c r="K15" t="s">
        <v>1603</v>
      </c>
      <c r="L15">
        <v>19.34</v>
      </c>
      <c r="M15">
        <v>56.35</v>
      </c>
      <c r="N15">
        <v>0</v>
      </c>
      <c r="O15" s="56"/>
      <c r="P15" s="56"/>
      <c r="Q15">
        <v>13717</v>
      </c>
      <c r="R15">
        <v>1</v>
      </c>
      <c r="S15">
        <v>8</v>
      </c>
      <c r="T15">
        <v>4</v>
      </c>
      <c r="U15">
        <v>4</v>
      </c>
      <c r="V15">
        <v>1</v>
      </c>
      <c r="X15" t="s">
        <v>1762</v>
      </c>
      <c r="AA15">
        <v>0</v>
      </c>
      <c r="AB15">
        <v>0</v>
      </c>
      <c r="AC15">
        <v>0</v>
      </c>
      <c r="AD15">
        <v>0</v>
      </c>
      <c r="AE15">
        <v>0</v>
      </c>
      <c r="AF15">
        <v>0</v>
      </c>
      <c r="AG15">
        <v>0</v>
      </c>
      <c r="AJ15" s="56"/>
      <c r="AK15" s="56"/>
      <c r="AL15" s="56"/>
      <c r="AP15" t="s">
        <v>1604</v>
      </c>
      <c r="AS15" t="s">
        <v>1605</v>
      </c>
      <c r="AT15">
        <v>1</v>
      </c>
      <c r="AV15">
        <v>0</v>
      </c>
      <c r="AW15">
        <v>0</v>
      </c>
      <c r="AX15">
        <v>0</v>
      </c>
      <c r="AY15" t="s">
        <v>1606</v>
      </c>
      <c r="AZ15" t="s">
        <v>1606</v>
      </c>
      <c r="BA15">
        <v>0</v>
      </c>
      <c r="BD15">
        <v>1000000000</v>
      </c>
      <c r="BE15">
        <v>5</v>
      </c>
      <c r="BF15">
        <v>0</v>
      </c>
      <c r="BG15">
        <v>0</v>
      </c>
      <c r="BH15">
        <v>0</v>
      </c>
      <c r="BI15">
        <v>0</v>
      </c>
      <c r="BJ15">
        <v>0</v>
      </c>
      <c r="BK15">
        <v>0</v>
      </c>
      <c r="BL15">
        <v>0</v>
      </c>
      <c r="BM15">
        <v>5</v>
      </c>
      <c r="BN15">
        <v>0</v>
      </c>
      <c r="BO15">
        <v>0</v>
      </c>
      <c r="BP15">
        <v>0</v>
      </c>
      <c r="BR15">
        <v>0</v>
      </c>
      <c r="BS15">
        <v>0</v>
      </c>
      <c r="BX15">
        <v>0</v>
      </c>
      <c r="BY15">
        <v>0</v>
      </c>
      <c r="BZ15">
        <v>0</v>
      </c>
      <c r="CA15">
        <v>0</v>
      </c>
      <c r="CC15">
        <v>1</v>
      </c>
      <c r="CD15" s="56">
        <v>42558</v>
      </c>
      <c r="CE15" s="56">
        <v>42767</v>
      </c>
      <c r="CF15" s="56">
        <v>42767</v>
      </c>
      <c r="CG15" s="56">
        <v>42823</v>
      </c>
      <c r="CH15" s="56"/>
      <c r="CI15" s="56"/>
      <c r="CJ15">
        <v>0</v>
      </c>
      <c r="CK15">
        <v>0</v>
      </c>
      <c r="CL15">
        <v>0</v>
      </c>
      <c r="CM15">
        <v>0</v>
      </c>
      <c r="CN15">
        <v>0</v>
      </c>
      <c r="CO15">
        <v>0</v>
      </c>
      <c r="CP15">
        <v>0.05</v>
      </c>
      <c r="CQ15" t="s">
        <v>1618</v>
      </c>
      <c r="CR15" t="s">
        <v>1368</v>
      </c>
      <c r="CS15" t="s">
        <v>1728</v>
      </c>
      <c r="CT15" t="s">
        <v>1724</v>
      </c>
      <c r="CU15" t="s">
        <v>1729</v>
      </c>
      <c r="CV15" t="s">
        <v>1766</v>
      </c>
      <c r="DB15" t="s">
        <v>1764</v>
      </c>
      <c r="DE15" t="s">
        <v>1724</v>
      </c>
    </row>
    <row r="16" spans="1:110" x14ac:dyDescent="0.25">
      <c r="A16" t="s">
        <v>1618</v>
      </c>
      <c r="B16">
        <v>1</v>
      </c>
      <c r="C16" s="56">
        <v>42823</v>
      </c>
      <c r="D16" t="s">
        <v>1619</v>
      </c>
      <c r="E16" t="s">
        <v>1767</v>
      </c>
      <c r="G16" t="s">
        <v>1603</v>
      </c>
      <c r="H16" t="s">
        <v>1603</v>
      </c>
      <c r="I16" t="s">
        <v>1603</v>
      </c>
      <c r="J16" t="s">
        <v>1603</v>
      </c>
      <c r="K16" t="s">
        <v>1603</v>
      </c>
      <c r="L16">
        <v>0.24</v>
      </c>
      <c r="M16">
        <v>2</v>
      </c>
      <c r="N16">
        <v>0</v>
      </c>
      <c r="O16" s="56"/>
      <c r="P16" s="56"/>
      <c r="Q16">
        <v>13717</v>
      </c>
      <c r="R16">
        <v>1</v>
      </c>
      <c r="S16">
        <v>8</v>
      </c>
      <c r="T16">
        <v>4</v>
      </c>
      <c r="U16">
        <v>4</v>
      </c>
      <c r="V16">
        <v>1</v>
      </c>
      <c r="X16" t="s">
        <v>1738</v>
      </c>
      <c r="AA16">
        <v>0</v>
      </c>
      <c r="AB16">
        <v>0</v>
      </c>
      <c r="AC16">
        <v>0</v>
      </c>
      <c r="AD16">
        <v>0</v>
      </c>
      <c r="AE16">
        <v>0</v>
      </c>
      <c r="AF16">
        <v>0</v>
      </c>
      <c r="AG16">
        <v>0</v>
      </c>
      <c r="AJ16" s="56"/>
      <c r="AK16" s="56"/>
      <c r="AL16" s="56"/>
      <c r="AP16" t="s">
        <v>1604</v>
      </c>
      <c r="AR16">
        <v>520</v>
      </c>
      <c r="AS16" t="s">
        <v>1605</v>
      </c>
      <c r="AT16">
        <v>1</v>
      </c>
      <c r="AV16">
        <v>0</v>
      </c>
      <c r="AW16">
        <v>0</v>
      </c>
      <c r="AX16">
        <v>0</v>
      </c>
      <c r="AY16" t="s">
        <v>1606</v>
      </c>
      <c r="AZ16" t="s">
        <v>1606</v>
      </c>
      <c r="BA16">
        <v>0</v>
      </c>
      <c r="BD16">
        <v>1000000000</v>
      </c>
      <c r="BE16">
        <v>316</v>
      </c>
      <c r="BF16">
        <v>0</v>
      </c>
      <c r="BG16">
        <v>0</v>
      </c>
      <c r="BH16">
        <v>0</v>
      </c>
      <c r="BI16">
        <v>0</v>
      </c>
      <c r="BJ16">
        <v>0</v>
      </c>
      <c r="BK16">
        <v>0</v>
      </c>
      <c r="BL16">
        <v>0</v>
      </c>
      <c r="BM16">
        <v>316</v>
      </c>
      <c r="BN16">
        <v>0</v>
      </c>
      <c r="BO16">
        <v>0</v>
      </c>
      <c r="BP16">
        <v>0</v>
      </c>
      <c r="BR16">
        <v>0</v>
      </c>
      <c r="BS16">
        <v>0</v>
      </c>
      <c r="BX16">
        <v>0</v>
      </c>
      <c r="BY16">
        <v>0</v>
      </c>
      <c r="BZ16">
        <v>0</v>
      </c>
      <c r="CA16">
        <v>0</v>
      </c>
      <c r="CC16">
        <v>1</v>
      </c>
      <c r="CD16" s="56">
        <v>42593</v>
      </c>
      <c r="CE16" s="56">
        <v>42767</v>
      </c>
      <c r="CF16" s="56">
        <v>42767</v>
      </c>
      <c r="CG16" s="56">
        <v>42823</v>
      </c>
      <c r="CH16" s="56"/>
      <c r="CI16" s="56"/>
      <c r="CJ16">
        <v>0</v>
      </c>
      <c r="CK16">
        <v>0</v>
      </c>
      <c r="CL16">
        <v>0</v>
      </c>
      <c r="CM16">
        <v>0</v>
      </c>
      <c r="CN16">
        <v>0</v>
      </c>
      <c r="CO16">
        <v>0</v>
      </c>
      <c r="CP16">
        <v>0.05</v>
      </c>
      <c r="CQ16" t="s">
        <v>1618</v>
      </c>
      <c r="CR16" t="s">
        <v>1368</v>
      </c>
      <c r="CS16" t="s">
        <v>1728</v>
      </c>
      <c r="CT16" t="s">
        <v>1724</v>
      </c>
      <c r="CU16" t="s">
        <v>1729</v>
      </c>
      <c r="CV16" t="s">
        <v>1768</v>
      </c>
      <c r="DB16" t="s">
        <v>1769</v>
      </c>
      <c r="DE16" t="s">
        <v>1724</v>
      </c>
    </row>
    <row r="17" spans="1:109" x14ac:dyDescent="0.25">
      <c r="A17" t="s">
        <v>1618</v>
      </c>
      <c r="B17">
        <v>1</v>
      </c>
      <c r="C17" s="56">
        <v>42823</v>
      </c>
      <c r="D17" t="s">
        <v>1619</v>
      </c>
      <c r="E17" t="s">
        <v>1408</v>
      </c>
      <c r="G17" t="s">
        <v>1603</v>
      </c>
      <c r="H17" t="s">
        <v>1603</v>
      </c>
      <c r="I17" t="s">
        <v>1603</v>
      </c>
      <c r="J17" t="s">
        <v>1603</v>
      </c>
      <c r="K17" t="s">
        <v>1603</v>
      </c>
      <c r="L17">
        <v>5.86</v>
      </c>
      <c r="M17">
        <v>29.91</v>
      </c>
      <c r="N17">
        <v>0</v>
      </c>
      <c r="O17" s="56"/>
      <c r="P17" s="56"/>
      <c r="Q17">
        <v>13717</v>
      </c>
      <c r="R17">
        <v>1</v>
      </c>
      <c r="S17">
        <v>8</v>
      </c>
      <c r="T17">
        <v>4</v>
      </c>
      <c r="U17">
        <v>4</v>
      </c>
      <c r="V17">
        <v>1</v>
      </c>
      <c r="X17" t="s">
        <v>1727</v>
      </c>
      <c r="AA17">
        <v>0.16</v>
      </c>
      <c r="AB17">
        <v>2</v>
      </c>
      <c r="AC17">
        <v>7.81</v>
      </c>
      <c r="AD17">
        <v>14.06</v>
      </c>
      <c r="AE17">
        <v>0</v>
      </c>
      <c r="AF17">
        <v>0</v>
      </c>
      <c r="AG17">
        <v>0</v>
      </c>
      <c r="AJ17" s="56"/>
      <c r="AK17" s="56"/>
      <c r="AL17" s="56"/>
      <c r="AP17" t="s">
        <v>1604</v>
      </c>
      <c r="AR17">
        <v>10</v>
      </c>
      <c r="AS17" t="s">
        <v>1605</v>
      </c>
      <c r="AT17">
        <v>1</v>
      </c>
      <c r="AV17">
        <v>5</v>
      </c>
      <c r="AW17">
        <v>3</v>
      </c>
      <c r="AX17">
        <v>2</v>
      </c>
      <c r="AY17" t="s">
        <v>1754</v>
      </c>
      <c r="AZ17" t="s">
        <v>1754</v>
      </c>
      <c r="BA17">
        <v>10</v>
      </c>
      <c r="BD17">
        <v>1000000000</v>
      </c>
      <c r="BE17">
        <v>9</v>
      </c>
      <c r="BF17">
        <v>-0.8</v>
      </c>
      <c r="BG17">
        <v>0</v>
      </c>
      <c r="BH17">
        <v>0</v>
      </c>
      <c r="BI17">
        <v>0</v>
      </c>
      <c r="BJ17">
        <v>0</v>
      </c>
      <c r="BK17">
        <v>0</v>
      </c>
      <c r="BL17">
        <v>0</v>
      </c>
      <c r="BM17">
        <v>9</v>
      </c>
      <c r="BN17">
        <v>-0.8</v>
      </c>
      <c r="BO17">
        <v>0</v>
      </c>
      <c r="BP17">
        <v>0</v>
      </c>
      <c r="BR17">
        <v>0</v>
      </c>
      <c r="BS17">
        <v>3</v>
      </c>
      <c r="BX17">
        <v>0</v>
      </c>
      <c r="BY17">
        <v>23.44</v>
      </c>
      <c r="BZ17">
        <v>0</v>
      </c>
      <c r="CA17">
        <v>24.62</v>
      </c>
      <c r="CC17">
        <v>1</v>
      </c>
      <c r="CD17" s="56">
        <v>42709</v>
      </c>
      <c r="CE17" s="56">
        <v>42767</v>
      </c>
      <c r="CF17" s="56">
        <v>42767</v>
      </c>
      <c r="CG17" s="56">
        <v>42823</v>
      </c>
      <c r="CH17" s="56"/>
      <c r="CI17" s="56"/>
      <c r="CJ17">
        <v>0</v>
      </c>
      <c r="CK17">
        <v>0</v>
      </c>
      <c r="CL17">
        <v>0</v>
      </c>
      <c r="CM17">
        <v>0</v>
      </c>
      <c r="CN17">
        <v>0</v>
      </c>
      <c r="CO17">
        <v>0</v>
      </c>
      <c r="CP17">
        <v>0.05</v>
      </c>
      <c r="CQ17" t="s">
        <v>1618</v>
      </c>
      <c r="CR17" t="s">
        <v>1368</v>
      </c>
      <c r="CS17" t="s">
        <v>1728</v>
      </c>
      <c r="CT17" t="s">
        <v>1724</v>
      </c>
      <c r="CU17" t="s">
        <v>1729</v>
      </c>
      <c r="CV17" t="s">
        <v>1770</v>
      </c>
      <c r="DB17" t="s">
        <v>1771</v>
      </c>
      <c r="DE17" t="s">
        <v>1724</v>
      </c>
    </row>
    <row r="18" spans="1:109" x14ac:dyDescent="0.25">
      <c r="A18" t="s">
        <v>1618</v>
      </c>
      <c r="B18">
        <v>1</v>
      </c>
      <c r="C18" s="56">
        <v>42823</v>
      </c>
      <c r="D18" t="s">
        <v>1619</v>
      </c>
      <c r="E18" t="s">
        <v>1409</v>
      </c>
      <c r="G18" t="s">
        <v>1603</v>
      </c>
      <c r="H18" t="s">
        <v>1603</v>
      </c>
      <c r="I18" t="s">
        <v>1603</v>
      </c>
      <c r="J18" t="s">
        <v>1603</v>
      </c>
      <c r="K18" t="s">
        <v>1603</v>
      </c>
      <c r="L18">
        <v>7.49</v>
      </c>
      <c r="M18">
        <v>23.12</v>
      </c>
      <c r="N18">
        <v>0</v>
      </c>
      <c r="O18" s="56"/>
      <c r="P18" s="56"/>
      <c r="Q18">
        <v>13717</v>
      </c>
      <c r="R18">
        <v>1</v>
      </c>
      <c r="S18">
        <v>8</v>
      </c>
      <c r="T18">
        <v>4</v>
      </c>
      <c r="U18">
        <v>4</v>
      </c>
      <c r="V18">
        <v>1</v>
      </c>
      <c r="X18" t="s">
        <v>1727</v>
      </c>
      <c r="AA18">
        <v>0.48</v>
      </c>
      <c r="AB18">
        <v>6</v>
      </c>
      <c r="AC18">
        <v>10.42</v>
      </c>
      <c r="AD18">
        <v>24.79</v>
      </c>
      <c r="AE18">
        <v>0</v>
      </c>
      <c r="AF18">
        <v>0</v>
      </c>
      <c r="AG18">
        <v>0</v>
      </c>
      <c r="AJ18" s="56"/>
      <c r="AK18" s="56"/>
      <c r="AL18" s="56"/>
      <c r="AP18" t="s">
        <v>1604</v>
      </c>
      <c r="AR18">
        <v>10</v>
      </c>
      <c r="AS18" t="s">
        <v>1605</v>
      </c>
      <c r="AT18">
        <v>1</v>
      </c>
      <c r="AV18">
        <v>20</v>
      </c>
      <c r="AW18">
        <v>13</v>
      </c>
      <c r="AX18">
        <v>7</v>
      </c>
      <c r="AY18" t="s">
        <v>1754</v>
      </c>
      <c r="AZ18" t="s">
        <v>1754</v>
      </c>
      <c r="BA18">
        <v>36</v>
      </c>
      <c r="BD18">
        <v>1000000000</v>
      </c>
      <c r="BE18">
        <v>47.6</v>
      </c>
      <c r="BF18">
        <v>-1.38</v>
      </c>
      <c r="BG18">
        <v>0</v>
      </c>
      <c r="BH18">
        <v>0</v>
      </c>
      <c r="BI18">
        <v>0</v>
      </c>
      <c r="BJ18">
        <v>0</v>
      </c>
      <c r="BK18">
        <v>0</v>
      </c>
      <c r="BL18">
        <v>0</v>
      </c>
      <c r="BM18">
        <v>47.6</v>
      </c>
      <c r="BN18">
        <v>-1.38</v>
      </c>
      <c r="BO18">
        <v>0</v>
      </c>
      <c r="BP18">
        <v>0</v>
      </c>
      <c r="BR18">
        <v>0</v>
      </c>
      <c r="BS18">
        <v>10</v>
      </c>
      <c r="BX18">
        <v>0</v>
      </c>
      <c r="BY18">
        <v>206.72</v>
      </c>
      <c r="BZ18">
        <v>0</v>
      </c>
      <c r="CA18">
        <v>12.52</v>
      </c>
      <c r="CC18">
        <v>1</v>
      </c>
      <c r="CD18" s="56">
        <v>42709</v>
      </c>
      <c r="CE18" s="56">
        <v>42767</v>
      </c>
      <c r="CF18" s="56">
        <v>42767</v>
      </c>
      <c r="CG18" s="56">
        <v>42823</v>
      </c>
      <c r="CH18" s="56"/>
      <c r="CI18" s="56"/>
      <c r="CJ18">
        <v>0</v>
      </c>
      <c r="CK18">
        <v>0</v>
      </c>
      <c r="CL18">
        <v>0</v>
      </c>
      <c r="CM18">
        <v>0</v>
      </c>
      <c r="CN18">
        <v>0</v>
      </c>
      <c r="CO18">
        <v>0</v>
      </c>
      <c r="CP18">
        <v>0.05</v>
      </c>
      <c r="CQ18" t="s">
        <v>1618</v>
      </c>
      <c r="CR18" t="s">
        <v>1368</v>
      </c>
      <c r="CS18" t="s">
        <v>1728</v>
      </c>
      <c r="CT18" t="s">
        <v>1724</v>
      </c>
      <c r="CU18" t="s">
        <v>1729</v>
      </c>
      <c r="CV18" t="s">
        <v>1772</v>
      </c>
      <c r="DB18" t="s">
        <v>1771</v>
      </c>
      <c r="DE18" t="s">
        <v>1724</v>
      </c>
    </row>
    <row r="19" spans="1:109" x14ac:dyDescent="0.25">
      <c r="A19" t="s">
        <v>1618</v>
      </c>
      <c r="B19">
        <v>1</v>
      </c>
      <c r="C19" s="56">
        <v>42823</v>
      </c>
      <c r="D19" t="s">
        <v>1619</v>
      </c>
      <c r="E19" t="s">
        <v>1410</v>
      </c>
      <c r="G19" t="s">
        <v>1603</v>
      </c>
      <c r="H19" t="s">
        <v>1603</v>
      </c>
      <c r="I19" t="s">
        <v>1603</v>
      </c>
      <c r="J19" t="s">
        <v>1603</v>
      </c>
      <c r="K19" t="s">
        <v>1603</v>
      </c>
      <c r="L19">
        <v>8.24</v>
      </c>
      <c r="M19">
        <v>28.21</v>
      </c>
      <c r="N19">
        <v>0</v>
      </c>
      <c r="O19" s="56"/>
      <c r="P19" s="56"/>
      <c r="Q19">
        <v>13717</v>
      </c>
      <c r="R19">
        <v>1</v>
      </c>
      <c r="S19">
        <v>8</v>
      </c>
      <c r="T19">
        <v>4</v>
      </c>
      <c r="U19">
        <v>4</v>
      </c>
      <c r="V19">
        <v>1</v>
      </c>
      <c r="X19" t="s">
        <v>1727</v>
      </c>
      <c r="Z19" t="s">
        <v>1734</v>
      </c>
      <c r="AA19">
        <v>0.28999999999999998</v>
      </c>
      <c r="AB19">
        <v>4</v>
      </c>
      <c r="AC19">
        <v>17.239999999999998</v>
      </c>
      <c r="AD19">
        <v>21.21</v>
      </c>
      <c r="AE19">
        <v>0</v>
      </c>
      <c r="AF19">
        <v>0</v>
      </c>
      <c r="AG19">
        <v>0</v>
      </c>
      <c r="AJ19" s="56"/>
      <c r="AK19" s="56"/>
      <c r="AL19" s="56"/>
      <c r="AP19" t="s">
        <v>1604</v>
      </c>
      <c r="AR19">
        <v>5</v>
      </c>
      <c r="AS19" t="s">
        <v>1605</v>
      </c>
      <c r="AT19">
        <v>1</v>
      </c>
      <c r="AV19">
        <v>20</v>
      </c>
      <c r="AW19">
        <v>13</v>
      </c>
      <c r="AX19">
        <v>7</v>
      </c>
      <c r="AY19" t="s">
        <v>1754</v>
      </c>
      <c r="AZ19" t="s">
        <v>1754</v>
      </c>
      <c r="BA19">
        <v>24</v>
      </c>
      <c r="BD19">
        <v>1000000000</v>
      </c>
      <c r="BE19">
        <v>24.6</v>
      </c>
      <c r="BF19">
        <v>-0.23</v>
      </c>
      <c r="BG19">
        <v>0</v>
      </c>
      <c r="BH19">
        <v>0</v>
      </c>
      <c r="BI19">
        <v>0</v>
      </c>
      <c r="BJ19">
        <v>0</v>
      </c>
      <c r="BK19">
        <v>0</v>
      </c>
      <c r="BL19">
        <v>0</v>
      </c>
      <c r="BM19">
        <v>24.6</v>
      </c>
      <c r="BN19">
        <v>-0.23</v>
      </c>
      <c r="BO19">
        <v>0</v>
      </c>
      <c r="BP19">
        <v>0</v>
      </c>
      <c r="BR19">
        <v>0</v>
      </c>
      <c r="BS19">
        <v>10</v>
      </c>
      <c r="BX19">
        <v>0</v>
      </c>
      <c r="BY19">
        <v>37.9</v>
      </c>
      <c r="BZ19">
        <v>0</v>
      </c>
      <c r="CA19">
        <v>14.54</v>
      </c>
      <c r="CC19">
        <v>1</v>
      </c>
      <c r="CD19" s="56">
        <v>42709</v>
      </c>
      <c r="CE19" s="56">
        <v>42767</v>
      </c>
      <c r="CF19" s="56">
        <v>42767</v>
      </c>
      <c r="CG19" s="56">
        <v>42823</v>
      </c>
      <c r="CH19" s="56"/>
      <c r="CI19" s="56"/>
      <c r="CJ19">
        <v>0</v>
      </c>
      <c r="CK19">
        <v>0</v>
      </c>
      <c r="CL19">
        <v>0</v>
      </c>
      <c r="CM19">
        <v>0</v>
      </c>
      <c r="CN19">
        <v>0</v>
      </c>
      <c r="CO19">
        <v>0</v>
      </c>
      <c r="CP19">
        <v>0.05</v>
      </c>
      <c r="CQ19" t="s">
        <v>1618</v>
      </c>
      <c r="CR19" t="s">
        <v>1368</v>
      </c>
      <c r="CS19" t="s">
        <v>1728</v>
      </c>
      <c r="CT19" t="s">
        <v>1724</v>
      </c>
      <c r="CU19" t="s">
        <v>1729</v>
      </c>
      <c r="CV19" t="s">
        <v>1773</v>
      </c>
      <c r="DB19" t="s">
        <v>1771</v>
      </c>
      <c r="DE19" t="s">
        <v>1724</v>
      </c>
    </row>
    <row r="20" spans="1:109" x14ac:dyDescent="0.25">
      <c r="A20" t="s">
        <v>1618</v>
      </c>
      <c r="B20">
        <v>1</v>
      </c>
      <c r="C20" s="56">
        <v>42823</v>
      </c>
      <c r="D20" t="s">
        <v>1619</v>
      </c>
      <c r="E20" t="s">
        <v>1378</v>
      </c>
      <c r="G20" t="s">
        <v>1603</v>
      </c>
      <c r="H20" t="s">
        <v>1603</v>
      </c>
      <c r="I20" t="s">
        <v>1603</v>
      </c>
      <c r="J20" t="s">
        <v>1603</v>
      </c>
      <c r="K20" t="s">
        <v>1603</v>
      </c>
      <c r="L20">
        <v>13.28</v>
      </c>
      <c r="M20">
        <v>38.590000000000003</v>
      </c>
      <c r="N20">
        <v>0</v>
      </c>
      <c r="O20" s="56"/>
      <c r="P20" s="56"/>
      <c r="Q20">
        <v>13717</v>
      </c>
      <c r="R20">
        <v>1</v>
      </c>
      <c r="S20">
        <v>8</v>
      </c>
      <c r="T20">
        <v>4</v>
      </c>
      <c r="U20">
        <v>4</v>
      </c>
      <c r="V20">
        <v>1</v>
      </c>
      <c r="W20" t="s">
        <v>1723</v>
      </c>
      <c r="X20" t="s">
        <v>1727</v>
      </c>
      <c r="AA20">
        <v>1.81</v>
      </c>
      <c r="AB20">
        <v>22</v>
      </c>
      <c r="AC20">
        <v>2.76</v>
      </c>
      <c r="AD20">
        <v>2.15</v>
      </c>
      <c r="AE20">
        <v>0</v>
      </c>
      <c r="AF20">
        <v>0</v>
      </c>
      <c r="AG20">
        <v>0</v>
      </c>
      <c r="AJ20" s="56"/>
      <c r="AK20" s="56"/>
      <c r="AL20" s="56"/>
      <c r="AP20" t="s">
        <v>1604</v>
      </c>
      <c r="AR20">
        <v>6</v>
      </c>
      <c r="AS20" t="s">
        <v>1605</v>
      </c>
      <c r="AT20">
        <v>1</v>
      </c>
      <c r="AV20">
        <v>20</v>
      </c>
      <c r="AW20">
        <v>13</v>
      </c>
      <c r="AX20">
        <v>7</v>
      </c>
      <c r="AY20" t="s">
        <v>1735</v>
      </c>
      <c r="AZ20" t="s">
        <v>1735</v>
      </c>
      <c r="BA20">
        <v>58</v>
      </c>
      <c r="BD20">
        <v>1000000000</v>
      </c>
      <c r="BE20">
        <v>15.6</v>
      </c>
      <c r="BF20">
        <v>0.22</v>
      </c>
      <c r="BG20">
        <v>0</v>
      </c>
      <c r="BH20">
        <v>0</v>
      </c>
      <c r="BI20">
        <v>0</v>
      </c>
      <c r="BJ20">
        <v>0</v>
      </c>
      <c r="BK20">
        <v>0</v>
      </c>
      <c r="BL20">
        <v>0</v>
      </c>
      <c r="BM20">
        <v>15.6</v>
      </c>
      <c r="BN20">
        <v>0.22</v>
      </c>
      <c r="BO20">
        <v>0</v>
      </c>
      <c r="BP20">
        <v>0</v>
      </c>
      <c r="BR20">
        <v>6</v>
      </c>
      <c r="BS20">
        <v>10</v>
      </c>
      <c r="BX20">
        <v>0</v>
      </c>
      <c r="BY20">
        <v>0</v>
      </c>
      <c r="BZ20">
        <v>0</v>
      </c>
      <c r="CA20">
        <v>11.44</v>
      </c>
      <c r="CC20">
        <v>1</v>
      </c>
      <c r="CD20" s="56">
        <v>42709</v>
      </c>
      <c r="CE20" s="56">
        <v>42767</v>
      </c>
      <c r="CF20" s="56">
        <v>42767</v>
      </c>
      <c r="CG20" s="56">
        <v>42823</v>
      </c>
      <c r="CH20" s="56"/>
      <c r="CI20" s="56"/>
      <c r="CJ20">
        <v>0</v>
      </c>
      <c r="CK20">
        <v>0</v>
      </c>
      <c r="CL20">
        <v>0</v>
      </c>
      <c r="CM20">
        <v>0</v>
      </c>
      <c r="CN20">
        <v>0</v>
      </c>
      <c r="CO20">
        <v>0.05</v>
      </c>
      <c r="CP20">
        <v>0</v>
      </c>
      <c r="CQ20" t="s">
        <v>1618</v>
      </c>
      <c r="CR20" t="s">
        <v>1368</v>
      </c>
      <c r="CS20" t="s">
        <v>1728</v>
      </c>
      <c r="CT20" t="s">
        <v>1724</v>
      </c>
      <c r="CU20" t="s">
        <v>1729</v>
      </c>
      <c r="CV20" t="s">
        <v>1774</v>
      </c>
      <c r="DB20" t="s">
        <v>1771</v>
      </c>
      <c r="DE20" t="s">
        <v>1724</v>
      </c>
    </row>
    <row r="21" spans="1:109" x14ac:dyDescent="0.25">
      <c r="A21" t="s">
        <v>1618</v>
      </c>
      <c r="B21">
        <v>1</v>
      </c>
      <c r="C21" s="56">
        <v>42823</v>
      </c>
      <c r="D21" t="s">
        <v>1619</v>
      </c>
      <c r="E21" t="s">
        <v>1775</v>
      </c>
      <c r="G21" t="s">
        <v>1603</v>
      </c>
      <c r="H21" t="s">
        <v>1603</v>
      </c>
      <c r="I21" t="s">
        <v>1603</v>
      </c>
      <c r="J21" t="s">
        <v>1603</v>
      </c>
      <c r="K21" t="s">
        <v>1603</v>
      </c>
      <c r="L21">
        <v>16.68</v>
      </c>
      <c r="M21">
        <v>59.59</v>
      </c>
      <c r="N21">
        <v>0</v>
      </c>
      <c r="O21" s="56"/>
      <c r="P21" s="56"/>
      <c r="Q21">
        <v>13717</v>
      </c>
      <c r="R21">
        <v>1</v>
      </c>
      <c r="S21">
        <v>8</v>
      </c>
      <c r="T21">
        <v>4</v>
      </c>
      <c r="U21">
        <v>4</v>
      </c>
      <c r="V21">
        <v>1</v>
      </c>
      <c r="X21" t="s">
        <v>1727</v>
      </c>
      <c r="AA21">
        <v>0</v>
      </c>
      <c r="AB21">
        <v>0</v>
      </c>
      <c r="AC21">
        <v>0</v>
      </c>
      <c r="AD21">
        <v>0</v>
      </c>
      <c r="AE21">
        <v>0</v>
      </c>
      <c r="AF21">
        <v>0</v>
      </c>
      <c r="AG21">
        <v>0</v>
      </c>
      <c r="AJ21" s="56">
        <v>42666</v>
      </c>
      <c r="AK21" s="56"/>
      <c r="AL21" s="56"/>
      <c r="AP21" t="s">
        <v>1604</v>
      </c>
      <c r="AR21">
        <v>3</v>
      </c>
      <c r="AS21" t="s">
        <v>1605</v>
      </c>
      <c r="AT21">
        <v>1</v>
      </c>
      <c r="AV21">
        <v>20</v>
      </c>
      <c r="AW21">
        <v>13</v>
      </c>
      <c r="AX21">
        <v>7</v>
      </c>
      <c r="AY21" t="s">
        <v>1754</v>
      </c>
      <c r="AZ21" t="s">
        <v>1754</v>
      </c>
      <c r="BA21">
        <v>10</v>
      </c>
      <c r="BD21">
        <v>1000000000</v>
      </c>
      <c r="BE21">
        <v>32</v>
      </c>
      <c r="BF21">
        <v>-0.6</v>
      </c>
      <c r="BG21">
        <v>0</v>
      </c>
      <c r="BH21">
        <v>0</v>
      </c>
      <c r="BI21">
        <v>0</v>
      </c>
      <c r="BJ21">
        <v>0</v>
      </c>
      <c r="BK21">
        <v>0</v>
      </c>
      <c r="BL21">
        <v>0</v>
      </c>
      <c r="BM21">
        <v>32</v>
      </c>
      <c r="BN21">
        <v>-0.6</v>
      </c>
      <c r="BO21">
        <v>0</v>
      </c>
      <c r="BP21">
        <v>0</v>
      </c>
      <c r="BR21">
        <v>0</v>
      </c>
      <c r="BS21">
        <v>10</v>
      </c>
      <c r="BX21">
        <v>0</v>
      </c>
      <c r="BY21">
        <v>200.16</v>
      </c>
      <c r="BZ21">
        <v>0</v>
      </c>
      <c r="CA21">
        <v>15.44</v>
      </c>
      <c r="CC21">
        <v>1</v>
      </c>
      <c r="CD21" s="56">
        <v>42709</v>
      </c>
      <c r="CE21" s="56">
        <v>42767</v>
      </c>
      <c r="CF21" s="56">
        <v>42767</v>
      </c>
      <c r="CG21" s="56">
        <v>42823</v>
      </c>
      <c r="CH21" s="56"/>
      <c r="CI21" s="56"/>
      <c r="CJ21">
        <v>0</v>
      </c>
      <c r="CK21">
        <v>0</v>
      </c>
      <c r="CL21">
        <v>0</v>
      </c>
      <c r="CM21">
        <v>0</v>
      </c>
      <c r="CN21">
        <v>0</v>
      </c>
      <c r="CO21">
        <v>0</v>
      </c>
      <c r="CP21">
        <v>0.05</v>
      </c>
      <c r="CQ21" t="s">
        <v>1618</v>
      </c>
      <c r="CR21" t="s">
        <v>1368</v>
      </c>
      <c r="CS21" t="s">
        <v>1728</v>
      </c>
      <c r="CT21" t="s">
        <v>1724</v>
      </c>
      <c r="CU21" t="s">
        <v>1729</v>
      </c>
      <c r="CV21" t="s">
        <v>1776</v>
      </c>
      <c r="DB21" t="s">
        <v>1771</v>
      </c>
      <c r="DE21" t="s">
        <v>1724</v>
      </c>
    </row>
    <row r="22" spans="1:109" x14ac:dyDescent="0.25">
      <c r="A22" t="s">
        <v>1618</v>
      </c>
      <c r="B22">
        <v>1</v>
      </c>
      <c r="C22" s="56">
        <v>42823</v>
      </c>
      <c r="D22" t="s">
        <v>1619</v>
      </c>
      <c r="E22" t="s">
        <v>1777</v>
      </c>
      <c r="G22" t="s">
        <v>1603</v>
      </c>
      <c r="H22" t="s">
        <v>1603</v>
      </c>
      <c r="I22" t="s">
        <v>1603</v>
      </c>
      <c r="J22" t="s">
        <v>1603</v>
      </c>
      <c r="K22" t="s">
        <v>1603</v>
      </c>
      <c r="L22">
        <v>38.340000000000003</v>
      </c>
      <c r="M22">
        <v>130.47</v>
      </c>
      <c r="N22">
        <v>0</v>
      </c>
      <c r="O22" s="56"/>
      <c r="P22" s="56"/>
      <c r="Q22">
        <v>13717</v>
      </c>
      <c r="R22">
        <v>1</v>
      </c>
      <c r="S22">
        <v>8</v>
      </c>
      <c r="T22">
        <v>4</v>
      </c>
      <c r="U22">
        <v>4</v>
      </c>
      <c r="V22">
        <v>1</v>
      </c>
      <c r="X22" t="s">
        <v>1738</v>
      </c>
      <c r="AA22">
        <v>0</v>
      </c>
      <c r="AB22">
        <v>0</v>
      </c>
      <c r="AC22">
        <v>0</v>
      </c>
      <c r="AD22">
        <v>0</v>
      </c>
      <c r="AE22">
        <v>0</v>
      </c>
      <c r="AF22">
        <v>0</v>
      </c>
      <c r="AG22">
        <v>0</v>
      </c>
      <c r="AJ22" s="56"/>
      <c r="AK22" s="56"/>
      <c r="AL22" s="56"/>
      <c r="AP22" t="s">
        <v>1604</v>
      </c>
      <c r="AR22">
        <v>3</v>
      </c>
      <c r="AS22" t="s">
        <v>1605</v>
      </c>
      <c r="AT22">
        <v>1</v>
      </c>
      <c r="AV22">
        <v>0</v>
      </c>
      <c r="AW22">
        <v>0</v>
      </c>
      <c r="AX22">
        <v>0</v>
      </c>
      <c r="AY22" t="s">
        <v>1606</v>
      </c>
      <c r="AZ22" t="s">
        <v>1606</v>
      </c>
      <c r="BA22">
        <v>0</v>
      </c>
      <c r="BD22">
        <v>1000000000</v>
      </c>
      <c r="BE22">
        <v>39</v>
      </c>
      <c r="BF22">
        <v>0</v>
      </c>
      <c r="BG22">
        <v>0</v>
      </c>
      <c r="BH22">
        <v>0</v>
      </c>
      <c r="BI22">
        <v>0</v>
      </c>
      <c r="BJ22">
        <v>0</v>
      </c>
      <c r="BK22">
        <v>0</v>
      </c>
      <c r="BL22">
        <v>0</v>
      </c>
      <c r="BM22">
        <v>39</v>
      </c>
      <c r="BN22">
        <v>0</v>
      </c>
      <c r="BO22">
        <v>0</v>
      </c>
      <c r="BP22">
        <v>0</v>
      </c>
      <c r="BR22">
        <v>0</v>
      </c>
      <c r="BS22">
        <v>0</v>
      </c>
      <c r="BX22">
        <v>0</v>
      </c>
      <c r="BY22">
        <v>0</v>
      </c>
      <c r="BZ22">
        <v>0</v>
      </c>
      <c r="CA22">
        <v>0</v>
      </c>
      <c r="CC22">
        <v>1</v>
      </c>
      <c r="CD22" s="56">
        <v>42593</v>
      </c>
      <c r="CE22" s="56">
        <v>42767</v>
      </c>
      <c r="CF22" s="56">
        <v>42767</v>
      </c>
      <c r="CG22" s="56">
        <v>42823</v>
      </c>
      <c r="CH22" s="56"/>
      <c r="CI22" s="56"/>
      <c r="CJ22">
        <v>0</v>
      </c>
      <c r="CK22">
        <v>0</v>
      </c>
      <c r="CL22">
        <v>0</v>
      </c>
      <c r="CM22">
        <v>0</v>
      </c>
      <c r="CN22">
        <v>0</v>
      </c>
      <c r="CO22">
        <v>0</v>
      </c>
      <c r="CP22">
        <v>0.05</v>
      </c>
      <c r="CQ22" t="s">
        <v>1618</v>
      </c>
      <c r="CR22" t="s">
        <v>1368</v>
      </c>
      <c r="CS22" t="s">
        <v>1728</v>
      </c>
      <c r="CT22" t="s">
        <v>1724</v>
      </c>
      <c r="CU22" t="s">
        <v>1729</v>
      </c>
      <c r="CV22" t="s">
        <v>1778</v>
      </c>
      <c r="DB22" t="s">
        <v>1771</v>
      </c>
      <c r="DE22" t="s">
        <v>1724</v>
      </c>
    </row>
    <row r="23" spans="1:109" x14ac:dyDescent="0.25">
      <c r="A23" t="s">
        <v>1618</v>
      </c>
      <c r="B23">
        <v>1</v>
      </c>
      <c r="C23" s="56">
        <v>42823</v>
      </c>
      <c r="D23" t="s">
        <v>1619</v>
      </c>
      <c r="E23" t="s">
        <v>1379</v>
      </c>
      <c r="G23" t="s">
        <v>1603</v>
      </c>
      <c r="H23" t="s">
        <v>1603</v>
      </c>
      <c r="I23" t="s">
        <v>1603</v>
      </c>
      <c r="J23" t="s">
        <v>1603</v>
      </c>
      <c r="K23" t="s">
        <v>1603</v>
      </c>
      <c r="L23">
        <v>1.82</v>
      </c>
      <c r="M23">
        <v>4.8600000000000003</v>
      </c>
      <c r="N23">
        <v>0</v>
      </c>
      <c r="O23" s="56"/>
      <c r="P23" s="56"/>
      <c r="Q23">
        <v>13717</v>
      </c>
      <c r="R23">
        <v>1</v>
      </c>
      <c r="S23">
        <v>8</v>
      </c>
      <c r="T23">
        <v>4</v>
      </c>
      <c r="U23">
        <v>4</v>
      </c>
      <c r="V23">
        <v>1</v>
      </c>
      <c r="W23" t="s">
        <v>1723</v>
      </c>
      <c r="X23" t="s">
        <v>1727</v>
      </c>
      <c r="Y23">
        <v>399</v>
      </c>
      <c r="AA23">
        <v>11.73</v>
      </c>
      <c r="AB23">
        <v>141</v>
      </c>
      <c r="AC23">
        <v>6.39</v>
      </c>
      <c r="AD23">
        <v>0</v>
      </c>
      <c r="AE23">
        <v>0</v>
      </c>
      <c r="AF23">
        <v>1</v>
      </c>
      <c r="AG23">
        <v>0</v>
      </c>
      <c r="AJ23" s="56"/>
      <c r="AK23" s="56"/>
      <c r="AL23" s="56"/>
      <c r="AP23" t="s">
        <v>1604</v>
      </c>
      <c r="AR23">
        <v>60</v>
      </c>
      <c r="AS23" t="s">
        <v>1605</v>
      </c>
      <c r="AT23">
        <v>1</v>
      </c>
      <c r="AV23">
        <v>300</v>
      </c>
      <c r="AW23">
        <v>200</v>
      </c>
      <c r="AX23">
        <v>99</v>
      </c>
      <c r="AY23" t="s">
        <v>838</v>
      </c>
      <c r="AZ23" t="s">
        <v>838</v>
      </c>
      <c r="BA23">
        <v>360</v>
      </c>
      <c r="BD23">
        <v>1000000000</v>
      </c>
      <c r="BE23">
        <v>0</v>
      </c>
      <c r="BF23">
        <v>1</v>
      </c>
      <c r="BG23">
        <v>0</v>
      </c>
      <c r="BH23">
        <v>0</v>
      </c>
      <c r="BI23">
        <v>0</v>
      </c>
      <c r="BJ23">
        <v>0</v>
      </c>
      <c r="BK23">
        <v>0</v>
      </c>
      <c r="BL23">
        <v>0</v>
      </c>
      <c r="BM23">
        <v>0</v>
      </c>
      <c r="BN23">
        <v>1</v>
      </c>
      <c r="BO23">
        <v>0</v>
      </c>
      <c r="BP23">
        <v>0</v>
      </c>
      <c r="BR23">
        <v>300</v>
      </c>
      <c r="BS23">
        <v>150</v>
      </c>
      <c r="BX23">
        <v>300.95999999999998</v>
      </c>
      <c r="BY23">
        <v>0</v>
      </c>
      <c r="BZ23">
        <v>0</v>
      </c>
      <c r="CA23">
        <v>10.02</v>
      </c>
      <c r="CC23">
        <v>1</v>
      </c>
      <c r="CD23" s="56">
        <v>42709</v>
      </c>
      <c r="CE23" s="56">
        <v>42767</v>
      </c>
      <c r="CF23" s="56">
        <v>42767</v>
      </c>
      <c r="CG23" s="56">
        <v>42823</v>
      </c>
      <c r="CH23" s="56"/>
      <c r="CI23" s="56"/>
      <c r="CJ23">
        <v>1</v>
      </c>
      <c r="CK23">
        <v>198</v>
      </c>
      <c r="CL23">
        <v>0.05</v>
      </c>
      <c r="CM23">
        <v>0</v>
      </c>
      <c r="CN23">
        <v>0</v>
      </c>
      <c r="CO23">
        <v>0</v>
      </c>
      <c r="CP23">
        <v>0</v>
      </c>
      <c r="CQ23" t="s">
        <v>1618</v>
      </c>
      <c r="CR23" t="s">
        <v>1368</v>
      </c>
      <c r="CS23" t="s">
        <v>1728</v>
      </c>
      <c r="CT23" t="s">
        <v>1724</v>
      </c>
      <c r="CU23" t="s">
        <v>1729</v>
      </c>
      <c r="CV23" t="s">
        <v>1779</v>
      </c>
      <c r="DB23" t="s">
        <v>1780</v>
      </c>
      <c r="DE23" t="s">
        <v>1724</v>
      </c>
    </row>
    <row r="24" spans="1:109" x14ac:dyDescent="0.25">
      <c r="A24" t="s">
        <v>1618</v>
      </c>
      <c r="B24">
        <v>1</v>
      </c>
      <c r="C24" s="56">
        <v>42823</v>
      </c>
      <c r="D24" t="s">
        <v>1619</v>
      </c>
      <c r="E24" t="s">
        <v>1781</v>
      </c>
      <c r="G24" t="s">
        <v>1603</v>
      </c>
      <c r="H24" t="s">
        <v>1603</v>
      </c>
      <c r="I24" t="s">
        <v>1603</v>
      </c>
      <c r="J24" t="s">
        <v>1603</v>
      </c>
      <c r="K24" t="s">
        <v>1603</v>
      </c>
      <c r="L24">
        <v>0.9</v>
      </c>
      <c r="M24">
        <v>1</v>
      </c>
      <c r="N24">
        <v>0</v>
      </c>
      <c r="O24" s="56"/>
      <c r="P24" s="56"/>
      <c r="Q24">
        <v>13717</v>
      </c>
      <c r="R24">
        <v>1</v>
      </c>
      <c r="S24">
        <v>8</v>
      </c>
      <c r="T24">
        <v>4</v>
      </c>
      <c r="U24">
        <v>4</v>
      </c>
      <c r="V24">
        <v>1</v>
      </c>
      <c r="X24" t="s">
        <v>1749</v>
      </c>
      <c r="AA24">
        <v>0</v>
      </c>
      <c r="AB24">
        <v>0</v>
      </c>
      <c r="AC24">
        <v>0</v>
      </c>
      <c r="AD24">
        <v>0</v>
      </c>
      <c r="AE24">
        <v>0</v>
      </c>
      <c r="AF24">
        <v>0</v>
      </c>
      <c r="AG24">
        <v>0</v>
      </c>
      <c r="AJ24" s="56"/>
      <c r="AK24" s="56"/>
      <c r="AL24" s="56"/>
      <c r="AP24" t="s">
        <v>1604</v>
      </c>
      <c r="AS24" t="s">
        <v>1605</v>
      </c>
      <c r="AT24">
        <v>1</v>
      </c>
      <c r="AV24">
        <v>0</v>
      </c>
      <c r="AW24">
        <v>0</v>
      </c>
      <c r="AX24">
        <v>0</v>
      </c>
      <c r="AY24" t="s">
        <v>1606</v>
      </c>
      <c r="AZ24" t="s">
        <v>1606</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6">
        <v>42761</v>
      </c>
      <c r="CE24" s="56">
        <v>42767</v>
      </c>
      <c r="CF24" s="56">
        <v>42767</v>
      </c>
      <c r="CG24" s="56">
        <v>42823</v>
      </c>
      <c r="CH24" s="56"/>
      <c r="CI24" s="56"/>
      <c r="CJ24">
        <v>1</v>
      </c>
      <c r="CK24">
        <v>0</v>
      </c>
      <c r="CL24">
        <v>0.05</v>
      </c>
      <c r="CM24">
        <v>0</v>
      </c>
      <c r="CN24">
        <v>0</v>
      </c>
      <c r="CO24">
        <v>0</v>
      </c>
      <c r="CP24">
        <v>0</v>
      </c>
      <c r="CQ24" t="s">
        <v>1618</v>
      </c>
      <c r="CR24" t="s">
        <v>1368</v>
      </c>
      <c r="CS24" t="s">
        <v>1728</v>
      </c>
      <c r="CT24" t="s">
        <v>1724</v>
      </c>
      <c r="CU24" t="s">
        <v>1729</v>
      </c>
      <c r="CV24" t="s">
        <v>1782</v>
      </c>
      <c r="DB24" t="s">
        <v>1783</v>
      </c>
      <c r="DE24" t="s">
        <v>1724</v>
      </c>
    </row>
    <row r="25" spans="1:109" x14ac:dyDescent="0.25">
      <c r="A25" t="s">
        <v>1618</v>
      </c>
      <c r="B25">
        <v>1</v>
      </c>
      <c r="C25" s="56">
        <v>42823</v>
      </c>
      <c r="D25" t="s">
        <v>1619</v>
      </c>
      <c r="E25" t="s">
        <v>1411</v>
      </c>
      <c r="G25" t="s">
        <v>1603</v>
      </c>
      <c r="H25" t="s">
        <v>1603</v>
      </c>
      <c r="I25" t="s">
        <v>1603</v>
      </c>
      <c r="J25" t="s">
        <v>1603</v>
      </c>
      <c r="K25" t="s">
        <v>1603</v>
      </c>
      <c r="L25">
        <v>5.46</v>
      </c>
      <c r="M25">
        <v>14.76</v>
      </c>
      <c r="N25">
        <v>0</v>
      </c>
      <c r="O25" s="56"/>
      <c r="P25" s="56"/>
      <c r="Q25">
        <v>13717</v>
      </c>
      <c r="R25">
        <v>1</v>
      </c>
      <c r="S25">
        <v>8</v>
      </c>
      <c r="T25">
        <v>4</v>
      </c>
      <c r="U25">
        <v>4</v>
      </c>
      <c r="V25">
        <v>1</v>
      </c>
      <c r="X25" t="s">
        <v>1727</v>
      </c>
      <c r="Z25" t="s">
        <v>1734</v>
      </c>
      <c r="AA25">
        <v>213.28</v>
      </c>
      <c r="AB25">
        <v>2560</v>
      </c>
      <c r="AC25">
        <v>1.1299999999999999</v>
      </c>
      <c r="AD25">
        <v>1.22</v>
      </c>
      <c r="AE25">
        <v>0</v>
      </c>
      <c r="AF25">
        <v>0</v>
      </c>
      <c r="AG25">
        <v>0</v>
      </c>
      <c r="AJ25" s="56"/>
      <c r="AK25" s="56"/>
      <c r="AL25" s="56"/>
      <c r="AP25" t="s">
        <v>1604</v>
      </c>
      <c r="AR25">
        <v>160</v>
      </c>
      <c r="AS25" t="s">
        <v>1605</v>
      </c>
      <c r="AT25">
        <v>1</v>
      </c>
      <c r="AV25">
        <v>960</v>
      </c>
      <c r="AW25">
        <v>638</v>
      </c>
      <c r="AX25">
        <v>317</v>
      </c>
      <c r="AY25" t="s">
        <v>1754</v>
      </c>
      <c r="AZ25" t="s">
        <v>1754</v>
      </c>
      <c r="BA25">
        <v>864</v>
      </c>
      <c r="BD25">
        <v>1000000000</v>
      </c>
      <c r="BE25">
        <v>1044</v>
      </c>
      <c r="BF25">
        <v>-0.09</v>
      </c>
      <c r="BG25">
        <v>0</v>
      </c>
      <c r="BH25">
        <v>0</v>
      </c>
      <c r="BI25">
        <v>0</v>
      </c>
      <c r="BJ25">
        <v>0</v>
      </c>
      <c r="BK25">
        <v>0</v>
      </c>
      <c r="BL25">
        <v>0</v>
      </c>
      <c r="BM25">
        <v>1044</v>
      </c>
      <c r="BN25">
        <v>-0.09</v>
      </c>
      <c r="BO25">
        <v>0</v>
      </c>
      <c r="BP25">
        <v>0</v>
      </c>
      <c r="BR25">
        <v>0</v>
      </c>
      <c r="BS25">
        <v>480</v>
      </c>
      <c r="BX25">
        <v>0</v>
      </c>
      <c r="BY25">
        <v>458.64</v>
      </c>
      <c r="BZ25">
        <v>0</v>
      </c>
      <c r="CA25">
        <v>10.220000000000001</v>
      </c>
      <c r="CC25">
        <v>1</v>
      </c>
      <c r="CD25" s="56">
        <v>42709</v>
      </c>
      <c r="CE25" s="56">
        <v>42767</v>
      </c>
      <c r="CF25" s="56">
        <v>42767</v>
      </c>
      <c r="CG25" s="56">
        <v>42823</v>
      </c>
      <c r="CH25" s="56"/>
      <c r="CI25" s="56"/>
      <c r="CJ25">
        <v>0</v>
      </c>
      <c r="CK25">
        <v>0</v>
      </c>
      <c r="CL25">
        <v>0</v>
      </c>
      <c r="CM25">
        <v>0</v>
      </c>
      <c r="CN25">
        <v>0</v>
      </c>
      <c r="CO25">
        <v>0</v>
      </c>
      <c r="CP25">
        <v>0.05</v>
      </c>
      <c r="CQ25" t="s">
        <v>1618</v>
      </c>
      <c r="CR25" t="s">
        <v>1368</v>
      </c>
      <c r="CS25" t="s">
        <v>1728</v>
      </c>
      <c r="CT25" t="s">
        <v>1724</v>
      </c>
      <c r="CU25" t="s">
        <v>1729</v>
      </c>
      <c r="CV25" t="s">
        <v>1784</v>
      </c>
      <c r="DB25" t="s">
        <v>1785</v>
      </c>
      <c r="DE25" t="s">
        <v>1724</v>
      </c>
    </row>
    <row r="26" spans="1:109" x14ac:dyDescent="0.25">
      <c r="A26" t="s">
        <v>1618</v>
      </c>
      <c r="B26">
        <v>1</v>
      </c>
      <c r="C26" s="56">
        <v>42823</v>
      </c>
      <c r="D26" t="s">
        <v>1619</v>
      </c>
      <c r="E26" t="s">
        <v>1786</v>
      </c>
      <c r="G26" t="s">
        <v>1603</v>
      </c>
      <c r="H26" t="s">
        <v>1603</v>
      </c>
      <c r="I26" t="s">
        <v>1603</v>
      </c>
      <c r="J26" t="s">
        <v>1603</v>
      </c>
      <c r="K26" t="s">
        <v>1603</v>
      </c>
      <c r="L26">
        <v>11.6</v>
      </c>
      <c r="M26">
        <v>47.22</v>
      </c>
      <c r="N26">
        <v>0</v>
      </c>
      <c r="O26" s="56"/>
      <c r="P26" s="56"/>
      <c r="Q26">
        <v>13717</v>
      </c>
      <c r="R26">
        <v>1</v>
      </c>
      <c r="S26">
        <v>8</v>
      </c>
      <c r="T26">
        <v>4</v>
      </c>
      <c r="U26">
        <v>4</v>
      </c>
      <c r="V26">
        <v>1</v>
      </c>
      <c r="X26" t="s">
        <v>1738</v>
      </c>
      <c r="AA26">
        <v>0</v>
      </c>
      <c r="AB26">
        <v>0</v>
      </c>
      <c r="AC26">
        <v>0</v>
      </c>
      <c r="AD26">
        <v>0</v>
      </c>
      <c r="AE26">
        <v>0</v>
      </c>
      <c r="AF26">
        <v>0</v>
      </c>
      <c r="AG26">
        <v>0</v>
      </c>
      <c r="AJ26" s="56"/>
      <c r="AK26" s="56"/>
      <c r="AL26" s="56"/>
      <c r="AP26" t="s">
        <v>1604</v>
      </c>
      <c r="AR26">
        <v>24</v>
      </c>
      <c r="AS26" t="s">
        <v>1605</v>
      </c>
      <c r="AT26">
        <v>1</v>
      </c>
      <c r="AV26">
        <v>0</v>
      </c>
      <c r="AW26">
        <v>0</v>
      </c>
      <c r="AX26">
        <v>0</v>
      </c>
      <c r="AY26" t="s">
        <v>1606</v>
      </c>
      <c r="AZ26" t="s">
        <v>1606</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6">
        <v>42593</v>
      </c>
      <c r="CE26" s="56">
        <v>42767</v>
      </c>
      <c r="CF26" s="56">
        <v>42767</v>
      </c>
      <c r="CG26" s="56">
        <v>42823</v>
      </c>
      <c r="CH26" s="56"/>
      <c r="CI26" s="56"/>
      <c r="CJ26">
        <v>1</v>
      </c>
      <c r="CK26">
        <v>0</v>
      </c>
      <c r="CL26">
        <v>0.05</v>
      </c>
      <c r="CM26">
        <v>0</v>
      </c>
      <c r="CN26">
        <v>0</v>
      </c>
      <c r="CO26">
        <v>0</v>
      </c>
      <c r="CP26">
        <v>0</v>
      </c>
      <c r="CQ26" t="s">
        <v>1618</v>
      </c>
      <c r="CR26" t="s">
        <v>1368</v>
      </c>
      <c r="CS26" t="s">
        <v>1728</v>
      </c>
      <c r="CT26" t="s">
        <v>1724</v>
      </c>
      <c r="CU26" t="s">
        <v>1729</v>
      </c>
      <c r="CV26" t="s">
        <v>1787</v>
      </c>
      <c r="DB26" t="s">
        <v>1788</v>
      </c>
      <c r="DE26" t="s">
        <v>1724</v>
      </c>
    </row>
    <row r="27" spans="1:109" x14ac:dyDescent="0.25">
      <c r="A27" t="s">
        <v>1618</v>
      </c>
      <c r="B27">
        <v>1</v>
      </c>
      <c r="C27" s="56">
        <v>42823</v>
      </c>
      <c r="D27" t="s">
        <v>1619</v>
      </c>
      <c r="E27" t="s">
        <v>1412</v>
      </c>
      <c r="G27" t="s">
        <v>1603</v>
      </c>
      <c r="H27" t="s">
        <v>1603</v>
      </c>
      <c r="I27" t="s">
        <v>1603</v>
      </c>
      <c r="J27" t="s">
        <v>1603</v>
      </c>
      <c r="K27" t="s">
        <v>1603</v>
      </c>
      <c r="L27">
        <v>4.26</v>
      </c>
      <c r="M27">
        <v>12.86</v>
      </c>
      <c r="N27">
        <v>0</v>
      </c>
      <c r="O27" s="56"/>
      <c r="P27" s="56"/>
      <c r="Q27">
        <v>13717</v>
      </c>
      <c r="R27">
        <v>1</v>
      </c>
      <c r="S27">
        <v>8</v>
      </c>
      <c r="T27">
        <v>4</v>
      </c>
      <c r="U27">
        <v>4</v>
      </c>
      <c r="V27">
        <v>1</v>
      </c>
      <c r="X27" t="s">
        <v>1727</v>
      </c>
      <c r="AA27">
        <v>2.15</v>
      </c>
      <c r="AB27">
        <v>26</v>
      </c>
      <c r="AC27">
        <v>6.98</v>
      </c>
      <c r="AD27">
        <v>7.56</v>
      </c>
      <c r="AE27">
        <v>0</v>
      </c>
      <c r="AF27">
        <v>0</v>
      </c>
      <c r="AG27">
        <v>0</v>
      </c>
      <c r="AJ27" s="56"/>
      <c r="AK27" s="56"/>
      <c r="AL27" s="56"/>
      <c r="AP27" t="s">
        <v>1604</v>
      </c>
      <c r="AR27">
        <v>60</v>
      </c>
      <c r="AS27" t="s">
        <v>1605</v>
      </c>
      <c r="AT27">
        <v>1</v>
      </c>
      <c r="AV27">
        <v>60</v>
      </c>
      <c r="AW27">
        <v>40</v>
      </c>
      <c r="AX27">
        <v>20</v>
      </c>
      <c r="AY27" t="s">
        <v>1754</v>
      </c>
      <c r="AZ27" t="s">
        <v>1754</v>
      </c>
      <c r="BA27">
        <v>72</v>
      </c>
      <c r="BD27">
        <v>1000000000</v>
      </c>
      <c r="BE27">
        <v>65</v>
      </c>
      <c r="BF27">
        <v>-0.08</v>
      </c>
      <c r="BG27">
        <v>0</v>
      </c>
      <c r="BH27">
        <v>0</v>
      </c>
      <c r="BI27">
        <v>0</v>
      </c>
      <c r="BJ27">
        <v>0</v>
      </c>
      <c r="BK27">
        <v>0</v>
      </c>
      <c r="BL27">
        <v>0</v>
      </c>
      <c r="BM27">
        <v>65</v>
      </c>
      <c r="BN27">
        <v>-0.08</v>
      </c>
      <c r="BO27">
        <v>0</v>
      </c>
      <c r="BP27">
        <v>0</v>
      </c>
      <c r="BR27">
        <v>0</v>
      </c>
      <c r="BS27">
        <v>30</v>
      </c>
      <c r="BX27">
        <v>0</v>
      </c>
      <c r="BY27">
        <v>21.3</v>
      </c>
      <c r="BZ27">
        <v>0</v>
      </c>
      <c r="CA27">
        <v>12.11</v>
      </c>
      <c r="CC27">
        <v>1</v>
      </c>
      <c r="CD27" s="56">
        <v>42709</v>
      </c>
      <c r="CE27" s="56">
        <v>42767</v>
      </c>
      <c r="CF27" s="56">
        <v>42767</v>
      </c>
      <c r="CG27" s="56">
        <v>42823</v>
      </c>
      <c r="CH27" s="56"/>
      <c r="CI27" s="56"/>
      <c r="CJ27">
        <v>0</v>
      </c>
      <c r="CK27">
        <v>0</v>
      </c>
      <c r="CL27">
        <v>0</v>
      </c>
      <c r="CM27">
        <v>0</v>
      </c>
      <c r="CN27">
        <v>0</v>
      </c>
      <c r="CO27">
        <v>0</v>
      </c>
      <c r="CP27">
        <v>0.05</v>
      </c>
      <c r="CQ27" t="s">
        <v>1618</v>
      </c>
      <c r="CR27" t="s">
        <v>1368</v>
      </c>
      <c r="CS27" t="s">
        <v>1728</v>
      </c>
      <c r="CT27" t="s">
        <v>1724</v>
      </c>
      <c r="CU27" t="s">
        <v>1729</v>
      </c>
      <c r="CV27" t="s">
        <v>1789</v>
      </c>
      <c r="DB27" t="s">
        <v>1788</v>
      </c>
      <c r="DE27" t="s">
        <v>1724</v>
      </c>
    </row>
    <row r="28" spans="1:109" x14ac:dyDescent="0.25">
      <c r="A28" t="s">
        <v>1618</v>
      </c>
      <c r="B28">
        <v>1</v>
      </c>
      <c r="C28" s="56">
        <v>42823</v>
      </c>
      <c r="D28" t="s">
        <v>1619</v>
      </c>
      <c r="E28" t="s">
        <v>1413</v>
      </c>
      <c r="G28" t="s">
        <v>1603</v>
      </c>
      <c r="H28" t="s">
        <v>1603</v>
      </c>
      <c r="I28" t="s">
        <v>1603</v>
      </c>
      <c r="J28" t="s">
        <v>1603</v>
      </c>
      <c r="K28" t="s">
        <v>1603</v>
      </c>
      <c r="L28">
        <v>5.54</v>
      </c>
      <c r="M28">
        <v>18.71</v>
      </c>
      <c r="N28">
        <v>0</v>
      </c>
      <c r="O28" s="56"/>
      <c r="P28" s="56"/>
      <c r="Q28">
        <v>13717</v>
      </c>
      <c r="R28">
        <v>1</v>
      </c>
      <c r="S28">
        <v>8</v>
      </c>
      <c r="T28">
        <v>4</v>
      </c>
      <c r="U28">
        <v>4</v>
      </c>
      <c r="V28">
        <v>1</v>
      </c>
      <c r="W28" t="s">
        <v>1723</v>
      </c>
      <c r="X28" t="s">
        <v>1749</v>
      </c>
      <c r="AA28">
        <v>6.3</v>
      </c>
      <c r="AB28">
        <v>76</v>
      </c>
      <c r="AC28">
        <v>4.76</v>
      </c>
      <c r="AD28">
        <v>3.77</v>
      </c>
      <c r="AE28">
        <v>0</v>
      </c>
      <c r="AF28">
        <v>0</v>
      </c>
      <c r="AG28">
        <v>0</v>
      </c>
      <c r="AJ28" s="56"/>
      <c r="AK28" s="56"/>
      <c r="AL28" s="56"/>
      <c r="AP28" t="s">
        <v>1604</v>
      </c>
      <c r="AR28">
        <v>72</v>
      </c>
      <c r="AS28" t="s">
        <v>1605</v>
      </c>
      <c r="AT28">
        <v>1</v>
      </c>
      <c r="AV28">
        <v>120</v>
      </c>
      <c r="AW28">
        <v>80</v>
      </c>
      <c r="AX28">
        <v>40</v>
      </c>
      <c r="AY28" t="s">
        <v>1735</v>
      </c>
      <c r="AZ28" t="s">
        <v>1735</v>
      </c>
      <c r="BA28">
        <v>144</v>
      </c>
      <c r="BD28">
        <v>1000000000</v>
      </c>
      <c r="BE28">
        <v>95</v>
      </c>
      <c r="BF28">
        <v>0.21</v>
      </c>
      <c r="BG28">
        <v>0</v>
      </c>
      <c r="BH28">
        <v>0</v>
      </c>
      <c r="BI28">
        <v>0</v>
      </c>
      <c r="BJ28">
        <v>0</v>
      </c>
      <c r="BK28">
        <v>0</v>
      </c>
      <c r="BL28">
        <v>0</v>
      </c>
      <c r="BM28">
        <v>95</v>
      </c>
      <c r="BN28">
        <v>0.21</v>
      </c>
      <c r="BO28">
        <v>0</v>
      </c>
      <c r="BP28">
        <v>0</v>
      </c>
      <c r="BR28">
        <v>0</v>
      </c>
      <c r="BS28">
        <v>60</v>
      </c>
      <c r="BX28">
        <v>0</v>
      </c>
      <c r="BY28">
        <v>0</v>
      </c>
      <c r="BZ28">
        <v>0</v>
      </c>
      <c r="CA28">
        <v>14.26</v>
      </c>
      <c r="CC28">
        <v>1</v>
      </c>
      <c r="CD28" s="56">
        <v>42761</v>
      </c>
      <c r="CE28" s="56">
        <v>42767</v>
      </c>
      <c r="CF28" s="56">
        <v>42767</v>
      </c>
      <c r="CG28" s="56">
        <v>42823</v>
      </c>
      <c r="CH28" s="56"/>
      <c r="CI28" s="56"/>
      <c r="CJ28">
        <v>0</v>
      </c>
      <c r="CK28">
        <v>0</v>
      </c>
      <c r="CL28">
        <v>0</v>
      </c>
      <c r="CM28">
        <v>0</v>
      </c>
      <c r="CN28">
        <v>0</v>
      </c>
      <c r="CO28">
        <v>0.05</v>
      </c>
      <c r="CP28">
        <v>0</v>
      </c>
      <c r="CQ28" t="s">
        <v>1618</v>
      </c>
      <c r="CR28" t="s">
        <v>1368</v>
      </c>
      <c r="CS28" t="s">
        <v>1728</v>
      </c>
      <c r="CT28" t="s">
        <v>1724</v>
      </c>
      <c r="CU28" t="s">
        <v>1729</v>
      </c>
      <c r="CV28" t="s">
        <v>1790</v>
      </c>
      <c r="DB28" t="s">
        <v>1788</v>
      </c>
      <c r="DE28" t="s">
        <v>1724</v>
      </c>
    </row>
    <row r="29" spans="1:109" x14ac:dyDescent="0.25">
      <c r="A29" t="s">
        <v>1618</v>
      </c>
      <c r="B29">
        <v>1</v>
      </c>
      <c r="C29" s="56">
        <v>42823</v>
      </c>
      <c r="D29" t="s">
        <v>1619</v>
      </c>
      <c r="E29" t="s">
        <v>1414</v>
      </c>
      <c r="G29" t="s">
        <v>1603</v>
      </c>
      <c r="H29" t="s">
        <v>1603</v>
      </c>
      <c r="I29" t="s">
        <v>1603</v>
      </c>
      <c r="J29" t="s">
        <v>1603</v>
      </c>
      <c r="K29" t="s">
        <v>1603</v>
      </c>
      <c r="L29">
        <v>53.51</v>
      </c>
      <c r="M29">
        <v>117.98</v>
      </c>
      <c r="N29">
        <v>0</v>
      </c>
      <c r="O29" s="56"/>
      <c r="P29" s="56"/>
      <c r="Q29">
        <v>13717</v>
      </c>
      <c r="R29">
        <v>1</v>
      </c>
      <c r="S29">
        <v>8</v>
      </c>
      <c r="T29">
        <v>4</v>
      </c>
      <c r="U29">
        <v>4</v>
      </c>
      <c r="V29">
        <v>1</v>
      </c>
      <c r="X29" t="s">
        <v>1749</v>
      </c>
      <c r="Z29" t="s">
        <v>1734</v>
      </c>
      <c r="AA29">
        <v>0.04</v>
      </c>
      <c r="AB29">
        <v>1</v>
      </c>
      <c r="AC29">
        <v>25</v>
      </c>
      <c r="AD29">
        <v>31.25</v>
      </c>
      <c r="AE29">
        <v>0</v>
      </c>
      <c r="AF29">
        <v>0</v>
      </c>
      <c r="AG29">
        <v>0</v>
      </c>
      <c r="AJ29" s="56">
        <v>42666</v>
      </c>
      <c r="AK29" s="56"/>
      <c r="AL29" s="56"/>
      <c r="AP29" t="s">
        <v>1604</v>
      </c>
      <c r="AR29">
        <v>6</v>
      </c>
      <c r="AS29" t="s">
        <v>1605</v>
      </c>
      <c r="AT29">
        <v>1</v>
      </c>
      <c r="AV29">
        <v>4</v>
      </c>
      <c r="AW29">
        <v>3</v>
      </c>
      <c r="AX29">
        <v>1</v>
      </c>
      <c r="AY29" t="s">
        <v>1754</v>
      </c>
      <c r="AZ29" t="s">
        <v>1754</v>
      </c>
      <c r="BA29">
        <v>6</v>
      </c>
      <c r="BD29">
        <v>1000000000</v>
      </c>
      <c r="BE29">
        <v>5</v>
      </c>
      <c r="BF29">
        <v>-0.25</v>
      </c>
      <c r="BG29">
        <v>0</v>
      </c>
      <c r="BH29">
        <v>0</v>
      </c>
      <c r="BI29">
        <v>0</v>
      </c>
      <c r="BJ29">
        <v>0</v>
      </c>
      <c r="BK29">
        <v>0</v>
      </c>
      <c r="BL29">
        <v>0</v>
      </c>
      <c r="BM29">
        <v>5</v>
      </c>
      <c r="BN29">
        <v>-0.25</v>
      </c>
      <c r="BO29">
        <v>0</v>
      </c>
      <c r="BP29">
        <v>0</v>
      </c>
      <c r="BR29">
        <v>0</v>
      </c>
      <c r="BS29">
        <v>2</v>
      </c>
      <c r="BX29">
        <v>0</v>
      </c>
      <c r="BY29">
        <v>53.51</v>
      </c>
      <c r="BZ29">
        <v>0</v>
      </c>
      <c r="CA29">
        <v>7.23</v>
      </c>
      <c r="CC29">
        <v>1</v>
      </c>
      <c r="CD29" s="56">
        <v>42761</v>
      </c>
      <c r="CE29" s="56">
        <v>42767</v>
      </c>
      <c r="CF29" s="56">
        <v>42767</v>
      </c>
      <c r="CG29" s="56">
        <v>42823</v>
      </c>
      <c r="CH29" s="56"/>
      <c r="CI29" s="56"/>
      <c r="CJ29">
        <v>0</v>
      </c>
      <c r="CK29">
        <v>0</v>
      </c>
      <c r="CL29">
        <v>0</v>
      </c>
      <c r="CM29">
        <v>0</v>
      </c>
      <c r="CN29">
        <v>0</v>
      </c>
      <c r="CO29">
        <v>0</v>
      </c>
      <c r="CP29">
        <v>0.05</v>
      </c>
      <c r="CQ29" t="s">
        <v>1618</v>
      </c>
      <c r="CR29" t="s">
        <v>1368</v>
      </c>
      <c r="CS29" t="s">
        <v>1728</v>
      </c>
      <c r="CT29" t="s">
        <v>1724</v>
      </c>
      <c r="CU29" t="s">
        <v>1729</v>
      </c>
      <c r="CV29" t="s">
        <v>1791</v>
      </c>
      <c r="DB29" t="s">
        <v>1792</v>
      </c>
      <c r="DE29" t="s">
        <v>1724</v>
      </c>
    </row>
    <row r="30" spans="1:109" x14ac:dyDescent="0.25">
      <c r="A30" t="s">
        <v>1618</v>
      </c>
      <c r="B30">
        <v>1</v>
      </c>
      <c r="C30" s="56">
        <v>42823</v>
      </c>
      <c r="D30" t="s">
        <v>1619</v>
      </c>
      <c r="E30" t="s">
        <v>1793</v>
      </c>
      <c r="G30" t="s">
        <v>1603</v>
      </c>
      <c r="H30" t="s">
        <v>1603</v>
      </c>
      <c r="I30" t="s">
        <v>1603</v>
      </c>
      <c r="J30" t="s">
        <v>1603</v>
      </c>
      <c r="K30" t="s">
        <v>1603</v>
      </c>
      <c r="L30">
        <v>0.4</v>
      </c>
      <c r="M30">
        <v>3.69</v>
      </c>
      <c r="N30">
        <v>0</v>
      </c>
      <c r="O30" s="56"/>
      <c r="P30" s="56"/>
      <c r="Q30">
        <v>13717</v>
      </c>
      <c r="R30">
        <v>1</v>
      </c>
      <c r="S30">
        <v>8</v>
      </c>
      <c r="T30">
        <v>4</v>
      </c>
      <c r="U30">
        <v>4</v>
      </c>
      <c r="V30">
        <v>1</v>
      </c>
      <c r="X30" t="s">
        <v>1727</v>
      </c>
      <c r="AA30">
        <v>0</v>
      </c>
      <c r="AB30">
        <v>0</v>
      </c>
      <c r="AC30">
        <v>0</v>
      </c>
      <c r="AD30">
        <v>0</v>
      </c>
      <c r="AE30">
        <v>0</v>
      </c>
      <c r="AF30">
        <v>0</v>
      </c>
      <c r="AG30">
        <v>0</v>
      </c>
      <c r="AJ30" s="56"/>
      <c r="AK30" s="56"/>
      <c r="AL30" s="56"/>
      <c r="AP30" t="s">
        <v>1604</v>
      </c>
      <c r="AR30">
        <v>600</v>
      </c>
      <c r="AS30" t="s">
        <v>1605</v>
      </c>
      <c r="AT30">
        <v>1</v>
      </c>
      <c r="AV30">
        <v>0</v>
      </c>
      <c r="AW30">
        <v>0</v>
      </c>
      <c r="AX30">
        <v>0</v>
      </c>
      <c r="AY30" t="s">
        <v>1606</v>
      </c>
      <c r="AZ30" t="s">
        <v>1606</v>
      </c>
      <c r="BA30">
        <v>240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6">
        <v>42709</v>
      </c>
      <c r="CE30" s="56">
        <v>42767</v>
      </c>
      <c r="CF30" s="56">
        <v>42767</v>
      </c>
      <c r="CG30" s="56">
        <v>42823</v>
      </c>
      <c r="CH30" s="56"/>
      <c r="CI30" s="56"/>
      <c r="CJ30">
        <v>1</v>
      </c>
      <c r="CK30">
        <v>0</v>
      </c>
      <c r="CL30">
        <v>0.05</v>
      </c>
      <c r="CM30">
        <v>0</v>
      </c>
      <c r="CN30">
        <v>0</v>
      </c>
      <c r="CO30">
        <v>0</v>
      </c>
      <c r="CP30">
        <v>0</v>
      </c>
      <c r="CQ30" t="s">
        <v>1618</v>
      </c>
      <c r="CR30" t="s">
        <v>1368</v>
      </c>
      <c r="CS30" t="s">
        <v>1728</v>
      </c>
      <c r="CT30" t="s">
        <v>1724</v>
      </c>
      <c r="CU30" t="s">
        <v>1729</v>
      </c>
      <c r="CV30" t="s">
        <v>1794</v>
      </c>
      <c r="DB30" t="s">
        <v>1740</v>
      </c>
      <c r="DE30" t="s">
        <v>1724</v>
      </c>
    </row>
    <row r="31" spans="1:109" x14ac:dyDescent="0.25">
      <c r="A31" t="s">
        <v>1618</v>
      </c>
      <c r="B31">
        <v>1</v>
      </c>
      <c r="C31" s="56">
        <v>42823</v>
      </c>
      <c r="D31" t="s">
        <v>1619</v>
      </c>
      <c r="E31" t="s">
        <v>1795</v>
      </c>
      <c r="G31" t="s">
        <v>1603</v>
      </c>
      <c r="H31" t="s">
        <v>1603</v>
      </c>
      <c r="I31" t="s">
        <v>1603</v>
      </c>
      <c r="J31" t="s">
        <v>1603</v>
      </c>
      <c r="K31" t="s">
        <v>1603</v>
      </c>
      <c r="L31">
        <v>17.11</v>
      </c>
      <c r="M31">
        <v>47.1</v>
      </c>
      <c r="N31">
        <v>0</v>
      </c>
      <c r="O31" s="56"/>
      <c r="P31" s="56"/>
      <c r="Q31">
        <v>13717</v>
      </c>
      <c r="R31">
        <v>1</v>
      </c>
      <c r="S31">
        <v>8</v>
      </c>
      <c r="T31">
        <v>4</v>
      </c>
      <c r="U31">
        <v>4</v>
      </c>
      <c r="V31">
        <v>1</v>
      </c>
      <c r="X31" t="s">
        <v>1762</v>
      </c>
      <c r="AA31">
        <v>0</v>
      </c>
      <c r="AB31">
        <v>0</v>
      </c>
      <c r="AC31">
        <v>0</v>
      </c>
      <c r="AD31">
        <v>0</v>
      </c>
      <c r="AE31">
        <v>0</v>
      </c>
      <c r="AF31">
        <v>0</v>
      </c>
      <c r="AG31">
        <v>0</v>
      </c>
      <c r="AJ31" s="56"/>
      <c r="AK31" s="56"/>
      <c r="AL31" s="56"/>
      <c r="AP31" t="s">
        <v>1604</v>
      </c>
      <c r="AS31" t="s">
        <v>1605</v>
      </c>
      <c r="AT31">
        <v>1</v>
      </c>
      <c r="AV31">
        <v>0</v>
      </c>
      <c r="AW31">
        <v>0</v>
      </c>
      <c r="AX31">
        <v>0</v>
      </c>
      <c r="AY31" t="s">
        <v>1606</v>
      </c>
      <c r="AZ31" t="s">
        <v>1606</v>
      </c>
      <c r="BA31">
        <v>0</v>
      </c>
      <c r="BD31">
        <v>1000000000</v>
      </c>
      <c r="BE31">
        <v>11</v>
      </c>
      <c r="BF31">
        <v>0</v>
      </c>
      <c r="BG31">
        <v>0</v>
      </c>
      <c r="BH31">
        <v>0</v>
      </c>
      <c r="BI31">
        <v>0</v>
      </c>
      <c r="BJ31">
        <v>0</v>
      </c>
      <c r="BK31">
        <v>0</v>
      </c>
      <c r="BL31">
        <v>0</v>
      </c>
      <c r="BM31">
        <v>11</v>
      </c>
      <c r="BN31">
        <v>0</v>
      </c>
      <c r="BO31">
        <v>0</v>
      </c>
      <c r="BP31">
        <v>0</v>
      </c>
      <c r="BR31">
        <v>0</v>
      </c>
      <c r="BS31">
        <v>0</v>
      </c>
      <c r="BX31">
        <v>0</v>
      </c>
      <c r="BY31">
        <v>0</v>
      </c>
      <c r="BZ31">
        <v>0</v>
      </c>
      <c r="CA31">
        <v>0</v>
      </c>
      <c r="CC31">
        <v>1</v>
      </c>
      <c r="CD31" s="56">
        <v>42558</v>
      </c>
      <c r="CE31" s="56">
        <v>42767</v>
      </c>
      <c r="CF31" s="56">
        <v>42767</v>
      </c>
      <c r="CG31" s="56">
        <v>42823</v>
      </c>
      <c r="CH31" s="56"/>
      <c r="CI31" s="56"/>
      <c r="CJ31">
        <v>0</v>
      </c>
      <c r="CK31">
        <v>0</v>
      </c>
      <c r="CL31">
        <v>0</v>
      </c>
      <c r="CM31">
        <v>0</v>
      </c>
      <c r="CN31">
        <v>0</v>
      </c>
      <c r="CO31">
        <v>0</v>
      </c>
      <c r="CP31">
        <v>0.05</v>
      </c>
      <c r="CQ31" t="s">
        <v>1618</v>
      </c>
      <c r="CR31" t="s">
        <v>1368</v>
      </c>
      <c r="CS31" t="s">
        <v>1728</v>
      </c>
      <c r="CT31" t="s">
        <v>1724</v>
      </c>
      <c r="CU31" t="s">
        <v>1729</v>
      </c>
      <c r="CV31" t="s">
        <v>1796</v>
      </c>
      <c r="DB31" t="s">
        <v>1797</v>
      </c>
      <c r="DE31" t="s">
        <v>1724</v>
      </c>
    </row>
    <row r="32" spans="1:109" x14ac:dyDescent="0.25">
      <c r="A32" t="s">
        <v>1618</v>
      </c>
      <c r="B32">
        <v>1</v>
      </c>
      <c r="C32" s="56">
        <v>42823</v>
      </c>
      <c r="D32" t="s">
        <v>1619</v>
      </c>
      <c r="E32" t="s">
        <v>1798</v>
      </c>
      <c r="G32" t="s">
        <v>1603</v>
      </c>
      <c r="H32" t="s">
        <v>1603</v>
      </c>
      <c r="I32" t="s">
        <v>1603</v>
      </c>
      <c r="J32" t="s">
        <v>1603</v>
      </c>
      <c r="K32" t="s">
        <v>1603</v>
      </c>
      <c r="L32">
        <v>17.11</v>
      </c>
      <c r="M32">
        <v>47.1</v>
      </c>
      <c r="N32">
        <v>0</v>
      </c>
      <c r="O32" s="56"/>
      <c r="P32" s="56"/>
      <c r="Q32">
        <v>13717</v>
      </c>
      <c r="R32">
        <v>1</v>
      </c>
      <c r="S32">
        <v>8</v>
      </c>
      <c r="T32">
        <v>4</v>
      </c>
      <c r="U32">
        <v>4</v>
      </c>
      <c r="V32">
        <v>1</v>
      </c>
      <c r="X32" t="s">
        <v>1762</v>
      </c>
      <c r="AA32">
        <v>0</v>
      </c>
      <c r="AB32">
        <v>0</v>
      </c>
      <c r="AC32">
        <v>0</v>
      </c>
      <c r="AD32">
        <v>0</v>
      </c>
      <c r="AE32">
        <v>0</v>
      </c>
      <c r="AF32">
        <v>0</v>
      </c>
      <c r="AG32">
        <v>0</v>
      </c>
      <c r="AJ32" s="56"/>
      <c r="AK32" s="56"/>
      <c r="AL32" s="56"/>
      <c r="AP32" t="s">
        <v>1604</v>
      </c>
      <c r="AS32" t="s">
        <v>1605</v>
      </c>
      <c r="AT32">
        <v>1</v>
      </c>
      <c r="AV32">
        <v>0</v>
      </c>
      <c r="AW32">
        <v>0</v>
      </c>
      <c r="AX32">
        <v>0</v>
      </c>
      <c r="AY32" t="s">
        <v>1606</v>
      </c>
      <c r="AZ32" t="s">
        <v>1606</v>
      </c>
      <c r="BA32">
        <v>0</v>
      </c>
      <c r="BD32">
        <v>1000000000</v>
      </c>
      <c r="BE32">
        <v>5</v>
      </c>
      <c r="BF32">
        <v>0</v>
      </c>
      <c r="BG32">
        <v>0</v>
      </c>
      <c r="BH32">
        <v>0</v>
      </c>
      <c r="BI32">
        <v>0</v>
      </c>
      <c r="BJ32">
        <v>0</v>
      </c>
      <c r="BK32">
        <v>0</v>
      </c>
      <c r="BL32">
        <v>0</v>
      </c>
      <c r="BM32">
        <v>5</v>
      </c>
      <c r="BN32">
        <v>0</v>
      </c>
      <c r="BO32">
        <v>0</v>
      </c>
      <c r="BP32">
        <v>0</v>
      </c>
      <c r="BR32">
        <v>0</v>
      </c>
      <c r="BS32">
        <v>0</v>
      </c>
      <c r="BX32">
        <v>0</v>
      </c>
      <c r="BY32">
        <v>0</v>
      </c>
      <c r="BZ32">
        <v>0</v>
      </c>
      <c r="CA32">
        <v>0</v>
      </c>
      <c r="CC32">
        <v>1</v>
      </c>
      <c r="CD32" s="56">
        <v>42558</v>
      </c>
      <c r="CE32" s="56">
        <v>42767</v>
      </c>
      <c r="CF32" s="56">
        <v>42767</v>
      </c>
      <c r="CG32" s="56">
        <v>42823</v>
      </c>
      <c r="CH32" s="56"/>
      <c r="CI32" s="56"/>
      <c r="CJ32">
        <v>0</v>
      </c>
      <c r="CK32">
        <v>0</v>
      </c>
      <c r="CL32">
        <v>0</v>
      </c>
      <c r="CM32">
        <v>0</v>
      </c>
      <c r="CN32">
        <v>0</v>
      </c>
      <c r="CO32">
        <v>0</v>
      </c>
      <c r="CP32">
        <v>0.05</v>
      </c>
      <c r="CQ32" t="s">
        <v>1618</v>
      </c>
      <c r="CR32" t="s">
        <v>1368</v>
      </c>
      <c r="CS32" t="s">
        <v>1728</v>
      </c>
      <c r="CT32" t="s">
        <v>1724</v>
      </c>
      <c r="CU32" t="s">
        <v>1729</v>
      </c>
      <c r="CV32" t="s">
        <v>1799</v>
      </c>
      <c r="DB32" t="s">
        <v>1797</v>
      </c>
      <c r="DE32" t="s">
        <v>1724</v>
      </c>
    </row>
    <row r="33" spans="1:109" x14ac:dyDescent="0.25">
      <c r="A33" t="s">
        <v>1618</v>
      </c>
      <c r="B33">
        <v>1</v>
      </c>
      <c r="C33" s="56">
        <v>42823</v>
      </c>
      <c r="D33" t="s">
        <v>1619</v>
      </c>
      <c r="E33" t="s">
        <v>1800</v>
      </c>
      <c r="G33" t="s">
        <v>1603</v>
      </c>
      <c r="H33" t="s">
        <v>1603</v>
      </c>
      <c r="I33" t="s">
        <v>1603</v>
      </c>
      <c r="J33" t="s">
        <v>1603</v>
      </c>
      <c r="K33" t="s">
        <v>1603</v>
      </c>
      <c r="L33">
        <v>17.11</v>
      </c>
      <c r="M33">
        <v>48.69</v>
      </c>
      <c r="N33">
        <v>0</v>
      </c>
      <c r="O33" s="56"/>
      <c r="P33" s="56"/>
      <c r="Q33">
        <v>13717</v>
      </c>
      <c r="R33">
        <v>1</v>
      </c>
      <c r="S33">
        <v>8</v>
      </c>
      <c r="T33">
        <v>4</v>
      </c>
      <c r="U33">
        <v>4</v>
      </c>
      <c r="V33">
        <v>1</v>
      </c>
      <c r="X33" t="s">
        <v>1762</v>
      </c>
      <c r="AA33">
        <v>0</v>
      </c>
      <c r="AB33">
        <v>0</v>
      </c>
      <c r="AC33">
        <v>0</v>
      </c>
      <c r="AD33">
        <v>0</v>
      </c>
      <c r="AE33">
        <v>0</v>
      </c>
      <c r="AF33">
        <v>0</v>
      </c>
      <c r="AG33">
        <v>0</v>
      </c>
      <c r="AJ33" s="56"/>
      <c r="AK33" s="56"/>
      <c r="AL33" s="56"/>
      <c r="AP33" t="s">
        <v>1604</v>
      </c>
      <c r="AS33" t="s">
        <v>1605</v>
      </c>
      <c r="AT33">
        <v>1</v>
      </c>
      <c r="AV33">
        <v>0</v>
      </c>
      <c r="AW33">
        <v>0</v>
      </c>
      <c r="AX33">
        <v>0</v>
      </c>
      <c r="AY33" t="s">
        <v>1606</v>
      </c>
      <c r="AZ33" t="s">
        <v>1606</v>
      </c>
      <c r="BA33">
        <v>0</v>
      </c>
      <c r="BD33">
        <v>1000000000</v>
      </c>
      <c r="BE33">
        <v>3</v>
      </c>
      <c r="BF33">
        <v>0</v>
      </c>
      <c r="BG33">
        <v>0</v>
      </c>
      <c r="BH33">
        <v>0</v>
      </c>
      <c r="BI33">
        <v>0</v>
      </c>
      <c r="BJ33">
        <v>0</v>
      </c>
      <c r="BK33">
        <v>0</v>
      </c>
      <c r="BL33">
        <v>0</v>
      </c>
      <c r="BM33">
        <v>3</v>
      </c>
      <c r="BN33">
        <v>0</v>
      </c>
      <c r="BO33">
        <v>0</v>
      </c>
      <c r="BP33">
        <v>0</v>
      </c>
      <c r="BR33">
        <v>0</v>
      </c>
      <c r="BS33">
        <v>0</v>
      </c>
      <c r="BX33">
        <v>0</v>
      </c>
      <c r="BY33">
        <v>0</v>
      </c>
      <c r="BZ33">
        <v>0</v>
      </c>
      <c r="CA33">
        <v>0</v>
      </c>
      <c r="CC33">
        <v>1</v>
      </c>
      <c r="CD33" s="56">
        <v>42558</v>
      </c>
      <c r="CE33" s="56">
        <v>42767</v>
      </c>
      <c r="CF33" s="56">
        <v>42767</v>
      </c>
      <c r="CG33" s="56">
        <v>42823</v>
      </c>
      <c r="CH33" s="56"/>
      <c r="CI33" s="56"/>
      <c r="CJ33">
        <v>0</v>
      </c>
      <c r="CK33">
        <v>0</v>
      </c>
      <c r="CL33">
        <v>0</v>
      </c>
      <c r="CM33">
        <v>0</v>
      </c>
      <c r="CN33">
        <v>0</v>
      </c>
      <c r="CO33">
        <v>0</v>
      </c>
      <c r="CP33">
        <v>0.05</v>
      </c>
      <c r="CQ33" t="s">
        <v>1618</v>
      </c>
      <c r="CR33" t="s">
        <v>1368</v>
      </c>
      <c r="CS33" t="s">
        <v>1728</v>
      </c>
      <c r="CT33" t="s">
        <v>1724</v>
      </c>
      <c r="CU33" t="s">
        <v>1729</v>
      </c>
      <c r="CV33" t="s">
        <v>1801</v>
      </c>
      <c r="DB33" t="s">
        <v>1797</v>
      </c>
      <c r="DE33" t="s">
        <v>1724</v>
      </c>
    </row>
    <row r="34" spans="1:109" x14ac:dyDescent="0.25">
      <c r="A34" t="s">
        <v>1618</v>
      </c>
      <c r="B34">
        <v>1</v>
      </c>
      <c r="C34" s="56">
        <v>42823</v>
      </c>
      <c r="D34" t="s">
        <v>1619</v>
      </c>
      <c r="E34" t="s">
        <v>1802</v>
      </c>
      <c r="G34" t="s">
        <v>1603</v>
      </c>
      <c r="H34" t="s">
        <v>1603</v>
      </c>
      <c r="I34" t="s">
        <v>1603</v>
      </c>
      <c r="J34" t="s">
        <v>1603</v>
      </c>
      <c r="K34" t="s">
        <v>1603</v>
      </c>
      <c r="L34">
        <v>0</v>
      </c>
      <c r="M34">
        <v>2.3199999999999998</v>
      </c>
      <c r="N34">
        <v>0</v>
      </c>
      <c r="O34" s="56"/>
      <c r="P34" s="56"/>
      <c r="Q34">
        <v>13717</v>
      </c>
      <c r="R34">
        <v>1</v>
      </c>
      <c r="S34">
        <v>8</v>
      </c>
      <c r="T34">
        <v>4</v>
      </c>
      <c r="U34">
        <v>4</v>
      </c>
      <c r="V34">
        <v>1</v>
      </c>
      <c r="X34" t="s">
        <v>1749</v>
      </c>
      <c r="AA34">
        <v>0</v>
      </c>
      <c r="AB34">
        <v>0</v>
      </c>
      <c r="AC34">
        <v>0</v>
      </c>
      <c r="AD34">
        <v>0</v>
      </c>
      <c r="AE34">
        <v>0</v>
      </c>
      <c r="AF34">
        <v>0</v>
      </c>
      <c r="AG34">
        <v>0</v>
      </c>
      <c r="AJ34" s="56"/>
      <c r="AK34" s="56"/>
      <c r="AL34" s="56"/>
      <c r="AP34" t="s">
        <v>1604</v>
      </c>
      <c r="AS34" t="s">
        <v>1605</v>
      </c>
      <c r="AT34">
        <v>1</v>
      </c>
      <c r="AV34">
        <v>0</v>
      </c>
      <c r="AW34">
        <v>0</v>
      </c>
      <c r="AX34">
        <v>0</v>
      </c>
      <c r="AY34" t="s">
        <v>1606</v>
      </c>
      <c r="AZ34" t="s">
        <v>1606</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6">
        <v>42761</v>
      </c>
      <c r="CE34" s="56">
        <v>42767</v>
      </c>
      <c r="CF34" s="56">
        <v>42767</v>
      </c>
      <c r="CG34" s="56">
        <v>42823</v>
      </c>
      <c r="CH34" s="56"/>
      <c r="CI34" s="56"/>
      <c r="CJ34">
        <v>1</v>
      </c>
      <c r="CK34">
        <v>0</v>
      </c>
      <c r="CL34">
        <v>0.05</v>
      </c>
      <c r="CM34">
        <v>0</v>
      </c>
      <c r="CN34">
        <v>0</v>
      </c>
      <c r="CO34">
        <v>0</v>
      </c>
      <c r="CP34">
        <v>0</v>
      </c>
      <c r="CQ34" t="s">
        <v>1618</v>
      </c>
      <c r="CR34" t="s">
        <v>1368</v>
      </c>
      <c r="CS34" t="s">
        <v>1728</v>
      </c>
      <c r="CT34" t="s">
        <v>1724</v>
      </c>
      <c r="CU34" t="s">
        <v>1729</v>
      </c>
      <c r="CV34" t="s">
        <v>1803</v>
      </c>
      <c r="DB34" t="s">
        <v>1783</v>
      </c>
      <c r="DE34" t="s">
        <v>1724</v>
      </c>
    </row>
    <row r="35" spans="1:109" x14ac:dyDescent="0.25">
      <c r="A35" t="s">
        <v>1618</v>
      </c>
      <c r="B35">
        <v>1</v>
      </c>
      <c r="C35" s="56">
        <v>42823</v>
      </c>
      <c r="D35" t="s">
        <v>1619</v>
      </c>
      <c r="E35" t="s">
        <v>1804</v>
      </c>
      <c r="G35" t="s">
        <v>1603</v>
      </c>
      <c r="H35" t="s">
        <v>1603</v>
      </c>
      <c r="I35" t="s">
        <v>1603</v>
      </c>
      <c r="J35" t="s">
        <v>1603</v>
      </c>
      <c r="K35" t="s">
        <v>1603</v>
      </c>
      <c r="L35">
        <v>1.1000000000000001</v>
      </c>
      <c r="M35">
        <v>3.33</v>
      </c>
      <c r="N35">
        <v>0</v>
      </c>
      <c r="O35" s="56"/>
      <c r="P35" s="56"/>
      <c r="Q35">
        <v>13717</v>
      </c>
      <c r="R35">
        <v>1</v>
      </c>
      <c r="S35">
        <v>8</v>
      </c>
      <c r="T35">
        <v>4</v>
      </c>
      <c r="U35">
        <v>4</v>
      </c>
      <c r="V35">
        <v>1</v>
      </c>
      <c r="X35" t="s">
        <v>1749</v>
      </c>
      <c r="AA35">
        <v>0</v>
      </c>
      <c r="AB35">
        <v>0</v>
      </c>
      <c r="AC35">
        <v>0</v>
      </c>
      <c r="AD35">
        <v>0</v>
      </c>
      <c r="AE35">
        <v>0</v>
      </c>
      <c r="AF35">
        <v>0</v>
      </c>
      <c r="AG35">
        <v>0</v>
      </c>
      <c r="AJ35" s="56"/>
      <c r="AK35" s="56"/>
      <c r="AL35" s="56"/>
      <c r="AP35" t="s">
        <v>1604</v>
      </c>
      <c r="AS35" t="s">
        <v>1605</v>
      </c>
      <c r="AT35">
        <v>1</v>
      </c>
      <c r="AV35">
        <v>0</v>
      </c>
      <c r="AW35">
        <v>0</v>
      </c>
      <c r="AX35">
        <v>0</v>
      </c>
      <c r="AY35" t="s">
        <v>1606</v>
      </c>
      <c r="AZ35" t="s">
        <v>1606</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6">
        <v>42761</v>
      </c>
      <c r="CE35" s="56">
        <v>42767</v>
      </c>
      <c r="CF35" s="56">
        <v>42767</v>
      </c>
      <c r="CG35" s="56">
        <v>42823</v>
      </c>
      <c r="CH35" s="56"/>
      <c r="CI35" s="56"/>
      <c r="CJ35">
        <v>1</v>
      </c>
      <c r="CK35">
        <v>0</v>
      </c>
      <c r="CL35">
        <v>0.05</v>
      </c>
      <c r="CM35">
        <v>0</v>
      </c>
      <c r="CN35">
        <v>0</v>
      </c>
      <c r="CO35">
        <v>0</v>
      </c>
      <c r="CP35">
        <v>0</v>
      </c>
      <c r="CQ35" t="s">
        <v>1618</v>
      </c>
      <c r="CR35" t="s">
        <v>1368</v>
      </c>
      <c r="CS35" t="s">
        <v>1728</v>
      </c>
      <c r="CT35" t="s">
        <v>1724</v>
      </c>
      <c r="CU35" t="s">
        <v>1729</v>
      </c>
      <c r="CV35" t="s">
        <v>1782</v>
      </c>
      <c r="DB35" t="s">
        <v>1783</v>
      </c>
      <c r="DE35" t="s">
        <v>1724</v>
      </c>
    </row>
    <row r="36" spans="1:109" x14ac:dyDescent="0.25">
      <c r="A36" t="s">
        <v>1618</v>
      </c>
      <c r="B36">
        <v>1</v>
      </c>
      <c r="C36" s="56">
        <v>42823</v>
      </c>
      <c r="D36" t="s">
        <v>1619</v>
      </c>
      <c r="E36" t="s">
        <v>1805</v>
      </c>
      <c r="G36" t="s">
        <v>1603</v>
      </c>
      <c r="H36" t="s">
        <v>1603</v>
      </c>
      <c r="I36" t="s">
        <v>1603</v>
      </c>
      <c r="J36" t="s">
        <v>1603</v>
      </c>
      <c r="K36" t="s">
        <v>1603</v>
      </c>
      <c r="L36">
        <v>1.44</v>
      </c>
      <c r="M36">
        <v>4.3</v>
      </c>
      <c r="N36">
        <v>0</v>
      </c>
      <c r="O36" s="56"/>
      <c r="P36" s="56"/>
      <c r="Q36">
        <v>13717</v>
      </c>
      <c r="R36">
        <v>1</v>
      </c>
      <c r="S36">
        <v>8</v>
      </c>
      <c r="T36">
        <v>4</v>
      </c>
      <c r="U36">
        <v>4</v>
      </c>
      <c r="V36">
        <v>1</v>
      </c>
      <c r="X36" t="s">
        <v>1749</v>
      </c>
      <c r="AA36">
        <v>0</v>
      </c>
      <c r="AB36">
        <v>0</v>
      </c>
      <c r="AC36">
        <v>0</v>
      </c>
      <c r="AD36">
        <v>0</v>
      </c>
      <c r="AE36">
        <v>0</v>
      </c>
      <c r="AF36">
        <v>0</v>
      </c>
      <c r="AG36">
        <v>0</v>
      </c>
      <c r="AJ36" s="56"/>
      <c r="AK36" s="56"/>
      <c r="AL36" s="56"/>
      <c r="AP36" t="s">
        <v>1604</v>
      </c>
      <c r="AS36" t="s">
        <v>1605</v>
      </c>
      <c r="AT36">
        <v>1</v>
      </c>
      <c r="AV36">
        <v>0</v>
      </c>
      <c r="AW36">
        <v>0</v>
      </c>
      <c r="AX36">
        <v>0</v>
      </c>
      <c r="AY36" t="s">
        <v>1606</v>
      </c>
      <c r="AZ36" t="s">
        <v>1606</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6">
        <v>42761</v>
      </c>
      <c r="CE36" s="56">
        <v>42767</v>
      </c>
      <c r="CF36" s="56">
        <v>42767</v>
      </c>
      <c r="CG36" s="56">
        <v>42823</v>
      </c>
      <c r="CH36" s="56"/>
      <c r="CI36" s="56"/>
      <c r="CJ36">
        <v>1</v>
      </c>
      <c r="CK36">
        <v>0</v>
      </c>
      <c r="CL36">
        <v>0.05</v>
      </c>
      <c r="CM36">
        <v>0</v>
      </c>
      <c r="CN36">
        <v>0</v>
      </c>
      <c r="CO36">
        <v>0</v>
      </c>
      <c r="CP36">
        <v>0</v>
      </c>
      <c r="CQ36" t="s">
        <v>1618</v>
      </c>
      <c r="CR36" t="s">
        <v>1368</v>
      </c>
      <c r="CS36" t="s">
        <v>1728</v>
      </c>
      <c r="CT36" t="s">
        <v>1724</v>
      </c>
      <c r="CU36" t="s">
        <v>1729</v>
      </c>
      <c r="CV36" t="s">
        <v>1806</v>
      </c>
      <c r="DB36" t="s">
        <v>1783</v>
      </c>
      <c r="DE36" t="s">
        <v>1724</v>
      </c>
    </row>
    <row r="37" spans="1:109" x14ac:dyDescent="0.25">
      <c r="A37" t="s">
        <v>1618</v>
      </c>
      <c r="B37">
        <v>1</v>
      </c>
      <c r="C37" s="56">
        <v>42823</v>
      </c>
      <c r="D37" t="s">
        <v>1619</v>
      </c>
      <c r="E37" t="s">
        <v>1807</v>
      </c>
      <c r="G37" t="s">
        <v>1603</v>
      </c>
      <c r="H37" t="s">
        <v>1603</v>
      </c>
      <c r="I37" t="s">
        <v>1603</v>
      </c>
      <c r="J37" t="s">
        <v>1603</v>
      </c>
      <c r="K37" t="s">
        <v>1603</v>
      </c>
      <c r="L37">
        <v>0.08</v>
      </c>
      <c r="M37">
        <v>0.27</v>
      </c>
      <c r="N37">
        <v>0</v>
      </c>
      <c r="O37" s="56"/>
      <c r="P37" s="56"/>
      <c r="Q37">
        <v>13717</v>
      </c>
      <c r="R37">
        <v>1</v>
      </c>
      <c r="S37">
        <v>8</v>
      </c>
      <c r="T37">
        <v>4</v>
      </c>
      <c r="U37">
        <v>4</v>
      </c>
      <c r="V37">
        <v>1</v>
      </c>
      <c r="X37" t="s">
        <v>1738</v>
      </c>
      <c r="AA37">
        <v>0</v>
      </c>
      <c r="AB37">
        <v>0</v>
      </c>
      <c r="AC37">
        <v>0</v>
      </c>
      <c r="AD37">
        <v>0</v>
      </c>
      <c r="AE37">
        <v>0</v>
      </c>
      <c r="AF37">
        <v>0</v>
      </c>
      <c r="AG37">
        <v>0</v>
      </c>
      <c r="AJ37" s="56"/>
      <c r="AK37" s="56"/>
      <c r="AL37" s="56"/>
      <c r="AP37" t="s">
        <v>1604</v>
      </c>
      <c r="AR37">
        <v>1000</v>
      </c>
      <c r="AS37" t="s">
        <v>1605</v>
      </c>
      <c r="AT37">
        <v>1</v>
      </c>
      <c r="AV37">
        <v>0</v>
      </c>
      <c r="AW37">
        <v>0</v>
      </c>
      <c r="AX37">
        <v>0</v>
      </c>
      <c r="AY37" t="s">
        <v>1606</v>
      </c>
      <c r="AZ37" t="s">
        <v>1606</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6">
        <v>42593</v>
      </c>
      <c r="CE37" s="56">
        <v>42767</v>
      </c>
      <c r="CF37" s="56">
        <v>42767</v>
      </c>
      <c r="CG37" s="56">
        <v>42823</v>
      </c>
      <c r="CH37" s="56"/>
      <c r="CI37" s="56"/>
      <c r="CJ37">
        <v>1</v>
      </c>
      <c r="CK37">
        <v>0</v>
      </c>
      <c r="CL37">
        <v>0.05</v>
      </c>
      <c r="CM37">
        <v>0</v>
      </c>
      <c r="CN37">
        <v>0</v>
      </c>
      <c r="CO37">
        <v>0</v>
      </c>
      <c r="CP37">
        <v>0</v>
      </c>
      <c r="CQ37" t="s">
        <v>1618</v>
      </c>
      <c r="CR37" t="s">
        <v>1368</v>
      </c>
      <c r="CS37" t="s">
        <v>1728</v>
      </c>
      <c r="CT37" t="s">
        <v>1724</v>
      </c>
      <c r="CU37" t="s">
        <v>1729</v>
      </c>
      <c r="CV37" t="s">
        <v>1808</v>
      </c>
      <c r="DB37" t="s">
        <v>1809</v>
      </c>
      <c r="DE37" t="s">
        <v>1724</v>
      </c>
    </row>
    <row r="38" spans="1:109" x14ac:dyDescent="0.25">
      <c r="A38" t="s">
        <v>1618</v>
      </c>
      <c r="B38">
        <v>1</v>
      </c>
      <c r="C38" s="56">
        <v>42823</v>
      </c>
      <c r="D38" t="s">
        <v>1619</v>
      </c>
      <c r="E38" t="s">
        <v>1810</v>
      </c>
      <c r="G38" t="s">
        <v>1603</v>
      </c>
      <c r="H38" t="s">
        <v>1603</v>
      </c>
      <c r="I38" t="s">
        <v>1603</v>
      </c>
      <c r="J38" t="s">
        <v>1603</v>
      </c>
      <c r="K38" t="s">
        <v>1603</v>
      </c>
      <c r="L38">
        <v>0.51</v>
      </c>
      <c r="M38">
        <v>2.08</v>
      </c>
      <c r="N38">
        <v>0</v>
      </c>
      <c r="O38" s="56"/>
      <c r="P38" s="56"/>
      <c r="Q38">
        <v>13717</v>
      </c>
      <c r="R38">
        <v>1</v>
      </c>
      <c r="S38">
        <v>8</v>
      </c>
      <c r="T38">
        <v>4</v>
      </c>
      <c r="U38">
        <v>4</v>
      </c>
      <c r="V38">
        <v>1</v>
      </c>
      <c r="X38" t="s">
        <v>1738</v>
      </c>
      <c r="AA38">
        <v>0</v>
      </c>
      <c r="AB38">
        <v>0</v>
      </c>
      <c r="AC38">
        <v>0</v>
      </c>
      <c r="AD38">
        <v>0</v>
      </c>
      <c r="AE38">
        <v>0</v>
      </c>
      <c r="AF38">
        <v>0</v>
      </c>
      <c r="AG38">
        <v>0</v>
      </c>
      <c r="AJ38" s="56"/>
      <c r="AK38" s="56"/>
      <c r="AL38" s="56"/>
      <c r="AP38" t="s">
        <v>1604</v>
      </c>
      <c r="AR38">
        <v>200</v>
      </c>
      <c r="AS38" t="s">
        <v>1605</v>
      </c>
      <c r="AT38">
        <v>1</v>
      </c>
      <c r="AV38">
        <v>0</v>
      </c>
      <c r="AW38">
        <v>0</v>
      </c>
      <c r="AX38">
        <v>0</v>
      </c>
      <c r="AY38" t="s">
        <v>1606</v>
      </c>
      <c r="AZ38" t="s">
        <v>1606</v>
      </c>
      <c r="BA38">
        <v>0</v>
      </c>
      <c r="BD38">
        <v>1000000000</v>
      </c>
      <c r="BE38">
        <v>3</v>
      </c>
      <c r="BF38">
        <v>0</v>
      </c>
      <c r="BG38">
        <v>0</v>
      </c>
      <c r="BH38">
        <v>0</v>
      </c>
      <c r="BI38">
        <v>0</v>
      </c>
      <c r="BJ38">
        <v>0</v>
      </c>
      <c r="BK38">
        <v>0</v>
      </c>
      <c r="BL38">
        <v>0</v>
      </c>
      <c r="BM38">
        <v>3</v>
      </c>
      <c r="BN38">
        <v>0</v>
      </c>
      <c r="BO38">
        <v>0</v>
      </c>
      <c r="BP38">
        <v>0</v>
      </c>
      <c r="BR38">
        <v>0</v>
      </c>
      <c r="BS38">
        <v>0</v>
      </c>
      <c r="BX38">
        <v>0</v>
      </c>
      <c r="BY38">
        <v>0</v>
      </c>
      <c r="BZ38">
        <v>0</v>
      </c>
      <c r="CA38">
        <v>0</v>
      </c>
      <c r="CC38">
        <v>1</v>
      </c>
      <c r="CD38" s="56">
        <v>42593</v>
      </c>
      <c r="CE38" s="56">
        <v>42767</v>
      </c>
      <c r="CF38" s="56">
        <v>42767</v>
      </c>
      <c r="CG38" s="56">
        <v>42823</v>
      </c>
      <c r="CH38" s="56"/>
      <c r="CI38" s="56"/>
      <c r="CJ38">
        <v>0</v>
      </c>
      <c r="CK38">
        <v>0</v>
      </c>
      <c r="CL38">
        <v>0</v>
      </c>
      <c r="CM38">
        <v>0</v>
      </c>
      <c r="CN38">
        <v>0</v>
      </c>
      <c r="CO38">
        <v>0</v>
      </c>
      <c r="CP38">
        <v>0.05</v>
      </c>
      <c r="CQ38" t="s">
        <v>1618</v>
      </c>
      <c r="CR38" t="s">
        <v>1368</v>
      </c>
      <c r="CS38" t="s">
        <v>1728</v>
      </c>
      <c r="CT38" t="s">
        <v>1724</v>
      </c>
      <c r="CU38" t="s">
        <v>1729</v>
      </c>
      <c r="CV38" t="s">
        <v>1811</v>
      </c>
      <c r="DB38" t="s">
        <v>1812</v>
      </c>
      <c r="DE38" t="s">
        <v>1724</v>
      </c>
    </row>
    <row r="39" spans="1:109" x14ac:dyDescent="0.25">
      <c r="A39" t="s">
        <v>1618</v>
      </c>
      <c r="B39">
        <v>1</v>
      </c>
      <c r="C39" s="56">
        <v>42823</v>
      </c>
      <c r="D39" t="s">
        <v>1619</v>
      </c>
      <c r="E39" t="s">
        <v>1813</v>
      </c>
      <c r="G39" t="s">
        <v>1603</v>
      </c>
      <c r="H39" t="s">
        <v>1603</v>
      </c>
      <c r="I39" t="s">
        <v>1603</v>
      </c>
      <c r="J39" t="s">
        <v>1603</v>
      </c>
      <c r="K39" t="s">
        <v>1603</v>
      </c>
      <c r="L39">
        <v>0.7</v>
      </c>
      <c r="M39">
        <v>2.42</v>
      </c>
      <c r="N39">
        <v>0</v>
      </c>
      <c r="O39" s="56"/>
      <c r="P39" s="56"/>
      <c r="Q39">
        <v>13717</v>
      </c>
      <c r="R39">
        <v>1</v>
      </c>
      <c r="S39">
        <v>8</v>
      </c>
      <c r="T39">
        <v>4</v>
      </c>
      <c r="U39">
        <v>4</v>
      </c>
      <c r="V39">
        <v>1</v>
      </c>
      <c r="X39" t="s">
        <v>1738</v>
      </c>
      <c r="AA39">
        <v>0</v>
      </c>
      <c r="AB39">
        <v>0</v>
      </c>
      <c r="AC39">
        <v>0</v>
      </c>
      <c r="AD39">
        <v>0</v>
      </c>
      <c r="AE39">
        <v>0</v>
      </c>
      <c r="AF39">
        <v>0</v>
      </c>
      <c r="AG39">
        <v>0</v>
      </c>
      <c r="AJ39" s="56"/>
      <c r="AK39" s="56"/>
      <c r="AL39" s="56"/>
      <c r="AP39" t="s">
        <v>1604</v>
      </c>
      <c r="AR39">
        <v>240</v>
      </c>
      <c r="AS39" t="s">
        <v>1605</v>
      </c>
      <c r="AT39">
        <v>1</v>
      </c>
      <c r="AV39">
        <v>0</v>
      </c>
      <c r="AW39">
        <v>0</v>
      </c>
      <c r="AX39">
        <v>0</v>
      </c>
      <c r="AY39" t="s">
        <v>1606</v>
      </c>
      <c r="AZ39" t="s">
        <v>1606</v>
      </c>
      <c r="BA39">
        <v>0</v>
      </c>
      <c r="BD39">
        <v>1000000000</v>
      </c>
      <c r="BE39">
        <v>2</v>
      </c>
      <c r="BF39">
        <v>0</v>
      </c>
      <c r="BG39">
        <v>0</v>
      </c>
      <c r="BH39">
        <v>0</v>
      </c>
      <c r="BI39">
        <v>0</v>
      </c>
      <c r="BJ39">
        <v>0</v>
      </c>
      <c r="BK39">
        <v>0</v>
      </c>
      <c r="BL39">
        <v>0</v>
      </c>
      <c r="BM39">
        <v>2</v>
      </c>
      <c r="BN39">
        <v>0</v>
      </c>
      <c r="BO39">
        <v>0</v>
      </c>
      <c r="BP39">
        <v>0</v>
      </c>
      <c r="BR39">
        <v>0</v>
      </c>
      <c r="BS39">
        <v>0</v>
      </c>
      <c r="BX39">
        <v>0</v>
      </c>
      <c r="BY39">
        <v>0</v>
      </c>
      <c r="BZ39">
        <v>0</v>
      </c>
      <c r="CA39">
        <v>0</v>
      </c>
      <c r="CC39">
        <v>1</v>
      </c>
      <c r="CD39" s="56">
        <v>42593</v>
      </c>
      <c r="CE39" s="56">
        <v>42767</v>
      </c>
      <c r="CF39" s="56">
        <v>42767</v>
      </c>
      <c r="CG39" s="56">
        <v>42823</v>
      </c>
      <c r="CH39" s="56"/>
      <c r="CI39" s="56"/>
      <c r="CJ39">
        <v>0</v>
      </c>
      <c r="CK39">
        <v>0</v>
      </c>
      <c r="CL39">
        <v>0</v>
      </c>
      <c r="CM39">
        <v>0</v>
      </c>
      <c r="CN39">
        <v>0</v>
      </c>
      <c r="CO39">
        <v>0</v>
      </c>
      <c r="CP39">
        <v>0.05</v>
      </c>
      <c r="CQ39" t="s">
        <v>1618</v>
      </c>
      <c r="CR39" t="s">
        <v>1368</v>
      </c>
      <c r="CS39" t="s">
        <v>1728</v>
      </c>
      <c r="CT39" t="s">
        <v>1724</v>
      </c>
      <c r="CU39" t="s">
        <v>1729</v>
      </c>
      <c r="CV39" t="s">
        <v>1814</v>
      </c>
      <c r="DB39" t="s">
        <v>1812</v>
      </c>
      <c r="DE39" t="s">
        <v>1724</v>
      </c>
    </row>
    <row r="40" spans="1:109" x14ac:dyDescent="0.25">
      <c r="A40" t="s">
        <v>1618</v>
      </c>
      <c r="B40">
        <v>1</v>
      </c>
      <c r="C40" s="56">
        <v>42823</v>
      </c>
      <c r="D40" t="s">
        <v>1619</v>
      </c>
      <c r="E40" t="s">
        <v>1815</v>
      </c>
      <c r="G40" t="s">
        <v>1603</v>
      </c>
      <c r="H40" t="s">
        <v>1603</v>
      </c>
      <c r="I40" t="s">
        <v>1603</v>
      </c>
      <c r="J40" t="s">
        <v>1603</v>
      </c>
      <c r="K40" t="s">
        <v>1603</v>
      </c>
      <c r="L40">
        <v>1.46</v>
      </c>
      <c r="M40">
        <v>4.88</v>
      </c>
      <c r="N40">
        <v>0</v>
      </c>
      <c r="O40" s="56"/>
      <c r="P40" s="56"/>
      <c r="Q40">
        <v>13717</v>
      </c>
      <c r="R40">
        <v>1</v>
      </c>
      <c r="S40">
        <v>8</v>
      </c>
      <c r="T40">
        <v>4</v>
      </c>
      <c r="U40">
        <v>4</v>
      </c>
      <c r="V40">
        <v>1</v>
      </c>
      <c r="X40" t="s">
        <v>1738</v>
      </c>
      <c r="AA40">
        <v>0</v>
      </c>
      <c r="AB40">
        <v>0</v>
      </c>
      <c r="AC40">
        <v>0</v>
      </c>
      <c r="AD40">
        <v>0</v>
      </c>
      <c r="AE40">
        <v>0</v>
      </c>
      <c r="AF40">
        <v>0</v>
      </c>
      <c r="AG40">
        <v>0</v>
      </c>
      <c r="AJ40" s="56"/>
      <c r="AK40" s="56"/>
      <c r="AL40" s="56"/>
      <c r="AP40" t="s">
        <v>1604</v>
      </c>
      <c r="AR40">
        <v>160</v>
      </c>
      <c r="AS40" t="s">
        <v>1605</v>
      </c>
      <c r="AT40">
        <v>1</v>
      </c>
      <c r="AV40">
        <v>0</v>
      </c>
      <c r="AW40">
        <v>0</v>
      </c>
      <c r="AX40">
        <v>0</v>
      </c>
      <c r="AY40" t="s">
        <v>1606</v>
      </c>
      <c r="AZ40" t="s">
        <v>1606</v>
      </c>
      <c r="BA40">
        <v>0</v>
      </c>
      <c r="BD40">
        <v>1000000000</v>
      </c>
      <c r="BE40">
        <v>2</v>
      </c>
      <c r="BF40">
        <v>0</v>
      </c>
      <c r="BG40">
        <v>0</v>
      </c>
      <c r="BH40">
        <v>0</v>
      </c>
      <c r="BI40">
        <v>0</v>
      </c>
      <c r="BJ40">
        <v>0</v>
      </c>
      <c r="BK40">
        <v>0</v>
      </c>
      <c r="BL40">
        <v>0</v>
      </c>
      <c r="BM40">
        <v>2</v>
      </c>
      <c r="BN40">
        <v>0</v>
      </c>
      <c r="BO40">
        <v>0</v>
      </c>
      <c r="BP40">
        <v>0</v>
      </c>
      <c r="BR40">
        <v>0</v>
      </c>
      <c r="BS40">
        <v>0</v>
      </c>
      <c r="BX40">
        <v>0</v>
      </c>
      <c r="BY40">
        <v>0</v>
      </c>
      <c r="BZ40">
        <v>0</v>
      </c>
      <c r="CA40">
        <v>0</v>
      </c>
      <c r="CC40">
        <v>1</v>
      </c>
      <c r="CD40" s="56">
        <v>42593</v>
      </c>
      <c r="CE40" s="56">
        <v>42767</v>
      </c>
      <c r="CF40" s="56">
        <v>42767</v>
      </c>
      <c r="CG40" s="56">
        <v>42823</v>
      </c>
      <c r="CH40" s="56"/>
      <c r="CI40" s="56"/>
      <c r="CJ40">
        <v>0</v>
      </c>
      <c r="CK40">
        <v>0</v>
      </c>
      <c r="CL40">
        <v>0</v>
      </c>
      <c r="CM40">
        <v>0</v>
      </c>
      <c r="CN40">
        <v>0</v>
      </c>
      <c r="CO40">
        <v>0</v>
      </c>
      <c r="CP40">
        <v>0.05</v>
      </c>
      <c r="CQ40" t="s">
        <v>1618</v>
      </c>
      <c r="CR40" t="s">
        <v>1368</v>
      </c>
      <c r="CS40" t="s">
        <v>1728</v>
      </c>
      <c r="CT40" t="s">
        <v>1724</v>
      </c>
      <c r="CU40" t="s">
        <v>1729</v>
      </c>
      <c r="CV40" t="s">
        <v>1816</v>
      </c>
      <c r="DB40" t="s">
        <v>1812</v>
      </c>
      <c r="DE40" t="s">
        <v>1724</v>
      </c>
    </row>
    <row r="41" spans="1:109" x14ac:dyDescent="0.25">
      <c r="A41" t="s">
        <v>1618</v>
      </c>
      <c r="B41">
        <v>1</v>
      </c>
      <c r="C41" s="56">
        <v>42823</v>
      </c>
      <c r="D41" t="s">
        <v>1619</v>
      </c>
      <c r="E41" t="s">
        <v>1817</v>
      </c>
      <c r="G41" t="s">
        <v>1603</v>
      </c>
      <c r="H41" t="s">
        <v>1603</v>
      </c>
      <c r="I41" t="s">
        <v>1603</v>
      </c>
      <c r="J41" t="s">
        <v>1603</v>
      </c>
      <c r="K41" t="s">
        <v>1603</v>
      </c>
      <c r="L41">
        <v>4.1399999999999997</v>
      </c>
      <c r="M41">
        <v>2</v>
      </c>
      <c r="N41">
        <v>0</v>
      </c>
      <c r="O41" s="56"/>
      <c r="P41" s="56"/>
      <c r="Q41">
        <v>13717</v>
      </c>
      <c r="R41">
        <v>1</v>
      </c>
      <c r="S41">
        <v>8</v>
      </c>
      <c r="T41">
        <v>4</v>
      </c>
      <c r="U41">
        <v>4</v>
      </c>
      <c r="V41">
        <v>1</v>
      </c>
      <c r="X41" t="s">
        <v>1738</v>
      </c>
      <c r="AA41">
        <v>0</v>
      </c>
      <c r="AB41">
        <v>0</v>
      </c>
      <c r="AC41">
        <v>0</v>
      </c>
      <c r="AD41">
        <v>0</v>
      </c>
      <c r="AE41">
        <v>0</v>
      </c>
      <c r="AF41">
        <v>0</v>
      </c>
      <c r="AG41">
        <v>0</v>
      </c>
      <c r="AJ41" s="56"/>
      <c r="AK41" s="56"/>
      <c r="AL41" s="56"/>
      <c r="AP41" t="s">
        <v>1604</v>
      </c>
      <c r="AR41">
        <v>400</v>
      </c>
      <c r="AS41" t="s">
        <v>1605</v>
      </c>
      <c r="AT41">
        <v>1</v>
      </c>
      <c r="AV41">
        <v>0</v>
      </c>
      <c r="AW41">
        <v>0</v>
      </c>
      <c r="AX41">
        <v>0</v>
      </c>
      <c r="AY41" t="s">
        <v>1606</v>
      </c>
      <c r="AZ41" t="s">
        <v>1606</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6">
        <v>42593</v>
      </c>
      <c r="CE41" s="56">
        <v>42767</v>
      </c>
      <c r="CF41" s="56">
        <v>42767</v>
      </c>
      <c r="CG41" s="56">
        <v>42823</v>
      </c>
      <c r="CH41" s="56"/>
      <c r="CI41" s="56"/>
      <c r="CJ41">
        <v>1</v>
      </c>
      <c r="CK41">
        <v>0</v>
      </c>
      <c r="CL41">
        <v>0.05</v>
      </c>
      <c r="CM41">
        <v>0</v>
      </c>
      <c r="CN41">
        <v>0</v>
      </c>
      <c r="CO41">
        <v>0</v>
      </c>
      <c r="CP41">
        <v>0</v>
      </c>
      <c r="CQ41" t="s">
        <v>1618</v>
      </c>
      <c r="CR41" t="s">
        <v>1368</v>
      </c>
      <c r="CS41" t="s">
        <v>1728</v>
      </c>
      <c r="CT41" t="s">
        <v>1724</v>
      </c>
      <c r="CU41" t="s">
        <v>1729</v>
      </c>
      <c r="CV41" t="s">
        <v>1818</v>
      </c>
      <c r="DB41" t="s">
        <v>1819</v>
      </c>
      <c r="DE41" t="s">
        <v>1724</v>
      </c>
    </row>
    <row r="42" spans="1:109" x14ac:dyDescent="0.25">
      <c r="A42" t="s">
        <v>1618</v>
      </c>
      <c r="B42">
        <v>1</v>
      </c>
      <c r="C42" s="56">
        <v>42823</v>
      </c>
      <c r="D42" t="s">
        <v>1619</v>
      </c>
      <c r="E42" t="s">
        <v>1820</v>
      </c>
      <c r="G42" t="s">
        <v>1603</v>
      </c>
      <c r="H42" t="s">
        <v>1603</v>
      </c>
      <c r="I42" t="s">
        <v>1603</v>
      </c>
      <c r="J42" t="s">
        <v>1603</v>
      </c>
      <c r="K42" t="s">
        <v>1603</v>
      </c>
      <c r="L42">
        <v>0</v>
      </c>
      <c r="M42">
        <v>0</v>
      </c>
      <c r="N42">
        <v>0</v>
      </c>
      <c r="O42" s="56"/>
      <c r="P42" s="56"/>
      <c r="Q42">
        <v>13717</v>
      </c>
      <c r="R42">
        <v>1</v>
      </c>
      <c r="S42">
        <v>8</v>
      </c>
      <c r="T42">
        <v>4</v>
      </c>
      <c r="U42">
        <v>4</v>
      </c>
      <c r="V42">
        <v>1</v>
      </c>
      <c r="X42" t="s">
        <v>1762</v>
      </c>
      <c r="AA42">
        <v>0</v>
      </c>
      <c r="AB42">
        <v>0</v>
      </c>
      <c r="AC42">
        <v>0</v>
      </c>
      <c r="AD42">
        <v>0</v>
      </c>
      <c r="AE42">
        <v>0</v>
      </c>
      <c r="AF42">
        <v>0</v>
      </c>
      <c r="AG42">
        <v>0</v>
      </c>
      <c r="AJ42" s="56"/>
      <c r="AK42" s="56"/>
      <c r="AL42" s="56"/>
      <c r="AP42" t="s">
        <v>1604</v>
      </c>
      <c r="AS42" t="s">
        <v>1605</v>
      </c>
      <c r="AT42">
        <v>1</v>
      </c>
      <c r="AV42">
        <v>0</v>
      </c>
      <c r="AW42">
        <v>0</v>
      </c>
      <c r="AX42">
        <v>0</v>
      </c>
      <c r="AY42" t="s">
        <v>1606</v>
      </c>
      <c r="AZ42" t="s">
        <v>1606</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6">
        <v>42558</v>
      </c>
      <c r="CE42" s="56">
        <v>42767</v>
      </c>
      <c r="CF42" s="56">
        <v>42767</v>
      </c>
      <c r="CG42" s="56">
        <v>42823</v>
      </c>
      <c r="CH42" s="56"/>
      <c r="CI42" s="56"/>
      <c r="CJ42">
        <v>1</v>
      </c>
      <c r="CK42">
        <v>0</v>
      </c>
      <c r="CL42">
        <v>0.05</v>
      </c>
      <c r="CM42">
        <v>0</v>
      </c>
      <c r="CN42">
        <v>0</v>
      </c>
      <c r="CO42">
        <v>0</v>
      </c>
      <c r="CP42">
        <v>0</v>
      </c>
      <c r="CQ42" t="s">
        <v>1618</v>
      </c>
      <c r="CR42" t="s">
        <v>1368</v>
      </c>
      <c r="CS42" t="s">
        <v>1728</v>
      </c>
      <c r="CT42" t="s">
        <v>1724</v>
      </c>
      <c r="CU42" t="s">
        <v>1729</v>
      </c>
      <c r="CV42" t="s">
        <v>1821</v>
      </c>
      <c r="DB42" t="s">
        <v>1822</v>
      </c>
      <c r="DE42" t="s">
        <v>1724</v>
      </c>
    </row>
    <row r="43" spans="1:109" x14ac:dyDescent="0.25">
      <c r="A43" t="s">
        <v>1618</v>
      </c>
      <c r="B43">
        <v>1</v>
      </c>
      <c r="C43" s="56">
        <v>42823</v>
      </c>
      <c r="D43" t="s">
        <v>1619</v>
      </c>
      <c r="E43" t="s">
        <v>1380</v>
      </c>
      <c r="G43" t="s">
        <v>1603</v>
      </c>
      <c r="H43" t="s">
        <v>1603</v>
      </c>
      <c r="I43" t="s">
        <v>1603</v>
      </c>
      <c r="J43" t="s">
        <v>1603</v>
      </c>
      <c r="K43" t="s">
        <v>1603</v>
      </c>
      <c r="L43">
        <v>4.79</v>
      </c>
      <c r="M43">
        <v>20.61</v>
      </c>
      <c r="N43">
        <v>0</v>
      </c>
      <c r="O43" s="56"/>
      <c r="P43" s="56"/>
      <c r="Q43">
        <v>13717</v>
      </c>
      <c r="R43">
        <v>1</v>
      </c>
      <c r="S43">
        <v>8</v>
      </c>
      <c r="T43">
        <v>4</v>
      </c>
      <c r="U43">
        <v>4</v>
      </c>
      <c r="V43">
        <v>1</v>
      </c>
      <c r="W43" t="s">
        <v>1723</v>
      </c>
      <c r="X43" t="s">
        <v>1727</v>
      </c>
      <c r="AA43">
        <v>20.14</v>
      </c>
      <c r="AB43">
        <v>242</v>
      </c>
      <c r="AC43">
        <v>3.1</v>
      </c>
      <c r="AD43">
        <v>2.31</v>
      </c>
      <c r="AE43">
        <v>0</v>
      </c>
      <c r="AF43">
        <v>0</v>
      </c>
      <c r="AG43">
        <v>0</v>
      </c>
      <c r="AJ43" s="56">
        <v>42666</v>
      </c>
      <c r="AK43" s="56"/>
      <c r="AL43" s="56"/>
      <c r="AP43" t="s">
        <v>1604</v>
      </c>
      <c r="AR43">
        <v>50</v>
      </c>
      <c r="AS43" t="s">
        <v>1605</v>
      </c>
      <c r="AT43">
        <v>1</v>
      </c>
      <c r="AV43">
        <v>250</v>
      </c>
      <c r="AW43">
        <v>166</v>
      </c>
      <c r="AX43">
        <v>83</v>
      </c>
      <c r="AY43" t="s">
        <v>1735</v>
      </c>
      <c r="AZ43" t="s">
        <v>1735</v>
      </c>
      <c r="BA43">
        <v>240</v>
      </c>
      <c r="BD43">
        <v>1000000000</v>
      </c>
      <c r="BE43">
        <v>186</v>
      </c>
      <c r="BF43">
        <v>0.26</v>
      </c>
      <c r="BG43">
        <v>0</v>
      </c>
      <c r="BH43">
        <v>0</v>
      </c>
      <c r="BI43">
        <v>0</v>
      </c>
      <c r="BJ43">
        <v>0</v>
      </c>
      <c r="BK43">
        <v>0</v>
      </c>
      <c r="BL43">
        <v>0</v>
      </c>
      <c r="BM43">
        <v>186</v>
      </c>
      <c r="BN43">
        <v>0.26</v>
      </c>
      <c r="BO43">
        <v>0</v>
      </c>
      <c r="BP43">
        <v>0</v>
      </c>
      <c r="BR43">
        <v>50</v>
      </c>
      <c r="BS43">
        <v>125</v>
      </c>
      <c r="BX43">
        <v>0</v>
      </c>
      <c r="BY43">
        <v>0</v>
      </c>
      <c r="BZ43">
        <v>0</v>
      </c>
      <c r="CA43">
        <v>19.82</v>
      </c>
      <c r="CC43">
        <v>1</v>
      </c>
      <c r="CD43" s="56">
        <v>42709</v>
      </c>
      <c r="CE43" s="56">
        <v>42767</v>
      </c>
      <c r="CF43" s="56">
        <v>42767</v>
      </c>
      <c r="CG43" s="56">
        <v>42823</v>
      </c>
      <c r="CH43" s="56"/>
      <c r="CI43" s="56"/>
      <c r="CJ43">
        <v>0</v>
      </c>
      <c r="CK43">
        <v>0</v>
      </c>
      <c r="CL43">
        <v>0</v>
      </c>
      <c r="CM43">
        <v>0</v>
      </c>
      <c r="CN43">
        <v>0</v>
      </c>
      <c r="CO43">
        <v>0.05</v>
      </c>
      <c r="CP43">
        <v>0</v>
      </c>
      <c r="CQ43" t="s">
        <v>1618</v>
      </c>
      <c r="CR43" t="s">
        <v>1368</v>
      </c>
      <c r="CS43" t="s">
        <v>1728</v>
      </c>
      <c r="CT43" t="s">
        <v>1724</v>
      </c>
      <c r="CU43" t="s">
        <v>1729</v>
      </c>
      <c r="CV43" t="s">
        <v>1823</v>
      </c>
      <c r="DB43" t="s">
        <v>1824</v>
      </c>
      <c r="DE43" t="s">
        <v>1724</v>
      </c>
    </row>
    <row r="44" spans="1:109" x14ac:dyDescent="0.25">
      <c r="A44" t="s">
        <v>1618</v>
      </c>
      <c r="B44">
        <v>1</v>
      </c>
      <c r="C44" s="56">
        <v>42823</v>
      </c>
      <c r="D44" t="s">
        <v>1619</v>
      </c>
      <c r="E44" t="s">
        <v>1415</v>
      </c>
      <c r="G44" t="s">
        <v>1603</v>
      </c>
      <c r="H44" t="s">
        <v>1603</v>
      </c>
      <c r="I44" t="s">
        <v>1603</v>
      </c>
      <c r="J44" t="s">
        <v>1603</v>
      </c>
      <c r="K44" t="s">
        <v>1603</v>
      </c>
      <c r="L44">
        <v>7.11</v>
      </c>
      <c r="M44">
        <v>29.14</v>
      </c>
      <c r="N44">
        <v>0</v>
      </c>
      <c r="O44" s="56"/>
      <c r="P44" s="56"/>
      <c r="Q44">
        <v>13717</v>
      </c>
      <c r="R44">
        <v>1</v>
      </c>
      <c r="S44">
        <v>8</v>
      </c>
      <c r="T44">
        <v>4</v>
      </c>
      <c r="U44">
        <v>4</v>
      </c>
      <c r="V44">
        <v>1</v>
      </c>
      <c r="X44" t="s">
        <v>1727</v>
      </c>
      <c r="AA44">
        <v>32.07</v>
      </c>
      <c r="AB44">
        <v>385</v>
      </c>
      <c r="AC44">
        <v>1.95</v>
      </c>
      <c r="AD44">
        <v>3.41</v>
      </c>
      <c r="AE44">
        <v>0</v>
      </c>
      <c r="AF44">
        <v>0</v>
      </c>
      <c r="AG44">
        <v>0</v>
      </c>
      <c r="AJ44" s="56">
        <v>42666</v>
      </c>
      <c r="AK44" s="56"/>
      <c r="AL44" s="56"/>
      <c r="AP44" t="s">
        <v>1604</v>
      </c>
      <c r="AR44">
        <v>50</v>
      </c>
      <c r="AS44" t="s">
        <v>1605</v>
      </c>
      <c r="AT44">
        <v>1</v>
      </c>
      <c r="AV44">
        <v>250</v>
      </c>
      <c r="AW44">
        <v>166</v>
      </c>
      <c r="AX44">
        <v>83</v>
      </c>
      <c r="AY44" t="s">
        <v>1754</v>
      </c>
      <c r="AZ44" t="s">
        <v>1754</v>
      </c>
      <c r="BA44">
        <v>360</v>
      </c>
      <c r="BD44">
        <v>1000000000</v>
      </c>
      <c r="BE44">
        <v>438</v>
      </c>
      <c r="BF44">
        <v>-0.75</v>
      </c>
      <c r="BG44">
        <v>0</v>
      </c>
      <c r="BH44">
        <v>0</v>
      </c>
      <c r="BI44">
        <v>0</v>
      </c>
      <c r="BJ44">
        <v>0</v>
      </c>
      <c r="BK44">
        <v>0</v>
      </c>
      <c r="BL44">
        <v>0</v>
      </c>
      <c r="BM44">
        <v>438</v>
      </c>
      <c r="BN44">
        <v>-0.75</v>
      </c>
      <c r="BO44">
        <v>0</v>
      </c>
      <c r="BP44">
        <v>0</v>
      </c>
      <c r="BR44">
        <v>0</v>
      </c>
      <c r="BS44">
        <v>125</v>
      </c>
      <c r="BX44">
        <v>0</v>
      </c>
      <c r="BY44">
        <v>1336.68</v>
      </c>
      <c r="BZ44">
        <v>0</v>
      </c>
      <c r="CA44">
        <v>18.59</v>
      </c>
      <c r="CC44">
        <v>1</v>
      </c>
      <c r="CD44" s="56">
        <v>42709</v>
      </c>
      <c r="CE44" s="56">
        <v>42767</v>
      </c>
      <c r="CF44" s="56">
        <v>42767</v>
      </c>
      <c r="CG44" s="56">
        <v>42823</v>
      </c>
      <c r="CH44" s="56"/>
      <c r="CI44" s="56"/>
      <c r="CJ44">
        <v>0</v>
      </c>
      <c r="CK44">
        <v>0</v>
      </c>
      <c r="CL44">
        <v>0</v>
      </c>
      <c r="CM44">
        <v>0</v>
      </c>
      <c r="CN44">
        <v>0</v>
      </c>
      <c r="CO44">
        <v>0</v>
      </c>
      <c r="CP44">
        <v>0.05</v>
      </c>
      <c r="CQ44" t="s">
        <v>1618</v>
      </c>
      <c r="CR44" t="s">
        <v>1368</v>
      </c>
      <c r="CS44" t="s">
        <v>1728</v>
      </c>
      <c r="CT44" t="s">
        <v>1724</v>
      </c>
      <c r="CU44" t="s">
        <v>1729</v>
      </c>
      <c r="CV44" t="s">
        <v>1825</v>
      </c>
      <c r="DB44" t="s">
        <v>1824</v>
      </c>
      <c r="DE44" t="s">
        <v>1724</v>
      </c>
    </row>
    <row r="45" spans="1:109" x14ac:dyDescent="0.25">
      <c r="A45" t="s">
        <v>1618</v>
      </c>
      <c r="B45">
        <v>1</v>
      </c>
      <c r="C45" s="56">
        <v>42823</v>
      </c>
      <c r="D45" t="s">
        <v>1619</v>
      </c>
      <c r="E45" t="s">
        <v>1416</v>
      </c>
      <c r="G45" t="s">
        <v>1603</v>
      </c>
      <c r="H45" t="s">
        <v>1603</v>
      </c>
      <c r="I45" t="s">
        <v>1603</v>
      </c>
      <c r="J45" t="s">
        <v>1603</v>
      </c>
      <c r="K45" t="s">
        <v>1603</v>
      </c>
      <c r="L45">
        <v>2.4500000000000002</v>
      </c>
      <c r="M45">
        <v>12.02</v>
      </c>
      <c r="N45">
        <v>0</v>
      </c>
      <c r="O45" s="56"/>
      <c r="P45" s="56"/>
      <c r="Q45">
        <v>13717</v>
      </c>
      <c r="R45">
        <v>1</v>
      </c>
      <c r="S45">
        <v>8</v>
      </c>
      <c r="T45">
        <v>4</v>
      </c>
      <c r="U45">
        <v>4</v>
      </c>
      <c r="V45">
        <v>1</v>
      </c>
      <c r="X45" t="s">
        <v>1727</v>
      </c>
      <c r="AA45">
        <v>4.6900000000000004</v>
      </c>
      <c r="AB45">
        <v>57</v>
      </c>
      <c r="AC45">
        <v>8</v>
      </c>
      <c r="AD45">
        <v>34.17</v>
      </c>
      <c r="AE45">
        <v>0</v>
      </c>
      <c r="AF45">
        <v>0</v>
      </c>
      <c r="AG45">
        <v>0</v>
      </c>
      <c r="AJ45" s="56">
        <v>42666</v>
      </c>
      <c r="AK45" s="56"/>
      <c r="AL45" s="56"/>
      <c r="AP45" t="s">
        <v>1604</v>
      </c>
      <c r="AR45">
        <v>660</v>
      </c>
      <c r="AS45" t="s">
        <v>1605</v>
      </c>
      <c r="AT45">
        <v>1</v>
      </c>
      <c r="AV45">
        <v>150</v>
      </c>
      <c r="AW45">
        <v>100</v>
      </c>
      <c r="AX45">
        <v>50</v>
      </c>
      <c r="AY45" t="s">
        <v>1754</v>
      </c>
      <c r="AZ45" t="s">
        <v>1754</v>
      </c>
      <c r="BA45">
        <v>144</v>
      </c>
      <c r="BD45">
        <v>1000000000</v>
      </c>
      <c r="BE45">
        <v>641</v>
      </c>
      <c r="BF45">
        <v>-3.27</v>
      </c>
      <c r="BG45">
        <v>0</v>
      </c>
      <c r="BH45">
        <v>0</v>
      </c>
      <c r="BI45">
        <v>0</v>
      </c>
      <c r="BJ45">
        <v>0</v>
      </c>
      <c r="BK45">
        <v>0</v>
      </c>
      <c r="BL45">
        <v>0</v>
      </c>
      <c r="BM45">
        <v>641</v>
      </c>
      <c r="BN45">
        <v>-3.27</v>
      </c>
      <c r="BO45">
        <v>0</v>
      </c>
      <c r="BP45">
        <v>0</v>
      </c>
      <c r="BR45">
        <v>0</v>
      </c>
      <c r="BS45">
        <v>75</v>
      </c>
      <c r="BX45">
        <v>0</v>
      </c>
      <c r="BY45">
        <v>1202.95</v>
      </c>
      <c r="BZ45">
        <v>0</v>
      </c>
      <c r="CA45">
        <v>23.44</v>
      </c>
      <c r="CC45">
        <v>1</v>
      </c>
      <c r="CD45" s="56">
        <v>42709</v>
      </c>
      <c r="CE45" s="56">
        <v>42767</v>
      </c>
      <c r="CF45" s="56">
        <v>42767</v>
      </c>
      <c r="CG45" s="56">
        <v>42823</v>
      </c>
      <c r="CH45" s="56"/>
      <c r="CI45" s="56"/>
      <c r="CJ45">
        <v>0</v>
      </c>
      <c r="CK45">
        <v>0</v>
      </c>
      <c r="CL45">
        <v>0</v>
      </c>
      <c r="CM45">
        <v>0</v>
      </c>
      <c r="CN45">
        <v>0</v>
      </c>
      <c r="CO45">
        <v>0</v>
      </c>
      <c r="CP45">
        <v>0.05</v>
      </c>
      <c r="CQ45" t="s">
        <v>1618</v>
      </c>
      <c r="CR45" t="s">
        <v>1368</v>
      </c>
      <c r="CS45" t="s">
        <v>1728</v>
      </c>
      <c r="CT45" t="s">
        <v>1724</v>
      </c>
      <c r="CU45" t="s">
        <v>1729</v>
      </c>
      <c r="CV45" t="s">
        <v>1826</v>
      </c>
      <c r="DB45" t="s">
        <v>1824</v>
      </c>
      <c r="DE45" t="s">
        <v>1724</v>
      </c>
    </row>
    <row r="46" spans="1:109" x14ac:dyDescent="0.25">
      <c r="A46" t="s">
        <v>1618</v>
      </c>
      <c r="B46">
        <v>1</v>
      </c>
      <c r="C46" s="56">
        <v>42823</v>
      </c>
      <c r="D46" t="s">
        <v>1619</v>
      </c>
      <c r="E46" t="s">
        <v>1827</v>
      </c>
      <c r="G46" t="s">
        <v>1603</v>
      </c>
      <c r="H46" t="s">
        <v>1603</v>
      </c>
      <c r="I46" t="s">
        <v>1603</v>
      </c>
      <c r="J46" t="s">
        <v>1603</v>
      </c>
      <c r="K46" t="s">
        <v>1603</v>
      </c>
      <c r="L46">
        <v>3.52</v>
      </c>
      <c r="M46">
        <v>12.01</v>
      </c>
      <c r="N46">
        <v>0</v>
      </c>
      <c r="O46" s="56"/>
      <c r="P46" s="56"/>
      <c r="Q46">
        <v>13717</v>
      </c>
      <c r="R46">
        <v>1</v>
      </c>
      <c r="S46">
        <v>8</v>
      </c>
      <c r="T46">
        <v>4</v>
      </c>
      <c r="U46">
        <v>4</v>
      </c>
      <c r="V46">
        <v>1</v>
      </c>
      <c r="X46" t="s">
        <v>1727</v>
      </c>
      <c r="AA46">
        <v>0</v>
      </c>
      <c r="AB46">
        <v>0</v>
      </c>
      <c r="AC46">
        <v>0</v>
      </c>
      <c r="AD46">
        <v>0</v>
      </c>
      <c r="AE46">
        <v>0</v>
      </c>
      <c r="AF46">
        <v>0</v>
      </c>
      <c r="AG46">
        <v>0</v>
      </c>
      <c r="AJ46" s="56">
        <v>42666</v>
      </c>
      <c r="AK46" s="56"/>
      <c r="AL46" s="56"/>
      <c r="AP46" t="s">
        <v>1604</v>
      </c>
      <c r="AR46">
        <v>100</v>
      </c>
      <c r="AS46" t="s">
        <v>1605</v>
      </c>
      <c r="AT46">
        <v>1</v>
      </c>
      <c r="AV46">
        <v>60</v>
      </c>
      <c r="AW46">
        <v>40</v>
      </c>
      <c r="AX46">
        <v>20</v>
      </c>
      <c r="AY46" t="s">
        <v>1754</v>
      </c>
      <c r="AZ46" t="s">
        <v>1754</v>
      </c>
      <c r="BA46">
        <v>58</v>
      </c>
      <c r="BD46">
        <v>1000000000</v>
      </c>
      <c r="BE46">
        <v>149</v>
      </c>
      <c r="BF46">
        <v>-1.48</v>
      </c>
      <c r="BG46">
        <v>0</v>
      </c>
      <c r="BH46">
        <v>0</v>
      </c>
      <c r="BI46">
        <v>0</v>
      </c>
      <c r="BJ46">
        <v>0</v>
      </c>
      <c r="BK46">
        <v>0</v>
      </c>
      <c r="BL46">
        <v>0</v>
      </c>
      <c r="BM46">
        <v>149</v>
      </c>
      <c r="BN46">
        <v>-1.48</v>
      </c>
      <c r="BO46">
        <v>0</v>
      </c>
      <c r="BP46">
        <v>0</v>
      </c>
      <c r="BR46">
        <v>0</v>
      </c>
      <c r="BS46">
        <v>30</v>
      </c>
      <c r="BX46">
        <v>0</v>
      </c>
      <c r="BY46">
        <v>313.27999999999997</v>
      </c>
      <c r="BZ46">
        <v>0</v>
      </c>
      <c r="CA46">
        <v>14.47</v>
      </c>
      <c r="CC46">
        <v>1</v>
      </c>
      <c r="CD46" s="56">
        <v>42709</v>
      </c>
      <c r="CE46" s="56">
        <v>42767</v>
      </c>
      <c r="CF46" s="56">
        <v>42767</v>
      </c>
      <c r="CG46" s="56">
        <v>42823</v>
      </c>
      <c r="CH46" s="56"/>
      <c r="CI46" s="56"/>
      <c r="CJ46">
        <v>0</v>
      </c>
      <c r="CK46">
        <v>0</v>
      </c>
      <c r="CL46">
        <v>0</v>
      </c>
      <c r="CM46">
        <v>0</v>
      </c>
      <c r="CN46">
        <v>0</v>
      </c>
      <c r="CO46">
        <v>0</v>
      </c>
      <c r="CP46">
        <v>0.05</v>
      </c>
      <c r="CQ46" t="s">
        <v>1618</v>
      </c>
      <c r="CR46" t="s">
        <v>1368</v>
      </c>
      <c r="CS46" t="s">
        <v>1728</v>
      </c>
      <c r="CT46" t="s">
        <v>1724</v>
      </c>
      <c r="CU46" t="s">
        <v>1729</v>
      </c>
      <c r="CV46" t="s">
        <v>1828</v>
      </c>
      <c r="DB46" t="s">
        <v>1824</v>
      </c>
      <c r="DE46" t="s">
        <v>1724</v>
      </c>
    </row>
    <row r="47" spans="1:109" x14ac:dyDescent="0.25">
      <c r="A47" t="s">
        <v>1618</v>
      </c>
      <c r="B47">
        <v>1</v>
      </c>
      <c r="C47" s="56">
        <v>42823</v>
      </c>
      <c r="D47" t="s">
        <v>1619</v>
      </c>
      <c r="E47" t="s">
        <v>1829</v>
      </c>
      <c r="G47" t="s">
        <v>1603</v>
      </c>
      <c r="H47" t="s">
        <v>1603</v>
      </c>
      <c r="I47" t="s">
        <v>1603</v>
      </c>
      <c r="J47" t="s">
        <v>1603</v>
      </c>
      <c r="K47" t="s">
        <v>1603</v>
      </c>
      <c r="L47">
        <v>8.15</v>
      </c>
      <c r="M47">
        <v>26.65</v>
      </c>
      <c r="N47">
        <v>0</v>
      </c>
      <c r="O47" s="56"/>
      <c r="P47" s="56"/>
      <c r="Q47">
        <v>13717</v>
      </c>
      <c r="R47">
        <v>1</v>
      </c>
      <c r="S47">
        <v>8</v>
      </c>
      <c r="T47">
        <v>4</v>
      </c>
      <c r="U47">
        <v>4</v>
      </c>
      <c r="V47">
        <v>1</v>
      </c>
      <c r="X47" t="s">
        <v>1727</v>
      </c>
      <c r="AA47">
        <v>0</v>
      </c>
      <c r="AB47">
        <v>0</v>
      </c>
      <c r="AC47">
        <v>0</v>
      </c>
      <c r="AD47">
        <v>0</v>
      </c>
      <c r="AE47">
        <v>0</v>
      </c>
      <c r="AF47">
        <v>0</v>
      </c>
      <c r="AG47">
        <v>0</v>
      </c>
      <c r="AJ47" s="56">
        <v>42666</v>
      </c>
      <c r="AK47" s="56"/>
      <c r="AL47" s="56"/>
      <c r="AP47" t="s">
        <v>1604</v>
      </c>
      <c r="AR47">
        <v>50</v>
      </c>
      <c r="AS47" t="s">
        <v>1605</v>
      </c>
      <c r="AT47">
        <v>1</v>
      </c>
      <c r="AV47">
        <v>50</v>
      </c>
      <c r="AW47">
        <v>33</v>
      </c>
      <c r="AX47">
        <v>17</v>
      </c>
      <c r="AY47" t="s">
        <v>1754</v>
      </c>
      <c r="AZ47" t="s">
        <v>1754</v>
      </c>
      <c r="BA47">
        <v>116</v>
      </c>
      <c r="BD47">
        <v>1000000000</v>
      </c>
      <c r="BE47">
        <v>62</v>
      </c>
      <c r="BF47">
        <v>-0.24</v>
      </c>
      <c r="BG47">
        <v>0</v>
      </c>
      <c r="BH47">
        <v>0</v>
      </c>
      <c r="BI47">
        <v>0</v>
      </c>
      <c r="BJ47">
        <v>0</v>
      </c>
      <c r="BK47">
        <v>0</v>
      </c>
      <c r="BL47">
        <v>0</v>
      </c>
      <c r="BM47">
        <v>62</v>
      </c>
      <c r="BN47">
        <v>-0.24</v>
      </c>
      <c r="BO47">
        <v>0</v>
      </c>
      <c r="BP47">
        <v>0</v>
      </c>
      <c r="BR47">
        <v>0</v>
      </c>
      <c r="BS47">
        <v>25</v>
      </c>
      <c r="BX47">
        <v>0</v>
      </c>
      <c r="BY47">
        <v>97.8</v>
      </c>
      <c r="BZ47">
        <v>0</v>
      </c>
      <c r="CA47">
        <v>13.62</v>
      </c>
      <c r="CC47">
        <v>1</v>
      </c>
      <c r="CD47" s="56">
        <v>42709</v>
      </c>
      <c r="CE47" s="56">
        <v>42767</v>
      </c>
      <c r="CF47" s="56">
        <v>42767</v>
      </c>
      <c r="CG47" s="56">
        <v>42823</v>
      </c>
      <c r="CH47" s="56"/>
      <c r="CI47" s="56"/>
      <c r="CJ47">
        <v>0</v>
      </c>
      <c r="CK47">
        <v>0</v>
      </c>
      <c r="CL47">
        <v>0</v>
      </c>
      <c r="CM47">
        <v>0</v>
      </c>
      <c r="CN47">
        <v>0</v>
      </c>
      <c r="CO47">
        <v>0</v>
      </c>
      <c r="CP47">
        <v>0.05</v>
      </c>
      <c r="CQ47" t="s">
        <v>1618</v>
      </c>
      <c r="CR47" t="s">
        <v>1368</v>
      </c>
      <c r="CS47" t="s">
        <v>1728</v>
      </c>
      <c r="CT47" t="s">
        <v>1724</v>
      </c>
      <c r="CU47" t="s">
        <v>1729</v>
      </c>
      <c r="CV47" t="s">
        <v>1830</v>
      </c>
      <c r="DB47" t="s">
        <v>1824</v>
      </c>
      <c r="DE47" t="s">
        <v>1724</v>
      </c>
    </row>
    <row r="48" spans="1:109" x14ac:dyDescent="0.25">
      <c r="A48" t="s">
        <v>1618</v>
      </c>
      <c r="B48">
        <v>1</v>
      </c>
      <c r="C48" s="56">
        <v>42823</v>
      </c>
      <c r="D48" t="s">
        <v>1619</v>
      </c>
      <c r="E48" t="s">
        <v>1417</v>
      </c>
      <c r="G48" t="s">
        <v>1603</v>
      </c>
      <c r="H48" t="s">
        <v>1603</v>
      </c>
      <c r="I48" t="s">
        <v>1603</v>
      </c>
      <c r="J48" t="s">
        <v>1603</v>
      </c>
      <c r="K48" t="s">
        <v>1603</v>
      </c>
      <c r="L48">
        <v>1.28</v>
      </c>
      <c r="M48">
        <v>8</v>
      </c>
      <c r="N48">
        <v>0</v>
      </c>
      <c r="O48" s="56"/>
      <c r="P48" s="56"/>
      <c r="Q48">
        <v>13717</v>
      </c>
      <c r="R48">
        <v>1</v>
      </c>
      <c r="S48">
        <v>8</v>
      </c>
      <c r="T48">
        <v>4</v>
      </c>
      <c r="U48">
        <v>4</v>
      </c>
      <c r="V48">
        <v>1</v>
      </c>
      <c r="X48" t="s">
        <v>1727</v>
      </c>
      <c r="Z48" t="s">
        <v>1734</v>
      </c>
      <c r="AA48">
        <v>73.91</v>
      </c>
      <c r="AB48">
        <v>887</v>
      </c>
      <c r="AC48">
        <v>1.62</v>
      </c>
      <c r="AD48">
        <v>2.4</v>
      </c>
      <c r="AE48">
        <v>0</v>
      </c>
      <c r="AF48">
        <v>0</v>
      </c>
      <c r="AG48">
        <v>0</v>
      </c>
      <c r="AJ48" s="56">
        <v>42666</v>
      </c>
      <c r="AK48" s="56"/>
      <c r="AL48" s="56"/>
      <c r="AP48" t="s">
        <v>1604</v>
      </c>
      <c r="AR48">
        <v>480</v>
      </c>
      <c r="AS48" t="s">
        <v>1605</v>
      </c>
      <c r="AT48">
        <v>1</v>
      </c>
      <c r="AV48">
        <v>480</v>
      </c>
      <c r="AW48">
        <v>319</v>
      </c>
      <c r="AX48">
        <v>158</v>
      </c>
      <c r="AY48" t="s">
        <v>1754</v>
      </c>
      <c r="AZ48" t="s">
        <v>1754</v>
      </c>
      <c r="BA48">
        <v>864</v>
      </c>
      <c r="BD48">
        <v>1000000000</v>
      </c>
      <c r="BE48">
        <v>709</v>
      </c>
      <c r="BF48">
        <v>-0.48</v>
      </c>
      <c r="BG48">
        <v>0</v>
      </c>
      <c r="BH48">
        <v>0</v>
      </c>
      <c r="BI48">
        <v>0</v>
      </c>
      <c r="BJ48">
        <v>0</v>
      </c>
      <c r="BK48">
        <v>0</v>
      </c>
      <c r="BL48">
        <v>0</v>
      </c>
      <c r="BM48">
        <v>709</v>
      </c>
      <c r="BN48">
        <v>-0.48</v>
      </c>
      <c r="BO48">
        <v>0</v>
      </c>
      <c r="BP48">
        <v>0</v>
      </c>
      <c r="BR48">
        <v>0</v>
      </c>
      <c r="BS48">
        <v>240</v>
      </c>
      <c r="BX48">
        <v>0</v>
      </c>
      <c r="BY48">
        <v>293.12</v>
      </c>
      <c r="BZ48">
        <v>0</v>
      </c>
      <c r="CA48">
        <v>31.5</v>
      </c>
      <c r="CC48">
        <v>1</v>
      </c>
      <c r="CD48" s="56">
        <v>42709</v>
      </c>
      <c r="CE48" s="56">
        <v>42767</v>
      </c>
      <c r="CF48" s="56">
        <v>42767</v>
      </c>
      <c r="CG48" s="56">
        <v>42823</v>
      </c>
      <c r="CH48" s="56"/>
      <c r="CI48" s="56"/>
      <c r="CJ48">
        <v>0</v>
      </c>
      <c r="CK48">
        <v>0</v>
      </c>
      <c r="CL48">
        <v>0</v>
      </c>
      <c r="CM48">
        <v>0</v>
      </c>
      <c r="CN48">
        <v>0</v>
      </c>
      <c r="CO48">
        <v>0</v>
      </c>
      <c r="CP48">
        <v>0.05</v>
      </c>
      <c r="CQ48" t="s">
        <v>1618</v>
      </c>
      <c r="CR48" t="s">
        <v>1368</v>
      </c>
      <c r="CS48" t="s">
        <v>1728</v>
      </c>
      <c r="CT48" t="s">
        <v>1724</v>
      </c>
      <c r="CU48" t="s">
        <v>1729</v>
      </c>
      <c r="CV48" t="s">
        <v>1831</v>
      </c>
      <c r="DB48" t="s">
        <v>1824</v>
      </c>
      <c r="DE48" t="s">
        <v>1724</v>
      </c>
    </row>
    <row r="49" spans="1:109" x14ac:dyDescent="0.25">
      <c r="A49" t="s">
        <v>1618</v>
      </c>
      <c r="B49">
        <v>1</v>
      </c>
      <c r="C49" s="56">
        <v>42823</v>
      </c>
      <c r="D49" t="s">
        <v>1619</v>
      </c>
      <c r="E49" t="s">
        <v>1418</v>
      </c>
      <c r="G49" t="s">
        <v>1603</v>
      </c>
      <c r="H49" t="s">
        <v>1603</v>
      </c>
      <c r="I49" t="s">
        <v>1603</v>
      </c>
      <c r="J49" t="s">
        <v>1603</v>
      </c>
      <c r="K49" t="s">
        <v>1603</v>
      </c>
      <c r="L49">
        <v>1.64</v>
      </c>
      <c r="M49">
        <v>9.64</v>
      </c>
      <c r="N49">
        <v>0</v>
      </c>
      <c r="O49" s="56"/>
      <c r="P49" s="56"/>
      <c r="Q49">
        <v>13717</v>
      </c>
      <c r="R49">
        <v>1</v>
      </c>
      <c r="S49">
        <v>8</v>
      </c>
      <c r="T49">
        <v>4</v>
      </c>
      <c r="U49">
        <v>4</v>
      </c>
      <c r="V49">
        <v>1</v>
      </c>
      <c r="X49" t="s">
        <v>1727</v>
      </c>
      <c r="Z49" t="s">
        <v>1734</v>
      </c>
      <c r="AA49">
        <v>3.13</v>
      </c>
      <c r="AB49">
        <v>38</v>
      </c>
      <c r="AC49">
        <v>59.9</v>
      </c>
      <c r="AD49">
        <v>65.5</v>
      </c>
      <c r="AE49">
        <v>0</v>
      </c>
      <c r="AF49">
        <v>0</v>
      </c>
      <c r="AG49">
        <v>0</v>
      </c>
      <c r="AJ49" s="56"/>
      <c r="AK49" s="56"/>
      <c r="AL49" s="56"/>
      <c r="AP49" t="s">
        <v>1604</v>
      </c>
      <c r="AR49">
        <v>250</v>
      </c>
      <c r="AS49" t="s">
        <v>1605</v>
      </c>
      <c r="AT49">
        <v>1</v>
      </c>
      <c r="AV49">
        <v>750</v>
      </c>
      <c r="AW49">
        <v>499</v>
      </c>
      <c r="AX49">
        <v>248</v>
      </c>
      <c r="AY49" t="s">
        <v>1754</v>
      </c>
      <c r="AZ49" t="s">
        <v>1754</v>
      </c>
      <c r="BA49">
        <v>864</v>
      </c>
      <c r="BD49">
        <v>1000000000</v>
      </c>
      <c r="BE49">
        <v>820</v>
      </c>
      <c r="BF49">
        <v>-0.09</v>
      </c>
      <c r="BG49">
        <v>0</v>
      </c>
      <c r="BH49">
        <v>0</v>
      </c>
      <c r="BI49">
        <v>0</v>
      </c>
      <c r="BJ49">
        <v>0</v>
      </c>
      <c r="BK49">
        <v>0</v>
      </c>
      <c r="BL49">
        <v>0</v>
      </c>
      <c r="BM49">
        <v>820</v>
      </c>
      <c r="BN49">
        <v>-0.09</v>
      </c>
      <c r="BO49">
        <v>0</v>
      </c>
      <c r="BP49">
        <v>0</v>
      </c>
      <c r="BR49">
        <v>0</v>
      </c>
      <c r="BS49">
        <v>375</v>
      </c>
      <c r="BX49">
        <v>0</v>
      </c>
      <c r="BY49">
        <v>114.8</v>
      </c>
      <c r="BZ49">
        <v>0</v>
      </c>
      <c r="CA49">
        <v>29.27</v>
      </c>
      <c r="CC49">
        <v>1</v>
      </c>
      <c r="CD49" s="56">
        <v>42709</v>
      </c>
      <c r="CE49" s="56">
        <v>42767</v>
      </c>
      <c r="CF49" s="56">
        <v>42767</v>
      </c>
      <c r="CG49" s="56">
        <v>42823</v>
      </c>
      <c r="CH49" s="56"/>
      <c r="CI49" s="56"/>
      <c r="CJ49">
        <v>0</v>
      </c>
      <c r="CK49">
        <v>0</v>
      </c>
      <c r="CL49">
        <v>0</v>
      </c>
      <c r="CM49">
        <v>0</v>
      </c>
      <c r="CN49">
        <v>0</v>
      </c>
      <c r="CO49">
        <v>0</v>
      </c>
      <c r="CP49">
        <v>0.05</v>
      </c>
      <c r="CQ49" t="s">
        <v>1618</v>
      </c>
      <c r="CR49" t="s">
        <v>1368</v>
      </c>
      <c r="CS49" t="s">
        <v>1728</v>
      </c>
      <c r="CT49" t="s">
        <v>1724</v>
      </c>
      <c r="CU49" t="s">
        <v>1729</v>
      </c>
      <c r="CV49" t="s">
        <v>1832</v>
      </c>
      <c r="DB49" t="s">
        <v>1824</v>
      </c>
      <c r="DE49" t="s">
        <v>1724</v>
      </c>
    </row>
    <row r="50" spans="1:109" x14ac:dyDescent="0.25">
      <c r="A50" t="s">
        <v>1618</v>
      </c>
      <c r="B50">
        <v>1</v>
      </c>
      <c r="C50" s="56">
        <v>42823</v>
      </c>
      <c r="D50" t="s">
        <v>1619</v>
      </c>
      <c r="E50" t="s">
        <v>1419</v>
      </c>
      <c r="G50" t="s">
        <v>1603</v>
      </c>
      <c r="H50" t="s">
        <v>1603</v>
      </c>
      <c r="I50" t="s">
        <v>1603</v>
      </c>
      <c r="J50" t="s">
        <v>1603</v>
      </c>
      <c r="K50" t="s">
        <v>1603</v>
      </c>
      <c r="L50">
        <v>1.98</v>
      </c>
      <c r="M50">
        <v>10.33</v>
      </c>
      <c r="N50">
        <v>0</v>
      </c>
      <c r="O50" s="56"/>
      <c r="P50" s="56"/>
      <c r="Q50">
        <v>13717</v>
      </c>
      <c r="R50">
        <v>1</v>
      </c>
      <c r="S50">
        <v>8</v>
      </c>
      <c r="T50">
        <v>4</v>
      </c>
      <c r="U50">
        <v>4</v>
      </c>
      <c r="V50">
        <v>1</v>
      </c>
      <c r="X50" t="s">
        <v>1727</v>
      </c>
      <c r="Z50" t="s">
        <v>1734</v>
      </c>
      <c r="AA50">
        <v>2.93</v>
      </c>
      <c r="AB50">
        <v>36</v>
      </c>
      <c r="AC50">
        <v>12.8</v>
      </c>
      <c r="AD50">
        <v>152.65</v>
      </c>
      <c r="AE50">
        <v>0</v>
      </c>
      <c r="AF50">
        <v>0</v>
      </c>
      <c r="AG50">
        <v>0</v>
      </c>
      <c r="AJ50" s="56">
        <v>42666</v>
      </c>
      <c r="AK50" s="56"/>
      <c r="AL50" s="56"/>
      <c r="AP50" t="s">
        <v>1604</v>
      </c>
      <c r="AR50">
        <v>720</v>
      </c>
      <c r="AS50" t="s">
        <v>1605</v>
      </c>
      <c r="AT50">
        <v>1</v>
      </c>
      <c r="AV50">
        <v>150</v>
      </c>
      <c r="AW50">
        <v>100</v>
      </c>
      <c r="AX50">
        <v>50</v>
      </c>
      <c r="AY50" t="s">
        <v>1754</v>
      </c>
      <c r="AZ50" t="s">
        <v>1754</v>
      </c>
      <c r="BA50">
        <v>120</v>
      </c>
      <c r="BD50">
        <v>1000000000</v>
      </c>
      <c r="BE50">
        <v>1789</v>
      </c>
      <c r="BF50">
        <v>-10.93</v>
      </c>
      <c r="BG50">
        <v>0</v>
      </c>
      <c r="BH50">
        <v>0</v>
      </c>
      <c r="BI50">
        <v>0</v>
      </c>
      <c r="BJ50">
        <v>0</v>
      </c>
      <c r="BK50">
        <v>0</v>
      </c>
      <c r="BL50">
        <v>0</v>
      </c>
      <c r="BM50">
        <v>1789</v>
      </c>
      <c r="BN50">
        <v>-10.93</v>
      </c>
      <c r="BO50">
        <v>0</v>
      </c>
      <c r="BP50">
        <v>0</v>
      </c>
      <c r="BR50">
        <v>0</v>
      </c>
      <c r="BS50">
        <v>75</v>
      </c>
      <c r="BX50">
        <v>0</v>
      </c>
      <c r="BY50">
        <v>3245.22</v>
      </c>
      <c r="BZ50">
        <v>0</v>
      </c>
      <c r="CA50">
        <v>25.3</v>
      </c>
      <c r="CC50">
        <v>1</v>
      </c>
      <c r="CD50" s="56">
        <v>42709</v>
      </c>
      <c r="CE50" s="56">
        <v>42767</v>
      </c>
      <c r="CF50" s="56">
        <v>42767</v>
      </c>
      <c r="CG50" s="56">
        <v>42823</v>
      </c>
      <c r="CH50" s="56"/>
      <c r="CI50" s="56"/>
      <c r="CJ50">
        <v>0</v>
      </c>
      <c r="CK50">
        <v>0</v>
      </c>
      <c r="CL50">
        <v>0</v>
      </c>
      <c r="CM50">
        <v>0</v>
      </c>
      <c r="CN50">
        <v>0</v>
      </c>
      <c r="CO50">
        <v>0</v>
      </c>
      <c r="CP50">
        <v>0.05</v>
      </c>
      <c r="CQ50" t="s">
        <v>1618</v>
      </c>
      <c r="CR50" t="s">
        <v>1368</v>
      </c>
      <c r="CS50" t="s">
        <v>1728</v>
      </c>
      <c r="CT50" t="s">
        <v>1724</v>
      </c>
      <c r="CU50" t="s">
        <v>1729</v>
      </c>
      <c r="CV50" t="s">
        <v>1833</v>
      </c>
      <c r="DB50" t="s">
        <v>1824</v>
      </c>
      <c r="DE50" t="s">
        <v>1724</v>
      </c>
    </row>
    <row r="51" spans="1:109" x14ac:dyDescent="0.25">
      <c r="A51" t="s">
        <v>1618</v>
      </c>
      <c r="B51">
        <v>1</v>
      </c>
      <c r="C51" s="56">
        <v>42823</v>
      </c>
      <c r="D51" t="s">
        <v>1619</v>
      </c>
      <c r="E51" t="s">
        <v>1420</v>
      </c>
      <c r="G51" t="s">
        <v>1603</v>
      </c>
      <c r="H51" t="s">
        <v>1603</v>
      </c>
      <c r="I51" t="s">
        <v>1603</v>
      </c>
      <c r="J51" t="s">
        <v>1603</v>
      </c>
      <c r="K51" t="s">
        <v>1603</v>
      </c>
      <c r="L51">
        <v>3.77</v>
      </c>
      <c r="M51">
        <v>16.22</v>
      </c>
      <c r="N51">
        <v>0</v>
      </c>
      <c r="O51" s="56"/>
      <c r="P51" s="56"/>
      <c r="Q51">
        <v>13717</v>
      </c>
      <c r="R51">
        <v>1</v>
      </c>
      <c r="S51">
        <v>8</v>
      </c>
      <c r="T51">
        <v>4</v>
      </c>
      <c r="U51">
        <v>4</v>
      </c>
      <c r="V51">
        <v>1</v>
      </c>
      <c r="X51" t="s">
        <v>1753</v>
      </c>
      <c r="Z51" t="s">
        <v>1734</v>
      </c>
      <c r="AA51">
        <v>176.68</v>
      </c>
      <c r="AB51">
        <v>2121</v>
      </c>
      <c r="AC51">
        <v>0.85</v>
      </c>
      <c r="AD51">
        <v>1.1000000000000001</v>
      </c>
      <c r="AE51">
        <v>0</v>
      </c>
      <c r="AF51">
        <v>0</v>
      </c>
      <c r="AG51">
        <v>0</v>
      </c>
      <c r="AJ51" s="56">
        <v>42666</v>
      </c>
      <c r="AK51" s="56"/>
      <c r="AL51" s="56"/>
      <c r="AP51" t="s">
        <v>1604</v>
      </c>
      <c r="AR51">
        <v>50</v>
      </c>
      <c r="AS51" t="s">
        <v>1605</v>
      </c>
      <c r="AT51">
        <v>1</v>
      </c>
      <c r="AV51">
        <v>600</v>
      </c>
      <c r="AW51">
        <v>399</v>
      </c>
      <c r="AX51">
        <v>198</v>
      </c>
      <c r="AY51" t="s">
        <v>1754</v>
      </c>
      <c r="AZ51" t="s">
        <v>1754</v>
      </c>
      <c r="BA51">
        <v>116</v>
      </c>
      <c r="BD51">
        <v>1000000000</v>
      </c>
      <c r="BE51">
        <v>778</v>
      </c>
      <c r="BF51">
        <v>-0.3</v>
      </c>
      <c r="BG51">
        <v>0</v>
      </c>
      <c r="BH51">
        <v>0</v>
      </c>
      <c r="BI51">
        <v>0</v>
      </c>
      <c r="BJ51">
        <v>0</v>
      </c>
      <c r="BK51">
        <v>0</v>
      </c>
      <c r="BL51">
        <v>0</v>
      </c>
      <c r="BM51">
        <v>778</v>
      </c>
      <c r="BN51">
        <v>-0.3</v>
      </c>
      <c r="BO51">
        <v>0</v>
      </c>
      <c r="BP51">
        <v>0</v>
      </c>
      <c r="BR51">
        <v>0</v>
      </c>
      <c r="BS51">
        <v>300</v>
      </c>
      <c r="BX51">
        <v>0</v>
      </c>
      <c r="BY51">
        <v>671.06</v>
      </c>
      <c r="BZ51">
        <v>0</v>
      </c>
      <c r="CA51">
        <v>19.809999999999999</v>
      </c>
      <c r="CC51">
        <v>1</v>
      </c>
      <c r="CD51" s="56">
        <v>42592</v>
      </c>
      <c r="CE51" s="56">
        <v>42767</v>
      </c>
      <c r="CF51" s="56">
        <v>42767</v>
      </c>
      <c r="CG51" s="56">
        <v>42823</v>
      </c>
      <c r="CH51" s="56"/>
      <c r="CI51" s="56"/>
      <c r="CJ51">
        <v>0</v>
      </c>
      <c r="CK51">
        <v>0</v>
      </c>
      <c r="CL51">
        <v>0</v>
      </c>
      <c r="CM51">
        <v>0</v>
      </c>
      <c r="CN51">
        <v>0</v>
      </c>
      <c r="CO51">
        <v>0</v>
      </c>
      <c r="CP51">
        <v>0.05</v>
      </c>
      <c r="CQ51" t="s">
        <v>1618</v>
      </c>
      <c r="CR51" t="s">
        <v>1368</v>
      </c>
      <c r="CS51" t="s">
        <v>1728</v>
      </c>
      <c r="CT51" t="s">
        <v>1724</v>
      </c>
      <c r="CU51" t="s">
        <v>1729</v>
      </c>
      <c r="CV51" t="s">
        <v>1834</v>
      </c>
      <c r="DB51" t="s">
        <v>1824</v>
      </c>
      <c r="DE51" t="s">
        <v>1724</v>
      </c>
    </row>
    <row r="52" spans="1:109" x14ac:dyDescent="0.25">
      <c r="A52" t="s">
        <v>1618</v>
      </c>
      <c r="B52">
        <v>1</v>
      </c>
      <c r="C52" s="56">
        <v>42823</v>
      </c>
      <c r="D52" t="s">
        <v>1619</v>
      </c>
      <c r="E52" t="s">
        <v>1835</v>
      </c>
      <c r="G52" t="s">
        <v>1603</v>
      </c>
      <c r="H52" t="s">
        <v>1603</v>
      </c>
      <c r="I52" t="s">
        <v>1603</v>
      </c>
      <c r="J52" t="s">
        <v>1603</v>
      </c>
      <c r="K52" t="s">
        <v>1603</v>
      </c>
      <c r="L52">
        <v>5.25</v>
      </c>
      <c r="M52">
        <v>26.95</v>
      </c>
      <c r="N52">
        <v>0</v>
      </c>
      <c r="O52" s="56"/>
      <c r="P52" s="56"/>
      <c r="Q52">
        <v>13717</v>
      </c>
      <c r="R52">
        <v>1</v>
      </c>
      <c r="S52">
        <v>8</v>
      </c>
      <c r="T52">
        <v>4</v>
      </c>
      <c r="U52">
        <v>4</v>
      </c>
      <c r="V52">
        <v>1</v>
      </c>
      <c r="X52" t="s">
        <v>1727</v>
      </c>
      <c r="AA52">
        <v>0</v>
      </c>
      <c r="AB52">
        <v>0</v>
      </c>
      <c r="AC52">
        <v>0</v>
      </c>
      <c r="AD52">
        <v>0</v>
      </c>
      <c r="AE52">
        <v>0</v>
      </c>
      <c r="AF52">
        <v>0</v>
      </c>
      <c r="AG52">
        <v>0</v>
      </c>
      <c r="AJ52" s="56">
        <v>42666</v>
      </c>
      <c r="AK52" s="56"/>
      <c r="AL52" s="56"/>
      <c r="AP52" t="s">
        <v>1604</v>
      </c>
      <c r="AR52">
        <v>50</v>
      </c>
      <c r="AS52" t="s">
        <v>1605</v>
      </c>
      <c r="AT52">
        <v>1</v>
      </c>
      <c r="AV52">
        <v>50</v>
      </c>
      <c r="AW52">
        <v>33</v>
      </c>
      <c r="AX52">
        <v>17</v>
      </c>
      <c r="AY52" t="s">
        <v>1754</v>
      </c>
      <c r="AZ52" t="s">
        <v>1754</v>
      </c>
      <c r="BA52">
        <v>29</v>
      </c>
      <c r="BD52">
        <v>1000000000</v>
      </c>
      <c r="BE52">
        <v>235</v>
      </c>
      <c r="BF52">
        <v>-3.7</v>
      </c>
      <c r="BG52">
        <v>0</v>
      </c>
      <c r="BH52">
        <v>0</v>
      </c>
      <c r="BI52">
        <v>0</v>
      </c>
      <c r="BJ52">
        <v>0</v>
      </c>
      <c r="BK52">
        <v>0</v>
      </c>
      <c r="BL52">
        <v>0</v>
      </c>
      <c r="BM52">
        <v>235</v>
      </c>
      <c r="BN52">
        <v>-3.7</v>
      </c>
      <c r="BO52">
        <v>0</v>
      </c>
      <c r="BP52">
        <v>0</v>
      </c>
      <c r="BR52">
        <v>0</v>
      </c>
      <c r="BS52">
        <v>25</v>
      </c>
      <c r="BX52">
        <v>0</v>
      </c>
      <c r="BY52">
        <v>971.25</v>
      </c>
      <c r="BZ52">
        <v>0</v>
      </c>
      <c r="CA52">
        <v>24.8</v>
      </c>
      <c r="CC52">
        <v>1</v>
      </c>
      <c r="CD52" s="56">
        <v>42709</v>
      </c>
      <c r="CE52" s="56">
        <v>42767</v>
      </c>
      <c r="CF52" s="56">
        <v>42767</v>
      </c>
      <c r="CG52" s="56">
        <v>42823</v>
      </c>
      <c r="CH52" s="56"/>
      <c r="CI52" s="56"/>
      <c r="CJ52">
        <v>0</v>
      </c>
      <c r="CK52">
        <v>0</v>
      </c>
      <c r="CL52">
        <v>0</v>
      </c>
      <c r="CM52">
        <v>0</v>
      </c>
      <c r="CN52">
        <v>0</v>
      </c>
      <c r="CO52">
        <v>0</v>
      </c>
      <c r="CP52">
        <v>0.05</v>
      </c>
      <c r="CQ52" t="s">
        <v>1618</v>
      </c>
      <c r="CR52" t="s">
        <v>1368</v>
      </c>
      <c r="CS52" t="s">
        <v>1728</v>
      </c>
      <c r="CT52" t="s">
        <v>1724</v>
      </c>
      <c r="CU52" t="s">
        <v>1729</v>
      </c>
      <c r="CV52" t="s">
        <v>1836</v>
      </c>
      <c r="DB52" t="s">
        <v>1824</v>
      </c>
      <c r="DE52" t="s">
        <v>1724</v>
      </c>
    </row>
    <row r="53" spans="1:109" x14ac:dyDescent="0.25">
      <c r="A53" t="s">
        <v>1618</v>
      </c>
      <c r="B53">
        <v>1</v>
      </c>
      <c r="C53" s="56">
        <v>42823</v>
      </c>
      <c r="D53" t="s">
        <v>1619</v>
      </c>
      <c r="E53" t="s">
        <v>1837</v>
      </c>
      <c r="G53" t="s">
        <v>1603</v>
      </c>
      <c r="H53" t="s">
        <v>1603</v>
      </c>
      <c r="I53" t="s">
        <v>1603</v>
      </c>
      <c r="J53" t="s">
        <v>1603</v>
      </c>
      <c r="K53" t="s">
        <v>1603</v>
      </c>
      <c r="L53">
        <v>8.27</v>
      </c>
      <c r="M53">
        <v>24.2</v>
      </c>
      <c r="N53">
        <v>0</v>
      </c>
      <c r="O53" s="56"/>
      <c r="P53" s="56"/>
      <c r="Q53">
        <v>13717</v>
      </c>
      <c r="R53">
        <v>1</v>
      </c>
      <c r="S53">
        <v>8</v>
      </c>
      <c r="T53">
        <v>4</v>
      </c>
      <c r="U53">
        <v>4</v>
      </c>
      <c r="V53">
        <v>1</v>
      </c>
      <c r="X53" t="s">
        <v>1753</v>
      </c>
      <c r="AA53">
        <v>0</v>
      </c>
      <c r="AB53">
        <v>0</v>
      </c>
      <c r="AC53">
        <v>0</v>
      </c>
      <c r="AD53">
        <v>0</v>
      </c>
      <c r="AE53">
        <v>0</v>
      </c>
      <c r="AF53">
        <v>0</v>
      </c>
      <c r="AG53">
        <v>0</v>
      </c>
      <c r="AJ53" s="56"/>
      <c r="AK53" s="56"/>
      <c r="AL53" s="56"/>
      <c r="AP53" t="s">
        <v>1604</v>
      </c>
      <c r="AR53">
        <v>50</v>
      </c>
      <c r="AS53" t="s">
        <v>1605</v>
      </c>
      <c r="AT53">
        <v>1</v>
      </c>
      <c r="AV53">
        <v>0</v>
      </c>
      <c r="AW53">
        <v>0</v>
      </c>
      <c r="AX53">
        <v>0</v>
      </c>
      <c r="AY53" t="s">
        <v>1606</v>
      </c>
      <c r="AZ53" t="s">
        <v>1606</v>
      </c>
      <c r="BA53">
        <v>10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6">
        <v>42592</v>
      </c>
      <c r="CE53" s="56">
        <v>42767</v>
      </c>
      <c r="CF53" s="56">
        <v>42767</v>
      </c>
      <c r="CG53" s="56">
        <v>42823</v>
      </c>
      <c r="CH53" s="56"/>
      <c r="CI53" s="56"/>
      <c r="CJ53">
        <v>1</v>
      </c>
      <c r="CK53">
        <v>0</v>
      </c>
      <c r="CL53">
        <v>0.05</v>
      </c>
      <c r="CM53">
        <v>0</v>
      </c>
      <c r="CN53">
        <v>0</v>
      </c>
      <c r="CO53">
        <v>0</v>
      </c>
      <c r="CP53">
        <v>0</v>
      </c>
      <c r="CQ53" t="s">
        <v>1618</v>
      </c>
      <c r="CR53" t="s">
        <v>1368</v>
      </c>
      <c r="CS53" t="s">
        <v>1728</v>
      </c>
      <c r="CT53" t="s">
        <v>1724</v>
      </c>
      <c r="CU53" t="s">
        <v>1729</v>
      </c>
      <c r="CV53" t="s">
        <v>1838</v>
      </c>
      <c r="DB53" t="s">
        <v>1824</v>
      </c>
      <c r="DE53" t="s">
        <v>1724</v>
      </c>
    </row>
    <row r="54" spans="1:109" x14ac:dyDescent="0.25">
      <c r="A54" t="s">
        <v>1618</v>
      </c>
      <c r="B54">
        <v>1</v>
      </c>
      <c r="C54" s="56">
        <v>42823</v>
      </c>
      <c r="D54" t="s">
        <v>1619</v>
      </c>
      <c r="E54" t="s">
        <v>1839</v>
      </c>
      <c r="G54" t="s">
        <v>1603</v>
      </c>
      <c r="H54" t="s">
        <v>1603</v>
      </c>
      <c r="I54" t="s">
        <v>1603</v>
      </c>
      <c r="J54" t="s">
        <v>1603</v>
      </c>
      <c r="K54" t="s">
        <v>1603</v>
      </c>
      <c r="L54">
        <v>2.7</v>
      </c>
      <c r="M54">
        <v>10.38</v>
      </c>
      <c r="N54">
        <v>0</v>
      </c>
      <c r="O54" s="56"/>
      <c r="P54" s="56"/>
      <c r="Q54">
        <v>13717</v>
      </c>
      <c r="R54">
        <v>1</v>
      </c>
      <c r="S54">
        <v>8</v>
      </c>
      <c r="T54">
        <v>4</v>
      </c>
      <c r="U54">
        <v>4</v>
      </c>
      <c r="V54">
        <v>1</v>
      </c>
      <c r="W54" t="s">
        <v>1723</v>
      </c>
      <c r="X54" t="s">
        <v>1727</v>
      </c>
      <c r="Y54">
        <v>67</v>
      </c>
      <c r="AA54">
        <v>0</v>
      </c>
      <c r="AB54">
        <v>0</v>
      </c>
      <c r="AC54">
        <v>0</v>
      </c>
      <c r="AD54">
        <v>0</v>
      </c>
      <c r="AE54">
        <v>0</v>
      </c>
      <c r="AF54">
        <v>0</v>
      </c>
      <c r="AG54">
        <v>0</v>
      </c>
      <c r="AJ54" s="56">
        <v>42666</v>
      </c>
      <c r="AK54" s="56"/>
      <c r="AL54" s="56"/>
      <c r="AP54" t="s">
        <v>1604</v>
      </c>
      <c r="AR54">
        <v>100</v>
      </c>
      <c r="AS54" t="s">
        <v>1605</v>
      </c>
      <c r="AT54">
        <v>1</v>
      </c>
      <c r="AV54">
        <v>50</v>
      </c>
      <c r="AW54">
        <v>33</v>
      </c>
      <c r="AX54">
        <v>17</v>
      </c>
      <c r="AY54" t="s">
        <v>1621</v>
      </c>
      <c r="AZ54" t="s">
        <v>1621</v>
      </c>
      <c r="BA54">
        <v>48</v>
      </c>
      <c r="BD54">
        <v>1000000000</v>
      </c>
      <c r="BE54">
        <v>2</v>
      </c>
      <c r="BF54">
        <v>0.96</v>
      </c>
      <c r="BG54">
        <v>0</v>
      </c>
      <c r="BH54">
        <v>0</v>
      </c>
      <c r="BI54">
        <v>0</v>
      </c>
      <c r="BJ54">
        <v>0</v>
      </c>
      <c r="BK54">
        <v>0</v>
      </c>
      <c r="BL54">
        <v>0</v>
      </c>
      <c r="BM54">
        <v>2</v>
      </c>
      <c r="BN54">
        <v>0.96</v>
      </c>
      <c r="BO54">
        <v>0</v>
      </c>
      <c r="BP54">
        <v>0</v>
      </c>
      <c r="BR54">
        <v>0</v>
      </c>
      <c r="BS54">
        <v>25</v>
      </c>
      <c r="BX54">
        <v>115.2</v>
      </c>
      <c r="BY54">
        <v>0</v>
      </c>
      <c r="BZ54">
        <v>0</v>
      </c>
      <c r="CA54">
        <v>17.07</v>
      </c>
      <c r="CC54">
        <v>1</v>
      </c>
      <c r="CD54" s="56">
        <v>42709</v>
      </c>
      <c r="CE54" s="56">
        <v>42767</v>
      </c>
      <c r="CF54" s="56">
        <v>42767</v>
      </c>
      <c r="CG54" s="56">
        <v>42823</v>
      </c>
      <c r="CH54" s="56"/>
      <c r="CI54" s="56"/>
      <c r="CJ54">
        <v>0</v>
      </c>
      <c r="CK54">
        <v>30</v>
      </c>
      <c r="CL54">
        <v>0</v>
      </c>
      <c r="CM54">
        <v>0.05</v>
      </c>
      <c r="CN54">
        <v>0</v>
      </c>
      <c r="CO54">
        <v>0</v>
      </c>
      <c r="CP54">
        <v>0</v>
      </c>
      <c r="CQ54" t="s">
        <v>1618</v>
      </c>
      <c r="CR54" t="s">
        <v>1368</v>
      </c>
      <c r="CS54" t="s">
        <v>1728</v>
      </c>
      <c r="CT54" t="s">
        <v>1724</v>
      </c>
      <c r="CU54" t="s">
        <v>1729</v>
      </c>
      <c r="CV54" t="s">
        <v>1840</v>
      </c>
      <c r="DB54" t="s">
        <v>1824</v>
      </c>
      <c r="DE54" t="s">
        <v>1724</v>
      </c>
    </row>
    <row r="55" spans="1:109" x14ac:dyDescent="0.25">
      <c r="A55" t="s">
        <v>1618</v>
      </c>
      <c r="B55">
        <v>1</v>
      </c>
      <c r="C55" s="56">
        <v>42823</v>
      </c>
      <c r="D55" t="s">
        <v>1619</v>
      </c>
      <c r="E55" t="s">
        <v>1841</v>
      </c>
      <c r="G55" t="s">
        <v>1603</v>
      </c>
      <c r="H55" t="s">
        <v>1603</v>
      </c>
      <c r="I55" t="s">
        <v>1603</v>
      </c>
      <c r="J55" t="s">
        <v>1603</v>
      </c>
      <c r="K55" t="s">
        <v>1603</v>
      </c>
      <c r="L55">
        <v>9.2200000000000006</v>
      </c>
      <c r="M55">
        <v>34.58</v>
      </c>
      <c r="N55">
        <v>0</v>
      </c>
      <c r="O55" s="56"/>
      <c r="P55" s="56"/>
      <c r="Q55">
        <v>13717</v>
      </c>
      <c r="R55">
        <v>1</v>
      </c>
      <c r="S55">
        <v>8</v>
      </c>
      <c r="T55">
        <v>4</v>
      </c>
      <c r="U55">
        <v>4</v>
      </c>
      <c r="V55">
        <v>1</v>
      </c>
      <c r="X55" t="s">
        <v>1738</v>
      </c>
      <c r="AA55">
        <v>0</v>
      </c>
      <c r="AB55">
        <v>0</v>
      </c>
      <c r="AC55">
        <v>0</v>
      </c>
      <c r="AD55">
        <v>0</v>
      </c>
      <c r="AE55">
        <v>0</v>
      </c>
      <c r="AF55">
        <v>0</v>
      </c>
      <c r="AG55">
        <v>0</v>
      </c>
      <c r="AJ55" s="56"/>
      <c r="AK55" s="56"/>
      <c r="AL55" s="56"/>
      <c r="AP55" t="s">
        <v>1604</v>
      </c>
      <c r="AR55">
        <v>200</v>
      </c>
      <c r="AS55" t="s">
        <v>1605</v>
      </c>
      <c r="AT55">
        <v>1</v>
      </c>
      <c r="AV55">
        <v>0</v>
      </c>
      <c r="AW55">
        <v>0</v>
      </c>
      <c r="AX55">
        <v>0</v>
      </c>
      <c r="AY55" t="s">
        <v>1606</v>
      </c>
      <c r="AZ55" t="s">
        <v>1606</v>
      </c>
      <c r="BA55">
        <v>0</v>
      </c>
      <c r="BD55">
        <v>1000000000</v>
      </c>
      <c r="BE55">
        <v>186</v>
      </c>
      <c r="BF55">
        <v>0</v>
      </c>
      <c r="BG55">
        <v>0</v>
      </c>
      <c r="BH55">
        <v>0</v>
      </c>
      <c r="BI55">
        <v>0</v>
      </c>
      <c r="BJ55">
        <v>0</v>
      </c>
      <c r="BK55">
        <v>0</v>
      </c>
      <c r="BL55">
        <v>0</v>
      </c>
      <c r="BM55">
        <v>186</v>
      </c>
      <c r="BN55">
        <v>0</v>
      </c>
      <c r="BO55">
        <v>0</v>
      </c>
      <c r="BP55">
        <v>0</v>
      </c>
      <c r="BR55">
        <v>0</v>
      </c>
      <c r="BS55">
        <v>0</v>
      </c>
      <c r="BX55">
        <v>0</v>
      </c>
      <c r="BY55">
        <v>0</v>
      </c>
      <c r="BZ55">
        <v>0</v>
      </c>
      <c r="CA55">
        <v>0</v>
      </c>
      <c r="CC55">
        <v>1</v>
      </c>
      <c r="CD55" s="56">
        <v>42593</v>
      </c>
      <c r="CE55" s="56">
        <v>42767</v>
      </c>
      <c r="CF55" s="56">
        <v>42767</v>
      </c>
      <c r="CG55" s="56">
        <v>42823</v>
      </c>
      <c r="CH55" s="56"/>
      <c r="CI55" s="56"/>
      <c r="CJ55">
        <v>0</v>
      </c>
      <c r="CK55">
        <v>0</v>
      </c>
      <c r="CL55">
        <v>0</v>
      </c>
      <c r="CM55">
        <v>0</v>
      </c>
      <c r="CN55">
        <v>0</v>
      </c>
      <c r="CO55">
        <v>0</v>
      </c>
      <c r="CP55">
        <v>0.05</v>
      </c>
      <c r="CQ55" t="s">
        <v>1618</v>
      </c>
      <c r="CR55" t="s">
        <v>1368</v>
      </c>
      <c r="CS55" t="s">
        <v>1728</v>
      </c>
      <c r="CT55" t="s">
        <v>1724</v>
      </c>
      <c r="CU55" t="s">
        <v>1729</v>
      </c>
      <c r="CV55" t="s">
        <v>1842</v>
      </c>
      <c r="DB55" t="s">
        <v>1824</v>
      </c>
      <c r="DE55" t="s">
        <v>1724</v>
      </c>
    </row>
    <row r="56" spans="1:109" x14ac:dyDescent="0.25">
      <c r="A56" t="s">
        <v>1618</v>
      </c>
      <c r="B56">
        <v>1</v>
      </c>
      <c r="C56" s="56">
        <v>42823</v>
      </c>
      <c r="D56" t="s">
        <v>1619</v>
      </c>
      <c r="E56" t="s">
        <v>1421</v>
      </c>
      <c r="G56" t="s">
        <v>1603</v>
      </c>
      <c r="H56" t="s">
        <v>1603</v>
      </c>
      <c r="I56" t="s">
        <v>1603</v>
      </c>
      <c r="J56" t="s">
        <v>1603</v>
      </c>
      <c r="K56" t="s">
        <v>1603</v>
      </c>
      <c r="L56">
        <v>1.76</v>
      </c>
      <c r="M56">
        <v>5.15</v>
      </c>
      <c r="N56">
        <v>0</v>
      </c>
      <c r="O56" s="56"/>
      <c r="P56" s="56"/>
      <c r="Q56">
        <v>13717</v>
      </c>
      <c r="R56">
        <v>1</v>
      </c>
      <c r="S56">
        <v>8</v>
      </c>
      <c r="T56">
        <v>4</v>
      </c>
      <c r="U56">
        <v>4</v>
      </c>
      <c r="V56">
        <v>1</v>
      </c>
      <c r="X56" t="s">
        <v>1727</v>
      </c>
      <c r="Z56" t="s">
        <v>1734</v>
      </c>
      <c r="AA56">
        <v>160.53</v>
      </c>
      <c r="AB56">
        <v>1927</v>
      </c>
      <c r="AC56">
        <v>0.31</v>
      </c>
      <c r="AD56">
        <v>0.83</v>
      </c>
      <c r="AE56">
        <v>0</v>
      </c>
      <c r="AF56">
        <v>0</v>
      </c>
      <c r="AG56">
        <v>0</v>
      </c>
      <c r="AJ56" s="56">
        <v>42666</v>
      </c>
      <c r="AK56" s="56"/>
      <c r="AL56" s="56"/>
      <c r="AP56" t="s">
        <v>1604</v>
      </c>
      <c r="AR56">
        <v>100</v>
      </c>
      <c r="AS56" t="s">
        <v>1605</v>
      </c>
      <c r="AT56">
        <v>1</v>
      </c>
      <c r="AV56">
        <v>200</v>
      </c>
      <c r="AW56">
        <v>133</v>
      </c>
      <c r="AX56">
        <v>66</v>
      </c>
      <c r="AY56" t="s">
        <v>1754</v>
      </c>
      <c r="AZ56" t="s">
        <v>1754</v>
      </c>
      <c r="BA56">
        <v>240</v>
      </c>
      <c r="BD56">
        <v>1000000000</v>
      </c>
      <c r="BE56">
        <v>530</v>
      </c>
      <c r="BF56">
        <v>-1.65</v>
      </c>
      <c r="BG56">
        <v>0</v>
      </c>
      <c r="BH56">
        <v>0</v>
      </c>
      <c r="BI56">
        <v>0</v>
      </c>
      <c r="BJ56">
        <v>0</v>
      </c>
      <c r="BK56">
        <v>0</v>
      </c>
      <c r="BL56">
        <v>0</v>
      </c>
      <c r="BM56">
        <v>530</v>
      </c>
      <c r="BN56">
        <v>-1.65</v>
      </c>
      <c r="BO56">
        <v>0</v>
      </c>
      <c r="BP56">
        <v>0</v>
      </c>
      <c r="BR56">
        <v>0</v>
      </c>
      <c r="BS56">
        <v>100</v>
      </c>
      <c r="BX56">
        <v>0</v>
      </c>
      <c r="BY56">
        <v>580.79999999999995</v>
      </c>
      <c r="BZ56">
        <v>0</v>
      </c>
      <c r="CA56">
        <v>11.56</v>
      </c>
      <c r="CC56">
        <v>1</v>
      </c>
      <c r="CD56" s="56">
        <v>42709</v>
      </c>
      <c r="CE56" s="56">
        <v>42767</v>
      </c>
      <c r="CF56" s="56">
        <v>42767</v>
      </c>
      <c r="CG56" s="56">
        <v>42823</v>
      </c>
      <c r="CH56" s="56"/>
      <c r="CI56" s="56"/>
      <c r="CJ56">
        <v>0</v>
      </c>
      <c r="CK56">
        <v>0</v>
      </c>
      <c r="CL56">
        <v>0</v>
      </c>
      <c r="CM56">
        <v>0</v>
      </c>
      <c r="CN56">
        <v>0</v>
      </c>
      <c r="CO56">
        <v>0</v>
      </c>
      <c r="CP56">
        <v>0.05</v>
      </c>
      <c r="CQ56" t="s">
        <v>1618</v>
      </c>
      <c r="CR56" t="s">
        <v>1368</v>
      </c>
      <c r="CS56" t="s">
        <v>1728</v>
      </c>
      <c r="CT56" t="s">
        <v>1724</v>
      </c>
      <c r="CU56" t="s">
        <v>1729</v>
      </c>
      <c r="CV56" t="s">
        <v>1843</v>
      </c>
      <c r="DB56" t="s">
        <v>1824</v>
      </c>
      <c r="DE56" t="s">
        <v>1724</v>
      </c>
    </row>
    <row r="57" spans="1:109" x14ac:dyDescent="0.25">
      <c r="A57" t="s">
        <v>1618</v>
      </c>
      <c r="B57">
        <v>1</v>
      </c>
      <c r="C57" s="56">
        <v>42823</v>
      </c>
      <c r="D57" t="s">
        <v>1619</v>
      </c>
      <c r="E57" t="s">
        <v>1844</v>
      </c>
      <c r="G57" t="s">
        <v>1603</v>
      </c>
      <c r="H57" t="s">
        <v>1603</v>
      </c>
      <c r="I57" t="s">
        <v>1603</v>
      </c>
      <c r="J57" t="s">
        <v>1603</v>
      </c>
      <c r="K57" t="s">
        <v>1603</v>
      </c>
      <c r="L57">
        <v>4.0199999999999996</v>
      </c>
      <c r="M57">
        <v>11.25</v>
      </c>
      <c r="N57">
        <v>0</v>
      </c>
      <c r="O57" s="56"/>
      <c r="P57" s="56"/>
      <c r="Q57">
        <v>13717</v>
      </c>
      <c r="R57">
        <v>1</v>
      </c>
      <c r="S57">
        <v>8</v>
      </c>
      <c r="T57">
        <v>4</v>
      </c>
      <c r="U57">
        <v>4</v>
      </c>
      <c r="V57">
        <v>1</v>
      </c>
      <c r="X57" t="s">
        <v>1727</v>
      </c>
      <c r="AA57">
        <v>0</v>
      </c>
      <c r="AB57">
        <v>0</v>
      </c>
      <c r="AC57">
        <v>0</v>
      </c>
      <c r="AD57">
        <v>0</v>
      </c>
      <c r="AE57">
        <v>0</v>
      </c>
      <c r="AF57">
        <v>0</v>
      </c>
      <c r="AG57">
        <v>0</v>
      </c>
      <c r="AJ57" s="56">
        <v>42666</v>
      </c>
      <c r="AK57" s="56"/>
      <c r="AL57" s="56"/>
      <c r="AP57" t="s">
        <v>1604</v>
      </c>
      <c r="AR57">
        <v>100</v>
      </c>
      <c r="AS57" t="s">
        <v>1605</v>
      </c>
      <c r="AT57">
        <v>1</v>
      </c>
      <c r="AV57">
        <v>100</v>
      </c>
      <c r="AW57">
        <v>67</v>
      </c>
      <c r="AX57">
        <v>33</v>
      </c>
      <c r="AY57" t="s">
        <v>1754</v>
      </c>
      <c r="AZ57" t="s">
        <v>1754</v>
      </c>
      <c r="BA57">
        <v>120</v>
      </c>
      <c r="BD57">
        <v>1000000000</v>
      </c>
      <c r="BE57">
        <v>164</v>
      </c>
      <c r="BF57">
        <v>-0.64</v>
      </c>
      <c r="BG57">
        <v>0</v>
      </c>
      <c r="BH57">
        <v>0</v>
      </c>
      <c r="BI57">
        <v>0</v>
      </c>
      <c r="BJ57">
        <v>0</v>
      </c>
      <c r="BK57">
        <v>0</v>
      </c>
      <c r="BL57">
        <v>0</v>
      </c>
      <c r="BM57">
        <v>164</v>
      </c>
      <c r="BN57">
        <v>-0.64</v>
      </c>
      <c r="BO57">
        <v>0</v>
      </c>
      <c r="BP57">
        <v>0</v>
      </c>
      <c r="BR57">
        <v>0</v>
      </c>
      <c r="BS57">
        <v>50</v>
      </c>
      <c r="BX57">
        <v>0</v>
      </c>
      <c r="BY57">
        <v>257.27999999999997</v>
      </c>
      <c r="BZ57">
        <v>0</v>
      </c>
      <c r="CA57">
        <v>10.79</v>
      </c>
      <c r="CC57">
        <v>1</v>
      </c>
      <c r="CD57" s="56">
        <v>42709</v>
      </c>
      <c r="CE57" s="56">
        <v>42767</v>
      </c>
      <c r="CF57" s="56">
        <v>42767</v>
      </c>
      <c r="CG57" s="56">
        <v>42823</v>
      </c>
      <c r="CH57" s="56"/>
      <c r="CI57" s="56"/>
      <c r="CJ57">
        <v>0</v>
      </c>
      <c r="CK57">
        <v>0</v>
      </c>
      <c r="CL57">
        <v>0</v>
      </c>
      <c r="CM57">
        <v>0</v>
      </c>
      <c r="CN57">
        <v>0</v>
      </c>
      <c r="CO57">
        <v>0</v>
      </c>
      <c r="CP57">
        <v>0.05</v>
      </c>
      <c r="CQ57" t="s">
        <v>1618</v>
      </c>
      <c r="CR57" t="s">
        <v>1368</v>
      </c>
      <c r="CS57" t="s">
        <v>1728</v>
      </c>
      <c r="CT57" t="s">
        <v>1724</v>
      </c>
      <c r="CU57" t="s">
        <v>1729</v>
      </c>
      <c r="CV57" t="s">
        <v>1845</v>
      </c>
      <c r="DB57" t="s">
        <v>1824</v>
      </c>
      <c r="DE57" t="s">
        <v>1724</v>
      </c>
    </row>
    <row r="58" spans="1:109" x14ac:dyDescent="0.25">
      <c r="A58" t="s">
        <v>1618</v>
      </c>
      <c r="B58">
        <v>1</v>
      </c>
      <c r="C58" s="56">
        <v>42823</v>
      </c>
      <c r="D58" t="s">
        <v>1619</v>
      </c>
      <c r="E58" t="s">
        <v>1422</v>
      </c>
      <c r="G58" t="s">
        <v>1603</v>
      </c>
      <c r="H58" t="s">
        <v>1603</v>
      </c>
      <c r="I58" t="s">
        <v>1603</v>
      </c>
      <c r="J58" t="s">
        <v>1603</v>
      </c>
      <c r="K58" t="s">
        <v>1603</v>
      </c>
      <c r="L58">
        <v>4.08</v>
      </c>
      <c r="M58">
        <v>11.34</v>
      </c>
      <c r="N58">
        <v>0</v>
      </c>
      <c r="O58" s="56"/>
      <c r="P58" s="56"/>
      <c r="Q58">
        <v>13717</v>
      </c>
      <c r="R58">
        <v>1</v>
      </c>
      <c r="S58">
        <v>8</v>
      </c>
      <c r="T58">
        <v>4</v>
      </c>
      <c r="U58">
        <v>4</v>
      </c>
      <c r="V58">
        <v>1</v>
      </c>
      <c r="X58" t="s">
        <v>1738</v>
      </c>
      <c r="AA58">
        <v>0.31</v>
      </c>
      <c r="AB58">
        <v>4</v>
      </c>
      <c r="AC58">
        <v>0</v>
      </c>
      <c r="AD58">
        <v>1.61</v>
      </c>
      <c r="AE58">
        <v>0</v>
      </c>
      <c r="AF58">
        <v>0</v>
      </c>
      <c r="AG58">
        <v>0</v>
      </c>
      <c r="AJ58" s="56"/>
      <c r="AK58" s="56"/>
      <c r="AL58" s="56"/>
      <c r="AP58" t="s">
        <v>1604</v>
      </c>
      <c r="AR58">
        <v>50</v>
      </c>
      <c r="AS58" t="s">
        <v>1605</v>
      </c>
      <c r="AT58">
        <v>1</v>
      </c>
      <c r="AV58">
        <v>0</v>
      </c>
      <c r="AW58">
        <v>0</v>
      </c>
      <c r="AX58">
        <v>0</v>
      </c>
      <c r="AY58" t="s">
        <v>1606</v>
      </c>
      <c r="AZ58" t="s">
        <v>1606</v>
      </c>
      <c r="BA58">
        <v>0</v>
      </c>
      <c r="BD58">
        <v>1000000000</v>
      </c>
      <c r="BE58">
        <v>2</v>
      </c>
      <c r="BF58">
        <v>0</v>
      </c>
      <c r="BG58">
        <v>0</v>
      </c>
      <c r="BH58">
        <v>0</v>
      </c>
      <c r="BI58">
        <v>0</v>
      </c>
      <c r="BJ58">
        <v>0</v>
      </c>
      <c r="BK58">
        <v>0</v>
      </c>
      <c r="BL58">
        <v>0</v>
      </c>
      <c r="BM58">
        <v>2</v>
      </c>
      <c r="BN58">
        <v>0</v>
      </c>
      <c r="BO58">
        <v>0</v>
      </c>
      <c r="BP58">
        <v>0</v>
      </c>
      <c r="BR58">
        <v>0</v>
      </c>
      <c r="BS58">
        <v>0</v>
      </c>
      <c r="BX58">
        <v>0</v>
      </c>
      <c r="BY58">
        <v>0</v>
      </c>
      <c r="BZ58">
        <v>0</v>
      </c>
      <c r="CA58">
        <v>0</v>
      </c>
      <c r="CC58">
        <v>1</v>
      </c>
      <c r="CD58" s="56">
        <v>42593</v>
      </c>
      <c r="CE58" s="56">
        <v>42767</v>
      </c>
      <c r="CF58" s="56">
        <v>42767</v>
      </c>
      <c r="CG58" s="56">
        <v>42823</v>
      </c>
      <c r="CH58" s="56"/>
      <c r="CI58" s="56"/>
      <c r="CJ58">
        <v>0</v>
      </c>
      <c r="CK58">
        <v>0</v>
      </c>
      <c r="CL58">
        <v>0</v>
      </c>
      <c r="CM58">
        <v>0</v>
      </c>
      <c r="CN58">
        <v>0</v>
      </c>
      <c r="CO58">
        <v>0</v>
      </c>
      <c r="CP58">
        <v>0.05</v>
      </c>
      <c r="CQ58" t="s">
        <v>1618</v>
      </c>
      <c r="CR58" t="s">
        <v>1368</v>
      </c>
      <c r="CS58" t="s">
        <v>1728</v>
      </c>
      <c r="CT58" t="s">
        <v>1724</v>
      </c>
      <c r="CU58" t="s">
        <v>1729</v>
      </c>
      <c r="CV58" t="s">
        <v>1846</v>
      </c>
      <c r="DB58" t="s">
        <v>1824</v>
      </c>
      <c r="DE58" t="s">
        <v>1724</v>
      </c>
    </row>
    <row r="59" spans="1:109" x14ac:dyDescent="0.25">
      <c r="A59" t="s">
        <v>1618</v>
      </c>
      <c r="B59">
        <v>1</v>
      </c>
      <c r="C59" s="56">
        <v>42823</v>
      </c>
      <c r="D59" t="s">
        <v>1619</v>
      </c>
      <c r="E59" t="s">
        <v>1847</v>
      </c>
      <c r="G59" t="s">
        <v>1603</v>
      </c>
      <c r="H59" t="s">
        <v>1603</v>
      </c>
      <c r="I59" t="s">
        <v>1603</v>
      </c>
      <c r="J59" t="s">
        <v>1603</v>
      </c>
      <c r="K59" t="s">
        <v>1603</v>
      </c>
      <c r="L59">
        <v>0.22</v>
      </c>
      <c r="M59">
        <v>1.1399999999999999</v>
      </c>
      <c r="N59">
        <v>0</v>
      </c>
      <c r="O59" s="56"/>
      <c r="P59" s="56"/>
      <c r="Q59">
        <v>13717</v>
      </c>
      <c r="R59">
        <v>1</v>
      </c>
      <c r="S59">
        <v>8</v>
      </c>
      <c r="T59">
        <v>4</v>
      </c>
      <c r="U59">
        <v>4</v>
      </c>
      <c r="V59">
        <v>1</v>
      </c>
      <c r="X59" t="s">
        <v>1738</v>
      </c>
      <c r="AA59">
        <v>0</v>
      </c>
      <c r="AB59">
        <v>0</v>
      </c>
      <c r="AC59">
        <v>0</v>
      </c>
      <c r="AD59">
        <v>0</v>
      </c>
      <c r="AE59">
        <v>0</v>
      </c>
      <c r="AF59">
        <v>0</v>
      </c>
      <c r="AG59">
        <v>0</v>
      </c>
      <c r="AJ59" s="56"/>
      <c r="AK59" s="56"/>
      <c r="AL59" s="56"/>
      <c r="AP59" t="s">
        <v>1604</v>
      </c>
      <c r="AR59">
        <v>1000</v>
      </c>
      <c r="AS59" t="s">
        <v>1605</v>
      </c>
      <c r="AT59">
        <v>1</v>
      </c>
      <c r="AV59">
        <v>0</v>
      </c>
      <c r="AW59">
        <v>0</v>
      </c>
      <c r="AX59">
        <v>0</v>
      </c>
      <c r="AY59" t="s">
        <v>1606</v>
      </c>
      <c r="AZ59" t="s">
        <v>1606</v>
      </c>
      <c r="BA59">
        <v>0</v>
      </c>
      <c r="BD59">
        <v>1000000000</v>
      </c>
      <c r="BE59">
        <v>483</v>
      </c>
      <c r="BF59">
        <v>0</v>
      </c>
      <c r="BG59">
        <v>0</v>
      </c>
      <c r="BH59">
        <v>0</v>
      </c>
      <c r="BI59">
        <v>0</v>
      </c>
      <c r="BJ59">
        <v>0</v>
      </c>
      <c r="BK59">
        <v>0</v>
      </c>
      <c r="BL59">
        <v>0</v>
      </c>
      <c r="BM59">
        <v>483</v>
      </c>
      <c r="BN59">
        <v>0</v>
      </c>
      <c r="BO59">
        <v>0</v>
      </c>
      <c r="BP59">
        <v>0</v>
      </c>
      <c r="BR59">
        <v>0</v>
      </c>
      <c r="BS59">
        <v>0</v>
      </c>
      <c r="BX59">
        <v>0</v>
      </c>
      <c r="BY59">
        <v>0</v>
      </c>
      <c r="BZ59">
        <v>0</v>
      </c>
      <c r="CA59">
        <v>0</v>
      </c>
      <c r="CC59">
        <v>1</v>
      </c>
      <c r="CD59" s="56">
        <v>42593</v>
      </c>
      <c r="CE59" s="56">
        <v>42767</v>
      </c>
      <c r="CF59" s="56">
        <v>42767</v>
      </c>
      <c r="CG59" s="56">
        <v>42823</v>
      </c>
      <c r="CH59" s="56"/>
      <c r="CI59" s="56"/>
      <c r="CJ59">
        <v>0</v>
      </c>
      <c r="CK59">
        <v>0</v>
      </c>
      <c r="CL59">
        <v>0</v>
      </c>
      <c r="CM59">
        <v>0</v>
      </c>
      <c r="CN59">
        <v>0</v>
      </c>
      <c r="CO59">
        <v>0</v>
      </c>
      <c r="CP59">
        <v>0.05</v>
      </c>
      <c r="CQ59" t="s">
        <v>1618</v>
      </c>
      <c r="CR59" t="s">
        <v>1368</v>
      </c>
      <c r="CS59" t="s">
        <v>1728</v>
      </c>
      <c r="CT59" t="s">
        <v>1724</v>
      </c>
      <c r="CU59" t="s">
        <v>1729</v>
      </c>
      <c r="CV59" t="s">
        <v>1848</v>
      </c>
      <c r="DB59" t="s">
        <v>1824</v>
      </c>
      <c r="DE59" t="s">
        <v>1724</v>
      </c>
    </row>
    <row r="60" spans="1:109" x14ac:dyDescent="0.25">
      <c r="A60" t="s">
        <v>1618</v>
      </c>
      <c r="B60">
        <v>1</v>
      </c>
      <c r="C60" s="56">
        <v>42823</v>
      </c>
      <c r="D60" t="s">
        <v>1619</v>
      </c>
      <c r="E60" t="s">
        <v>1381</v>
      </c>
      <c r="G60" t="s">
        <v>1603</v>
      </c>
      <c r="H60" t="s">
        <v>1603</v>
      </c>
      <c r="I60" t="s">
        <v>1603</v>
      </c>
      <c r="J60" t="s">
        <v>1603</v>
      </c>
      <c r="K60" t="s">
        <v>1603</v>
      </c>
      <c r="L60">
        <v>0.48</v>
      </c>
      <c r="M60">
        <v>2.41</v>
      </c>
      <c r="N60">
        <v>0</v>
      </c>
      <c r="O60" s="56"/>
      <c r="P60" s="56"/>
      <c r="Q60">
        <v>13717</v>
      </c>
      <c r="R60">
        <v>1</v>
      </c>
      <c r="S60">
        <v>8</v>
      </c>
      <c r="T60">
        <v>4</v>
      </c>
      <c r="U60">
        <v>4</v>
      </c>
      <c r="V60">
        <v>1</v>
      </c>
      <c r="W60" t="s">
        <v>1723</v>
      </c>
      <c r="X60" t="s">
        <v>1849</v>
      </c>
      <c r="Z60" t="s">
        <v>1734</v>
      </c>
      <c r="AA60">
        <v>0.39</v>
      </c>
      <c r="AB60">
        <v>5</v>
      </c>
      <c r="AC60">
        <v>307.69</v>
      </c>
      <c r="AD60">
        <v>157.69</v>
      </c>
      <c r="AE60">
        <v>0</v>
      </c>
      <c r="AF60">
        <v>0</v>
      </c>
      <c r="AG60">
        <v>0</v>
      </c>
      <c r="AJ60" s="56">
        <v>42666</v>
      </c>
      <c r="AK60" s="56"/>
      <c r="AL60" s="56"/>
      <c r="AP60" t="s">
        <v>1604</v>
      </c>
      <c r="AR60">
        <v>200</v>
      </c>
      <c r="AS60" t="s">
        <v>1605</v>
      </c>
      <c r="AT60">
        <v>1</v>
      </c>
      <c r="AV60">
        <v>480</v>
      </c>
      <c r="AW60">
        <v>319</v>
      </c>
      <c r="AX60">
        <v>158</v>
      </c>
      <c r="AY60" t="s">
        <v>1620</v>
      </c>
      <c r="AZ60" t="s">
        <v>1620</v>
      </c>
      <c r="BA60">
        <v>600</v>
      </c>
      <c r="BD60">
        <v>1000000000</v>
      </c>
      <c r="BE60">
        <v>246</v>
      </c>
      <c r="BF60">
        <v>0.49</v>
      </c>
      <c r="BG60">
        <v>0</v>
      </c>
      <c r="BH60">
        <v>0</v>
      </c>
      <c r="BI60">
        <v>0</v>
      </c>
      <c r="BJ60">
        <v>0</v>
      </c>
      <c r="BK60">
        <v>0</v>
      </c>
      <c r="BL60">
        <v>0</v>
      </c>
      <c r="BM60">
        <v>246</v>
      </c>
      <c r="BN60">
        <v>0.49</v>
      </c>
      <c r="BO60">
        <v>0</v>
      </c>
      <c r="BP60">
        <v>0</v>
      </c>
      <c r="BR60">
        <v>200</v>
      </c>
      <c r="BS60">
        <v>240</v>
      </c>
      <c r="BX60">
        <v>0</v>
      </c>
      <c r="BY60">
        <v>0</v>
      </c>
      <c r="BZ60">
        <v>0</v>
      </c>
      <c r="CA60">
        <v>24.13</v>
      </c>
      <c r="CC60">
        <v>1</v>
      </c>
      <c r="CD60" s="56">
        <v>42746</v>
      </c>
      <c r="CE60" s="56">
        <v>42767</v>
      </c>
      <c r="CF60" s="56">
        <v>42767</v>
      </c>
      <c r="CG60" s="56">
        <v>42823</v>
      </c>
      <c r="CH60" s="56"/>
      <c r="CI60" s="56"/>
      <c r="CJ60">
        <v>0</v>
      </c>
      <c r="CK60">
        <v>0</v>
      </c>
      <c r="CL60">
        <v>0</v>
      </c>
      <c r="CM60">
        <v>0</v>
      </c>
      <c r="CN60">
        <v>0.05</v>
      </c>
      <c r="CO60">
        <v>0</v>
      </c>
      <c r="CP60">
        <v>0</v>
      </c>
      <c r="CQ60" t="s">
        <v>1618</v>
      </c>
      <c r="CR60" t="s">
        <v>1368</v>
      </c>
      <c r="CS60" t="s">
        <v>1728</v>
      </c>
      <c r="CT60" t="s">
        <v>1724</v>
      </c>
      <c r="CU60" t="s">
        <v>1729</v>
      </c>
      <c r="CV60" t="s">
        <v>1850</v>
      </c>
      <c r="DB60" t="s">
        <v>1824</v>
      </c>
      <c r="DE60" t="s">
        <v>1724</v>
      </c>
    </row>
    <row r="61" spans="1:109" x14ac:dyDescent="0.25">
      <c r="A61" t="s">
        <v>1618</v>
      </c>
      <c r="B61">
        <v>1</v>
      </c>
      <c r="C61" s="56">
        <v>42823</v>
      </c>
      <c r="D61" t="s">
        <v>1619</v>
      </c>
      <c r="E61" t="s">
        <v>1851</v>
      </c>
      <c r="G61" t="s">
        <v>1603</v>
      </c>
      <c r="H61" t="s">
        <v>1603</v>
      </c>
      <c r="I61" t="s">
        <v>1603</v>
      </c>
      <c r="J61" t="s">
        <v>1603</v>
      </c>
      <c r="K61" t="s">
        <v>1603</v>
      </c>
      <c r="L61">
        <v>1.43</v>
      </c>
      <c r="M61">
        <v>0</v>
      </c>
      <c r="N61">
        <v>0</v>
      </c>
      <c r="O61" s="56"/>
      <c r="P61" s="56"/>
      <c r="Q61">
        <v>13717</v>
      </c>
      <c r="R61">
        <v>1</v>
      </c>
      <c r="S61">
        <v>8</v>
      </c>
      <c r="T61">
        <v>4</v>
      </c>
      <c r="U61">
        <v>4</v>
      </c>
      <c r="V61">
        <v>1</v>
      </c>
      <c r="X61" t="s">
        <v>1762</v>
      </c>
      <c r="AA61">
        <v>0</v>
      </c>
      <c r="AB61">
        <v>0</v>
      </c>
      <c r="AC61">
        <v>0</v>
      </c>
      <c r="AD61">
        <v>0</v>
      </c>
      <c r="AE61">
        <v>0</v>
      </c>
      <c r="AF61">
        <v>0</v>
      </c>
      <c r="AG61">
        <v>0</v>
      </c>
      <c r="AJ61" s="56"/>
      <c r="AK61" s="56"/>
      <c r="AL61" s="56"/>
      <c r="AP61" t="s">
        <v>1604</v>
      </c>
      <c r="AS61" t="s">
        <v>1605</v>
      </c>
      <c r="AT61">
        <v>1</v>
      </c>
      <c r="AV61">
        <v>0</v>
      </c>
      <c r="AW61">
        <v>0</v>
      </c>
      <c r="AX61">
        <v>0</v>
      </c>
      <c r="AY61" t="s">
        <v>1606</v>
      </c>
      <c r="AZ61" t="s">
        <v>1606</v>
      </c>
      <c r="BA61">
        <v>0</v>
      </c>
      <c r="BD61">
        <v>1000000000</v>
      </c>
      <c r="BE61">
        <v>184</v>
      </c>
      <c r="BF61">
        <v>0</v>
      </c>
      <c r="BG61">
        <v>0</v>
      </c>
      <c r="BH61">
        <v>0</v>
      </c>
      <c r="BI61">
        <v>0</v>
      </c>
      <c r="BJ61">
        <v>0</v>
      </c>
      <c r="BK61">
        <v>0</v>
      </c>
      <c r="BL61">
        <v>0</v>
      </c>
      <c r="BM61">
        <v>184</v>
      </c>
      <c r="BN61">
        <v>0</v>
      </c>
      <c r="BO61">
        <v>0</v>
      </c>
      <c r="BP61">
        <v>0</v>
      </c>
      <c r="BR61">
        <v>0</v>
      </c>
      <c r="BS61">
        <v>0</v>
      </c>
      <c r="BX61">
        <v>0</v>
      </c>
      <c r="BY61">
        <v>0</v>
      </c>
      <c r="BZ61">
        <v>0</v>
      </c>
      <c r="CA61">
        <v>0</v>
      </c>
      <c r="CC61">
        <v>1</v>
      </c>
      <c r="CD61" s="56">
        <v>42558</v>
      </c>
      <c r="CE61" s="56">
        <v>42767</v>
      </c>
      <c r="CF61" s="56">
        <v>42767</v>
      </c>
      <c r="CG61" s="56">
        <v>42823</v>
      </c>
      <c r="CH61" s="56"/>
      <c r="CI61" s="56"/>
      <c r="CJ61">
        <v>0</v>
      </c>
      <c r="CK61">
        <v>0</v>
      </c>
      <c r="CL61">
        <v>0</v>
      </c>
      <c r="CM61">
        <v>0</v>
      </c>
      <c r="CN61">
        <v>0</v>
      </c>
      <c r="CO61">
        <v>0</v>
      </c>
      <c r="CP61">
        <v>0.05</v>
      </c>
      <c r="CQ61" t="s">
        <v>1618</v>
      </c>
      <c r="CR61" t="s">
        <v>1368</v>
      </c>
      <c r="CS61" t="s">
        <v>1728</v>
      </c>
      <c r="CT61" t="s">
        <v>1724</v>
      </c>
      <c r="CU61" t="s">
        <v>1729</v>
      </c>
      <c r="CV61" t="s">
        <v>1852</v>
      </c>
      <c r="DB61" t="s">
        <v>1824</v>
      </c>
      <c r="DE61" t="s">
        <v>1724</v>
      </c>
    </row>
    <row r="62" spans="1:109" x14ac:dyDescent="0.25">
      <c r="A62" t="s">
        <v>1618</v>
      </c>
      <c r="B62">
        <v>1</v>
      </c>
      <c r="C62" s="56">
        <v>42823</v>
      </c>
      <c r="D62" t="s">
        <v>1619</v>
      </c>
      <c r="E62" t="s">
        <v>1853</v>
      </c>
      <c r="G62" t="s">
        <v>1603</v>
      </c>
      <c r="H62" t="s">
        <v>1603</v>
      </c>
      <c r="I62" t="s">
        <v>1603</v>
      </c>
      <c r="J62" t="s">
        <v>1603</v>
      </c>
      <c r="K62" t="s">
        <v>1603</v>
      </c>
      <c r="L62">
        <v>19.100000000000001</v>
      </c>
      <c r="M62">
        <v>55.52</v>
      </c>
      <c r="N62">
        <v>0</v>
      </c>
      <c r="O62" s="56"/>
      <c r="P62" s="56"/>
      <c r="Q62">
        <v>13717</v>
      </c>
      <c r="R62">
        <v>1</v>
      </c>
      <c r="S62">
        <v>8</v>
      </c>
      <c r="T62">
        <v>4</v>
      </c>
      <c r="U62">
        <v>4</v>
      </c>
      <c r="V62">
        <v>1</v>
      </c>
      <c r="X62" t="s">
        <v>1738</v>
      </c>
      <c r="AA62">
        <v>0</v>
      </c>
      <c r="AB62">
        <v>0</v>
      </c>
      <c r="AC62">
        <v>0</v>
      </c>
      <c r="AD62">
        <v>0</v>
      </c>
      <c r="AE62">
        <v>0</v>
      </c>
      <c r="AF62">
        <v>0</v>
      </c>
      <c r="AG62">
        <v>0</v>
      </c>
      <c r="AJ62" s="56"/>
      <c r="AK62" s="56"/>
      <c r="AL62" s="56"/>
      <c r="AP62" t="s">
        <v>1604</v>
      </c>
      <c r="AR62">
        <v>16</v>
      </c>
      <c r="AS62" t="s">
        <v>1605</v>
      </c>
      <c r="AT62">
        <v>1</v>
      </c>
      <c r="AV62">
        <v>0</v>
      </c>
      <c r="AW62">
        <v>0</v>
      </c>
      <c r="AX62">
        <v>0</v>
      </c>
      <c r="AY62" t="s">
        <v>1606</v>
      </c>
      <c r="AZ62" t="s">
        <v>1606</v>
      </c>
      <c r="BA62">
        <v>0</v>
      </c>
      <c r="BD62">
        <v>1000000000</v>
      </c>
      <c r="BE62">
        <v>16</v>
      </c>
      <c r="BF62">
        <v>0</v>
      </c>
      <c r="BG62">
        <v>0</v>
      </c>
      <c r="BH62">
        <v>0</v>
      </c>
      <c r="BI62">
        <v>0</v>
      </c>
      <c r="BJ62">
        <v>0</v>
      </c>
      <c r="BK62">
        <v>0</v>
      </c>
      <c r="BL62">
        <v>0</v>
      </c>
      <c r="BM62">
        <v>16</v>
      </c>
      <c r="BN62">
        <v>0</v>
      </c>
      <c r="BO62">
        <v>0</v>
      </c>
      <c r="BP62">
        <v>0</v>
      </c>
      <c r="BR62">
        <v>0</v>
      </c>
      <c r="BS62">
        <v>0</v>
      </c>
      <c r="BX62">
        <v>0</v>
      </c>
      <c r="BY62">
        <v>0</v>
      </c>
      <c r="BZ62">
        <v>0</v>
      </c>
      <c r="CA62">
        <v>0</v>
      </c>
      <c r="CC62">
        <v>1</v>
      </c>
      <c r="CD62" s="56">
        <v>42593</v>
      </c>
      <c r="CE62" s="56">
        <v>42767</v>
      </c>
      <c r="CF62" s="56">
        <v>42767</v>
      </c>
      <c r="CG62" s="56">
        <v>42823</v>
      </c>
      <c r="CH62" s="56"/>
      <c r="CI62" s="56"/>
      <c r="CJ62">
        <v>0</v>
      </c>
      <c r="CK62">
        <v>0</v>
      </c>
      <c r="CL62">
        <v>0</v>
      </c>
      <c r="CM62">
        <v>0</v>
      </c>
      <c r="CN62">
        <v>0</v>
      </c>
      <c r="CO62">
        <v>0</v>
      </c>
      <c r="CP62">
        <v>0.05</v>
      </c>
      <c r="CQ62" t="s">
        <v>1618</v>
      </c>
      <c r="CR62" t="s">
        <v>1368</v>
      </c>
      <c r="CS62" t="s">
        <v>1728</v>
      </c>
      <c r="CT62" t="s">
        <v>1724</v>
      </c>
      <c r="CU62" t="s">
        <v>1729</v>
      </c>
      <c r="CV62" t="s">
        <v>1854</v>
      </c>
      <c r="DB62" t="s">
        <v>1824</v>
      </c>
      <c r="DE62" t="s">
        <v>1724</v>
      </c>
    </row>
    <row r="63" spans="1:109" x14ac:dyDescent="0.25">
      <c r="A63" t="s">
        <v>1618</v>
      </c>
      <c r="B63">
        <v>1</v>
      </c>
      <c r="C63" s="56">
        <v>42823</v>
      </c>
      <c r="D63" t="s">
        <v>1619</v>
      </c>
      <c r="E63" t="s">
        <v>1855</v>
      </c>
      <c r="G63" t="s">
        <v>1603</v>
      </c>
      <c r="H63" t="s">
        <v>1603</v>
      </c>
      <c r="I63" t="s">
        <v>1603</v>
      </c>
      <c r="J63" t="s">
        <v>1603</v>
      </c>
      <c r="K63" t="s">
        <v>1603</v>
      </c>
      <c r="L63">
        <v>24.53</v>
      </c>
      <c r="M63">
        <v>66.91</v>
      </c>
      <c r="N63">
        <v>0</v>
      </c>
      <c r="O63" s="56"/>
      <c r="P63" s="56"/>
      <c r="Q63">
        <v>13717</v>
      </c>
      <c r="R63">
        <v>1</v>
      </c>
      <c r="S63">
        <v>8</v>
      </c>
      <c r="T63">
        <v>4</v>
      </c>
      <c r="U63">
        <v>4</v>
      </c>
      <c r="V63">
        <v>1</v>
      </c>
      <c r="X63" t="s">
        <v>1738</v>
      </c>
      <c r="AA63">
        <v>0</v>
      </c>
      <c r="AB63">
        <v>0</v>
      </c>
      <c r="AC63">
        <v>0</v>
      </c>
      <c r="AD63">
        <v>0</v>
      </c>
      <c r="AE63">
        <v>0</v>
      </c>
      <c r="AF63">
        <v>0</v>
      </c>
      <c r="AG63">
        <v>0</v>
      </c>
      <c r="AJ63" s="56"/>
      <c r="AK63" s="56"/>
      <c r="AL63" s="56"/>
      <c r="AP63" t="s">
        <v>1604</v>
      </c>
      <c r="AR63">
        <v>10</v>
      </c>
      <c r="AS63" t="s">
        <v>1605</v>
      </c>
      <c r="AT63">
        <v>1</v>
      </c>
      <c r="AV63">
        <v>0</v>
      </c>
      <c r="AW63">
        <v>0</v>
      </c>
      <c r="AX63">
        <v>0</v>
      </c>
      <c r="AY63" t="s">
        <v>1606</v>
      </c>
      <c r="AZ63" t="s">
        <v>1606</v>
      </c>
      <c r="BA63">
        <v>0</v>
      </c>
      <c r="BD63">
        <v>1000000000</v>
      </c>
      <c r="BE63">
        <v>10</v>
      </c>
      <c r="BF63">
        <v>0</v>
      </c>
      <c r="BG63">
        <v>0</v>
      </c>
      <c r="BH63">
        <v>0</v>
      </c>
      <c r="BI63">
        <v>0</v>
      </c>
      <c r="BJ63">
        <v>0</v>
      </c>
      <c r="BK63">
        <v>0</v>
      </c>
      <c r="BL63">
        <v>0</v>
      </c>
      <c r="BM63">
        <v>10</v>
      </c>
      <c r="BN63">
        <v>0</v>
      </c>
      <c r="BO63">
        <v>0</v>
      </c>
      <c r="BP63">
        <v>0</v>
      </c>
      <c r="BR63">
        <v>0</v>
      </c>
      <c r="BS63">
        <v>0</v>
      </c>
      <c r="BX63">
        <v>0</v>
      </c>
      <c r="BY63">
        <v>0</v>
      </c>
      <c r="BZ63">
        <v>0</v>
      </c>
      <c r="CA63">
        <v>0</v>
      </c>
      <c r="CC63">
        <v>1</v>
      </c>
      <c r="CD63" s="56">
        <v>42593</v>
      </c>
      <c r="CE63" s="56">
        <v>42767</v>
      </c>
      <c r="CF63" s="56">
        <v>42767</v>
      </c>
      <c r="CG63" s="56">
        <v>42823</v>
      </c>
      <c r="CH63" s="56"/>
      <c r="CI63" s="56"/>
      <c r="CJ63">
        <v>0</v>
      </c>
      <c r="CK63">
        <v>0</v>
      </c>
      <c r="CL63">
        <v>0</v>
      </c>
      <c r="CM63">
        <v>0</v>
      </c>
      <c r="CN63">
        <v>0</v>
      </c>
      <c r="CO63">
        <v>0</v>
      </c>
      <c r="CP63">
        <v>0.05</v>
      </c>
      <c r="CQ63" t="s">
        <v>1618</v>
      </c>
      <c r="CR63" t="s">
        <v>1368</v>
      </c>
      <c r="CS63" t="s">
        <v>1728</v>
      </c>
      <c r="CT63" t="s">
        <v>1724</v>
      </c>
      <c r="CU63" t="s">
        <v>1729</v>
      </c>
      <c r="CV63" t="s">
        <v>1856</v>
      </c>
      <c r="DB63" t="s">
        <v>1824</v>
      </c>
      <c r="DE63" t="s">
        <v>1724</v>
      </c>
    </row>
    <row r="64" spans="1:109" x14ac:dyDescent="0.25">
      <c r="A64" t="s">
        <v>1618</v>
      </c>
      <c r="B64">
        <v>1</v>
      </c>
      <c r="C64" s="56">
        <v>42823</v>
      </c>
      <c r="D64" t="s">
        <v>1619</v>
      </c>
      <c r="E64" t="s">
        <v>1382</v>
      </c>
      <c r="G64" t="s">
        <v>1603</v>
      </c>
      <c r="H64" t="s">
        <v>1603</v>
      </c>
      <c r="I64" t="s">
        <v>1603</v>
      </c>
      <c r="J64" t="s">
        <v>1603</v>
      </c>
      <c r="K64" t="s">
        <v>1603</v>
      </c>
      <c r="L64">
        <v>4.09</v>
      </c>
      <c r="M64">
        <v>11.91</v>
      </c>
      <c r="N64">
        <v>0</v>
      </c>
      <c r="O64" s="56"/>
      <c r="P64" s="56"/>
      <c r="Q64">
        <v>13717</v>
      </c>
      <c r="R64">
        <v>1</v>
      </c>
      <c r="S64">
        <v>8</v>
      </c>
      <c r="T64">
        <v>4</v>
      </c>
      <c r="U64">
        <v>4</v>
      </c>
      <c r="V64">
        <v>1</v>
      </c>
      <c r="X64" t="s">
        <v>1727</v>
      </c>
      <c r="Z64" t="s">
        <v>1734</v>
      </c>
      <c r="AA64">
        <v>0.2</v>
      </c>
      <c r="AB64">
        <v>3</v>
      </c>
      <c r="AC64">
        <v>156.25</v>
      </c>
      <c r="AD64">
        <v>170</v>
      </c>
      <c r="AE64">
        <v>0</v>
      </c>
      <c r="AF64">
        <v>0</v>
      </c>
      <c r="AG64">
        <v>0</v>
      </c>
      <c r="AJ64" s="56">
        <v>42666</v>
      </c>
      <c r="AK64" s="56"/>
      <c r="AL64" s="56"/>
      <c r="AP64" t="s">
        <v>1604</v>
      </c>
      <c r="AR64">
        <v>25</v>
      </c>
      <c r="AS64" t="s">
        <v>1605</v>
      </c>
      <c r="AT64">
        <v>1</v>
      </c>
      <c r="AV64">
        <v>125</v>
      </c>
      <c r="AW64">
        <v>83</v>
      </c>
      <c r="AX64">
        <v>41</v>
      </c>
      <c r="AY64" t="s">
        <v>1754</v>
      </c>
      <c r="AZ64" t="s">
        <v>1754</v>
      </c>
      <c r="BA64">
        <v>120</v>
      </c>
      <c r="BD64">
        <v>1000000000</v>
      </c>
      <c r="BE64">
        <v>136</v>
      </c>
      <c r="BF64">
        <v>-0.09</v>
      </c>
      <c r="BG64">
        <v>0</v>
      </c>
      <c r="BH64">
        <v>0</v>
      </c>
      <c r="BI64">
        <v>0</v>
      </c>
      <c r="BJ64">
        <v>0</v>
      </c>
      <c r="BK64">
        <v>0</v>
      </c>
      <c r="BL64">
        <v>0</v>
      </c>
      <c r="BM64">
        <v>136</v>
      </c>
      <c r="BN64">
        <v>-0.09</v>
      </c>
      <c r="BO64">
        <v>0</v>
      </c>
      <c r="BP64">
        <v>0</v>
      </c>
      <c r="BR64">
        <v>0</v>
      </c>
      <c r="BS64">
        <v>63</v>
      </c>
      <c r="BX64">
        <v>0</v>
      </c>
      <c r="BY64">
        <v>44.99</v>
      </c>
      <c r="BZ64">
        <v>0</v>
      </c>
      <c r="CA64">
        <v>11.47</v>
      </c>
      <c r="CC64">
        <v>1</v>
      </c>
      <c r="CD64" s="56">
        <v>42709</v>
      </c>
      <c r="CE64" s="56">
        <v>42767</v>
      </c>
      <c r="CF64" s="56">
        <v>42767</v>
      </c>
      <c r="CG64" s="56">
        <v>42823</v>
      </c>
      <c r="CH64" s="56"/>
      <c r="CI64" s="56"/>
      <c r="CJ64">
        <v>0</v>
      </c>
      <c r="CK64">
        <v>0</v>
      </c>
      <c r="CL64">
        <v>0</v>
      </c>
      <c r="CM64">
        <v>0</v>
      </c>
      <c r="CN64">
        <v>0</v>
      </c>
      <c r="CO64">
        <v>0</v>
      </c>
      <c r="CP64">
        <v>0.05</v>
      </c>
      <c r="CQ64" t="s">
        <v>1618</v>
      </c>
      <c r="CR64" t="s">
        <v>1368</v>
      </c>
      <c r="CS64" t="s">
        <v>1728</v>
      </c>
      <c r="CT64" t="s">
        <v>1724</v>
      </c>
      <c r="CU64" t="s">
        <v>1729</v>
      </c>
      <c r="CV64" t="s">
        <v>1857</v>
      </c>
      <c r="DB64" t="s">
        <v>1824</v>
      </c>
      <c r="DE64" t="s">
        <v>1724</v>
      </c>
    </row>
    <row r="65" spans="1:109" x14ac:dyDescent="0.25">
      <c r="A65" t="s">
        <v>1618</v>
      </c>
      <c r="B65">
        <v>1</v>
      </c>
      <c r="C65" s="56">
        <v>42823</v>
      </c>
      <c r="D65" t="s">
        <v>1619</v>
      </c>
      <c r="E65" t="s">
        <v>1858</v>
      </c>
      <c r="G65" t="s">
        <v>1603</v>
      </c>
      <c r="H65" t="s">
        <v>1603</v>
      </c>
      <c r="I65" t="s">
        <v>1603</v>
      </c>
      <c r="J65" t="s">
        <v>1603</v>
      </c>
      <c r="K65" t="s">
        <v>1603</v>
      </c>
      <c r="L65">
        <v>2.5</v>
      </c>
      <c r="M65">
        <v>9.1199999999999992</v>
      </c>
      <c r="N65">
        <v>0</v>
      </c>
      <c r="O65" s="56"/>
      <c r="P65" s="56"/>
      <c r="Q65">
        <v>13717</v>
      </c>
      <c r="R65">
        <v>1</v>
      </c>
      <c r="S65">
        <v>8</v>
      </c>
      <c r="T65">
        <v>4</v>
      </c>
      <c r="U65">
        <v>4</v>
      </c>
      <c r="V65">
        <v>1</v>
      </c>
      <c r="X65" t="s">
        <v>1727</v>
      </c>
      <c r="AA65">
        <v>0</v>
      </c>
      <c r="AB65">
        <v>0</v>
      </c>
      <c r="AC65">
        <v>0</v>
      </c>
      <c r="AD65">
        <v>0</v>
      </c>
      <c r="AE65">
        <v>0</v>
      </c>
      <c r="AF65">
        <v>0</v>
      </c>
      <c r="AG65">
        <v>0</v>
      </c>
      <c r="AJ65" s="56"/>
      <c r="AK65" s="56"/>
      <c r="AL65" s="56"/>
      <c r="AP65" t="s">
        <v>1604</v>
      </c>
      <c r="AR65">
        <v>500</v>
      </c>
      <c r="AS65" t="s">
        <v>1605</v>
      </c>
      <c r="AT65">
        <v>1</v>
      </c>
      <c r="AV65">
        <v>0</v>
      </c>
      <c r="AW65">
        <v>0</v>
      </c>
      <c r="AX65">
        <v>0</v>
      </c>
      <c r="AY65" t="s">
        <v>1606</v>
      </c>
      <c r="AZ65" t="s">
        <v>1606</v>
      </c>
      <c r="BA65">
        <v>24</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6">
        <v>42709</v>
      </c>
      <c r="CE65" s="56">
        <v>42767</v>
      </c>
      <c r="CF65" s="56">
        <v>42767</v>
      </c>
      <c r="CG65" s="56">
        <v>42823</v>
      </c>
      <c r="CH65" s="56"/>
      <c r="CI65" s="56"/>
      <c r="CJ65">
        <v>1</v>
      </c>
      <c r="CK65">
        <v>0</v>
      </c>
      <c r="CL65">
        <v>0.05</v>
      </c>
      <c r="CM65">
        <v>0</v>
      </c>
      <c r="CN65">
        <v>0</v>
      </c>
      <c r="CO65">
        <v>0</v>
      </c>
      <c r="CP65">
        <v>0</v>
      </c>
      <c r="CQ65" t="s">
        <v>1618</v>
      </c>
      <c r="CR65" t="s">
        <v>1368</v>
      </c>
      <c r="CS65" t="s">
        <v>1728</v>
      </c>
      <c r="CT65" t="s">
        <v>1724</v>
      </c>
      <c r="CU65" t="s">
        <v>1729</v>
      </c>
      <c r="CV65" t="s">
        <v>1859</v>
      </c>
      <c r="DB65" t="s">
        <v>1824</v>
      </c>
      <c r="DE65" t="s">
        <v>1724</v>
      </c>
    </row>
    <row r="66" spans="1:109" x14ac:dyDescent="0.25">
      <c r="A66" t="s">
        <v>1618</v>
      </c>
      <c r="B66">
        <v>1</v>
      </c>
      <c r="C66" s="56">
        <v>42823</v>
      </c>
      <c r="D66" t="s">
        <v>1619</v>
      </c>
      <c r="E66" t="s">
        <v>1423</v>
      </c>
      <c r="G66" t="s">
        <v>1603</v>
      </c>
      <c r="H66" t="s">
        <v>1603</v>
      </c>
      <c r="I66" t="s">
        <v>1603</v>
      </c>
      <c r="J66" t="s">
        <v>1603</v>
      </c>
      <c r="K66" t="s">
        <v>1603</v>
      </c>
      <c r="L66">
        <v>5.81</v>
      </c>
      <c r="M66">
        <v>20.100000000000001</v>
      </c>
      <c r="N66">
        <v>0</v>
      </c>
      <c r="O66" s="56"/>
      <c r="P66" s="56"/>
      <c r="Q66">
        <v>13717</v>
      </c>
      <c r="R66">
        <v>1</v>
      </c>
      <c r="S66">
        <v>8</v>
      </c>
      <c r="T66">
        <v>4</v>
      </c>
      <c r="U66">
        <v>4</v>
      </c>
      <c r="V66">
        <v>1</v>
      </c>
      <c r="X66" t="s">
        <v>1727</v>
      </c>
      <c r="Z66" t="s">
        <v>1734</v>
      </c>
      <c r="AA66">
        <v>4.6900000000000004</v>
      </c>
      <c r="AB66">
        <v>57</v>
      </c>
      <c r="AC66">
        <v>12.79</v>
      </c>
      <c r="AD66">
        <v>185.07</v>
      </c>
      <c r="AE66">
        <v>0</v>
      </c>
      <c r="AF66">
        <v>0</v>
      </c>
      <c r="AG66">
        <v>0</v>
      </c>
      <c r="AJ66" s="56">
        <v>42666</v>
      </c>
      <c r="AK66" s="56"/>
      <c r="AL66" s="56"/>
      <c r="AP66" t="s">
        <v>1604</v>
      </c>
      <c r="AR66">
        <v>240</v>
      </c>
      <c r="AS66" t="s">
        <v>1605</v>
      </c>
      <c r="AT66">
        <v>1</v>
      </c>
      <c r="AV66">
        <v>240</v>
      </c>
      <c r="AW66">
        <v>160</v>
      </c>
      <c r="AX66">
        <v>79</v>
      </c>
      <c r="AY66" t="s">
        <v>1754</v>
      </c>
      <c r="AZ66" t="s">
        <v>1754</v>
      </c>
      <c r="BA66">
        <v>192</v>
      </c>
      <c r="BD66">
        <v>1000000000</v>
      </c>
      <c r="BE66">
        <v>3472</v>
      </c>
      <c r="BF66">
        <v>-13.47</v>
      </c>
      <c r="BG66">
        <v>0</v>
      </c>
      <c r="BH66">
        <v>0</v>
      </c>
      <c r="BI66">
        <v>0</v>
      </c>
      <c r="BJ66">
        <v>0</v>
      </c>
      <c r="BK66">
        <v>0</v>
      </c>
      <c r="BL66">
        <v>0</v>
      </c>
      <c r="BM66">
        <v>3472</v>
      </c>
      <c r="BN66">
        <v>-13.47</v>
      </c>
      <c r="BO66">
        <v>0</v>
      </c>
      <c r="BP66">
        <v>0</v>
      </c>
      <c r="BR66">
        <v>0</v>
      </c>
      <c r="BS66">
        <v>120</v>
      </c>
      <c r="BX66">
        <v>0</v>
      </c>
      <c r="BY66">
        <v>18777.919999999998</v>
      </c>
      <c r="BZ66">
        <v>0</v>
      </c>
      <c r="CA66">
        <v>14.76</v>
      </c>
      <c r="CC66">
        <v>1</v>
      </c>
      <c r="CD66" s="56">
        <v>42709</v>
      </c>
      <c r="CE66" s="56">
        <v>42767</v>
      </c>
      <c r="CF66" s="56">
        <v>42767</v>
      </c>
      <c r="CG66" s="56">
        <v>42823</v>
      </c>
      <c r="CH66" s="56"/>
      <c r="CI66" s="56"/>
      <c r="CJ66">
        <v>0</v>
      </c>
      <c r="CK66">
        <v>0</v>
      </c>
      <c r="CL66">
        <v>0</v>
      </c>
      <c r="CM66">
        <v>0</v>
      </c>
      <c r="CN66">
        <v>0</v>
      </c>
      <c r="CO66">
        <v>0</v>
      </c>
      <c r="CP66">
        <v>0.05</v>
      </c>
      <c r="CQ66" t="s">
        <v>1618</v>
      </c>
      <c r="CR66" t="s">
        <v>1368</v>
      </c>
      <c r="CS66" t="s">
        <v>1728</v>
      </c>
      <c r="CT66" t="s">
        <v>1724</v>
      </c>
      <c r="CU66" t="s">
        <v>1729</v>
      </c>
      <c r="CV66" t="s">
        <v>1860</v>
      </c>
      <c r="DB66" t="s">
        <v>1824</v>
      </c>
      <c r="DE66" t="s">
        <v>1724</v>
      </c>
    </row>
    <row r="67" spans="1:109" x14ac:dyDescent="0.25">
      <c r="A67" t="s">
        <v>1618</v>
      </c>
      <c r="B67">
        <v>1</v>
      </c>
      <c r="C67" s="56">
        <v>42823</v>
      </c>
      <c r="D67" t="s">
        <v>1619</v>
      </c>
      <c r="E67" t="s">
        <v>1424</v>
      </c>
      <c r="G67" t="s">
        <v>1603</v>
      </c>
      <c r="H67" t="s">
        <v>1603</v>
      </c>
      <c r="I67" t="s">
        <v>1603</v>
      </c>
      <c r="J67" t="s">
        <v>1603</v>
      </c>
      <c r="K67" t="s">
        <v>1603</v>
      </c>
      <c r="L67">
        <v>5.18</v>
      </c>
      <c r="M67">
        <v>12.84</v>
      </c>
      <c r="N67">
        <v>0</v>
      </c>
      <c r="O67" s="56"/>
      <c r="P67" s="56"/>
      <c r="Q67">
        <v>13717</v>
      </c>
      <c r="R67">
        <v>1</v>
      </c>
      <c r="S67">
        <v>8</v>
      </c>
      <c r="T67">
        <v>4</v>
      </c>
      <c r="U67">
        <v>4</v>
      </c>
      <c r="V67">
        <v>1</v>
      </c>
      <c r="X67" t="s">
        <v>1727</v>
      </c>
      <c r="Z67" t="s">
        <v>1734</v>
      </c>
      <c r="AA67">
        <v>2.97</v>
      </c>
      <c r="AB67">
        <v>36</v>
      </c>
      <c r="AC67">
        <v>18.940000000000001</v>
      </c>
      <c r="AD67">
        <v>32.909999999999997</v>
      </c>
      <c r="AE67">
        <v>0</v>
      </c>
      <c r="AF67">
        <v>0</v>
      </c>
      <c r="AG67">
        <v>0</v>
      </c>
      <c r="AJ67" s="56"/>
      <c r="AK67" s="56"/>
      <c r="AL67" s="56"/>
      <c r="AP67" t="s">
        <v>1604</v>
      </c>
      <c r="AR67">
        <v>225</v>
      </c>
      <c r="AS67" t="s">
        <v>1605</v>
      </c>
      <c r="AT67">
        <v>1</v>
      </c>
      <c r="AV67">
        <v>225</v>
      </c>
      <c r="AW67">
        <v>150</v>
      </c>
      <c r="AX67">
        <v>74</v>
      </c>
      <c r="AY67" t="s">
        <v>1754</v>
      </c>
      <c r="AZ67" t="s">
        <v>1754</v>
      </c>
      <c r="BA67">
        <v>300</v>
      </c>
      <c r="BD67">
        <v>1000000000</v>
      </c>
      <c r="BE67">
        <v>391</v>
      </c>
      <c r="BF67">
        <v>-0.74</v>
      </c>
      <c r="BG67">
        <v>0</v>
      </c>
      <c r="BH67">
        <v>0</v>
      </c>
      <c r="BI67">
        <v>0</v>
      </c>
      <c r="BJ67">
        <v>0</v>
      </c>
      <c r="BK67">
        <v>0</v>
      </c>
      <c r="BL67">
        <v>0</v>
      </c>
      <c r="BM67">
        <v>391</v>
      </c>
      <c r="BN67">
        <v>-0.74</v>
      </c>
      <c r="BO67">
        <v>0</v>
      </c>
      <c r="BP67">
        <v>0</v>
      </c>
      <c r="BR67">
        <v>0</v>
      </c>
      <c r="BS67">
        <v>113</v>
      </c>
      <c r="BX67">
        <v>0</v>
      </c>
      <c r="BY67">
        <v>859.88</v>
      </c>
      <c r="BZ67">
        <v>0</v>
      </c>
      <c r="CA67">
        <v>8.8699999999999992</v>
      </c>
      <c r="CC67">
        <v>1</v>
      </c>
      <c r="CD67" s="56">
        <v>42709</v>
      </c>
      <c r="CE67" s="56">
        <v>42767</v>
      </c>
      <c r="CF67" s="56">
        <v>42767</v>
      </c>
      <c r="CG67" s="56">
        <v>42823</v>
      </c>
      <c r="CH67" s="56"/>
      <c r="CI67" s="56"/>
      <c r="CJ67">
        <v>0</v>
      </c>
      <c r="CK67">
        <v>0</v>
      </c>
      <c r="CL67">
        <v>0</v>
      </c>
      <c r="CM67">
        <v>0</v>
      </c>
      <c r="CN67">
        <v>0</v>
      </c>
      <c r="CO67">
        <v>0</v>
      </c>
      <c r="CP67">
        <v>0.05</v>
      </c>
      <c r="CQ67" t="s">
        <v>1618</v>
      </c>
      <c r="CR67" t="s">
        <v>1368</v>
      </c>
      <c r="CS67" t="s">
        <v>1728</v>
      </c>
      <c r="CT67" t="s">
        <v>1724</v>
      </c>
      <c r="CU67" t="s">
        <v>1729</v>
      </c>
      <c r="CV67" t="s">
        <v>1861</v>
      </c>
      <c r="DB67" t="s">
        <v>1824</v>
      </c>
      <c r="DE67" t="s">
        <v>1724</v>
      </c>
    </row>
    <row r="68" spans="1:109" x14ac:dyDescent="0.25">
      <c r="A68" t="s">
        <v>1618</v>
      </c>
      <c r="B68">
        <v>1</v>
      </c>
      <c r="C68" s="56">
        <v>42823</v>
      </c>
      <c r="D68" t="s">
        <v>1619</v>
      </c>
      <c r="E68" t="s">
        <v>1425</v>
      </c>
      <c r="G68" t="s">
        <v>1603</v>
      </c>
      <c r="H68" t="s">
        <v>1603</v>
      </c>
      <c r="I68" t="s">
        <v>1603</v>
      </c>
      <c r="J68" t="s">
        <v>1603</v>
      </c>
      <c r="K68" t="s">
        <v>1603</v>
      </c>
      <c r="L68">
        <v>8.75</v>
      </c>
      <c r="M68">
        <v>22.6</v>
      </c>
      <c r="N68">
        <v>0</v>
      </c>
      <c r="O68" s="56"/>
      <c r="P68" s="56"/>
      <c r="Q68">
        <v>13717</v>
      </c>
      <c r="R68">
        <v>1</v>
      </c>
      <c r="S68">
        <v>8</v>
      </c>
      <c r="T68">
        <v>4</v>
      </c>
      <c r="U68">
        <v>4</v>
      </c>
      <c r="V68">
        <v>1</v>
      </c>
      <c r="X68" t="s">
        <v>1727</v>
      </c>
      <c r="Z68" t="s">
        <v>1734</v>
      </c>
      <c r="AA68">
        <v>44.78</v>
      </c>
      <c r="AB68">
        <v>538</v>
      </c>
      <c r="AC68">
        <v>1</v>
      </c>
      <c r="AD68">
        <v>4.88</v>
      </c>
      <c r="AE68">
        <v>0</v>
      </c>
      <c r="AF68">
        <v>0</v>
      </c>
      <c r="AG68">
        <v>0</v>
      </c>
      <c r="AJ68" s="56">
        <v>42666</v>
      </c>
      <c r="AK68" s="56"/>
      <c r="AL68" s="56"/>
      <c r="AP68" t="s">
        <v>1604</v>
      </c>
      <c r="AR68">
        <v>180</v>
      </c>
      <c r="AS68" t="s">
        <v>1605</v>
      </c>
      <c r="AT68">
        <v>1</v>
      </c>
      <c r="AV68">
        <v>180</v>
      </c>
      <c r="AW68">
        <v>120</v>
      </c>
      <c r="AX68">
        <v>59</v>
      </c>
      <c r="AY68" t="s">
        <v>1754</v>
      </c>
      <c r="AZ68" t="s">
        <v>1754</v>
      </c>
      <c r="BA68">
        <v>192</v>
      </c>
      <c r="BD68">
        <v>1000000000</v>
      </c>
      <c r="BE68">
        <v>875</v>
      </c>
      <c r="BF68">
        <v>-3.86</v>
      </c>
      <c r="BG68">
        <v>0</v>
      </c>
      <c r="BH68">
        <v>0</v>
      </c>
      <c r="BI68">
        <v>0</v>
      </c>
      <c r="BJ68">
        <v>0</v>
      </c>
      <c r="BK68">
        <v>0</v>
      </c>
      <c r="BL68">
        <v>0</v>
      </c>
      <c r="BM68">
        <v>875</v>
      </c>
      <c r="BN68">
        <v>-3.86</v>
      </c>
      <c r="BO68">
        <v>0</v>
      </c>
      <c r="BP68">
        <v>0</v>
      </c>
      <c r="BR68">
        <v>0</v>
      </c>
      <c r="BS68">
        <v>90</v>
      </c>
      <c r="BX68">
        <v>0</v>
      </c>
      <c r="BY68">
        <v>6081.25</v>
      </c>
      <c r="BZ68">
        <v>0</v>
      </c>
      <c r="CA68">
        <v>9.5</v>
      </c>
      <c r="CC68">
        <v>1</v>
      </c>
      <c r="CD68" s="56">
        <v>42709</v>
      </c>
      <c r="CE68" s="56">
        <v>42767</v>
      </c>
      <c r="CF68" s="56">
        <v>42767</v>
      </c>
      <c r="CG68" s="56">
        <v>42823</v>
      </c>
      <c r="CH68" s="56"/>
      <c r="CI68" s="56"/>
      <c r="CJ68">
        <v>0</v>
      </c>
      <c r="CK68">
        <v>0</v>
      </c>
      <c r="CL68">
        <v>0</v>
      </c>
      <c r="CM68">
        <v>0</v>
      </c>
      <c r="CN68">
        <v>0</v>
      </c>
      <c r="CO68">
        <v>0</v>
      </c>
      <c r="CP68">
        <v>0.05</v>
      </c>
      <c r="CQ68" t="s">
        <v>1618</v>
      </c>
      <c r="CR68" t="s">
        <v>1368</v>
      </c>
      <c r="CS68" t="s">
        <v>1728</v>
      </c>
      <c r="CT68" t="s">
        <v>1724</v>
      </c>
      <c r="CU68" t="s">
        <v>1729</v>
      </c>
      <c r="CV68" t="s">
        <v>1862</v>
      </c>
      <c r="DB68" t="s">
        <v>1824</v>
      </c>
      <c r="DE68" t="s">
        <v>1724</v>
      </c>
    </row>
    <row r="69" spans="1:109" x14ac:dyDescent="0.25">
      <c r="A69" t="s">
        <v>1618</v>
      </c>
      <c r="B69">
        <v>1</v>
      </c>
      <c r="C69" s="56">
        <v>42823</v>
      </c>
      <c r="D69" t="s">
        <v>1619</v>
      </c>
      <c r="E69" t="s">
        <v>1426</v>
      </c>
      <c r="G69" t="s">
        <v>1603</v>
      </c>
      <c r="H69" t="s">
        <v>1603</v>
      </c>
      <c r="I69" t="s">
        <v>1603</v>
      </c>
      <c r="J69" t="s">
        <v>1603</v>
      </c>
      <c r="K69" t="s">
        <v>1603</v>
      </c>
      <c r="L69">
        <v>16.05</v>
      </c>
      <c r="M69">
        <v>0</v>
      </c>
      <c r="N69">
        <v>0</v>
      </c>
      <c r="O69" s="56"/>
      <c r="P69" s="56"/>
      <c r="Q69">
        <v>13717</v>
      </c>
      <c r="R69">
        <v>1</v>
      </c>
      <c r="S69">
        <v>8</v>
      </c>
      <c r="T69">
        <v>4</v>
      </c>
      <c r="U69">
        <v>4</v>
      </c>
      <c r="V69">
        <v>1</v>
      </c>
      <c r="X69" t="s">
        <v>1727</v>
      </c>
      <c r="AA69">
        <v>1.0900000000000001</v>
      </c>
      <c r="AB69">
        <v>14</v>
      </c>
      <c r="AC69">
        <v>0</v>
      </c>
      <c r="AD69">
        <v>118.58</v>
      </c>
      <c r="AE69">
        <v>0</v>
      </c>
      <c r="AF69">
        <v>0</v>
      </c>
      <c r="AG69">
        <v>0</v>
      </c>
      <c r="AJ69" s="56">
        <v>42666</v>
      </c>
      <c r="AK69" s="56"/>
      <c r="AL69" s="56"/>
      <c r="AP69" t="s">
        <v>1604</v>
      </c>
      <c r="AS69" t="s">
        <v>1605</v>
      </c>
      <c r="AT69">
        <v>1</v>
      </c>
      <c r="AV69">
        <v>0</v>
      </c>
      <c r="AW69">
        <v>0</v>
      </c>
      <c r="AX69">
        <v>0</v>
      </c>
      <c r="AY69" t="s">
        <v>1606</v>
      </c>
      <c r="AZ69" t="s">
        <v>1606</v>
      </c>
      <c r="BA69">
        <v>120</v>
      </c>
      <c r="BD69">
        <v>1000000000</v>
      </c>
      <c r="BE69">
        <v>517</v>
      </c>
      <c r="BF69">
        <v>0</v>
      </c>
      <c r="BG69">
        <v>0</v>
      </c>
      <c r="BH69">
        <v>0</v>
      </c>
      <c r="BI69">
        <v>0</v>
      </c>
      <c r="BJ69">
        <v>0</v>
      </c>
      <c r="BK69">
        <v>0</v>
      </c>
      <c r="BL69">
        <v>0</v>
      </c>
      <c r="BM69">
        <v>517</v>
      </c>
      <c r="BN69">
        <v>0</v>
      </c>
      <c r="BO69">
        <v>0</v>
      </c>
      <c r="BP69">
        <v>0</v>
      </c>
      <c r="BR69">
        <v>0</v>
      </c>
      <c r="BS69">
        <v>0</v>
      </c>
      <c r="BX69">
        <v>0</v>
      </c>
      <c r="BY69">
        <v>0</v>
      </c>
      <c r="BZ69">
        <v>0</v>
      </c>
      <c r="CA69">
        <v>0</v>
      </c>
      <c r="CC69">
        <v>1</v>
      </c>
      <c r="CD69" s="56">
        <v>42709</v>
      </c>
      <c r="CE69" s="56">
        <v>42767</v>
      </c>
      <c r="CF69" s="56">
        <v>42767</v>
      </c>
      <c r="CG69" s="56">
        <v>42823</v>
      </c>
      <c r="CH69" s="56"/>
      <c r="CI69" s="56"/>
      <c r="CJ69">
        <v>0</v>
      </c>
      <c r="CK69">
        <v>0</v>
      </c>
      <c r="CL69">
        <v>0</v>
      </c>
      <c r="CM69">
        <v>0</v>
      </c>
      <c r="CN69">
        <v>0</v>
      </c>
      <c r="CO69">
        <v>0</v>
      </c>
      <c r="CP69">
        <v>0.05</v>
      </c>
      <c r="CQ69" t="s">
        <v>1618</v>
      </c>
      <c r="CR69" t="s">
        <v>1368</v>
      </c>
      <c r="CS69" t="s">
        <v>1728</v>
      </c>
      <c r="CT69" t="s">
        <v>1724</v>
      </c>
      <c r="CU69" t="s">
        <v>1729</v>
      </c>
      <c r="CV69" t="s">
        <v>1863</v>
      </c>
      <c r="DB69" t="s">
        <v>1824</v>
      </c>
      <c r="DE69" t="s">
        <v>1724</v>
      </c>
    </row>
    <row r="70" spans="1:109" x14ac:dyDescent="0.25">
      <c r="A70" t="s">
        <v>1618</v>
      </c>
      <c r="B70">
        <v>1</v>
      </c>
      <c r="C70" s="56">
        <v>42823</v>
      </c>
      <c r="D70" t="s">
        <v>1619</v>
      </c>
      <c r="E70" t="s">
        <v>1427</v>
      </c>
      <c r="G70" t="s">
        <v>1603</v>
      </c>
      <c r="H70" t="s">
        <v>1603</v>
      </c>
      <c r="I70" t="s">
        <v>1603</v>
      </c>
      <c r="J70" t="s">
        <v>1603</v>
      </c>
      <c r="K70" t="s">
        <v>1603</v>
      </c>
      <c r="L70">
        <v>7.2</v>
      </c>
      <c r="M70">
        <v>19.28</v>
      </c>
      <c r="N70">
        <v>0</v>
      </c>
      <c r="O70" s="56"/>
      <c r="P70" s="56"/>
      <c r="Q70">
        <v>13717</v>
      </c>
      <c r="R70">
        <v>1</v>
      </c>
      <c r="S70">
        <v>8</v>
      </c>
      <c r="T70">
        <v>4</v>
      </c>
      <c r="U70">
        <v>4</v>
      </c>
      <c r="V70">
        <v>1</v>
      </c>
      <c r="X70" t="s">
        <v>1727</v>
      </c>
      <c r="AA70">
        <v>0.39</v>
      </c>
      <c r="AB70">
        <v>5</v>
      </c>
      <c r="AC70">
        <v>0</v>
      </c>
      <c r="AD70">
        <v>15.38</v>
      </c>
      <c r="AE70">
        <v>0</v>
      </c>
      <c r="AF70">
        <v>0</v>
      </c>
      <c r="AG70">
        <v>0</v>
      </c>
      <c r="AJ70" s="56"/>
      <c r="AK70" s="56"/>
      <c r="AL70" s="56"/>
      <c r="AP70" t="s">
        <v>1604</v>
      </c>
      <c r="AR70">
        <v>80</v>
      </c>
      <c r="AS70" t="s">
        <v>1605</v>
      </c>
      <c r="AT70">
        <v>1</v>
      </c>
      <c r="AV70">
        <v>0</v>
      </c>
      <c r="AW70">
        <v>0</v>
      </c>
      <c r="AX70">
        <v>0</v>
      </c>
      <c r="AY70" t="s">
        <v>1606</v>
      </c>
      <c r="AZ70" t="s">
        <v>1606</v>
      </c>
      <c r="BA70">
        <v>48</v>
      </c>
      <c r="BD70">
        <v>1000000000</v>
      </c>
      <c r="BE70">
        <v>24</v>
      </c>
      <c r="BF70">
        <v>0</v>
      </c>
      <c r="BG70">
        <v>0</v>
      </c>
      <c r="BH70">
        <v>0</v>
      </c>
      <c r="BI70">
        <v>0</v>
      </c>
      <c r="BJ70">
        <v>0</v>
      </c>
      <c r="BK70">
        <v>0</v>
      </c>
      <c r="BL70">
        <v>0</v>
      </c>
      <c r="BM70">
        <v>24</v>
      </c>
      <c r="BN70">
        <v>0</v>
      </c>
      <c r="BO70">
        <v>0</v>
      </c>
      <c r="BP70">
        <v>0</v>
      </c>
      <c r="BR70">
        <v>0</v>
      </c>
      <c r="BS70">
        <v>0</v>
      </c>
      <c r="BX70">
        <v>0</v>
      </c>
      <c r="BY70">
        <v>0</v>
      </c>
      <c r="BZ70">
        <v>0</v>
      </c>
      <c r="CA70">
        <v>0</v>
      </c>
      <c r="CC70">
        <v>1</v>
      </c>
      <c r="CD70" s="56">
        <v>42709</v>
      </c>
      <c r="CE70" s="56">
        <v>42767</v>
      </c>
      <c r="CF70" s="56">
        <v>42767</v>
      </c>
      <c r="CG70" s="56">
        <v>42823</v>
      </c>
      <c r="CH70" s="56"/>
      <c r="CI70" s="56"/>
      <c r="CJ70">
        <v>0</v>
      </c>
      <c r="CK70">
        <v>0</v>
      </c>
      <c r="CL70">
        <v>0</v>
      </c>
      <c r="CM70">
        <v>0</v>
      </c>
      <c r="CN70">
        <v>0</v>
      </c>
      <c r="CO70">
        <v>0</v>
      </c>
      <c r="CP70">
        <v>0.05</v>
      </c>
      <c r="CQ70" t="s">
        <v>1618</v>
      </c>
      <c r="CR70" t="s">
        <v>1368</v>
      </c>
      <c r="CS70" t="s">
        <v>1728</v>
      </c>
      <c r="CT70" t="s">
        <v>1724</v>
      </c>
      <c r="CU70" t="s">
        <v>1729</v>
      </c>
      <c r="CV70" t="s">
        <v>1864</v>
      </c>
      <c r="DB70" t="s">
        <v>1824</v>
      </c>
      <c r="DE70" t="s">
        <v>1724</v>
      </c>
    </row>
    <row r="71" spans="1:109" x14ac:dyDescent="0.25">
      <c r="A71" t="s">
        <v>1618</v>
      </c>
      <c r="B71">
        <v>1</v>
      </c>
      <c r="C71" s="56">
        <v>42823</v>
      </c>
      <c r="D71" t="s">
        <v>1619</v>
      </c>
      <c r="E71" t="s">
        <v>1865</v>
      </c>
      <c r="G71" t="s">
        <v>1603</v>
      </c>
      <c r="H71" t="s">
        <v>1603</v>
      </c>
      <c r="I71" t="s">
        <v>1603</v>
      </c>
      <c r="J71" t="s">
        <v>1603</v>
      </c>
      <c r="K71" t="s">
        <v>1603</v>
      </c>
      <c r="L71">
        <v>16.3</v>
      </c>
      <c r="M71">
        <v>48.64</v>
      </c>
      <c r="N71">
        <v>0</v>
      </c>
      <c r="O71" s="56"/>
      <c r="P71" s="56"/>
      <c r="Q71">
        <v>13717</v>
      </c>
      <c r="R71">
        <v>1</v>
      </c>
      <c r="S71">
        <v>8</v>
      </c>
      <c r="T71">
        <v>4</v>
      </c>
      <c r="U71">
        <v>4</v>
      </c>
      <c r="V71">
        <v>1</v>
      </c>
      <c r="X71" t="s">
        <v>1738</v>
      </c>
      <c r="AA71">
        <v>0</v>
      </c>
      <c r="AB71">
        <v>0</v>
      </c>
      <c r="AC71">
        <v>0</v>
      </c>
      <c r="AD71">
        <v>0</v>
      </c>
      <c r="AE71">
        <v>0</v>
      </c>
      <c r="AF71">
        <v>0</v>
      </c>
      <c r="AG71">
        <v>0</v>
      </c>
      <c r="AJ71" s="56"/>
      <c r="AK71" s="56"/>
      <c r="AL71" s="56"/>
      <c r="AP71" t="s">
        <v>1604</v>
      </c>
      <c r="AR71">
        <v>65</v>
      </c>
      <c r="AS71" t="s">
        <v>1605</v>
      </c>
      <c r="AT71">
        <v>1</v>
      </c>
      <c r="AV71">
        <v>0</v>
      </c>
      <c r="AW71">
        <v>0</v>
      </c>
      <c r="AX71">
        <v>0</v>
      </c>
      <c r="AY71" t="s">
        <v>1606</v>
      </c>
      <c r="AZ71" t="s">
        <v>1606</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6">
        <v>42593</v>
      </c>
      <c r="CE71" s="56">
        <v>42767</v>
      </c>
      <c r="CF71" s="56">
        <v>42767</v>
      </c>
      <c r="CG71" s="56">
        <v>42823</v>
      </c>
      <c r="CH71" s="56"/>
      <c r="CI71" s="56"/>
      <c r="CJ71">
        <v>1</v>
      </c>
      <c r="CK71">
        <v>0</v>
      </c>
      <c r="CL71">
        <v>0.05</v>
      </c>
      <c r="CM71">
        <v>0</v>
      </c>
      <c r="CN71">
        <v>0</v>
      </c>
      <c r="CO71">
        <v>0</v>
      </c>
      <c r="CP71">
        <v>0</v>
      </c>
      <c r="CQ71" t="s">
        <v>1618</v>
      </c>
      <c r="CR71" t="s">
        <v>1368</v>
      </c>
      <c r="CS71" t="s">
        <v>1728</v>
      </c>
      <c r="CT71" t="s">
        <v>1724</v>
      </c>
      <c r="CU71" t="s">
        <v>1729</v>
      </c>
      <c r="CV71" t="s">
        <v>1866</v>
      </c>
      <c r="DB71" t="s">
        <v>1824</v>
      </c>
      <c r="DE71" t="s">
        <v>1724</v>
      </c>
    </row>
    <row r="72" spans="1:109" x14ac:dyDescent="0.25">
      <c r="A72" t="s">
        <v>1618</v>
      </c>
      <c r="B72">
        <v>1</v>
      </c>
      <c r="C72" s="56">
        <v>42823</v>
      </c>
      <c r="D72" t="s">
        <v>1619</v>
      </c>
      <c r="E72" t="s">
        <v>1867</v>
      </c>
      <c r="G72" t="s">
        <v>1603</v>
      </c>
      <c r="H72" t="s">
        <v>1603</v>
      </c>
      <c r="I72" t="s">
        <v>1603</v>
      </c>
      <c r="J72" t="s">
        <v>1603</v>
      </c>
      <c r="K72" t="s">
        <v>1603</v>
      </c>
      <c r="L72">
        <v>7.45</v>
      </c>
      <c r="M72">
        <v>22.22</v>
      </c>
      <c r="N72">
        <v>0</v>
      </c>
      <c r="O72" s="56"/>
      <c r="P72" s="56"/>
      <c r="Q72">
        <v>13717</v>
      </c>
      <c r="R72">
        <v>1</v>
      </c>
      <c r="S72">
        <v>8</v>
      </c>
      <c r="T72">
        <v>4</v>
      </c>
      <c r="U72">
        <v>4</v>
      </c>
      <c r="V72">
        <v>1</v>
      </c>
      <c r="X72" t="s">
        <v>1738</v>
      </c>
      <c r="AA72">
        <v>0</v>
      </c>
      <c r="AB72">
        <v>0</v>
      </c>
      <c r="AC72">
        <v>0</v>
      </c>
      <c r="AD72">
        <v>0</v>
      </c>
      <c r="AE72">
        <v>0</v>
      </c>
      <c r="AF72">
        <v>0</v>
      </c>
      <c r="AG72">
        <v>0</v>
      </c>
      <c r="AJ72" s="56"/>
      <c r="AK72" s="56"/>
      <c r="AL72" s="56"/>
      <c r="AP72" t="s">
        <v>1604</v>
      </c>
      <c r="AR72">
        <v>130</v>
      </c>
      <c r="AS72" t="s">
        <v>1605</v>
      </c>
      <c r="AT72">
        <v>1</v>
      </c>
      <c r="AV72">
        <v>0</v>
      </c>
      <c r="AW72">
        <v>0</v>
      </c>
      <c r="AX72">
        <v>0</v>
      </c>
      <c r="AY72" t="s">
        <v>1606</v>
      </c>
      <c r="AZ72" t="s">
        <v>1606</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6">
        <v>42593</v>
      </c>
      <c r="CE72" s="56">
        <v>42767</v>
      </c>
      <c r="CF72" s="56">
        <v>42767</v>
      </c>
      <c r="CG72" s="56">
        <v>42823</v>
      </c>
      <c r="CH72" s="56"/>
      <c r="CI72" s="56"/>
      <c r="CJ72">
        <v>1</v>
      </c>
      <c r="CK72">
        <v>0</v>
      </c>
      <c r="CL72">
        <v>0.05</v>
      </c>
      <c r="CM72">
        <v>0</v>
      </c>
      <c r="CN72">
        <v>0</v>
      </c>
      <c r="CO72">
        <v>0</v>
      </c>
      <c r="CP72">
        <v>0</v>
      </c>
      <c r="CQ72" t="s">
        <v>1618</v>
      </c>
      <c r="CR72" t="s">
        <v>1368</v>
      </c>
      <c r="CS72" t="s">
        <v>1728</v>
      </c>
      <c r="CT72" t="s">
        <v>1724</v>
      </c>
      <c r="CU72" t="s">
        <v>1729</v>
      </c>
      <c r="CV72" t="s">
        <v>1868</v>
      </c>
      <c r="DB72" t="s">
        <v>1824</v>
      </c>
      <c r="DE72" t="s">
        <v>1724</v>
      </c>
    </row>
    <row r="73" spans="1:109" x14ac:dyDescent="0.25">
      <c r="A73" t="s">
        <v>1618</v>
      </c>
      <c r="B73">
        <v>1</v>
      </c>
      <c r="C73" s="56">
        <v>42823</v>
      </c>
      <c r="D73" t="s">
        <v>1619</v>
      </c>
      <c r="E73" t="s">
        <v>1869</v>
      </c>
      <c r="G73" t="s">
        <v>1603</v>
      </c>
      <c r="H73" t="s">
        <v>1603</v>
      </c>
      <c r="I73" t="s">
        <v>1603</v>
      </c>
      <c r="J73" t="s">
        <v>1603</v>
      </c>
      <c r="K73" t="s">
        <v>1603</v>
      </c>
      <c r="L73">
        <v>4.1100000000000003</v>
      </c>
      <c r="M73">
        <v>9.65</v>
      </c>
      <c r="N73">
        <v>0</v>
      </c>
      <c r="O73" s="56"/>
      <c r="P73" s="56"/>
      <c r="Q73">
        <v>13717</v>
      </c>
      <c r="R73">
        <v>1</v>
      </c>
      <c r="S73">
        <v>8</v>
      </c>
      <c r="T73">
        <v>4</v>
      </c>
      <c r="U73">
        <v>4</v>
      </c>
      <c r="V73">
        <v>1</v>
      </c>
      <c r="X73" t="s">
        <v>1738</v>
      </c>
      <c r="AA73">
        <v>0</v>
      </c>
      <c r="AB73">
        <v>0</v>
      </c>
      <c r="AC73">
        <v>0</v>
      </c>
      <c r="AD73">
        <v>0</v>
      </c>
      <c r="AE73">
        <v>0</v>
      </c>
      <c r="AF73">
        <v>0</v>
      </c>
      <c r="AG73">
        <v>0</v>
      </c>
      <c r="AJ73" s="56"/>
      <c r="AK73" s="56"/>
      <c r="AL73" s="56"/>
      <c r="AP73" t="s">
        <v>1604</v>
      </c>
      <c r="AR73">
        <v>90</v>
      </c>
      <c r="AS73" t="s">
        <v>1605</v>
      </c>
      <c r="AT73">
        <v>1</v>
      </c>
      <c r="AV73">
        <v>0</v>
      </c>
      <c r="AW73">
        <v>0</v>
      </c>
      <c r="AX73">
        <v>0</v>
      </c>
      <c r="AY73" t="s">
        <v>1606</v>
      </c>
      <c r="AZ73" t="s">
        <v>1606</v>
      </c>
      <c r="BA73">
        <v>0</v>
      </c>
      <c r="BD73">
        <v>1000000000</v>
      </c>
      <c r="BE73">
        <v>87</v>
      </c>
      <c r="BF73">
        <v>0</v>
      </c>
      <c r="BG73">
        <v>0</v>
      </c>
      <c r="BH73">
        <v>0</v>
      </c>
      <c r="BI73">
        <v>0</v>
      </c>
      <c r="BJ73">
        <v>0</v>
      </c>
      <c r="BK73">
        <v>0</v>
      </c>
      <c r="BL73">
        <v>0</v>
      </c>
      <c r="BM73">
        <v>87</v>
      </c>
      <c r="BN73">
        <v>0</v>
      </c>
      <c r="BO73">
        <v>0</v>
      </c>
      <c r="BP73">
        <v>0</v>
      </c>
      <c r="BR73">
        <v>0</v>
      </c>
      <c r="BS73">
        <v>0</v>
      </c>
      <c r="BX73">
        <v>0</v>
      </c>
      <c r="BY73">
        <v>0</v>
      </c>
      <c r="BZ73">
        <v>0</v>
      </c>
      <c r="CA73">
        <v>0</v>
      </c>
      <c r="CC73">
        <v>1</v>
      </c>
      <c r="CD73" s="56">
        <v>42593</v>
      </c>
      <c r="CE73" s="56">
        <v>42767</v>
      </c>
      <c r="CF73" s="56">
        <v>42767</v>
      </c>
      <c r="CG73" s="56">
        <v>42823</v>
      </c>
      <c r="CH73" s="56"/>
      <c r="CI73" s="56"/>
      <c r="CJ73">
        <v>0</v>
      </c>
      <c r="CK73">
        <v>0</v>
      </c>
      <c r="CL73">
        <v>0</v>
      </c>
      <c r="CM73">
        <v>0</v>
      </c>
      <c r="CN73">
        <v>0</v>
      </c>
      <c r="CO73">
        <v>0</v>
      </c>
      <c r="CP73">
        <v>0.05</v>
      </c>
      <c r="CQ73" t="s">
        <v>1618</v>
      </c>
      <c r="CR73" t="s">
        <v>1368</v>
      </c>
      <c r="CS73" t="s">
        <v>1728</v>
      </c>
      <c r="CT73" t="s">
        <v>1724</v>
      </c>
      <c r="CU73" t="s">
        <v>1729</v>
      </c>
      <c r="CV73" t="s">
        <v>1870</v>
      </c>
      <c r="DB73" t="s">
        <v>1824</v>
      </c>
      <c r="DE73" t="s">
        <v>1724</v>
      </c>
    </row>
    <row r="74" spans="1:109" x14ac:dyDescent="0.25">
      <c r="A74" t="s">
        <v>1618</v>
      </c>
      <c r="B74">
        <v>1</v>
      </c>
      <c r="C74" s="56">
        <v>42823</v>
      </c>
      <c r="D74" t="s">
        <v>1619</v>
      </c>
      <c r="E74" t="s">
        <v>1428</v>
      </c>
      <c r="G74" t="s">
        <v>1603</v>
      </c>
      <c r="H74" t="s">
        <v>1603</v>
      </c>
      <c r="I74" t="s">
        <v>1603</v>
      </c>
      <c r="J74" t="s">
        <v>1603</v>
      </c>
      <c r="K74" t="s">
        <v>1603</v>
      </c>
      <c r="L74">
        <v>4.05</v>
      </c>
      <c r="M74">
        <v>10.77</v>
      </c>
      <c r="N74">
        <v>0</v>
      </c>
      <c r="O74" s="56"/>
      <c r="P74" s="56"/>
      <c r="Q74">
        <v>13717</v>
      </c>
      <c r="R74">
        <v>1</v>
      </c>
      <c r="S74">
        <v>8</v>
      </c>
      <c r="T74">
        <v>4</v>
      </c>
      <c r="U74">
        <v>4</v>
      </c>
      <c r="V74">
        <v>1</v>
      </c>
      <c r="X74" t="s">
        <v>1727</v>
      </c>
      <c r="Z74" t="s">
        <v>1734</v>
      </c>
      <c r="AA74">
        <v>0.2</v>
      </c>
      <c r="AB74">
        <v>3</v>
      </c>
      <c r="AC74">
        <v>56.25</v>
      </c>
      <c r="AD74">
        <v>146.25</v>
      </c>
      <c r="AE74">
        <v>0</v>
      </c>
      <c r="AF74">
        <v>0</v>
      </c>
      <c r="AG74">
        <v>0</v>
      </c>
      <c r="AJ74" s="56">
        <v>42666</v>
      </c>
      <c r="AK74" s="56"/>
      <c r="AL74" s="56"/>
      <c r="AP74" t="s">
        <v>1604</v>
      </c>
      <c r="AR74">
        <v>90</v>
      </c>
      <c r="AS74" t="s">
        <v>1605</v>
      </c>
      <c r="AT74">
        <v>1</v>
      </c>
      <c r="AV74">
        <v>45</v>
      </c>
      <c r="AW74">
        <v>30</v>
      </c>
      <c r="AX74">
        <v>15</v>
      </c>
      <c r="AY74" t="s">
        <v>1754</v>
      </c>
      <c r="AZ74" t="s">
        <v>1754</v>
      </c>
      <c r="BA74">
        <v>24</v>
      </c>
      <c r="BD74">
        <v>1000000000</v>
      </c>
      <c r="BE74">
        <v>117</v>
      </c>
      <c r="BF74">
        <v>-1.6</v>
      </c>
      <c r="BG74">
        <v>0</v>
      </c>
      <c r="BH74">
        <v>0</v>
      </c>
      <c r="BI74">
        <v>0</v>
      </c>
      <c r="BJ74">
        <v>0</v>
      </c>
      <c r="BK74">
        <v>0</v>
      </c>
      <c r="BL74">
        <v>0</v>
      </c>
      <c r="BM74">
        <v>117</v>
      </c>
      <c r="BN74">
        <v>-1.6</v>
      </c>
      <c r="BO74">
        <v>0</v>
      </c>
      <c r="BP74">
        <v>0</v>
      </c>
      <c r="BR74">
        <v>0</v>
      </c>
      <c r="BS74">
        <v>23</v>
      </c>
      <c r="BX74">
        <v>0</v>
      </c>
      <c r="BY74">
        <v>291.60000000000002</v>
      </c>
      <c r="BZ74">
        <v>0</v>
      </c>
      <c r="CA74">
        <v>9.9600000000000009</v>
      </c>
      <c r="CC74">
        <v>1</v>
      </c>
      <c r="CD74" s="56">
        <v>42709</v>
      </c>
      <c r="CE74" s="56">
        <v>42767</v>
      </c>
      <c r="CF74" s="56">
        <v>42767</v>
      </c>
      <c r="CG74" s="56">
        <v>42823</v>
      </c>
      <c r="CH74" s="56"/>
      <c r="CI74" s="56"/>
      <c r="CJ74">
        <v>0</v>
      </c>
      <c r="CK74">
        <v>0</v>
      </c>
      <c r="CL74">
        <v>0</v>
      </c>
      <c r="CM74">
        <v>0</v>
      </c>
      <c r="CN74">
        <v>0</v>
      </c>
      <c r="CO74">
        <v>0</v>
      </c>
      <c r="CP74">
        <v>0.05</v>
      </c>
      <c r="CQ74" t="s">
        <v>1618</v>
      </c>
      <c r="CR74" t="s">
        <v>1368</v>
      </c>
      <c r="CS74" t="s">
        <v>1728</v>
      </c>
      <c r="CT74" t="s">
        <v>1724</v>
      </c>
      <c r="CU74" t="s">
        <v>1729</v>
      </c>
      <c r="CV74" t="s">
        <v>1871</v>
      </c>
      <c r="DB74" t="s">
        <v>1824</v>
      </c>
      <c r="DE74" t="s">
        <v>1724</v>
      </c>
    </row>
    <row r="75" spans="1:109" x14ac:dyDescent="0.25">
      <c r="A75" t="s">
        <v>1618</v>
      </c>
      <c r="B75">
        <v>1</v>
      </c>
      <c r="C75" s="56">
        <v>42823</v>
      </c>
      <c r="D75" t="s">
        <v>1619</v>
      </c>
      <c r="E75" t="s">
        <v>1429</v>
      </c>
      <c r="G75" t="s">
        <v>1603</v>
      </c>
      <c r="H75" t="s">
        <v>1603</v>
      </c>
      <c r="I75" t="s">
        <v>1603</v>
      </c>
      <c r="J75" t="s">
        <v>1603</v>
      </c>
      <c r="K75" t="s">
        <v>1603</v>
      </c>
      <c r="L75">
        <v>7.87</v>
      </c>
      <c r="M75">
        <v>19.2</v>
      </c>
      <c r="N75">
        <v>0</v>
      </c>
      <c r="O75" s="56"/>
      <c r="P75" s="56"/>
      <c r="Q75">
        <v>13717</v>
      </c>
      <c r="R75">
        <v>1</v>
      </c>
      <c r="S75">
        <v>8</v>
      </c>
      <c r="T75">
        <v>4</v>
      </c>
      <c r="U75">
        <v>4</v>
      </c>
      <c r="V75">
        <v>1</v>
      </c>
      <c r="X75" t="s">
        <v>1727</v>
      </c>
      <c r="Z75" t="s">
        <v>1734</v>
      </c>
      <c r="AA75">
        <v>2.0299999999999998</v>
      </c>
      <c r="AB75">
        <v>25</v>
      </c>
      <c r="AC75">
        <v>39.409999999999997</v>
      </c>
      <c r="AD75">
        <v>55.42</v>
      </c>
      <c r="AE75">
        <v>0</v>
      </c>
      <c r="AF75">
        <v>0</v>
      </c>
      <c r="AG75">
        <v>0</v>
      </c>
      <c r="AJ75" s="56"/>
      <c r="AK75" s="56"/>
      <c r="AL75" s="56"/>
      <c r="AP75" t="s">
        <v>1604</v>
      </c>
      <c r="AR75">
        <v>80</v>
      </c>
      <c r="AS75" t="s">
        <v>1605</v>
      </c>
      <c r="AT75">
        <v>1</v>
      </c>
      <c r="AV75">
        <v>320</v>
      </c>
      <c r="AW75">
        <v>213</v>
      </c>
      <c r="AX75">
        <v>106</v>
      </c>
      <c r="AY75" t="s">
        <v>1754</v>
      </c>
      <c r="AZ75" t="s">
        <v>1754</v>
      </c>
      <c r="BA75">
        <v>384</v>
      </c>
      <c r="BD75">
        <v>1000000000</v>
      </c>
      <c r="BE75">
        <v>450</v>
      </c>
      <c r="BF75">
        <v>-0.41</v>
      </c>
      <c r="BG75">
        <v>0</v>
      </c>
      <c r="BH75">
        <v>0</v>
      </c>
      <c r="BI75">
        <v>0</v>
      </c>
      <c r="BJ75">
        <v>0</v>
      </c>
      <c r="BK75">
        <v>0</v>
      </c>
      <c r="BL75">
        <v>0</v>
      </c>
      <c r="BM75">
        <v>450</v>
      </c>
      <c r="BN75">
        <v>-0.41</v>
      </c>
      <c r="BO75">
        <v>0</v>
      </c>
      <c r="BP75">
        <v>0</v>
      </c>
      <c r="BR75">
        <v>0</v>
      </c>
      <c r="BS75">
        <v>160</v>
      </c>
      <c r="BX75">
        <v>0</v>
      </c>
      <c r="BY75">
        <v>1023.1</v>
      </c>
      <c r="BZ75">
        <v>0</v>
      </c>
      <c r="CA75">
        <v>8.64</v>
      </c>
      <c r="CC75">
        <v>1</v>
      </c>
      <c r="CD75" s="56">
        <v>42709</v>
      </c>
      <c r="CE75" s="56">
        <v>42767</v>
      </c>
      <c r="CF75" s="56">
        <v>42767</v>
      </c>
      <c r="CG75" s="56">
        <v>42823</v>
      </c>
      <c r="CH75" s="56"/>
      <c r="CI75" s="56"/>
      <c r="CJ75">
        <v>0</v>
      </c>
      <c r="CK75">
        <v>0</v>
      </c>
      <c r="CL75">
        <v>0</v>
      </c>
      <c r="CM75">
        <v>0</v>
      </c>
      <c r="CN75">
        <v>0</v>
      </c>
      <c r="CO75">
        <v>0</v>
      </c>
      <c r="CP75">
        <v>0.05</v>
      </c>
      <c r="CQ75" t="s">
        <v>1618</v>
      </c>
      <c r="CR75" t="s">
        <v>1368</v>
      </c>
      <c r="CS75" t="s">
        <v>1728</v>
      </c>
      <c r="CT75" t="s">
        <v>1724</v>
      </c>
      <c r="CU75" t="s">
        <v>1729</v>
      </c>
      <c r="CV75" t="s">
        <v>1872</v>
      </c>
      <c r="DB75" t="s">
        <v>1824</v>
      </c>
      <c r="DE75" t="s">
        <v>1724</v>
      </c>
    </row>
    <row r="76" spans="1:109" x14ac:dyDescent="0.25">
      <c r="A76" t="s">
        <v>1618</v>
      </c>
      <c r="B76">
        <v>1</v>
      </c>
      <c r="C76" s="56">
        <v>42823</v>
      </c>
      <c r="D76" t="s">
        <v>1619</v>
      </c>
      <c r="E76" t="s">
        <v>1873</v>
      </c>
      <c r="G76" t="s">
        <v>1603</v>
      </c>
      <c r="H76" t="s">
        <v>1603</v>
      </c>
      <c r="I76" t="s">
        <v>1603</v>
      </c>
      <c r="J76" t="s">
        <v>1603</v>
      </c>
      <c r="K76" t="s">
        <v>1603</v>
      </c>
      <c r="L76">
        <v>20.04</v>
      </c>
      <c r="M76">
        <v>58.27</v>
      </c>
      <c r="N76">
        <v>0</v>
      </c>
      <c r="O76" s="56"/>
      <c r="P76" s="56"/>
      <c r="Q76">
        <v>13717</v>
      </c>
      <c r="R76">
        <v>1</v>
      </c>
      <c r="S76">
        <v>8</v>
      </c>
      <c r="T76">
        <v>4</v>
      </c>
      <c r="U76">
        <v>4</v>
      </c>
      <c r="V76">
        <v>1</v>
      </c>
      <c r="X76" t="s">
        <v>1727</v>
      </c>
      <c r="AA76">
        <v>0</v>
      </c>
      <c r="AB76">
        <v>0</v>
      </c>
      <c r="AC76">
        <v>0</v>
      </c>
      <c r="AD76">
        <v>0</v>
      </c>
      <c r="AE76">
        <v>0</v>
      </c>
      <c r="AF76">
        <v>0</v>
      </c>
      <c r="AG76">
        <v>0</v>
      </c>
      <c r="AJ76" s="56">
        <v>42666</v>
      </c>
      <c r="AK76" s="56"/>
      <c r="AL76" s="56"/>
      <c r="AP76" t="s">
        <v>1604</v>
      </c>
      <c r="AR76">
        <v>65</v>
      </c>
      <c r="AS76" t="s">
        <v>1605</v>
      </c>
      <c r="AT76">
        <v>1</v>
      </c>
      <c r="AV76">
        <v>65</v>
      </c>
      <c r="AW76">
        <v>43</v>
      </c>
      <c r="AX76">
        <v>21</v>
      </c>
      <c r="AY76" t="s">
        <v>1754</v>
      </c>
      <c r="AZ76" t="s">
        <v>1754</v>
      </c>
      <c r="BA76">
        <v>144</v>
      </c>
      <c r="BD76">
        <v>1000000000</v>
      </c>
      <c r="BE76">
        <v>233</v>
      </c>
      <c r="BF76">
        <v>-2.58</v>
      </c>
      <c r="BG76">
        <v>0</v>
      </c>
      <c r="BH76">
        <v>0</v>
      </c>
      <c r="BI76">
        <v>0</v>
      </c>
      <c r="BJ76">
        <v>0</v>
      </c>
      <c r="BK76">
        <v>0</v>
      </c>
      <c r="BL76">
        <v>0</v>
      </c>
      <c r="BM76">
        <v>233</v>
      </c>
      <c r="BN76">
        <v>-2.58</v>
      </c>
      <c r="BO76">
        <v>0</v>
      </c>
      <c r="BP76">
        <v>0</v>
      </c>
      <c r="BR76">
        <v>0</v>
      </c>
      <c r="BS76">
        <v>33</v>
      </c>
      <c r="BX76">
        <v>0</v>
      </c>
      <c r="BY76">
        <v>3366.72</v>
      </c>
      <c r="BZ76">
        <v>0</v>
      </c>
      <c r="CA76">
        <v>11.45</v>
      </c>
      <c r="CC76">
        <v>1</v>
      </c>
      <c r="CD76" s="56">
        <v>42709</v>
      </c>
      <c r="CE76" s="56">
        <v>42767</v>
      </c>
      <c r="CF76" s="56">
        <v>42767</v>
      </c>
      <c r="CG76" s="56">
        <v>42823</v>
      </c>
      <c r="CH76" s="56"/>
      <c r="CI76" s="56"/>
      <c r="CJ76">
        <v>0</v>
      </c>
      <c r="CK76">
        <v>0</v>
      </c>
      <c r="CL76">
        <v>0</v>
      </c>
      <c r="CM76">
        <v>0</v>
      </c>
      <c r="CN76">
        <v>0</v>
      </c>
      <c r="CO76">
        <v>0</v>
      </c>
      <c r="CP76">
        <v>0.05</v>
      </c>
      <c r="CQ76" t="s">
        <v>1618</v>
      </c>
      <c r="CR76" t="s">
        <v>1368</v>
      </c>
      <c r="CS76" t="s">
        <v>1728</v>
      </c>
      <c r="CT76" t="s">
        <v>1724</v>
      </c>
      <c r="CU76" t="s">
        <v>1729</v>
      </c>
      <c r="CV76" t="s">
        <v>1874</v>
      </c>
      <c r="DB76" t="s">
        <v>1824</v>
      </c>
      <c r="DE76" t="s">
        <v>1724</v>
      </c>
    </row>
    <row r="77" spans="1:109" x14ac:dyDescent="0.25">
      <c r="A77" t="s">
        <v>1618</v>
      </c>
      <c r="B77">
        <v>1</v>
      </c>
      <c r="C77" s="56">
        <v>42823</v>
      </c>
      <c r="D77" t="s">
        <v>1619</v>
      </c>
      <c r="E77" t="s">
        <v>1875</v>
      </c>
      <c r="G77" t="s">
        <v>1603</v>
      </c>
      <c r="H77" t="s">
        <v>1603</v>
      </c>
      <c r="I77" t="s">
        <v>1603</v>
      </c>
      <c r="J77" t="s">
        <v>1603</v>
      </c>
      <c r="K77" t="s">
        <v>1603</v>
      </c>
      <c r="L77">
        <v>9.64</v>
      </c>
      <c r="M77">
        <v>26</v>
      </c>
      <c r="N77">
        <v>0</v>
      </c>
      <c r="O77" s="56"/>
      <c r="P77" s="56"/>
      <c r="Q77">
        <v>13717</v>
      </c>
      <c r="R77">
        <v>1</v>
      </c>
      <c r="S77">
        <v>8</v>
      </c>
      <c r="T77">
        <v>4</v>
      </c>
      <c r="U77">
        <v>4</v>
      </c>
      <c r="V77">
        <v>1</v>
      </c>
      <c r="X77" t="s">
        <v>1738</v>
      </c>
      <c r="AA77">
        <v>0</v>
      </c>
      <c r="AB77">
        <v>0</v>
      </c>
      <c r="AC77">
        <v>0</v>
      </c>
      <c r="AD77">
        <v>0</v>
      </c>
      <c r="AE77">
        <v>0</v>
      </c>
      <c r="AF77">
        <v>0</v>
      </c>
      <c r="AG77">
        <v>0</v>
      </c>
      <c r="AJ77" s="56"/>
      <c r="AK77" s="56"/>
      <c r="AL77" s="56"/>
      <c r="AP77" t="s">
        <v>1604</v>
      </c>
      <c r="AR77">
        <v>130</v>
      </c>
      <c r="AS77" t="s">
        <v>1605</v>
      </c>
      <c r="AT77">
        <v>1</v>
      </c>
      <c r="AV77">
        <v>0</v>
      </c>
      <c r="AW77">
        <v>0</v>
      </c>
      <c r="AX77">
        <v>0</v>
      </c>
      <c r="AY77" t="s">
        <v>1606</v>
      </c>
      <c r="AZ77" t="s">
        <v>1606</v>
      </c>
      <c r="BA77">
        <v>0</v>
      </c>
      <c r="BD77">
        <v>1000000000</v>
      </c>
      <c r="BE77">
        <v>144</v>
      </c>
      <c r="BF77">
        <v>0</v>
      </c>
      <c r="BG77">
        <v>0</v>
      </c>
      <c r="BH77">
        <v>0</v>
      </c>
      <c r="BI77">
        <v>0</v>
      </c>
      <c r="BJ77">
        <v>0</v>
      </c>
      <c r="BK77">
        <v>0</v>
      </c>
      <c r="BL77">
        <v>0</v>
      </c>
      <c r="BM77">
        <v>144</v>
      </c>
      <c r="BN77">
        <v>0</v>
      </c>
      <c r="BO77">
        <v>0</v>
      </c>
      <c r="BP77">
        <v>0</v>
      </c>
      <c r="BR77">
        <v>0</v>
      </c>
      <c r="BS77">
        <v>0</v>
      </c>
      <c r="BX77">
        <v>0</v>
      </c>
      <c r="BY77">
        <v>0</v>
      </c>
      <c r="BZ77">
        <v>0</v>
      </c>
      <c r="CA77">
        <v>0</v>
      </c>
      <c r="CC77">
        <v>1</v>
      </c>
      <c r="CD77" s="56">
        <v>42593</v>
      </c>
      <c r="CE77" s="56">
        <v>42767</v>
      </c>
      <c r="CF77" s="56">
        <v>42767</v>
      </c>
      <c r="CG77" s="56">
        <v>42823</v>
      </c>
      <c r="CH77" s="56"/>
      <c r="CI77" s="56"/>
      <c r="CJ77">
        <v>0</v>
      </c>
      <c r="CK77">
        <v>0</v>
      </c>
      <c r="CL77">
        <v>0</v>
      </c>
      <c r="CM77">
        <v>0</v>
      </c>
      <c r="CN77">
        <v>0</v>
      </c>
      <c r="CO77">
        <v>0</v>
      </c>
      <c r="CP77">
        <v>0.05</v>
      </c>
      <c r="CQ77" t="s">
        <v>1618</v>
      </c>
      <c r="CR77" t="s">
        <v>1368</v>
      </c>
      <c r="CS77" t="s">
        <v>1728</v>
      </c>
      <c r="CT77" t="s">
        <v>1724</v>
      </c>
      <c r="CU77" t="s">
        <v>1729</v>
      </c>
      <c r="CV77" t="s">
        <v>1876</v>
      </c>
      <c r="DB77" t="s">
        <v>1824</v>
      </c>
      <c r="DE77" t="s">
        <v>1724</v>
      </c>
    </row>
    <row r="78" spans="1:109" x14ac:dyDescent="0.25">
      <c r="A78" t="s">
        <v>1618</v>
      </c>
      <c r="B78">
        <v>1</v>
      </c>
      <c r="C78" s="56">
        <v>42823</v>
      </c>
      <c r="D78" t="s">
        <v>1619</v>
      </c>
      <c r="E78" t="s">
        <v>1430</v>
      </c>
      <c r="G78" t="s">
        <v>1603</v>
      </c>
      <c r="H78" t="s">
        <v>1603</v>
      </c>
      <c r="I78" t="s">
        <v>1603</v>
      </c>
      <c r="J78" t="s">
        <v>1603</v>
      </c>
      <c r="K78" t="s">
        <v>1603</v>
      </c>
      <c r="L78">
        <v>2.13</v>
      </c>
      <c r="M78">
        <v>8.51</v>
      </c>
      <c r="N78">
        <v>0</v>
      </c>
      <c r="O78" s="56"/>
      <c r="P78" s="56"/>
      <c r="Q78">
        <v>13717</v>
      </c>
      <c r="R78">
        <v>1</v>
      </c>
      <c r="S78">
        <v>8</v>
      </c>
      <c r="T78">
        <v>4</v>
      </c>
      <c r="U78">
        <v>4</v>
      </c>
      <c r="V78">
        <v>1</v>
      </c>
      <c r="W78" t="s">
        <v>1723</v>
      </c>
      <c r="X78" t="s">
        <v>1727</v>
      </c>
      <c r="AA78">
        <v>0.9</v>
      </c>
      <c r="AB78">
        <v>11</v>
      </c>
      <c r="AC78">
        <v>6.94</v>
      </c>
      <c r="AD78">
        <v>5.83</v>
      </c>
      <c r="AE78">
        <v>0</v>
      </c>
      <c r="AF78">
        <v>0</v>
      </c>
      <c r="AG78">
        <v>0</v>
      </c>
      <c r="AJ78" s="56"/>
      <c r="AK78" s="56"/>
      <c r="AL78" s="56"/>
      <c r="AP78" t="s">
        <v>1604</v>
      </c>
      <c r="AR78">
        <v>100</v>
      </c>
      <c r="AS78" t="s">
        <v>1605</v>
      </c>
      <c r="AT78">
        <v>1</v>
      </c>
      <c r="AV78">
        <v>25</v>
      </c>
      <c r="AW78">
        <v>17</v>
      </c>
      <c r="AX78">
        <v>8</v>
      </c>
      <c r="AY78" t="s">
        <v>1735</v>
      </c>
      <c r="AZ78" t="s">
        <v>1735</v>
      </c>
      <c r="BA78">
        <v>24</v>
      </c>
      <c r="BD78">
        <v>1000000000</v>
      </c>
      <c r="BE78">
        <v>21</v>
      </c>
      <c r="BF78">
        <v>0.16</v>
      </c>
      <c r="BG78">
        <v>0</v>
      </c>
      <c r="BH78">
        <v>0</v>
      </c>
      <c r="BI78">
        <v>0</v>
      </c>
      <c r="BJ78">
        <v>0</v>
      </c>
      <c r="BK78">
        <v>0</v>
      </c>
      <c r="BL78">
        <v>0</v>
      </c>
      <c r="BM78">
        <v>21</v>
      </c>
      <c r="BN78">
        <v>0.16</v>
      </c>
      <c r="BO78">
        <v>0</v>
      </c>
      <c r="BP78">
        <v>0</v>
      </c>
      <c r="BR78">
        <v>0</v>
      </c>
      <c r="BS78">
        <v>13</v>
      </c>
      <c r="BX78">
        <v>0</v>
      </c>
      <c r="BY78">
        <v>0</v>
      </c>
      <c r="BZ78">
        <v>0</v>
      </c>
      <c r="CA78">
        <v>17.97</v>
      </c>
      <c r="CC78">
        <v>1</v>
      </c>
      <c r="CD78" s="56">
        <v>42709</v>
      </c>
      <c r="CE78" s="56">
        <v>42767</v>
      </c>
      <c r="CF78" s="56">
        <v>42767</v>
      </c>
      <c r="CG78" s="56">
        <v>42823</v>
      </c>
      <c r="CH78" s="56"/>
      <c r="CI78" s="56"/>
      <c r="CJ78">
        <v>0</v>
      </c>
      <c r="CK78">
        <v>0</v>
      </c>
      <c r="CL78">
        <v>0</v>
      </c>
      <c r="CM78">
        <v>0</v>
      </c>
      <c r="CN78">
        <v>0</v>
      </c>
      <c r="CO78">
        <v>0.05</v>
      </c>
      <c r="CP78">
        <v>0</v>
      </c>
      <c r="CQ78" t="s">
        <v>1618</v>
      </c>
      <c r="CR78" t="s">
        <v>1368</v>
      </c>
      <c r="CS78" t="s">
        <v>1728</v>
      </c>
      <c r="CT78" t="s">
        <v>1724</v>
      </c>
      <c r="CU78" t="s">
        <v>1729</v>
      </c>
      <c r="CV78" t="s">
        <v>1877</v>
      </c>
      <c r="DB78" t="s">
        <v>1824</v>
      </c>
      <c r="DE78" t="s">
        <v>1724</v>
      </c>
    </row>
    <row r="79" spans="1:109" x14ac:dyDescent="0.25">
      <c r="A79" t="s">
        <v>1618</v>
      </c>
      <c r="B79">
        <v>1</v>
      </c>
      <c r="C79" s="56">
        <v>42823</v>
      </c>
      <c r="D79" t="s">
        <v>1619</v>
      </c>
      <c r="E79" t="s">
        <v>1383</v>
      </c>
      <c r="G79" t="s">
        <v>1603</v>
      </c>
      <c r="H79" t="s">
        <v>1603</v>
      </c>
      <c r="I79" t="s">
        <v>1603</v>
      </c>
      <c r="J79" t="s">
        <v>1603</v>
      </c>
      <c r="K79" t="s">
        <v>1603</v>
      </c>
      <c r="L79">
        <v>5.81</v>
      </c>
      <c r="M79">
        <v>16.399999999999999</v>
      </c>
      <c r="N79">
        <v>0</v>
      </c>
      <c r="O79" s="56"/>
      <c r="P79" s="56"/>
      <c r="Q79">
        <v>13717</v>
      </c>
      <c r="R79">
        <v>1</v>
      </c>
      <c r="S79">
        <v>8</v>
      </c>
      <c r="T79">
        <v>4</v>
      </c>
      <c r="U79">
        <v>4</v>
      </c>
      <c r="V79">
        <v>1</v>
      </c>
      <c r="W79" t="s">
        <v>1723</v>
      </c>
      <c r="X79" t="s">
        <v>1727</v>
      </c>
      <c r="Y79">
        <v>200</v>
      </c>
      <c r="Z79" t="s">
        <v>1734</v>
      </c>
      <c r="AA79">
        <v>3.44</v>
      </c>
      <c r="AB79">
        <v>42</v>
      </c>
      <c r="AC79">
        <v>10.9</v>
      </c>
      <c r="AD79">
        <v>1.6</v>
      </c>
      <c r="AE79">
        <v>0</v>
      </c>
      <c r="AF79">
        <v>0</v>
      </c>
      <c r="AG79">
        <v>0</v>
      </c>
      <c r="AJ79" s="56"/>
      <c r="AK79" s="56"/>
      <c r="AL79" s="56"/>
      <c r="AP79" t="s">
        <v>1604</v>
      </c>
      <c r="AR79">
        <v>50</v>
      </c>
      <c r="AS79" t="s">
        <v>1605</v>
      </c>
      <c r="AT79">
        <v>1</v>
      </c>
      <c r="AV79">
        <v>150</v>
      </c>
      <c r="AW79">
        <v>100</v>
      </c>
      <c r="AX79">
        <v>50</v>
      </c>
      <c r="AY79" t="s">
        <v>1621</v>
      </c>
      <c r="AZ79" t="s">
        <v>1621</v>
      </c>
      <c r="BA79">
        <v>144</v>
      </c>
      <c r="BD79">
        <v>1000000000</v>
      </c>
      <c r="BE79">
        <v>22</v>
      </c>
      <c r="BF79">
        <v>0.85</v>
      </c>
      <c r="BG79">
        <v>0</v>
      </c>
      <c r="BH79">
        <v>0</v>
      </c>
      <c r="BI79">
        <v>0</v>
      </c>
      <c r="BJ79">
        <v>0</v>
      </c>
      <c r="BK79">
        <v>0</v>
      </c>
      <c r="BL79">
        <v>0</v>
      </c>
      <c r="BM79">
        <v>22</v>
      </c>
      <c r="BN79">
        <v>0.85</v>
      </c>
      <c r="BO79">
        <v>0</v>
      </c>
      <c r="BP79">
        <v>0</v>
      </c>
      <c r="BR79">
        <v>150</v>
      </c>
      <c r="BS79">
        <v>75</v>
      </c>
      <c r="BX79">
        <v>296.52</v>
      </c>
      <c r="BY79">
        <v>0</v>
      </c>
      <c r="BZ79">
        <v>0</v>
      </c>
      <c r="CA79">
        <v>10.94</v>
      </c>
      <c r="CC79">
        <v>1</v>
      </c>
      <c r="CD79" s="56">
        <v>42709</v>
      </c>
      <c r="CE79" s="56">
        <v>42767</v>
      </c>
      <c r="CF79" s="56">
        <v>42767</v>
      </c>
      <c r="CG79" s="56">
        <v>42823</v>
      </c>
      <c r="CH79" s="56"/>
      <c r="CI79" s="56"/>
      <c r="CJ79">
        <v>0</v>
      </c>
      <c r="CK79">
        <v>56</v>
      </c>
      <c r="CL79">
        <v>0</v>
      </c>
      <c r="CM79">
        <v>0.05</v>
      </c>
      <c r="CN79">
        <v>0</v>
      </c>
      <c r="CO79">
        <v>0</v>
      </c>
      <c r="CP79">
        <v>0</v>
      </c>
      <c r="CQ79" t="s">
        <v>1618</v>
      </c>
      <c r="CR79" t="s">
        <v>1368</v>
      </c>
      <c r="CS79" t="s">
        <v>1728</v>
      </c>
      <c r="CT79" t="s">
        <v>1724</v>
      </c>
      <c r="CU79" t="s">
        <v>1729</v>
      </c>
      <c r="CV79" t="s">
        <v>1878</v>
      </c>
      <c r="DB79" t="s">
        <v>1824</v>
      </c>
      <c r="DE79" t="s">
        <v>1724</v>
      </c>
    </row>
    <row r="80" spans="1:109" x14ac:dyDescent="0.25">
      <c r="A80" t="s">
        <v>1618</v>
      </c>
      <c r="B80">
        <v>1</v>
      </c>
      <c r="C80" s="56">
        <v>42823</v>
      </c>
      <c r="D80" t="s">
        <v>1619</v>
      </c>
      <c r="E80" t="s">
        <v>1384</v>
      </c>
      <c r="G80" t="s">
        <v>1603</v>
      </c>
      <c r="H80" t="s">
        <v>1603</v>
      </c>
      <c r="I80" t="s">
        <v>1603</v>
      </c>
      <c r="J80" t="s">
        <v>1603</v>
      </c>
      <c r="K80" t="s">
        <v>1603</v>
      </c>
      <c r="L80">
        <v>9.6</v>
      </c>
      <c r="M80">
        <v>35.5</v>
      </c>
      <c r="N80">
        <v>0</v>
      </c>
      <c r="O80" s="56"/>
      <c r="P80" s="56"/>
      <c r="Q80">
        <v>13717</v>
      </c>
      <c r="R80">
        <v>1</v>
      </c>
      <c r="S80">
        <v>8</v>
      </c>
      <c r="T80">
        <v>4</v>
      </c>
      <c r="U80">
        <v>4</v>
      </c>
      <c r="V80">
        <v>1</v>
      </c>
      <c r="X80" t="s">
        <v>1727</v>
      </c>
      <c r="Z80" t="s">
        <v>1734</v>
      </c>
      <c r="AA80">
        <v>23.46</v>
      </c>
      <c r="AB80">
        <v>282</v>
      </c>
      <c r="AC80">
        <v>1.07</v>
      </c>
      <c r="AD80">
        <v>1.19</v>
      </c>
      <c r="AE80">
        <v>0</v>
      </c>
      <c r="AF80">
        <v>0</v>
      </c>
      <c r="AG80">
        <v>0</v>
      </c>
      <c r="AJ80" s="56">
        <v>42666</v>
      </c>
      <c r="AK80" s="56"/>
      <c r="AL80" s="56"/>
      <c r="AP80" t="s">
        <v>1604</v>
      </c>
      <c r="AR80">
        <v>20</v>
      </c>
      <c r="AS80" t="s">
        <v>1605</v>
      </c>
      <c r="AT80">
        <v>1</v>
      </c>
      <c r="AV80">
        <v>100</v>
      </c>
      <c r="AW80">
        <v>67</v>
      </c>
      <c r="AX80">
        <v>33</v>
      </c>
      <c r="AY80" t="s">
        <v>1754</v>
      </c>
      <c r="AZ80" t="s">
        <v>1754</v>
      </c>
      <c r="BA80">
        <v>192</v>
      </c>
      <c r="BD80">
        <v>1000000000</v>
      </c>
      <c r="BE80">
        <v>112</v>
      </c>
      <c r="BF80">
        <v>-0.12</v>
      </c>
      <c r="BG80">
        <v>0</v>
      </c>
      <c r="BH80">
        <v>0</v>
      </c>
      <c r="BI80">
        <v>0</v>
      </c>
      <c r="BJ80">
        <v>0</v>
      </c>
      <c r="BK80">
        <v>0</v>
      </c>
      <c r="BL80">
        <v>0</v>
      </c>
      <c r="BM80">
        <v>112</v>
      </c>
      <c r="BN80">
        <v>-0.12</v>
      </c>
      <c r="BO80">
        <v>0</v>
      </c>
      <c r="BP80">
        <v>0</v>
      </c>
      <c r="BR80">
        <v>0</v>
      </c>
      <c r="BS80">
        <v>50</v>
      </c>
      <c r="BX80">
        <v>0</v>
      </c>
      <c r="BY80">
        <v>115.2</v>
      </c>
      <c r="BZ80">
        <v>0</v>
      </c>
      <c r="CA80">
        <v>16.190000000000001</v>
      </c>
      <c r="CC80">
        <v>1</v>
      </c>
      <c r="CD80" s="56">
        <v>42709</v>
      </c>
      <c r="CE80" s="56">
        <v>42767</v>
      </c>
      <c r="CF80" s="56">
        <v>42767</v>
      </c>
      <c r="CG80" s="56">
        <v>42823</v>
      </c>
      <c r="CH80" s="56"/>
      <c r="CI80" s="56"/>
      <c r="CJ80">
        <v>0</v>
      </c>
      <c r="CK80">
        <v>0</v>
      </c>
      <c r="CL80">
        <v>0</v>
      </c>
      <c r="CM80">
        <v>0</v>
      </c>
      <c r="CN80">
        <v>0</v>
      </c>
      <c r="CO80">
        <v>0</v>
      </c>
      <c r="CP80">
        <v>0.05</v>
      </c>
      <c r="CQ80" t="s">
        <v>1618</v>
      </c>
      <c r="CR80" t="s">
        <v>1368</v>
      </c>
      <c r="CS80" t="s">
        <v>1728</v>
      </c>
      <c r="CT80" t="s">
        <v>1724</v>
      </c>
      <c r="CU80" t="s">
        <v>1729</v>
      </c>
      <c r="CV80" t="s">
        <v>1879</v>
      </c>
      <c r="DB80" t="s">
        <v>1824</v>
      </c>
      <c r="DE80" t="s">
        <v>1724</v>
      </c>
    </row>
    <row r="81" spans="1:109" x14ac:dyDescent="0.25">
      <c r="A81" t="s">
        <v>1618</v>
      </c>
      <c r="B81">
        <v>1</v>
      </c>
      <c r="C81" s="56">
        <v>42823</v>
      </c>
      <c r="D81" t="s">
        <v>1619</v>
      </c>
      <c r="E81" t="s">
        <v>1431</v>
      </c>
      <c r="G81" t="s">
        <v>1603</v>
      </c>
      <c r="H81" t="s">
        <v>1603</v>
      </c>
      <c r="I81" t="s">
        <v>1603</v>
      </c>
      <c r="J81" t="s">
        <v>1603</v>
      </c>
      <c r="K81" t="s">
        <v>1603</v>
      </c>
      <c r="L81">
        <v>9.89</v>
      </c>
      <c r="M81">
        <v>33.31</v>
      </c>
      <c r="N81">
        <v>0</v>
      </c>
      <c r="O81" s="56"/>
      <c r="P81" s="56"/>
      <c r="Q81">
        <v>13717</v>
      </c>
      <c r="R81">
        <v>1</v>
      </c>
      <c r="S81">
        <v>8</v>
      </c>
      <c r="T81">
        <v>4</v>
      </c>
      <c r="U81">
        <v>4</v>
      </c>
      <c r="V81">
        <v>1</v>
      </c>
      <c r="X81" t="s">
        <v>1727</v>
      </c>
      <c r="AA81">
        <v>0.66</v>
      </c>
      <c r="AB81">
        <v>8</v>
      </c>
      <c r="AC81">
        <v>0</v>
      </c>
      <c r="AD81">
        <v>59.47</v>
      </c>
      <c r="AE81">
        <v>0</v>
      </c>
      <c r="AF81">
        <v>0</v>
      </c>
      <c r="AG81">
        <v>0</v>
      </c>
      <c r="AJ81" s="56">
        <v>42666</v>
      </c>
      <c r="AK81" s="56"/>
      <c r="AL81" s="56"/>
      <c r="AP81" t="s">
        <v>1604</v>
      </c>
      <c r="AR81">
        <v>20</v>
      </c>
      <c r="AS81" t="s">
        <v>1605</v>
      </c>
      <c r="AT81">
        <v>1</v>
      </c>
      <c r="AV81">
        <v>0</v>
      </c>
      <c r="AW81">
        <v>0</v>
      </c>
      <c r="AX81">
        <v>0</v>
      </c>
      <c r="AY81" t="s">
        <v>1606</v>
      </c>
      <c r="AZ81" t="s">
        <v>1606</v>
      </c>
      <c r="BA81">
        <v>192</v>
      </c>
      <c r="BD81">
        <v>1000000000</v>
      </c>
      <c r="BE81">
        <v>157</v>
      </c>
      <c r="BF81">
        <v>0</v>
      </c>
      <c r="BG81">
        <v>0</v>
      </c>
      <c r="BH81">
        <v>0</v>
      </c>
      <c r="BI81">
        <v>0</v>
      </c>
      <c r="BJ81">
        <v>0</v>
      </c>
      <c r="BK81">
        <v>0</v>
      </c>
      <c r="BL81">
        <v>0</v>
      </c>
      <c r="BM81">
        <v>157</v>
      </c>
      <c r="BN81">
        <v>0</v>
      </c>
      <c r="BO81">
        <v>0</v>
      </c>
      <c r="BP81">
        <v>0</v>
      </c>
      <c r="BR81">
        <v>0</v>
      </c>
      <c r="BS81">
        <v>0</v>
      </c>
      <c r="BX81">
        <v>0</v>
      </c>
      <c r="BY81">
        <v>0</v>
      </c>
      <c r="BZ81">
        <v>0</v>
      </c>
      <c r="CA81">
        <v>0</v>
      </c>
      <c r="CC81">
        <v>1</v>
      </c>
      <c r="CD81" s="56">
        <v>42709</v>
      </c>
      <c r="CE81" s="56">
        <v>42767</v>
      </c>
      <c r="CF81" s="56">
        <v>42767</v>
      </c>
      <c r="CG81" s="56">
        <v>42823</v>
      </c>
      <c r="CH81" s="56"/>
      <c r="CI81" s="56"/>
      <c r="CJ81">
        <v>0</v>
      </c>
      <c r="CK81">
        <v>0</v>
      </c>
      <c r="CL81">
        <v>0</v>
      </c>
      <c r="CM81">
        <v>0</v>
      </c>
      <c r="CN81">
        <v>0</v>
      </c>
      <c r="CO81">
        <v>0</v>
      </c>
      <c r="CP81">
        <v>0.05</v>
      </c>
      <c r="CQ81" t="s">
        <v>1618</v>
      </c>
      <c r="CR81" t="s">
        <v>1368</v>
      </c>
      <c r="CS81" t="s">
        <v>1728</v>
      </c>
      <c r="CT81" t="s">
        <v>1724</v>
      </c>
      <c r="CU81" t="s">
        <v>1729</v>
      </c>
      <c r="CV81" t="s">
        <v>1880</v>
      </c>
      <c r="DB81" t="s">
        <v>1824</v>
      </c>
      <c r="DE81" t="s">
        <v>1724</v>
      </c>
    </row>
    <row r="82" spans="1:109" x14ac:dyDescent="0.25">
      <c r="A82" t="s">
        <v>1618</v>
      </c>
      <c r="B82">
        <v>1</v>
      </c>
      <c r="C82" s="56">
        <v>42823</v>
      </c>
      <c r="D82" t="s">
        <v>1619</v>
      </c>
      <c r="E82" t="s">
        <v>1432</v>
      </c>
      <c r="G82" t="s">
        <v>1603</v>
      </c>
      <c r="H82" t="s">
        <v>1603</v>
      </c>
      <c r="I82" t="s">
        <v>1603</v>
      </c>
      <c r="J82" t="s">
        <v>1603</v>
      </c>
      <c r="K82" t="s">
        <v>1603</v>
      </c>
      <c r="L82">
        <v>6.06</v>
      </c>
      <c r="M82">
        <v>19.3</v>
      </c>
      <c r="N82">
        <v>0</v>
      </c>
      <c r="O82" s="56"/>
      <c r="P82" s="56"/>
      <c r="Q82">
        <v>13717</v>
      </c>
      <c r="R82">
        <v>1</v>
      </c>
      <c r="S82">
        <v>8</v>
      </c>
      <c r="T82">
        <v>4</v>
      </c>
      <c r="U82">
        <v>4</v>
      </c>
      <c r="V82">
        <v>1</v>
      </c>
      <c r="X82" t="s">
        <v>1753</v>
      </c>
      <c r="Z82" t="s">
        <v>1734</v>
      </c>
      <c r="AA82">
        <v>4.6100000000000003</v>
      </c>
      <c r="AB82">
        <v>56</v>
      </c>
      <c r="AC82">
        <v>26.03</v>
      </c>
      <c r="AD82">
        <v>34.270000000000003</v>
      </c>
      <c r="AE82">
        <v>0</v>
      </c>
      <c r="AF82">
        <v>0</v>
      </c>
      <c r="AG82">
        <v>0</v>
      </c>
      <c r="AJ82" s="56"/>
      <c r="AK82" s="56"/>
      <c r="AL82" s="56"/>
      <c r="AP82" t="s">
        <v>1604</v>
      </c>
      <c r="AR82">
        <v>30</v>
      </c>
      <c r="AS82" t="s">
        <v>1605</v>
      </c>
      <c r="AT82">
        <v>1</v>
      </c>
      <c r="AV82">
        <v>480</v>
      </c>
      <c r="AW82">
        <v>319</v>
      </c>
      <c r="AX82">
        <v>158</v>
      </c>
      <c r="AY82" t="s">
        <v>1754</v>
      </c>
      <c r="AZ82" t="s">
        <v>1754</v>
      </c>
      <c r="BA82">
        <v>320</v>
      </c>
      <c r="BD82">
        <v>1000000000</v>
      </c>
      <c r="BE82">
        <v>632</v>
      </c>
      <c r="BF82">
        <v>-0.32</v>
      </c>
      <c r="BG82">
        <v>0</v>
      </c>
      <c r="BH82">
        <v>0</v>
      </c>
      <c r="BI82">
        <v>0</v>
      </c>
      <c r="BJ82">
        <v>0</v>
      </c>
      <c r="BK82">
        <v>0</v>
      </c>
      <c r="BL82">
        <v>0</v>
      </c>
      <c r="BM82">
        <v>632</v>
      </c>
      <c r="BN82">
        <v>-0.32</v>
      </c>
      <c r="BO82">
        <v>0</v>
      </c>
      <c r="BP82">
        <v>0</v>
      </c>
      <c r="BR82">
        <v>0</v>
      </c>
      <c r="BS82">
        <v>240</v>
      </c>
      <c r="BX82">
        <v>0</v>
      </c>
      <c r="BY82">
        <v>921.12</v>
      </c>
      <c r="BZ82">
        <v>0</v>
      </c>
      <c r="CA82">
        <v>13.11</v>
      </c>
      <c r="CC82">
        <v>1</v>
      </c>
      <c r="CD82" s="56">
        <v>42592</v>
      </c>
      <c r="CE82" s="56">
        <v>42767</v>
      </c>
      <c r="CF82" s="56">
        <v>42767</v>
      </c>
      <c r="CG82" s="56">
        <v>42823</v>
      </c>
      <c r="CH82" s="56"/>
      <c r="CI82" s="56"/>
      <c r="CJ82">
        <v>0</v>
      </c>
      <c r="CK82">
        <v>0</v>
      </c>
      <c r="CL82">
        <v>0</v>
      </c>
      <c r="CM82">
        <v>0</v>
      </c>
      <c r="CN82">
        <v>0</v>
      </c>
      <c r="CO82">
        <v>0</v>
      </c>
      <c r="CP82">
        <v>0.05</v>
      </c>
      <c r="CQ82" t="s">
        <v>1618</v>
      </c>
      <c r="CR82" t="s">
        <v>1368</v>
      </c>
      <c r="CS82" t="s">
        <v>1728</v>
      </c>
      <c r="CT82" t="s">
        <v>1724</v>
      </c>
      <c r="CU82" t="s">
        <v>1729</v>
      </c>
      <c r="CV82" t="s">
        <v>1881</v>
      </c>
      <c r="DB82" t="s">
        <v>1882</v>
      </c>
      <c r="DE82" t="s">
        <v>1724</v>
      </c>
    </row>
    <row r="83" spans="1:109" x14ac:dyDescent="0.25">
      <c r="A83" t="s">
        <v>1618</v>
      </c>
      <c r="B83">
        <v>1</v>
      </c>
      <c r="C83" s="56">
        <v>42823</v>
      </c>
      <c r="D83" t="s">
        <v>1619</v>
      </c>
      <c r="E83" t="s">
        <v>1385</v>
      </c>
      <c r="G83" t="s">
        <v>1603</v>
      </c>
      <c r="H83" t="s">
        <v>1603</v>
      </c>
      <c r="I83" t="s">
        <v>1603</v>
      </c>
      <c r="J83" t="s">
        <v>1603</v>
      </c>
      <c r="K83" t="s">
        <v>1603</v>
      </c>
      <c r="L83">
        <v>4.53</v>
      </c>
      <c r="M83">
        <v>13.17</v>
      </c>
      <c r="N83">
        <v>0</v>
      </c>
      <c r="O83" s="56"/>
      <c r="P83" s="56"/>
      <c r="Q83">
        <v>13717</v>
      </c>
      <c r="R83">
        <v>1</v>
      </c>
      <c r="S83">
        <v>8</v>
      </c>
      <c r="T83">
        <v>4</v>
      </c>
      <c r="U83">
        <v>4</v>
      </c>
      <c r="V83">
        <v>1</v>
      </c>
      <c r="X83" t="s">
        <v>1727</v>
      </c>
      <c r="Z83" t="s">
        <v>1734</v>
      </c>
      <c r="AA83">
        <v>147.31</v>
      </c>
      <c r="AB83">
        <v>1768</v>
      </c>
      <c r="AC83">
        <v>0.17</v>
      </c>
      <c r="AD83">
        <v>0.3</v>
      </c>
      <c r="AE83">
        <v>0</v>
      </c>
      <c r="AF83">
        <v>0</v>
      </c>
      <c r="AG83">
        <v>0</v>
      </c>
      <c r="AJ83" s="56">
        <v>42666</v>
      </c>
      <c r="AK83" s="56"/>
      <c r="AL83" s="56"/>
      <c r="AP83" t="s">
        <v>1604</v>
      </c>
      <c r="AR83">
        <v>300</v>
      </c>
      <c r="AS83" t="s">
        <v>1605</v>
      </c>
      <c r="AT83">
        <v>1</v>
      </c>
      <c r="AV83">
        <v>100</v>
      </c>
      <c r="AW83">
        <v>67</v>
      </c>
      <c r="AX83">
        <v>33</v>
      </c>
      <c r="AY83" t="s">
        <v>1754</v>
      </c>
      <c r="AZ83" t="s">
        <v>1754</v>
      </c>
      <c r="BA83">
        <v>87</v>
      </c>
      <c r="BD83">
        <v>1000000000</v>
      </c>
      <c r="BE83">
        <v>176</v>
      </c>
      <c r="BF83">
        <v>-0.76</v>
      </c>
      <c r="BG83">
        <v>0</v>
      </c>
      <c r="BH83">
        <v>0</v>
      </c>
      <c r="BI83">
        <v>0</v>
      </c>
      <c r="BJ83">
        <v>0</v>
      </c>
      <c r="BK83">
        <v>0</v>
      </c>
      <c r="BL83">
        <v>0</v>
      </c>
      <c r="BM83">
        <v>176</v>
      </c>
      <c r="BN83">
        <v>-0.76</v>
      </c>
      <c r="BO83">
        <v>0</v>
      </c>
      <c r="BP83">
        <v>0</v>
      </c>
      <c r="BR83">
        <v>0</v>
      </c>
      <c r="BS83">
        <v>50</v>
      </c>
      <c r="BX83">
        <v>0</v>
      </c>
      <c r="BY83">
        <v>344.28</v>
      </c>
      <c r="BZ83">
        <v>0</v>
      </c>
      <c r="CA83">
        <v>11.44</v>
      </c>
      <c r="CC83">
        <v>1</v>
      </c>
      <c r="CD83" s="56">
        <v>42709</v>
      </c>
      <c r="CE83" s="56">
        <v>42767</v>
      </c>
      <c r="CF83" s="56">
        <v>42767</v>
      </c>
      <c r="CG83" s="56">
        <v>42823</v>
      </c>
      <c r="CH83" s="56"/>
      <c r="CI83" s="56"/>
      <c r="CJ83">
        <v>0</v>
      </c>
      <c r="CK83">
        <v>0</v>
      </c>
      <c r="CL83">
        <v>0</v>
      </c>
      <c r="CM83">
        <v>0</v>
      </c>
      <c r="CN83">
        <v>0</v>
      </c>
      <c r="CO83">
        <v>0</v>
      </c>
      <c r="CP83">
        <v>0.05</v>
      </c>
      <c r="CQ83" t="s">
        <v>1618</v>
      </c>
      <c r="CR83" t="s">
        <v>1368</v>
      </c>
      <c r="CS83" t="s">
        <v>1728</v>
      </c>
      <c r="CT83" t="s">
        <v>1724</v>
      </c>
      <c r="CU83" t="s">
        <v>1729</v>
      </c>
      <c r="CV83" t="s">
        <v>1883</v>
      </c>
      <c r="DB83" t="s">
        <v>1884</v>
      </c>
      <c r="DE83" t="s">
        <v>1724</v>
      </c>
    </row>
    <row r="84" spans="1:109" x14ac:dyDescent="0.25">
      <c r="A84" t="s">
        <v>1618</v>
      </c>
      <c r="B84">
        <v>1</v>
      </c>
      <c r="C84" s="56">
        <v>42823</v>
      </c>
      <c r="D84" t="s">
        <v>1619</v>
      </c>
      <c r="E84" t="s">
        <v>1885</v>
      </c>
      <c r="G84" t="s">
        <v>1603</v>
      </c>
      <c r="H84" t="s">
        <v>1603</v>
      </c>
      <c r="I84" t="s">
        <v>1603</v>
      </c>
      <c r="J84" t="s">
        <v>1603</v>
      </c>
      <c r="K84" t="s">
        <v>1603</v>
      </c>
      <c r="L84">
        <v>5.92</v>
      </c>
      <c r="M84">
        <v>18.93</v>
      </c>
      <c r="N84">
        <v>0</v>
      </c>
      <c r="O84" s="56"/>
      <c r="P84" s="56"/>
      <c r="Q84">
        <v>13717</v>
      </c>
      <c r="R84">
        <v>1</v>
      </c>
      <c r="S84">
        <v>8</v>
      </c>
      <c r="T84">
        <v>4</v>
      </c>
      <c r="U84">
        <v>4</v>
      </c>
      <c r="V84">
        <v>1</v>
      </c>
      <c r="X84" t="s">
        <v>1727</v>
      </c>
      <c r="AA84">
        <v>0</v>
      </c>
      <c r="AB84">
        <v>0</v>
      </c>
      <c r="AC84">
        <v>0</v>
      </c>
      <c r="AD84">
        <v>0</v>
      </c>
      <c r="AE84">
        <v>0</v>
      </c>
      <c r="AF84">
        <v>0</v>
      </c>
      <c r="AG84">
        <v>0</v>
      </c>
      <c r="AJ84" s="56">
        <v>42666</v>
      </c>
      <c r="AK84" s="56"/>
      <c r="AL84" s="56"/>
      <c r="AP84" t="s">
        <v>1604</v>
      </c>
      <c r="AR84">
        <v>150</v>
      </c>
      <c r="AS84" t="s">
        <v>1605</v>
      </c>
      <c r="AT84">
        <v>1</v>
      </c>
      <c r="AV84">
        <v>100</v>
      </c>
      <c r="AW84">
        <v>67</v>
      </c>
      <c r="AX84">
        <v>33</v>
      </c>
      <c r="AY84" t="s">
        <v>1754</v>
      </c>
      <c r="AZ84" t="s">
        <v>1754</v>
      </c>
      <c r="BA84">
        <v>87</v>
      </c>
      <c r="BD84">
        <v>1000000000</v>
      </c>
      <c r="BE84">
        <v>454</v>
      </c>
      <c r="BF84">
        <v>-3.54</v>
      </c>
      <c r="BG84">
        <v>0</v>
      </c>
      <c r="BH84">
        <v>0</v>
      </c>
      <c r="BI84">
        <v>0</v>
      </c>
      <c r="BJ84">
        <v>0</v>
      </c>
      <c r="BK84">
        <v>0</v>
      </c>
      <c r="BL84">
        <v>0</v>
      </c>
      <c r="BM84">
        <v>454</v>
      </c>
      <c r="BN84">
        <v>-3.54</v>
      </c>
      <c r="BO84">
        <v>0</v>
      </c>
      <c r="BP84">
        <v>0</v>
      </c>
      <c r="BR84">
        <v>0</v>
      </c>
      <c r="BS84">
        <v>50</v>
      </c>
      <c r="BX84">
        <v>0</v>
      </c>
      <c r="BY84">
        <v>2095.6799999999998</v>
      </c>
      <c r="BZ84">
        <v>0</v>
      </c>
      <c r="CA84">
        <v>13.19</v>
      </c>
      <c r="CC84">
        <v>1</v>
      </c>
      <c r="CD84" s="56">
        <v>42709</v>
      </c>
      <c r="CE84" s="56">
        <v>42767</v>
      </c>
      <c r="CF84" s="56">
        <v>42767</v>
      </c>
      <c r="CG84" s="56">
        <v>42823</v>
      </c>
      <c r="CH84" s="56"/>
      <c r="CI84" s="56"/>
      <c r="CJ84">
        <v>0</v>
      </c>
      <c r="CK84">
        <v>0</v>
      </c>
      <c r="CL84">
        <v>0</v>
      </c>
      <c r="CM84">
        <v>0</v>
      </c>
      <c r="CN84">
        <v>0</v>
      </c>
      <c r="CO84">
        <v>0</v>
      </c>
      <c r="CP84">
        <v>0.05</v>
      </c>
      <c r="CQ84" t="s">
        <v>1618</v>
      </c>
      <c r="CR84" t="s">
        <v>1368</v>
      </c>
      <c r="CS84" t="s">
        <v>1728</v>
      </c>
      <c r="CT84" t="s">
        <v>1724</v>
      </c>
      <c r="CU84" t="s">
        <v>1729</v>
      </c>
      <c r="CV84" t="s">
        <v>1886</v>
      </c>
      <c r="DB84" t="s">
        <v>1884</v>
      </c>
      <c r="DE84" t="s">
        <v>1724</v>
      </c>
    </row>
    <row r="85" spans="1:109" x14ac:dyDescent="0.25">
      <c r="A85" t="s">
        <v>1618</v>
      </c>
      <c r="B85">
        <v>1</v>
      </c>
      <c r="C85" s="56">
        <v>42823</v>
      </c>
      <c r="D85" t="s">
        <v>1619</v>
      </c>
      <c r="E85" t="s">
        <v>1386</v>
      </c>
      <c r="G85" t="s">
        <v>1603</v>
      </c>
      <c r="H85" t="s">
        <v>1603</v>
      </c>
      <c r="I85" t="s">
        <v>1603</v>
      </c>
      <c r="J85" t="s">
        <v>1603</v>
      </c>
      <c r="K85" t="s">
        <v>1603</v>
      </c>
      <c r="L85">
        <v>11.22</v>
      </c>
      <c r="M85">
        <v>36.44</v>
      </c>
      <c r="N85">
        <v>0</v>
      </c>
      <c r="O85" s="56"/>
      <c r="P85" s="56"/>
      <c r="Q85">
        <v>13717</v>
      </c>
      <c r="R85">
        <v>1</v>
      </c>
      <c r="S85">
        <v>8</v>
      </c>
      <c r="T85">
        <v>4</v>
      </c>
      <c r="U85">
        <v>4</v>
      </c>
      <c r="V85">
        <v>1</v>
      </c>
      <c r="W85" t="s">
        <v>1723</v>
      </c>
      <c r="X85" t="s">
        <v>1749</v>
      </c>
      <c r="AA85">
        <v>9.4600000000000009</v>
      </c>
      <c r="AB85">
        <v>114</v>
      </c>
      <c r="AC85">
        <v>2.11</v>
      </c>
      <c r="AD85">
        <v>1.64</v>
      </c>
      <c r="AE85">
        <v>0</v>
      </c>
      <c r="AF85">
        <v>0</v>
      </c>
      <c r="AG85">
        <v>0</v>
      </c>
      <c r="AJ85" s="56"/>
      <c r="AK85" s="56"/>
      <c r="AL85" s="56"/>
      <c r="AP85" t="s">
        <v>1604</v>
      </c>
      <c r="AR85">
        <v>110</v>
      </c>
      <c r="AS85" t="s">
        <v>1605</v>
      </c>
      <c r="AT85">
        <v>1</v>
      </c>
      <c r="AV85">
        <v>80</v>
      </c>
      <c r="AW85">
        <v>53</v>
      </c>
      <c r="AX85">
        <v>26</v>
      </c>
      <c r="AY85" t="s">
        <v>1735</v>
      </c>
      <c r="AZ85" t="s">
        <v>1735</v>
      </c>
      <c r="BA85">
        <v>100</v>
      </c>
      <c r="BD85">
        <v>1000000000</v>
      </c>
      <c r="BE85">
        <v>62</v>
      </c>
      <c r="BF85">
        <v>0.23</v>
      </c>
      <c r="BG85">
        <v>0</v>
      </c>
      <c r="BH85">
        <v>0</v>
      </c>
      <c r="BI85">
        <v>0</v>
      </c>
      <c r="BJ85">
        <v>0</v>
      </c>
      <c r="BK85">
        <v>0</v>
      </c>
      <c r="BL85">
        <v>0</v>
      </c>
      <c r="BM85">
        <v>62</v>
      </c>
      <c r="BN85">
        <v>0.23</v>
      </c>
      <c r="BO85">
        <v>0</v>
      </c>
      <c r="BP85">
        <v>0</v>
      </c>
      <c r="BR85">
        <v>0</v>
      </c>
      <c r="BS85">
        <v>40</v>
      </c>
      <c r="BX85">
        <v>0</v>
      </c>
      <c r="BY85">
        <v>0</v>
      </c>
      <c r="BZ85">
        <v>0</v>
      </c>
      <c r="CA85">
        <v>13.49</v>
      </c>
      <c r="CC85">
        <v>1</v>
      </c>
      <c r="CD85" s="56">
        <v>42761</v>
      </c>
      <c r="CE85" s="56">
        <v>42767</v>
      </c>
      <c r="CF85" s="56">
        <v>42767</v>
      </c>
      <c r="CG85" s="56">
        <v>42823</v>
      </c>
      <c r="CH85" s="56"/>
      <c r="CI85" s="56"/>
      <c r="CJ85">
        <v>0</v>
      </c>
      <c r="CK85">
        <v>0</v>
      </c>
      <c r="CL85">
        <v>0</v>
      </c>
      <c r="CM85">
        <v>0</v>
      </c>
      <c r="CN85">
        <v>0</v>
      </c>
      <c r="CO85">
        <v>0.05</v>
      </c>
      <c r="CP85">
        <v>0</v>
      </c>
      <c r="CQ85" t="s">
        <v>1618</v>
      </c>
      <c r="CR85" t="s">
        <v>1368</v>
      </c>
      <c r="CS85" t="s">
        <v>1728</v>
      </c>
      <c r="CT85" t="s">
        <v>1724</v>
      </c>
      <c r="CU85" t="s">
        <v>1729</v>
      </c>
      <c r="CV85" t="s">
        <v>1887</v>
      </c>
      <c r="DB85" t="s">
        <v>1884</v>
      </c>
      <c r="DE85" t="s">
        <v>1724</v>
      </c>
    </row>
    <row r="86" spans="1:109" x14ac:dyDescent="0.25">
      <c r="A86" t="s">
        <v>1618</v>
      </c>
      <c r="B86">
        <v>1</v>
      </c>
      <c r="C86" s="56">
        <v>42823</v>
      </c>
      <c r="D86" t="s">
        <v>1619</v>
      </c>
      <c r="E86" t="s">
        <v>1888</v>
      </c>
      <c r="G86" t="s">
        <v>1603</v>
      </c>
      <c r="H86" t="s">
        <v>1603</v>
      </c>
      <c r="I86" t="s">
        <v>1603</v>
      </c>
      <c r="J86" t="s">
        <v>1603</v>
      </c>
      <c r="K86" t="s">
        <v>1603</v>
      </c>
      <c r="L86">
        <v>0.92</v>
      </c>
      <c r="M86">
        <v>2</v>
      </c>
      <c r="N86">
        <v>0</v>
      </c>
      <c r="O86" s="56"/>
      <c r="P86" s="56"/>
      <c r="Q86">
        <v>13717</v>
      </c>
      <c r="R86">
        <v>1</v>
      </c>
      <c r="S86">
        <v>8</v>
      </c>
      <c r="T86">
        <v>4</v>
      </c>
      <c r="U86">
        <v>4</v>
      </c>
      <c r="V86">
        <v>1</v>
      </c>
      <c r="X86" t="s">
        <v>1738</v>
      </c>
      <c r="AA86">
        <v>0</v>
      </c>
      <c r="AB86">
        <v>0</v>
      </c>
      <c r="AC86">
        <v>0</v>
      </c>
      <c r="AD86">
        <v>0</v>
      </c>
      <c r="AE86">
        <v>0</v>
      </c>
      <c r="AF86">
        <v>0</v>
      </c>
      <c r="AG86">
        <v>0</v>
      </c>
      <c r="AJ86" s="56"/>
      <c r="AK86" s="56"/>
      <c r="AL86" s="56"/>
      <c r="AP86" t="s">
        <v>1604</v>
      </c>
      <c r="AR86">
        <v>120</v>
      </c>
      <c r="AS86" t="s">
        <v>1605</v>
      </c>
      <c r="AT86">
        <v>1</v>
      </c>
      <c r="AV86">
        <v>0</v>
      </c>
      <c r="AW86">
        <v>0</v>
      </c>
      <c r="AX86">
        <v>0</v>
      </c>
      <c r="AY86" t="s">
        <v>1606</v>
      </c>
      <c r="AZ86" t="s">
        <v>1606</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6">
        <v>42593</v>
      </c>
      <c r="CE86" s="56">
        <v>42767</v>
      </c>
      <c r="CF86" s="56">
        <v>42767</v>
      </c>
      <c r="CG86" s="56">
        <v>42823</v>
      </c>
      <c r="CH86" s="56"/>
      <c r="CI86" s="56"/>
      <c r="CJ86">
        <v>1</v>
      </c>
      <c r="CK86">
        <v>0</v>
      </c>
      <c r="CL86">
        <v>0.05</v>
      </c>
      <c r="CM86">
        <v>0</v>
      </c>
      <c r="CN86">
        <v>0</v>
      </c>
      <c r="CO86">
        <v>0</v>
      </c>
      <c r="CP86">
        <v>0</v>
      </c>
      <c r="CQ86" t="s">
        <v>1618</v>
      </c>
      <c r="CR86" t="s">
        <v>1368</v>
      </c>
      <c r="CS86" t="s">
        <v>1728</v>
      </c>
      <c r="CT86" t="s">
        <v>1724</v>
      </c>
      <c r="CU86" t="s">
        <v>1729</v>
      </c>
      <c r="CV86" t="s">
        <v>1889</v>
      </c>
      <c r="DB86" t="s">
        <v>1890</v>
      </c>
      <c r="DE86" t="s">
        <v>1724</v>
      </c>
    </row>
    <row r="87" spans="1:109" x14ac:dyDescent="0.25">
      <c r="A87" t="s">
        <v>1618</v>
      </c>
      <c r="B87">
        <v>1</v>
      </c>
      <c r="C87" s="56">
        <v>42823</v>
      </c>
      <c r="D87" t="s">
        <v>1619</v>
      </c>
      <c r="E87" t="s">
        <v>1891</v>
      </c>
      <c r="G87" t="s">
        <v>1603</v>
      </c>
      <c r="H87" t="s">
        <v>1603</v>
      </c>
      <c r="I87" t="s">
        <v>1603</v>
      </c>
      <c r="J87" t="s">
        <v>1603</v>
      </c>
      <c r="K87" t="s">
        <v>1603</v>
      </c>
      <c r="L87">
        <v>3.48</v>
      </c>
      <c r="M87">
        <v>16.63</v>
      </c>
      <c r="N87">
        <v>0</v>
      </c>
      <c r="O87" s="56"/>
      <c r="P87" s="56"/>
      <c r="Q87">
        <v>13717</v>
      </c>
      <c r="R87">
        <v>1</v>
      </c>
      <c r="S87">
        <v>8</v>
      </c>
      <c r="T87">
        <v>4</v>
      </c>
      <c r="U87">
        <v>4</v>
      </c>
      <c r="V87">
        <v>1</v>
      </c>
      <c r="X87" t="s">
        <v>1727</v>
      </c>
      <c r="AA87">
        <v>0</v>
      </c>
      <c r="AB87">
        <v>0</v>
      </c>
      <c r="AC87">
        <v>0</v>
      </c>
      <c r="AD87">
        <v>0</v>
      </c>
      <c r="AE87">
        <v>0</v>
      </c>
      <c r="AF87">
        <v>0</v>
      </c>
      <c r="AG87">
        <v>0</v>
      </c>
      <c r="AJ87" s="56"/>
      <c r="AK87" s="56"/>
      <c r="AL87" s="56"/>
      <c r="AP87" t="s">
        <v>1604</v>
      </c>
      <c r="AR87">
        <v>100</v>
      </c>
      <c r="AS87" t="s">
        <v>1605</v>
      </c>
      <c r="AT87">
        <v>1</v>
      </c>
      <c r="AV87">
        <v>0</v>
      </c>
      <c r="AW87">
        <v>0</v>
      </c>
      <c r="AX87">
        <v>0</v>
      </c>
      <c r="AY87" t="s">
        <v>1606</v>
      </c>
      <c r="AZ87" t="s">
        <v>1606</v>
      </c>
      <c r="BA87">
        <v>120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6">
        <v>42709</v>
      </c>
      <c r="CE87" s="56">
        <v>42767</v>
      </c>
      <c r="CF87" s="56">
        <v>42767</v>
      </c>
      <c r="CG87" s="56">
        <v>42823</v>
      </c>
      <c r="CH87" s="56"/>
      <c r="CI87" s="56"/>
      <c r="CJ87">
        <v>1</v>
      </c>
      <c r="CK87">
        <v>0</v>
      </c>
      <c r="CL87">
        <v>0.05</v>
      </c>
      <c r="CM87">
        <v>0</v>
      </c>
      <c r="CN87">
        <v>0</v>
      </c>
      <c r="CO87">
        <v>0</v>
      </c>
      <c r="CP87">
        <v>0</v>
      </c>
      <c r="CQ87" t="s">
        <v>1618</v>
      </c>
      <c r="CR87" t="s">
        <v>1368</v>
      </c>
      <c r="CS87" t="s">
        <v>1728</v>
      </c>
      <c r="CT87" t="s">
        <v>1724</v>
      </c>
      <c r="CU87" t="s">
        <v>1729</v>
      </c>
      <c r="CV87" t="s">
        <v>1892</v>
      </c>
      <c r="DB87" t="s">
        <v>1890</v>
      </c>
      <c r="DE87" t="s">
        <v>1724</v>
      </c>
    </row>
    <row r="88" spans="1:109" x14ac:dyDescent="0.25">
      <c r="A88" t="s">
        <v>1618</v>
      </c>
      <c r="B88">
        <v>1</v>
      </c>
      <c r="C88" s="56">
        <v>42823</v>
      </c>
      <c r="D88" t="s">
        <v>1619</v>
      </c>
      <c r="E88" t="s">
        <v>1893</v>
      </c>
      <c r="G88" t="s">
        <v>1603</v>
      </c>
      <c r="H88" t="s">
        <v>1603</v>
      </c>
      <c r="I88" t="s">
        <v>1603</v>
      </c>
      <c r="J88" t="s">
        <v>1603</v>
      </c>
      <c r="K88" t="s">
        <v>1603</v>
      </c>
      <c r="L88">
        <v>2.99</v>
      </c>
      <c r="M88">
        <v>8.27</v>
      </c>
      <c r="N88">
        <v>0</v>
      </c>
      <c r="O88" s="56"/>
      <c r="P88" s="56"/>
      <c r="Q88">
        <v>13717</v>
      </c>
      <c r="R88">
        <v>1</v>
      </c>
      <c r="S88">
        <v>8</v>
      </c>
      <c r="T88">
        <v>4</v>
      </c>
      <c r="U88">
        <v>4</v>
      </c>
      <c r="V88">
        <v>1</v>
      </c>
      <c r="X88" t="s">
        <v>1753</v>
      </c>
      <c r="AA88">
        <v>0</v>
      </c>
      <c r="AB88">
        <v>0</v>
      </c>
      <c r="AC88">
        <v>0</v>
      </c>
      <c r="AD88">
        <v>0</v>
      </c>
      <c r="AE88">
        <v>0</v>
      </c>
      <c r="AF88">
        <v>0</v>
      </c>
      <c r="AG88">
        <v>0</v>
      </c>
      <c r="AJ88" s="56"/>
      <c r="AK88" s="56"/>
      <c r="AL88" s="56"/>
      <c r="AP88" t="s">
        <v>1604</v>
      </c>
      <c r="AR88">
        <v>108</v>
      </c>
      <c r="AS88" t="s">
        <v>1605</v>
      </c>
      <c r="AT88">
        <v>1</v>
      </c>
      <c r="AV88">
        <v>120</v>
      </c>
      <c r="AW88">
        <v>80</v>
      </c>
      <c r="AX88">
        <v>40</v>
      </c>
      <c r="AY88" t="s">
        <v>1754</v>
      </c>
      <c r="AZ88" t="s">
        <v>1754</v>
      </c>
      <c r="BA88">
        <v>108</v>
      </c>
      <c r="BD88">
        <v>1000000000</v>
      </c>
      <c r="BE88">
        <v>139</v>
      </c>
      <c r="BF88">
        <v>-0.16</v>
      </c>
      <c r="BG88">
        <v>0</v>
      </c>
      <c r="BH88">
        <v>0</v>
      </c>
      <c r="BI88">
        <v>0</v>
      </c>
      <c r="BJ88">
        <v>0</v>
      </c>
      <c r="BK88">
        <v>0</v>
      </c>
      <c r="BL88">
        <v>0</v>
      </c>
      <c r="BM88">
        <v>139</v>
      </c>
      <c r="BN88">
        <v>-0.16</v>
      </c>
      <c r="BO88">
        <v>0</v>
      </c>
      <c r="BP88">
        <v>0</v>
      </c>
      <c r="BR88">
        <v>0</v>
      </c>
      <c r="BS88">
        <v>60</v>
      </c>
      <c r="BX88">
        <v>0</v>
      </c>
      <c r="BY88">
        <v>56.81</v>
      </c>
      <c r="BZ88">
        <v>0</v>
      </c>
      <c r="CA88">
        <v>10.6</v>
      </c>
      <c r="CC88">
        <v>1</v>
      </c>
      <c r="CD88" s="56">
        <v>42592</v>
      </c>
      <c r="CE88" s="56">
        <v>42767</v>
      </c>
      <c r="CF88" s="56">
        <v>42767</v>
      </c>
      <c r="CG88" s="56">
        <v>42823</v>
      </c>
      <c r="CH88" s="56"/>
      <c r="CI88" s="56"/>
      <c r="CJ88">
        <v>0</v>
      </c>
      <c r="CK88">
        <v>0</v>
      </c>
      <c r="CL88">
        <v>0</v>
      </c>
      <c r="CM88">
        <v>0</v>
      </c>
      <c r="CN88">
        <v>0</v>
      </c>
      <c r="CO88">
        <v>0</v>
      </c>
      <c r="CP88">
        <v>0.05</v>
      </c>
      <c r="CQ88" t="s">
        <v>1618</v>
      </c>
      <c r="CR88" t="s">
        <v>1368</v>
      </c>
      <c r="CS88" t="s">
        <v>1728</v>
      </c>
      <c r="CT88" t="s">
        <v>1724</v>
      </c>
      <c r="CU88" t="s">
        <v>1729</v>
      </c>
      <c r="CV88" t="s">
        <v>1894</v>
      </c>
      <c r="DB88" t="s">
        <v>1895</v>
      </c>
      <c r="DE88" t="s">
        <v>1724</v>
      </c>
    </row>
    <row r="89" spans="1:109" x14ac:dyDescent="0.25">
      <c r="A89" t="s">
        <v>1618</v>
      </c>
      <c r="B89">
        <v>1</v>
      </c>
      <c r="C89" s="56">
        <v>42823</v>
      </c>
      <c r="D89" t="s">
        <v>1619</v>
      </c>
      <c r="E89" t="s">
        <v>1433</v>
      </c>
      <c r="G89" t="s">
        <v>1603</v>
      </c>
      <c r="H89" t="s">
        <v>1603</v>
      </c>
      <c r="I89" t="s">
        <v>1603</v>
      </c>
      <c r="J89" t="s">
        <v>1603</v>
      </c>
      <c r="K89" t="s">
        <v>1603</v>
      </c>
      <c r="L89">
        <v>3.24</v>
      </c>
      <c r="M89">
        <v>11.82</v>
      </c>
      <c r="N89">
        <v>0</v>
      </c>
      <c r="O89" s="56"/>
      <c r="P89" s="56"/>
      <c r="Q89">
        <v>13717</v>
      </c>
      <c r="R89">
        <v>1</v>
      </c>
      <c r="S89">
        <v>8</v>
      </c>
      <c r="T89">
        <v>4</v>
      </c>
      <c r="U89">
        <v>4</v>
      </c>
      <c r="V89">
        <v>1</v>
      </c>
      <c r="X89" t="s">
        <v>1727</v>
      </c>
      <c r="Z89" t="s">
        <v>1734</v>
      </c>
      <c r="AA89">
        <v>0.23</v>
      </c>
      <c r="AB89">
        <v>3</v>
      </c>
      <c r="AC89">
        <v>130.43</v>
      </c>
      <c r="AD89">
        <v>228.26</v>
      </c>
      <c r="AE89">
        <v>0</v>
      </c>
      <c r="AF89">
        <v>0</v>
      </c>
      <c r="AG89">
        <v>0</v>
      </c>
      <c r="AJ89" s="56"/>
      <c r="AK89" s="56"/>
      <c r="AL89" s="56"/>
      <c r="AP89" t="s">
        <v>1604</v>
      </c>
      <c r="AR89">
        <v>108</v>
      </c>
      <c r="AS89" t="s">
        <v>1605</v>
      </c>
      <c r="AT89">
        <v>1</v>
      </c>
      <c r="AV89">
        <v>120</v>
      </c>
      <c r="AW89">
        <v>80</v>
      </c>
      <c r="AX89">
        <v>40</v>
      </c>
      <c r="AY89" t="s">
        <v>1754</v>
      </c>
      <c r="AZ89" t="s">
        <v>1754</v>
      </c>
      <c r="BA89">
        <v>144</v>
      </c>
      <c r="BD89">
        <v>1000000000</v>
      </c>
      <c r="BE89">
        <v>210</v>
      </c>
      <c r="BF89">
        <v>-0.75</v>
      </c>
      <c r="BG89">
        <v>0</v>
      </c>
      <c r="BH89">
        <v>0</v>
      </c>
      <c r="BI89">
        <v>0</v>
      </c>
      <c r="BJ89">
        <v>0</v>
      </c>
      <c r="BK89">
        <v>0</v>
      </c>
      <c r="BL89">
        <v>0</v>
      </c>
      <c r="BM89">
        <v>210</v>
      </c>
      <c r="BN89">
        <v>-0.75</v>
      </c>
      <c r="BO89">
        <v>0</v>
      </c>
      <c r="BP89">
        <v>0</v>
      </c>
      <c r="BR89">
        <v>0</v>
      </c>
      <c r="BS89">
        <v>60</v>
      </c>
      <c r="BX89">
        <v>0</v>
      </c>
      <c r="BY89">
        <v>291.60000000000002</v>
      </c>
      <c r="BZ89">
        <v>0</v>
      </c>
      <c r="CA89">
        <v>15.89</v>
      </c>
      <c r="CC89">
        <v>1</v>
      </c>
      <c r="CD89" s="56">
        <v>42709</v>
      </c>
      <c r="CE89" s="56">
        <v>42767</v>
      </c>
      <c r="CF89" s="56">
        <v>42767</v>
      </c>
      <c r="CG89" s="56">
        <v>42823</v>
      </c>
      <c r="CH89" s="56"/>
      <c r="CI89" s="56"/>
      <c r="CJ89">
        <v>0</v>
      </c>
      <c r="CK89">
        <v>0</v>
      </c>
      <c r="CL89">
        <v>0</v>
      </c>
      <c r="CM89">
        <v>0</v>
      </c>
      <c r="CN89">
        <v>0</v>
      </c>
      <c r="CO89">
        <v>0</v>
      </c>
      <c r="CP89">
        <v>0.05</v>
      </c>
      <c r="CQ89" t="s">
        <v>1618</v>
      </c>
      <c r="CR89" t="s">
        <v>1368</v>
      </c>
      <c r="CS89" t="s">
        <v>1728</v>
      </c>
      <c r="CT89" t="s">
        <v>1724</v>
      </c>
      <c r="CU89" t="s">
        <v>1729</v>
      </c>
      <c r="CV89" t="s">
        <v>1896</v>
      </c>
      <c r="DB89" t="s">
        <v>1895</v>
      </c>
      <c r="DE89" t="s">
        <v>1724</v>
      </c>
    </row>
    <row r="90" spans="1:109" x14ac:dyDescent="0.25">
      <c r="A90" t="s">
        <v>1618</v>
      </c>
      <c r="B90">
        <v>1</v>
      </c>
      <c r="C90" s="56">
        <v>42823</v>
      </c>
      <c r="D90" t="s">
        <v>1619</v>
      </c>
      <c r="E90" t="s">
        <v>1434</v>
      </c>
      <c r="G90" t="s">
        <v>1603</v>
      </c>
      <c r="H90" t="s">
        <v>1603</v>
      </c>
      <c r="I90" t="s">
        <v>1603</v>
      </c>
      <c r="J90" t="s">
        <v>1603</v>
      </c>
      <c r="K90" t="s">
        <v>1603</v>
      </c>
      <c r="L90">
        <v>4.28</v>
      </c>
      <c r="M90">
        <v>13.03</v>
      </c>
      <c r="N90">
        <v>0</v>
      </c>
      <c r="O90" s="56"/>
      <c r="P90" s="56"/>
      <c r="Q90">
        <v>13717</v>
      </c>
      <c r="R90">
        <v>1</v>
      </c>
      <c r="S90">
        <v>8</v>
      </c>
      <c r="T90">
        <v>4</v>
      </c>
      <c r="U90">
        <v>4</v>
      </c>
      <c r="V90">
        <v>1</v>
      </c>
      <c r="X90" t="s">
        <v>1753</v>
      </c>
      <c r="Z90" t="s">
        <v>1734</v>
      </c>
      <c r="AA90">
        <v>47.4</v>
      </c>
      <c r="AB90">
        <v>569</v>
      </c>
      <c r="AC90">
        <v>1.27</v>
      </c>
      <c r="AD90">
        <v>1.49</v>
      </c>
      <c r="AE90">
        <v>0</v>
      </c>
      <c r="AF90">
        <v>0</v>
      </c>
      <c r="AG90">
        <v>0</v>
      </c>
      <c r="AJ90" s="56"/>
      <c r="AK90" s="56"/>
      <c r="AL90" s="56"/>
      <c r="AP90" t="s">
        <v>1604</v>
      </c>
      <c r="AR90">
        <v>90</v>
      </c>
      <c r="AS90" t="s">
        <v>1605</v>
      </c>
      <c r="AT90">
        <v>1</v>
      </c>
      <c r="AV90">
        <v>240</v>
      </c>
      <c r="AW90">
        <v>160</v>
      </c>
      <c r="AX90">
        <v>79</v>
      </c>
      <c r="AY90" t="s">
        <v>1754</v>
      </c>
      <c r="AZ90" t="s">
        <v>1754</v>
      </c>
      <c r="BA90">
        <v>180</v>
      </c>
      <c r="BD90">
        <v>1000000000</v>
      </c>
      <c r="BE90">
        <v>282</v>
      </c>
      <c r="BF90">
        <v>-0.18</v>
      </c>
      <c r="BG90">
        <v>0</v>
      </c>
      <c r="BH90">
        <v>0</v>
      </c>
      <c r="BI90">
        <v>0</v>
      </c>
      <c r="BJ90">
        <v>0</v>
      </c>
      <c r="BK90">
        <v>0</v>
      </c>
      <c r="BL90">
        <v>0</v>
      </c>
      <c r="BM90">
        <v>282</v>
      </c>
      <c r="BN90">
        <v>-0.18</v>
      </c>
      <c r="BO90">
        <v>0</v>
      </c>
      <c r="BP90">
        <v>0</v>
      </c>
      <c r="BR90">
        <v>0</v>
      </c>
      <c r="BS90">
        <v>120</v>
      </c>
      <c r="BX90">
        <v>0</v>
      </c>
      <c r="BY90">
        <v>179.76</v>
      </c>
      <c r="BZ90">
        <v>0</v>
      </c>
      <c r="CA90">
        <v>12.27</v>
      </c>
      <c r="CC90">
        <v>1</v>
      </c>
      <c r="CD90" s="56">
        <v>42592</v>
      </c>
      <c r="CE90" s="56">
        <v>42767</v>
      </c>
      <c r="CF90" s="56">
        <v>42767</v>
      </c>
      <c r="CG90" s="56">
        <v>42823</v>
      </c>
      <c r="CH90" s="56"/>
      <c r="CI90" s="56"/>
      <c r="CJ90">
        <v>0</v>
      </c>
      <c r="CK90">
        <v>0</v>
      </c>
      <c r="CL90">
        <v>0</v>
      </c>
      <c r="CM90">
        <v>0</v>
      </c>
      <c r="CN90">
        <v>0</v>
      </c>
      <c r="CO90">
        <v>0</v>
      </c>
      <c r="CP90">
        <v>0.05</v>
      </c>
      <c r="CQ90" t="s">
        <v>1618</v>
      </c>
      <c r="CR90" t="s">
        <v>1368</v>
      </c>
      <c r="CS90" t="s">
        <v>1728</v>
      </c>
      <c r="CT90" t="s">
        <v>1724</v>
      </c>
      <c r="CU90" t="s">
        <v>1729</v>
      </c>
      <c r="CV90" t="s">
        <v>1897</v>
      </c>
      <c r="DB90" t="s">
        <v>1895</v>
      </c>
      <c r="DE90" t="s">
        <v>1724</v>
      </c>
    </row>
    <row r="91" spans="1:109" x14ac:dyDescent="0.25">
      <c r="A91" t="s">
        <v>1618</v>
      </c>
      <c r="B91">
        <v>1</v>
      </c>
      <c r="C91" s="56">
        <v>42823</v>
      </c>
      <c r="D91" t="s">
        <v>1619</v>
      </c>
      <c r="E91" t="s">
        <v>1898</v>
      </c>
      <c r="G91" t="s">
        <v>1603</v>
      </c>
      <c r="H91" t="s">
        <v>1603</v>
      </c>
      <c r="I91" t="s">
        <v>1603</v>
      </c>
      <c r="J91" t="s">
        <v>1603</v>
      </c>
      <c r="K91" t="s">
        <v>1603</v>
      </c>
      <c r="L91">
        <v>5.63</v>
      </c>
      <c r="M91">
        <v>19.28</v>
      </c>
      <c r="N91">
        <v>0</v>
      </c>
      <c r="O91" s="56"/>
      <c r="P91" s="56"/>
      <c r="Q91">
        <v>13717</v>
      </c>
      <c r="R91">
        <v>1</v>
      </c>
      <c r="S91">
        <v>8</v>
      </c>
      <c r="T91">
        <v>4</v>
      </c>
      <c r="U91">
        <v>4</v>
      </c>
      <c r="V91">
        <v>1</v>
      </c>
      <c r="W91" t="s">
        <v>1723</v>
      </c>
      <c r="X91" t="s">
        <v>1749</v>
      </c>
      <c r="AA91">
        <v>0</v>
      </c>
      <c r="AB91">
        <v>0</v>
      </c>
      <c r="AC91">
        <v>0</v>
      </c>
      <c r="AD91">
        <v>0</v>
      </c>
      <c r="AE91">
        <v>0</v>
      </c>
      <c r="AF91">
        <v>0</v>
      </c>
      <c r="AG91">
        <v>0</v>
      </c>
      <c r="AJ91" s="56">
        <v>42666</v>
      </c>
      <c r="AK91" s="56"/>
      <c r="AL91" s="56"/>
      <c r="AP91" t="s">
        <v>1604</v>
      </c>
      <c r="AR91">
        <v>54</v>
      </c>
      <c r="AS91" t="s">
        <v>1605</v>
      </c>
      <c r="AT91">
        <v>1</v>
      </c>
      <c r="AV91">
        <v>50</v>
      </c>
      <c r="AW91">
        <v>33</v>
      </c>
      <c r="AX91">
        <v>17</v>
      </c>
      <c r="AY91" t="s">
        <v>1735</v>
      </c>
      <c r="AZ91" t="s">
        <v>1735</v>
      </c>
      <c r="BA91">
        <v>60</v>
      </c>
      <c r="BD91">
        <v>1000000000</v>
      </c>
      <c r="BE91">
        <v>47</v>
      </c>
      <c r="BF91">
        <v>0.06</v>
      </c>
      <c r="BG91">
        <v>0</v>
      </c>
      <c r="BH91">
        <v>0</v>
      </c>
      <c r="BI91">
        <v>0</v>
      </c>
      <c r="BJ91">
        <v>0</v>
      </c>
      <c r="BK91">
        <v>0</v>
      </c>
      <c r="BL91">
        <v>0</v>
      </c>
      <c r="BM91">
        <v>47</v>
      </c>
      <c r="BN91">
        <v>0.06</v>
      </c>
      <c r="BO91">
        <v>0</v>
      </c>
      <c r="BP91">
        <v>0</v>
      </c>
      <c r="BR91">
        <v>0</v>
      </c>
      <c r="BS91">
        <v>25</v>
      </c>
      <c r="BX91">
        <v>0</v>
      </c>
      <c r="BY91">
        <v>0</v>
      </c>
      <c r="BZ91">
        <v>0</v>
      </c>
      <c r="CA91">
        <v>14.55</v>
      </c>
      <c r="CC91">
        <v>1</v>
      </c>
      <c r="CD91" s="56">
        <v>42761</v>
      </c>
      <c r="CE91" s="56">
        <v>42767</v>
      </c>
      <c r="CF91" s="56">
        <v>42767</v>
      </c>
      <c r="CG91" s="56">
        <v>42823</v>
      </c>
      <c r="CH91" s="56"/>
      <c r="CI91" s="56"/>
      <c r="CJ91">
        <v>0</v>
      </c>
      <c r="CK91">
        <v>0</v>
      </c>
      <c r="CL91">
        <v>0</v>
      </c>
      <c r="CM91">
        <v>0</v>
      </c>
      <c r="CN91">
        <v>0</v>
      </c>
      <c r="CO91">
        <v>0.05</v>
      </c>
      <c r="CP91">
        <v>0</v>
      </c>
      <c r="CQ91" t="s">
        <v>1618</v>
      </c>
      <c r="CR91" t="s">
        <v>1368</v>
      </c>
      <c r="CS91" t="s">
        <v>1728</v>
      </c>
      <c r="CT91" t="s">
        <v>1724</v>
      </c>
      <c r="CU91" t="s">
        <v>1729</v>
      </c>
      <c r="CV91" t="s">
        <v>1899</v>
      </c>
      <c r="DB91" t="s">
        <v>1895</v>
      </c>
      <c r="DE91" t="s">
        <v>1724</v>
      </c>
    </row>
    <row r="92" spans="1:109" x14ac:dyDescent="0.25">
      <c r="A92" t="s">
        <v>1618</v>
      </c>
      <c r="B92">
        <v>1</v>
      </c>
      <c r="C92" s="56">
        <v>42823</v>
      </c>
      <c r="D92" t="s">
        <v>1619</v>
      </c>
      <c r="E92" t="s">
        <v>1900</v>
      </c>
      <c r="G92" t="s">
        <v>1603</v>
      </c>
      <c r="H92" t="s">
        <v>1603</v>
      </c>
      <c r="I92" t="s">
        <v>1603</v>
      </c>
      <c r="J92" t="s">
        <v>1603</v>
      </c>
      <c r="K92" t="s">
        <v>1603</v>
      </c>
      <c r="L92">
        <v>1.24</v>
      </c>
      <c r="M92">
        <v>2</v>
      </c>
      <c r="N92">
        <v>0</v>
      </c>
      <c r="O92" s="56"/>
      <c r="P92" s="56"/>
      <c r="Q92">
        <v>13717</v>
      </c>
      <c r="R92">
        <v>1</v>
      </c>
      <c r="S92">
        <v>8</v>
      </c>
      <c r="T92">
        <v>4</v>
      </c>
      <c r="U92">
        <v>4</v>
      </c>
      <c r="V92">
        <v>1</v>
      </c>
      <c r="X92" t="s">
        <v>1738</v>
      </c>
      <c r="AA92">
        <v>0</v>
      </c>
      <c r="AB92">
        <v>0</v>
      </c>
      <c r="AC92">
        <v>0</v>
      </c>
      <c r="AD92">
        <v>0</v>
      </c>
      <c r="AE92">
        <v>0</v>
      </c>
      <c r="AF92">
        <v>0</v>
      </c>
      <c r="AG92">
        <v>0</v>
      </c>
      <c r="AJ92" s="56"/>
      <c r="AK92" s="56"/>
      <c r="AL92" s="56"/>
      <c r="AP92" t="s">
        <v>1604</v>
      </c>
      <c r="AR92">
        <v>60</v>
      </c>
      <c r="AS92" t="s">
        <v>1605</v>
      </c>
      <c r="AT92">
        <v>1</v>
      </c>
      <c r="AV92">
        <v>0</v>
      </c>
      <c r="AW92">
        <v>0</v>
      </c>
      <c r="AX92">
        <v>0</v>
      </c>
      <c r="AY92" t="s">
        <v>1606</v>
      </c>
      <c r="AZ92" t="s">
        <v>1606</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6">
        <v>42593</v>
      </c>
      <c r="CE92" s="56">
        <v>42767</v>
      </c>
      <c r="CF92" s="56">
        <v>42767</v>
      </c>
      <c r="CG92" s="56">
        <v>42823</v>
      </c>
      <c r="CH92" s="56"/>
      <c r="CI92" s="56"/>
      <c r="CJ92">
        <v>1</v>
      </c>
      <c r="CK92">
        <v>0</v>
      </c>
      <c r="CL92">
        <v>0.05</v>
      </c>
      <c r="CM92">
        <v>0</v>
      </c>
      <c r="CN92">
        <v>0</v>
      </c>
      <c r="CO92">
        <v>0</v>
      </c>
      <c r="CP92">
        <v>0</v>
      </c>
      <c r="CQ92" t="s">
        <v>1618</v>
      </c>
      <c r="CR92" t="s">
        <v>1368</v>
      </c>
      <c r="CS92" t="s">
        <v>1728</v>
      </c>
      <c r="CT92" t="s">
        <v>1724</v>
      </c>
      <c r="CU92" t="s">
        <v>1729</v>
      </c>
      <c r="CV92" t="s">
        <v>1901</v>
      </c>
      <c r="DB92" t="s">
        <v>1792</v>
      </c>
      <c r="DE92" t="s">
        <v>1724</v>
      </c>
    </row>
    <row r="93" spans="1:109" x14ac:dyDescent="0.25">
      <c r="A93" t="s">
        <v>1618</v>
      </c>
      <c r="B93">
        <v>1</v>
      </c>
      <c r="C93" s="56">
        <v>42823</v>
      </c>
      <c r="D93" t="s">
        <v>1619</v>
      </c>
      <c r="E93" t="s">
        <v>1902</v>
      </c>
      <c r="G93" t="s">
        <v>1603</v>
      </c>
      <c r="H93" t="s">
        <v>1603</v>
      </c>
      <c r="I93" t="s">
        <v>1603</v>
      </c>
      <c r="J93" t="s">
        <v>1603</v>
      </c>
      <c r="K93" t="s">
        <v>1603</v>
      </c>
      <c r="L93">
        <v>2.02</v>
      </c>
      <c r="M93">
        <v>5.94</v>
      </c>
      <c r="N93">
        <v>0</v>
      </c>
      <c r="O93" s="56"/>
      <c r="P93" s="56"/>
      <c r="Q93">
        <v>13717</v>
      </c>
      <c r="R93">
        <v>1</v>
      </c>
      <c r="S93">
        <v>8</v>
      </c>
      <c r="T93">
        <v>4</v>
      </c>
      <c r="U93">
        <v>4</v>
      </c>
      <c r="V93">
        <v>1</v>
      </c>
      <c r="X93" t="s">
        <v>1738</v>
      </c>
      <c r="AA93">
        <v>0</v>
      </c>
      <c r="AB93">
        <v>0</v>
      </c>
      <c r="AC93">
        <v>0</v>
      </c>
      <c r="AD93">
        <v>0</v>
      </c>
      <c r="AE93">
        <v>0</v>
      </c>
      <c r="AF93">
        <v>0</v>
      </c>
      <c r="AG93">
        <v>0</v>
      </c>
      <c r="AJ93" s="56"/>
      <c r="AK93" s="56"/>
      <c r="AL93" s="56"/>
      <c r="AP93" t="s">
        <v>1604</v>
      </c>
      <c r="AR93">
        <v>75</v>
      </c>
      <c r="AS93" t="s">
        <v>1605</v>
      </c>
      <c r="AT93">
        <v>1</v>
      </c>
      <c r="AV93">
        <v>0</v>
      </c>
      <c r="AW93">
        <v>0</v>
      </c>
      <c r="AX93">
        <v>0</v>
      </c>
      <c r="AY93" t="s">
        <v>1606</v>
      </c>
      <c r="AZ93" t="s">
        <v>1606</v>
      </c>
      <c r="BA93">
        <v>0</v>
      </c>
      <c r="BD93">
        <v>1000000000</v>
      </c>
      <c r="BE93">
        <v>18</v>
      </c>
      <c r="BF93">
        <v>0</v>
      </c>
      <c r="BG93">
        <v>0</v>
      </c>
      <c r="BH93">
        <v>0</v>
      </c>
      <c r="BI93">
        <v>0</v>
      </c>
      <c r="BJ93">
        <v>0</v>
      </c>
      <c r="BK93">
        <v>0</v>
      </c>
      <c r="BL93">
        <v>0</v>
      </c>
      <c r="BM93">
        <v>18</v>
      </c>
      <c r="BN93">
        <v>0</v>
      </c>
      <c r="BO93">
        <v>0</v>
      </c>
      <c r="BP93">
        <v>0</v>
      </c>
      <c r="BR93">
        <v>0</v>
      </c>
      <c r="BS93">
        <v>0</v>
      </c>
      <c r="BX93">
        <v>0</v>
      </c>
      <c r="BY93">
        <v>0</v>
      </c>
      <c r="BZ93">
        <v>0</v>
      </c>
      <c r="CA93">
        <v>0</v>
      </c>
      <c r="CC93">
        <v>1</v>
      </c>
      <c r="CD93" s="56">
        <v>42593</v>
      </c>
      <c r="CE93" s="56">
        <v>42767</v>
      </c>
      <c r="CF93" s="56">
        <v>42767</v>
      </c>
      <c r="CG93" s="56">
        <v>42823</v>
      </c>
      <c r="CH93" s="56"/>
      <c r="CI93" s="56"/>
      <c r="CJ93">
        <v>0</v>
      </c>
      <c r="CK93">
        <v>0</v>
      </c>
      <c r="CL93">
        <v>0</v>
      </c>
      <c r="CM93">
        <v>0</v>
      </c>
      <c r="CN93">
        <v>0</v>
      </c>
      <c r="CO93">
        <v>0</v>
      </c>
      <c r="CP93">
        <v>0.05</v>
      </c>
      <c r="CQ93" t="s">
        <v>1618</v>
      </c>
      <c r="CR93" t="s">
        <v>1368</v>
      </c>
      <c r="CS93" t="s">
        <v>1728</v>
      </c>
      <c r="CT93" t="s">
        <v>1724</v>
      </c>
      <c r="CU93" t="s">
        <v>1729</v>
      </c>
      <c r="CV93" t="s">
        <v>1903</v>
      </c>
      <c r="DB93" t="s">
        <v>1792</v>
      </c>
      <c r="DE93" t="s">
        <v>1724</v>
      </c>
    </row>
    <row r="94" spans="1:109" x14ac:dyDescent="0.25">
      <c r="A94" t="s">
        <v>1618</v>
      </c>
      <c r="B94">
        <v>1</v>
      </c>
      <c r="C94" s="56">
        <v>42823</v>
      </c>
      <c r="D94" t="s">
        <v>1619</v>
      </c>
      <c r="E94" t="s">
        <v>1904</v>
      </c>
      <c r="G94" t="s">
        <v>1603</v>
      </c>
      <c r="H94" t="s">
        <v>1603</v>
      </c>
      <c r="I94" t="s">
        <v>1603</v>
      </c>
      <c r="J94" t="s">
        <v>1603</v>
      </c>
      <c r="K94" t="s">
        <v>1603</v>
      </c>
      <c r="L94">
        <v>4.04</v>
      </c>
      <c r="M94">
        <v>8.25</v>
      </c>
      <c r="N94">
        <v>0</v>
      </c>
      <c r="O94" s="56"/>
      <c r="P94" s="56"/>
      <c r="Q94">
        <v>13717</v>
      </c>
      <c r="R94">
        <v>1</v>
      </c>
      <c r="S94">
        <v>8</v>
      </c>
      <c r="T94">
        <v>4</v>
      </c>
      <c r="U94">
        <v>4</v>
      </c>
      <c r="V94">
        <v>1</v>
      </c>
      <c r="X94" t="s">
        <v>1738</v>
      </c>
      <c r="AA94">
        <v>0</v>
      </c>
      <c r="AB94">
        <v>0</v>
      </c>
      <c r="AC94">
        <v>0</v>
      </c>
      <c r="AD94">
        <v>0</v>
      </c>
      <c r="AE94">
        <v>0</v>
      </c>
      <c r="AF94">
        <v>0</v>
      </c>
      <c r="AG94">
        <v>0</v>
      </c>
      <c r="AJ94" s="56"/>
      <c r="AK94" s="56"/>
      <c r="AL94" s="56"/>
      <c r="AP94" t="s">
        <v>1604</v>
      </c>
      <c r="AR94">
        <v>30</v>
      </c>
      <c r="AS94" t="s">
        <v>1605</v>
      </c>
      <c r="AT94">
        <v>1</v>
      </c>
      <c r="AV94">
        <v>0</v>
      </c>
      <c r="AW94">
        <v>0</v>
      </c>
      <c r="AX94">
        <v>0</v>
      </c>
      <c r="AY94" t="s">
        <v>1606</v>
      </c>
      <c r="AZ94" t="s">
        <v>1606</v>
      </c>
      <c r="BA94">
        <v>0</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6">
        <v>42593</v>
      </c>
      <c r="CE94" s="56">
        <v>42767</v>
      </c>
      <c r="CF94" s="56">
        <v>42767</v>
      </c>
      <c r="CG94" s="56">
        <v>42823</v>
      </c>
      <c r="CH94" s="56"/>
      <c r="CI94" s="56"/>
      <c r="CJ94">
        <v>1</v>
      </c>
      <c r="CK94">
        <v>0</v>
      </c>
      <c r="CL94">
        <v>0.05</v>
      </c>
      <c r="CM94">
        <v>0</v>
      </c>
      <c r="CN94">
        <v>0</v>
      </c>
      <c r="CO94">
        <v>0</v>
      </c>
      <c r="CP94">
        <v>0</v>
      </c>
      <c r="CQ94" t="s">
        <v>1618</v>
      </c>
      <c r="CR94" t="s">
        <v>1368</v>
      </c>
      <c r="CS94" t="s">
        <v>1728</v>
      </c>
      <c r="CT94" t="s">
        <v>1724</v>
      </c>
      <c r="CU94" t="s">
        <v>1729</v>
      </c>
      <c r="CV94" t="s">
        <v>1905</v>
      </c>
      <c r="DB94" t="s">
        <v>1792</v>
      </c>
      <c r="DE94" t="s">
        <v>1724</v>
      </c>
    </row>
    <row r="95" spans="1:109" x14ac:dyDescent="0.25">
      <c r="A95" t="s">
        <v>1618</v>
      </c>
      <c r="B95">
        <v>1</v>
      </c>
      <c r="C95" s="56">
        <v>42823</v>
      </c>
      <c r="D95" t="s">
        <v>1619</v>
      </c>
      <c r="E95" t="s">
        <v>1906</v>
      </c>
      <c r="G95" t="s">
        <v>1603</v>
      </c>
      <c r="H95" t="s">
        <v>1603</v>
      </c>
      <c r="I95" t="s">
        <v>1603</v>
      </c>
      <c r="J95" t="s">
        <v>1603</v>
      </c>
      <c r="K95" t="s">
        <v>1603</v>
      </c>
      <c r="L95">
        <v>5.71</v>
      </c>
      <c r="M95">
        <v>28.96</v>
      </c>
      <c r="N95">
        <v>0</v>
      </c>
      <c r="O95" s="56"/>
      <c r="P95" s="56"/>
      <c r="Q95">
        <v>13717</v>
      </c>
      <c r="R95">
        <v>1</v>
      </c>
      <c r="S95">
        <v>8</v>
      </c>
      <c r="T95">
        <v>4</v>
      </c>
      <c r="U95">
        <v>4</v>
      </c>
      <c r="V95">
        <v>1</v>
      </c>
      <c r="X95" t="s">
        <v>1727</v>
      </c>
      <c r="AA95">
        <v>0</v>
      </c>
      <c r="AB95">
        <v>0</v>
      </c>
      <c r="AC95">
        <v>0</v>
      </c>
      <c r="AD95">
        <v>0</v>
      </c>
      <c r="AE95">
        <v>0</v>
      </c>
      <c r="AF95">
        <v>0</v>
      </c>
      <c r="AG95">
        <v>0</v>
      </c>
      <c r="AJ95" s="56">
        <v>42666</v>
      </c>
      <c r="AK95" s="56"/>
      <c r="AL95" s="56"/>
      <c r="AP95" t="s">
        <v>1604</v>
      </c>
      <c r="AR95">
        <v>20</v>
      </c>
      <c r="AS95" t="s">
        <v>1605</v>
      </c>
      <c r="AT95">
        <v>1</v>
      </c>
      <c r="AV95">
        <v>12</v>
      </c>
      <c r="AW95">
        <v>8</v>
      </c>
      <c r="AX95">
        <v>4</v>
      </c>
      <c r="AY95" t="s">
        <v>1754</v>
      </c>
      <c r="AZ95" t="s">
        <v>1754</v>
      </c>
      <c r="BA95">
        <v>15</v>
      </c>
      <c r="BD95">
        <v>1000000000</v>
      </c>
      <c r="BE95">
        <v>79</v>
      </c>
      <c r="BF95">
        <v>-5.58</v>
      </c>
      <c r="BG95">
        <v>0</v>
      </c>
      <c r="BH95">
        <v>0</v>
      </c>
      <c r="BI95">
        <v>0</v>
      </c>
      <c r="BJ95">
        <v>0</v>
      </c>
      <c r="BK95">
        <v>0</v>
      </c>
      <c r="BL95">
        <v>0</v>
      </c>
      <c r="BM95">
        <v>79</v>
      </c>
      <c r="BN95">
        <v>-5.58</v>
      </c>
      <c r="BO95">
        <v>0</v>
      </c>
      <c r="BP95">
        <v>0</v>
      </c>
      <c r="BR95">
        <v>0</v>
      </c>
      <c r="BS95">
        <v>6</v>
      </c>
      <c r="BX95">
        <v>0</v>
      </c>
      <c r="BY95">
        <v>382.57</v>
      </c>
      <c r="BZ95">
        <v>0</v>
      </c>
      <c r="CA95">
        <v>24.43</v>
      </c>
      <c r="CC95">
        <v>1</v>
      </c>
      <c r="CD95" s="56">
        <v>42709</v>
      </c>
      <c r="CE95" s="56">
        <v>42767</v>
      </c>
      <c r="CF95" s="56">
        <v>42767</v>
      </c>
      <c r="CG95" s="56">
        <v>42823</v>
      </c>
      <c r="CH95" s="56"/>
      <c r="CI95" s="56"/>
      <c r="CJ95">
        <v>0</v>
      </c>
      <c r="CK95">
        <v>0</v>
      </c>
      <c r="CL95">
        <v>0</v>
      </c>
      <c r="CM95">
        <v>0</v>
      </c>
      <c r="CN95">
        <v>0</v>
      </c>
      <c r="CO95">
        <v>0</v>
      </c>
      <c r="CP95">
        <v>0.05</v>
      </c>
      <c r="CQ95" t="s">
        <v>1618</v>
      </c>
      <c r="CR95" t="s">
        <v>1368</v>
      </c>
      <c r="CS95" t="s">
        <v>1728</v>
      </c>
      <c r="CT95" t="s">
        <v>1724</v>
      </c>
      <c r="CU95" t="s">
        <v>1729</v>
      </c>
      <c r="CV95" t="s">
        <v>1907</v>
      </c>
      <c r="DB95" t="s">
        <v>1792</v>
      </c>
      <c r="DE95" t="s">
        <v>1724</v>
      </c>
    </row>
    <row r="96" spans="1:109" x14ac:dyDescent="0.25">
      <c r="A96" t="s">
        <v>1618</v>
      </c>
      <c r="B96">
        <v>1</v>
      </c>
      <c r="C96" s="56">
        <v>42823</v>
      </c>
      <c r="D96" t="s">
        <v>1619</v>
      </c>
      <c r="E96" t="s">
        <v>1908</v>
      </c>
      <c r="G96" t="s">
        <v>1603</v>
      </c>
      <c r="H96" t="s">
        <v>1603</v>
      </c>
      <c r="I96" t="s">
        <v>1603</v>
      </c>
      <c r="J96" t="s">
        <v>1603</v>
      </c>
      <c r="K96" t="s">
        <v>1603</v>
      </c>
      <c r="L96">
        <v>0</v>
      </c>
      <c r="M96">
        <v>14.78</v>
      </c>
      <c r="N96">
        <v>0</v>
      </c>
      <c r="O96" s="56"/>
      <c r="P96" s="56"/>
      <c r="Q96">
        <v>13717</v>
      </c>
      <c r="R96">
        <v>1</v>
      </c>
      <c r="S96">
        <v>8</v>
      </c>
      <c r="T96">
        <v>4</v>
      </c>
      <c r="U96">
        <v>4</v>
      </c>
      <c r="V96">
        <v>1</v>
      </c>
      <c r="X96" t="s">
        <v>1738</v>
      </c>
      <c r="AA96">
        <v>0</v>
      </c>
      <c r="AB96">
        <v>0</v>
      </c>
      <c r="AC96">
        <v>0</v>
      </c>
      <c r="AD96">
        <v>0</v>
      </c>
      <c r="AE96">
        <v>0</v>
      </c>
      <c r="AF96">
        <v>0</v>
      </c>
      <c r="AG96">
        <v>0</v>
      </c>
      <c r="AJ96" s="56"/>
      <c r="AK96" s="56"/>
      <c r="AL96" s="56"/>
      <c r="AP96" t="s">
        <v>1604</v>
      </c>
      <c r="AR96">
        <v>30</v>
      </c>
      <c r="AS96" t="s">
        <v>1605</v>
      </c>
      <c r="AT96">
        <v>1</v>
      </c>
      <c r="AV96">
        <v>0</v>
      </c>
      <c r="AW96">
        <v>0</v>
      </c>
      <c r="AX96">
        <v>0</v>
      </c>
      <c r="AY96" t="s">
        <v>1606</v>
      </c>
      <c r="AZ96" t="s">
        <v>1606</v>
      </c>
      <c r="BA96">
        <v>0</v>
      </c>
      <c r="BD96">
        <v>1000000000</v>
      </c>
      <c r="BE96">
        <v>0</v>
      </c>
      <c r="BF96">
        <v>0</v>
      </c>
      <c r="BG96">
        <v>0</v>
      </c>
      <c r="BH96">
        <v>0</v>
      </c>
      <c r="BI96">
        <v>0</v>
      </c>
      <c r="BJ96">
        <v>0</v>
      </c>
      <c r="BK96">
        <v>0</v>
      </c>
      <c r="BL96">
        <v>0</v>
      </c>
      <c r="BM96">
        <v>0</v>
      </c>
      <c r="BN96">
        <v>0</v>
      </c>
      <c r="BO96">
        <v>0</v>
      </c>
      <c r="BP96">
        <v>0</v>
      </c>
      <c r="BR96">
        <v>0</v>
      </c>
      <c r="BS96">
        <v>0</v>
      </c>
      <c r="BX96">
        <v>0</v>
      </c>
      <c r="BY96">
        <v>0</v>
      </c>
      <c r="BZ96">
        <v>0</v>
      </c>
      <c r="CA96">
        <v>0</v>
      </c>
      <c r="CC96">
        <v>1</v>
      </c>
      <c r="CD96" s="56">
        <v>42593</v>
      </c>
      <c r="CE96" s="56">
        <v>42767</v>
      </c>
      <c r="CF96" s="56">
        <v>42767</v>
      </c>
      <c r="CG96" s="56">
        <v>42823</v>
      </c>
      <c r="CH96" s="56"/>
      <c r="CI96" s="56"/>
      <c r="CJ96">
        <v>1</v>
      </c>
      <c r="CK96">
        <v>0</v>
      </c>
      <c r="CL96">
        <v>0.05</v>
      </c>
      <c r="CM96">
        <v>0</v>
      </c>
      <c r="CN96">
        <v>0</v>
      </c>
      <c r="CO96">
        <v>0</v>
      </c>
      <c r="CP96">
        <v>0</v>
      </c>
      <c r="CQ96" t="s">
        <v>1618</v>
      </c>
      <c r="CR96" t="s">
        <v>1368</v>
      </c>
      <c r="CS96" t="s">
        <v>1728</v>
      </c>
      <c r="CT96" t="s">
        <v>1724</v>
      </c>
      <c r="CU96" t="s">
        <v>1729</v>
      </c>
      <c r="CV96" t="s">
        <v>1909</v>
      </c>
      <c r="DB96" t="s">
        <v>1792</v>
      </c>
      <c r="DE96" t="s">
        <v>1724</v>
      </c>
    </row>
    <row r="97" spans="1:109" x14ac:dyDescent="0.25">
      <c r="A97" t="s">
        <v>1618</v>
      </c>
      <c r="B97">
        <v>1</v>
      </c>
      <c r="C97" s="56">
        <v>42823</v>
      </c>
      <c r="D97" t="s">
        <v>1619</v>
      </c>
      <c r="E97" t="s">
        <v>1910</v>
      </c>
      <c r="G97" t="s">
        <v>1603</v>
      </c>
      <c r="H97" t="s">
        <v>1603</v>
      </c>
      <c r="I97" t="s">
        <v>1603</v>
      </c>
      <c r="J97" t="s">
        <v>1603</v>
      </c>
      <c r="K97" t="s">
        <v>1603</v>
      </c>
      <c r="L97">
        <v>0</v>
      </c>
      <c r="M97">
        <v>12.87</v>
      </c>
      <c r="N97">
        <v>0</v>
      </c>
      <c r="O97" s="56"/>
      <c r="P97" s="56"/>
      <c r="Q97">
        <v>13717</v>
      </c>
      <c r="R97">
        <v>1</v>
      </c>
      <c r="S97">
        <v>8</v>
      </c>
      <c r="T97">
        <v>4</v>
      </c>
      <c r="U97">
        <v>4</v>
      </c>
      <c r="V97">
        <v>1</v>
      </c>
      <c r="X97" t="s">
        <v>1738</v>
      </c>
      <c r="AA97">
        <v>0</v>
      </c>
      <c r="AB97">
        <v>0</v>
      </c>
      <c r="AC97">
        <v>0</v>
      </c>
      <c r="AD97">
        <v>0</v>
      </c>
      <c r="AE97">
        <v>0</v>
      </c>
      <c r="AF97">
        <v>0</v>
      </c>
      <c r="AG97">
        <v>0</v>
      </c>
      <c r="AJ97" s="56"/>
      <c r="AK97" s="56"/>
      <c r="AL97" s="56"/>
      <c r="AP97" t="s">
        <v>1604</v>
      </c>
      <c r="AR97">
        <v>60</v>
      </c>
      <c r="AS97" t="s">
        <v>1605</v>
      </c>
      <c r="AT97">
        <v>1</v>
      </c>
      <c r="AV97">
        <v>0</v>
      </c>
      <c r="AW97">
        <v>0</v>
      </c>
      <c r="AX97">
        <v>0</v>
      </c>
      <c r="AY97" t="s">
        <v>1606</v>
      </c>
      <c r="AZ97" t="s">
        <v>1606</v>
      </c>
      <c r="BA97">
        <v>0</v>
      </c>
      <c r="BD97">
        <v>1000000000</v>
      </c>
      <c r="BE97">
        <v>0</v>
      </c>
      <c r="BF97">
        <v>0</v>
      </c>
      <c r="BG97">
        <v>0</v>
      </c>
      <c r="BH97">
        <v>0</v>
      </c>
      <c r="BI97">
        <v>0</v>
      </c>
      <c r="BJ97">
        <v>0</v>
      </c>
      <c r="BK97">
        <v>0</v>
      </c>
      <c r="BL97">
        <v>0</v>
      </c>
      <c r="BM97">
        <v>0</v>
      </c>
      <c r="BN97">
        <v>0</v>
      </c>
      <c r="BO97">
        <v>0</v>
      </c>
      <c r="BP97">
        <v>0</v>
      </c>
      <c r="BR97">
        <v>0</v>
      </c>
      <c r="BS97">
        <v>0</v>
      </c>
      <c r="BX97">
        <v>0</v>
      </c>
      <c r="BY97">
        <v>0</v>
      </c>
      <c r="BZ97">
        <v>0</v>
      </c>
      <c r="CA97">
        <v>0</v>
      </c>
      <c r="CC97">
        <v>1</v>
      </c>
      <c r="CD97" s="56">
        <v>42593</v>
      </c>
      <c r="CE97" s="56">
        <v>42767</v>
      </c>
      <c r="CF97" s="56">
        <v>42767</v>
      </c>
      <c r="CG97" s="56">
        <v>42823</v>
      </c>
      <c r="CH97" s="56"/>
      <c r="CI97" s="56"/>
      <c r="CJ97">
        <v>1</v>
      </c>
      <c r="CK97">
        <v>0</v>
      </c>
      <c r="CL97">
        <v>0.05</v>
      </c>
      <c r="CM97">
        <v>0</v>
      </c>
      <c r="CN97">
        <v>0</v>
      </c>
      <c r="CO97">
        <v>0</v>
      </c>
      <c r="CP97">
        <v>0</v>
      </c>
      <c r="CQ97" t="s">
        <v>1618</v>
      </c>
      <c r="CR97" t="s">
        <v>1368</v>
      </c>
      <c r="CS97" t="s">
        <v>1728</v>
      </c>
      <c r="CT97" t="s">
        <v>1724</v>
      </c>
      <c r="CU97" t="s">
        <v>1729</v>
      </c>
      <c r="CV97" t="s">
        <v>1911</v>
      </c>
      <c r="DB97" t="s">
        <v>1912</v>
      </c>
      <c r="DE97" t="s">
        <v>1724</v>
      </c>
    </row>
    <row r="98" spans="1:109" x14ac:dyDescent="0.25">
      <c r="A98" t="s">
        <v>1618</v>
      </c>
      <c r="B98">
        <v>1</v>
      </c>
      <c r="C98" s="56">
        <v>42823</v>
      </c>
      <c r="D98" t="s">
        <v>1619</v>
      </c>
      <c r="E98" t="s">
        <v>1913</v>
      </c>
      <c r="G98" t="s">
        <v>1603</v>
      </c>
      <c r="H98" t="s">
        <v>1603</v>
      </c>
      <c r="I98" t="s">
        <v>1603</v>
      </c>
      <c r="J98" t="s">
        <v>1603</v>
      </c>
      <c r="K98" t="s">
        <v>1603</v>
      </c>
      <c r="L98">
        <v>0</v>
      </c>
      <c r="M98">
        <v>14.2</v>
      </c>
      <c r="N98">
        <v>0</v>
      </c>
      <c r="O98" s="56"/>
      <c r="P98" s="56"/>
      <c r="Q98">
        <v>13717</v>
      </c>
      <c r="R98">
        <v>1</v>
      </c>
      <c r="S98">
        <v>8</v>
      </c>
      <c r="T98">
        <v>4</v>
      </c>
      <c r="U98">
        <v>4</v>
      </c>
      <c r="V98">
        <v>1</v>
      </c>
      <c r="X98" t="s">
        <v>1738</v>
      </c>
      <c r="AA98">
        <v>0</v>
      </c>
      <c r="AB98">
        <v>0</v>
      </c>
      <c r="AC98">
        <v>0</v>
      </c>
      <c r="AD98">
        <v>0</v>
      </c>
      <c r="AE98">
        <v>0</v>
      </c>
      <c r="AF98">
        <v>0</v>
      </c>
      <c r="AG98">
        <v>0</v>
      </c>
      <c r="AJ98" s="56"/>
      <c r="AK98" s="56"/>
      <c r="AL98" s="56"/>
      <c r="AP98" t="s">
        <v>1604</v>
      </c>
      <c r="AR98">
        <v>60</v>
      </c>
      <c r="AS98" t="s">
        <v>1605</v>
      </c>
      <c r="AT98">
        <v>1</v>
      </c>
      <c r="AV98">
        <v>0</v>
      </c>
      <c r="AW98">
        <v>0</v>
      </c>
      <c r="AX98">
        <v>0</v>
      </c>
      <c r="AY98" t="s">
        <v>1606</v>
      </c>
      <c r="AZ98" t="s">
        <v>1606</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42767</v>
      </c>
      <c r="CF98" s="56">
        <v>42767</v>
      </c>
      <c r="CG98" s="56">
        <v>42823</v>
      </c>
      <c r="CH98" s="56"/>
      <c r="CI98" s="56"/>
      <c r="CJ98">
        <v>1</v>
      </c>
      <c r="CK98">
        <v>0</v>
      </c>
      <c r="CL98">
        <v>0.05</v>
      </c>
      <c r="CM98">
        <v>0</v>
      </c>
      <c r="CN98">
        <v>0</v>
      </c>
      <c r="CO98">
        <v>0</v>
      </c>
      <c r="CP98">
        <v>0</v>
      </c>
      <c r="CQ98" t="s">
        <v>1618</v>
      </c>
      <c r="CR98" t="s">
        <v>1368</v>
      </c>
      <c r="CS98" t="s">
        <v>1728</v>
      </c>
      <c r="CT98" t="s">
        <v>1724</v>
      </c>
      <c r="CU98" t="s">
        <v>1729</v>
      </c>
      <c r="CV98" t="s">
        <v>1914</v>
      </c>
      <c r="DB98" t="s">
        <v>1912</v>
      </c>
      <c r="DE98" t="s">
        <v>1724</v>
      </c>
    </row>
    <row r="99" spans="1:109" x14ac:dyDescent="0.25">
      <c r="A99" t="s">
        <v>1618</v>
      </c>
      <c r="B99">
        <v>1</v>
      </c>
      <c r="C99" s="56">
        <v>42823</v>
      </c>
      <c r="D99" t="s">
        <v>1619</v>
      </c>
      <c r="E99" t="s">
        <v>1915</v>
      </c>
      <c r="G99" t="s">
        <v>1603</v>
      </c>
      <c r="H99" t="s">
        <v>1603</v>
      </c>
      <c r="I99" t="s">
        <v>1603</v>
      </c>
      <c r="J99" t="s">
        <v>1603</v>
      </c>
      <c r="K99" t="s">
        <v>1603</v>
      </c>
      <c r="L99">
        <v>33.68</v>
      </c>
      <c r="M99">
        <v>2</v>
      </c>
      <c r="N99">
        <v>0</v>
      </c>
      <c r="O99" s="56"/>
      <c r="P99" s="56"/>
      <c r="Q99">
        <v>13717</v>
      </c>
      <c r="R99">
        <v>1</v>
      </c>
      <c r="S99">
        <v>8</v>
      </c>
      <c r="T99">
        <v>4</v>
      </c>
      <c r="U99">
        <v>4</v>
      </c>
      <c r="V99">
        <v>1</v>
      </c>
      <c r="X99" t="s">
        <v>1727</v>
      </c>
      <c r="AA99">
        <v>0</v>
      </c>
      <c r="AB99">
        <v>0</v>
      </c>
      <c r="AC99">
        <v>0</v>
      </c>
      <c r="AD99">
        <v>0</v>
      </c>
      <c r="AE99">
        <v>0</v>
      </c>
      <c r="AF99">
        <v>0</v>
      </c>
      <c r="AG99">
        <v>0</v>
      </c>
      <c r="AJ99" s="56"/>
      <c r="AK99" s="56"/>
      <c r="AL99" s="56"/>
      <c r="AP99" t="s">
        <v>1604</v>
      </c>
      <c r="AR99">
        <v>10</v>
      </c>
      <c r="AS99" t="s">
        <v>1605</v>
      </c>
      <c r="AT99">
        <v>1</v>
      </c>
      <c r="AV99">
        <v>0</v>
      </c>
      <c r="AW99">
        <v>0</v>
      </c>
      <c r="AX99">
        <v>0</v>
      </c>
      <c r="AY99" t="s">
        <v>1606</v>
      </c>
      <c r="AZ99" t="s">
        <v>1606</v>
      </c>
      <c r="BA99">
        <v>15</v>
      </c>
      <c r="BD99">
        <v>1000000000</v>
      </c>
      <c r="BE99">
        <v>2</v>
      </c>
      <c r="BF99">
        <v>0</v>
      </c>
      <c r="BG99">
        <v>0</v>
      </c>
      <c r="BH99">
        <v>0</v>
      </c>
      <c r="BI99">
        <v>0</v>
      </c>
      <c r="BJ99">
        <v>0</v>
      </c>
      <c r="BK99">
        <v>0</v>
      </c>
      <c r="BL99">
        <v>0</v>
      </c>
      <c r="BM99">
        <v>2</v>
      </c>
      <c r="BN99">
        <v>0</v>
      </c>
      <c r="BO99">
        <v>0</v>
      </c>
      <c r="BP99">
        <v>0</v>
      </c>
      <c r="BR99">
        <v>0</v>
      </c>
      <c r="BS99">
        <v>0</v>
      </c>
      <c r="BX99">
        <v>0</v>
      </c>
      <c r="BY99">
        <v>0</v>
      </c>
      <c r="BZ99">
        <v>0</v>
      </c>
      <c r="CA99">
        <v>0</v>
      </c>
      <c r="CC99">
        <v>1</v>
      </c>
      <c r="CD99" s="56">
        <v>42709</v>
      </c>
      <c r="CE99" s="56">
        <v>42767</v>
      </c>
      <c r="CF99" s="56">
        <v>42767</v>
      </c>
      <c r="CG99" s="56">
        <v>42823</v>
      </c>
      <c r="CH99" s="56"/>
      <c r="CI99" s="56"/>
      <c r="CJ99">
        <v>0</v>
      </c>
      <c r="CK99">
        <v>0</v>
      </c>
      <c r="CL99">
        <v>0</v>
      </c>
      <c r="CM99">
        <v>0</v>
      </c>
      <c r="CN99">
        <v>0</v>
      </c>
      <c r="CO99">
        <v>0</v>
      </c>
      <c r="CP99">
        <v>0.05</v>
      </c>
      <c r="CQ99" t="s">
        <v>1618</v>
      </c>
      <c r="CR99" t="s">
        <v>1368</v>
      </c>
      <c r="CS99" t="s">
        <v>1728</v>
      </c>
      <c r="CT99" t="s">
        <v>1724</v>
      </c>
      <c r="CU99" t="s">
        <v>1729</v>
      </c>
      <c r="CV99" t="s">
        <v>1916</v>
      </c>
      <c r="DB99" t="s">
        <v>1792</v>
      </c>
      <c r="DE99" t="s">
        <v>1724</v>
      </c>
    </row>
    <row r="100" spans="1:109" x14ac:dyDescent="0.25">
      <c r="A100" t="s">
        <v>1618</v>
      </c>
      <c r="B100">
        <v>1</v>
      </c>
      <c r="C100" s="56">
        <v>42823</v>
      </c>
      <c r="D100" t="s">
        <v>1619</v>
      </c>
      <c r="E100" t="s">
        <v>1917</v>
      </c>
      <c r="G100" t="s">
        <v>1603</v>
      </c>
      <c r="H100" t="s">
        <v>1603</v>
      </c>
      <c r="I100" t="s">
        <v>1603</v>
      </c>
      <c r="J100" t="s">
        <v>1603</v>
      </c>
      <c r="K100" t="s">
        <v>1603</v>
      </c>
      <c r="L100">
        <v>33.99</v>
      </c>
      <c r="M100">
        <v>87.89</v>
      </c>
      <c r="N100">
        <v>0</v>
      </c>
      <c r="O100" s="56"/>
      <c r="P100" s="56"/>
      <c r="Q100">
        <v>13717</v>
      </c>
      <c r="R100">
        <v>1</v>
      </c>
      <c r="S100">
        <v>8</v>
      </c>
      <c r="T100">
        <v>4</v>
      </c>
      <c r="U100">
        <v>4</v>
      </c>
      <c r="V100">
        <v>1</v>
      </c>
      <c r="X100" t="s">
        <v>1738</v>
      </c>
      <c r="AA100">
        <v>0</v>
      </c>
      <c r="AB100">
        <v>0</v>
      </c>
      <c r="AC100">
        <v>0</v>
      </c>
      <c r="AD100">
        <v>0</v>
      </c>
      <c r="AE100">
        <v>0</v>
      </c>
      <c r="AF100">
        <v>0</v>
      </c>
      <c r="AG100">
        <v>0</v>
      </c>
      <c r="AJ100" s="56"/>
      <c r="AK100" s="56"/>
      <c r="AL100" s="56"/>
      <c r="AP100" t="s">
        <v>1604</v>
      </c>
      <c r="AR100">
        <v>14</v>
      </c>
      <c r="AS100" t="s">
        <v>1605</v>
      </c>
      <c r="AT100">
        <v>1</v>
      </c>
      <c r="AV100">
        <v>0</v>
      </c>
      <c r="AW100">
        <v>0</v>
      </c>
      <c r="AX100">
        <v>0</v>
      </c>
      <c r="AY100" t="s">
        <v>1606</v>
      </c>
      <c r="AZ100" t="s">
        <v>1606</v>
      </c>
      <c r="BA100">
        <v>0</v>
      </c>
      <c r="BD100">
        <v>1000000000</v>
      </c>
      <c r="BE100">
        <v>1</v>
      </c>
      <c r="BF100">
        <v>0</v>
      </c>
      <c r="BG100">
        <v>0</v>
      </c>
      <c r="BH100">
        <v>0</v>
      </c>
      <c r="BI100">
        <v>0</v>
      </c>
      <c r="BJ100">
        <v>0</v>
      </c>
      <c r="BK100">
        <v>0</v>
      </c>
      <c r="BL100">
        <v>0</v>
      </c>
      <c r="BM100">
        <v>1</v>
      </c>
      <c r="BN100">
        <v>0</v>
      </c>
      <c r="BO100">
        <v>0</v>
      </c>
      <c r="BP100">
        <v>0</v>
      </c>
      <c r="BR100">
        <v>0</v>
      </c>
      <c r="BS100">
        <v>0</v>
      </c>
      <c r="BX100">
        <v>0</v>
      </c>
      <c r="BY100">
        <v>0</v>
      </c>
      <c r="BZ100">
        <v>0</v>
      </c>
      <c r="CA100">
        <v>0</v>
      </c>
      <c r="CC100">
        <v>1</v>
      </c>
      <c r="CD100" s="56">
        <v>42593</v>
      </c>
      <c r="CE100" s="56">
        <v>42767</v>
      </c>
      <c r="CF100" s="56">
        <v>42767</v>
      </c>
      <c r="CG100" s="56">
        <v>42823</v>
      </c>
      <c r="CH100" s="56"/>
      <c r="CI100" s="56"/>
      <c r="CJ100">
        <v>0</v>
      </c>
      <c r="CK100">
        <v>0</v>
      </c>
      <c r="CL100">
        <v>0</v>
      </c>
      <c r="CM100">
        <v>0</v>
      </c>
      <c r="CN100">
        <v>0</v>
      </c>
      <c r="CO100">
        <v>0</v>
      </c>
      <c r="CP100">
        <v>0.05</v>
      </c>
      <c r="CQ100" t="s">
        <v>1618</v>
      </c>
      <c r="CR100" t="s">
        <v>1368</v>
      </c>
      <c r="CS100" t="s">
        <v>1728</v>
      </c>
      <c r="CT100" t="s">
        <v>1724</v>
      </c>
      <c r="CU100" t="s">
        <v>1729</v>
      </c>
      <c r="CV100" t="s">
        <v>1918</v>
      </c>
      <c r="DB100" t="s">
        <v>1919</v>
      </c>
      <c r="DE100" t="s">
        <v>1724</v>
      </c>
    </row>
    <row r="101" spans="1:109" x14ac:dyDescent="0.25">
      <c r="A101" t="s">
        <v>1618</v>
      </c>
      <c r="B101">
        <v>1</v>
      </c>
      <c r="C101" s="56">
        <v>42823</v>
      </c>
      <c r="D101" t="s">
        <v>1619</v>
      </c>
      <c r="E101" t="s">
        <v>1920</v>
      </c>
      <c r="G101" t="s">
        <v>1603</v>
      </c>
      <c r="H101" t="s">
        <v>1603</v>
      </c>
      <c r="I101" t="s">
        <v>1603</v>
      </c>
      <c r="J101" t="s">
        <v>1603</v>
      </c>
      <c r="K101" t="s">
        <v>1603</v>
      </c>
      <c r="L101">
        <v>34.43</v>
      </c>
      <c r="M101">
        <v>96.16</v>
      </c>
      <c r="N101">
        <v>0</v>
      </c>
      <c r="O101" s="56"/>
      <c r="P101" s="56"/>
      <c r="Q101">
        <v>13717</v>
      </c>
      <c r="R101">
        <v>1</v>
      </c>
      <c r="S101">
        <v>8</v>
      </c>
      <c r="T101">
        <v>4</v>
      </c>
      <c r="U101">
        <v>4</v>
      </c>
      <c r="V101">
        <v>1</v>
      </c>
      <c r="X101" t="s">
        <v>1727</v>
      </c>
      <c r="AA101">
        <v>0</v>
      </c>
      <c r="AB101">
        <v>0</v>
      </c>
      <c r="AC101">
        <v>0</v>
      </c>
      <c r="AD101">
        <v>0</v>
      </c>
      <c r="AE101">
        <v>0</v>
      </c>
      <c r="AF101">
        <v>0</v>
      </c>
      <c r="AG101">
        <v>0</v>
      </c>
      <c r="AJ101" s="56"/>
      <c r="AK101" s="56"/>
      <c r="AL101" s="56"/>
      <c r="AP101" t="s">
        <v>1604</v>
      </c>
      <c r="AR101">
        <v>14</v>
      </c>
      <c r="AS101" t="s">
        <v>1605</v>
      </c>
      <c r="AT101">
        <v>1</v>
      </c>
      <c r="AV101">
        <v>0</v>
      </c>
      <c r="AW101">
        <v>0</v>
      </c>
      <c r="AX101">
        <v>0</v>
      </c>
      <c r="AY101" t="s">
        <v>1606</v>
      </c>
      <c r="AZ101" t="s">
        <v>1606</v>
      </c>
      <c r="BA101">
        <v>3</v>
      </c>
      <c r="BD101">
        <v>1000000000</v>
      </c>
      <c r="BE101">
        <v>8</v>
      </c>
      <c r="BF101">
        <v>0</v>
      </c>
      <c r="BG101">
        <v>0</v>
      </c>
      <c r="BH101">
        <v>0</v>
      </c>
      <c r="BI101">
        <v>0</v>
      </c>
      <c r="BJ101">
        <v>0</v>
      </c>
      <c r="BK101">
        <v>0</v>
      </c>
      <c r="BL101">
        <v>0</v>
      </c>
      <c r="BM101">
        <v>8</v>
      </c>
      <c r="BN101">
        <v>0</v>
      </c>
      <c r="BO101">
        <v>0</v>
      </c>
      <c r="BP101">
        <v>0</v>
      </c>
      <c r="BR101">
        <v>0</v>
      </c>
      <c r="BS101">
        <v>0</v>
      </c>
      <c r="BX101">
        <v>0</v>
      </c>
      <c r="BY101">
        <v>0</v>
      </c>
      <c r="BZ101">
        <v>0</v>
      </c>
      <c r="CA101">
        <v>0</v>
      </c>
      <c r="CC101">
        <v>1</v>
      </c>
      <c r="CD101" s="56">
        <v>42709</v>
      </c>
      <c r="CE101" s="56">
        <v>42767</v>
      </c>
      <c r="CF101" s="56">
        <v>42767</v>
      </c>
      <c r="CG101" s="56">
        <v>42823</v>
      </c>
      <c r="CH101" s="56"/>
      <c r="CI101" s="56"/>
      <c r="CJ101">
        <v>0</v>
      </c>
      <c r="CK101">
        <v>0</v>
      </c>
      <c r="CL101">
        <v>0</v>
      </c>
      <c r="CM101">
        <v>0</v>
      </c>
      <c r="CN101">
        <v>0</v>
      </c>
      <c r="CO101">
        <v>0</v>
      </c>
      <c r="CP101">
        <v>0.05</v>
      </c>
      <c r="CQ101" t="s">
        <v>1618</v>
      </c>
      <c r="CR101" t="s">
        <v>1368</v>
      </c>
      <c r="CS101" t="s">
        <v>1728</v>
      </c>
      <c r="CT101" t="s">
        <v>1724</v>
      </c>
      <c r="CU101" t="s">
        <v>1729</v>
      </c>
      <c r="CV101" t="s">
        <v>1921</v>
      </c>
      <c r="DB101" t="s">
        <v>1919</v>
      </c>
      <c r="DE101" t="s">
        <v>1724</v>
      </c>
    </row>
    <row r="102" spans="1:109" x14ac:dyDescent="0.25">
      <c r="A102" t="s">
        <v>1618</v>
      </c>
      <c r="B102">
        <v>1</v>
      </c>
      <c r="C102" s="56">
        <v>42823</v>
      </c>
      <c r="D102" t="s">
        <v>1619</v>
      </c>
      <c r="E102" t="s">
        <v>1922</v>
      </c>
      <c r="G102" t="s">
        <v>1603</v>
      </c>
      <c r="H102" t="s">
        <v>1603</v>
      </c>
      <c r="I102" t="s">
        <v>1603</v>
      </c>
      <c r="J102" t="s">
        <v>1603</v>
      </c>
      <c r="K102" t="s">
        <v>1603</v>
      </c>
      <c r="L102">
        <v>40.67</v>
      </c>
      <c r="M102">
        <v>127.59</v>
      </c>
      <c r="N102">
        <v>0</v>
      </c>
      <c r="O102" s="56"/>
      <c r="P102" s="56"/>
      <c r="Q102">
        <v>13717</v>
      </c>
      <c r="R102">
        <v>1</v>
      </c>
      <c r="S102">
        <v>8</v>
      </c>
      <c r="T102">
        <v>4</v>
      </c>
      <c r="U102">
        <v>4</v>
      </c>
      <c r="V102">
        <v>1</v>
      </c>
      <c r="X102" t="s">
        <v>1738</v>
      </c>
      <c r="AA102">
        <v>0</v>
      </c>
      <c r="AB102">
        <v>0</v>
      </c>
      <c r="AC102">
        <v>0</v>
      </c>
      <c r="AD102">
        <v>0</v>
      </c>
      <c r="AE102">
        <v>0</v>
      </c>
      <c r="AF102">
        <v>0</v>
      </c>
      <c r="AG102">
        <v>0</v>
      </c>
      <c r="AJ102" s="56"/>
      <c r="AK102" s="56"/>
      <c r="AL102" s="56"/>
      <c r="AP102" t="s">
        <v>1604</v>
      </c>
      <c r="AR102">
        <v>21</v>
      </c>
      <c r="AS102" t="s">
        <v>1605</v>
      </c>
      <c r="AT102">
        <v>1</v>
      </c>
      <c r="AV102">
        <v>0</v>
      </c>
      <c r="AW102">
        <v>0</v>
      </c>
      <c r="AX102">
        <v>0</v>
      </c>
      <c r="AY102" t="s">
        <v>1606</v>
      </c>
      <c r="AZ102" t="s">
        <v>1606</v>
      </c>
      <c r="BA102">
        <v>0</v>
      </c>
      <c r="BD102">
        <v>1000000000</v>
      </c>
      <c r="BE102">
        <v>9</v>
      </c>
      <c r="BF102">
        <v>0</v>
      </c>
      <c r="BG102">
        <v>0</v>
      </c>
      <c r="BH102">
        <v>0</v>
      </c>
      <c r="BI102">
        <v>0</v>
      </c>
      <c r="BJ102">
        <v>0</v>
      </c>
      <c r="BK102">
        <v>0</v>
      </c>
      <c r="BL102">
        <v>0</v>
      </c>
      <c r="BM102">
        <v>9</v>
      </c>
      <c r="BN102">
        <v>0</v>
      </c>
      <c r="BO102">
        <v>0</v>
      </c>
      <c r="BP102">
        <v>0</v>
      </c>
      <c r="BR102">
        <v>0</v>
      </c>
      <c r="BS102">
        <v>0</v>
      </c>
      <c r="BX102">
        <v>0</v>
      </c>
      <c r="BY102">
        <v>0</v>
      </c>
      <c r="BZ102">
        <v>0</v>
      </c>
      <c r="CA102">
        <v>0</v>
      </c>
      <c r="CC102">
        <v>1</v>
      </c>
      <c r="CD102" s="56">
        <v>42593</v>
      </c>
      <c r="CE102" s="56">
        <v>42767</v>
      </c>
      <c r="CF102" s="56">
        <v>42767</v>
      </c>
      <c r="CG102" s="56">
        <v>42823</v>
      </c>
      <c r="CH102" s="56"/>
      <c r="CI102" s="56"/>
      <c r="CJ102">
        <v>0</v>
      </c>
      <c r="CK102">
        <v>0</v>
      </c>
      <c r="CL102">
        <v>0</v>
      </c>
      <c r="CM102">
        <v>0</v>
      </c>
      <c r="CN102">
        <v>0</v>
      </c>
      <c r="CO102">
        <v>0</v>
      </c>
      <c r="CP102">
        <v>0.05</v>
      </c>
      <c r="CQ102" t="s">
        <v>1618</v>
      </c>
      <c r="CR102" t="s">
        <v>1368</v>
      </c>
      <c r="CS102" t="s">
        <v>1728</v>
      </c>
      <c r="CT102" t="s">
        <v>1724</v>
      </c>
      <c r="CU102" t="s">
        <v>1729</v>
      </c>
      <c r="CV102" t="s">
        <v>1923</v>
      </c>
      <c r="DB102" t="s">
        <v>1924</v>
      </c>
      <c r="DE102" t="s">
        <v>1724</v>
      </c>
    </row>
    <row r="103" spans="1:109" x14ac:dyDescent="0.25">
      <c r="A103" t="s">
        <v>1618</v>
      </c>
      <c r="B103">
        <v>1</v>
      </c>
      <c r="C103" s="56">
        <v>42823</v>
      </c>
      <c r="D103" t="s">
        <v>1619</v>
      </c>
      <c r="E103" t="s">
        <v>1925</v>
      </c>
      <c r="G103" t="s">
        <v>1603</v>
      </c>
      <c r="H103" t="s">
        <v>1603</v>
      </c>
      <c r="I103" t="s">
        <v>1603</v>
      </c>
      <c r="J103" t="s">
        <v>1603</v>
      </c>
      <c r="K103" t="s">
        <v>1603</v>
      </c>
      <c r="L103">
        <v>40.67</v>
      </c>
      <c r="M103">
        <v>127.6</v>
      </c>
      <c r="N103">
        <v>0</v>
      </c>
      <c r="O103" s="56"/>
      <c r="P103" s="56"/>
      <c r="Q103">
        <v>13717</v>
      </c>
      <c r="R103">
        <v>1</v>
      </c>
      <c r="S103">
        <v>8</v>
      </c>
      <c r="T103">
        <v>4</v>
      </c>
      <c r="U103">
        <v>4</v>
      </c>
      <c r="V103">
        <v>1</v>
      </c>
      <c r="X103" t="s">
        <v>1738</v>
      </c>
      <c r="AA103">
        <v>0</v>
      </c>
      <c r="AB103">
        <v>0</v>
      </c>
      <c r="AC103">
        <v>0</v>
      </c>
      <c r="AD103">
        <v>0</v>
      </c>
      <c r="AE103">
        <v>0</v>
      </c>
      <c r="AF103">
        <v>0</v>
      </c>
      <c r="AG103">
        <v>0</v>
      </c>
      <c r="AJ103" s="56"/>
      <c r="AK103" s="56"/>
      <c r="AL103" s="56"/>
      <c r="AP103" t="s">
        <v>1604</v>
      </c>
      <c r="AR103">
        <v>21</v>
      </c>
      <c r="AS103" t="s">
        <v>1605</v>
      </c>
      <c r="AT103">
        <v>1</v>
      </c>
      <c r="AV103">
        <v>0</v>
      </c>
      <c r="AW103">
        <v>0</v>
      </c>
      <c r="AX103">
        <v>0</v>
      </c>
      <c r="AY103" t="s">
        <v>1606</v>
      </c>
      <c r="AZ103" t="s">
        <v>1606</v>
      </c>
      <c r="BA103">
        <v>0</v>
      </c>
      <c r="BD103">
        <v>1000000000</v>
      </c>
      <c r="BE103">
        <v>6</v>
      </c>
      <c r="BF103">
        <v>0</v>
      </c>
      <c r="BG103">
        <v>0</v>
      </c>
      <c r="BH103">
        <v>0</v>
      </c>
      <c r="BI103">
        <v>0</v>
      </c>
      <c r="BJ103">
        <v>0</v>
      </c>
      <c r="BK103">
        <v>0</v>
      </c>
      <c r="BL103">
        <v>0</v>
      </c>
      <c r="BM103">
        <v>6</v>
      </c>
      <c r="BN103">
        <v>0</v>
      </c>
      <c r="BO103">
        <v>0</v>
      </c>
      <c r="BP103">
        <v>0</v>
      </c>
      <c r="BR103">
        <v>0</v>
      </c>
      <c r="BS103">
        <v>0</v>
      </c>
      <c r="BX103">
        <v>0</v>
      </c>
      <c r="BY103">
        <v>0</v>
      </c>
      <c r="BZ103">
        <v>0</v>
      </c>
      <c r="CA103">
        <v>0</v>
      </c>
      <c r="CC103">
        <v>1</v>
      </c>
      <c r="CD103" s="56">
        <v>42593</v>
      </c>
      <c r="CE103" s="56">
        <v>42767</v>
      </c>
      <c r="CF103" s="56">
        <v>42767</v>
      </c>
      <c r="CG103" s="56">
        <v>42823</v>
      </c>
      <c r="CH103" s="56"/>
      <c r="CI103" s="56"/>
      <c r="CJ103">
        <v>0</v>
      </c>
      <c r="CK103">
        <v>0</v>
      </c>
      <c r="CL103">
        <v>0</v>
      </c>
      <c r="CM103">
        <v>0</v>
      </c>
      <c r="CN103">
        <v>0</v>
      </c>
      <c r="CO103">
        <v>0</v>
      </c>
      <c r="CP103">
        <v>0.05</v>
      </c>
      <c r="CQ103" t="s">
        <v>1618</v>
      </c>
      <c r="CR103" t="s">
        <v>1368</v>
      </c>
      <c r="CS103" t="s">
        <v>1728</v>
      </c>
      <c r="CT103" t="s">
        <v>1724</v>
      </c>
      <c r="CU103" t="s">
        <v>1729</v>
      </c>
      <c r="CV103" t="s">
        <v>1926</v>
      </c>
      <c r="DB103" t="s">
        <v>1924</v>
      </c>
      <c r="DE103" t="s">
        <v>1724</v>
      </c>
    </row>
    <row r="104" spans="1:109" x14ac:dyDescent="0.25">
      <c r="A104" t="s">
        <v>1618</v>
      </c>
      <c r="B104">
        <v>1</v>
      </c>
      <c r="C104" s="56">
        <v>42823</v>
      </c>
      <c r="D104" t="s">
        <v>1619</v>
      </c>
      <c r="E104" t="s">
        <v>1927</v>
      </c>
      <c r="G104" t="s">
        <v>1603</v>
      </c>
      <c r="H104" t="s">
        <v>1603</v>
      </c>
      <c r="I104" t="s">
        <v>1603</v>
      </c>
      <c r="J104" t="s">
        <v>1603</v>
      </c>
      <c r="K104" t="s">
        <v>1603</v>
      </c>
      <c r="L104">
        <v>46.4</v>
      </c>
      <c r="M104">
        <v>130.76</v>
      </c>
      <c r="N104">
        <v>0</v>
      </c>
      <c r="O104" s="56"/>
      <c r="P104" s="56"/>
      <c r="Q104">
        <v>13717</v>
      </c>
      <c r="R104">
        <v>1</v>
      </c>
      <c r="S104">
        <v>8</v>
      </c>
      <c r="T104">
        <v>4</v>
      </c>
      <c r="U104">
        <v>4</v>
      </c>
      <c r="V104">
        <v>1</v>
      </c>
      <c r="X104" t="s">
        <v>1738</v>
      </c>
      <c r="AA104">
        <v>0</v>
      </c>
      <c r="AB104">
        <v>0</v>
      </c>
      <c r="AC104">
        <v>0</v>
      </c>
      <c r="AD104">
        <v>0</v>
      </c>
      <c r="AE104">
        <v>0</v>
      </c>
      <c r="AF104">
        <v>0</v>
      </c>
      <c r="AG104">
        <v>0</v>
      </c>
      <c r="AJ104" s="56"/>
      <c r="AK104" s="56"/>
      <c r="AL104" s="56"/>
      <c r="AP104" t="s">
        <v>1604</v>
      </c>
      <c r="AR104">
        <v>18</v>
      </c>
      <c r="AS104" t="s">
        <v>1605</v>
      </c>
      <c r="AT104">
        <v>1</v>
      </c>
      <c r="AV104">
        <v>0</v>
      </c>
      <c r="AW104">
        <v>0</v>
      </c>
      <c r="AX104">
        <v>0</v>
      </c>
      <c r="AY104" t="s">
        <v>1606</v>
      </c>
      <c r="AZ104" t="s">
        <v>1606</v>
      </c>
      <c r="BA104">
        <v>0</v>
      </c>
      <c r="BD104">
        <v>1000000000</v>
      </c>
      <c r="BE104">
        <v>15</v>
      </c>
      <c r="BF104">
        <v>0</v>
      </c>
      <c r="BG104">
        <v>0</v>
      </c>
      <c r="BH104">
        <v>0</v>
      </c>
      <c r="BI104">
        <v>0</v>
      </c>
      <c r="BJ104">
        <v>0</v>
      </c>
      <c r="BK104">
        <v>0</v>
      </c>
      <c r="BL104">
        <v>0</v>
      </c>
      <c r="BM104">
        <v>15</v>
      </c>
      <c r="BN104">
        <v>0</v>
      </c>
      <c r="BO104">
        <v>0</v>
      </c>
      <c r="BP104">
        <v>0</v>
      </c>
      <c r="BR104">
        <v>0</v>
      </c>
      <c r="BS104">
        <v>0</v>
      </c>
      <c r="BX104">
        <v>0</v>
      </c>
      <c r="BY104">
        <v>0</v>
      </c>
      <c r="BZ104">
        <v>0</v>
      </c>
      <c r="CA104">
        <v>0</v>
      </c>
      <c r="CC104">
        <v>1</v>
      </c>
      <c r="CD104" s="56">
        <v>42593</v>
      </c>
      <c r="CE104" s="56">
        <v>42767</v>
      </c>
      <c r="CF104" s="56">
        <v>42767</v>
      </c>
      <c r="CG104" s="56">
        <v>42823</v>
      </c>
      <c r="CH104" s="56"/>
      <c r="CI104" s="56"/>
      <c r="CJ104">
        <v>0</v>
      </c>
      <c r="CK104">
        <v>0</v>
      </c>
      <c r="CL104">
        <v>0</v>
      </c>
      <c r="CM104">
        <v>0</v>
      </c>
      <c r="CN104">
        <v>0</v>
      </c>
      <c r="CO104">
        <v>0</v>
      </c>
      <c r="CP104">
        <v>0.05</v>
      </c>
      <c r="CQ104" t="s">
        <v>1618</v>
      </c>
      <c r="CR104" t="s">
        <v>1368</v>
      </c>
      <c r="CS104" t="s">
        <v>1728</v>
      </c>
      <c r="CT104" t="s">
        <v>1724</v>
      </c>
      <c r="CU104" t="s">
        <v>1729</v>
      </c>
      <c r="CV104" t="s">
        <v>1928</v>
      </c>
      <c r="DB104" t="s">
        <v>1924</v>
      </c>
      <c r="DE104" t="s">
        <v>1724</v>
      </c>
    </row>
    <row r="105" spans="1:109" x14ac:dyDescent="0.25">
      <c r="A105" t="s">
        <v>1618</v>
      </c>
      <c r="B105">
        <v>1</v>
      </c>
      <c r="C105" s="56">
        <v>42823</v>
      </c>
      <c r="D105" t="s">
        <v>1619</v>
      </c>
      <c r="E105" t="s">
        <v>1929</v>
      </c>
      <c r="G105" t="s">
        <v>1603</v>
      </c>
      <c r="H105" t="s">
        <v>1603</v>
      </c>
      <c r="I105" t="s">
        <v>1603</v>
      </c>
      <c r="J105" t="s">
        <v>1603</v>
      </c>
      <c r="K105" t="s">
        <v>1603</v>
      </c>
      <c r="L105">
        <v>40.67</v>
      </c>
      <c r="M105">
        <v>130.75</v>
      </c>
      <c r="N105">
        <v>0</v>
      </c>
      <c r="O105" s="56"/>
      <c r="P105" s="56"/>
      <c r="Q105">
        <v>13717</v>
      </c>
      <c r="R105">
        <v>1</v>
      </c>
      <c r="S105">
        <v>8</v>
      </c>
      <c r="T105">
        <v>4</v>
      </c>
      <c r="U105">
        <v>4</v>
      </c>
      <c r="V105">
        <v>1</v>
      </c>
      <c r="X105" t="s">
        <v>1738</v>
      </c>
      <c r="AA105">
        <v>0</v>
      </c>
      <c r="AB105">
        <v>0</v>
      </c>
      <c r="AC105">
        <v>0</v>
      </c>
      <c r="AD105">
        <v>0</v>
      </c>
      <c r="AE105">
        <v>0</v>
      </c>
      <c r="AF105">
        <v>0</v>
      </c>
      <c r="AG105">
        <v>0</v>
      </c>
      <c r="AJ105" s="56"/>
      <c r="AK105" s="56"/>
      <c r="AL105" s="56"/>
      <c r="AP105" t="s">
        <v>1604</v>
      </c>
      <c r="AR105">
        <v>18</v>
      </c>
      <c r="AS105" t="s">
        <v>1605</v>
      </c>
      <c r="AT105">
        <v>1</v>
      </c>
      <c r="AV105">
        <v>0</v>
      </c>
      <c r="AW105">
        <v>0</v>
      </c>
      <c r="AX105">
        <v>0</v>
      </c>
      <c r="AY105" t="s">
        <v>1606</v>
      </c>
      <c r="AZ105" t="s">
        <v>1606</v>
      </c>
      <c r="BA105">
        <v>0</v>
      </c>
      <c r="BD105">
        <v>1000000000</v>
      </c>
      <c r="BE105">
        <v>24</v>
      </c>
      <c r="BF105">
        <v>0</v>
      </c>
      <c r="BG105">
        <v>0</v>
      </c>
      <c r="BH105">
        <v>0</v>
      </c>
      <c r="BI105">
        <v>0</v>
      </c>
      <c r="BJ105">
        <v>0</v>
      </c>
      <c r="BK105">
        <v>0</v>
      </c>
      <c r="BL105">
        <v>0</v>
      </c>
      <c r="BM105">
        <v>24</v>
      </c>
      <c r="BN105">
        <v>0</v>
      </c>
      <c r="BO105">
        <v>0</v>
      </c>
      <c r="BP105">
        <v>0</v>
      </c>
      <c r="BR105">
        <v>0</v>
      </c>
      <c r="BS105">
        <v>0</v>
      </c>
      <c r="BX105">
        <v>0</v>
      </c>
      <c r="BY105">
        <v>0</v>
      </c>
      <c r="BZ105">
        <v>0</v>
      </c>
      <c r="CA105">
        <v>0</v>
      </c>
      <c r="CC105">
        <v>1</v>
      </c>
      <c r="CD105" s="56">
        <v>42593</v>
      </c>
      <c r="CE105" s="56">
        <v>42767</v>
      </c>
      <c r="CF105" s="56">
        <v>42767</v>
      </c>
      <c r="CG105" s="56">
        <v>42823</v>
      </c>
      <c r="CH105" s="56"/>
      <c r="CI105" s="56"/>
      <c r="CJ105">
        <v>0</v>
      </c>
      <c r="CK105">
        <v>0</v>
      </c>
      <c r="CL105">
        <v>0</v>
      </c>
      <c r="CM105">
        <v>0</v>
      </c>
      <c r="CN105">
        <v>0</v>
      </c>
      <c r="CO105">
        <v>0</v>
      </c>
      <c r="CP105">
        <v>0.05</v>
      </c>
      <c r="CQ105" t="s">
        <v>1618</v>
      </c>
      <c r="CR105" t="s">
        <v>1368</v>
      </c>
      <c r="CS105" t="s">
        <v>1728</v>
      </c>
      <c r="CT105" t="s">
        <v>1724</v>
      </c>
      <c r="CU105" t="s">
        <v>1729</v>
      </c>
      <c r="CV105" t="s">
        <v>1930</v>
      </c>
      <c r="DB105" t="s">
        <v>1924</v>
      </c>
      <c r="DE105" t="s">
        <v>1724</v>
      </c>
    </row>
    <row r="106" spans="1:109" x14ac:dyDescent="0.25">
      <c r="A106" t="s">
        <v>1618</v>
      </c>
      <c r="B106">
        <v>1</v>
      </c>
      <c r="C106" s="56">
        <v>42823</v>
      </c>
      <c r="D106" t="s">
        <v>1619</v>
      </c>
      <c r="E106" t="s">
        <v>1931</v>
      </c>
      <c r="G106" t="s">
        <v>1603</v>
      </c>
      <c r="H106" t="s">
        <v>1603</v>
      </c>
      <c r="I106" t="s">
        <v>1603</v>
      </c>
      <c r="J106" t="s">
        <v>1603</v>
      </c>
      <c r="K106" t="s">
        <v>1603</v>
      </c>
      <c r="L106">
        <v>3.51</v>
      </c>
      <c r="M106">
        <v>7.15</v>
      </c>
      <c r="N106">
        <v>0</v>
      </c>
      <c r="O106" s="56"/>
      <c r="P106" s="56"/>
      <c r="Q106">
        <v>13717</v>
      </c>
      <c r="R106">
        <v>1</v>
      </c>
      <c r="S106">
        <v>8</v>
      </c>
      <c r="T106">
        <v>4</v>
      </c>
      <c r="U106">
        <v>4</v>
      </c>
      <c r="V106">
        <v>1</v>
      </c>
      <c r="X106" t="s">
        <v>1738</v>
      </c>
      <c r="AA106">
        <v>0</v>
      </c>
      <c r="AB106">
        <v>0</v>
      </c>
      <c r="AC106">
        <v>0</v>
      </c>
      <c r="AD106">
        <v>0</v>
      </c>
      <c r="AE106">
        <v>0</v>
      </c>
      <c r="AF106">
        <v>0</v>
      </c>
      <c r="AG106">
        <v>0</v>
      </c>
      <c r="AJ106" s="56"/>
      <c r="AK106" s="56"/>
      <c r="AL106" s="56"/>
      <c r="AP106" t="s">
        <v>1604</v>
      </c>
      <c r="AR106">
        <v>150</v>
      </c>
      <c r="AS106" t="s">
        <v>1605</v>
      </c>
      <c r="AT106">
        <v>1</v>
      </c>
      <c r="AV106">
        <v>0</v>
      </c>
      <c r="AW106">
        <v>0</v>
      </c>
      <c r="AX106">
        <v>0</v>
      </c>
      <c r="AY106" t="s">
        <v>1606</v>
      </c>
      <c r="AZ106" t="s">
        <v>1606</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6">
        <v>42593</v>
      </c>
      <c r="CE106" s="56">
        <v>42767</v>
      </c>
      <c r="CF106" s="56">
        <v>42767</v>
      </c>
      <c r="CG106" s="56">
        <v>42823</v>
      </c>
      <c r="CH106" s="56"/>
      <c r="CI106" s="56"/>
      <c r="CJ106">
        <v>1</v>
      </c>
      <c r="CK106">
        <v>0</v>
      </c>
      <c r="CL106">
        <v>0.05</v>
      </c>
      <c r="CM106">
        <v>0</v>
      </c>
      <c r="CN106">
        <v>0</v>
      </c>
      <c r="CO106">
        <v>0</v>
      </c>
      <c r="CP106">
        <v>0</v>
      </c>
      <c r="CQ106" t="s">
        <v>1618</v>
      </c>
      <c r="CR106" t="s">
        <v>1368</v>
      </c>
      <c r="CS106" t="s">
        <v>1728</v>
      </c>
      <c r="CT106" t="s">
        <v>1724</v>
      </c>
      <c r="CU106" t="s">
        <v>1729</v>
      </c>
      <c r="CV106" t="s">
        <v>1932</v>
      </c>
      <c r="DB106" t="s">
        <v>1822</v>
      </c>
      <c r="DE106" t="s">
        <v>1724</v>
      </c>
    </row>
    <row r="107" spans="1:109" x14ac:dyDescent="0.25">
      <c r="A107" t="s">
        <v>1618</v>
      </c>
      <c r="B107">
        <v>1</v>
      </c>
      <c r="C107" s="56">
        <v>42823</v>
      </c>
      <c r="D107" t="s">
        <v>1619</v>
      </c>
      <c r="E107" t="s">
        <v>1933</v>
      </c>
      <c r="G107" t="s">
        <v>1603</v>
      </c>
      <c r="H107" t="s">
        <v>1603</v>
      </c>
      <c r="I107" t="s">
        <v>1603</v>
      </c>
      <c r="J107" t="s">
        <v>1603</v>
      </c>
      <c r="K107" t="s">
        <v>1603</v>
      </c>
      <c r="L107">
        <v>6.48</v>
      </c>
      <c r="M107">
        <v>0</v>
      </c>
      <c r="N107">
        <v>0</v>
      </c>
      <c r="O107" s="56"/>
      <c r="P107" s="56"/>
      <c r="Q107">
        <v>13717</v>
      </c>
      <c r="R107">
        <v>1</v>
      </c>
      <c r="S107">
        <v>8</v>
      </c>
      <c r="T107">
        <v>4</v>
      </c>
      <c r="U107">
        <v>4</v>
      </c>
      <c r="V107">
        <v>1</v>
      </c>
      <c r="X107" t="s">
        <v>1749</v>
      </c>
      <c r="AA107">
        <v>0</v>
      </c>
      <c r="AB107">
        <v>0</v>
      </c>
      <c r="AC107">
        <v>0</v>
      </c>
      <c r="AD107">
        <v>0</v>
      </c>
      <c r="AE107">
        <v>0</v>
      </c>
      <c r="AF107">
        <v>0</v>
      </c>
      <c r="AG107">
        <v>0</v>
      </c>
      <c r="AJ107" s="56"/>
      <c r="AK107" s="56"/>
      <c r="AL107" s="56"/>
      <c r="AP107" t="s">
        <v>1604</v>
      </c>
      <c r="AS107" t="s">
        <v>1605</v>
      </c>
      <c r="AT107">
        <v>1</v>
      </c>
      <c r="AV107">
        <v>0</v>
      </c>
      <c r="AW107">
        <v>0</v>
      </c>
      <c r="AX107">
        <v>0</v>
      </c>
      <c r="AY107" t="s">
        <v>1606</v>
      </c>
      <c r="AZ107" t="s">
        <v>1606</v>
      </c>
      <c r="BA107">
        <v>0</v>
      </c>
      <c r="BD107">
        <v>1000000000</v>
      </c>
      <c r="BE107">
        <v>40</v>
      </c>
      <c r="BF107">
        <v>0</v>
      </c>
      <c r="BG107">
        <v>0</v>
      </c>
      <c r="BH107">
        <v>0</v>
      </c>
      <c r="BI107">
        <v>0</v>
      </c>
      <c r="BJ107">
        <v>0</v>
      </c>
      <c r="BK107">
        <v>0</v>
      </c>
      <c r="BL107">
        <v>0</v>
      </c>
      <c r="BM107">
        <v>40</v>
      </c>
      <c r="BN107">
        <v>0</v>
      </c>
      <c r="BO107">
        <v>0</v>
      </c>
      <c r="BP107">
        <v>0</v>
      </c>
      <c r="BR107">
        <v>0</v>
      </c>
      <c r="BS107">
        <v>0</v>
      </c>
      <c r="BX107">
        <v>0</v>
      </c>
      <c r="BY107">
        <v>0</v>
      </c>
      <c r="BZ107">
        <v>0</v>
      </c>
      <c r="CA107">
        <v>0</v>
      </c>
      <c r="CC107">
        <v>1</v>
      </c>
      <c r="CD107" s="56">
        <v>42761</v>
      </c>
      <c r="CE107" s="56">
        <v>42767</v>
      </c>
      <c r="CF107" s="56">
        <v>42767</v>
      </c>
      <c r="CG107" s="56">
        <v>42823</v>
      </c>
      <c r="CH107" s="56"/>
      <c r="CI107" s="56"/>
      <c r="CJ107">
        <v>0</v>
      </c>
      <c r="CK107">
        <v>0</v>
      </c>
      <c r="CL107">
        <v>0</v>
      </c>
      <c r="CM107">
        <v>0</v>
      </c>
      <c r="CN107">
        <v>0</v>
      </c>
      <c r="CO107">
        <v>0</v>
      </c>
      <c r="CP107">
        <v>0.05</v>
      </c>
      <c r="CQ107" t="s">
        <v>1618</v>
      </c>
      <c r="CR107" t="s">
        <v>1368</v>
      </c>
      <c r="CS107" t="s">
        <v>1728</v>
      </c>
      <c r="CT107" t="s">
        <v>1724</v>
      </c>
      <c r="CU107" t="s">
        <v>1729</v>
      </c>
      <c r="CV107" t="s">
        <v>1934</v>
      </c>
      <c r="DB107" t="s">
        <v>1935</v>
      </c>
      <c r="DE107" t="s">
        <v>1724</v>
      </c>
    </row>
    <row r="108" spans="1:109" x14ac:dyDescent="0.25">
      <c r="A108" t="s">
        <v>1618</v>
      </c>
      <c r="B108">
        <v>1</v>
      </c>
      <c r="C108" s="56">
        <v>42823</v>
      </c>
      <c r="D108" t="s">
        <v>1619</v>
      </c>
      <c r="E108" t="s">
        <v>1936</v>
      </c>
      <c r="G108" t="s">
        <v>1603</v>
      </c>
      <c r="H108" t="s">
        <v>1603</v>
      </c>
      <c r="I108" t="s">
        <v>1603</v>
      </c>
      <c r="J108" t="s">
        <v>1603</v>
      </c>
      <c r="K108" t="s">
        <v>1603</v>
      </c>
      <c r="L108">
        <v>0</v>
      </c>
      <c r="M108">
        <v>30.21</v>
      </c>
      <c r="N108">
        <v>0</v>
      </c>
      <c r="O108" s="56"/>
      <c r="P108" s="56"/>
      <c r="Q108">
        <v>13717</v>
      </c>
      <c r="R108">
        <v>1</v>
      </c>
      <c r="S108">
        <v>8</v>
      </c>
      <c r="T108">
        <v>4</v>
      </c>
      <c r="U108">
        <v>4</v>
      </c>
      <c r="V108">
        <v>1</v>
      </c>
      <c r="X108" t="s">
        <v>1738</v>
      </c>
      <c r="AA108">
        <v>0</v>
      </c>
      <c r="AB108">
        <v>0</v>
      </c>
      <c r="AC108">
        <v>0</v>
      </c>
      <c r="AD108">
        <v>0</v>
      </c>
      <c r="AE108">
        <v>0</v>
      </c>
      <c r="AF108">
        <v>0</v>
      </c>
      <c r="AG108">
        <v>0</v>
      </c>
      <c r="AJ108" s="56"/>
      <c r="AK108" s="56"/>
      <c r="AL108" s="56"/>
      <c r="AP108" t="s">
        <v>1604</v>
      </c>
      <c r="AR108">
        <v>10</v>
      </c>
      <c r="AS108" t="s">
        <v>1605</v>
      </c>
      <c r="AT108">
        <v>1</v>
      </c>
      <c r="AV108">
        <v>0</v>
      </c>
      <c r="AW108">
        <v>0</v>
      </c>
      <c r="AX108">
        <v>0</v>
      </c>
      <c r="AY108" t="s">
        <v>1606</v>
      </c>
      <c r="AZ108" t="s">
        <v>1606</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42593</v>
      </c>
      <c r="CE108" s="56">
        <v>42767</v>
      </c>
      <c r="CF108" s="56">
        <v>42767</v>
      </c>
      <c r="CG108" s="56">
        <v>42823</v>
      </c>
      <c r="CH108" s="56"/>
      <c r="CI108" s="56"/>
      <c r="CJ108">
        <v>1</v>
      </c>
      <c r="CK108">
        <v>0</v>
      </c>
      <c r="CL108">
        <v>0.05</v>
      </c>
      <c r="CM108">
        <v>0</v>
      </c>
      <c r="CN108">
        <v>0</v>
      </c>
      <c r="CO108">
        <v>0</v>
      </c>
      <c r="CP108">
        <v>0</v>
      </c>
      <c r="CQ108" t="s">
        <v>1618</v>
      </c>
      <c r="CR108" t="s">
        <v>1368</v>
      </c>
      <c r="CS108" t="s">
        <v>1728</v>
      </c>
      <c r="CT108" t="s">
        <v>1724</v>
      </c>
      <c r="CU108" t="s">
        <v>1729</v>
      </c>
      <c r="CV108" t="s">
        <v>1937</v>
      </c>
      <c r="DB108" t="s">
        <v>1822</v>
      </c>
      <c r="DE108" t="s">
        <v>1724</v>
      </c>
    </row>
    <row r="109" spans="1:109" x14ac:dyDescent="0.25">
      <c r="A109" t="s">
        <v>1618</v>
      </c>
      <c r="B109">
        <v>1</v>
      </c>
      <c r="C109" s="56">
        <v>42823</v>
      </c>
      <c r="D109" t="s">
        <v>1619</v>
      </c>
      <c r="E109" t="s">
        <v>1938</v>
      </c>
      <c r="G109" t="s">
        <v>1603</v>
      </c>
      <c r="H109" t="s">
        <v>1603</v>
      </c>
      <c r="I109" t="s">
        <v>1603</v>
      </c>
      <c r="J109" t="s">
        <v>1603</v>
      </c>
      <c r="K109" t="s">
        <v>1603</v>
      </c>
      <c r="L109">
        <v>3.64</v>
      </c>
      <c r="M109">
        <v>7.43</v>
      </c>
      <c r="N109">
        <v>0</v>
      </c>
      <c r="O109" s="56"/>
      <c r="P109" s="56"/>
      <c r="Q109">
        <v>13717</v>
      </c>
      <c r="R109">
        <v>1</v>
      </c>
      <c r="S109">
        <v>8</v>
      </c>
      <c r="T109">
        <v>4</v>
      </c>
      <c r="U109">
        <v>4</v>
      </c>
      <c r="V109">
        <v>1</v>
      </c>
      <c r="X109" t="s">
        <v>1738</v>
      </c>
      <c r="AA109">
        <v>0</v>
      </c>
      <c r="AB109">
        <v>0</v>
      </c>
      <c r="AC109">
        <v>0</v>
      </c>
      <c r="AD109">
        <v>0</v>
      </c>
      <c r="AE109">
        <v>0</v>
      </c>
      <c r="AF109">
        <v>0</v>
      </c>
      <c r="AG109">
        <v>0</v>
      </c>
      <c r="AJ109" s="56"/>
      <c r="AK109" s="56"/>
      <c r="AL109" s="56"/>
      <c r="AP109" t="s">
        <v>1604</v>
      </c>
      <c r="AR109">
        <v>20</v>
      </c>
      <c r="AS109" t="s">
        <v>1605</v>
      </c>
      <c r="AT109">
        <v>1</v>
      </c>
      <c r="AV109">
        <v>0</v>
      </c>
      <c r="AW109">
        <v>0</v>
      </c>
      <c r="AX109">
        <v>0</v>
      </c>
      <c r="AY109" t="s">
        <v>1606</v>
      </c>
      <c r="AZ109" t="s">
        <v>1606</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6">
        <v>42593</v>
      </c>
      <c r="CE109" s="56">
        <v>42767</v>
      </c>
      <c r="CF109" s="56">
        <v>42767</v>
      </c>
      <c r="CG109" s="56">
        <v>42823</v>
      </c>
      <c r="CH109" s="56"/>
      <c r="CI109" s="56"/>
      <c r="CJ109">
        <v>1</v>
      </c>
      <c r="CK109">
        <v>0</v>
      </c>
      <c r="CL109">
        <v>0.05</v>
      </c>
      <c r="CM109">
        <v>0</v>
      </c>
      <c r="CN109">
        <v>0</v>
      </c>
      <c r="CO109">
        <v>0</v>
      </c>
      <c r="CP109">
        <v>0</v>
      </c>
      <c r="CQ109" t="s">
        <v>1618</v>
      </c>
      <c r="CR109" t="s">
        <v>1368</v>
      </c>
      <c r="CS109" t="s">
        <v>1728</v>
      </c>
      <c r="CT109" t="s">
        <v>1724</v>
      </c>
      <c r="CU109" t="s">
        <v>1729</v>
      </c>
      <c r="CV109" t="s">
        <v>1939</v>
      </c>
      <c r="DB109" t="s">
        <v>1822</v>
      </c>
      <c r="DE109" t="s">
        <v>1724</v>
      </c>
    </row>
    <row r="110" spans="1:109" x14ac:dyDescent="0.25">
      <c r="A110" t="s">
        <v>1618</v>
      </c>
      <c r="B110">
        <v>1</v>
      </c>
      <c r="C110" s="56">
        <v>42823</v>
      </c>
      <c r="D110" t="s">
        <v>1619</v>
      </c>
      <c r="E110" t="s">
        <v>1940</v>
      </c>
      <c r="G110" t="s">
        <v>1603</v>
      </c>
      <c r="H110" t="s">
        <v>1603</v>
      </c>
      <c r="I110" t="s">
        <v>1603</v>
      </c>
      <c r="J110" t="s">
        <v>1603</v>
      </c>
      <c r="K110" t="s">
        <v>1603</v>
      </c>
      <c r="L110">
        <v>0.27</v>
      </c>
      <c r="M110">
        <v>0.69</v>
      </c>
      <c r="N110">
        <v>0</v>
      </c>
      <c r="O110" s="56"/>
      <c r="P110" s="56"/>
      <c r="Q110">
        <v>13717</v>
      </c>
      <c r="R110">
        <v>1</v>
      </c>
      <c r="S110">
        <v>8</v>
      </c>
      <c r="T110">
        <v>4</v>
      </c>
      <c r="U110">
        <v>4</v>
      </c>
      <c r="V110">
        <v>1</v>
      </c>
      <c r="X110" t="s">
        <v>1738</v>
      </c>
      <c r="AA110">
        <v>0</v>
      </c>
      <c r="AB110">
        <v>0</v>
      </c>
      <c r="AC110">
        <v>0</v>
      </c>
      <c r="AD110">
        <v>0</v>
      </c>
      <c r="AE110">
        <v>0</v>
      </c>
      <c r="AF110">
        <v>0</v>
      </c>
      <c r="AG110">
        <v>0</v>
      </c>
      <c r="AJ110" s="56"/>
      <c r="AK110" s="56"/>
      <c r="AL110" s="56"/>
      <c r="AP110" t="s">
        <v>1604</v>
      </c>
      <c r="AR110">
        <v>600</v>
      </c>
      <c r="AS110" t="s">
        <v>1605</v>
      </c>
      <c r="AT110">
        <v>1</v>
      </c>
      <c r="AV110">
        <v>0</v>
      </c>
      <c r="AW110">
        <v>0</v>
      </c>
      <c r="AX110">
        <v>0</v>
      </c>
      <c r="AY110" t="s">
        <v>1606</v>
      </c>
      <c r="AZ110" t="s">
        <v>1606</v>
      </c>
      <c r="BA110">
        <v>0</v>
      </c>
      <c r="BD110">
        <v>1000000000</v>
      </c>
      <c r="BE110">
        <v>94</v>
      </c>
      <c r="BF110">
        <v>0</v>
      </c>
      <c r="BG110">
        <v>0</v>
      </c>
      <c r="BH110">
        <v>0</v>
      </c>
      <c r="BI110">
        <v>0</v>
      </c>
      <c r="BJ110">
        <v>0</v>
      </c>
      <c r="BK110">
        <v>0</v>
      </c>
      <c r="BL110">
        <v>0</v>
      </c>
      <c r="BM110">
        <v>94</v>
      </c>
      <c r="BN110">
        <v>0</v>
      </c>
      <c r="BO110">
        <v>0</v>
      </c>
      <c r="BP110">
        <v>0</v>
      </c>
      <c r="BR110">
        <v>0</v>
      </c>
      <c r="BS110">
        <v>0</v>
      </c>
      <c r="BX110">
        <v>0</v>
      </c>
      <c r="BY110">
        <v>0</v>
      </c>
      <c r="BZ110">
        <v>0</v>
      </c>
      <c r="CA110">
        <v>0</v>
      </c>
      <c r="CC110">
        <v>1</v>
      </c>
      <c r="CD110" s="56">
        <v>42593</v>
      </c>
      <c r="CE110" s="56">
        <v>42767</v>
      </c>
      <c r="CF110" s="56">
        <v>42767</v>
      </c>
      <c r="CG110" s="56">
        <v>42823</v>
      </c>
      <c r="CH110" s="56"/>
      <c r="CI110" s="56"/>
      <c r="CJ110">
        <v>0</v>
      </c>
      <c r="CK110">
        <v>0</v>
      </c>
      <c r="CL110">
        <v>0</v>
      </c>
      <c r="CM110">
        <v>0</v>
      </c>
      <c r="CN110">
        <v>0</v>
      </c>
      <c r="CO110">
        <v>0</v>
      </c>
      <c r="CP110">
        <v>0.05</v>
      </c>
      <c r="CQ110" t="s">
        <v>1618</v>
      </c>
      <c r="CR110" t="s">
        <v>1368</v>
      </c>
      <c r="CS110" t="s">
        <v>1728</v>
      </c>
      <c r="CT110" t="s">
        <v>1724</v>
      </c>
      <c r="CU110" t="s">
        <v>1729</v>
      </c>
      <c r="CV110" t="s">
        <v>1941</v>
      </c>
      <c r="DB110" t="s">
        <v>1822</v>
      </c>
      <c r="DE110" t="s">
        <v>1724</v>
      </c>
    </row>
    <row r="111" spans="1:109" x14ac:dyDescent="0.25">
      <c r="A111" t="s">
        <v>1618</v>
      </c>
      <c r="B111">
        <v>1</v>
      </c>
      <c r="C111" s="56">
        <v>42823</v>
      </c>
      <c r="D111" t="s">
        <v>1619</v>
      </c>
      <c r="E111" t="s">
        <v>1942</v>
      </c>
      <c r="G111" t="s">
        <v>1603</v>
      </c>
      <c r="H111" t="s">
        <v>1603</v>
      </c>
      <c r="I111" t="s">
        <v>1603</v>
      </c>
      <c r="J111" t="s">
        <v>1603</v>
      </c>
      <c r="K111" t="s">
        <v>1603</v>
      </c>
      <c r="L111">
        <v>0.27</v>
      </c>
      <c r="M111">
        <v>0.91</v>
      </c>
      <c r="N111">
        <v>0</v>
      </c>
      <c r="O111" s="56"/>
      <c r="P111" s="56"/>
      <c r="Q111">
        <v>13717</v>
      </c>
      <c r="R111">
        <v>1</v>
      </c>
      <c r="S111">
        <v>8</v>
      </c>
      <c r="T111">
        <v>4</v>
      </c>
      <c r="U111">
        <v>4</v>
      </c>
      <c r="V111">
        <v>1</v>
      </c>
      <c r="X111" t="s">
        <v>1738</v>
      </c>
      <c r="AA111">
        <v>0</v>
      </c>
      <c r="AB111">
        <v>0</v>
      </c>
      <c r="AC111">
        <v>0</v>
      </c>
      <c r="AD111">
        <v>0</v>
      </c>
      <c r="AE111">
        <v>0</v>
      </c>
      <c r="AF111">
        <v>0</v>
      </c>
      <c r="AG111">
        <v>0</v>
      </c>
      <c r="AJ111" s="56"/>
      <c r="AK111" s="56"/>
      <c r="AL111" s="56"/>
      <c r="AP111" t="s">
        <v>1604</v>
      </c>
      <c r="AR111">
        <v>300</v>
      </c>
      <c r="AS111" t="s">
        <v>1605</v>
      </c>
      <c r="AT111">
        <v>1</v>
      </c>
      <c r="AV111">
        <v>0</v>
      </c>
      <c r="AW111">
        <v>0</v>
      </c>
      <c r="AX111">
        <v>0</v>
      </c>
      <c r="AY111" t="s">
        <v>1606</v>
      </c>
      <c r="AZ111" t="s">
        <v>1606</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6">
        <v>42593</v>
      </c>
      <c r="CE111" s="56">
        <v>42767</v>
      </c>
      <c r="CF111" s="56">
        <v>42767</v>
      </c>
      <c r="CG111" s="56">
        <v>42823</v>
      </c>
      <c r="CH111" s="56"/>
      <c r="CI111" s="56"/>
      <c r="CJ111">
        <v>1</v>
      </c>
      <c r="CK111">
        <v>0</v>
      </c>
      <c r="CL111">
        <v>0.05</v>
      </c>
      <c r="CM111">
        <v>0</v>
      </c>
      <c r="CN111">
        <v>0</v>
      </c>
      <c r="CO111">
        <v>0</v>
      </c>
      <c r="CP111">
        <v>0</v>
      </c>
      <c r="CQ111" t="s">
        <v>1618</v>
      </c>
      <c r="CR111" t="s">
        <v>1368</v>
      </c>
      <c r="CS111" t="s">
        <v>1728</v>
      </c>
      <c r="CT111" t="s">
        <v>1724</v>
      </c>
      <c r="CU111" t="s">
        <v>1729</v>
      </c>
      <c r="CV111" t="s">
        <v>1943</v>
      </c>
      <c r="DB111" t="s">
        <v>1822</v>
      </c>
      <c r="DE111" t="s">
        <v>1724</v>
      </c>
    </row>
    <row r="112" spans="1:109" x14ac:dyDescent="0.25">
      <c r="A112" t="s">
        <v>1618</v>
      </c>
      <c r="B112">
        <v>1</v>
      </c>
      <c r="C112" s="56">
        <v>42823</v>
      </c>
      <c r="D112" t="s">
        <v>1619</v>
      </c>
      <c r="E112" t="s">
        <v>1944</v>
      </c>
      <c r="G112" t="s">
        <v>1603</v>
      </c>
      <c r="H112" t="s">
        <v>1603</v>
      </c>
      <c r="I112" t="s">
        <v>1603</v>
      </c>
      <c r="J112" t="s">
        <v>1603</v>
      </c>
      <c r="K112" t="s">
        <v>1603</v>
      </c>
      <c r="L112">
        <v>0.28999999999999998</v>
      </c>
      <c r="M112">
        <v>2</v>
      </c>
      <c r="N112">
        <v>0</v>
      </c>
      <c r="O112" s="56"/>
      <c r="P112" s="56"/>
      <c r="Q112">
        <v>13717</v>
      </c>
      <c r="R112">
        <v>1</v>
      </c>
      <c r="S112">
        <v>8</v>
      </c>
      <c r="T112">
        <v>4</v>
      </c>
      <c r="U112">
        <v>4</v>
      </c>
      <c r="V112">
        <v>1</v>
      </c>
      <c r="X112" t="s">
        <v>1738</v>
      </c>
      <c r="AA112">
        <v>0</v>
      </c>
      <c r="AB112">
        <v>0</v>
      </c>
      <c r="AC112">
        <v>0</v>
      </c>
      <c r="AD112">
        <v>0</v>
      </c>
      <c r="AE112">
        <v>0</v>
      </c>
      <c r="AF112">
        <v>0</v>
      </c>
      <c r="AG112">
        <v>0</v>
      </c>
      <c r="AJ112" s="56"/>
      <c r="AK112" s="56"/>
      <c r="AL112" s="56"/>
      <c r="AP112" t="s">
        <v>1604</v>
      </c>
      <c r="AR112">
        <v>560</v>
      </c>
      <c r="AS112" t="s">
        <v>1605</v>
      </c>
      <c r="AT112">
        <v>1</v>
      </c>
      <c r="AV112">
        <v>0</v>
      </c>
      <c r="AW112">
        <v>0</v>
      </c>
      <c r="AX112">
        <v>0</v>
      </c>
      <c r="AY112" t="s">
        <v>1606</v>
      </c>
      <c r="AZ112" t="s">
        <v>1606</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6">
        <v>42593</v>
      </c>
      <c r="CE112" s="56">
        <v>42767</v>
      </c>
      <c r="CF112" s="56">
        <v>42767</v>
      </c>
      <c r="CG112" s="56">
        <v>42823</v>
      </c>
      <c r="CH112" s="56"/>
      <c r="CI112" s="56"/>
      <c r="CJ112">
        <v>1</v>
      </c>
      <c r="CK112">
        <v>0</v>
      </c>
      <c r="CL112">
        <v>0.05</v>
      </c>
      <c r="CM112">
        <v>0</v>
      </c>
      <c r="CN112">
        <v>0</v>
      </c>
      <c r="CO112">
        <v>0</v>
      </c>
      <c r="CP112">
        <v>0</v>
      </c>
      <c r="CQ112" t="s">
        <v>1618</v>
      </c>
      <c r="CR112" t="s">
        <v>1368</v>
      </c>
      <c r="CS112" t="s">
        <v>1728</v>
      </c>
      <c r="CT112" t="s">
        <v>1724</v>
      </c>
      <c r="CU112" t="s">
        <v>1729</v>
      </c>
      <c r="CV112" t="s">
        <v>1945</v>
      </c>
      <c r="DB112" t="s">
        <v>1822</v>
      </c>
      <c r="DE112" t="s">
        <v>1724</v>
      </c>
    </row>
    <row r="113" spans="1:109" x14ac:dyDescent="0.25">
      <c r="A113" t="s">
        <v>1618</v>
      </c>
      <c r="B113">
        <v>1</v>
      </c>
      <c r="C113" s="56">
        <v>42823</v>
      </c>
      <c r="D113" t="s">
        <v>1619</v>
      </c>
      <c r="E113" t="s">
        <v>1946</v>
      </c>
      <c r="G113" t="s">
        <v>1603</v>
      </c>
      <c r="H113" t="s">
        <v>1603</v>
      </c>
      <c r="I113" t="s">
        <v>1603</v>
      </c>
      <c r="J113" t="s">
        <v>1603</v>
      </c>
      <c r="K113" t="s">
        <v>1603</v>
      </c>
      <c r="L113">
        <v>0.45</v>
      </c>
      <c r="M113">
        <v>2</v>
      </c>
      <c r="N113">
        <v>0</v>
      </c>
      <c r="O113" s="56"/>
      <c r="P113" s="56"/>
      <c r="Q113">
        <v>13717</v>
      </c>
      <c r="R113">
        <v>1</v>
      </c>
      <c r="S113">
        <v>8</v>
      </c>
      <c r="T113">
        <v>4</v>
      </c>
      <c r="U113">
        <v>4</v>
      </c>
      <c r="V113">
        <v>1</v>
      </c>
      <c r="X113" t="s">
        <v>1738</v>
      </c>
      <c r="AA113">
        <v>0</v>
      </c>
      <c r="AB113">
        <v>0</v>
      </c>
      <c r="AC113">
        <v>0</v>
      </c>
      <c r="AD113">
        <v>0</v>
      </c>
      <c r="AE113">
        <v>0</v>
      </c>
      <c r="AF113">
        <v>0</v>
      </c>
      <c r="AG113">
        <v>0</v>
      </c>
      <c r="AJ113" s="56"/>
      <c r="AK113" s="56"/>
      <c r="AL113" s="56"/>
      <c r="AP113" t="s">
        <v>1604</v>
      </c>
      <c r="AR113">
        <v>300</v>
      </c>
      <c r="AS113" t="s">
        <v>1605</v>
      </c>
      <c r="AT113">
        <v>1</v>
      </c>
      <c r="AV113">
        <v>0</v>
      </c>
      <c r="AW113">
        <v>0</v>
      </c>
      <c r="AX113">
        <v>0</v>
      </c>
      <c r="AY113" t="s">
        <v>1606</v>
      </c>
      <c r="AZ113" t="s">
        <v>1606</v>
      </c>
      <c r="BA113">
        <v>0</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6">
        <v>42593</v>
      </c>
      <c r="CE113" s="56">
        <v>42767</v>
      </c>
      <c r="CF113" s="56">
        <v>42767</v>
      </c>
      <c r="CG113" s="56">
        <v>42823</v>
      </c>
      <c r="CH113" s="56"/>
      <c r="CI113" s="56"/>
      <c r="CJ113">
        <v>1</v>
      </c>
      <c r="CK113">
        <v>0</v>
      </c>
      <c r="CL113">
        <v>0.05</v>
      </c>
      <c r="CM113">
        <v>0</v>
      </c>
      <c r="CN113">
        <v>0</v>
      </c>
      <c r="CO113">
        <v>0</v>
      </c>
      <c r="CP113">
        <v>0</v>
      </c>
      <c r="CQ113" t="s">
        <v>1618</v>
      </c>
      <c r="CR113" t="s">
        <v>1368</v>
      </c>
      <c r="CS113" t="s">
        <v>1728</v>
      </c>
      <c r="CT113" t="s">
        <v>1724</v>
      </c>
      <c r="CU113" t="s">
        <v>1729</v>
      </c>
      <c r="CV113" t="s">
        <v>1947</v>
      </c>
      <c r="DB113" t="s">
        <v>1822</v>
      </c>
      <c r="DE113" t="s">
        <v>1724</v>
      </c>
    </row>
    <row r="114" spans="1:109" x14ac:dyDescent="0.25">
      <c r="A114" t="s">
        <v>1618</v>
      </c>
      <c r="B114">
        <v>1</v>
      </c>
      <c r="C114" s="56">
        <v>42823</v>
      </c>
      <c r="D114" t="s">
        <v>1619</v>
      </c>
      <c r="E114" t="s">
        <v>1948</v>
      </c>
      <c r="G114" t="s">
        <v>1603</v>
      </c>
      <c r="H114" t="s">
        <v>1603</v>
      </c>
      <c r="I114" t="s">
        <v>1603</v>
      </c>
      <c r="J114" t="s">
        <v>1603</v>
      </c>
      <c r="K114" t="s">
        <v>1603</v>
      </c>
      <c r="L114">
        <v>0.23</v>
      </c>
      <c r="M114">
        <v>0.83</v>
      </c>
      <c r="N114">
        <v>0</v>
      </c>
      <c r="O114" s="56"/>
      <c r="P114" s="56"/>
      <c r="Q114">
        <v>13717</v>
      </c>
      <c r="R114">
        <v>1</v>
      </c>
      <c r="S114">
        <v>8</v>
      </c>
      <c r="T114">
        <v>4</v>
      </c>
      <c r="U114">
        <v>4</v>
      </c>
      <c r="V114">
        <v>1</v>
      </c>
      <c r="X114" t="s">
        <v>1753</v>
      </c>
      <c r="AA114">
        <v>0</v>
      </c>
      <c r="AB114">
        <v>0</v>
      </c>
      <c r="AC114">
        <v>0</v>
      </c>
      <c r="AD114">
        <v>0</v>
      </c>
      <c r="AE114">
        <v>0</v>
      </c>
      <c r="AF114">
        <v>0</v>
      </c>
      <c r="AG114">
        <v>0</v>
      </c>
      <c r="AJ114" s="56"/>
      <c r="AK114" s="56"/>
      <c r="AL114" s="56"/>
      <c r="AP114" t="s">
        <v>1604</v>
      </c>
      <c r="AS114" t="s">
        <v>1605</v>
      </c>
      <c r="AT114">
        <v>1</v>
      </c>
      <c r="AV114">
        <v>24</v>
      </c>
      <c r="AW114">
        <v>16</v>
      </c>
      <c r="AX114">
        <v>8</v>
      </c>
      <c r="AY114" t="s">
        <v>1754</v>
      </c>
      <c r="AZ114" t="s">
        <v>1754</v>
      </c>
      <c r="BA114">
        <v>0</v>
      </c>
      <c r="BD114">
        <v>1000000000</v>
      </c>
      <c r="BE114">
        <v>568</v>
      </c>
      <c r="BF114">
        <v>-22.67</v>
      </c>
      <c r="BG114">
        <v>0</v>
      </c>
      <c r="BH114">
        <v>0</v>
      </c>
      <c r="BI114">
        <v>0</v>
      </c>
      <c r="BJ114">
        <v>0</v>
      </c>
      <c r="BK114">
        <v>0</v>
      </c>
      <c r="BL114">
        <v>0</v>
      </c>
      <c r="BM114">
        <v>568</v>
      </c>
      <c r="BN114">
        <v>-22.67</v>
      </c>
      <c r="BO114">
        <v>0</v>
      </c>
      <c r="BP114">
        <v>0</v>
      </c>
      <c r="BR114">
        <v>0</v>
      </c>
      <c r="BS114">
        <v>12</v>
      </c>
      <c r="BX114">
        <v>0</v>
      </c>
      <c r="BY114">
        <v>125.12</v>
      </c>
      <c r="BZ114">
        <v>0</v>
      </c>
      <c r="CA114">
        <v>15.65</v>
      </c>
      <c r="CC114">
        <v>1</v>
      </c>
      <c r="CD114" s="56">
        <v>42592</v>
      </c>
      <c r="CE114" s="56">
        <v>42767</v>
      </c>
      <c r="CF114" s="56">
        <v>42767</v>
      </c>
      <c r="CG114" s="56">
        <v>42823</v>
      </c>
      <c r="CH114" s="56"/>
      <c r="CI114" s="56"/>
      <c r="CJ114">
        <v>0</v>
      </c>
      <c r="CK114">
        <v>0</v>
      </c>
      <c r="CL114">
        <v>0</v>
      </c>
      <c r="CM114">
        <v>0</v>
      </c>
      <c r="CN114">
        <v>0</v>
      </c>
      <c r="CO114">
        <v>0</v>
      </c>
      <c r="CP114">
        <v>0.05</v>
      </c>
      <c r="CQ114" t="s">
        <v>1618</v>
      </c>
      <c r="CR114" t="s">
        <v>1368</v>
      </c>
      <c r="CS114" t="s">
        <v>1728</v>
      </c>
      <c r="CT114" t="s">
        <v>1724</v>
      </c>
      <c r="CU114" t="s">
        <v>1729</v>
      </c>
      <c r="CV114" t="s">
        <v>1949</v>
      </c>
      <c r="DB114" t="s">
        <v>1822</v>
      </c>
      <c r="DE114" t="s">
        <v>1724</v>
      </c>
    </row>
    <row r="115" spans="1:109" x14ac:dyDescent="0.25">
      <c r="A115" t="s">
        <v>1618</v>
      </c>
      <c r="B115">
        <v>1</v>
      </c>
      <c r="C115" s="56">
        <v>42823</v>
      </c>
      <c r="D115" t="s">
        <v>1619</v>
      </c>
      <c r="E115" t="s">
        <v>1950</v>
      </c>
      <c r="G115" t="s">
        <v>1603</v>
      </c>
      <c r="H115" t="s">
        <v>1603</v>
      </c>
      <c r="I115" t="s">
        <v>1603</v>
      </c>
      <c r="J115" t="s">
        <v>1603</v>
      </c>
      <c r="K115" t="s">
        <v>1603</v>
      </c>
      <c r="L115">
        <v>0</v>
      </c>
      <c r="M115">
        <v>0.95</v>
      </c>
      <c r="N115">
        <v>0</v>
      </c>
      <c r="O115" s="56"/>
      <c r="P115" s="56"/>
      <c r="Q115">
        <v>13717</v>
      </c>
      <c r="R115">
        <v>1</v>
      </c>
      <c r="S115">
        <v>8</v>
      </c>
      <c r="T115">
        <v>4</v>
      </c>
      <c r="U115">
        <v>4</v>
      </c>
      <c r="V115">
        <v>1</v>
      </c>
      <c r="X115" t="s">
        <v>1738</v>
      </c>
      <c r="AA115">
        <v>0</v>
      </c>
      <c r="AB115">
        <v>0</v>
      </c>
      <c r="AC115">
        <v>0</v>
      </c>
      <c r="AD115">
        <v>0</v>
      </c>
      <c r="AE115">
        <v>0</v>
      </c>
      <c r="AF115">
        <v>0</v>
      </c>
      <c r="AG115">
        <v>0</v>
      </c>
      <c r="AJ115" s="56"/>
      <c r="AK115" s="56"/>
      <c r="AL115" s="56"/>
      <c r="AP115" t="s">
        <v>1604</v>
      </c>
      <c r="AR115">
        <v>600</v>
      </c>
      <c r="AS115" t="s">
        <v>1605</v>
      </c>
      <c r="AT115">
        <v>1</v>
      </c>
      <c r="AV115">
        <v>0</v>
      </c>
      <c r="AW115">
        <v>0</v>
      </c>
      <c r="AX115">
        <v>0</v>
      </c>
      <c r="AY115" t="s">
        <v>1606</v>
      </c>
      <c r="AZ115" t="s">
        <v>1606</v>
      </c>
      <c r="BA115">
        <v>0</v>
      </c>
      <c r="BD115">
        <v>1000000000</v>
      </c>
      <c r="BE115">
        <v>579</v>
      </c>
      <c r="BF115">
        <v>0</v>
      </c>
      <c r="BG115">
        <v>0</v>
      </c>
      <c r="BH115">
        <v>0</v>
      </c>
      <c r="BI115">
        <v>0</v>
      </c>
      <c r="BJ115">
        <v>0</v>
      </c>
      <c r="BK115">
        <v>0</v>
      </c>
      <c r="BL115">
        <v>0</v>
      </c>
      <c r="BM115">
        <v>579</v>
      </c>
      <c r="BN115">
        <v>0</v>
      </c>
      <c r="BO115">
        <v>0</v>
      </c>
      <c r="BP115">
        <v>0</v>
      </c>
      <c r="BR115">
        <v>0</v>
      </c>
      <c r="BS115">
        <v>0</v>
      </c>
      <c r="BX115">
        <v>0</v>
      </c>
      <c r="BY115">
        <v>0</v>
      </c>
      <c r="BZ115">
        <v>0</v>
      </c>
      <c r="CA115">
        <v>0</v>
      </c>
      <c r="CC115">
        <v>1</v>
      </c>
      <c r="CD115" s="56">
        <v>42593</v>
      </c>
      <c r="CE115" s="56">
        <v>42767</v>
      </c>
      <c r="CF115" s="56">
        <v>42767</v>
      </c>
      <c r="CG115" s="56">
        <v>42823</v>
      </c>
      <c r="CH115" s="56"/>
      <c r="CI115" s="56"/>
      <c r="CJ115">
        <v>0</v>
      </c>
      <c r="CK115">
        <v>0</v>
      </c>
      <c r="CL115">
        <v>0</v>
      </c>
      <c r="CM115">
        <v>0</v>
      </c>
      <c r="CN115">
        <v>0</v>
      </c>
      <c r="CO115">
        <v>0</v>
      </c>
      <c r="CP115">
        <v>0.05</v>
      </c>
      <c r="CQ115" t="s">
        <v>1618</v>
      </c>
      <c r="CR115" t="s">
        <v>1368</v>
      </c>
      <c r="CS115" t="s">
        <v>1728</v>
      </c>
      <c r="CT115" t="s">
        <v>1724</v>
      </c>
      <c r="CU115" t="s">
        <v>1729</v>
      </c>
      <c r="CV115" t="s">
        <v>1951</v>
      </c>
      <c r="DB115" t="s">
        <v>1822</v>
      </c>
      <c r="DE115" t="s">
        <v>1724</v>
      </c>
    </row>
    <row r="116" spans="1:109" x14ac:dyDescent="0.25">
      <c r="A116" t="s">
        <v>1618</v>
      </c>
      <c r="B116">
        <v>1</v>
      </c>
      <c r="C116" s="56">
        <v>42823</v>
      </c>
      <c r="D116" t="s">
        <v>1619</v>
      </c>
      <c r="E116" t="s">
        <v>1435</v>
      </c>
      <c r="G116" t="s">
        <v>1603</v>
      </c>
      <c r="H116" t="s">
        <v>1603</v>
      </c>
      <c r="I116" t="s">
        <v>1603</v>
      </c>
      <c r="J116" t="s">
        <v>1603</v>
      </c>
      <c r="K116" t="s">
        <v>1603</v>
      </c>
      <c r="L116">
        <v>0.52</v>
      </c>
      <c r="M116">
        <v>2.2599999999999998</v>
      </c>
      <c r="N116">
        <v>0</v>
      </c>
      <c r="O116" s="56"/>
      <c r="P116" s="56"/>
      <c r="Q116">
        <v>13717</v>
      </c>
      <c r="R116">
        <v>1</v>
      </c>
      <c r="S116">
        <v>8</v>
      </c>
      <c r="T116">
        <v>4</v>
      </c>
      <c r="U116">
        <v>4</v>
      </c>
      <c r="V116">
        <v>1</v>
      </c>
      <c r="W116" t="s">
        <v>1723</v>
      </c>
      <c r="X116" t="s">
        <v>1727</v>
      </c>
      <c r="AA116">
        <v>74.58</v>
      </c>
      <c r="AB116">
        <v>895</v>
      </c>
      <c r="AC116">
        <v>8.0500000000000007</v>
      </c>
      <c r="AD116">
        <v>7.92</v>
      </c>
      <c r="AE116">
        <v>0</v>
      </c>
      <c r="AF116">
        <v>0</v>
      </c>
      <c r="AG116">
        <v>0</v>
      </c>
      <c r="AJ116" s="56"/>
      <c r="AK116" s="56"/>
      <c r="AL116" s="56"/>
      <c r="AP116" t="s">
        <v>1604</v>
      </c>
      <c r="AR116">
        <v>120</v>
      </c>
      <c r="AS116" t="s">
        <v>1605</v>
      </c>
      <c r="AT116">
        <v>1</v>
      </c>
      <c r="AV116">
        <v>2400</v>
      </c>
      <c r="AW116">
        <v>1596</v>
      </c>
      <c r="AX116">
        <v>792</v>
      </c>
      <c r="AY116" t="s">
        <v>1735</v>
      </c>
      <c r="AZ116" t="s">
        <v>1735</v>
      </c>
      <c r="BA116">
        <v>1728</v>
      </c>
      <c r="BD116">
        <v>1000000000</v>
      </c>
      <c r="BE116">
        <v>2364</v>
      </c>
      <c r="BF116">
        <v>0.02</v>
      </c>
      <c r="BG116">
        <v>0</v>
      </c>
      <c r="BH116">
        <v>0</v>
      </c>
      <c r="BI116">
        <v>0</v>
      </c>
      <c r="BJ116">
        <v>0</v>
      </c>
      <c r="BK116">
        <v>0</v>
      </c>
      <c r="BL116">
        <v>0</v>
      </c>
      <c r="BM116">
        <v>2364</v>
      </c>
      <c r="BN116">
        <v>0.02</v>
      </c>
      <c r="BO116">
        <v>0</v>
      </c>
      <c r="BP116">
        <v>0</v>
      </c>
      <c r="BR116">
        <v>0</v>
      </c>
      <c r="BS116">
        <v>1200</v>
      </c>
      <c r="BX116">
        <v>0</v>
      </c>
      <c r="BY116">
        <v>0</v>
      </c>
      <c r="BZ116">
        <v>0</v>
      </c>
      <c r="CA116">
        <v>20.079999999999998</v>
      </c>
      <c r="CC116">
        <v>1</v>
      </c>
      <c r="CD116" s="56">
        <v>42709</v>
      </c>
      <c r="CE116" s="56">
        <v>42767</v>
      </c>
      <c r="CF116" s="56">
        <v>42767</v>
      </c>
      <c r="CG116" s="56">
        <v>42823</v>
      </c>
      <c r="CH116" s="56"/>
      <c r="CI116" s="56"/>
      <c r="CJ116">
        <v>0</v>
      </c>
      <c r="CK116">
        <v>0</v>
      </c>
      <c r="CL116">
        <v>0</v>
      </c>
      <c r="CM116">
        <v>0</v>
      </c>
      <c r="CN116">
        <v>0</v>
      </c>
      <c r="CO116">
        <v>0.05</v>
      </c>
      <c r="CP116">
        <v>0</v>
      </c>
      <c r="CQ116" t="s">
        <v>1618</v>
      </c>
      <c r="CR116" t="s">
        <v>1368</v>
      </c>
      <c r="CS116" t="s">
        <v>1728</v>
      </c>
      <c r="CT116" t="s">
        <v>1724</v>
      </c>
      <c r="CU116" t="s">
        <v>1729</v>
      </c>
      <c r="CV116" t="s">
        <v>1952</v>
      </c>
      <c r="DB116" t="s">
        <v>1953</v>
      </c>
      <c r="DE116" t="s">
        <v>1724</v>
      </c>
    </row>
    <row r="117" spans="1:109" x14ac:dyDescent="0.25">
      <c r="A117" t="s">
        <v>1618</v>
      </c>
      <c r="B117">
        <v>1</v>
      </c>
      <c r="C117" s="56">
        <v>42823</v>
      </c>
      <c r="D117" t="s">
        <v>1619</v>
      </c>
      <c r="E117" t="s">
        <v>1954</v>
      </c>
      <c r="G117" t="s">
        <v>1603</v>
      </c>
      <c r="H117" t="s">
        <v>1603</v>
      </c>
      <c r="I117" t="s">
        <v>1603</v>
      </c>
      <c r="J117" t="s">
        <v>1603</v>
      </c>
      <c r="K117" t="s">
        <v>1603</v>
      </c>
      <c r="L117">
        <v>0.88</v>
      </c>
      <c r="M117">
        <v>3.05</v>
      </c>
      <c r="N117">
        <v>0</v>
      </c>
      <c r="O117" s="56"/>
      <c r="P117" s="56"/>
      <c r="Q117">
        <v>13717</v>
      </c>
      <c r="R117">
        <v>1</v>
      </c>
      <c r="S117">
        <v>8</v>
      </c>
      <c r="T117">
        <v>4</v>
      </c>
      <c r="U117">
        <v>4</v>
      </c>
      <c r="V117">
        <v>1</v>
      </c>
      <c r="X117" t="s">
        <v>1727</v>
      </c>
      <c r="AA117">
        <v>0</v>
      </c>
      <c r="AB117">
        <v>0</v>
      </c>
      <c r="AC117">
        <v>0</v>
      </c>
      <c r="AD117">
        <v>0</v>
      </c>
      <c r="AE117">
        <v>0</v>
      </c>
      <c r="AF117">
        <v>0</v>
      </c>
      <c r="AG117">
        <v>0</v>
      </c>
      <c r="AJ117" s="56">
        <v>42666</v>
      </c>
      <c r="AK117" s="56"/>
      <c r="AL117" s="56"/>
      <c r="AP117" t="s">
        <v>1604</v>
      </c>
      <c r="AR117">
        <v>80</v>
      </c>
      <c r="AS117" t="s">
        <v>1605</v>
      </c>
      <c r="AT117">
        <v>1</v>
      </c>
      <c r="AV117">
        <v>0</v>
      </c>
      <c r="AW117">
        <v>0</v>
      </c>
      <c r="AX117">
        <v>0</v>
      </c>
      <c r="AY117" t="s">
        <v>1606</v>
      </c>
      <c r="AZ117" t="s">
        <v>1606</v>
      </c>
      <c r="BA117">
        <v>240</v>
      </c>
      <c r="BD117">
        <v>1000000000</v>
      </c>
      <c r="BE117">
        <v>1490</v>
      </c>
      <c r="BF117">
        <v>0</v>
      </c>
      <c r="BG117">
        <v>0</v>
      </c>
      <c r="BH117">
        <v>0</v>
      </c>
      <c r="BI117">
        <v>0</v>
      </c>
      <c r="BJ117">
        <v>0</v>
      </c>
      <c r="BK117">
        <v>0</v>
      </c>
      <c r="BL117">
        <v>0</v>
      </c>
      <c r="BM117">
        <v>1490</v>
      </c>
      <c r="BN117">
        <v>0</v>
      </c>
      <c r="BO117">
        <v>0</v>
      </c>
      <c r="BP117">
        <v>0</v>
      </c>
      <c r="BR117">
        <v>0</v>
      </c>
      <c r="BS117">
        <v>0</v>
      </c>
      <c r="BX117">
        <v>0</v>
      </c>
      <c r="BY117">
        <v>0</v>
      </c>
      <c r="BZ117">
        <v>0</v>
      </c>
      <c r="CA117">
        <v>0</v>
      </c>
      <c r="CC117">
        <v>1</v>
      </c>
      <c r="CD117" s="56">
        <v>42709</v>
      </c>
      <c r="CE117" s="56">
        <v>42767</v>
      </c>
      <c r="CF117" s="56">
        <v>42767</v>
      </c>
      <c r="CG117" s="56">
        <v>42823</v>
      </c>
      <c r="CH117" s="56"/>
      <c r="CI117" s="56"/>
      <c r="CJ117">
        <v>0</v>
      </c>
      <c r="CK117">
        <v>0</v>
      </c>
      <c r="CL117">
        <v>0</v>
      </c>
      <c r="CM117">
        <v>0</v>
      </c>
      <c r="CN117">
        <v>0</v>
      </c>
      <c r="CO117">
        <v>0</v>
      </c>
      <c r="CP117">
        <v>0.05</v>
      </c>
      <c r="CQ117" t="s">
        <v>1618</v>
      </c>
      <c r="CR117" t="s">
        <v>1368</v>
      </c>
      <c r="CS117" t="s">
        <v>1728</v>
      </c>
      <c r="CT117" t="s">
        <v>1724</v>
      </c>
      <c r="CU117" t="s">
        <v>1729</v>
      </c>
      <c r="CV117" t="s">
        <v>1955</v>
      </c>
      <c r="DB117" t="s">
        <v>1953</v>
      </c>
      <c r="DE117" t="s">
        <v>1724</v>
      </c>
    </row>
    <row r="118" spans="1:109" x14ac:dyDescent="0.25">
      <c r="A118" t="s">
        <v>1618</v>
      </c>
      <c r="B118">
        <v>1</v>
      </c>
      <c r="C118" s="56">
        <v>42823</v>
      </c>
      <c r="D118" t="s">
        <v>1619</v>
      </c>
      <c r="E118" t="s">
        <v>1387</v>
      </c>
      <c r="G118" t="s">
        <v>1603</v>
      </c>
      <c r="H118" t="s">
        <v>1603</v>
      </c>
      <c r="I118" t="s">
        <v>1603</v>
      </c>
      <c r="J118" t="s">
        <v>1603</v>
      </c>
      <c r="K118" t="s">
        <v>1603</v>
      </c>
      <c r="L118">
        <v>0.25</v>
      </c>
      <c r="M118">
        <v>0.88</v>
      </c>
      <c r="N118">
        <v>0</v>
      </c>
      <c r="O118" s="56"/>
      <c r="P118" s="56"/>
      <c r="Q118">
        <v>13717</v>
      </c>
      <c r="R118">
        <v>1</v>
      </c>
      <c r="S118">
        <v>8</v>
      </c>
      <c r="T118">
        <v>4</v>
      </c>
      <c r="U118">
        <v>4</v>
      </c>
      <c r="V118">
        <v>1</v>
      </c>
      <c r="W118" t="s">
        <v>1723</v>
      </c>
      <c r="X118" t="s">
        <v>1749</v>
      </c>
      <c r="AA118">
        <v>829.25</v>
      </c>
      <c r="AB118">
        <v>9951</v>
      </c>
      <c r="AC118">
        <v>6.63</v>
      </c>
      <c r="AD118">
        <v>2.73</v>
      </c>
      <c r="AE118">
        <v>0</v>
      </c>
      <c r="AF118">
        <v>0</v>
      </c>
      <c r="AG118">
        <v>0</v>
      </c>
      <c r="AJ118" s="56"/>
      <c r="AK118" s="56"/>
      <c r="AL118" s="56"/>
      <c r="AP118" t="s">
        <v>1604</v>
      </c>
      <c r="AR118">
        <v>450</v>
      </c>
      <c r="AS118" t="s">
        <v>1605</v>
      </c>
      <c r="AT118">
        <v>1</v>
      </c>
      <c r="AV118">
        <v>22000</v>
      </c>
      <c r="AW118">
        <v>14630</v>
      </c>
      <c r="AX118">
        <v>7260</v>
      </c>
      <c r="AY118" t="s">
        <v>1620</v>
      </c>
      <c r="AZ118" t="s">
        <v>1620</v>
      </c>
      <c r="BA118">
        <v>24300</v>
      </c>
      <c r="BD118">
        <v>1000000000</v>
      </c>
      <c r="BE118">
        <v>9039</v>
      </c>
      <c r="BF118">
        <v>0.59</v>
      </c>
      <c r="BG118">
        <v>0</v>
      </c>
      <c r="BH118">
        <v>0</v>
      </c>
      <c r="BI118">
        <v>0</v>
      </c>
      <c r="BJ118">
        <v>0</v>
      </c>
      <c r="BK118">
        <v>0</v>
      </c>
      <c r="BL118">
        <v>0</v>
      </c>
      <c r="BM118">
        <v>9039</v>
      </c>
      <c r="BN118">
        <v>0.59</v>
      </c>
      <c r="BO118">
        <v>0</v>
      </c>
      <c r="BP118">
        <v>0</v>
      </c>
      <c r="BR118">
        <v>13050</v>
      </c>
      <c r="BS118">
        <v>11000</v>
      </c>
      <c r="BX118">
        <v>0</v>
      </c>
      <c r="BY118">
        <v>0</v>
      </c>
      <c r="BZ118">
        <v>0</v>
      </c>
      <c r="CA118">
        <v>15.12</v>
      </c>
      <c r="CC118">
        <v>1</v>
      </c>
      <c r="CD118" s="56">
        <v>42761</v>
      </c>
      <c r="CE118" s="56">
        <v>42767</v>
      </c>
      <c r="CF118" s="56">
        <v>42767</v>
      </c>
      <c r="CG118" s="56">
        <v>42823</v>
      </c>
      <c r="CH118" s="56"/>
      <c r="CI118" s="56"/>
      <c r="CJ118">
        <v>0</v>
      </c>
      <c r="CK118">
        <v>0</v>
      </c>
      <c r="CL118">
        <v>0</v>
      </c>
      <c r="CM118">
        <v>0</v>
      </c>
      <c r="CN118">
        <v>0.05</v>
      </c>
      <c r="CO118">
        <v>0</v>
      </c>
      <c r="CP118">
        <v>0</v>
      </c>
      <c r="CQ118" t="s">
        <v>1618</v>
      </c>
      <c r="CR118" t="s">
        <v>1368</v>
      </c>
      <c r="CS118" t="s">
        <v>1728</v>
      </c>
      <c r="CT118" t="s">
        <v>1724</v>
      </c>
      <c r="CU118" t="s">
        <v>1729</v>
      </c>
      <c r="CV118" t="s">
        <v>1956</v>
      </c>
      <c r="DB118" t="s">
        <v>1953</v>
      </c>
      <c r="DE118" t="s">
        <v>1724</v>
      </c>
    </row>
    <row r="119" spans="1:109" x14ac:dyDescent="0.25">
      <c r="A119" t="s">
        <v>1618</v>
      </c>
      <c r="B119">
        <v>1</v>
      </c>
      <c r="C119" s="56">
        <v>42823</v>
      </c>
      <c r="D119" t="s">
        <v>1619</v>
      </c>
      <c r="E119" t="s">
        <v>1957</v>
      </c>
      <c r="G119" t="s">
        <v>1603</v>
      </c>
      <c r="H119" t="s">
        <v>1603</v>
      </c>
      <c r="I119" t="s">
        <v>1603</v>
      </c>
      <c r="J119" t="s">
        <v>1603</v>
      </c>
      <c r="K119" t="s">
        <v>1603</v>
      </c>
      <c r="L119">
        <v>4.9000000000000004</v>
      </c>
      <c r="M119">
        <v>14.78</v>
      </c>
      <c r="N119">
        <v>0</v>
      </c>
      <c r="O119" s="56"/>
      <c r="P119" s="56"/>
      <c r="Q119">
        <v>13717</v>
      </c>
      <c r="R119">
        <v>1</v>
      </c>
      <c r="S119">
        <v>8</v>
      </c>
      <c r="T119">
        <v>4</v>
      </c>
      <c r="U119">
        <v>4</v>
      </c>
      <c r="V119">
        <v>1</v>
      </c>
      <c r="X119" t="s">
        <v>1762</v>
      </c>
      <c r="AA119">
        <v>0</v>
      </c>
      <c r="AB119">
        <v>0</v>
      </c>
      <c r="AC119">
        <v>0</v>
      </c>
      <c r="AD119">
        <v>0</v>
      </c>
      <c r="AE119">
        <v>0</v>
      </c>
      <c r="AF119">
        <v>0</v>
      </c>
      <c r="AG119">
        <v>0</v>
      </c>
      <c r="AJ119" s="56"/>
      <c r="AK119" s="56"/>
      <c r="AL119" s="56"/>
      <c r="AP119" t="s">
        <v>1604</v>
      </c>
      <c r="AS119" t="s">
        <v>1605</v>
      </c>
      <c r="AT119">
        <v>1</v>
      </c>
      <c r="AV119">
        <v>0</v>
      </c>
      <c r="AW119">
        <v>0</v>
      </c>
      <c r="AX119">
        <v>0</v>
      </c>
      <c r="AY119" t="s">
        <v>1606</v>
      </c>
      <c r="AZ119" t="s">
        <v>1606</v>
      </c>
      <c r="BA119">
        <v>0</v>
      </c>
      <c r="BD119">
        <v>1000000000</v>
      </c>
      <c r="BE119">
        <v>17</v>
      </c>
      <c r="BF119">
        <v>0</v>
      </c>
      <c r="BG119">
        <v>0</v>
      </c>
      <c r="BH119">
        <v>0</v>
      </c>
      <c r="BI119">
        <v>0</v>
      </c>
      <c r="BJ119">
        <v>0</v>
      </c>
      <c r="BK119">
        <v>0</v>
      </c>
      <c r="BL119">
        <v>0</v>
      </c>
      <c r="BM119">
        <v>17</v>
      </c>
      <c r="BN119">
        <v>0</v>
      </c>
      <c r="BO119">
        <v>0</v>
      </c>
      <c r="BP119">
        <v>0</v>
      </c>
      <c r="BR119">
        <v>0</v>
      </c>
      <c r="BS119">
        <v>0</v>
      </c>
      <c r="BX119">
        <v>0</v>
      </c>
      <c r="BY119">
        <v>0</v>
      </c>
      <c r="BZ119">
        <v>0</v>
      </c>
      <c r="CA119">
        <v>0</v>
      </c>
      <c r="CC119">
        <v>1</v>
      </c>
      <c r="CD119" s="56">
        <v>42558</v>
      </c>
      <c r="CE119" s="56">
        <v>42767</v>
      </c>
      <c r="CF119" s="56">
        <v>42767</v>
      </c>
      <c r="CG119" s="56">
        <v>42823</v>
      </c>
      <c r="CH119" s="56"/>
      <c r="CI119" s="56"/>
      <c r="CJ119">
        <v>0</v>
      </c>
      <c r="CK119">
        <v>0</v>
      </c>
      <c r="CL119">
        <v>0</v>
      </c>
      <c r="CM119">
        <v>0</v>
      </c>
      <c r="CN119">
        <v>0</v>
      </c>
      <c r="CO119">
        <v>0</v>
      </c>
      <c r="CP119">
        <v>0.05</v>
      </c>
      <c r="CQ119" t="s">
        <v>1618</v>
      </c>
      <c r="CR119" t="s">
        <v>1368</v>
      </c>
      <c r="CS119" t="s">
        <v>1728</v>
      </c>
      <c r="CT119" t="s">
        <v>1724</v>
      </c>
      <c r="CU119" t="s">
        <v>1729</v>
      </c>
      <c r="CV119" t="s">
        <v>1958</v>
      </c>
      <c r="DB119" t="s">
        <v>1959</v>
      </c>
      <c r="DE119" t="s">
        <v>1724</v>
      </c>
    </row>
    <row r="120" spans="1:109" x14ac:dyDescent="0.25">
      <c r="A120" t="s">
        <v>1618</v>
      </c>
      <c r="B120">
        <v>1</v>
      </c>
      <c r="C120" s="56">
        <v>42823</v>
      </c>
      <c r="D120" t="s">
        <v>1619</v>
      </c>
      <c r="E120" t="s">
        <v>1960</v>
      </c>
      <c r="G120" t="s">
        <v>1603</v>
      </c>
      <c r="H120" t="s">
        <v>1603</v>
      </c>
      <c r="I120" t="s">
        <v>1603</v>
      </c>
      <c r="J120" t="s">
        <v>1603</v>
      </c>
      <c r="K120" t="s">
        <v>1603</v>
      </c>
      <c r="L120">
        <v>7.23</v>
      </c>
      <c r="M120">
        <v>21.78</v>
      </c>
      <c r="N120">
        <v>0</v>
      </c>
      <c r="O120" s="56"/>
      <c r="P120" s="56"/>
      <c r="Q120">
        <v>13717</v>
      </c>
      <c r="R120">
        <v>1</v>
      </c>
      <c r="S120">
        <v>8</v>
      </c>
      <c r="T120">
        <v>4</v>
      </c>
      <c r="U120">
        <v>4</v>
      </c>
      <c r="V120">
        <v>1</v>
      </c>
      <c r="X120" t="s">
        <v>1738</v>
      </c>
      <c r="AA120">
        <v>0</v>
      </c>
      <c r="AB120">
        <v>0</v>
      </c>
      <c r="AC120">
        <v>0</v>
      </c>
      <c r="AD120">
        <v>0</v>
      </c>
      <c r="AE120">
        <v>0</v>
      </c>
      <c r="AF120">
        <v>0</v>
      </c>
      <c r="AG120">
        <v>0</v>
      </c>
      <c r="AJ120" s="56"/>
      <c r="AK120" s="56"/>
      <c r="AL120" s="56"/>
      <c r="AP120" t="s">
        <v>1604</v>
      </c>
      <c r="AR120">
        <v>16</v>
      </c>
      <c r="AS120" t="s">
        <v>1605</v>
      </c>
      <c r="AT120">
        <v>1</v>
      </c>
      <c r="AV120">
        <v>0</v>
      </c>
      <c r="AW120">
        <v>0</v>
      </c>
      <c r="AX120">
        <v>0</v>
      </c>
      <c r="AY120" t="s">
        <v>1606</v>
      </c>
      <c r="AZ120" t="s">
        <v>1606</v>
      </c>
      <c r="BA120">
        <v>0</v>
      </c>
      <c r="BD120">
        <v>1000000000</v>
      </c>
      <c r="BE120">
        <v>12</v>
      </c>
      <c r="BF120">
        <v>0</v>
      </c>
      <c r="BG120">
        <v>0</v>
      </c>
      <c r="BH120">
        <v>0</v>
      </c>
      <c r="BI120">
        <v>0</v>
      </c>
      <c r="BJ120">
        <v>0</v>
      </c>
      <c r="BK120">
        <v>0</v>
      </c>
      <c r="BL120">
        <v>0</v>
      </c>
      <c r="BM120">
        <v>12</v>
      </c>
      <c r="BN120">
        <v>0</v>
      </c>
      <c r="BO120">
        <v>0</v>
      </c>
      <c r="BP120">
        <v>0</v>
      </c>
      <c r="BR120">
        <v>0</v>
      </c>
      <c r="BS120">
        <v>0</v>
      </c>
      <c r="BX120">
        <v>0</v>
      </c>
      <c r="BY120">
        <v>0</v>
      </c>
      <c r="BZ120">
        <v>0</v>
      </c>
      <c r="CA120">
        <v>0</v>
      </c>
      <c r="CC120">
        <v>1</v>
      </c>
      <c r="CD120" s="56">
        <v>42593</v>
      </c>
      <c r="CE120" s="56">
        <v>42767</v>
      </c>
      <c r="CF120" s="56">
        <v>42767</v>
      </c>
      <c r="CG120" s="56">
        <v>42823</v>
      </c>
      <c r="CH120" s="56"/>
      <c r="CI120" s="56"/>
      <c r="CJ120">
        <v>0</v>
      </c>
      <c r="CK120">
        <v>0</v>
      </c>
      <c r="CL120">
        <v>0</v>
      </c>
      <c r="CM120">
        <v>0</v>
      </c>
      <c r="CN120">
        <v>0</v>
      </c>
      <c r="CO120">
        <v>0</v>
      </c>
      <c r="CP120">
        <v>0.05</v>
      </c>
      <c r="CQ120" t="s">
        <v>1618</v>
      </c>
      <c r="CR120" t="s">
        <v>1368</v>
      </c>
      <c r="CS120" t="s">
        <v>1728</v>
      </c>
      <c r="CT120" t="s">
        <v>1724</v>
      </c>
      <c r="CU120" t="s">
        <v>1729</v>
      </c>
      <c r="CV120" t="s">
        <v>1961</v>
      </c>
      <c r="DB120" t="s">
        <v>1959</v>
      </c>
      <c r="DE120" t="s">
        <v>1724</v>
      </c>
    </row>
    <row r="121" spans="1:109" x14ac:dyDescent="0.25">
      <c r="A121" t="s">
        <v>1618</v>
      </c>
      <c r="B121">
        <v>1</v>
      </c>
      <c r="C121" s="56">
        <v>42823</v>
      </c>
      <c r="D121" t="s">
        <v>1619</v>
      </c>
      <c r="E121" t="s">
        <v>1962</v>
      </c>
      <c r="G121" t="s">
        <v>1603</v>
      </c>
      <c r="H121" t="s">
        <v>1603</v>
      </c>
      <c r="I121" t="s">
        <v>1603</v>
      </c>
      <c r="J121" t="s">
        <v>1603</v>
      </c>
      <c r="K121" t="s">
        <v>1603</v>
      </c>
      <c r="L121">
        <v>1.35</v>
      </c>
      <c r="M121">
        <v>6.77</v>
      </c>
      <c r="N121">
        <v>0</v>
      </c>
      <c r="O121" s="56"/>
      <c r="P121" s="56"/>
      <c r="Q121">
        <v>13717</v>
      </c>
      <c r="R121">
        <v>1</v>
      </c>
      <c r="S121">
        <v>8</v>
      </c>
      <c r="T121">
        <v>4</v>
      </c>
      <c r="U121">
        <v>4</v>
      </c>
      <c r="V121">
        <v>1</v>
      </c>
      <c r="X121" t="s">
        <v>1727</v>
      </c>
      <c r="AA121">
        <v>0</v>
      </c>
      <c r="AB121">
        <v>0</v>
      </c>
      <c r="AC121">
        <v>0</v>
      </c>
      <c r="AD121">
        <v>0</v>
      </c>
      <c r="AE121">
        <v>0</v>
      </c>
      <c r="AF121">
        <v>0</v>
      </c>
      <c r="AG121">
        <v>0</v>
      </c>
      <c r="AJ121" s="56"/>
      <c r="AK121" s="56"/>
      <c r="AL121" s="56"/>
      <c r="AP121" t="s">
        <v>1604</v>
      </c>
      <c r="AR121">
        <v>360</v>
      </c>
      <c r="AS121" t="s">
        <v>1605</v>
      </c>
      <c r="AT121">
        <v>1</v>
      </c>
      <c r="AV121">
        <v>0</v>
      </c>
      <c r="AW121">
        <v>0</v>
      </c>
      <c r="AX121">
        <v>0</v>
      </c>
      <c r="AY121" t="s">
        <v>1606</v>
      </c>
      <c r="AZ121" t="s">
        <v>1606</v>
      </c>
      <c r="BA121">
        <v>12</v>
      </c>
      <c r="BD121">
        <v>1000000000</v>
      </c>
      <c r="BE121">
        <v>272</v>
      </c>
      <c r="BF121">
        <v>0</v>
      </c>
      <c r="BG121">
        <v>0</v>
      </c>
      <c r="BH121">
        <v>0</v>
      </c>
      <c r="BI121">
        <v>0</v>
      </c>
      <c r="BJ121">
        <v>0</v>
      </c>
      <c r="BK121">
        <v>0</v>
      </c>
      <c r="BL121">
        <v>0</v>
      </c>
      <c r="BM121">
        <v>272</v>
      </c>
      <c r="BN121">
        <v>0</v>
      </c>
      <c r="BO121">
        <v>0</v>
      </c>
      <c r="BP121">
        <v>0</v>
      </c>
      <c r="BR121">
        <v>0</v>
      </c>
      <c r="BS121">
        <v>0</v>
      </c>
      <c r="BX121">
        <v>0</v>
      </c>
      <c r="BY121">
        <v>0</v>
      </c>
      <c r="BZ121">
        <v>0</v>
      </c>
      <c r="CA121">
        <v>0</v>
      </c>
      <c r="CC121">
        <v>1</v>
      </c>
      <c r="CD121" s="56">
        <v>42709</v>
      </c>
      <c r="CE121" s="56">
        <v>42767</v>
      </c>
      <c r="CF121" s="56">
        <v>42767</v>
      </c>
      <c r="CG121" s="56">
        <v>42823</v>
      </c>
      <c r="CH121" s="56"/>
      <c r="CI121" s="56"/>
      <c r="CJ121">
        <v>0</v>
      </c>
      <c r="CK121">
        <v>0</v>
      </c>
      <c r="CL121">
        <v>0</v>
      </c>
      <c r="CM121">
        <v>0</v>
      </c>
      <c r="CN121">
        <v>0</v>
      </c>
      <c r="CO121">
        <v>0</v>
      </c>
      <c r="CP121">
        <v>0.05</v>
      </c>
      <c r="CQ121" t="s">
        <v>1618</v>
      </c>
      <c r="CR121" t="s">
        <v>1368</v>
      </c>
      <c r="CS121" t="s">
        <v>1728</v>
      </c>
      <c r="CT121" t="s">
        <v>1724</v>
      </c>
      <c r="CU121" t="s">
        <v>1729</v>
      </c>
      <c r="CV121" t="s">
        <v>1963</v>
      </c>
      <c r="DB121" t="s">
        <v>1964</v>
      </c>
      <c r="DE121" t="s">
        <v>1724</v>
      </c>
    </row>
    <row r="122" spans="1:109" x14ac:dyDescent="0.25">
      <c r="A122" t="s">
        <v>1618</v>
      </c>
      <c r="B122">
        <v>1</v>
      </c>
      <c r="C122" s="56">
        <v>42823</v>
      </c>
      <c r="D122" t="s">
        <v>1619</v>
      </c>
      <c r="E122" t="s">
        <v>1965</v>
      </c>
      <c r="G122" t="s">
        <v>1603</v>
      </c>
      <c r="H122" t="s">
        <v>1603</v>
      </c>
      <c r="I122" t="s">
        <v>1603</v>
      </c>
      <c r="J122" t="s">
        <v>1603</v>
      </c>
      <c r="K122" t="s">
        <v>1603</v>
      </c>
      <c r="L122">
        <v>2.06</v>
      </c>
      <c r="M122">
        <v>11.18</v>
      </c>
      <c r="N122">
        <v>0</v>
      </c>
      <c r="O122" s="56"/>
      <c r="P122" s="56"/>
      <c r="Q122">
        <v>13717</v>
      </c>
      <c r="R122">
        <v>1</v>
      </c>
      <c r="S122">
        <v>8</v>
      </c>
      <c r="T122">
        <v>4</v>
      </c>
      <c r="U122">
        <v>4</v>
      </c>
      <c r="V122">
        <v>1</v>
      </c>
      <c r="X122" t="s">
        <v>1727</v>
      </c>
      <c r="AA122">
        <v>0</v>
      </c>
      <c r="AB122">
        <v>0</v>
      </c>
      <c r="AC122">
        <v>0</v>
      </c>
      <c r="AD122">
        <v>0</v>
      </c>
      <c r="AE122">
        <v>0</v>
      </c>
      <c r="AF122">
        <v>0</v>
      </c>
      <c r="AG122">
        <v>0</v>
      </c>
      <c r="AJ122" s="56"/>
      <c r="AK122" s="56"/>
      <c r="AL122" s="56"/>
      <c r="AP122" t="s">
        <v>1604</v>
      </c>
      <c r="AR122">
        <v>340</v>
      </c>
      <c r="AS122" t="s">
        <v>1605</v>
      </c>
      <c r="AT122">
        <v>1</v>
      </c>
      <c r="AV122">
        <v>0</v>
      </c>
      <c r="AW122">
        <v>0</v>
      </c>
      <c r="AX122">
        <v>0</v>
      </c>
      <c r="AY122" t="s">
        <v>1606</v>
      </c>
      <c r="AZ122" t="s">
        <v>1606</v>
      </c>
      <c r="BA122">
        <v>12</v>
      </c>
      <c r="BD122">
        <v>1000000000</v>
      </c>
      <c r="BE122">
        <v>292</v>
      </c>
      <c r="BF122">
        <v>0</v>
      </c>
      <c r="BG122">
        <v>0</v>
      </c>
      <c r="BH122">
        <v>0</v>
      </c>
      <c r="BI122">
        <v>0</v>
      </c>
      <c r="BJ122">
        <v>0</v>
      </c>
      <c r="BK122">
        <v>0</v>
      </c>
      <c r="BL122">
        <v>0</v>
      </c>
      <c r="BM122">
        <v>292</v>
      </c>
      <c r="BN122">
        <v>0</v>
      </c>
      <c r="BO122">
        <v>0</v>
      </c>
      <c r="BP122">
        <v>0</v>
      </c>
      <c r="BR122">
        <v>0</v>
      </c>
      <c r="BS122">
        <v>0</v>
      </c>
      <c r="BX122">
        <v>0</v>
      </c>
      <c r="BY122">
        <v>0</v>
      </c>
      <c r="BZ122">
        <v>0</v>
      </c>
      <c r="CA122">
        <v>0</v>
      </c>
      <c r="CC122">
        <v>1</v>
      </c>
      <c r="CD122" s="56">
        <v>42709</v>
      </c>
      <c r="CE122" s="56">
        <v>42767</v>
      </c>
      <c r="CF122" s="56">
        <v>42767</v>
      </c>
      <c r="CG122" s="56">
        <v>42823</v>
      </c>
      <c r="CH122" s="56"/>
      <c r="CI122" s="56"/>
      <c r="CJ122">
        <v>0</v>
      </c>
      <c r="CK122">
        <v>0</v>
      </c>
      <c r="CL122">
        <v>0</v>
      </c>
      <c r="CM122">
        <v>0</v>
      </c>
      <c r="CN122">
        <v>0</v>
      </c>
      <c r="CO122">
        <v>0</v>
      </c>
      <c r="CP122">
        <v>0.05</v>
      </c>
      <c r="CQ122" t="s">
        <v>1618</v>
      </c>
      <c r="CR122" t="s">
        <v>1368</v>
      </c>
      <c r="CS122" t="s">
        <v>1728</v>
      </c>
      <c r="CT122" t="s">
        <v>1724</v>
      </c>
      <c r="CU122" t="s">
        <v>1729</v>
      </c>
      <c r="CV122" t="s">
        <v>1966</v>
      </c>
      <c r="DB122" t="s">
        <v>1964</v>
      </c>
      <c r="DE122" t="s">
        <v>1724</v>
      </c>
    </row>
    <row r="123" spans="1:109" x14ac:dyDescent="0.25">
      <c r="A123" t="s">
        <v>1618</v>
      </c>
      <c r="B123">
        <v>1</v>
      </c>
      <c r="C123" s="56">
        <v>42823</v>
      </c>
      <c r="D123" t="s">
        <v>1619</v>
      </c>
      <c r="E123" t="s">
        <v>1967</v>
      </c>
      <c r="G123" t="s">
        <v>1603</v>
      </c>
      <c r="H123" t="s">
        <v>1603</v>
      </c>
      <c r="I123" t="s">
        <v>1603</v>
      </c>
      <c r="J123" t="s">
        <v>1603</v>
      </c>
      <c r="K123" t="s">
        <v>1603</v>
      </c>
      <c r="L123">
        <v>3.46</v>
      </c>
      <c r="M123">
        <v>13.63</v>
      </c>
      <c r="N123">
        <v>0</v>
      </c>
      <c r="O123" s="56"/>
      <c r="P123" s="56"/>
      <c r="Q123">
        <v>13717</v>
      </c>
      <c r="R123">
        <v>1</v>
      </c>
      <c r="S123">
        <v>8</v>
      </c>
      <c r="T123">
        <v>4</v>
      </c>
      <c r="U123">
        <v>4</v>
      </c>
      <c r="V123">
        <v>1</v>
      </c>
      <c r="X123" t="s">
        <v>1738</v>
      </c>
      <c r="AA123">
        <v>0</v>
      </c>
      <c r="AB123">
        <v>0</v>
      </c>
      <c r="AC123">
        <v>0</v>
      </c>
      <c r="AD123">
        <v>0</v>
      </c>
      <c r="AE123">
        <v>0</v>
      </c>
      <c r="AF123">
        <v>0</v>
      </c>
      <c r="AG123">
        <v>0</v>
      </c>
      <c r="AJ123" s="56"/>
      <c r="AK123" s="56"/>
      <c r="AL123" s="56"/>
      <c r="AP123" t="s">
        <v>1604</v>
      </c>
      <c r="AR123">
        <v>300</v>
      </c>
      <c r="AS123" t="s">
        <v>1605</v>
      </c>
      <c r="AT123">
        <v>1</v>
      </c>
      <c r="AV123">
        <v>0</v>
      </c>
      <c r="AW123">
        <v>0</v>
      </c>
      <c r="AX123">
        <v>0</v>
      </c>
      <c r="AY123" t="s">
        <v>1606</v>
      </c>
      <c r="AZ123" t="s">
        <v>1606</v>
      </c>
      <c r="BA123">
        <v>0</v>
      </c>
      <c r="BD123">
        <v>1000000000</v>
      </c>
      <c r="BE123">
        <v>271</v>
      </c>
      <c r="BF123">
        <v>0</v>
      </c>
      <c r="BG123">
        <v>0</v>
      </c>
      <c r="BH123">
        <v>0</v>
      </c>
      <c r="BI123">
        <v>0</v>
      </c>
      <c r="BJ123">
        <v>0</v>
      </c>
      <c r="BK123">
        <v>0</v>
      </c>
      <c r="BL123">
        <v>0</v>
      </c>
      <c r="BM123">
        <v>271</v>
      </c>
      <c r="BN123">
        <v>0</v>
      </c>
      <c r="BO123">
        <v>0</v>
      </c>
      <c r="BP123">
        <v>0</v>
      </c>
      <c r="BR123">
        <v>0</v>
      </c>
      <c r="BS123">
        <v>0</v>
      </c>
      <c r="BX123">
        <v>0</v>
      </c>
      <c r="BY123">
        <v>0</v>
      </c>
      <c r="BZ123">
        <v>0</v>
      </c>
      <c r="CA123">
        <v>0</v>
      </c>
      <c r="CC123">
        <v>1</v>
      </c>
      <c r="CD123" s="56">
        <v>42593</v>
      </c>
      <c r="CE123" s="56">
        <v>42767</v>
      </c>
      <c r="CF123" s="56">
        <v>42767</v>
      </c>
      <c r="CG123" s="56">
        <v>42823</v>
      </c>
      <c r="CH123" s="56"/>
      <c r="CI123" s="56"/>
      <c r="CJ123">
        <v>0</v>
      </c>
      <c r="CK123">
        <v>0</v>
      </c>
      <c r="CL123">
        <v>0</v>
      </c>
      <c r="CM123">
        <v>0</v>
      </c>
      <c r="CN123">
        <v>0</v>
      </c>
      <c r="CO123">
        <v>0</v>
      </c>
      <c r="CP123">
        <v>0.05</v>
      </c>
      <c r="CQ123" t="s">
        <v>1618</v>
      </c>
      <c r="CR123" t="s">
        <v>1368</v>
      </c>
      <c r="CS123" t="s">
        <v>1728</v>
      </c>
      <c r="CT123" t="s">
        <v>1724</v>
      </c>
      <c r="CU123" t="s">
        <v>1729</v>
      </c>
      <c r="CV123" t="s">
        <v>1968</v>
      </c>
      <c r="DB123" t="s">
        <v>1964</v>
      </c>
      <c r="DE123" t="s">
        <v>1724</v>
      </c>
    </row>
    <row r="124" spans="1:109" x14ac:dyDescent="0.25">
      <c r="A124" t="s">
        <v>1618</v>
      </c>
      <c r="B124">
        <v>1</v>
      </c>
      <c r="C124" s="56">
        <v>42823</v>
      </c>
      <c r="D124" t="s">
        <v>1619</v>
      </c>
      <c r="E124" t="s">
        <v>1388</v>
      </c>
      <c r="G124" t="s">
        <v>1603</v>
      </c>
      <c r="H124" t="s">
        <v>1603</v>
      </c>
      <c r="I124" t="s">
        <v>1603</v>
      </c>
      <c r="J124" t="s">
        <v>1603</v>
      </c>
      <c r="K124" t="s">
        <v>1603</v>
      </c>
      <c r="L124">
        <v>3.71</v>
      </c>
      <c r="M124">
        <v>13.2</v>
      </c>
      <c r="N124">
        <v>0</v>
      </c>
      <c r="O124" s="56"/>
      <c r="P124" s="56"/>
      <c r="Q124">
        <v>13717</v>
      </c>
      <c r="R124">
        <v>1</v>
      </c>
      <c r="S124">
        <v>8</v>
      </c>
      <c r="T124">
        <v>4</v>
      </c>
      <c r="U124">
        <v>4</v>
      </c>
      <c r="V124">
        <v>1</v>
      </c>
      <c r="W124" t="s">
        <v>1723</v>
      </c>
      <c r="X124" t="s">
        <v>1727</v>
      </c>
      <c r="AA124">
        <v>1.96</v>
      </c>
      <c r="AB124">
        <v>24</v>
      </c>
      <c r="AC124">
        <v>10.199999999999999</v>
      </c>
      <c r="AD124">
        <v>3.95</v>
      </c>
      <c r="AE124">
        <v>0</v>
      </c>
      <c r="AF124">
        <v>0</v>
      </c>
      <c r="AG124">
        <v>0</v>
      </c>
      <c r="AJ124" s="56">
        <v>42666</v>
      </c>
      <c r="AK124" s="56"/>
      <c r="AL124" s="56"/>
      <c r="AP124" t="s">
        <v>1604</v>
      </c>
      <c r="AR124">
        <v>40</v>
      </c>
      <c r="AS124" t="s">
        <v>1605</v>
      </c>
      <c r="AT124">
        <v>1</v>
      </c>
      <c r="AV124">
        <v>80</v>
      </c>
      <c r="AW124">
        <v>53</v>
      </c>
      <c r="AX124">
        <v>26</v>
      </c>
      <c r="AY124" t="s">
        <v>1620</v>
      </c>
      <c r="AZ124" t="s">
        <v>1620</v>
      </c>
      <c r="BA124">
        <v>24</v>
      </c>
      <c r="BD124">
        <v>1000000000</v>
      </c>
      <c r="BE124">
        <v>31</v>
      </c>
      <c r="BF124">
        <v>0.61</v>
      </c>
      <c r="BG124">
        <v>0</v>
      </c>
      <c r="BH124">
        <v>0</v>
      </c>
      <c r="BI124">
        <v>0</v>
      </c>
      <c r="BJ124">
        <v>0</v>
      </c>
      <c r="BK124">
        <v>0</v>
      </c>
      <c r="BL124">
        <v>0</v>
      </c>
      <c r="BM124">
        <v>31</v>
      </c>
      <c r="BN124">
        <v>0.61</v>
      </c>
      <c r="BO124">
        <v>0</v>
      </c>
      <c r="BP124">
        <v>0</v>
      </c>
      <c r="BR124">
        <v>40</v>
      </c>
      <c r="BS124">
        <v>40</v>
      </c>
      <c r="BX124">
        <v>0</v>
      </c>
      <c r="BY124">
        <v>0</v>
      </c>
      <c r="BZ124">
        <v>0</v>
      </c>
      <c r="CA124">
        <v>15.35</v>
      </c>
      <c r="CC124">
        <v>1</v>
      </c>
      <c r="CD124" s="56">
        <v>42709</v>
      </c>
      <c r="CE124" s="56">
        <v>42767</v>
      </c>
      <c r="CF124" s="56">
        <v>42767</v>
      </c>
      <c r="CG124" s="56">
        <v>42823</v>
      </c>
      <c r="CH124" s="56"/>
      <c r="CI124" s="56"/>
      <c r="CJ124">
        <v>0</v>
      </c>
      <c r="CK124">
        <v>0</v>
      </c>
      <c r="CL124">
        <v>0</v>
      </c>
      <c r="CM124">
        <v>0</v>
      </c>
      <c r="CN124">
        <v>0.05</v>
      </c>
      <c r="CO124">
        <v>0</v>
      </c>
      <c r="CP124">
        <v>0</v>
      </c>
      <c r="CQ124" t="s">
        <v>1618</v>
      </c>
      <c r="CR124" t="s">
        <v>1368</v>
      </c>
      <c r="CS124" t="s">
        <v>1728</v>
      </c>
      <c r="CT124" t="s">
        <v>1724</v>
      </c>
      <c r="CU124" t="s">
        <v>1729</v>
      </c>
      <c r="CV124" t="s">
        <v>1969</v>
      </c>
      <c r="DB124" t="s">
        <v>1935</v>
      </c>
      <c r="DE124" t="s">
        <v>1724</v>
      </c>
    </row>
    <row r="125" spans="1:109" x14ac:dyDescent="0.25">
      <c r="A125" t="s">
        <v>1618</v>
      </c>
      <c r="B125">
        <v>1</v>
      </c>
      <c r="C125" s="56">
        <v>42823</v>
      </c>
      <c r="D125" t="s">
        <v>1619</v>
      </c>
      <c r="E125" t="s">
        <v>1436</v>
      </c>
      <c r="G125" t="s">
        <v>1603</v>
      </c>
      <c r="H125" t="s">
        <v>1603</v>
      </c>
      <c r="I125" t="s">
        <v>1603</v>
      </c>
      <c r="J125" t="s">
        <v>1603</v>
      </c>
      <c r="K125" t="s">
        <v>1603</v>
      </c>
      <c r="L125">
        <v>4.75</v>
      </c>
      <c r="M125">
        <v>16.100000000000001</v>
      </c>
      <c r="N125">
        <v>0</v>
      </c>
      <c r="O125" s="56"/>
      <c r="P125" s="56"/>
      <c r="Q125">
        <v>13717</v>
      </c>
      <c r="R125">
        <v>1</v>
      </c>
      <c r="S125">
        <v>8</v>
      </c>
      <c r="T125">
        <v>4</v>
      </c>
      <c r="U125">
        <v>4</v>
      </c>
      <c r="V125">
        <v>1</v>
      </c>
      <c r="W125" t="s">
        <v>1723</v>
      </c>
      <c r="X125" t="s">
        <v>1727</v>
      </c>
      <c r="AA125">
        <v>2.35</v>
      </c>
      <c r="AB125">
        <v>29</v>
      </c>
      <c r="AC125">
        <v>8.51</v>
      </c>
      <c r="AD125">
        <v>6.6</v>
      </c>
      <c r="AE125">
        <v>0</v>
      </c>
      <c r="AF125">
        <v>0</v>
      </c>
      <c r="AG125">
        <v>0</v>
      </c>
      <c r="AJ125" s="56">
        <v>42666</v>
      </c>
      <c r="AK125" s="56"/>
      <c r="AL125" s="56"/>
      <c r="AP125" t="s">
        <v>1604</v>
      </c>
      <c r="AR125">
        <v>40</v>
      </c>
      <c r="AS125" t="s">
        <v>1605</v>
      </c>
      <c r="AT125">
        <v>1</v>
      </c>
      <c r="AV125">
        <v>80</v>
      </c>
      <c r="AW125">
        <v>53</v>
      </c>
      <c r="AX125">
        <v>26</v>
      </c>
      <c r="AY125" t="s">
        <v>1735</v>
      </c>
      <c r="AZ125" t="s">
        <v>1735</v>
      </c>
      <c r="BA125">
        <v>384</v>
      </c>
      <c r="BD125">
        <v>1000000000</v>
      </c>
      <c r="BE125">
        <v>62</v>
      </c>
      <c r="BF125">
        <v>0.23</v>
      </c>
      <c r="BG125">
        <v>0</v>
      </c>
      <c r="BH125">
        <v>0</v>
      </c>
      <c r="BI125">
        <v>0</v>
      </c>
      <c r="BJ125">
        <v>0</v>
      </c>
      <c r="BK125">
        <v>0</v>
      </c>
      <c r="BL125">
        <v>0</v>
      </c>
      <c r="BM125">
        <v>62</v>
      </c>
      <c r="BN125">
        <v>0.23</v>
      </c>
      <c r="BO125">
        <v>0</v>
      </c>
      <c r="BP125">
        <v>0</v>
      </c>
      <c r="BR125">
        <v>0</v>
      </c>
      <c r="BS125">
        <v>40</v>
      </c>
      <c r="BX125">
        <v>0</v>
      </c>
      <c r="BY125">
        <v>0</v>
      </c>
      <c r="BZ125">
        <v>0</v>
      </c>
      <c r="CA125">
        <v>14.34</v>
      </c>
      <c r="CC125">
        <v>1</v>
      </c>
      <c r="CD125" s="56">
        <v>42709</v>
      </c>
      <c r="CE125" s="56">
        <v>42767</v>
      </c>
      <c r="CF125" s="56">
        <v>42767</v>
      </c>
      <c r="CG125" s="56">
        <v>42823</v>
      </c>
      <c r="CH125" s="56"/>
      <c r="CI125" s="56"/>
      <c r="CJ125">
        <v>0</v>
      </c>
      <c r="CK125">
        <v>0</v>
      </c>
      <c r="CL125">
        <v>0</v>
      </c>
      <c r="CM125">
        <v>0</v>
      </c>
      <c r="CN125">
        <v>0</v>
      </c>
      <c r="CO125">
        <v>0.05</v>
      </c>
      <c r="CP125">
        <v>0</v>
      </c>
      <c r="CQ125" t="s">
        <v>1618</v>
      </c>
      <c r="CR125" t="s">
        <v>1368</v>
      </c>
      <c r="CS125" t="s">
        <v>1728</v>
      </c>
      <c r="CT125" t="s">
        <v>1724</v>
      </c>
      <c r="CU125" t="s">
        <v>1729</v>
      </c>
      <c r="CV125" t="s">
        <v>1970</v>
      </c>
      <c r="DB125" t="s">
        <v>1935</v>
      </c>
      <c r="DE125" t="s">
        <v>1724</v>
      </c>
    </row>
    <row r="126" spans="1:109" x14ac:dyDescent="0.25">
      <c r="A126" t="s">
        <v>1618</v>
      </c>
      <c r="B126">
        <v>1</v>
      </c>
      <c r="C126" s="56">
        <v>42823</v>
      </c>
      <c r="D126" t="s">
        <v>1619</v>
      </c>
      <c r="E126" t="s">
        <v>1437</v>
      </c>
      <c r="G126" t="s">
        <v>1603</v>
      </c>
      <c r="H126" t="s">
        <v>1603</v>
      </c>
      <c r="I126" t="s">
        <v>1603</v>
      </c>
      <c r="J126" t="s">
        <v>1603</v>
      </c>
      <c r="K126" t="s">
        <v>1603</v>
      </c>
      <c r="L126">
        <v>5.47</v>
      </c>
      <c r="M126">
        <v>20.39</v>
      </c>
      <c r="N126">
        <v>0</v>
      </c>
      <c r="O126" s="56"/>
      <c r="P126" s="56"/>
      <c r="Q126">
        <v>13717</v>
      </c>
      <c r="R126">
        <v>1</v>
      </c>
      <c r="S126">
        <v>8</v>
      </c>
      <c r="T126">
        <v>4</v>
      </c>
      <c r="U126">
        <v>4</v>
      </c>
      <c r="V126">
        <v>1</v>
      </c>
      <c r="W126" t="s">
        <v>1723</v>
      </c>
      <c r="X126" t="s">
        <v>1727</v>
      </c>
      <c r="AA126">
        <v>2.5</v>
      </c>
      <c r="AB126">
        <v>30</v>
      </c>
      <c r="AC126">
        <v>8</v>
      </c>
      <c r="AD126">
        <v>7.2</v>
      </c>
      <c r="AE126">
        <v>0</v>
      </c>
      <c r="AF126">
        <v>0</v>
      </c>
      <c r="AG126">
        <v>0</v>
      </c>
      <c r="AJ126" s="56">
        <v>42666</v>
      </c>
      <c r="AK126" s="56"/>
      <c r="AL126" s="56"/>
      <c r="AP126" t="s">
        <v>1604</v>
      </c>
      <c r="AR126">
        <v>40</v>
      </c>
      <c r="AS126" t="s">
        <v>1605</v>
      </c>
      <c r="AT126">
        <v>1</v>
      </c>
      <c r="AV126">
        <v>80</v>
      </c>
      <c r="AW126">
        <v>53</v>
      </c>
      <c r="AX126">
        <v>26</v>
      </c>
      <c r="AY126" t="s">
        <v>1735</v>
      </c>
      <c r="AZ126" t="s">
        <v>1735</v>
      </c>
      <c r="BA126">
        <v>384</v>
      </c>
      <c r="BD126">
        <v>1000000000</v>
      </c>
      <c r="BE126">
        <v>72</v>
      </c>
      <c r="BF126">
        <v>0.1</v>
      </c>
      <c r="BG126">
        <v>0</v>
      </c>
      <c r="BH126">
        <v>0</v>
      </c>
      <c r="BI126">
        <v>0</v>
      </c>
      <c r="BJ126">
        <v>0</v>
      </c>
      <c r="BK126">
        <v>0</v>
      </c>
      <c r="BL126">
        <v>0</v>
      </c>
      <c r="BM126">
        <v>72</v>
      </c>
      <c r="BN126">
        <v>0.1</v>
      </c>
      <c r="BO126">
        <v>0</v>
      </c>
      <c r="BP126">
        <v>0</v>
      </c>
      <c r="BR126">
        <v>0</v>
      </c>
      <c r="BS126">
        <v>40</v>
      </c>
      <c r="BX126">
        <v>0</v>
      </c>
      <c r="BY126">
        <v>0</v>
      </c>
      <c r="BZ126">
        <v>0</v>
      </c>
      <c r="CA126">
        <v>16.37</v>
      </c>
      <c r="CC126">
        <v>1</v>
      </c>
      <c r="CD126" s="56">
        <v>42709</v>
      </c>
      <c r="CE126" s="56">
        <v>42767</v>
      </c>
      <c r="CF126" s="56">
        <v>42767</v>
      </c>
      <c r="CG126" s="56">
        <v>42823</v>
      </c>
      <c r="CH126" s="56"/>
      <c r="CI126" s="56"/>
      <c r="CJ126">
        <v>0</v>
      </c>
      <c r="CK126">
        <v>0</v>
      </c>
      <c r="CL126">
        <v>0</v>
      </c>
      <c r="CM126">
        <v>0</v>
      </c>
      <c r="CN126">
        <v>0</v>
      </c>
      <c r="CO126">
        <v>0.05</v>
      </c>
      <c r="CP126">
        <v>0</v>
      </c>
      <c r="CQ126" t="s">
        <v>1618</v>
      </c>
      <c r="CR126" t="s">
        <v>1368</v>
      </c>
      <c r="CS126" t="s">
        <v>1728</v>
      </c>
      <c r="CT126" t="s">
        <v>1724</v>
      </c>
      <c r="CU126" t="s">
        <v>1729</v>
      </c>
      <c r="CV126" t="s">
        <v>1971</v>
      </c>
      <c r="DB126" t="s">
        <v>1935</v>
      </c>
      <c r="DE126" t="s">
        <v>1724</v>
      </c>
    </row>
    <row r="127" spans="1:109" x14ac:dyDescent="0.25">
      <c r="A127" t="s">
        <v>1618</v>
      </c>
      <c r="B127">
        <v>1</v>
      </c>
      <c r="C127" s="56">
        <v>42823</v>
      </c>
      <c r="D127" t="s">
        <v>1619</v>
      </c>
      <c r="E127" t="s">
        <v>1438</v>
      </c>
      <c r="G127" t="s">
        <v>1603</v>
      </c>
      <c r="H127" t="s">
        <v>1603</v>
      </c>
      <c r="I127" t="s">
        <v>1603</v>
      </c>
      <c r="J127" t="s">
        <v>1603</v>
      </c>
      <c r="K127" t="s">
        <v>1603</v>
      </c>
      <c r="L127">
        <v>6.63</v>
      </c>
      <c r="M127">
        <v>24.03</v>
      </c>
      <c r="N127">
        <v>0</v>
      </c>
      <c r="O127" s="56"/>
      <c r="P127" s="56"/>
      <c r="Q127">
        <v>13717</v>
      </c>
      <c r="R127">
        <v>1</v>
      </c>
      <c r="S127">
        <v>8</v>
      </c>
      <c r="T127">
        <v>4</v>
      </c>
      <c r="U127">
        <v>4</v>
      </c>
      <c r="V127">
        <v>1</v>
      </c>
      <c r="W127" t="s">
        <v>1723</v>
      </c>
      <c r="X127" t="s">
        <v>1727</v>
      </c>
      <c r="AA127">
        <v>2.0699999999999998</v>
      </c>
      <c r="AB127">
        <v>25</v>
      </c>
      <c r="AC127">
        <v>9.66</v>
      </c>
      <c r="AD127">
        <v>9.3000000000000007</v>
      </c>
      <c r="AE127">
        <v>0</v>
      </c>
      <c r="AF127">
        <v>0</v>
      </c>
      <c r="AG127">
        <v>0</v>
      </c>
      <c r="AJ127" s="56">
        <v>42666</v>
      </c>
      <c r="AK127" s="56"/>
      <c r="AL127" s="56"/>
      <c r="AP127" t="s">
        <v>1604</v>
      </c>
      <c r="AR127">
        <v>40</v>
      </c>
      <c r="AS127" t="s">
        <v>1605</v>
      </c>
      <c r="AT127">
        <v>1</v>
      </c>
      <c r="AV127">
        <v>80</v>
      </c>
      <c r="AW127">
        <v>53</v>
      </c>
      <c r="AX127">
        <v>26</v>
      </c>
      <c r="AY127" t="s">
        <v>1735</v>
      </c>
      <c r="AZ127" t="s">
        <v>1735</v>
      </c>
      <c r="BA127">
        <v>384</v>
      </c>
      <c r="BD127">
        <v>1000000000</v>
      </c>
      <c r="BE127">
        <v>77</v>
      </c>
      <c r="BF127">
        <v>0.04</v>
      </c>
      <c r="BG127">
        <v>0</v>
      </c>
      <c r="BH127">
        <v>0</v>
      </c>
      <c r="BI127">
        <v>0</v>
      </c>
      <c r="BJ127">
        <v>0</v>
      </c>
      <c r="BK127">
        <v>0</v>
      </c>
      <c r="BL127">
        <v>0</v>
      </c>
      <c r="BM127">
        <v>77</v>
      </c>
      <c r="BN127">
        <v>0.04</v>
      </c>
      <c r="BO127">
        <v>0</v>
      </c>
      <c r="BP127">
        <v>0</v>
      </c>
      <c r="BR127">
        <v>0</v>
      </c>
      <c r="BS127">
        <v>40</v>
      </c>
      <c r="BX127">
        <v>0</v>
      </c>
      <c r="BY127">
        <v>0</v>
      </c>
      <c r="BZ127">
        <v>0</v>
      </c>
      <c r="CA127">
        <v>15.75</v>
      </c>
      <c r="CC127">
        <v>1</v>
      </c>
      <c r="CD127" s="56">
        <v>42709</v>
      </c>
      <c r="CE127" s="56">
        <v>42767</v>
      </c>
      <c r="CF127" s="56">
        <v>42767</v>
      </c>
      <c r="CG127" s="56">
        <v>42823</v>
      </c>
      <c r="CH127" s="56"/>
      <c r="CI127" s="56"/>
      <c r="CJ127">
        <v>0</v>
      </c>
      <c r="CK127">
        <v>0</v>
      </c>
      <c r="CL127">
        <v>0</v>
      </c>
      <c r="CM127">
        <v>0</v>
      </c>
      <c r="CN127">
        <v>0</v>
      </c>
      <c r="CO127">
        <v>0.05</v>
      </c>
      <c r="CP127">
        <v>0</v>
      </c>
      <c r="CQ127" t="s">
        <v>1618</v>
      </c>
      <c r="CR127" t="s">
        <v>1368</v>
      </c>
      <c r="CS127" t="s">
        <v>1728</v>
      </c>
      <c r="CT127" t="s">
        <v>1724</v>
      </c>
      <c r="CU127" t="s">
        <v>1729</v>
      </c>
      <c r="CV127" t="s">
        <v>1972</v>
      </c>
      <c r="DB127" t="s">
        <v>1935</v>
      </c>
      <c r="DE127" t="s">
        <v>1724</v>
      </c>
    </row>
    <row r="128" spans="1:109" x14ac:dyDescent="0.25">
      <c r="A128" t="s">
        <v>1618</v>
      </c>
      <c r="B128">
        <v>1</v>
      </c>
      <c r="C128" s="56">
        <v>42823</v>
      </c>
      <c r="D128" t="s">
        <v>1619</v>
      </c>
      <c r="E128" t="s">
        <v>1439</v>
      </c>
      <c r="G128" t="s">
        <v>1603</v>
      </c>
      <c r="H128" t="s">
        <v>1603</v>
      </c>
      <c r="I128" t="s">
        <v>1603</v>
      </c>
      <c r="J128" t="s">
        <v>1603</v>
      </c>
      <c r="K128" t="s">
        <v>1603</v>
      </c>
      <c r="L128">
        <v>3.86</v>
      </c>
      <c r="M128">
        <v>16.899999999999999</v>
      </c>
      <c r="N128">
        <v>0</v>
      </c>
      <c r="O128" s="56"/>
      <c r="P128" s="56"/>
      <c r="Q128">
        <v>13717</v>
      </c>
      <c r="R128">
        <v>1</v>
      </c>
      <c r="S128">
        <v>8</v>
      </c>
      <c r="T128">
        <v>4</v>
      </c>
      <c r="U128">
        <v>4</v>
      </c>
      <c r="V128">
        <v>1</v>
      </c>
      <c r="W128" t="s">
        <v>1723</v>
      </c>
      <c r="X128" t="s">
        <v>1749</v>
      </c>
      <c r="Z128" t="s">
        <v>1734</v>
      </c>
      <c r="AA128">
        <v>0.39</v>
      </c>
      <c r="AB128">
        <v>5</v>
      </c>
      <c r="AC128">
        <v>12.82</v>
      </c>
      <c r="AD128">
        <v>7.05</v>
      </c>
      <c r="AE128">
        <v>0</v>
      </c>
      <c r="AF128">
        <v>0</v>
      </c>
      <c r="AG128">
        <v>0</v>
      </c>
      <c r="AJ128" s="56">
        <v>42666</v>
      </c>
      <c r="AK128" s="56"/>
      <c r="AL128" s="56"/>
      <c r="AP128" t="s">
        <v>1604</v>
      </c>
      <c r="AR128">
        <v>40</v>
      </c>
      <c r="AS128" t="s">
        <v>1605</v>
      </c>
      <c r="AT128">
        <v>1</v>
      </c>
      <c r="AV128">
        <v>20</v>
      </c>
      <c r="AW128">
        <v>13</v>
      </c>
      <c r="AX128">
        <v>7</v>
      </c>
      <c r="AY128" t="s">
        <v>1620</v>
      </c>
      <c r="AZ128" t="s">
        <v>1620</v>
      </c>
      <c r="BA128">
        <v>25</v>
      </c>
      <c r="BD128">
        <v>1000000000</v>
      </c>
      <c r="BE128">
        <v>11</v>
      </c>
      <c r="BF128">
        <v>0.45</v>
      </c>
      <c r="BG128">
        <v>0</v>
      </c>
      <c r="BH128">
        <v>0</v>
      </c>
      <c r="BI128">
        <v>0</v>
      </c>
      <c r="BJ128">
        <v>0</v>
      </c>
      <c r="BK128">
        <v>0</v>
      </c>
      <c r="BL128">
        <v>0</v>
      </c>
      <c r="BM128">
        <v>11</v>
      </c>
      <c r="BN128">
        <v>0.45</v>
      </c>
      <c r="BO128">
        <v>0</v>
      </c>
      <c r="BP128">
        <v>0</v>
      </c>
      <c r="BR128">
        <v>0</v>
      </c>
      <c r="BS128">
        <v>10</v>
      </c>
      <c r="BX128">
        <v>0</v>
      </c>
      <c r="BY128">
        <v>0</v>
      </c>
      <c r="BZ128">
        <v>0</v>
      </c>
      <c r="CA128">
        <v>20.27</v>
      </c>
      <c r="CC128">
        <v>1</v>
      </c>
      <c r="CD128" s="56">
        <v>42761</v>
      </c>
      <c r="CE128" s="56">
        <v>42767</v>
      </c>
      <c r="CF128" s="56">
        <v>42767</v>
      </c>
      <c r="CG128" s="56">
        <v>42823</v>
      </c>
      <c r="CH128" s="56"/>
      <c r="CI128" s="56"/>
      <c r="CJ128">
        <v>0</v>
      </c>
      <c r="CK128">
        <v>0</v>
      </c>
      <c r="CL128">
        <v>0</v>
      </c>
      <c r="CM128">
        <v>0</v>
      </c>
      <c r="CN128">
        <v>0.05</v>
      </c>
      <c r="CO128">
        <v>0</v>
      </c>
      <c r="CP128">
        <v>0</v>
      </c>
      <c r="CQ128" t="s">
        <v>1618</v>
      </c>
      <c r="CR128" t="s">
        <v>1368</v>
      </c>
      <c r="CS128" t="s">
        <v>1728</v>
      </c>
      <c r="CT128" t="s">
        <v>1724</v>
      </c>
      <c r="CU128" t="s">
        <v>1729</v>
      </c>
      <c r="CV128" t="s">
        <v>1973</v>
      </c>
      <c r="DB128" t="s">
        <v>1935</v>
      </c>
      <c r="DE128" t="s">
        <v>1724</v>
      </c>
    </row>
    <row r="129" spans="1:109" x14ac:dyDescent="0.25">
      <c r="A129" t="s">
        <v>1618</v>
      </c>
      <c r="B129">
        <v>1</v>
      </c>
      <c r="C129" s="56">
        <v>42823</v>
      </c>
      <c r="D129" t="s">
        <v>1619</v>
      </c>
      <c r="E129" t="s">
        <v>1440</v>
      </c>
      <c r="G129" t="s">
        <v>1603</v>
      </c>
      <c r="H129" t="s">
        <v>1603</v>
      </c>
      <c r="I129" t="s">
        <v>1603</v>
      </c>
      <c r="J129" t="s">
        <v>1603</v>
      </c>
      <c r="K129" t="s">
        <v>1603</v>
      </c>
      <c r="L129">
        <v>4.83</v>
      </c>
      <c r="M129">
        <v>20.420000000000002</v>
      </c>
      <c r="N129">
        <v>0</v>
      </c>
      <c r="O129" s="56"/>
      <c r="P129" s="56"/>
      <c r="Q129">
        <v>13717</v>
      </c>
      <c r="R129">
        <v>1</v>
      </c>
      <c r="S129">
        <v>8</v>
      </c>
      <c r="T129">
        <v>4</v>
      </c>
      <c r="U129">
        <v>4</v>
      </c>
      <c r="V129">
        <v>1</v>
      </c>
      <c r="W129" t="s">
        <v>1723</v>
      </c>
      <c r="X129" t="s">
        <v>1727</v>
      </c>
      <c r="AA129">
        <v>2.15</v>
      </c>
      <c r="AB129">
        <v>26</v>
      </c>
      <c r="AC129">
        <v>5.81</v>
      </c>
      <c r="AD129">
        <v>4.1900000000000004</v>
      </c>
      <c r="AE129">
        <v>0</v>
      </c>
      <c r="AF129">
        <v>0</v>
      </c>
      <c r="AG129">
        <v>0</v>
      </c>
      <c r="AJ129" s="56"/>
      <c r="AK129" s="56"/>
      <c r="AL129" s="56"/>
      <c r="AP129" t="s">
        <v>1604</v>
      </c>
      <c r="AR129">
        <v>40</v>
      </c>
      <c r="AS129" t="s">
        <v>1605</v>
      </c>
      <c r="AT129">
        <v>1</v>
      </c>
      <c r="AV129">
        <v>50</v>
      </c>
      <c r="AW129">
        <v>33</v>
      </c>
      <c r="AX129">
        <v>17</v>
      </c>
      <c r="AY129" t="s">
        <v>1735</v>
      </c>
      <c r="AZ129" t="s">
        <v>1735</v>
      </c>
      <c r="BA129">
        <v>48</v>
      </c>
      <c r="BD129">
        <v>1000000000</v>
      </c>
      <c r="BE129">
        <v>36</v>
      </c>
      <c r="BF129">
        <v>0.28000000000000003</v>
      </c>
      <c r="BG129">
        <v>0</v>
      </c>
      <c r="BH129">
        <v>0</v>
      </c>
      <c r="BI129">
        <v>0</v>
      </c>
      <c r="BJ129">
        <v>0</v>
      </c>
      <c r="BK129">
        <v>0</v>
      </c>
      <c r="BL129">
        <v>0</v>
      </c>
      <c r="BM129">
        <v>36</v>
      </c>
      <c r="BN129">
        <v>0.28000000000000003</v>
      </c>
      <c r="BO129">
        <v>0</v>
      </c>
      <c r="BP129">
        <v>0</v>
      </c>
      <c r="BR129">
        <v>0</v>
      </c>
      <c r="BS129">
        <v>25</v>
      </c>
      <c r="BX129">
        <v>0</v>
      </c>
      <c r="BY129">
        <v>0</v>
      </c>
      <c r="BZ129">
        <v>0</v>
      </c>
      <c r="CA129">
        <v>19.37</v>
      </c>
      <c r="CC129">
        <v>1</v>
      </c>
      <c r="CD129" s="56">
        <v>42709</v>
      </c>
      <c r="CE129" s="56">
        <v>42767</v>
      </c>
      <c r="CF129" s="56">
        <v>42767</v>
      </c>
      <c r="CG129" s="56">
        <v>42823</v>
      </c>
      <c r="CH129" s="56"/>
      <c r="CI129" s="56"/>
      <c r="CJ129">
        <v>0</v>
      </c>
      <c r="CK129">
        <v>0</v>
      </c>
      <c r="CL129">
        <v>0</v>
      </c>
      <c r="CM129">
        <v>0</v>
      </c>
      <c r="CN129">
        <v>0</v>
      </c>
      <c r="CO129">
        <v>0.05</v>
      </c>
      <c r="CP129">
        <v>0</v>
      </c>
      <c r="CQ129" t="s">
        <v>1618</v>
      </c>
      <c r="CR129" t="s">
        <v>1368</v>
      </c>
      <c r="CS129" t="s">
        <v>1728</v>
      </c>
      <c r="CT129" t="s">
        <v>1724</v>
      </c>
      <c r="CU129" t="s">
        <v>1729</v>
      </c>
      <c r="CV129" t="s">
        <v>1974</v>
      </c>
      <c r="DB129" t="s">
        <v>1935</v>
      </c>
      <c r="DE129" t="s">
        <v>1724</v>
      </c>
    </row>
    <row r="130" spans="1:109" x14ac:dyDescent="0.25">
      <c r="A130" t="s">
        <v>1618</v>
      </c>
      <c r="B130">
        <v>1</v>
      </c>
      <c r="C130" s="56">
        <v>42823</v>
      </c>
      <c r="D130" t="s">
        <v>1619</v>
      </c>
      <c r="E130" t="s">
        <v>1389</v>
      </c>
      <c r="G130" t="s">
        <v>1603</v>
      </c>
      <c r="H130" t="s">
        <v>1603</v>
      </c>
      <c r="I130" t="s">
        <v>1603</v>
      </c>
      <c r="J130" t="s">
        <v>1603</v>
      </c>
      <c r="K130" t="s">
        <v>1603</v>
      </c>
      <c r="L130">
        <v>6.01</v>
      </c>
      <c r="M130">
        <v>27.3</v>
      </c>
      <c r="N130">
        <v>0</v>
      </c>
      <c r="O130" s="56"/>
      <c r="P130" s="56"/>
      <c r="Q130">
        <v>13717</v>
      </c>
      <c r="R130">
        <v>1</v>
      </c>
      <c r="S130">
        <v>8</v>
      </c>
      <c r="T130">
        <v>4</v>
      </c>
      <c r="U130">
        <v>4</v>
      </c>
      <c r="V130">
        <v>1</v>
      </c>
      <c r="W130" t="s">
        <v>1723</v>
      </c>
      <c r="X130" t="s">
        <v>1727</v>
      </c>
      <c r="AA130">
        <v>2.0699999999999998</v>
      </c>
      <c r="AB130">
        <v>25</v>
      </c>
      <c r="AC130">
        <v>9.06</v>
      </c>
      <c r="AD130">
        <v>3.02</v>
      </c>
      <c r="AE130">
        <v>0</v>
      </c>
      <c r="AF130">
        <v>0</v>
      </c>
      <c r="AG130">
        <v>0</v>
      </c>
      <c r="AJ130" s="56"/>
      <c r="AK130" s="56"/>
      <c r="AL130" s="56"/>
      <c r="AP130" t="s">
        <v>1604</v>
      </c>
      <c r="AR130">
        <v>40</v>
      </c>
      <c r="AS130" t="s">
        <v>1605</v>
      </c>
      <c r="AT130">
        <v>1</v>
      </c>
      <c r="AV130">
        <v>75</v>
      </c>
      <c r="AW130">
        <v>50</v>
      </c>
      <c r="AX130">
        <v>25</v>
      </c>
      <c r="AY130" t="s">
        <v>1621</v>
      </c>
      <c r="AZ130" t="s">
        <v>1621</v>
      </c>
      <c r="BA130">
        <v>72</v>
      </c>
      <c r="BD130">
        <v>1000000000</v>
      </c>
      <c r="BE130">
        <v>25</v>
      </c>
      <c r="BF130">
        <v>0.67</v>
      </c>
      <c r="BG130">
        <v>0</v>
      </c>
      <c r="BH130">
        <v>0</v>
      </c>
      <c r="BI130">
        <v>0</v>
      </c>
      <c r="BJ130">
        <v>0</v>
      </c>
      <c r="BK130">
        <v>0</v>
      </c>
      <c r="BL130">
        <v>0</v>
      </c>
      <c r="BM130">
        <v>25</v>
      </c>
      <c r="BN130">
        <v>0.67</v>
      </c>
      <c r="BO130">
        <v>0</v>
      </c>
      <c r="BP130">
        <v>0</v>
      </c>
      <c r="BR130">
        <v>40</v>
      </c>
      <c r="BS130">
        <v>38</v>
      </c>
      <c r="BX130">
        <v>0</v>
      </c>
      <c r="BY130">
        <v>0</v>
      </c>
      <c r="BZ130">
        <v>0</v>
      </c>
      <c r="CA130">
        <v>21.25</v>
      </c>
      <c r="CC130">
        <v>1</v>
      </c>
      <c r="CD130" s="56">
        <v>42709</v>
      </c>
      <c r="CE130" s="56">
        <v>42767</v>
      </c>
      <c r="CF130" s="56">
        <v>42767</v>
      </c>
      <c r="CG130" s="56">
        <v>42823</v>
      </c>
      <c r="CH130" s="56"/>
      <c r="CI130" s="56"/>
      <c r="CJ130">
        <v>0</v>
      </c>
      <c r="CK130">
        <v>0</v>
      </c>
      <c r="CL130">
        <v>0</v>
      </c>
      <c r="CM130">
        <v>0.05</v>
      </c>
      <c r="CN130">
        <v>0</v>
      </c>
      <c r="CO130">
        <v>0</v>
      </c>
      <c r="CP130">
        <v>0</v>
      </c>
      <c r="CQ130" t="s">
        <v>1618</v>
      </c>
      <c r="CR130" t="s">
        <v>1368</v>
      </c>
      <c r="CS130" t="s">
        <v>1728</v>
      </c>
      <c r="CT130" t="s">
        <v>1724</v>
      </c>
      <c r="CU130" t="s">
        <v>1729</v>
      </c>
      <c r="CV130" t="s">
        <v>1975</v>
      </c>
      <c r="DB130" t="s">
        <v>1935</v>
      </c>
      <c r="DE130" t="s">
        <v>1724</v>
      </c>
    </row>
    <row r="131" spans="1:109" x14ac:dyDescent="0.25">
      <c r="A131" t="s">
        <v>1618</v>
      </c>
      <c r="B131">
        <v>1</v>
      </c>
      <c r="C131" s="56">
        <v>42823</v>
      </c>
      <c r="D131" t="s">
        <v>1619</v>
      </c>
      <c r="E131" t="s">
        <v>1441</v>
      </c>
      <c r="G131" t="s">
        <v>1603</v>
      </c>
      <c r="H131" t="s">
        <v>1603</v>
      </c>
      <c r="I131" t="s">
        <v>1603</v>
      </c>
      <c r="J131" t="s">
        <v>1603</v>
      </c>
      <c r="K131" t="s">
        <v>1603</v>
      </c>
      <c r="L131">
        <v>6.44</v>
      </c>
      <c r="M131">
        <v>32.89</v>
      </c>
      <c r="N131">
        <v>0</v>
      </c>
      <c r="O131" s="56"/>
      <c r="P131" s="56"/>
      <c r="Q131">
        <v>13717</v>
      </c>
      <c r="R131">
        <v>1</v>
      </c>
      <c r="S131">
        <v>8</v>
      </c>
      <c r="T131">
        <v>4</v>
      </c>
      <c r="U131">
        <v>4</v>
      </c>
      <c r="V131">
        <v>1</v>
      </c>
      <c r="X131" t="s">
        <v>1727</v>
      </c>
      <c r="AA131">
        <v>0.82</v>
      </c>
      <c r="AB131">
        <v>10</v>
      </c>
      <c r="AC131">
        <v>7.62</v>
      </c>
      <c r="AD131">
        <v>20.12</v>
      </c>
      <c r="AE131">
        <v>0</v>
      </c>
      <c r="AF131">
        <v>0</v>
      </c>
      <c r="AG131">
        <v>0</v>
      </c>
      <c r="AJ131" s="56">
        <v>42666</v>
      </c>
      <c r="AK131" s="56"/>
      <c r="AL131" s="56"/>
      <c r="AP131" t="s">
        <v>1604</v>
      </c>
      <c r="AR131">
        <v>40</v>
      </c>
      <c r="AS131" t="s">
        <v>1605</v>
      </c>
      <c r="AT131">
        <v>1</v>
      </c>
      <c r="AV131">
        <v>25</v>
      </c>
      <c r="AW131">
        <v>17</v>
      </c>
      <c r="AX131">
        <v>8</v>
      </c>
      <c r="AY131" t="s">
        <v>1754</v>
      </c>
      <c r="AZ131" t="s">
        <v>1754</v>
      </c>
      <c r="BA131">
        <v>24</v>
      </c>
      <c r="BD131">
        <v>1000000000</v>
      </c>
      <c r="BE131">
        <v>66</v>
      </c>
      <c r="BF131">
        <v>-1.64</v>
      </c>
      <c r="BG131">
        <v>0</v>
      </c>
      <c r="BH131">
        <v>0</v>
      </c>
      <c r="BI131">
        <v>0</v>
      </c>
      <c r="BJ131">
        <v>0</v>
      </c>
      <c r="BK131">
        <v>0</v>
      </c>
      <c r="BL131">
        <v>0</v>
      </c>
      <c r="BM131">
        <v>66</v>
      </c>
      <c r="BN131">
        <v>-1.64</v>
      </c>
      <c r="BO131">
        <v>0</v>
      </c>
      <c r="BP131">
        <v>0</v>
      </c>
      <c r="BR131">
        <v>0</v>
      </c>
      <c r="BS131">
        <v>13</v>
      </c>
      <c r="BX131">
        <v>0</v>
      </c>
      <c r="BY131">
        <v>264.04000000000002</v>
      </c>
      <c r="BZ131">
        <v>0</v>
      </c>
      <c r="CA131">
        <v>24.64</v>
      </c>
      <c r="CC131">
        <v>1</v>
      </c>
      <c r="CD131" s="56">
        <v>42709</v>
      </c>
      <c r="CE131" s="56">
        <v>42767</v>
      </c>
      <c r="CF131" s="56">
        <v>42767</v>
      </c>
      <c r="CG131" s="56">
        <v>42823</v>
      </c>
      <c r="CH131" s="56"/>
      <c r="CI131" s="56"/>
      <c r="CJ131">
        <v>0</v>
      </c>
      <c r="CK131">
        <v>0</v>
      </c>
      <c r="CL131">
        <v>0</v>
      </c>
      <c r="CM131">
        <v>0</v>
      </c>
      <c r="CN131">
        <v>0</v>
      </c>
      <c r="CO131">
        <v>0</v>
      </c>
      <c r="CP131">
        <v>0.05</v>
      </c>
      <c r="CQ131" t="s">
        <v>1618</v>
      </c>
      <c r="CR131" t="s">
        <v>1368</v>
      </c>
      <c r="CS131" t="s">
        <v>1728</v>
      </c>
      <c r="CT131" t="s">
        <v>1724</v>
      </c>
      <c r="CU131" t="s">
        <v>1729</v>
      </c>
      <c r="CV131" t="s">
        <v>1976</v>
      </c>
      <c r="DB131" t="s">
        <v>1935</v>
      </c>
      <c r="DE131" t="s">
        <v>1724</v>
      </c>
    </row>
    <row r="132" spans="1:109" x14ac:dyDescent="0.25">
      <c r="A132" t="s">
        <v>1618</v>
      </c>
      <c r="B132">
        <v>1</v>
      </c>
      <c r="C132" s="56">
        <v>42823</v>
      </c>
      <c r="D132" t="s">
        <v>1619</v>
      </c>
      <c r="E132" t="s">
        <v>1442</v>
      </c>
      <c r="G132" t="s">
        <v>1603</v>
      </c>
      <c r="H132" t="s">
        <v>1603</v>
      </c>
      <c r="I132" t="s">
        <v>1603</v>
      </c>
      <c r="J132" t="s">
        <v>1603</v>
      </c>
      <c r="K132" t="s">
        <v>1603</v>
      </c>
      <c r="L132">
        <v>3.94</v>
      </c>
      <c r="M132">
        <v>14.31</v>
      </c>
      <c r="N132">
        <v>0</v>
      </c>
      <c r="O132" s="56"/>
      <c r="P132" s="56"/>
      <c r="Q132">
        <v>13717</v>
      </c>
      <c r="R132">
        <v>1</v>
      </c>
      <c r="S132">
        <v>8</v>
      </c>
      <c r="T132">
        <v>4</v>
      </c>
      <c r="U132">
        <v>4</v>
      </c>
      <c r="V132">
        <v>1</v>
      </c>
      <c r="X132" t="s">
        <v>1727</v>
      </c>
      <c r="AA132">
        <v>0.98</v>
      </c>
      <c r="AB132">
        <v>12</v>
      </c>
      <c r="AC132">
        <v>6.38</v>
      </c>
      <c r="AD132">
        <v>11.48</v>
      </c>
      <c r="AE132">
        <v>0</v>
      </c>
      <c r="AF132">
        <v>0</v>
      </c>
      <c r="AG132">
        <v>0</v>
      </c>
      <c r="AJ132" s="56"/>
      <c r="AK132" s="56"/>
      <c r="AL132" s="56"/>
      <c r="AP132" t="s">
        <v>1604</v>
      </c>
      <c r="AR132">
        <v>40</v>
      </c>
      <c r="AS132" t="s">
        <v>1605</v>
      </c>
      <c r="AT132">
        <v>1</v>
      </c>
      <c r="AV132">
        <v>25</v>
      </c>
      <c r="AW132">
        <v>17</v>
      </c>
      <c r="AX132">
        <v>8</v>
      </c>
      <c r="AY132" t="s">
        <v>1754</v>
      </c>
      <c r="AZ132" t="s">
        <v>1754</v>
      </c>
      <c r="BA132">
        <v>24</v>
      </c>
      <c r="BD132">
        <v>1000000000</v>
      </c>
      <c r="BE132">
        <v>45</v>
      </c>
      <c r="BF132">
        <v>-0.8</v>
      </c>
      <c r="BG132">
        <v>0</v>
      </c>
      <c r="BH132">
        <v>0</v>
      </c>
      <c r="BI132">
        <v>0</v>
      </c>
      <c r="BJ132">
        <v>0</v>
      </c>
      <c r="BK132">
        <v>0</v>
      </c>
      <c r="BL132">
        <v>0</v>
      </c>
      <c r="BM132">
        <v>45</v>
      </c>
      <c r="BN132">
        <v>-0.8</v>
      </c>
      <c r="BO132">
        <v>0</v>
      </c>
      <c r="BP132">
        <v>0</v>
      </c>
      <c r="BR132">
        <v>0</v>
      </c>
      <c r="BS132">
        <v>13</v>
      </c>
      <c r="BX132">
        <v>0</v>
      </c>
      <c r="BY132">
        <v>78.8</v>
      </c>
      <c r="BZ132">
        <v>0</v>
      </c>
      <c r="CA132">
        <v>15.79</v>
      </c>
      <c r="CC132">
        <v>1</v>
      </c>
      <c r="CD132" s="56">
        <v>42709</v>
      </c>
      <c r="CE132" s="56">
        <v>42767</v>
      </c>
      <c r="CF132" s="56">
        <v>42767</v>
      </c>
      <c r="CG132" s="56">
        <v>42823</v>
      </c>
      <c r="CH132" s="56"/>
      <c r="CI132" s="56"/>
      <c r="CJ132">
        <v>0</v>
      </c>
      <c r="CK132">
        <v>0</v>
      </c>
      <c r="CL132">
        <v>0</v>
      </c>
      <c r="CM132">
        <v>0</v>
      </c>
      <c r="CN132">
        <v>0</v>
      </c>
      <c r="CO132">
        <v>0</v>
      </c>
      <c r="CP132">
        <v>0.05</v>
      </c>
      <c r="CQ132" t="s">
        <v>1618</v>
      </c>
      <c r="CR132" t="s">
        <v>1368</v>
      </c>
      <c r="CS132" t="s">
        <v>1728</v>
      </c>
      <c r="CT132" t="s">
        <v>1724</v>
      </c>
      <c r="CU132" t="s">
        <v>1729</v>
      </c>
      <c r="CV132" t="s">
        <v>1977</v>
      </c>
      <c r="DB132" t="s">
        <v>1935</v>
      </c>
      <c r="DE132" t="s">
        <v>1724</v>
      </c>
    </row>
    <row r="133" spans="1:109" x14ac:dyDescent="0.25">
      <c r="A133" t="s">
        <v>1618</v>
      </c>
      <c r="B133">
        <v>1</v>
      </c>
      <c r="C133" s="56">
        <v>42823</v>
      </c>
      <c r="D133" t="s">
        <v>1619</v>
      </c>
      <c r="E133" t="s">
        <v>1443</v>
      </c>
      <c r="G133" t="s">
        <v>1603</v>
      </c>
      <c r="H133" t="s">
        <v>1603</v>
      </c>
      <c r="I133" t="s">
        <v>1603</v>
      </c>
      <c r="J133" t="s">
        <v>1603</v>
      </c>
      <c r="K133" t="s">
        <v>1603</v>
      </c>
      <c r="L133">
        <v>4.47</v>
      </c>
      <c r="M133">
        <v>17.3</v>
      </c>
      <c r="N133">
        <v>0</v>
      </c>
      <c r="O133" s="56"/>
      <c r="P133" s="56"/>
      <c r="Q133">
        <v>13717</v>
      </c>
      <c r="R133">
        <v>1</v>
      </c>
      <c r="S133">
        <v>8</v>
      </c>
      <c r="T133">
        <v>4</v>
      </c>
      <c r="U133">
        <v>4</v>
      </c>
      <c r="V133">
        <v>1</v>
      </c>
      <c r="X133" t="s">
        <v>1727</v>
      </c>
      <c r="AA133">
        <v>1.96</v>
      </c>
      <c r="AB133">
        <v>24</v>
      </c>
      <c r="AC133">
        <v>6.38</v>
      </c>
      <c r="AD133">
        <v>9.44</v>
      </c>
      <c r="AE133">
        <v>0</v>
      </c>
      <c r="AF133">
        <v>0</v>
      </c>
      <c r="AG133">
        <v>0</v>
      </c>
      <c r="AJ133" s="56"/>
      <c r="AK133" s="56"/>
      <c r="AL133" s="56"/>
      <c r="AP133" t="s">
        <v>1604</v>
      </c>
      <c r="AR133">
        <v>40</v>
      </c>
      <c r="AS133" t="s">
        <v>1605</v>
      </c>
      <c r="AT133">
        <v>1</v>
      </c>
      <c r="AV133">
        <v>50</v>
      </c>
      <c r="AW133">
        <v>33</v>
      </c>
      <c r="AX133">
        <v>17</v>
      </c>
      <c r="AY133" t="s">
        <v>1754</v>
      </c>
      <c r="AZ133" t="s">
        <v>1754</v>
      </c>
      <c r="BA133">
        <v>48</v>
      </c>
      <c r="BD133">
        <v>1000000000</v>
      </c>
      <c r="BE133">
        <v>74</v>
      </c>
      <c r="BF133">
        <v>-0.48</v>
      </c>
      <c r="BG133">
        <v>0</v>
      </c>
      <c r="BH133">
        <v>0</v>
      </c>
      <c r="BI133">
        <v>0</v>
      </c>
      <c r="BJ133">
        <v>0</v>
      </c>
      <c r="BK133">
        <v>0</v>
      </c>
      <c r="BL133">
        <v>0</v>
      </c>
      <c r="BM133">
        <v>74</v>
      </c>
      <c r="BN133">
        <v>-0.48</v>
      </c>
      <c r="BO133">
        <v>0</v>
      </c>
      <c r="BP133">
        <v>0</v>
      </c>
      <c r="BR133">
        <v>0</v>
      </c>
      <c r="BS133">
        <v>25</v>
      </c>
      <c r="BX133">
        <v>0</v>
      </c>
      <c r="BY133">
        <v>107.28</v>
      </c>
      <c r="BZ133">
        <v>0</v>
      </c>
      <c r="CA133">
        <v>17.22</v>
      </c>
      <c r="CC133">
        <v>1</v>
      </c>
      <c r="CD133" s="56">
        <v>42709</v>
      </c>
      <c r="CE133" s="56">
        <v>42767</v>
      </c>
      <c r="CF133" s="56">
        <v>42767</v>
      </c>
      <c r="CG133" s="56">
        <v>42823</v>
      </c>
      <c r="CH133" s="56"/>
      <c r="CI133" s="56"/>
      <c r="CJ133">
        <v>0</v>
      </c>
      <c r="CK133">
        <v>0</v>
      </c>
      <c r="CL133">
        <v>0</v>
      </c>
      <c r="CM133">
        <v>0</v>
      </c>
      <c r="CN133">
        <v>0</v>
      </c>
      <c r="CO133">
        <v>0</v>
      </c>
      <c r="CP133">
        <v>0.05</v>
      </c>
      <c r="CQ133" t="s">
        <v>1618</v>
      </c>
      <c r="CR133" t="s">
        <v>1368</v>
      </c>
      <c r="CS133" t="s">
        <v>1728</v>
      </c>
      <c r="CT133" t="s">
        <v>1724</v>
      </c>
      <c r="CU133" t="s">
        <v>1729</v>
      </c>
      <c r="CV133" t="s">
        <v>1978</v>
      </c>
      <c r="DB133" t="s">
        <v>1935</v>
      </c>
      <c r="DE133" t="s">
        <v>1724</v>
      </c>
    </row>
    <row r="134" spans="1:109" x14ac:dyDescent="0.25">
      <c r="A134" t="s">
        <v>1618</v>
      </c>
      <c r="B134">
        <v>1</v>
      </c>
      <c r="C134" s="56">
        <v>42823</v>
      </c>
      <c r="D134" t="s">
        <v>1619</v>
      </c>
      <c r="E134" t="s">
        <v>1444</v>
      </c>
      <c r="G134" t="s">
        <v>1603</v>
      </c>
      <c r="H134" t="s">
        <v>1603</v>
      </c>
      <c r="I134" t="s">
        <v>1603</v>
      </c>
      <c r="J134" t="s">
        <v>1603</v>
      </c>
      <c r="K134" t="s">
        <v>1603</v>
      </c>
      <c r="L134">
        <v>5.73</v>
      </c>
      <c r="M134">
        <v>22.8</v>
      </c>
      <c r="N134">
        <v>0</v>
      </c>
      <c r="O134" s="56"/>
      <c r="P134" s="56"/>
      <c r="Q134">
        <v>13717</v>
      </c>
      <c r="R134">
        <v>1</v>
      </c>
      <c r="S134">
        <v>8</v>
      </c>
      <c r="T134">
        <v>4</v>
      </c>
      <c r="U134">
        <v>4</v>
      </c>
      <c r="V134">
        <v>1</v>
      </c>
      <c r="X134" t="s">
        <v>1727</v>
      </c>
      <c r="Z134" t="s">
        <v>1734</v>
      </c>
      <c r="AA134">
        <v>0.59</v>
      </c>
      <c r="AB134">
        <v>8</v>
      </c>
      <c r="AC134">
        <v>31.78</v>
      </c>
      <c r="AD134">
        <v>33.9</v>
      </c>
      <c r="AE134">
        <v>0</v>
      </c>
      <c r="AF134">
        <v>0</v>
      </c>
      <c r="AG134">
        <v>0</v>
      </c>
      <c r="AJ134" s="56"/>
      <c r="AK134" s="56"/>
      <c r="AL134" s="56"/>
      <c r="AP134" t="s">
        <v>1604</v>
      </c>
      <c r="AR134">
        <v>40</v>
      </c>
      <c r="AS134" t="s">
        <v>1605</v>
      </c>
      <c r="AT134">
        <v>1</v>
      </c>
      <c r="AV134">
        <v>75</v>
      </c>
      <c r="AW134">
        <v>50</v>
      </c>
      <c r="AX134">
        <v>25</v>
      </c>
      <c r="AY134" t="s">
        <v>1754</v>
      </c>
      <c r="AZ134" t="s">
        <v>1754</v>
      </c>
      <c r="BA134">
        <v>72</v>
      </c>
      <c r="BD134">
        <v>1000000000</v>
      </c>
      <c r="BE134">
        <v>80</v>
      </c>
      <c r="BF134">
        <v>-7.0000000000000007E-2</v>
      </c>
      <c r="BG134">
        <v>0</v>
      </c>
      <c r="BH134">
        <v>0</v>
      </c>
      <c r="BI134">
        <v>0</v>
      </c>
      <c r="BJ134">
        <v>0</v>
      </c>
      <c r="BK134">
        <v>0</v>
      </c>
      <c r="BL134">
        <v>0</v>
      </c>
      <c r="BM134">
        <v>80</v>
      </c>
      <c r="BN134">
        <v>-7.0000000000000007E-2</v>
      </c>
      <c r="BO134">
        <v>0</v>
      </c>
      <c r="BP134">
        <v>0</v>
      </c>
      <c r="BR134">
        <v>0</v>
      </c>
      <c r="BS134">
        <v>38</v>
      </c>
      <c r="BX134">
        <v>0</v>
      </c>
      <c r="BY134">
        <v>28.65</v>
      </c>
      <c r="BZ134">
        <v>0</v>
      </c>
      <c r="CA134">
        <v>17.87</v>
      </c>
      <c r="CC134">
        <v>1</v>
      </c>
      <c r="CD134" s="56">
        <v>42709</v>
      </c>
      <c r="CE134" s="56">
        <v>42767</v>
      </c>
      <c r="CF134" s="56">
        <v>42767</v>
      </c>
      <c r="CG134" s="56">
        <v>42823</v>
      </c>
      <c r="CH134" s="56"/>
      <c r="CI134" s="56"/>
      <c r="CJ134">
        <v>0</v>
      </c>
      <c r="CK134">
        <v>0</v>
      </c>
      <c r="CL134">
        <v>0</v>
      </c>
      <c r="CM134">
        <v>0</v>
      </c>
      <c r="CN134">
        <v>0</v>
      </c>
      <c r="CO134">
        <v>0</v>
      </c>
      <c r="CP134">
        <v>0.05</v>
      </c>
      <c r="CQ134" t="s">
        <v>1618</v>
      </c>
      <c r="CR134" t="s">
        <v>1368</v>
      </c>
      <c r="CS134" t="s">
        <v>1728</v>
      </c>
      <c r="CT134" t="s">
        <v>1724</v>
      </c>
      <c r="CU134" t="s">
        <v>1729</v>
      </c>
      <c r="CV134" t="s">
        <v>1979</v>
      </c>
      <c r="DB134" t="s">
        <v>1935</v>
      </c>
      <c r="DE134" t="s">
        <v>1724</v>
      </c>
    </row>
    <row r="135" spans="1:109" x14ac:dyDescent="0.25">
      <c r="A135" t="s">
        <v>1618</v>
      </c>
      <c r="B135">
        <v>1</v>
      </c>
      <c r="C135" s="56">
        <v>42823</v>
      </c>
      <c r="D135" t="s">
        <v>1619</v>
      </c>
      <c r="E135" t="s">
        <v>1980</v>
      </c>
      <c r="G135" t="s">
        <v>1603</v>
      </c>
      <c r="H135" t="s">
        <v>1603</v>
      </c>
      <c r="I135" t="s">
        <v>1603</v>
      </c>
      <c r="J135" t="s">
        <v>1603</v>
      </c>
      <c r="K135" t="s">
        <v>1603</v>
      </c>
      <c r="L135">
        <v>7.21</v>
      </c>
      <c r="M135">
        <v>27.93</v>
      </c>
      <c r="N135">
        <v>0</v>
      </c>
      <c r="O135" s="56"/>
      <c r="P135" s="56"/>
      <c r="Q135">
        <v>13717</v>
      </c>
      <c r="R135">
        <v>1</v>
      </c>
      <c r="S135">
        <v>8</v>
      </c>
      <c r="T135">
        <v>4</v>
      </c>
      <c r="U135">
        <v>4</v>
      </c>
      <c r="V135">
        <v>1</v>
      </c>
      <c r="X135" t="s">
        <v>1727</v>
      </c>
      <c r="AA135">
        <v>0</v>
      </c>
      <c r="AB135">
        <v>0</v>
      </c>
      <c r="AC135">
        <v>0</v>
      </c>
      <c r="AD135">
        <v>0</v>
      </c>
      <c r="AE135">
        <v>0</v>
      </c>
      <c r="AF135">
        <v>0</v>
      </c>
      <c r="AG135">
        <v>0</v>
      </c>
      <c r="AJ135" s="56"/>
      <c r="AK135" s="56"/>
      <c r="AL135" s="56"/>
      <c r="AP135" t="s">
        <v>1604</v>
      </c>
      <c r="AR135">
        <v>40</v>
      </c>
      <c r="AS135" t="s">
        <v>1605</v>
      </c>
      <c r="AT135">
        <v>1</v>
      </c>
      <c r="AV135">
        <v>25</v>
      </c>
      <c r="AW135">
        <v>17</v>
      </c>
      <c r="AX135">
        <v>8</v>
      </c>
      <c r="AY135" t="s">
        <v>1754</v>
      </c>
      <c r="AZ135" t="s">
        <v>1754</v>
      </c>
      <c r="BA135">
        <v>0</v>
      </c>
      <c r="BD135">
        <v>1000000000</v>
      </c>
      <c r="BE135">
        <v>60</v>
      </c>
      <c r="BF135">
        <v>-1.4</v>
      </c>
      <c r="BG135">
        <v>0</v>
      </c>
      <c r="BH135">
        <v>0</v>
      </c>
      <c r="BI135">
        <v>0</v>
      </c>
      <c r="BJ135">
        <v>0</v>
      </c>
      <c r="BK135">
        <v>0</v>
      </c>
      <c r="BL135">
        <v>0</v>
      </c>
      <c r="BM135">
        <v>60</v>
      </c>
      <c r="BN135">
        <v>-1.4</v>
      </c>
      <c r="BO135">
        <v>0</v>
      </c>
      <c r="BP135">
        <v>0</v>
      </c>
      <c r="BR135">
        <v>0</v>
      </c>
      <c r="BS135">
        <v>13</v>
      </c>
      <c r="BX135">
        <v>0</v>
      </c>
      <c r="BY135">
        <v>252.35</v>
      </c>
      <c r="BZ135">
        <v>0</v>
      </c>
      <c r="CA135">
        <v>17.239999999999998</v>
      </c>
      <c r="CC135">
        <v>1</v>
      </c>
      <c r="CD135" s="56">
        <v>42709</v>
      </c>
      <c r="CE135" s="56">
        <v>42767</v>
      </c>
      <c r="CF135" s="56">
        <v>42767</v>
      </c>
      <c r="CG135" s="56">
        <v>42823</v>
      </c>
      <c r="CH135" s="56"/>
      <c r="CI135" s="56"/>
      <c r="CJ135">
        <v>0</v>
      </c>
      <c r="CK135">
        <v>0</v>
      </c>
      <c r="CL135">
        <v>0</v>
      </c>
      <c r="CM135">
        <v>0</v>
      </c>
      <c r="CN135">
        <v>0</v>
      </c>
      <c r="CO135">
        <v>0</v>
      </c>
      <c r="CP135">
        <v>0.05</v>
      </c>
      <c r="CQ135" t="s">
        <v>1618</v>
      </c>
      <c r="CR135" t="s">
        <v>1368</v>
      </c>
      <c r="CS135" t="s">
        <v>1728</v>
      </c>
      <c r="CT135" t="s">
        <v>1724</v>
      </c>
      <c r="CU135" t="s">
        <v>1729</v>
      </c>
      <c r="CV135" t="s">
        <v>1981</v>
      </c>
      <c r="DB135" t="s">
        <v>1935</v>
      </c>
      <c r="DE135" t="s">
        <v>1724</v>
      </c>
    </row>
    <row r="136" spans="1:109" x14ac:dyDescent="0.25">
      <c r="A136" t="s">
        <v>1618</v>
      </c>
      <c r="B136">
        <v>1</v>
      </c>
      <c r="C136" s="56">
        <v>42823</v>
      </c>
      <c r="D136" t="s">
        <v>1619</v>
      </c>
      <c r="E136" t="s">
        <v>1445</v>
      </c>
      <c r="G136" t="s">
        <v>1603</v>
      </c>
      <c r="H136" t="s">
        <v>1603</v>
      </c>
      <c r="I136" t="s">
        <v>1603</v>
      </c>
      <c r="J136" t="s">
        <v>1603</v>
      </c>
      <c r="K136" t="s">
        <v>1603</v>
      </c>
      <c r="L136">
        <v>3.76</v>
      </c>
      <c r="M136">
        <v>16.899999999999999</v>
      </c>
      <c r="N136">
        <v>0</v>
      </c>
      <c r="O136" s="56"/>
      <c r="P136" s="56"/>
      <c r="Q136">
        <v>13717</v>
      </c>
      <c r="R136">
        <v>1</v>
      </c>
      <c r="S136">
        <v>8</v>
      </c>
      <c r="T136">
        <v>4</v>
      </c>
      <c r="U136">
        <v>4</v>
      </c>
      <c r="V136">
        <v>1</v>
      </c>
      <c r="X136" t="s">
        <v>1727</v>
      </c>
      <c r="AA136">
        <v>0.59</v>
      </c>
      <c r="AB136">
        <v>8</v>
      </c>
      <c r="AC136">
        <v>10.59</v>
      </c>
      <c r="AD136">
        <v>25.85</v>
      </c>
      <c r="AE136">
        <v>0</v>
      </c>
      <c r="AF136">
        <v>0</v>
      </c>
      <c r="AG136">
        <v>0</v>
      </c>
      <c r="AJ136" s="56">
        <v>42666</v>
      </c>
      <c r="AK136" s="56"/>
      <c r="AL136" s="56"/>
      <c r="AP136" t="s">
        <v>1604</v>
      </c>
      <c r="AR136">
        <v>40</v>
      </c>
      <c r="AS136" t="s">
        <v>1605</v>
      </c>
      <c r="AT136">
        <v>1</v>
      </c>
      <c r="AV136">
        <v>25</v>
      </c>
      <c r="AW136">
        <v>17</v>
      </c>
      <c r="AX136">
        <v>8</v>
      </c>
      <c r="AY136" t="s">
        <v>1754</v>
      </c>
      <c r="AZ136" t="s">
        <v>1754</v>
      </c>
      <c r="BA136">
        <v>24</v>
      </c>
      <c r="BD136">
        <v>1000000000</v>
      </c>
      <c r="BE136">
        <v>61</v>
      </c>
      <c r="BF136">
        <v>-1.44</v>
      </c>
      <c r="BG136">
        <v>0</v>
      </c>
      <c r="BH136">
        <v>0</v>
      </c>
      <c r="BI136">
        <v>0</v>
      </c>
      <c r="BJ136">
        <v>0</v>
      </c>
      <c r="BK136">
        <v>0</v>
      </c>
      <c r="BL136">
        <v>0</v>
      </c>
      <c r="BM136">
        <v>61</v>
      </c>
      <c r="BN136">
        <v>-1.44</v>
      </c>
      <c r="BO136">
        <v>0</v>
      </c>
      <c r="BP136">
        <v>0</v>
      </c>
      <c r="BR136">
        <v>0</v>
      </c>
      <c r="BS136">
        <v>13</v>
      </c>
      <c r="BX136">
        <v>0</v>
      </c>
      <c r="BY136">
        <v>135.36000000000001</v>
      </c>
      <c r="BZ136">
        <v>0</v>
      </c>
      <c r="CA136">
        <v>20.97</v>
      </c>
      <c r="CC136">
        <v>1</v>
      </c>
      <c r="CD136" s="56">
        <v>42709</v>
      </c>
      <c r="CE136" s="56">
        <v>42767</v>
      </c>
      <c r="CF136" s="56">
        <v>42767</v>
      </c>
      <c r="CG136" s="56">
        <v>42823</v>
      </c>
      <c r="CH136" s="56"/>
      <c r="CI136" s="56"/>
      <c r="CJ136">
        <v>0</v>
      </c>
      <c r="CK136">
        <v>0</v>
      </c>
      <c r="CL136">
        <v>0</v>
      </c>
      <c r="CM136">
        <v>0</v>
      </c>
      <c r="CN136">
        <v>0</v>
      </c>
      <c r="CO136">
        <v>0</v>
      </c>
      <c r="CP136">
        <v>0.05</v>
      </c>
      <c r="CQ136" t="s">
        <v>1618</v>
      </c>
      <c r="CR136" t="s">
        <v>1368</v>
      </c>
      <c r="CS136" t="s">
        <v>1728</v>
      </c>
      <c r="CT136" t="s">
        <v>1724</v>
      </c>
      <c r="CU136" t="s">
        <v>1729</v>
      </c>
      <c r="CV136" t="s">
        <v>1982</v>
      </c>
      <c r="DB136" t="s">
        <v>1935</v>
      </c>
      <c r="DE136" t="s">
        <v>1724</v>
      </c>
    </row>
    <row r="137" spans="1:109" x14ac:dyDescent="0.25">
      <c r="A137" t="s">
        <v>1618</v>
      </c>
      <c r="B137">
        <v>1</v>
      </c>
      <c r="C137" s="56">
        <v>42823</v>
      </c>
      <c r="D137" t="s">
        <v>1619</v>
      </c>
      <c r="E137" t="s">
        <v>1446</v>
      </c>
      <c r="G137" t="s">
        <v>1603</v>
      </c>
      <c r="H137" t="s">
        <v>1603</v>
      </c>
      <c r="I137" t="s">
        <v>1603</v>
      </c>
      <c r="J137" t="s">
        <v>1603</v>
      </c>
      <c r="K137" t="s">
        <v>1603</v>
      </c>
      <c r="L137">
        <v>4.62</v>
      </c>
      <c r="M137">
        <v>16.66</v>
      </c>
      <c r="N137">
        <v>0</v>
      </c>
      <c r="O137" s="56"/>
      <c r="P137" s="56"/>
      <c r="Q137">
        <v>13717</v>
      </c>
      <c r="R137">
        <v>1</v>
      </c>
      <c r="S137">
        <v>8</v>
      </c>
      <c r="T137">
        <v>4</v>
      </c>
      <c r="U137">
        <v>4</v>
      </c>
      <c r="V137">
        <v>1</v>
      </c>
      <c r="X137" t="s">
        <v>1727</v>
      </c>
      <c r="Z137" t="s">
        <v>1734</v>
      </c>
      <c r="AA137">
        <v>0.78</v>
      </c>
      <c r="AB137">
        <v>10</v>
      </c>
      <c r="AC137">
        <v>16.03</v>
      </c>
      <c r="AD137">
        <v>24.68</v>
      </c>
      <c r="AE137">
        <v>0</v>
      </c>
      <c r="AF137">
        <v>0</v>
      </c>
      <c r="AG137">
        <v>0</v>
      </c>
      <c r="AJ137" s="56"/>
      <c r="AK137" s="56"/>
      <c r="AL137" s="56"/>
      <c r="AP137" t="s">
        <v>1604</v>
      </c>
      <c r="AR137">
        <v>40</v>
      </c>
      <c r="AS137" t="s">
        <v>1605</v>
      </c>
      <c r="AT137">
        <v>1</v>
      </c>
      <c r="AV137">
        <v>50</v>
      </c>
      <c r="AW137">
        <v>33</v>
      </c>
      <c r="AX137">
        <v>17</v>
      </c>
      <c r="AY137" t="s">
        <v>1754</v>
      </c>
      <c r="AZ137" t="s">
        <v>1754</v>
      </c>
      <c r="BA137">
        <v>48</v>
      </c>
      <c r="BD137">
        <v>1000000000</v>
      </c>
      <c r="BE137">
        <v>77</v>
      </c>
      <c r="BF137">
        <v>-0.54</v>
      </c>
      <c r="BG137">
        <v>0</v>
      </c>
      <c r="BH137">
        <v>0</v>
      </c>
      <c r="BI137">
        <v>0</v>
      </c>
      <c r="BJ137">
        <v>0</v>
      </c>
      <c r="BK137">
        <v>0</v>
      </c>
      <c r="BL137">
        <v>0</v>
      </c>
      <c r="BM137">
        <v>77</v>
      </c>
      <c r="BN137">
        <v>-0.54</v>
      </c>
      <c r="BO137">
        <v>0</v>
      </c>
      <c r="BP137">
        <v>0</v>
      </c>
      <c r="BR137">
        <v>0</v>
      </c>
      <c r="BS137">
        <v>25</v>
      </c>
      <c r="BX137">
        <v>0</v>
      </c>
      <c r="BY137">
        <v>124.74</v>
      </c>
      <c r="BZ137">
        <v>0</v>
      </c>
      <c r="CA137">
        <v>15.64</v>
      </c>
      <c r="CC137">
        <v>1</v>
      </c>
      <c r="CD137" s="56">
        <v>42709</v>
      </c>
      <c r="CE137" s="56">
        <v>42767</v>
      </c>
      <c r="CF137" s="56">
        <v>42767</v>
      </c>
      <c r="CG137" s="56">
        <v>42823</v>
      </c>
      <c r="CH137" s="56"/>
      <c r="CI137" s="56"/>
      <c r="CJ137">
        <v>0</v>
      </c>
      <c r="CK137">
        <v>0</v>
      </c>
      <c r="CL137">
        <v>0</v>
      </c>
      <c r="CM137">
        <v>0</v>
      </c>
      <c r="CN137">
        <v>0</v>
      </c>
      <c r="CO137">
        <v>0</v>
      </c>
      <c r="CP137">
        <v>0.05</v>
      </c>
      <c r="CQ137" t="s">
        <v>1618</v>
      </c>
      <c r="CR137" t="s">
        <v>1368</v>
      </c>
      <c r="CS137" t="s">
        <v>1728</v>
      </c>
      <c r="CT137" t="s">
        <v>1724</v>
      </c>
      <c r="CU137" t="s">
        <v>1729</v>
      </c>
      <c r="CV137" t="s">
        <v>1983</v>
      </c>
      <c r="DB137" t="s">
        <v>1935</v>
      </c>
      <c r="DE137" t="s">
        <v>1724</v>
      </c>
    </row>
    <row r="138" spans="1:109" x14ac:dyDescent="0.25">
      <c r="A138" t="s">
        <v>1618</v>
      </c>
      <c r="B138">
        <v>1</v>
      </c>
      <c r="C138" s="56">
        <v>42823</v>
      </c>
      <c r="D138" t="s">
        <v>1619</v>
      </c>
      <c r="E138" t="s">
        <v>1447</v>
      </c>
      <c r="G138" t="s">
        <v>1603</v>
      </c>
      <c r="H138" t="s">
        <v>1603</v>
      </c>
      <c r="I138" t="s">
        <v>1603</v>
      </c>
      <c r="J138" t="s">
        <v>1603</v>
      </c>
      <c r="K138" t="s">
        <v>1603</v>
      </c>
      <c r="L138">
        <v>5.43</v>
      </c>
      <c r="M138">
        <v>22.8</v>
      </c>
      <c r="N138">
        <v>0</v>
      </c>
      <c r="O138" s="56"/>
      <c r="P138" s="56"/>
      <c r="Q138">
        <v>13717</v>
      </c>
      <c r="R138">
        <v>1</v>
      </c>
      <c r="S138">
        <v>8</v>
      </c>
      <c r="T138">
        <v>4</v>
      </c>
      <c r="U138">
        <v>4</v>
      </c>
      <c r="V138">
        <v>1</v>
      </c>
      <c r="W138" t="s">
        <v>1723</v>
      </c>
      <c r="X138" t="s">
        <v>1749</v>
      </c>
      <c r="AA138">
        <v>1.56</v>
      </c>
      <c r="AB138">
        <v>19</v>
      </c>
      <c r="AC138">
        <v>9.6199999999999992</v>
      </c>
      <c r="AD138">
        <v>9.6199999999999992</v>
      </c>
      <c r="AE138">
        <v>0</v>
      </c>
      <c r="AF138">
        <v>0</v>
      </c>
      <c r="AG138">
        <v>0</v>
      </c>
      <c r="AJ138" s="56"/>
      <c r="AK138" s="56"/>
      <c r="AL138" s="56"/>
      <c r="AP138" t="s">
        <v>1604</v>
      </c>
      <c r="AR138">
        <v>40</v>
      </c>
      <c r="AS138" t="s">
        <v>1605</v>
      </c>
      <c r="AT138">
        <v>1</v>
      </c>
      <c r="AV138">
        <v>60</v>
      </c>
      <c r="AW138">
        <v>40</v>
      </c>
      <c r="AX138">
        <v>20</v>
      </c>
      <c r="AY138" t="s">
        <v>1735</v>
      </c>
      <c r="AZ138" t="s">
        <v>1735</v>
      </c>
      <c r="BA138">
        <v>75</v>
      </c>
      <c r="BD138">
        <v>1000000000</v>
      </c>
      <c r="BE138">
        <v>60</v>
      </c>
      <c r="BF138">
        <v>0</v>
      </c>
      <c r="BG138">
        <v>0</v>
      </c>
      <c r="BH138">
        <v>0</v>
      </c>
      <c r="BI138">
        <v>0</v>
      </c>
      <c r="BJ138">
        <v>0</v>
      </c>
      <c r="BK138">
        <v>0</v>
      </c>
      <c r="BL138">
        <v>0</v>
      </c>
      <c r="BM138">
        <v>60</v>
      </c>
      <c r="BN138">
        <v>0</v>
      </c>
      <c r="BO138">
        <v>0</v>
      </c>
      <c r="BP138">
        <v>0</v>
      </c>
      <c r="BR138">
        <v>0</v>
      </c>
      <c r="BS138">
        <v>30</v>
      </c>
      <c r="BX138">
        <v>0</v>
      </c>
      <c r="BY138">
        <v>0</v>
      </c>
      <c r="BZ138">
        <v>0</v>
      </c>
      <c r="CA138">
        <v>19.190000000000001</v>
      </c>
      <c r="CC138">
        <v>1</v>
      </c>
      <c r="CD138" s="56">
        <v>42761</v>
      </c>
      <c r="CE138" s="56">
        <v>42767</v>
      </c>
      <c r="CF138" s="56">
        <v>42767</v>
      </c>
      <c r="CG138" s="56">
        <v>42823</v>
      </c>
      <c r="CH138" s="56"/>
      <c r="CI138" s="56"/>
      <c r="CJ138">
        <v>0</v>
      </c>
      <c r="CK138">
        <v>0</v>
      </c>
      <c r="CL138">
        <v>0</v>
      </c>
      <c r="CM138">
        <v>0</v>
      </c>
      <c r="CN138">
        <v>0</v>
      </c>
      <c r="CO138">
        <v>0.05</v>
      </c>
      <c r="CP138">
        <v>0</v>
      </c>
      <c r="CQ138" t="s">
        <v>1618</v>
      </c>
      <c r="CR138" t="s">
        <v>1368</v>
      </c>
      <c r="CS138" t="s">
        <v>1728</v>
      </c>
      <c r="CT138" t="s">
        <v>1724</v>
      </c>
      <c r="CU138" t="s">
        <v>1729</v>
      </c>
      <c r="CV138" t="s">
        <v>1984</v>
      </c>
      <c r="DB138" t="s">
        <v>1935</v>
      </c>
      <c r="DE138" t="s">
        <v>1724</v>
      </c>
    </row>
    <row r="139" spans="1:109" x14ac:dyDescent="0.25">
      <c r="A139" t="s">
        <v>1618</v>
      </c>
      <c r="B139">
        <v>1</v>
      </c>
      <c r="C139" s="56">
        <v>42823</v>
      </c>
      <c r="D139" t="s">
        <v>1619</v>
      </c>
      <c r="E139" t="s">
        <v>1985</v>
      </c>
      <c r="G139" t="s">
        <v>1603</v>
      </c>
      <c r="H139" t="s">
        <v>1603</v>
      </c>
      <c r="I139" t="s">
        <v>1603</v>
      </c>
      <c r="J139" t="s">
        <v>1603</v>
      </c>
      <c r="K139" t="s">
        <v>1603</v>
      </c>
      <c r="L139">
        <v>6.56</v>
      </c>
      <c r="M139">
        <v>27.93</v>
      </c>
      <c r="N139">
        <v>0</v>
      </c>
      <c r="O139" s="56"/>
      <c r="P139" s="56"/>
      <c r="Q139">
        <v>13717</v>
      </c>
      <c r="R139">
        <v>1</v>
      </c>
      <c r="S139">
        <v>8</v>
      </c>
      <c r="T139">
        <v>4</v>
      </c>
      <c r="U139">
        <v>4</v>
      </c>
      <c r="V139">
        <v>1</v>
      </c>
      <c r="X139" t="s">
        <v>1727</v>
      </c>
      <c r="AA139">
        <v>0</v>
      </c>
      <c r="AB139">
        <v>0</v>
      </c>
      <c r="AC139">
        <v>0</v>
      </c>
      <c r="AD139">
        <v>0</v>
      </c>
      <c r="AE139">
        <v>0</v>
      </c>
      <c r="AF139">
        <v>0</v>
      </c>
      <c r="AG139">
        <v>0</v>
      </c>
      <c r="AJ139" s="56"/>
      <c r="AK139" s="56"/>
      <c r="AL139" s="56"/>
      <c r="AP139" t="s">
        <v>1604</v>
      </c>
      <c r="AR139">
        <v>40</v>
      </c>
      <c r="AS139" t="s">
        <v>1605</v>
      </c>
      <c r="AT139">
        <v>1</v>
      </c>
      <c r="AV139">
        <v>25</v>
      </c>
      <c r="AW139">
        <v>17</v>
      </c>
      <c r="AX139">
        <v>8</v>
      </c>
      <c r="AY139" t="s">
        <v>1754</v>
      </c>
      <c r="AZ139" t="s">
        <v>1754</v>
      </c>
      <c r="BA139">
        <v>0</v>
      </c>
      <c r="BD139">
        <v>1000000000</v>
      </c>
      <c r="BE139">
        <v>75</v>
      </c>
      <c r="BF139">
        <v>-2</v>
      </c>
      <c r="BG139">
        <v>0</v>
      </c>
      <c r="BH139">
        <v>0</v>
      </c>
      <c r="BI139">
        <v>0</v>
      </c>
      <c r="BJ139">
        <v>0</v>
      </c>
      <c r="BK139">
        <v>0</v>
      </c>
      <c r="BL139">
        <v>0</v>
      </c>
      <c r="BM139">
        <v>75</v>
      </c>
      <c r="BN139">
        <v>-2</v>
      </c>
      <c r="BO139">
        <v>0</v>
      </c>
      <c r="BP139">
        <v>0</v>
      </c>
      <c r="BR139">
        <v>0</v>
      </c>
      <c r="BS139">
        <v>13</v>
      </c>
      <c r="BX139">
        <v>0</v>
      </c>
      <c r="BY139">
        <v>328</v>
      </c>
      <c r="BZ139">
        <v>0</v>
      </c>
      <c r="CA139">
        <v>19.55</v>
      </c>
      <c r="CC139">
        <v>1</v>
      </c>
      <c r="CD139" s="56">
        <v>42709</v>
      </c>
      <c r="CE139" s="56">
        <v>42767</v>
      </c>
      <c r="CF139" s="56">
        <v>42767</v>
      </c>
      <c r="CG139" s="56">
        <v>42823</v>
      </c>
      <c r="CH139" s="56"/>
      <c r="CI139" s="56"/>
      <c r="CJ139">
        <v>0</v>
      </c>
      <c r="CK139">
        <v>0</v>
      </c>
      <c r="CL139">
        <v>0</v>
      </c>
      <c r="CM139">
        <v>0</v>
      </c>
      <c r="CN139">
        <v>0</v>
      </c>
      <c r="CO139">
        <v>0</v>
      </c>
      <c r="CP139">
        <v>0.05</v>
      </c>
      <c r="CQ139" t="s">
        <v>1618</v>
      </c>
      <c r="CR139" t="s">
        <v>1368</v>
      </c>
      <c r="CS139" t="s">
        <v>1728</v>
      </c>
      <c r="CT139" t="s">
        <v>1724</v>
      </c>
      <c r="CU139" t="s">
        <v>1729</v>
      </c>
      <c r="CV139" t="s">
        <v>1986</v>
      </c>
      <c r="DB139" t="s">
        <v>1935</v>
      </c>
      <c r="DE139" t="s">
        <v>1724</v>
      </c>
    </row>
    <row r="140" spans="1:109" x14ac:dyDescent="0.25">
      <c r="A140" t="s">
        <v>1618</v>
      </c>
      <c r="B140">
        <v>1</v>
      </c>
      <c r="C140" s="56">
        <v>42823</v>
      </c>
      <c r="D140" t="s">
        <v>1619</v>
      </c>
      <c r="E140" t="s">
        <v>1448</v>
      </c>
      <c r="G140" t="s">
        <v>1603</v>
      </c>
      <c r="H140" t="s">
        <v>1603</v>
      </c>
      <c r="I140" t="s">
        <v>1603</v>
      </c>
      <c r="J140" t="s">
        <v>1603</v>
      </c>
      <c r="K140" t="s">
        <v>1603</v>
      </c>
      <c r="L140">
        <v>3.73</v>
      </c>
      <c r="M140">
        <v>14.31</v>
      </c>
      <c r="N140">
        <v>0</v>
      </c>
      <c r="O140" s="56"/>
      <c r="P140" s="56"/>
      <c r="Q140">
        <v>13717</v>
      </c>
      <c r="R140">
        <v>1</v>
      </c>
      <c r="S140">
        <v>8</v>
      </c>
      <c r="T140">
        <v>4</v>
      </c>
      <c r="U140">
        <v>4</v>
      </c>
      <c r="V140">
        <v>1</v>
      </c>
      <c r="X140" t="s">
        <v>1727</v>
      </c>
      <c r="AA140">
        <v>1.53</v>
      </c>
      <c r="AB140">
        <v>19</v>
      </c>
      <c r="AC140">
        <v>4.08</v>
      </c>
      <c r="AD140">
        <v>6.54</v>
      </c>
      <c r="AE140">
        <v>0</v>
      </c>
      <c r="AF140">
        <v>0</v>
      </c>
      <c r="AG140">
        <v>0</v>
      </c>
      <c r="AJ140" s="56"/>
      <c r="AK140" s="56"/>
      <c r="AL140" s="56"/>
      <c r="AP140" t="s">
        <v>1604</v>
      </c>
      <c r="AR140">
        <v>40</v>
      </c>
      <c r="AS140" t="s">
        <v>1605</v>
      </c>
      <c r="AT140">
        <v>1</v>
      </c>
      <c r="AV140">
        <v>25</v>
      </c>
      <c r="AW140">
        <v>17</v>
      </c>
      <c r="AX140">
        <v>8</v>
      </c>
      <c r="AY140" t="s">
        <v>1754</v>
      </c>
      <c r="AZ140" t="s">
        <v>1754</v>
      </c>
      <c r="BA140">
        <v>24</v>
      </c>
      <c r="BD140">
        <v>1000000000</v>
      </c>
      <c r="BE140">
        <v>40</v>
      </c>
      <c r="BF140">
        <v>-0.6</v>
      </c>
      <c r="BG140">
        <v>0</v>
      </c>
      <c r="BH140">
        <v>0</v>
      </c>
      <c r="BI140">
        <v>0</v>
      </c>
      <c r="BJ140">
        <v>0</v>
      </c>
      <c r="BK140">
        <v>0</v>
      </c>
      <c r="BL140">
        <v>0</v>
      </c>
      <c r="BM140">
        <v>40</v>
      </c>
      <c r="BN140">
        <v>-0.6</v>
      </c>
      <c r="BO140">
        <v>0</v>
      </c>
      <c r="BP140">
        <v>0</v>
      </c>
      <c r="BR140">
        <v>0</v>
      </c>
      <c r="BS140">
        <v>13</v>
      </c>
      <c r="BX140">
        <v>0</v>
      </c>
      <c r="BY140">
        <v>55.95</v>
      </c>
      <c r="BZ140">
        <v>0</v>
      </c>
      <c r="CA140">
        <v>17.02</v>
      </c>
      <c r="CC140">
        <v>1</v>
      </c>
      <c r="CD140" s="56">
        <v>42709</v>
      </c>
      <c r="CE140" s="56">
        <v>42767</v>
      </c>
      <c r="CF140" s="56">
        <v>42767</v>
      </c>
      <c r="CG140" s="56">
        <v>42823</v>
      </c>
      <c r="CH140" s="56"/>
      <c r="CI140" s="56"/>
      <c r="CJ140">
        <v>0</v>
      </c>
      <c r="CK140">
        <v>0</v>
      </c>
      <c r="CL140">
        <v>0</v>
      </c>
      <c r="CM140">
        <v>0</v>
      </c>
      <c r="CN140">
        <v>0</v>
      </c>
      <c r="CO140">
        <v>0</v>
      </c>
      <c r="CP140">
        <v>0.05</v>
      </c>
      <c r="CQ140" t="s">
        <v>1618</v>
      </c>
      <c r="CR140" t="s">
        <v>1368</v>
      </c>
      <c r="CS140" t="s">
        <v>1728</v>
      </c>
      <c r="CT140" t="s">
        <v>1724</v>
      </c>
      <c r="CU140" t="s">
        <v>1729</v>
      </c>
      <c r="CV140" t="s">
        <v>1987</v>
      </c>
      <c r="DB140" t="s">
        <v>1935</v>
      </c>
      <c r="DE140" t="s">
        <v>1724</v>
      </c>
    </row>
    <row r="141" spans="1:109" x14ac:dyDescent="0.25">
      <c r="A141" t="s">
        <v>1618</v>
      </c>
      <c r="B141">
        <v>1</v>
      </c>
      <c r="C141" s="56">
        <v>42823</v>
      </c>
      <c r="D141" t="s">
        <v>1619</v>
      </c>
      <c r="E141" t="s">
        <v>1449</v>
      </c>
      <c r="G141" t="s">
        <v>1603</v>
      </c>
      <c r="H141" t="s">
        <v>1603</v>
      </c>
      <c r="I141" t="s">
        <v>1603</v>
      </c>
      <c r="J141" t="s">
        <v>1603</v>
      </c>
      <c r="K141" t="s">
        <v>1603</v>
      </c>
      <c r="L141">
        <v>4.6500000000000004</v>
      </c>
      <c r="M141">
        <v>20.420000000000002</v>
      </c>
      <c r="N141">
        <v>0</v>
      </c>
      <c r="O141" s="56"/>
      <c r="P141" s="56"/>
      <c r="Q141">
        <v>13717</v>
      </c>
      <c r="R141">
        <v>1</v>
      </c>
      <c r="S141">
        <v>8</v>
      </c>
      <c r="T141">
        <v>4</v>
      </c>
      <c r="U141">
        <v>4</v>
      </c>
      <c r="V141">
        <v>1</v>
      </c>
      <c r="W141" t="s">
        <v>1723</v>
      </c>
      <c r="X141" t="s">
        <v>1727</v>
      </c>
      <c r="AA141">
        <v>1.88</v>
      </c>
      <c r="AB141">
        <v>23</v>
      </c>
      <c r="AC141">
        <v>6.65</v>
      </c>
      <c r="AD141">
        <v>5.85</v>
      </c>
      <c r="AE141">
        <v>0</v>
      </c>
      <c r="AF141">
        <v>0</v>
      </c>
      <c r="AG141">
        <v>0</v>
      </c>
      <c r="AJ141" s="56">
        <v>42666</v>
      </c>
      <c r="AK141" s="56"/>
      <c r="AL141" s="56"/>
      <c r="AP141" t="s">
        <v>1604</v>
      </c>
      <c r="AR141">
        <v>40</v>
      </c>
      <c r="AS141" t="s">
        <v>1605</v>
      </c>
      <c r="AT141">
        <v>1</v>
      </c>
      <c r="AV141">
        <v>50</v>
      </c>
      <c r="AW141">
        <v>33</v>
      </c>
      <c r="AX141">
        <v>17</v>
      </c>
      <c r="AY141" t="s">
        <v>1735</v>
      </c>
      <c r="AZ141" t="s">
        <v>1735</v>
      </c>
      <c r="BA141">
        <v>48</v>
      </c>
      <c r="BD141">
        <v>1000000000</v>
      </c>
      <c r="BE141">
        <v>44</v>
      </c>
      <c r="BF141">
        <v>0.12</v>
      </c>
      <c r="BG141">
        <v>0</v>
      </c>
      <c r="BH141">
        <v>0</v>
      </c>
      <c r="BI141">
        <v>0</v>
      </c>
      <c r="BJ141">
        <v>0</v>
      </c>
      <c r="BK141">
        <v>0</v>
      </c>
      <c r="BL141">
        <v>0</v>
      </c>
      <c r="BM141">
        <v>44</v>
      </c>
      <c r="BN141">
        <v>0.12</v>
      </c>
      <c r="BO141">
        <v>0</v>
      </c>
      <c r="BP141">
        <v>0</v>
      </c>
      <c r="BR141">
        <v>0</v>
      </c>
      <c r="BS141">
        <v>25</v>
      </c>
      <c r="BX141">
        <v>0</v>
      </c>
      <c r="BY141">
        <v>0</v>
      </c>
      <c r="BZ141">
        <v>0</v>
      </c>
      <c r="CA141">
        <v>20.350000000000001</v>
      </c>
      <c r="CC141">
        <v>1</v>
      </c>
      <c r="CD141" s="56">
        <v>42709</v>
      </c>
      <c r="CE141" s="56">
        <v>42767</v>
      </c>
      <c r="CF141" s="56">
        <v>42767</v>
      </c>
      <c r="CG141" s="56">
        <v>42823</v>
      </c>
      <c r="CH141" s="56"/>
      <c r="CI141" s="56"/>
      <c r="CJ141">
        <v>0</v>
      </c>
      <c r="CK141">
        <v>0</v>
      </c>
      <c r="CL141">
        <v>0</v>
      </c>
      <c r="CM141">
        <v>0</v>
      </c>
      <c r="CN141">
        <v>0</v>
      </c>
      <c r="CO141">
        <v>0.05</v>
      </c>
      <c r="CP141">
        <v>0</v>
      </c>
      <c r="CQ141" t="s">
        <v>1618</v>
      </c>
      <c r="CR141" t="s">
        <v>1368</v>
      </c>
      <c r="CS141" t="s">
        <v>1728</v>
      </c>
      <c r="CT141" t="s">
        <v>1724</v>
      </c>
      <c r="CU141" t="s">
        <v>1729</v>
      </c>
      <c r="CV141" t="s">
        <v>1988</v>
      </c>
      <c r="DB141" t="s">
        <v>1935</v>
      </c>
      <c r="DE141" t="s">
        <v>1724</v>
      </c>
    </row>
    <row r="142" spans="1:109" x14ac:dyDescent="0.25">
      <c r="A142" t="s">
        <v>1618</v>
      </c>
      <c r="B142">
        <v>1</v>
      </c>
      <c r="C142" s="56">
        <v>42823</v>
      </c>
      <c r="D142" t="s">
        <v>1619</v>
      </c>
      <c r="E142" t="s">
        <v>1450</v>
      </c>
      <c r="G142" t="s">
        <v>1603</v>
      </c>
      <c r="H142" t="s">
        <v>1603</v>
      </c>
      <c r="I142" t="s">
        <v>1603</v>
      </c>
      <c r="J142" t="s">
        <v>1603</v>
      </c>
      <c r="K142" t="s">
        <v>1603</v>
      </c>
      <c r="L142">
        <v>5.61</v>
      </c>
      <c r="M142">
        <v>27.3</v>
      </c>
      <c r="N142">
        <v>0</v>
      </c>
      <c r="O142" s="56"/>
      <c r="P142" s="56"/>
      <c r="Q142">
        <v>13717</v>
      </c>
      <c r="R142">
        <v>1</v>
      </c>
      <c r="S142">
        <v>8</v>
      </c>
      <c r="T142">
        <v>4</v>
      </c>
      <c r="U142">
        <v>4</v>
      </c>
      <c r="V142">
        <v>1</v>
      </c>
      <c r="X142" t="s">
        <v>1749</v>
      </c>
      <c r="Z142" t="s">
        <v>1734</v>
      </c>
      <c r="AA142">
        <v>0.47</v>
      </c>
      <c r="AB142">
        <v>6</v>
      </c>
      <c r="AC142">
        <v>31.91</v>
      </c>
      <c r="AD142">
        <v>36.700000000000003</v>
      </c>
      <c r="AE142">
        <v>0</v>
      </c>
      <c r="AF142">
        <v>0</v>
      </c>
      <c r="AG142">
        <v>0</v>
      </c>
      <c r="AJ142" s="56"/>
      <c r="AK142" s="56"/>
      <c r="AL142" s="56"/>
      <c r="AP142" t="s">
        <v>1604</v>
      </c>
      <c r="AR142">
        <v>40</v>
      </c>
      <c r="AS142" t="s">
        <v>1605</v>
      </c>
      <c r="AT142">
        <v>1</v>
      </c>
      <c r="AV142">
        <v>60</v>
      </c>
      <c r="AW142">
        <v>40</v>
      </c>
      <c r="AX142">
        <v>20</v>
      </c>
      <c r="AY142" t="s">
        <v>1754</v>
      </c>
      <c r="AZ142" t="s">
        <v>1754</v>
      </c>
      <c r="BA142">
        <v>75</v>
      </c>
      <c r="BD142">
        <v>1000000000</v>
      </c>
      <c r="BE142">
        <v>69</v>
      </c>
      <c r="BF142">
        <v>-0.15</v>
      </c>
      <c r="BG142">
        <v>0</v>
      </c>
      <c r="BH142">
        <v>0</v>
      </c>
      <c r="BI142">
        <v>0</v>
      </c>
      <c r="BJ142">
        <v>0</v>
      </c>
      <c r="BK142">
        <v>0</v>
      </c>
      <c r="BL142">
        <v>0</v>
      </c>
      <c r="BM142">
        <v>69</v>
      </c>
      <c r="BN142">
        <v>-0.15</v>
      </c>
      <c r="BO142">
        <v>0</v>
      </c>
      <c r="BP142">
        <v>0</v>
      </c>
      <c r="BR142">
        <v>0</v>
      </c>
      <c r="BS142">
        <v>30</v>
      </c>
      <c r="BX142">
        <v>0</v>
      </c>
      <c r="BY142">
        <v>50.49</v>
      </c>
      <c r="BZ142">
        <v>0</v>
      </c>
      <c r="CA142">
        <v>23.2</v>
      </c>
      <c r="CC142">
        <v>1</v>
      </c>
      <c r="CD142" s="56">
        <v>42761</v>
      </c>
      <c r="CE142" s="56">
        <v>42767</v>
      </c>
      <c r="CF142" s="56">
        <v>42767</v>
      </c>
      <c r="CG142" s="56">
        <v>42823</v>
      </c>
      <c r="CH142" s="56"/>
      <c r="CI142" s="56"/>
      <c r="CJ142">
        <v>0</v>
      </c>
      <c r="CK142">
        <v>0</v>
      </c>
      <c r="CL142">
        <v>0</v>
      </c>
      <c r="CM142">
        <v>0</v>
      </c>
      <c r="CN142">
        <v>0</v>
      </c>
      <c r="CO142">
        <v>0</v>
      </c>
      <c r="CP142">
        <v>0.05</v>
      </c>
      <c r="CQ142" t="s">
        <v>1618</v>
      </c>
      <c r="CR142" t="s">
        <v>1368</v>
      </c>
      <c r="CS142" t="s">
        <v>1728</v>
      </c>
      <c r="CT142" t="s">
        <v>1724</v>
      </c>
      <c r="CU142" t="s">
        <v>1729</v>
      </c>
      <c r="CV142" t="s">
        <v>1989</v>
      </c>
      <c r="DB142" t="s">
        <v>1935</v>
      </c>
      <c r="DE142" t="s">
        <v>1724</v>
      </c>
    </row>
    <row r="143" spans="1:109" x14ac:dyDescent="0.25">
      <c r="A143" t="s">
        <v>1618</v>
      </c>
      <c r="B143">
        <v>1</v>
      </c>
      <c r="C143" s="56">
        <v>42823</v>
      </c>
      <c r="D143" t="s">
        <v>1619</v>
      </c>
      <c r="E143" t="s">
        <v>1451</v>
      </c>
      <c r="G143" t="s">
        <v>1603</v>
      </c>
      <c r="H143" t="s">
        <v>1603</v>
      </c>
      <c r="I143" t="s">
        <v>1603</v>
      </c>
      <c r="J143" t="s">
        <v>1603</v>
      </c>
      <c r="K143" t="s">
        <v>1603</v>
      </c>
      <c r="L143">
        <v>7.69</v>
      </c>
      <c r="M143">
        <v>27.93</v>
      </c>
      <c r="N143">
        <v>0</v>
      </c>
      <c r="O143" s="56"/>
      <c r="P143" s="56"/>
      <c r="Q143">
        <v>13717</v>
      </c>
      <c r="R143">
        <v>1</v>
      </c>
      <c r="S143">
        <v>8</v>
      </c>
      <c r="T143">
        <v>4</v>
      </c>
      <c r="U143">
        <v>4</v>
      </c>
      <c r="V143">
        <v>1</v>
      </c>
      <c r="X143" t="s">
        <v>1727</v>
      </c>
      <c r="Z143" t="s">
        <v>1734</v>
      </c>
      <c r="AA143">
        <v>0.04</v>
      </c>
      <c r="AB143">
        <v>1</v>
      </c>
      <c r="AC143">
        <v>156.25</v>
      </c>
      <c r="AD143">
        <v>381.25</v>
      </c>
      <c r="AE143">
        <v>0</v>
      </c>
      <c r="AF143">
        <v>0</v>
      </c>
      <c r="AG143">
        <v>0</v>
      </c>
      <c r="AJ143" s="56"/>
      <c r="AK143" s="56"/>
      <c r="AL143" s="56"/>
      <c r="AP143" t="s">
        <v>1604</v>
      </c>
      <c r="AR143">
        <v>40</v>
      </c>
      <c r="AS143" t="s">
        <v>1605</v>
      </c>
      <c r="AT143">
        <v>1</v>
      </c>
      <c r="AV143">
        <v>25</v>
      </c>
      <c r="AW143">
        <v>17</v>
      </c>
      <c r="AX143">
        <v>8</v>
      </c>
      <c r="AY143" t="s">
        <v>1754</v>
      </c>
      <c r="AZ143" t="s">
        <v>1754</v>
      </c>
      <c r="BA143">
        <v>48</v>
      </c>
      <c r="BD143">
        <v>1000000000</v>
      </c>
      <c r="BE143">
        <v>61</v>
      </c>
      <c r="BF143">
        <v>-1.44</v>
      </c>
      <c r="BG143">
        <v>0</v>
      </c>
      <c r="BH143">
        <v>0</v>
      </c>
      <c r="BI143">
        <v>0</v>
      </c>
      <c r="BJ143">
        <v>0</v>
      </c>
      <c r="BK143">
        <v>0</v>
      </c>
      <c r="BL143">
        <v>0</v>
      </c>
      <c r="BM143">
        <v>61</v>
      </c>
      <c r="BN143">
        <v>-1.44</v>
      </c>
      <c r="BO143">
        <v>0</v>
      </c>
      <c r="BP143">
        <v>0</v>
      </c>
      <c r="BR143">
        <v>0</v>
      </c>
      <c r="BS143">
        <v>13</v>
      </c>
      <c r="BX143">
        <v>0</v>
      </c>
      <c r="BY143">
        <v>276.83999999999997</v>
      </c>
      <c r="BZ143">
        <v>0</v>
      </c>
      <c r="CA143">
        <v>15.79</v>
      </c>
      <c r="CC143">
        <v>1</v>
      </c>
      <c r="CD143" s="56">
        <v>42709</v>
      </c>
      <c r="CE143" s="56">
        <v>42767</v>
      </c>
      <c r="CF143" s="56">
        <v>42767</v>
      </c>
      <c r="CG143" s="56">
        <v>42823</v>
      </c>
      <c r="CH143" s="56"/>
      <c r="CI143" s="56"/>
      <c r="CJ143">
        <v>0</v>
      </c>
      <c r="CK143">
        <v>0</v>
      </c>
      <c r="CL143">
        <v>0</v>
      </c>
      <c r="CM143">
        <v>0</v>
      </c>
      <c r="CN143">
        <v>0</v>
      </c>
      <c r="CO143">
        <v>0</v>
      </c>
      <c r="CP143">
        <v>0.05</v>
      </c>
      <c r="CQ143" t="s">
        <v>1618</v>
      </c>
      <c r="CR143" t="s">
        <v>1368</v>
      </c>
      <c r="CS143" t="s">
        <v>1728</v>
      </c>
      <c r="CT143" t="s">
        <v>1724</v>
      </c>
      <c r="CU143" t="s">
        <v>1729</v>
      </c>
      <c r="CV143" t="s">
        <v>1990</v>
      </c>
      <c r="DB143" t="s">
        <v>1935</v>
      </c>
      <c r="DE143" t="s">
        <v>1724</v>
      </c>
    </row>
    <row r="144" spans="1:109" x14ac:dyDescent="0.25">
      <c r="A144" t="s">
        <v>1618</v>
      </c>
      <c r="B144">
        <v>1</v>
      </c>
      <c r="C144" s="56">
        <v>42823</v>
      </c>
      <c r="D144" t="s">
        <v>1619</v>
      </c>
      <c r="E144" t="s">
        <v>1991</v>
      </c>
      <c r="G144" t="s">
        <v>1603</v>
      </c>
      <c r="H144" t="s">
        <v>1603</v>
      </c>
      <c r="I144" t="s">
        <v>1603</v>
      </c>
      <c r="J144" t="s">
        <v>1603</v>
      </c>
      <c r="K144" t="s">
        <v>1603</v>
      </c>
      <c r="L144">
        <v>1.18</v>
      </c>
      <c r="M144">
        <v>3.73</v>
      </c>
      <c r="N144">
        <v>0</v>
      </c>
      <c r="O144" s="56"/>
      <c r="P144" s="56"/>
      <c r="Q144">
        <v>13717</v>
      </c>
      <c r="R144">
        <v>1</v>
      </c>
      <c r="S144">
        <v>8</v>
      </c>
      <c r="T144">
        <v>4</v>
      </c>
      <c r="U144">
        <v>4</v>
      </c>
      <c r="V144">
        <v>1</v>
      </c>
      <c r="X144" t="s">
        <v>1727</v>
      </c>
      <c r="AA144">
        <v>0</v>
      </c>
      <c r="AB144">
        <v>0</v>
      </c>
      <c r="AC144">
        <v>0</v>
      </c>
      <c r="AD144">
        <v>0</v>
      </c>
      <c r="AE144">
        <v>0</v>
      </c>
      <c r="AF144">
        <v>0</v>
      </c>
      <c r="AG144">
        <v>0</v>
      </c>
      <c r="AJ144" s="56">
        <v>42666</v>
      </c>
      <c r="AK144" s="56"/>
      <c r="AL144" s="56"/>
      <c r="AP144" t="s">
        <v>1604</v>
      </c>
      <c r="AR144">
        <v>60</v>
      </c>
      <c r="AS144" t="s">
        <v>1605</v>
      </c>
      <c r="AT144">
        <v>1</v>
      </c>
      <c r="AV144">
        <v>0</v>
      </c>
      <c r="AW144">
        <v>0</v>
      </c>
      <c r="AX144">
        <v>0</v>
      </c>
      <c r="AY144" t="s">
        <v>1606</v>
      </c>
      <c r="AZ144" t="s">
        <v>1606</v>
      </c>
      <c r="BA144">
        <v>24</v>
      </c>
      <c r="BD144">
        <v>1000000000</v>
      </c>
      <c r="BE144">
        <v>1007</v>
      </c>
      <c r="BF144">
        <v>0</v>
      </c>
      <c r="BG144">
        <v>0</v>
      </c>
      <c r="BH144">
        <v>0</v>
      </c>
      <c r="BI144">
        <v>0</v>
      </c>
      <c r="BJ144">
        <v>0</v>
      </c>
      <c r="BK144">
        <v>0</v>
      </c>
      <c r="BL144">
        <v>0</v>
      </c>
      <c r="BM144">
        <v>1007</v>
      </c>
      <c r="BN144">
        <v>0</v>
      </c>
      <c r="BO144">
        <v>0</v>
      </c>
      <c r="BP144">
        <v>0</v>
      </c>
      <c r="BR144">
        <v>0</v>
      </c>
      <c r="BS144">
        <v>0</v>
      </c>
      <c r="BX144">
        <v>0</v>
      </c>
      <c r="BY144">
        <v>0</v>
      </c>
      <c r="BZ144">
        <v>0</v>
      </c>
      <c r="CA144">
        <v>0</v>
      </c>
      <c r="CC144">
        <v>1</v>
      </c>
      <c r="CD144" s="56">
        <v>42709</v>
      </c>
      <c r="CE144" s="56">
        <v>42767</v>
      </c>
      <c r="CF144" s="56">
        <v>42767</v>
      </c>
      <c r="CG144" s="56">
        <v>42823</v>
      </c>
      <c r="CH144" s="56"/>
      <c r="CI144" s="56"/>
      <c r="CJ144">
        <v>0</v>
      </c>
      <c r="CK144">
        <v>0</v>
      </c>
      <c r="CL144">
        <v>0</v>
      </c>
      <c r="CM144">
        <v>0</v>
      </c>
      <c r="CN144">
        <v>0</v>
      </c>
      <c r="CO144">
        <v>0</v>
      </c>
      <c r="CP144">
        <v>0.05</v>
      </c>
      <c r="CQ144" t="s">
        <v>1618</v>
      </c>
      <c r="CR144" t="s">
        <v>1368</v>
      </c>
      <c r="CS144" t="s">
        <v>1728</v>
      </c>
      <c r="CT144" t="s">
        <v>1724</v>
      </c>
      <c r="CU144" t="s">
        <v>1729</v>
      </c>
      <c r="CV144" t="s">
        <v>1992</v>
      </c>
      <c r="DB144" t="s">
        <v>1785</v>
      </c>
      <c r="DE144" t="s">
        <v>1724</v>
      </c>
    </row>
    <row r="145" spans="1:109" x14ac:dyDescent="0.25">
      <c r="A145" t="s">
        <v>1618</v>
      </c>
      <c r="B145">
        <v>1</v>
      </c>
      <c r="C145" s="56">
        <v>42823</v>
      </c>
      <c r="D145" t="s">
        <v>1619</v>
      </c>
      <c r="E145" t="s">
        <v>1452</v>
      </c>
      <c r="G145" t="s">
        <v>1603</v>
      </c>
      <c r="H145" t="s">
        <v>1603</v>
      </c>
      <c r="I145" t="s">
        <v>1603</v>
      </c>
      <c r="J145" t="s">
        <v>1603</v>
      </c>
      <c r="K145" t="s">
        <v>1603</v>
      </c>
      <c r="L145">
        <v>2.62</v>
      </c>
      <c r="M145">
        <v>7.76</v>
      </c>
      <c r="N145">
        <v>0</v>
      </c>
      <c r="O145" s="56"/>
      <c r="P145" s="56"/>
      <c r="Q145">
        <v>13717</v>
      </c>
      <c r="R145">
        <v>1</v>
      </c>
      <c r="S145">
        <v>8</v>
      </c>
      <c r="T145">
        <v>4</v>
      </c>
      <c r="U145">
        <v>4</v>
      </c>
      <c r="V145">
        <v>1</v>
      </c>
      <c r="X145" t="s">
        <v>1727</v>
      </c>
      <c r="AA145">
        <v>1.56</v>
      </c>
      <c r="AB145">
        <v>19</v>
      </c>
      <c r="AC145">
        <v>0</v>
      </c>
      <c r="AD145">
        <v>15.54</v>
      </c>
      <c r="AE145">
        <v>0</v>
      </c>
      <c r="AF145">
        <v>0</v>
      </c>
      <c r="AG145">
        <v>0</v>
      </c>
      <c r="AJ145" s="56">
        <v>42666</v>
      </c>
      <c r="AK145" s="56"/>
      <c r="AL145" s="56"/>
      <c r="AP145" t="s">
        <v>1604</v>
      </c>
      <c r="AR145">
        <v>80</v>
      </c>
      <c r="AS145" t="s">
        <v>1605</v>
      </c>
      <c r="AT145">
        <v>1</v>
      </c>
      <c r="AV145">
        <v>0</v>
      </c>
      <c r="AW145">
        <v>0</v>
      </c>
      <c r="AX145">
        <v>0</v>
      </c>
      <c r="AY145" t="s">
        <v>1606</v>
      </c>
      <c r="AZ145" t="s">
        <v>1606</v>
      </c>
      <c r="BA145">
        <v>120</v>
      </c>
      <c r="BD145">
        <v>1000000000</v>
      </c>
      <c r="BE145">
        <v>97</v>
      </c>
      <c r="BF145">
        <v>0</v>
      </c>
      <c r="BG145">
        <v>0</v>
      </c>
      <c r="BH145">
        <v>0</v>
      </c>
      <c r="BI145">
        <v>0</v>
      </c>
      <c r="BJ145">
        <v>0</v>
      </c>
      <c r="BK145">
        <v>0</v>
      </c>
      <c r="BL145">
        <v>0</v>
      </c>
      <c r="BM145">
        <v>97</v>
      </c>
      <c r="BN145">
        <v>0</v>
      </c>
      <c r="BO145">
        <v>0</v>
      </c>
      <c r="BP145">
        <v>0</v>
      </c>
      <c r="BR145">
        <v>0</v>
      </c>
      <c r="BS145">
        <v>0</v>
      </c>
      <c r="BX145">
        <v>0</v>
      </c>
      <c r="BY145">
        <v>0</v>
      </c>
      <c r="BZ145">
        <v>0</v>
      </c>
      <c r="CA145">
        <v>0</v>
      </c>
      <c r="CC145">
        <v>1</v>
      </c>
      <c r="CD145" s="56">
        <v>42709</v>
      </c>
      <c r="CE145" s="56">
        <v>42767</v>
      </c>
      <c r="CF145" s="56">
        <v>42767</v>
      </c>
      <c r="CG145" s="56">
        <v>42823</v>
      </c>
      <c r="CH145" s="56"/>
      <c r="CI145" s="56"/>
      <c r="CJ145">
        <v>0</v>
      </c>
      <c r="CK145">
        <v>0</v>
      </c>
      <c r="CL145">
        <v>0</v>
      </c>
      <c r="CM145">
        <v>0</v>
      </c>
      <c r="CN145">
        <v>0</v>
      </c>
      <c r="CO145">
        <v>0</v>
      </c>
      <c r="CP145">
        <v>0.05</v>
      </c>
      <c r="CQ145" t="s">
        <v>1618</v>
      </c>
      <c r="CR145" t="s">
        <v>1368</v>
      </c>
      <c r="CS145" t="s">
        <v>1728</v>
      </c>
      <c r="CT145" t="s">
        <v>1724</v>
      </c>
      <c r="CU145" t="s">
        <v>1729</v>
      </c>
      <c r="CV145" t="s">
        <v>1993</v>
      </c>
      <c r="DB145" t="s">
        <v>1785</v>
      </c>
      <c r="DE145" t="s">
        <v>1724</v>
      </c>
    </row>
    <row r="146" spans="1:109" x14ac:dyDescent="0.25">
      <c r="A146" t="s">
        <v>1618</v>
      </c>
      <c r="B146">
        <v>1</v>
      </c>
      <c r="C146" s="56">
        <v>42823</v>
      </c>
      <c r="D146" t="s">
        <v>1619</v>
      </c>
      <c r="E146" t="s">
        <v>1390</v>
      </c>
      <c r="G146" t="s">
        <v>1603</v>
      </c>
      <c r="H146" t="s">
        <v>1603</v>
      </c>
      <c r="I146" t="s">
        <v>1603</v>
      </c>
      <c r="J146" t="s">
        <v>1603</v>
      </c>
      <c r="K146" t="s">
        <v>1603</v>
      </c>
      <c r="L146">
        <v>10.93</v>
      </c>
      <c r="M146">
        <v>19.77</v>
      </c>
      <c r="N146">
        <v>0</v>
      </c>
      <c r="O146" s="56"/>
      <c r="P146" s="56"/>
      <c r="Q146">
        <v>13717</v>
      </c>
      <c r="R146">
        <v>1</v>
      </c>
      <c r="S146">
        <v>8</v>
      </c>
      <c r="T146">
        <v>4</v>
      </c>
      <c r="U146">
        <v>4</v>
      </c>
      <c r="V146">
        <v>1</v>
      </c>
      <c r="W146" t="s">
        <v>1723</v>
      </c>
      <c r="X146" t="s">
        <v>1749</v>
      </c>
      <c r="AA146">
        <v>4.3</v>
      </c>
      <c r="AB146">
        <v>52</v>
      </c>
      <c r="AC146">
        <v>7.44</v>
      </c>
      <c r="AD146">
        <v>4.6500000000000004</v>
      </c>
      <c r="AE146">
        <v>0</v>
      </c>
      <c r="AF146">
        <v>0</v>
      </c>
      <c r="AG146">
        <v>0</v>
      </c>
      <c r="AJ146" s="56">
        <v>42666</v>
      </c>
      <c r="AK146" s="56"/>
      <c r="AL146" s="56"/>
      <c r="AP146" t="s">
        <v>1604</v>
      </c>
      <c r="AR146">
        <v>40</v>
      </c>
      <c r="AS146" t="s">
        <v>1605</v>
      </c>
      <c r="AT146">
        <v>1</v>
      </c>
      <c r="AV146">
        <v>128</v>
      </c>
      <c r="AW146">
        <v>85</v>
      </c>
      <c r="AX146">
        <v>42</v>
      </c>
      <c r="AY146" t="s">
        <v>1620</v>
      </c>
      <c r="AZ146" t="s">
        <v>1620</v>
      </c>
      <c r="BA146">
        <v>160</v>
      </c>
      <c r="BD146">
        <v>1000000000</v>
      </c>
      <c r="BE146">
        <v>80</v>
      </c>
      <c r="BF146">
        <v>0.38</v>
      </c>
      <c r="BG146">
        <v>0</v>
      </c>
      <c r="BH146">
        <v>0</v>
      </c>
      <c r="BI146">
        <v>0</v>
      </c>
      <c r="BJ146">
        <v>0</v>
      </c>
      <c r="BK146">
        <v>0</v>
      </c>
      <c r="BL146">
        <v>0</v>
      </c>
      <c r="BM146">
        <v>80</v>
      </c>
      <c r="BN146">
        <v>0.38</v>
      </c>
      <c r="BO146">
        <v>0</v>
      </c>
      <c r="BP146">
        <v>0</v>
      </c>
      <c r="BR146">
        <v>40</v>
      </c>
      <c r="BS146">
        <v>64</v>
      </c>
      <c r="BX146">
        <v>0</v>
      </c>
      <c r="BY146">
        <v>0</v>
      </c>
      <c r="BZ146">
        <v>0</v>
      </c>
      <c r="CA146">
        <v>4.8499999999999996</v>
      </c>
      <c r="CC146">
        <v>1</v>
      </c>
      <c r="CD146" s="56">
        <v>42761</v>
      </c>
      <c r="CE146" s="56">
        <v>42767</v>
      </c>
      <c r="CF146" s="56">
        <v>42767</v>
      </c>
      <c r="CG146" s="56">
        <v>42823</v>
      </c>
      <c r="CH146" s="56"/>
      <c r="CI146" s="56"/>
      <c r="CJ146">
        <v>0</v>
      </c>
      <c r="CK146">
        <v>0</v>
      </c>
      <c r="CL146">
        <v>0</v>
      </c>
      <c r="CM146">
        <v>0</v>
      </c>
      <c r="CN146">
        <v>0.05</v>
      </c>
      <c r="CO146">
        <v>0</v>
      </c>
      <c r="CP146">
        <v>0</v>
      </c>
      <c r="CQ146" t="s">
        <v>1618</v>
      </c>
      <c r="CR146" t="s">
        <v>1368</v>
      </c>
      <c r="CS146" t="s">
        <v>1728</v>
      </c>
      <c r="CT146" t="s">
        <v>1724</v>
      </c>
      <c r="CU146" t="s">
        <v>1729</v>
      </c>
      <c r="CV146" t="s">
        <v>1994</v>
      </c>
      <c r="DB146" t="s">
        <v>1785</v>
      </c>
      <c r="DE146" t="s">
        <v>1724</v>
      </c>
    </row>
    <row r="147" spans="1:109" x14ac:dyDescent="0.25">
      <c r="A147" t="s">
        <v>1618</v>
      </c>
      <c r="B147">
        <v>1</v>
      </c>
      <c r="C147" s="56">
        <v>42823</v>
      </c>
      <c r="D147" t="s">
        <v>1619</v>
      </c>
      <c r="E147" t="s">
        <v>1995</v>
      </c>
      <c r="G147" t="s">
        <v>1603</v>
      </c>
      <c r="H147" t="s">
        <v>1603</v>
      </c>
      <c r="I147" t="s">
        <v>1603</v>
      </c>
      <c r="J147" t="s">
        <v>1603</v>
      </c>
      <c r="K147" t="s">
        <v>1603</v>
      </c>
      <c r="L147">
        <v>5.03</v>
      </c>
      <c r="M147">
        <v>19.829999999999998</v>
      </c>
      <c r="N147">
        <v>0</v>
      </c>
      <c r="O147" s="56"/>
      <c r="P147" s="56"/>
      <c r="Q147">
        <v>13717</v>
      </c>
      <c r="R147">
        <v>1</v>
      </c>
      <c r="S147">
        <v>8</v>
      </c>
      <c r="T147">
        <v>4</v>
      </c>
      <c r="U147">
        <v>4</v>
      </c>
      <c r="V147">
        <v>1</v>
      </c>
      <c r="X147" t="s">
        <v>1738</v>
      </c>
      <c r="AA147">
        <v>0</v>
      </c>
      <c r="AB147">
        <v>0</v>
      </c>
      <c r="AC147">
        <v>0</v>
      </c>
      <c r="AD147">
        <v>0</v>
      </c>
      <c r="AE147">
        <v>0</v>
      </c>
      <c r="AF147">
        <v>0</v>
      </c>
      <c r="AG147">
        <v>0</v>
      </c>
      <c r="AJ147" s="56"/>
      <c r="AK147" s="56"/>
      <c r="AL147" s="56"/>
      <c r="AP147" t="s">
        <v>1604</v>
      </c>
      <c r="AR147">
        <v>180</v>
      </c>
      <c r="AS147" t="s">
        <v>1605</v>
      </c>
      <c r="AT147">
        <v>1</v>
      </c>
      <c r="AV147">
        <v>0</v>
      </c>
      <c r="AW147">
        <v>0</v>
      </c>
      <c r="AX147">
        <v>0</v>
      </c>
      <c r="AY147" t="s">
        <v>1606</v>
      </c>
      <c r="AZ147" t="s">
        <v>1606</v>
      </c>
      <c r="BA147">
        <v>0</v>
      </c>
      <c r="BD147">
        <v>1000000000</v>
      </c>
      <c r="BE147">
        <v>166</v>
      </c>
      <c r="BF147">
        <v>0</v>
      </c>
      <c r="BG147">
        <v>0</v>
      </c>
      <c r="BH147">
        <v>0</v>
      </c>
      <c r="BI147">
        <v>0</v>
      </c>
      <c r="BJ147">
        <v>0</v>
      </c>
      <c r="BK147">
        <v>0</v>
      </c>
      <c r="BL147">
        <v>0</v>
      </c>
      <c r="BM147">
        <v>166</v>
      </c>
      <c r="BN147">
        <v>0</v>
      </c>
      <c r="BO147">
        <v>0</v>
      </c>
      <c r="BP147">
        <v>0</v>
      </c>
      <c r="BR147">
        <v>0</v>
      </c>
      <c r="BS147">
        <v>0</v>
      </c>
      <c r="BX147">
        <v>0</v>
      </c>
      <c r="BY147">
        <v>0</v>
      </c>
      <c r="BZ147">
        <v>0</v>
      </c>
      <c r="CA147">
        <v>0</v>
      </c>
      <c r="CC147">
        <v>1</v>
      </c>
      <c r="CD147" s="56">
        <v>42593</v>
      </c>
      <c r="CE147" s="56">
        <v>42767</v>
      </c>
      <c r="CF147" s="56">
        <v>42767</v>
      </c>
      <c r="CG147" s="56">
        <v>42823</v>
      </c>
      <c r="CH147" s="56"/>
      <c r="CI147" s="56"/>
      <c r="CJ147">
        <v>0</v>
      </c>
      <c r="CK147">
        <v>0</v>
      </c>
      <c r="CL147">
        <v>0</v>
      </c>
      <c r="CM147">
        <v>0</v>
      </c>
      <c r="CN147">
        <v>0</v>
      </c>
      <c r="CO147">
        <v>0</v>
      </c>
      <c r="CP147">
        <v>0.05</v>
      </c>
      <c r="CQ147" t="s">
        <v>1618</v>
      </c>
      <c r="CR147" t="s">
        <v>1368</v>
      </c>
      <c r="CS147" t="s">
        <v>1728</v>
      </c>
      <c r="CT147" t="s">
        <v>1724</v>
      </c>
      <c r="CU147" t="s">
        <v>1729</v>
      </c>
      <c r="CV147" t="s">
        <v>1996</v>
      </c>
      <c r="DB147" t="s">
        <v>1964</v>
      </c>
      <c r="DE147" t="s">
        <v>1724</v>
      </c>
    </row>
    <row r="148" spans="1:109" x14ac:dyDescent="0.25">
      <c r="A148" t="s">
        <v>1618</v>
      </c>
      <c r="B148">
        <v>1</v>
      </c>
      <c r="C148" s="56">
        <v>42823</v>
      </c>
      <c r="D148" t="s">
        <v>1619</v>
      </c>
      <c r="E148" t="s">
        <v>1997</v>
      </c>
      <c r="G148" t="s">
        <v>1603</v>
      </c>
      <c r="H148" t="s">
        <v>1603</v>
      </c>
      <c r="I148" t="s">
        <v>1603</v>
      </c>
      <c r="J148" t="s">
        <v>1603</v>
      </c>
      <c r="K148" t="s">
        <v>1603</v>
      </c>
      <c r="L148">
        <v>9.26</v>
      </c>
      <c r="M148">
        <v>11.88</v>
      </c>
      <c r="N148">
        <v>0</v>
      </c>
      <c r="O148" s="56"/>
      <c r="P148" s="56"/>
      <c r="Q148">
        <v>13717</v>
      </c>
      <c r="R148">
        <v>1</v>
      </c>
      <c r="S148">
        <v>8</v>
      </c>
      <c r="T148">
        <v>4</v>
      </c>
      <c r="U148">
        <v>4</v>
      </c>
      <c r="V148">
        <v>1</v>
      </c>
      <c r="X148" t="s">
        <v>1762</v>
      </c>
      <c r="AA148">
        <v>0</v>
      </c>
      <c r="AB148">
        <v>0</v>
      </c>
      <c r="AC148">
        <v>0</v>
      </c>
      <c r="AD148">
        <v>0</v>
      </c>
      <c r="AE148">
        <v>0</v>
      </c>
      <c r="AF148">
        <v>0</v>
      </c>
      <c r="AG148">
        <v>0</v>
      </c>
      <c r="AJ148" s="56"/>
      <c r="AK148" s="56"/>
      <c r="AL148" s="56"/>
      <c r="AP148" t="s">
        <v>1604</v>
      </c>
      <c r="AS148" t="s">
        <v>1605</v>
      </c>
      <c r="AT148">
        <v>1</v>
      </c>
      <c r="AV148">
        <v>0</v>
      </c>
      <c r="AW148">
        <v>0</v>
      </c>
      <c r="AX148">
        <v>0</v>
      </c>
      <c r="AY148" t="s">
        <v>1606</v>
      </c>
      <c r="AZ148" t="s">
        <v>1606</v>
      </c>
      <c r="BA148">
        <v>0</v>
      </c>
      <c r="BD148">
        <v>1000000000</v>
      </c>
      <c r="BE148">
        <v>1</v>
      </c>
      <c r="BF148">
        <v>0</v>
      </c>
      <c r="BG148">
        <v>0</v>
      </c>
      <c r="BH148">
        <v>0</v>
      </c>
      <c r="BI148">
        <v>0</v>
      </c>
      <c r="BJ148">
        <v>0</v>
      </c>
      <c r="BK148">
        <v>0</v>
      </c>
      <c r="BL148">
        <v>0</v>
      </c>
      <c r="BM148">
        <v>1</v>
      </c>
      <c r="BN148">
        <v>0</v>
      </c>
      <c r="BO148">
        <v>0</v>
      </c>
      <c r="BP148">
        <v>0</v>
      </c>
      <c r="BR148">
        <v>0</v>
      </c>
      <c r="BS148">
        <v>0</v>
      </c>
      <c r="BX148">
        <v>0</v>
      </c>
      <c r="BY148">
        <v>0</v>
      </c>
      <c r="BZ148">
        <v>0</v>
      </c>
      <c r="CA148">
        <v>0</v>
      </c>
      <c r="CC148">
        <v>1</v>
      </c>
      <c r="CD148" s="56">
        <v>42558</v>
      </c>
      <c r="CE148" s="56">
        <v>42767</v>
      </c>
      <c r="CF148" s="56">
        <v>42767</v>
      </c>
      <c r="CG148" s="56">
        <v>42823</v>
      </c>
      <c r="CH148" s="56"/>
      <c r="CI148" s="56"/>
      <c r="CJ148">
        <v>0</v>
      </c>
      <c r="CK148">
        <v>0</v>
      </c>
      <c r="CL148">
        <v>0</v>
      </c>
      <c r="CM148">
        <v>0</v>
      </c>
      <c r="CN148">
        <v>0</v>
      </c>
      <c r="CO148">
        <v>0</v>
      </c>
      <c r="CP148">
        <v>0.05</v>
      </c>
      <c r="CQ148" t="s">
        <v>1618</v>
      </c>
      <c r="CR148" t="s">
        <v>1368</v>
      </c>
      <c r="CS148" t="s">
        <v>1728</v>
      </c>
      <c r="CT148" t="s">
        <v>1724</v>
      </c>
      <c r="CU148" t="s">
        <v>1729</v>
      </c>
      <c r="CV148" t="s">
        <v>1998</v>
      </c>
      <c r="DB148" t="s">
        <v>1999</v>
      </c>
      <c r="DE148" t="s">
        <v>1724</v>
      </c>
    </row>
    <row r="149" spans="1:109" x14ac:dyDescent="0.25">
      <c r="A149" t="s">
        <v>1618</v>
      </c>
      <c r="B149">
        <v>1</v>
      </c>
      <c r="C149" s="56">
        <v>42823</v>
      </c>
      <c r="D149" t="s">
        <v>1619</v>
      </c>
      <c r="E149" t="s">
        <v>2000</v>
      </c>
      <c r="G149" t="s">
        <v>1603</v>
      </c>
      <c r="H149" t="s">
        <v>1603</v>
      </c>
      <c r="I149" t="s">
        <v>1603</v>
      </c>
      <c r="J149" t="s">
        <v>1603</v>
      </c>
      <c r="K149" t="s">
        <v>1603</v>
      </c>
      <c r="L149">
        <v>9.27</v>
      </c>
      <c r="M149">
        <v>12.36</v>
      </c>
      <c r="N149">
        <v>0</v>
      </c>
      <c r="O149" s="56"/>
      <c r="P149" s="56"/>
      <c r="Q149">
        <v>13717</v>
      </c>
      <c r="R149">
        <v>1</v>
      </c>
      <c r="S149">
        <v>8</v>
      </c>
      <c r="T149">
        <v>4</v>
      </c>
      <c r="U149">
        <v>4</v>
      </c>
      <c r="V149">
        <v>1</v>
      </c>
      <c r="X149" t="s">
        <v>1762</v>
      </c>
      <c r="AA149">
        <v>0</v>
      </c>
      <c r="AB149">
        <v>0</v>
      </c>
      <c r="AC149">
        <v>0</v>
      </c>
      <c r="AD149">
        <v>0</v>
      </c>
      <c r="AE149">
        <v>0</v>
      </c>
      <c r="AF149">
        <v>0</v>
      </c>
      <c r="AG149">
        <v>0</v>
      </c>
      <c r="AJ149" s="56"/>
      <c r="AK149" s="56"/>
      <c r="AL149" s="56"/>
      <c r="AP149" t="s">
        <v>1604</v>
      </c>
      <c r="AS149" t="s">
        <v>1605</v>
      </c>
      <c r="AT149">
        <v>1</v>
      </c>
      <c r="AV149">
        <v>0</v>
      </c>
      <c r="AW149">
        <v>0</v>
      </c>
      <c r="AX149">
        <v>0</v>
      </c>
      <c r="AY149" t="s">
        <v>1606</v>
      </c>
      <c r="AZ149" t="s">
        <v>1606</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6">
        <v>42558</v>
      </c>
      <c r="CE149" s="56">
        <v>42767</v>
      </c>
      <c r="CF149" s="56">
        <v>42767</v>
      </c>
      <c r="CG149" s="56">
        <v>42823</v>
      </c>
      <c r="CH149" s="56"/>
      <c r="CI149" s="56"/>
      <c r="CJ149">
        <v>0</v>
      </c>
      <c r="CK149">
        <v>0</v>
      </c>
      <c r="CL149">
        <v>0</v>
      </c>
      <c r="CM149">
        <v>0</v>
      </c>
      <c r="CN149">
        <v>0</v>
      </c>
      <c r="CO149">
        <v>0</v>
      </c>
      <c r="CP149">
        <v>0.05</v>
      </c>
      <c r="CQ149" t="s">
        <v>1618</v>
      </c>
      <c r="CR149" t="s">
        <v>1368</v>
      </c>
      <c r="CS149" t="s">
        <v>1728</v>
      </c>
      <c r="CT149" t="s">
        <v>1724</v>
      </c>
      <c r="CU149" t="s">
        <v>1729</v>
      </c>
      <c r="CV149" t="s">
        <v>2001</v>
      </c>
      <c r="DB149" t="s">
        <v>1999</v>
      </c>
      <c r="DE149" t="s">
        <v>1724</v>
      </c>
    </row>
    <row r="150" spans="1:109" x14ac:dyDescent="0.25">
      <c r="A150" t="s">
        <v>1618</v>
      </c>
      <c r="B150">
        <v>1</v>
      </c>
      <c r="C150" s="56">
        <v>42823</v>
      </c>
      <c r="D150" t="s">
        <v>1619</v>
      </c>
      <c r="E150" t="s">
        <v>2002</v>
      </c>
      <c r="G150" t="s">
        <v>1603</v>
      </c>
      <c r="H150" t="s">
        <v>1603</v>
      </c>
      <c r="I150" t="s">
        <v>1603</v>
      </c>
      <c r="J150" t="s">
        <v>1603</v>
      </c>
      <c r="K150" t="s">
        <v>1603</v>
      </c>
      <c r="L150">
        <v>9.26</v>
      </c>
      <c r="M150">
        <v>12.35</v>
      </c>
      <c r="N150">
        <v>0</v>
      </c>
      <c r="O150" s="56"/>
      <c r="P150" s="56"/>
      <c r="Q150">
        <v>13717</v>
      </c>
      <c r="R150">
        <v>1</v>
      </c>
      <c r="S150">
        <v>8</v>
      </c>
      <c r="T150">
        <v>4</v>
      </c>
      <c r="U150">
        <v>4</v>
      </c>
      <c r="V150">
        <v>1</v>
      </c>
      <c r="X150" t="s">
        <v>1762</v>
      </c>
      <c r="AA150">
        <v>0</v>
      </c>
      <c r="AB150">
        <v>0</v>
      </c>
      <c r="AC150">
        <v>0</v>
      </c>
      <c r="AD150">
        <v>0</v>
      </c>
      <c r="AE150">
        <v>0</v>
      </c>
      <c r="AF150">
        <v>0</v>
      </c>
      <c r="AG150">
        <v>0</v>
      </c>
      <c r="AJ150" s="56"/>
      <c r="AK150" s="56"/>
      <c r="AL150" s="56"/>
      <c r="AP150" t="s">
        <v>1604</v>
      </c>
      <c r="AS150" t="s">
        <v>1605</v>
      </c>
      <c r="AT150">
        <v>1</v>
      </c>
      <c r="AV150">
        <v>0</v>
      </c>
      <c r="AW150">
        <v>0</v>
      </c>
      <c r="AX150">
        <v>0</v>
      </c>
      <c r="AY150" t="s">
        <v>1606</v>
      </c>
      <c r="AZ150" t="s">
        <v>1606</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6">
        <v>42558</v>
      </c>
      <c r="CE150" s="56">
        <v>42767</v>
      </c>
      <c r="CF150" s="56">
        <v>42767</v>
      </c>
      <c r="CG150" s="56">
        <v>42823</v>
      </c>
      <c r="CH150" s="56"/>
      <c r="CI150" s="56"/>
      <c r="CJ150">
        <v>1</v>
      </c>
      <c r="CK150">
        <v>0</v>
      </c>
      <c r="CL150">
        <v>0.05</v>
      </c>
      <c r="CM150">
        <v>0</v>
      </c>
      <c r="CN150">
        <v>0</v>
      </c>
      <c r="CO150">
        <v>0</v>
      </c>
      <c r="CP150">
        <v>0</v>
      </c>
      <c r="CQ150" t="s">
        <v>1618</v>
      </c>
      <c r="CR150" t="s">
        <v>1368</v>
      </c>
      <c r="CS150" t="s">
        <v>1728</v>
      </c>
      <c r="CT150" t="s">
        <v>1724</v>
      </c>
      <c r="CU150" t="s">
        <v>1729</v>
      </c>
      <c r="CV150" t="s">
        <v>2003</v>
      </c>
      <c r="DB150" t="s">
        <v>1999</v>
      </c>
      <c r="DE150" t="s">
        <v>1724</v>
      </c>
    </row>
    <row r="151" spans="1:109" x14ac:dyDescent="0.25">
      <c r="A151" t="s">
        <v>1618</v>
      </c>
      <c r="B151">
        <v>1</v>
      </c>
      <c r="C151" s="56">
        <v>42823</v>
      </c>
      <c r="D151" t="s">
        <v>1619</v>
      </c>
      <c r="E151" t="s">
        <v>1453</v>
      </c>
      <c r="G151" t="s">
        <v>1603</v>
      </c>
      <c r="H151" t="s">
        <v>1603</v>
      </c>
      <c r="I151" t="s">
        <v>1603</v>
      </c>
      <c r="J151" t="s">
        <v>1603</v>
      </c>
      <c r="K151" t="s">
        <v>1603</v>
      </c>
      <c r="L151">
        <v>0.93</v>
      </c>
      <c r="M151">
        <v>2.46</v>
      </c>
      <c r="N151">
        <v>0</v>
      </c>
      <c r="O151" s="56"/>
      <c r="P151" s="56"/>
      <c r="Q151">
        <v>13717</v>
      </c>
      <c r="R151">
        <v>1</v>
      </c>
      <c r="S151">
        <v>8</v>
      </c>
      <c r="T151">
        <v>4</v>
      </c>
      <c r="U151">
        <v>4</v>
      </c>
      <c r="V151">
        <v>1</v>
      </c>
      <c r="W151" t="s">
        <v>1723</v>
      </c>
      <c r="X151" t="s">
        <v>1727</v>
      </c>
      <c r="AA151">
        <v>3.75</v>
      </c>
      <c r="AB151">
        <v>45</v>
      </c>
      <c r="AC151">
        <v>6.67</v>
      </c>
      <c r="AD151">
        <v>5.13</v>
      </c>
      <c r="AE151">
        <v>0</v>
      </c>
      <c r="AF151">
        <v>0</v>
      </c>
      <c r="AG151">
        <v>0</v>
      </c>
      <c r="AJ151" s="56"/>
      <c r="AK151" s="56"/>
      <c r="AL151" s="56"/>
      <c r="AP151" t="s">
        <v>1604</v>
      </c>
      <c r="AR151">
        <v>120</v>
      </c>
      <c r="AS151" t="s">
        <v>1605</v>
      </c>
      <c r="AT151">
        <v>1</v>
      </c>
      <c r="AV151">
        <v>100</v>
      </c>
      <c r="AW151">
        <v>67</v>
      </c>
      <c r="AX151">
        <v>33</v>
      </c>
      <c r="AY151" t="s">
        <v>1735</v>
      </c>
      <c r="AZ151" t="s">
        <v>1735</v>
      </c>
      <c r="BA151">
        <v>72</v>
      </c>
      <c r="BD151">
        <v>1000000000</v>
      </c>
      <c r="BE151">
        <v>77</v>
      </c>
      <c r="BF151">
        <v>0.23</v>
      </c>
      <c r="BG151">
        <v>0</v>
      </c>
      <c r="BH151">
        <v>0</v>
      </c>
      <c r="BI151">
        <v>0</v>
      </c>
      <c r="BJ151">
        <v>0</v>
      </c>
      <c r="BK151">
        <v>0</v>
      </c>
      <c r="BL151">
        <v>0</v>
      </c>
      <c r="BM151">
        <v>77</v>
      </c>
      <c r="BN151">
        <v>0.23</v>
      </c>
      <c r="BO151">
        <v>0</v>
      </c>
      <c r="BP151">
        <v>0</v>
      </c>
      <c r="BR151">
        <v>0</v>
      </c>
      <c r="BS151">
        <v>50</v>
      </c>
      <c r="BX151">
        <v>0</v>
      </c>
      <c r="BY151">
        <v>0</v>
      </c>
      <c r="BZ151">
        <v>0</v>
      </c>
      <c r="CA151">
        <v>9.8699999999999992</v>
      </c>
      <c r="CC151">
        <v>1</v>
      </c>
      <c r="CD151" s="56">
        <v>42709</v>
      </c>
      <c r="CE151" s="56">
        <v>42767</v>
      </c>
      <c r="CF151" s="56">
        <v>42767</v>
      </c>
      <c r="CG151" s="56">
        <v>42823</v>
      </c>
      <c r="CH151" s="56"/>
      <c r="CI151" s="56"/>
      <c r="CJ151">
        <v>0</v>
      </c>
      <c r="CK151">
        <v>0</v>
      </c>
      <c r="CL151">
        <v>0</v>
      </c>
      <c r="CM151">
        <v>0</v>
      </c>
      <c r="CN151">
        <v>0</v>
      </c>
      <c r="CO151">
        <v>0.05</v>
      </c>
      <c r="CP151">
        <v>0</v>
      </c>
      <c r="CQ151" t="s">
        <v>1618</v>
      </c>
      <c r="CR151" t="s">
        <v>1368</v>
      </c>
      <c r="CS151" t="s">
        <v>1728</v>
      </c>
      <c r="CT151" t="s">
        <v>1724</v>
      </c>
      <c r="CU151" t="s">
        <v>1729</v>
      </c>
      <c r="CV151" t="s">
        <v>1768</v>
      </c>
      <c r="DB151" t="s">
        <v>1769</v>
      </c>
      <c r="DE151" t="s">
        <v>1724</v>
      </c>
    </row>
    <row r="152" spans="1:109" x14ac:dyDescent="0.25">
      <c r="A152" t="s">
        <v>1618</v>
      </c>
      <c r="B152">
        <v>1</v>
      </c>
      <c r="C152" s="56">
        <v>42823</v>
      </c>
      <c r="D152" t="s">
        <v>1619</v>
      </c>
      <c r="E152" t="s">
        <v>1391</v>
      </c>
      <c r="G152" t="s">
        <v>1603</v>
      </c>
      <c r="H152" t="s">
        <v>1603</v>
      </c>
      <c r="I152" t="s">
        <v>1603</v>
      </c>
      <c r="J152" t="s">
        <v>1603</v>
      </c>
      <c r="K152" t="s">
        <v>1603</v>
      </c>
      <c r="L152">
        <v>1.1499999999999999</v>
      </c>
      <c r="M152">
        <v>3.04</v>
      </c>
      <c r="N152">
        <v>0</v>
      </c>
      <c r="O152" s="56"/>
      <c r="P152" s="56"/>
      <c r="Q152">
        <v>13717</v>
      </c>
      <c r="R152">
        <v>1</v>
      </c>
      <c r="S152">
        <v>8</v>
      </c>
      <c r="T152">
        <v>4</v>
      </c>
      <c r="U152">
        <v>4</v>
      </c>
      <c r="V152">
        <v>1</v>
      </c>
      <c r="X152" t="s">
        <v>1753</v>
      </c>
      <c r="AA152">
        <v>13.77</v>
      </c>
      <c r="AB152">
        <v>166</v>
      </c>
      <c r="AC152">
        <v>4.3600000000000003</v>
      </c>
      <c r="AD152">
        <v>5.01</v>
      </c>
      <c r="AE152">
        <v>0</v>
      </c>
      <c r="AF152">
        <v>0</v>
      </c>
      <c r="AG152">
        <v>0</v>
      </c>
      <c r="AJ152" s="56">
        <v>42666</v>
      </c>
      <c r="AK152" s="56"/>
      <c r="AL152" s="56"/>
      <c r="AP152" t="s">
        <v>1604</v>
      </c>
      <c r="AR152">
        <v>120</v>
      </c>
      <c r="AS152" t="s">
        <v>1605</v>
      </c>
      <c r="AT152">
        <v>1</v>
      </c>
      <c r="AV152">
        <v>240</v>
      </c>
      <c r="AW152">
        <v>160</v>
      </c>
      <c r="AX152">
        <v>79</v>
      </c>
      <c r="AY152" t="s">
        <v>1754</v>
      </c>
      <c r="AZ152" t="s">
        <v>1754</v>
      </c>
      <c r="BA152">
        <v>162</v>
      </c>
      <c r="BD152">
        <v>1000000000</v>
      </c>
      <c r="BE152">
        <v>276</v>
      </c>
      <c r="BF152">
        <v>-0.15</v>
      </c>
      <c r="BG152">
        <v>0</v>
      </c>
      <c r="BH152">
        <v>0</v>
      </c>
      <c r="BI152">
        <v>0</v>
      </c>
      <c r="BJ152">
        <v>0</v>
      </c>
      <c r="BK152">
        <v>0</v>
      </c>
      <c r="BL152">
        <v>0</v>
      </c>
      <c r="BM152">
        <v>276</v>
      </c>
      <c r="BN152">
        <v>-0.15</v>
      </c>
      <c r="BO152">
        <v>0</v>
      </c>
      <c r="BP152">
        <v>0</v>
      </c>
      <c r="BR152">
        <v>0</v>
      </c>
      <c r="BS152">
        <v>120</v>
      </c>
      <c r="BX152">
        <v>0</v>
      </c>
      <c r="BY152">
        <v>41.4</v>
      </c>
      <c r="BZ152">
        <v>0</v>
      </c>
      <c r="CA152">
        <v>9.86</v>
      </c>
      <c r="CC152">
        <v>1</v>
      </c>
      <c r="CD152" s="56">
        <v>42592</v>
      </c>
      <c r="CE152" s="56">
        <v>42767</v>
      </c>
      <c r="CF152" s="56">
        <v>42767</v>
      </c>
      <c r="CG152" s="56">
        <v>42823</v>
      </c>
      <c r="CH152" s="56"/>
      <c r="CI152" s="56"/>
      <c r="CJ152">
        <v>0</v>
      </c>
      <c r="CK152">
        <v>0</v>
      </c>
      <c r="CL152">
        <v>0</v>
      </c>
      <c r="CM152">
        <v>0</v>
      </c>
      <c r="CN152">
        <v>0</v>
      </c>
      <c r="CO152">
        <v>0</v>
      </c>
      <c r="CP152">
        <v>0.05</v>
      </c>
      <c r="CQ152" t="s">
        <v>1618</v>
      </c>
      <c r="CR152" t="s">
        <v>1368</v>
      </c>
      <c r="CS152" t="s">
        <v>1728</v>
      </c>
      <c r="CT152" t="s">
        <v>1724</v>
      </c>
      <c r="CU152" t="s">
        <v>1729</v>
      </c>
      <c r="CV152" t="s">
        <v>2004</v>
      </c>
      <c r="DB152" t="s">
        <v>1769</v>
      </c>
      <c r="DE152" t="s">
        <v>1724</v>
      </c>
    </row>
    <row r="153" spans="1:109" x14ac:dyDescent="0.25">
      <c r="A153" t="s">
        <v>1618</v>
      </c>
      <c r="B153">
        <v>1</v>
      </c>
      <c r="C153" s="56">
        <v>42823</v>
      </c>
      <c r="D153" t="s">
        <v>1619</v>
      </c>
      <c r="E153" t="s">
        <v>1392</v>
      </c>
      <c r="G153" t="s">
        <v>1603</v>
      </c>
      <c r="H153" t="s">
        <v>1603</v>
      </c>
      <c r="I153" t="s">
        <v>1603</v>
      </c>
      <c r="J153" t="s">
        <v>1603</v>
      </c>
      <c r="K153" t="s">
        <v>1603</v>
      </c>
      <c r="L153">
        <v>1.55</v>
      </c>
      <c r="M153">
        <v>4.1399999999999997</v>
      </c>
      <c r="N153">
        <v>0</v>
      </c>
      <c r="O153" s="56"/>
      <c r="P153" s="56"/>
      <c r="Q153">
        <v>13717</v>
      </c>
      <c r="R153">
        <v>1</v>
      </c>
      <c r="S153">
        <v>8</v>
      </c>
      <c r="T153">
        <v>4</v>
      </c>
      <c r="U153">
        <v>4</v>
      </c>
      <c r="V153">
        <v>1</v>
      </c>
      <c r="W153" t="s">
        <v>1723</v>
      </c>
      <c r="X153" t="s">
        <v>1753</v>
      </c>
      <c r="AA153">
        <v>12.47</v>
      </c>
      <c r="AB153">
        <v>150</v>
      </c>
      <c r="AC153">
        <v>4.8099999999999996</v>
      </c>
      <c r="AD153">
        <v>3.19</v>
      </c>
      <c r="AE153">
        <v>0</v>
      </c>
      <c r="AF153">
        <v>0</v>
      </c>
      <c r="AG153">
        <v>0</v>
      </c>
      <c r="AJ153" s="56">
        <v>42666</v>
      </c>
      <c r="AK153" s="56"/>
      <c r="AL153" s="56"/>
      <c r="AP153" t="s">
        <v>1604</v>
      </c>
      <c r="AR153">
        <v>100</v>
      </c>
      <c r="AS153" t="s">
        <v>1605</v>
      </c>
      <c r="AT153">
        <v>1</v>
      </c>
      <c r="AV153">
        <v>240</v>
      </c>
      <c r="AW153">
        <v>160</v>
      </c>
      <c r="AX153">
        <v>79</v>
      </c>
      <c r="AY153" t="s">
        <v>1620</v>
      </c>
      <c r="AZ153" t="s">
        <v>1620</v>
      </c>
      <c r="BA153">
        <v>200</v>
      </c>
      <c r="BD153">
        <v>1000000000</v>
      </c>
      <c r="BE153">
        <v>159</v>
      </c>
      <c r="BF153">
        <v>0.34</v>
      </c>
      <c r="BG153">
        <v>0</v>
      </c>
      <c r="BH153">
        <v>0</v>
      </c>
      <c r="BI153">
        <v>0</v>
      </c>
      <c r="BJ153">
        <v>0</v>
      </c>
      <c r="BK153">
        <v>0</v>
      </c>
      <c r="BL153">
        <v>0</v>
      </c>
      <c r="BM153">
        <v>159</v>
      </c>
      <c r="BN153">
        <v>0.34</v>
      </c>
      <c r="BO153">
        <v>0</v>
      </c>
      <c r="BP153">
        <v>0</v>
      </c>
      <c r="BR153">
        <v>100</v>
      </c>
      <c r="BS153">
        <v>120</v>
      </c>
      <c r="BX153">
        <v>0</v>
      </c>
      <c r="BY153">
        <v>0</v>
      </c>
      <c r="BZ153">
        <v>0</v>
      </c>
      <c r="CA153">
        <v>10.029999999999999</v>
      </c>
      <c r="CC153">
        <v>1</v>
      </c>
      <c r="CD153" s="56">
        <v>42592</v>
      </c>
      <c r="CE153" s="56">
        <v>42767</v>
      </c>
      <c r="CF153" s="56">
        <v>42767</v>
      </c>
      <c r="CG153" s="56">
        <v>42823</v>
      </c>
      <c r="CH153" s="56"/>
      <c r="CI153" s="56"/>
      <c r="CJ153">
        <v>0</v>
      </c>
      <c r="CK153">
        <v>0</v>
      </c>
      <c r="CL153">
        <v>0</v>
      </c>
      <c r="CM153">
        <v>0</v>
      </c>
      <c r="CN153">
        <v>0.05</v>
      </c>
      <c r="CO153">
        <v>0</v>
      </c>
      <c r="CP153">
        <v>0</v>
      </c>
      <c r="CQ153" t="s">
        <v>1618</v>
      </c>
      <c r="CR153" t="s">
        <v>1368</v>
      </c>
      <c r="CS153" t="s">
        <v>1728</v>
      </c>
      <c r="CT153" t="s">
        <v>1724</v>
      </c>
      <c r="CU153" t="s">
        <v>1729</v>
      </c>
      <c r="CV153" t="s">
        <v>2005</v>
      </c>
      <c r="DB153" t="s">
        <v>1769</v>
      </c>
      <c r="DE153" t="s">
        <v>1724</v>
      </c>
    </row>
    <row r="154" spans="1:109" x14ac:dyDescent="0.25">
      <c r="A154" t="s">
        <v>1618</v>
      </c>
      <c r="B154">
        <v>1</v>
      </c>
      <c r="C154" s="56">
        <v>42823</v>
      </c>
      <c r="D154" t="s">
        <v>1619</v>
      </c>
      <c r="E154" t="s">
        <v>1454</v>
      </c>
      <c r="G154" t="s">
        <v>1603</v>
      </c>
      <c r="H154" t="s">
        <v>1603</v>
      </c>
      <c r="I154" t="s">
        <v>1603</v>
      </c>
      <c r="J154" t="s">
        <v>1603</v>
      </c>
      <c r="K154" t="s">
        <v>1603</v>
      </c>
      <c r="L154">
        <v>3.95</v>
      </c>
      <c r="M154">
        <v>2</v>
      </c>
      <c r="N154">
        <v>0</v>
      </c>
      <c r="O154" s="56"/>
      <c r="P154" s="56"/>
      <c r="Q154">
        <v>13717</v>
      </c>
      <c r="R154">
        <v>1</v>
      </c>
      <c r="S154">
        <v>8</v>
      </c>
      <c r="T154">
        <v>4</v>
      </c>
      <c r="U154">
        <v>4</v>
      </c>
      <c r="V154">
        <v>1</v>
      </c>
      <c r="X154" t="s">
        <v>1727</v>
      </c>
      <c r="AA154">
        <v>0.04</v>
      </c>
      <c r="AB154">
        <v>1</v>
      </c>
      <c r="AC154">
        <v>0</v>
      </c>
      <c r="AD154">
        <v>912.5</v>
      </c>
      <c r="AE154">
        <v>0</v>
      </c>
      <c r="AF154">
        <v>0</v>
      </c>
      <c r="AG154">
        <v>0</v>
      </c>
      <c r="AJ154" s="56">
        <v>42666</v>
      </c>
      <c r="AK154" s="56"/>
      <c r="AL154" s="56"/>
      <c r="AP154" t="s">
        <v>1604</v>
      </c>
      <c r="AR154">
        <v>18</v>
      </c>
      <c r="AS154" t="s">
        <v>1605</v>
      </c>
      <c r="AT154">
        <v>1</v>
      </c>
      <c r="AV154">
        <v>0</v>
      </c>
      <c r="AW154">
        <v>0</v>
      </c>
      <c r="AX154">
        <v>0</v>
      </c>
      <c r="AY154" t="s">
        <v>1606</v>
      </c>
      <c r="AZ154" t="s">
        <v>1606</v>
      </c>
      <c r="BA154">
        <v>144</v>
      </c>
      <c r="BD154">
        <v>1000000000</v>
      </c>
      <c r="BE154">
        <v>146</v>
      </c>
      <c r="BF154">
        <v>0</v>
      </c>
      <c r="BG154">
        <v>0</v>
      </c>
      <c r="BH154">
        <v>0</v>
      </c>
      <c r="BI154">
        <v>0</v>
      </c>
      <c r="BJ154">
        <v>0</v>
      </c>
      <c r="BK154">
        <v>0</v>
      </c>
      <c r="BL154">
        <v>0</v>
      </c>
      <c r="BM154">
        <v>146</v>
      </c>
      <c r="BN154">
        <v>0</v>
      </c>
      <c r="BO154">
        <v>0</v>
      </c>
      <c r="BP154">
        <v>0</v>
      </c>
      <c r="BR154">
        <v>0</v>
      </c>
      <c r="BS154">
        <v>0</v>
      </c>
      <c r="BX154">
        <v>0</v>
      </c>
      <c r="BY154">
        <v>0</v>
      </c>
      <c r="BZ154">
        <v>0</v>
      </c>
      <c r="CA154">
        <v>0</v>
      </c>
      <c r="CC154">
        <v>1</v>
      </c>
      <c r="CD154" s="56">
        <v>42709</v>
      </c>
      <c r="CE154" s="56">
        <v>42767</v>
      </c>
      <c r="CF154" s="56">
        <v>42767</v>
      </c>
      <c r="CG154" s="56">
        <v>42823</v>
      </c>
      <c r="CH154" s="56"/>
      <c r="CI154" s="56"/>
      <c r="CJ154">
        <v>0</v>
      </c>
      <c r="CK154">
        <v>0</v>
      </c>
      <c r="CL154">
        <v>0</v>
      </c>
      <c r="CM154">
        <v>0</v>
      </c>
      <c r="CN154">
        <v>0</v>
      </c>
      <c r="CO154">
        <v>0</v>
      </c>
      <c r="CP154">
        <v>0.05</v>
      </c>
      <c r="CQ154" t="s">
        <v>1618</v>
      </c>
      <c r="CR154" t="s">
        <v>1368</v>
      </c>
      <c r="CS154" t="s">
        <v>1728</v>
      </c>
      <c r="CT154" t="s">
        <v>1724</v>
      </c>
      <c r="CU154" t="s">
        <v>1729</v>
      </c>
      <c r="CV154" t="s">
        <v>2006</v>
      </c>
      <c r="DB154" t="s">
        <v>1769</v>
      </c>
      <c r="DE154" t="s">
        <v>1724</v>
      </c>
    </row>
    <row r="155" spans="1:109" x14ac:dyDescent="0.25">
      <c r="A155" t="s">
        <v>1618</v>
      </c>
      <c r="B155">
        <v>1</v>
      </c>
      <c r="C155" s="56">
        <v>42823</v>
      </c>
      <c r="D155" t="s">
        <v>1619</v>
      </c>
      <c r="E155" t="s">
        <v>1455</v>
      </c>
      <c r="G155" t="s">
        <v>1603</v>
      </c>
      <c r="H155" t="s">
        <v>1603</v>
      </c>
      <c r="I155" t="s">
        <v>1603</v>
      </c>
      <c r="J155" t="s">
        <v>1603</v>
      </c>
      <c r="K155" t="s">
        <v>1603</v>
      </c>
      <c r="L155">
        <v>3.88</v>
      </c>
      <c r="M155">
        <v>17.940000000000001</v>
      </c>
      <c r="N155">
        <v>0</v>
      </c>
      <c r="O155" s="56"/>
      <c r="P155" s="56"/>
      <c r="Q155">
        <v>13717</v>
      </c>
      <c r="R155">
        <v>1</v>
      </c>
      <c r="S155">
        <v>8</v>
      </c>
      <c r="T155">
        <v>4</v>
      </c>
      <c r="U155">
        <v>4</v>
      </c>
      <c r="V155">
        <v>1</v>
      </c>
      <c r="X155" t="s">
        <v>1727</v>
      </c>
      <c r="Z155" t="s">
        <v>1734</v>
      </c>
      <c r="AA155">
        <v>0.23</v>
      </c>
      <c r="AB155">
        <v>3</v>
      </c>
      <c r="AC155">
        <v>26.09</v>
      </c>
      <c r="AD155">
        <v>119.57</v>
      </c>
      <c r="AE155">
        <v>0</v>
      </c>
      <c r="AF155">
        <v>0</v>
      </c>
      <c r="AG155">
        <v>0</v>
      </c>
      <c r="AJ155" s="56"/>
      <c r="AK155" s="56"/>
      <c r="AL155" s="56"/>
      <c r="AP155" t="s">
        <v>1604</v>
      </c>
      <c r="AR155">
        <v>18</v>
      </c>
      <c r="AS155" t="s">
        <v>1605</v>
      </c>
      <c r="AT155">
        <v>1</v>
      </c>
      <c r="AV155">
        <v>24</v>
      </c>
      <c r="AW155">
        <v>16</v>
      </c>
      <c r="AX155">
        <v>8</v>
      </c>
      <c r="AY155" t="s">
        <v>1754</v>
      </c>
      <c r="AZ155" t="s">
        <v>1754</v>
      </c>
      <c r="BA155">
        <v>39</v>
      </c>
      <c r="BD155">
        <v>1000000000</v>
      </c>
      <c r="BE155">
        <v>110</v>
      </c>
      <c r="BF155">
        <v>-3.58</v>
      </c>
      <c r="BG155">
        <v>0</v>
      </c>
      <c r="BH155">
        <v>0</v>
      </c>
      <c r="BI155">
        <v>0</v>
      </c>
      <c r="BJ155">
        <v>0</v>
      </c>
      <c r="BK155">
        <v>0</v>
      </c>
      <c r="BL155">
        <v>0</v>
      </c>
      <c r="BM155">
        <v>110</v>
      </c>
      <c r="BN155">
        <v>-3.58</v>
      </c>
      <c r="BO155">
        <v>0</v>
      </c>
      <c r="BP155">
        <v>0</v>
      </c>
      <c r="BR155">
        <v>0</v>
      </c>
      <c r="BS155">
        <v>12</v>
      </c>
      <c r="BX155">
        <v>0</v>
      </c>
      <c r="BY155">
        <v>333.68</v>
      </c>
      <c r="BZ155">
        <v>0</v>
      </c>
      <c r="CA155">
        <v>21.74</v>
      </c>
      <c r="CC155">
        <v>1</v>
      </c>
      <c r="CD155" s="56">
        <v>42709</v>
      </c>
      <c r="CE155" s="56">
        <v>42767</v>
      </c>
      <c r="CF155" s="56">
        <v>42767</v>
      </c>
      <c r="CG155" s="56">
        <v>42823</v>
      </c>
      <c r="CH155" s="56"/>
      <c r="CI155" s="56"/>
      <c r="CJ155">
        <v>0</v>
      </c>
      <c r="CK155">
        <v>0</v>
      </c>
      <c r="CL155">
        <v>0</v>
      </c>
      <c r="CM155">
        <v>0</v>
      </c>
      <c r="CN155">
        <v>0</v>
      </c>
      <c r="CO155">
        <v>0</v>
      </c>
      <c r="CP155">
        <v>0.05</v>
      </c>
      <c r="CQ155" t="s">
        <v>1618</v>
      </c>
      <c r="CR155" t="s">
        <v>1368</v>
      </c>
      <c r="CS155" t="s">
        <v>1728</v>
      </c>
      <c r="CT155" t="s">
        <v>1724</v>
      </c>
      <c r="CU155" t="s">
        <v>1729</v>
      </c>
      <c r="CV155" t="s">
        <v>2007</v>
      </c>
      <c r="DB155" t="s">
        <v>1769</v>
      </c>
      <c r="DE155" t="s">
        <v>1724</v>
      </c>
    </row>
    <row r="156" spans="1:109" x14ac:dyDescent="0.25">
      <c r="A156" t="s">
        <v>1618</v>
      </c>
      <c r="B156">
        <v>1</v>
      </c>
      <c r="C156" s="56">
        <v>42823</v>
      </c>
      <c r="D156" t="s">
        <v>1619</v>
      </c>
      <c r="E156" t="s">
        <v>1725</v>
      </c>
      <c r="G156" t="s">
        <v>1603</v>
      </c>
      <c r="H156" t="s">
        <v>1603</v>
      </c>
      <c r="I156" t="s">
        <v>1603</v>
      </c>
      <c r="J156" t="s">
        <v>1603</v>
      </c>
      <c r="K156" t="s">
        <v>1603</v>
      </c>
      <c r="L156">
        <v>0</v>
      </c>
      <c r="M156">
        <v>22.36</v>
      </c>
      <c r="N156">
        <v>0</v>
      </c>
      <c r="O156" s="56"/>
      <c r="P156" s="56"/>
      <c r="Q156">
        <v>13717</v>
      </c>
      <c r="R156">
        <v>1</v>
      </c>
      <c r="S156">
        <v>8</v>
      </c>
      <c r="T156">
        <v>4</v>
      </c>
      <c r="U156">
        <v>4</v>
      </c>
      <c r="V156">
        <v>1</v>
      </c>
      <c r="W156" t="s">
        <v>1723</v>
      </c>
      <c r="X156" t="s">
        <v>1727</v>
      </c>
      <c r="Y156">
        <v>32</v>
      </c>
      <c r="AA156">
        <v>0</v>
      </c>
      <c r="AB156">
        <v>0</v>
      </c>
      <c r="AC156">
        <v>0</v>
      </c>
      <c r="AD156">
        <v>0</v>
      </c>
      <c r="AE156">
        <v>0</v>
      </c>
      <c r="AF156">
        <v>1</v>
      </c>
      <c r="AG156">
        <v>0</v>
      </c>
      <c r="AJ156" s="56"/>
      <c r="AK156" s="56"/>
      <c r="AL156" s="56"/>
      <c r="AP156" t="s">
        <v>1604</v>
      </c>
      <c r="AR156">
        <v>18</v>
      </c>
      <c r="AS156" t="s">
        <v>1605</v>
      </c>
      <c r="AT156">
        <v>1</v>
      </c>
      <c r="AV156">
        <v>24</v>
      </c>
      <c r="AW156">
        <v>16</v>
      </c>
      <c r="AX156">
        <v>8</v>
      </c>
      <c r="AY156" t="s">
        <v>838</v>
      </c>
      <c r="AZ156" t="s">
        <v>838</v>
      </c>
      <c r="BA156">
        <v>0</v>
      </c>
      <c r="BD156">
        <v>1000000000</v>
      </c>
      <c r="BE156">
        <v>0</v>
      </c>
      <c r="BF156">
        <v>1</v>
      </c>
      <c r="BG156">
        <v>0</v>
      </c>
      <c r="BH156">
        <v>0</v>
      </c>
      <c r="BI156">
        <v>0</v>
      </c>
      <c r="BJ156">
        <v>0</v>
      </c>
      <c r="BK156">
        <v>0</v>
      </c>
      <c r="BL156">
        <v>0</v>
      </c>
      <c r="BM156">
        <v>0</v>
      </c>
      <c r="BN156">
        <v>1</v>
      </c>
      <c r="BO156">
        <v>0</v>
      </c>
      <c r="BP156">
        <v>0</v>
      </c>
      <c r="BR156">
        <v>18</v>
      </c>
      <c r="BS156">
        <v>12</v>
      </c>
      <c r="BX156">
        <v>178.88</v>
      </c>
      <c r="BY156">
        <v>0</v>
      </c>
      <c r="BZ156">
        <v>0</v>
      </c>
      <c r="CA156">
        <v>0</v>
      </c>
      <c r="CC156">
        <v>1</v>
      </c>
      <c r="CD156" s="56">
        <v>42709</v>
      </c>
      <c r="CE156" s="56">
        <v>42767</v>
      </c>
      <c r="CF156" s="56">
        <v>42767</v>
      </c>
      <c r="CG156" s="56">
        <v>42823</v>
      </c>
      <c r="CH156" s="56"/>
      <c r="CI156" s="56"/>
      <c r="CJ156">
        <v>1</v>
      </c>
      <c r="CK156">
        <v>16</v>
      </c>
      <c r="CL156">
        <v>0.05</v>
      </c>
      <c r="CM156">
        <v>0</v>
      </c>
      <c r="CN156">
        <v>0</v>
      </c>
      <c r="CO156">
        <v>0</v>
      </c>
      <c r="CP156">
        <v>0</v>
      </c>
      <c r="CQ156" t="s">
        <v>1618</v>
      </c>
      <c r="CR156" t="s">
        <v>1368</v>
      </c>
      <c r="CS156" t="s">
        <v>1728</v>
      </c>
      <c r="CT156" t="s">
        <v>1724</v>
      </c>
      <c r="CU156" t="s">
        <v>1729</v>
      </c>
      <c r="CV156" t="s">
        <v>2008</v>
      </c>
      <c r="DB156" t="s">
        <v>1769</v>
      </c>
      <c r="DE156" t="s">
        <v>1724</v>
      </c>
    </row>
    <row r="157" spans="1:109" x14ac:dyDescent="0.25">
      <c r="A157" t="s">
        <v>1618</v>
      </c>
      <c r="B157">
        <v>1</v>
      </c>
      <c r="C157" s="56">
        <v>42823</v>
      </c>
      <c r="D157" t="s">
        <v>1619</v>
      </c>
      <c r="E157" t="s">
        <v>1456</v>
      </c>
      <c r="G157" t="s">
        <v>1603</v>
      </c>
      <c r="H157" t="s">
        <v>1603</v>
      </c>
      <c r="I157" t="s">
        <v>1603</v>
      </c>
      <c r="J157" t="s">
        <v>1603</v>
      </c>
      <c r="K157" t="s">
        <v>1603</v>
      </c>
      <c r="L157">
        <v>3.91</v>
      </c>
      <c r="M157">
        <v>16.12</v>
      </c>
      <c r="N157">
        <v>0</v>
      </c>
      <c r="O157" s="56"/>
      <c r="P157" s="56"/>
      <c r="Q157">
        <v>13717</v>
      </c>
      <c r="R157">
        <v>1</v>
      </c>
      <c r="S157">
        <v>8</v>
      </c>
      <c r="T157">
        <v>4</v>
      </c>
      <c r="U157">
        <v>4</v>
      </c>
      <c r="V157">
        <v>1</v>
      </c>
      <c r="X157" t="s">
        <v>1753</v>
      </c>
      <c r="AA157">
        <v>0.86</v>
      </c>
      <c r="AB157">
        <v>11</v>
      </c>
      <c r="AC157">
        <v>0</v>
      </c>
      <c r="AD157">
        <v>27.91</v>
      </c>
      <c r="AE157">
        <v>0</v>
      </c>
      <c r="AF157">
        <v>0</v>
      </c>
      <c r="AG157">
        <v>0</v>
      </c>
      <c r="AJ157" s="56"/>
      <c r="AK157" s="56"/>
      <c r="AL157" s="56"/>
      <c r="AP157" t="s">
        <v>1604</v>
      </c>
      <c r="AR157">
        <v>18</v>
      </c>
      <c r="AS157" t="s">
        <v>1605</v>
      </c>
      <c r="AT157">
        <v>1</v>
      </c>
      <c r="AV157">
        <v>0</v>
      </c>
      <c r="AW157">
        <v>0</v>
      </c>
      <c r="AX157">
        <v>0</v>
      </c>
      <c r="AY157" t="s">
        <v>1606</v>
      </c>
      <c r="AZ157" t="s">
        <v>1606</v>
      </c>
      <c r="BA157">
        <v>36</v>
      </c>
      <c r="BD157">
        <v>1000000000</v>
      </c>
      <c r="BE157">
        <v>96</v>
      </c>
      <c r="BF157">
        <v>0</v>
      </c>
      <c r="BG157">
        <v>0</v>
      </c>
      <c r="BH157">
        <v>0</v>
      </c>
      <c r="BI157">
        <v>0</v>
      </c>
      <c r="BJ157">
        <v>0</v>
      </c>
      <c r="BK157">
        <v>0</v>
      </c>
      <c r="BL157">
        <v>0</v>
      </c>
      <c r="BM157">
        <v>96</v>
      </c>
      <c r="BN157">
        <v>0</v>
      </c>
      <c r="BO157">
        <v>0</v>
      </c>
      <c r="BP157">
        <v>0</v>
      </c>
      <c r="BR157">
        <v>0</v>
      </c>
      <c r="BS157">
        <v>0</v>
      </c>
      <c r="BX157">
        <v>0</v>
      </c>
      <c r="BY157">
        <v>0</v>
      </c>
      <c r="BZ157">
        <v>0</v>
      </c>
      <c r="CA157">
        <v>0</v>
      </c>
      <c r="CC157">
        <v>1</v>
      </c>
      <c r="CD157" s="56">
        <v>42592</v>
      </c>
      <c r="CE157" s="56">
        <v>42767</v>
      </c>
      <c r="CF157" s="56">
        <v>42767</v>
      </c>
      <c r="CG157" s="56">
        <v>42823</v>
      </c>
      <c r="CH157" s="56"/>
      <c r="CI157" s="56"/>
      <c r="CJ157">
        <v>0</v>
      </c>
      <c r="CK157">
        <v>0</v>
      </c>
      <c r="CL157">
        <v>0</v>
      </c>
      <c r="CM157">
        <v>0</v>
      </c>
      <c r="CN157">
        <v>0</v>
      </c>
      <c r="CO157">
        <v>0</v>
      </c>
      <c r="CP157">
        <v>0.05</v>
      </c>
      <c r="CQ157" t="s">
        <v>1618</v>
      </c>
      <c r="CR157" t="s">
        <v>1368</v>
      </c>
      <c r="CS157" t="s">
        <v>1728</v>
      </c>
      <c r="CT157" t="s">
        <v>1724</v>
      </c>
      <c r="CU157" t="s">
        <v>1729</v>
      </c>
      <c r="CV157" t="s">
        <v>2009</v>
      </c>
      <c r="DB157" t="s">
        <v>1769</v>
      </c>
      <c r="DE157" t="s">
        <v>1724</v>
      </c>
    </row>
    <row r="158" spans="1:109" x14ac:dyDescent="0.25">
      <c r="A158" t="s">
        <v>1618</v>
      </c>
      <c r="B158">
        <v>1</v>
      </c>
      <c r="C158" s="56">
        <v>42823</v>
      </c>
      <c r="D158" t="s">
        <v>1619</v>
      </c>
      <c r="E158" t="s">
        <v>1457</v>
      </c>
      <c r="G158" t="s">
        <v>1603</v>
      </c>
      <c r="H158" t="s">
        <v>1603</v>
      </c>
      <c r="I158" t="s">
        <v>1603</v>
      </c>
      <c r="J158" t="s">
        <v>1603</v>
      </c>
      <c r="K158" t="s">
        <v>1603</v>
      </c>
      <c r="L158">
        <v>3.81</v>
      </c>
      <c r="M158">
        <v>19.48</v>
      </c>
      <c r="N158">
        <v>0</v>
      </c>
      <c r="O158" s="56"/>
      <c r="P158" s="56"/>
      <c r="Q158">
        <v>13717</v>
      </c>
      <c r="R158">
        <v>1</v>
      </c>
      <c r="S158">
        <v>8</v>
      </c>
      <c r="T158">
        <v>4</v>
      </c>
      <c r="U158">
        <v>4</v>
      </c>
      <c r="V158">
        <v>1</v>
      </c>
      <c r="X158" t="s">
        <v>1727</v>
      </c>
      <c r="Z158" t="s">
        <v>1734</v>
      </c>
      <c r="AA158">
        <v>0.39</v>
      </c>
      <c r="AB158">
        <v>5</v>
      </c>
      <c r="AC158">
        <v>15.38</v>
      </c>
      <c r="AD158">
        <v>47.44</v>
      </c>
      <c r="AE158">
        <v>0</v>
      </c>
      <c r="AF158">
        <v>0</v>
      </c>
      <c r="AG158">
        <v>0</v>
      </c>
      <c r="AJ158" s="56"/>
      <c r="AK158" s="56"/>
      <c r="AL158" s="56"/>
      <c r="AP158" t="s">
        <v>1604</v>
      </c>
      <c r="AR158">
        <v>18</v>
      </c>
      <c r="AS158" t="s">
        <v>1605</v>
      </c>
      <c r="AT158">
        <v>1</v>
      </c>
      <c r="AV158">
        <v>24</v>
      </c>
      <c r="AW158">
        <v>16</v>
      </c>
      <c r="AX158">
        <v>8</v>
      </c>
      <c r="AY158" t="s">
        <v>1754</v>
      </c>
      <c r="AZ158" t="s">
        <v>1754</v>
      </c>
      <c r="BA158">
        <v>39</v>
      </c>
      <c r="BD158">
        <v>1000000000</v>
      </c>
      <c r="BE158">
        <v>74</v>
      </c>
      <c r="BF158">
        <v>-2.08</v>
      </c>
      <c r="BG158">
        <v>0</v>
      </c>
      <c r="BH158">
        <v>0</v>
      </c>
      <c r="BI158">
        <v>0</v>
      </c>
      <c r="BJ158">
        <v>0</v>
      </c>
      <c r="BK158">
        <v>0</v>
      </c>
      <c r="BL158">
        <v>0</v>
      </c>
      <c r="BM158">
        <v>74</v>
      </c>
      <c r="BN158">
        <v>-2.08</v>
      </c>
      <c r="BO158">
        <v>0</v>
      </c>
      <c r="BP158">
        <v>0</v>
      </c>
      <c r="BR158">
        <v>0</v>
      </c>
      <c r="BS158">
        <v>12</v>
      </c>
      <c r="BX158">
        <v>0</v>
      </c>
      <c r="BY158">
        <v>190.5</v>
      </c>
      <c r="BZ158">
        <v>0</v>
      </c>
      <c r="CA158">
        <v>24.68</v>
      </c>
      <c r="CC158">
        <v>1</v>
      </c>
      <c r="CD158" s="56">
        <v>42709</v>
      </c>
      <c r="CE158" s="56">
        <v>42767</v>
      </c>
      <c r="CF158" s="56">
        <v>42767</v>
      </c>
      <c r="CG158" s="56">
        <v>42823</v>
      </c>
      <c r="CH158" s="56"/>
      <c r="CI158" s="56"/>
      <c r="CJ158">
        <v>0</v>
      </c>
      <c r="CK158">
        <v>0</v>
      </c>
      <c r="CL158">
        <v>0</v>
      </c>
      <c r="CM158">
        <v>0</v>
      </c>
      <c r="CN158">
        <v>0</v>
      </c>
      <c r="CO158">
        <v>0</v>
      </c>
      <c r="CP158">
        <v>0.05</v>
      </c>
      <c r="CQ158" t="s">
        <v>1618</v>
      </c>
      <c r="CR158" t="s">
        <v>1368</v>
      </c>
      <c r="CS158" t="s">
        <v>1728</v>
      </c>
      <c r="CT158" t="s">
        <v>1724</v>
      </c>
      <c r="CU158" t="s">
        <v>1729</v>
      </c>
      <c r="CV158" t="s">
        <v>2010</v>
      </c>
      <c r="DB158" t="s">
        <v>1769</v>
      </c>
      <c r="DE158" t="s">
        <v>1724</v>
      </c>
    </row>
    <row r="159" spans="1:109" x14ac:dyDescent="0.25">
      <c r="A159" t="s">
        <v>1618</v>
      </c>
      <c r="B159">
        <v>1</v>
      </c>
      <c r="C159" s="56">
        <v>42823</v>
      </c>
      <c r="D159" t="s">
        <v>1619</v>
      </c>
      <c r="E159" t="s">
        <v>1726</v>
      </c>
      <c r="G159" t="s">
        <v>1603</v>
      </c>
      <c r="H159" t="s">
        <v>1603</v>
      </c>
      <c r="I159" t="s">
        <v>1603</v>
      </c>
      <c r="J159" t="s">
        <v>1603</v>
      </c>
      <c r="K159" t="s">
        <v>1603</v>
      </c>
      <c r="L159">
        <v>0</v>
      </c>
      <c r="M159">
        <v>22.36</v>
      </c>
      <c r="N159">
        <v>0</v>
      </c>
      <c r="O159" s="56"/>
      <c r="P159" s="56"/>
      <c r="Q159">
        <v>13717</v>
      </c>
      <c r="R159">
        <v>1</v>
      </c>
      <c r="S159">
        <v>8</v>
      </c>
      <c r="T159">
        <v>4</v>
      </c>
      <c r="U159">
        <v>4</v>
      </c>
      <c r="V159">
        <v>1</v>
      </c>
      <c r="W159" t="s">
        <v>1723</v>
      </c>
      <c r="X159" t="s">
        <v>1727</v>
      </c>
      <c r="Y159">
        <v>32</v>
      </c>
      <c r="AA159">
        <v>0</v>
      </c>
      <c r="AB159">
        <v>0</v>
      </c>
      <c r="AC159">
        <v>0</v>
      </c>
      <c r="AD159">
        <v>0</v>
      </c>
      <c r="AE159">
        <v>0</v>
      </c>
      <c r="AF159">
        <v>1</v>
      </c>
      <c r="AG159">
        <v>0</v>
      </c>
      <c r="AJ159" s="56"/>
      <c r="AK159" s="56"/>
      <c r="AL159" s="56"/>
      <c r="AP159" t="s">
        <v>1604</v>
      </c>
      <c r="AR159">
        <v>18</v>
      </c>
      <c r="AS159" t="s">
        <v>1605</v>
      </c>
      <c r="AT159">
        <v>1</v>
      </c>
      <c r="AV159">
        <v>24</v>
      </c>
      <c r="AW159">
        <v>16</v>
      </c>
      <c r="AX159">
        <v>8</v>
      </c>
      <c r="AY159" t="s">
        <v>838</v>
      </c>
      <c r="AZ159" t="s">
        <v>838</v>
      </c>
      <c r="BA159">
        <v>0</v>
      </c>
      <c r="BD159">
        <v>1000000000</v>
      </c>
      <c r="BE159">
        <v>0</v>
      </c>
      <c r="BF159">
        <v>1</v>
      </c>
      <c r="BG159">
        <v>0</v>
      </c>
      <c r="BH159">
        <v>0</v>
      </c>
      <c r="BI159">
        <v>0</v>
      </c>
      <c r="BJ159">
        <v>0</v>
      </c>
      <c r="BK159">
        <v>0</v>
      </c>
      <c r="BL159">
        <v>0</v>
      </c>
      <c r="BM159">
        <v>0</v>
      </c>
      <c r="BN159">
        <v>1</v>
      </c>
      <c r="BO159">
        <v>0</v>
      </c>
      <c r="BP159">
        <v>0</v>
      </c>
      <c r="BR159">
        <v>18</v>
      </c>
      <c r="BS159">
        <v>12</v>
      </c>
      <c r="BX159">
        <v>178.88</v>
      </c>
      <c r="BY159">
        <v>0</v>
      </c>
      <c r="BZ159">
        <v>0</v>
      </c>
      <c r="CA159">
        <v>0</v>
      </c>
      <c r="CC159">
        <v>1</v>
      </c>
      <c r="CD159" s="56">
        <v>42709</v>
      </c>
      <c r="CE159" s="56">
        <v>42767</v>
      </c>
      <c r="CF159" s="56">
        <v>42767</v>
      </c>
      <c r="CG159" s="56">
        <v>42823</v>
      </c>
      <c r="CH159" s="56"/>
      <c r="CI159" s="56"/>
      <c r="CJ159">
        <v>1</v>
      </c>
      <c r="CK159">
        <v>16</v>
      </c>
      <c r="CL159">
        <v>0.05</v>
      </c>
      <c r="CM159">
        <v>0</v>
      </c>
      <c r="CN159">
        <v>0</v>
      </c>
      <c r="CO159">
        <v>0</v>
      </c>
      <c r="CP159">
        <v>0</v>
      </c>
      <c r="CQ159" t="s">
        <v>1618</v>
      </c>
      <c r="CR159" t="s">
        <v>1368</v>
      </c>
      <c r="CS159" t="s">
        <v>1728</v>
      </c>
      <c r="CT159" t="s">
        <v>1724</v>
      </c>
      <c r="CU159" t="s">
        <v>1729</v>
      </c>
      <c r="CV159" t="s">
        <v>2011</v>
      </c>
      <c r="DB159" t="s">
        <v>1769</v>
      </c>
      <c r="DE159" t="s">
        <v>1724</v>
      </c>
    </row>
    <row r="160" spans="1:109" x14ac:dyDescent="0.25">
      <c r="A160" t="s">
        <v>1618</v>
      </c>
      <c r="B160">
        <v>1</v>
      </c>
      <c r="C160" s="56">
        <v>42823</v>
      </c>
      <c r="D160" t="s">
        <v>1619</v>
      </c>
      <c r="E160" t="s">
        <v>2012</v>
      </c>
      <c r="G160" t="s">
        <v>1603</v>
      </c>
      <c r="H160" t="s">
        <v>1603</v>
      </c>
      <c r="I160" t="s">
        <v>1603</v>
      </c>
      <c r="J160" t="s">
        <v>1603</v>
      </c>
      <c r="K160" t="s">
        <v>1603</v>
      </c>
      <c r="L160">
        <v>2.2400000000000002</v>
      </c>
      <c r="M160">
        <v>13.07</v>
      </c>
      <c r="N160">
        <v>0</v>
      </c>
      <c r="O160" s="56"/>
      <c r="P160" s="56"/>
      <c r="Q160">
        <v>13717</v>
      </c>
      <c r="R160">
        <v>1</v>
      </c>
      <c r="S160">
        <v>8</v>
      </c>
      <c r="T160">
        <v>4</v>
      </c>
      <c r="U160">
        <v>4</v>
      </c>
      <c r="V160">
        <v>1</v>
      </c>
      <c r="X160" t="s">
        <v>1749</v>
      </c>
      <c r="AA160">
        <v>0</v>
      </c>
      <c r="AB160">
        <v>0</v>
      </c>
      <c r="AC160">
        <v>0</v>
      </c>
      <c r="AD160">
        <v>0</v>
      </c>
      <c r="AE160">
        <v>0</v>
      </c>
      <c r="AF160">
        <v>0</v>
      </c>
      <c r="AG160">
        <v>0</v>
      </c>
      <c r="AJ160" s="56">
        <v>42666</v>
      </c>
      <c r="AK160" s="56">
        <v>42249</v>
      </c>
      <c r="AL160" s="56"/>
      <c r="AP160" t="s">
        <v>1604</v>
      </c>
      <c r="AR160">
        <v>72</v>
      </c>
      <c r="AS160" t="s">
        <v>1605</v>
      </c>
      <c r="AT160">
        <v>1</v>
      </c>
      <c r="AV160">
        <v>56</v>
      </c>
      <c r="AW160">
        <v>37</v>
      </c>
      <c r="AX160">
        <v>18</v>
      </c>
      <c r="AY160" t="s">
        <v>1754</v>
      </c>
      <c r="AZ160" t="s">
        <v>1754</v>
      </c>
      <c r="BA160">
        <v>80</v>
      </c>
      <c r="BD160">
        <v>1000000000</v>
      </c>
      <c r="BE160">
        <v>65</v>
      </c>
      <c r="BF160">
        <v>-0.16</v>
      </c>
      <c r="BG160">
        <v>0</v>
      </c>
      <c r="BH160">
        <v>0</v>
      </c>
      <c r="BI160">
        <v>0</v>
      </c>
      <c r="BJ160">
        <v>0</v>
      </c>
      <c r="BK160">
        <v>0</v>
      </c>
      <c r="BL160">
        <v>0</v>
      </c>
      <c r="BM160">
        <v>65</v>
      </c>
      <c r="BN160">
        <v>-0.16</v>
      </c>
      <c r="BO160">
        <v>0</v>
      </c>
      <c r="BP160">
        <v>0</v>
      </c>
      <c r="BR160">
        <v>0</v>
      </c>
      <c r="BS160">
        <v>28</v>
      </c>
      <c r="BX160">
        <v>0</v>
      </c>
      <c r="BY160">
        <v>20.16</v>
      </c>
      <c r="BZ160">
        <v>0</v>
      </c>
      <c r="CA160">
        <v>29.01</v>
      </c>
      <c r="CC160">
        <v>1</v>
      </c>
      <c r="CD160" s="56">
        <v>42761</v>
      </c>
      <c r="CE160" s="56">
        <v>42767</v>
      </c>
      <c r="CF160" s="56">
        <v>42767</v>
      </c>
      <c r="CG160" s="56">
        <v>42823</v>
      </c>
      <c r="CH160" s="56"/>
      <c r="CI160" s="56"/>
      <c r="CJ160">
        <v>0</v>
      </c>
      <c r="CK160">
        <v>0</v>
      </c>
      <c r="CL160">
        <v>0</v>
      </c>
      <c r="CM160">
        <v>0</v>
      </c>
      <c r="CN160">
        <v>0</v>
      </c>
      <c r="CO160">
        <v>0</v>
      </c>
      <c r="CP160">
        <v>0.05</v>
      </c>
      <c r="CQ160" t="s">
        <v>1618</v>
      </c>
      <c r="CR160" t="s">
        <v>1368</v>
      </c>
      <c r="CS160" t="s">
        <v>1728</v>
      </c>
      <c r="CT160" t="s">
        <v>1724</v>
      </c>
      <c r="CU160" t="s">
        <v>1729</v>
      </c>
      <c r="CV160" t="s">
        <v>2013</v>
      </c>
      <c r="DB160" t="s">
        <v>2014</v>
      </c>
      <c r="DE160" t="s">
        <v>1724</v>
      </c>
    </row>
    <row r="161" spans="1:109" x14ac:dyDescent="0.25">
      <c r="A161" t="s">
        <v>1618</v>
      </c>
      <c r="B161">
        <v>1</v>
      </c>
      <c r="C161" s="56">
        <v>42823</v>
      </c>
      <c r="D161" t="s">
        <v>1619</v>
      </c>
      <c r="E161" t="s">
        <v>2015</v>
      </c>
      <c r="G161" t="s">
        <v>1603</v>
      </c>
      <c r="H161" t="s">
        <v>1603</v>
      </c>
      <c r="I161" t="s">
        <v>1603</v>
      </c>
      <c r="J161" t="s">
        <v>1603</v>
      </c>
      <c r="K161" t="s">
        <v>1603</v>
      </c>
      <c r="L161">
        <v>3.18</v>
      </c>
      <c r="M161">
        <v>18.84</v>
      </c>
      <c r="N161">
        <v>0</v>
      </c>
      <c r="O161" s="56"/>
      <c r="P161" s="56"/>
      <c r="Q161">
        <v>13717</v>
      </c>
      <c r="R161">
        <v>1</v>
      </c>
      <c r="S161">
        <v>8</v>
      </c>
      <c r="T161">
        <v>4</v>
      </c>
      <c r="U161">
        <v>4</v>
      </c>
      <c r="V161">
        <v>1</v>
      </c>
      <c r="X161" t="s">
        <v>1753</v>
      </c>
      <c r="AA161">
        <v>0</v>
      </c>
      <c r="AB161">
        <v>0</v>
      </c>
      <c r="AC161">
        <v>0</v>
      </c>
      <c r="AD161">
        <v>0</v>
      </c>
      <c r="AE161">
        <v>0</v>
      </c>
      <c r="AF161">
        <v>0</v>
      </c>
      <c r="AG161">
        <v>0</v>
      </c>
      <c r="AJ161" s="56">
        <v>42666</v>
      </c>
      <c r="AK161" s="56"/>
      <c r="AL161" s="56"/>
      <c r="AP161" t="s">
        <v>1604</v>
      </c>
      <c r="AR161">
        <v>30</v>
      </c>
      <c r="AS161" t="s">
        <v>1605</v>
      </c>
      <c r="AT161">
        <v>1</v>
      </c>
      <c r="AV161">
        <v>144</v>
      </c>
      <c r="AW161">
        <v>96</v>
      </c>
      <c r="AX161">
        <v>48</v>
      </c>
      <c r="AY161" t="s">
        <v>1754</v>
      </c>
      <c r="AZ161" t="s">
        <v>1754</v>
      </c>
      <c r="BA161">
        <v>150</v>
      </c>
      <c r="BD161">
        <v>1000000000</v>
      </c>
      <c r="BE161">
        <v>180</v>
      </c>
      <c r="BF161">
        <v>-0.25</v>
      </c>
      <c r="BG161">
        <v>0</v>
      </c>
      <c r="BH161">
        <v>0</v>
      </c>
      <c r="BI161">
        <v>0</v>
      </c>
      <c r="BJ161">
        <v>0</v>
      </c>
      <c r="BK161">
        <v>0</v>
      </c>
      <c r="BL161">
        <v>0</v>
      </c>
      <c r="BM161">
        <v>180</v>
      </c>
      <c r="BN161">
        <v>-0.25</v>
      </c>
      <c r="BO161">
        <v>0</v>
      </c>
      <c r="BP161">
        <v>0</v>
      </c>
      <c r="BR161">
        <v>0</v>
      </c>
      <c r="BS161">
        <v>72</v>
      </c>
      <c r="BX161">
        <v>0</v>
      </c>
      <c r="BY161">
        <v>114.48</v>
      </c>
      <c r="BZ161">
        <v>0</v>
      </c>
      <c r="CA161">
        <v>29.55</v>
      </c>
      <c r="CC161">
        <v>1</v>
      </c>
      <c r="CD161" s="56">
        <v>42592</v>
      </c>
      <c r="CE161" s="56">
        <v>42767</v>
      </c>
      <c r="CF161" s="56">
        <v>42767</v>
      </c>
      <c r="CG161" s="56">
        <v>42823</v>
      </c>
      <c r="CH161" s="56"/>
      <c r="CI161" s="56"/>
      <c r="CJ161">
        <v>0</v>
      </c>
      <c r="CK161">
        <v>0</v>
      </c>
      <c r="CL161">
        <v>0</v>
      </c>
      <c r="CM161">
        <v>0</v>
      </c>
      <c r="CN161">
        <v>0</v>
      </c>
      <c r="CO161">
        <v>0</v>
      </c>
      <c r="CP161">
        <v>0.05</v>
      </c>
      <c r="CQ161" t="s">
        <v>1618</v>
      </c>
      <c r="CR161" t="s">
        <v>1368</v>
      </c>
      <c r="CS161" t="s">
        <v>1728</v>
      </c>
      <c r="CT161" t="s">
        <v>1724</v>
      </c>
      <c r="CU161" t="s">
        <v>1729</v>
      </c>
      <c r="CV161" t="s">
        <v>2016</v>
      </c>
      <c r="DB161" t="s">
        <v>2014</v>
      </c>
      <c r="DE161" t="s">
        <v>1724</v>
      </c>
    </row>
    <row r="162" spans="1:109" x14ac:dyDescent="0.25">
      <c r="A162" t="s">
        <v>1618</v>
      </c>
      <c r="B162">
        <v>1</v>
      </c>
      <c r="C162" s="56">
        <v>42823</v>
      </c>
      <c r="D162" t="s">
        <v>1619</v>
      </c>
      <c r="E162" t="s">
        <v>2017</v>
      </c>
      <c r="G162" t="s">
        <v>1603</v>
      </c>
      <c r="H162" t="s">
        <v>1603</v>
      </c>
      <c r="I162" t="s">
        <v>1603</v>
      </c>
      <c r="J162" t="s">
        <v>1603</v>
      </c>
      <c r="K162" t="s">
        <v>1603</v>
      </c>
      <c r="L162">
        <v>0.34</v>
      </c>
      <c r="M162">
        <v>1.82</v>
      </c>
      <c r="N162">
        <v>0</v>
      </c>
      <c r="O162" s="56"/>
      <c r="P162" s="56"/>
      <c r="Q162">
        <v>13717</v>
      </c>
      <c r="R162">
        <v>1</v>
      </c>
      <c r="S162">
        <v>8</v>
      </c>
      <c r="T162">
        <v>4</v>
      </c>
      <c r="U162">
        <v>4</v>
      </c>
      <c r="V162">
        <v>1</v>
      </c>
      <c r="X162" t="s">
        <v>1738</v>
      </c>
      <c r="AA162">
        <v>0</v>
      </c>
      <c r="AB162">
        <v>0</v>
      </c>
      <c r="AC162">
        <v>0</v>
      </c>
      <c r="AD162">
        <v>0</v>
      </c>
      <c r="AE162">
        <v>0</v>
      </c>
      <c r="AF162">
        <v>0</v>
      </c>
      <c r="AG162">
        <v>0</v>
      </c>
      <c r="AJ162" s="56"/>
      <c r="AK162" s="56"/>
      <c r="AL162" s="56"/>
      <c r="AP162" t="s">
        <v>1604</v>
      </c>
      <c r="AR162">
        <v>300</v>
      </c>
      <c r="AS162" t="s">
        <v>1605</v>
      </c>
      <c r="AT162">
        <v>1</v>
      </c>
      <c r="AV162">
        <v>0</v>
      </c>
      <c r="AW162">
        <v>0</v>
      </c>
      <c r="AX162">
        <v>0</v>
      </c>
      <c r="AY162" t="s">
        <v>1606</v>
      </c>
      <c r="AZ162" t="s">
        <v>1606</v>
      </c>
      <c r="BA162">
        <v>0</v>
      </c>
      <c r="BD162">
        <v>1000000000</v>
      </c>
      <c r="BE162">
        <v>0</v>
      </c>
      <c r="BF162">
        <v>0</v>
      </c>
      <c r="BG162">
        <v>0</v>
      </c>
      <c r="BH162">
        <v>0</v>
      </c>
      <c r="BI162">
        <v>0</v>
      </c>
      <c r="BJ162">
        <v>0</v>
      </c>
      <c r="BK162">
        <v>0</v>
      </c>
      <c r="BL162">
        <v>0</v>
      </c>
      <c r="BM162">
        <v>0</v>
      </c>
      <c r="BN162">
        <v>0</v>
      </c>
      <c r="BO162">
        <v>0</v>
      </c>
      <c r="BP162">
        <v>0</v>
      </c>
      <c r="BR162">
        <v>0</v>
      </c>
      <c r="BS162">
        <v>0</v>
      </c>
      <c r="BX162">
        <v>0</v>
      </c>
      <c r="BY162">
        <v>0</v>
      </c>
      <c r="BZ162">
        <v>0</v>
      </c>
      <c r="CA162">
        <v>0</v>
      </c>
      <c r="CC162">
        <v>1</v>
      </c>
      <c r="CD162" s="56">
        <v>42593</v>
      </c>
      <c r="CE162" s="56">
        <v>42767</v>
      </c>
      <c r="CF162" s="56">
        <v>42767</v>
      </c>
      <c r="CG162" s="56">
        <v>42823</v>
      </c>
      <c r="CH162" s="56"/>
      <c r="CI162" s="56"/>
      <c r="CJ162">
        <v>1</v>
      </c>
      <c r="CK162">
        <v>0</v>
      </c>
      <c r="CL162">
        <v>0.05</v>
      </c>
      <c r="CM162">
        <v>0</v>
      </c>
      <c r="CN162">
        <v>0</v>
      </c>
      <c r="CO162">
        <v>0</v>
      </c>
      <c r="CP162">
        <v>0</v>
      </c>
      <c r="CQ162" t="s">
        <v>1618</v>
      </c>
      <c r="CR162" t="s">
        <v>1368</v>
      </c>
      <c r="CS162" t="s">
        <v>1728</v>
      </c>
      <c r="CT162" t="s">
        <v>1724</v>
      </c>
      <c r="CU162" t="s">
        <v>1729</v>
      </c>
      <c r="CV162" t="s">
        <v>2018</v>
      </c>
      <c r="DB162" t="s">
        <v>2019</v>
      </c>
      <c r="DE162" t="s">
        <v>1724</v>
      </c>
    </row>
    <row r="163" spans="1:109" x14ac:dyDescent="0.25">
      <c r="A163" t="s">
        <v>1618</v>
      </c>
      <c r="B163">
        <v>1</v>
      </c>
      <c r="C163" s="56">
        <v>42823</v>
      </c>
      <c r="D163" t="s">
        <v>1619</v>
      </c>
      <c r="E163" t="s">
        <v>1458</v>
      </c>
      <c r="G163" t="s">
        <v>1603</v>
      </c>
      <c r="H163" t="s">
        <v>1603</v>
      </c>
      <c r="I163" t="s">
        <v>1603</v>
      </c>
      <c r="J163" t="s">
        <v>1603</v>
      </c>
      <c r="K163" t="s">
        <v>1603</v>
      </c>
      <c r="L163">
        <v>8.4600000000000009</v>
      </c>
      <c r="M163">
        <v>22.18</v>
      </c>
      <c r="N163">
        <v>0</v>
      </c>
      <c r="O163" s="56"/>
      <c r="P163" s="56"/>
      <c r="Q163">
        <v>13717</v>
      </c>
      <c r="R163">
        <v>1</v>
      </c>
      <c r="S163">
        <v>8</v>
      </c>
      <c r="T163">
        <v>4</v>
      </c>
      <c r="U163">
        <v>4</v>
      </c>
      <c r="V163">
        <v>1</v>
      </c>
      <c r="X163" t="s">
        <v>1727</v>
      </c>
      <c r="Z163" t="s">
        <v>1734</v>
      </c>
      <c r="AA163">
        <v>0.39</v>
      </c>
      <c r="AB163">
        <v>5</v>
      </c>
      <c r="AC163">
        <v>32.049999999999997</v>
      </c>
      <c r="AD163">
        <v>98.72</v>
      </c>
      <c r="AE163">
        <v>0</v>
      </c>
      <c r="AF163">
        <v>0</v>
      </c>
      <c r="AG163">
        <v>0</v>
      </c>
      <c r="AJ163" s="56"/>
      <c r="AK163" s="56"/>
      <c r="AL163" s="56"/>
      <c r="AP163" t="s">
        <v>1604</v>
      </c>
      <c r="AR163">
        <v>50</v>
      </c>
      <c r="AS163" t="s">
        <v>1605</v>
      </c>
      <c r="AT163">
        <v>1</v>
      </c>
      <c r="AV163">
        <v>50</v>
      </c>
      <c r="AW163">
        <v>33</v>
      </c>
      <c r="AX163">
        <v>17</v>
      </c>
      <c r="AY163" t="s">
        <v>1754</v>
      </c>
      <c r="AZ163" t="s">
        <v>1754</v>
      </c>
      <c r="BA163">
        <v>24</v>
      </c>
      <c r="BD163">
        <v>1000000000</v>
      </c>
      <c r="BE163">
        <v>154</v>
      </c>
      <c r="BF163">
        <v>-2.08</v>
      </c>
      <c r="BG163">
        <v>0</v>
      </c>
      <c r="BH163">
        <v>0</v>
      </c>
      <c r="BI163">
        <v>0</v>
      </c>
      <c r="BJ163">
        <v>0</v>
      </c>
      <c r="BK163">
        <v>0</v>
      </c>
      <c r="BL163">
        <v>0</v>
      </c>
      <c r="BM163">
        <v>154</v>
      </c>
      <c r="BN163">
        <v>-2.08</v>
      </c>
      <c r="BO163">
        <v>0</v>
      </c>
      <c r="BP163">
        <v>0</v>
      </c>
      <c r="BR163">
        <v>0</v>
      </c>
      <c r="BS163">
        <v>25</v>
      </c>
      <c r="BX163">
        <v>0</v>
      </c>
      <c r="BY163">
        <v>879.84</v>
      </c>
      <c r="BZ163">
        <v>0</v>
      </c>
      <c r="CA163">
        <v>9.73</v>
      </c>
      <c r="CC163">
        <v>1</v>
      </c>
      <c r="CD163" s="56">
        <v>42709</v>
      </c>
      <c r="CE163" s="56">
        <v>42767</v>
      </c>
      <c r="CF163" s="56">
        <v>42767</v>
      </c>
      <c r="CG163" s="56">
        <v>42823</v>
      </c>
      <c r="CH163" s="56"/>
      <c r="CI163" s="56"/>
      <c r="CJ163">
        <v>0</v>
      </c>
      <c r="CK163">
        <v>0</v>
      </c>
      <c r="CL163">
        <v>0</v>
      </c>
      <c r="CM163">
        <v>0</v>
      </c>
      <c r="CN163">
        <v>0</v>
      </c>
      <c r="CO163">
        <v>0</v>
      </c>
      <c r="CP163">
        <v>0.05</v>
      </c>
      <c r="CQ163" t="s">
        <v>1618</v>
      </c>
      <c r="CR163" t="s">
        <v>1368</v>
      </c>
      <c r="CS163" t="s">
        <v>1728</v>
      </c>
      <c r="CT163" t="s">
        <v>1724</v>
      </c>
      <c r="CU163" t="s">
        <v>1729</v>
      </c>
      <c r="CV163" t="s">
        <v>2020</v>
      </c>
      <c r="DB163" t="s">
        <v>2021</v>
      </c>
      <c r="DE163" t="s">
        <v>1724</v>
      </c>
    </row>
    <row r="164" spans="1:109" x14ac:dyDescent="0.25">
      <c r="A164" t="s">
        <v>1618</v>
      </c>
      <c r="B164">
        <v>1</v>
      </c>
      <c r="C164" s="56">
        <v>42823</v>
      </c>
      <c r="D164" t="s">
        <v>1619</v>
      </c>
      <c r="E164" t="s">
        <v>2022</v>
      </c>
      <c r="G164" t="s">
        <v>1603</v>
      </c>
      <c r="H164" t="s">
        <v>1603</v>
      </c>
      <c r="I164" t="s">
        <v>1603</v>
      </c>
      <c r="J164" t="s">
        <v>1603</v>
      </c>
      <c r="K164" t="s">
        <v>1603</v>
      </c>
      <c r="L164">
        <v>0.65</v>
      </c>
      <c r="M164">
        <v>2</v>
      </c>
      <c r="N164">
        <v>0</v>
      </c>
      <c r="O164" s="56"/>
      <c r="P164" s="56"/>
      <c r="Q164">
        <v>13717</v>
      </c>
      <c r="R164">
        <v>1</v>
      </c>
      <c r="S164">
        <v>8</v>
      </c>
      <c r="T164">
        <v>4</v>
      </c>
      <c r="U164">
        <v>4</v>
      </c>
      <c r="V164">
        <v>1</v>
      </c>
      <c r="X164" t="s">
        <v>1738</v>
      </c>
      <c r="AA164">
        <v>0</v>
      </c>
      <c r="AB164">
        <v>0</v>
      </c>
      <c r="AC164">
        <v>0</v>
      </c>
      <c r="AD164">
        <v>0</v>
      </c>
      <c r="AE164">
        <v>0</v>
      </c>
      <c r="AF164">
        <v>0</v>
      </c>
      <c r="AG164">
        <v>0</v>
      </c>
      <c r="AJ164" s="56"/>
      <c r="AK164" s="56"/>
      <c r="AL164" s="56"/>
      <c r="AP164" t="s">
        <v>1604</v>
      </c>
      <c r="AR164">
        <v>400</v>
      </c>
      <c r="AS164" t="s">
        <v>1605</v>
      </c>
      <c r="AT164">
        <v>1</v>
      </c>
      <c r="AV164">
        <v>0</v>
      </c>
      <c r="AW164">
        <v>0</v>
      </c>
      <c r="AX164">
        <v>0</v>
      </c>
      <c r="AY164" t="s">
        <v>1606</v>
      </c>
      <c r="AZ164" t="s">
        <v>1606</v>
      </c>
      <c r="BA164">
        <v>0</v>
      </c>
      <c r="BD164">
        <v>1000000000</v>
      </c>
      <c r="BE164">
        <v>0</v>
      </c>
      <c r="BF164">
        <v>0</v>
      </c>
      <c r="BG164">
        <v>0</v>
      </c>
      <c r="BH164">
        <v>0</v>
      </c>
      <c r="BI164">
        <v>0</v>
      </c>
      <c r="BJ164">
        <v>0</v>
      </c>
      <c r="BK164">
        <v>0</v>
      </c>
      <c r="BL164">
        <v>0</v>
      </c>
      <c r="BM164">
        <v>0</v>
      </c>
      <c r="BN164">
        <v>0</v>
      </c>
      <c r="BO164">
        <v>0</v>
      </c>
      <c r="BP164">
        <v>0</v>
      </c>
      <c r="BR164">
        <v>0</v>
      </c>
      <c r="BS164">
        <v>0</v>
      </c>
      <c r="BX164">
        <v>0</v>
      </c>
      <c r="BY164">
        <v>0</v>
      </c>
      <c r="BZ164">
        <v>0</v>
      </c>
      <c r="CA164">
        <v>0</v>
      </c>
      <c r="CC164">
        <v>1</v>
      </c>
      <c r="CD164" s="56">
        <v>42593</v>
      </c>
      <c r="CE164" s="56">
        <v>42767</v>
      </c>
      <c r="CF164" s="56">
        <v>42767</v>
      </c>
      <c r="CG164" s="56">
        <v>42823</v>
      </c>
      <c r="CH164" s="56"/>
      <c r="CI164" s="56"/>
      <c r="CJ164">
        <v>1</v>
      </c>
      <c r="CK164">
        <v>0</v>
      </c>
      <c r="CL164">
        <v>0.05</v>
      </c>
      <c r="CM164">
        <v>0</v>
      </c>
      <c r="CN164">
        <v>0</v>
      </c>
      <c r="CO164">
        <v>0</v>
      </c>
      <c r="CP164">
        <v>0</v>
      </c>
      <c r="CQ164" t="s">
        <v>1618</v>
      </c>
      <c r="CR164" t="s">
        <v>1368</v>
      </c>
      <c r="CS164" t="s">
        <v>1728</v>
      </c>
      <c r="CT164" t="s">
        <v>1724</v>
      </c>
      <c r="CU164" t="s">
        <v>1729</v>
      </c>
      <c r="CV164" t="s">
        <v>2023</v>
      </c>
      <c r="DB164" t="s">
        <v>1783</v>
      </c>
      <c r="DE164" t="s">
        <v>1724</v>
      </c>
    </row>
    <row r="165" spans="1:109" x14ac:dyDescent="0.25">
      <c r="A165" t="s">
        <v>1618</v>
      </c>
      <c r="B165">
        <v>1</v>
      </c>
      <c r="C165" s="56">
        <v>42823</v>
      </c>
      <c r="D165" t="s">
        <v>1619</v>
      </c>
      <c r="E165" t="s">
        <v>2024</v>
      </c>
      <c r="G165" t="s">
        <v>1603</v>
      </c>
      <c r="H165" t="s">
        <v>1603</v>
      </c>
      <c r="I165" t="s">
        <v>1603</v>
      </c>
      <c r="J165" t="s">
        <v>1603</v>
      </c>
      <c r="K165" t="s">
        <v>1603</v>
      </c>
      <c r="L165">
        <v>0.91</v>
      </c>
      <c r="M165">
        <v>2</v>
      </c>
      <c r="N165">
        <v>0</v>
      </c>
      <c r="O165" s="56"/>
      <c r="P165" s="56"/>
      <c r="Q165">
        <v>13717</v>
      </c>
      <c r="R165">
        <v>1</v>
      </c>
      <c r="S165">
        <v>8</v>
      </c>
      <c r="T165">
        <v>4</v>
      </c>
      <c r="U165">
        <v>4</v>
      </c>
      <c r="V165">
        <v>1</v>
      </c>
      <c r="X165" t="s">
        <v>1738</v>
      </c>
      <c r="AA165">
        <v>0</v>
      </c>
      <c r="AB165">
        <v>0</v>
      </c>
      <c r="AC165">
        <v>0</v>
      </c>
      <c r="AD165">
        <v>0</v>
      </c>
      <c r="AE165">
        <v>0</v>
      </c>
      <c r="AF165">
        <v>0</v>
      </c>
      <c r="AG165">
        <v>0</v>
      </c>
      <c r="AJ165" s="56"/>
      <c r="AK165" s="56"/>
      <c r="AL165" s="56"/>
      <c r="AP165" t="s">
        <v>1604</v>
      </c>
      <c r="AR165">
        <v>200</v>
      </c>
      <c r="AS165" t="s">
        <v>1605</v>
      </c>
      <c r="AT165">
        <v>1</v>
      </c>
      <c r="AV165">
        <v>0</v>
      </c>
      <c r="AW165">
        <v>0</v>
      </c>
      <c r="AX165">
        <v>0</v>
      </c>
      <c r="AY165" t="s">
        <v>1606</v>
      </c>
      <c r="AZ165" t="s">
        <v>1606</v>
      </c>
      <c r="BA165">
        <v>0</v>
      </c>
      <c r="BD165">
        <v>1000000000</v>
      </c>
      <c r="BE165">
        <v>0</v>
      </c>
      <c r="BF165">
        <v>0</v>
      </c>
      <c r="BG165">
        <v>0</v>
      </c>
      <c r="BH165">
        <v>0</v>
      </c>
      <c r="BI165">
        <v>0</v>
      </c>
      <c r="BJ165">
        <v>0</v>
      </c>
      <c r="BK165">
        <v>0</v>
      </c>
      <c r="BL165">
        <v>0</v>
      </c>
      <c r="BM165">
        <v>0</v>
      </c>
      <c r="BN165">
        <v>0</v>
      </c>
      <c r="BO165">
        <v>0</v>
      </c>
      <c r="BP165">
        <v>0</v>
      </c>
      <c r="BR165">
        <v>0</v>
      </c>
      <c r="BS165">
        <v>0</v>
      </c>
      <c r="BX165">
        <v>0</v>
      </c>
      <c r="BY165">
        <v>0</v>
      </c>
      <c r="BZ165">
        <v>0</v>
      </c>
      <c r="CA165">
        <v>0</v>
      </c>
      <c r="CC165">
        <v>1</v>
      </c>
      <c r="CD165" s="56">
        <v>42593</v>
      </c>
      <c r="CE165" s="56">
        <v>42767</v>
      </c>
      <c r="CF165" s="56">
        <v>42767</v>
      </c>
      <c r="CG165" s="56">
        <v>42823</v>
      </c>
      <c r="CH165" s="56"/>
      <c r="CI165" s="56"/>
      <c r="CJ165">
        <v>1</v>
      </c>
      <c r="CK165">
        <v>0</v>
      </c>
      <c r="CL165">
        <v>0.05</v>
      </c>
      <c r="CM165">
        <v>0</v>
      </c>
      <c r="CN165">
        <v>0</v>
      </c>
      <c r="CO165">
        <v>0</v>
      </c>
      <c r="CP165">
        <v>0</v>
      </c>
      <c r="CQ165" t="s">
        <v>1618</v>
      </c>
      <c r="CR165" t="s">
        <v>1368</v>
      </c>
      <c r="CS165" t="s">
        <v>1728</v>
      </c>
      <c r="CT165" t="s">
        <v>1724</v>
      </c>
      <c r="CU165" t="s">
        <v>1729</v>
      </c>
      <c r="CV165" t="s">
        <v>2025</v>
      </c>
      <c r="DB165" t="s">
        <v>1783</v>
      </c>
      <c r="DE165" t="s">
        <v>1724</v>
      </c>
    </row>
    <row r="166" spans="1:109" x14ac:dyDescent="0.25">
      <c r="A166" t="s">
        <v>1618</v>
      </c>
      <c r="B166">
        <v>1</v>
      </c>
      <c r="C166" s="56">
        <v>42823</v>
      </c>
      <c r="D166" t="s">
        <v>1619</v>
      </c>
      <c r="E166" t="s">
        <v>1461</v>
      </c>
      <c r="G166" t="s">
        <v>1603</v>
      </c>
      <c r="H166" t="s">
        <v>1603</v>
      </c>
      <c r="I166" t="s">
        <v>1603</v>
      </c>
      <c r="J166" t="s">
        <v>1603</v>
      </c>
      <c r="K166" t="s">
        <v>1603</v>
      </c>
      <c r="L166">
        <v>1.37</v>
      </c>
      <c r="M166">
        <v>0</v>
      </c>
      <c r="N166">
        <v>0</v>
      </c>
      <c r="O166" s="56"/>
      <c r="P166" s="56"/>
      <c r="Q166">
        <v>13717</v>
      </c>
      <c r="R166">
        <v>1</v>
      </c>
      <c r="S166">
        <v>8</v>
      </c>
      <c r="T166">
        <v>4</v>
      </c>
      <c r="U166">
        <v>4</v>
      </c>
      <c r="V166">
        <v>1</v>
      </c>
      <c r="X166" t="s">
        <v>1762</v>
      </c>
      <c r="AA166">
        <v>2.35</v>
      </c>
      <c r="AB166">
        <v>29</v>
      </c>
      <c r="AC166">
        <v>0</v>
      </c>
      <c r="AD166">
        <v>10.64</v>
      </c>
      <c r="AE166">
        <v>0</v>
      </c>
      <c r="AF166">
        <v>0</v>
      </c>
      <c r="AG166">
        <v>0</v>
      </c>
      <c r="AJ166" s="56"/>
      <c r="AK166" s="56"/>
      <c r="AL166" s="56"/>
      <c r="AP166" t="s">
        <v>1604</v>
      </c>
      <c r="AS166" t="s">
        <v>1605</v>
      </c>
      <c r="AT166">
        <v>1</v>
      </c>
      <c r="AV166">
        <v>0</v>
      </c>
      <c r="AW166">
        <v>0</v>
      </c>
      <c r="AX166">
        <v>0</v>
      </c>
      <c r="AY166" t="s">
        <v>1606</v>
      </c>
      <c r="AZ166" t="s">
        <v>1606</v>
      </c>
      <c r="BA166">
        <v>0</v>
      </c>
      <c r="BD166">
        <v>1000000000</v>
      </c>
      <c r="BE166">
        <v>100</v>
      </c>
      <c r="BF166">
        <v>0</v>
      </c>
      <c r="BG166">
        <v>0</v>
      </c>
      <c r="BH166">
        <v>0</v>
      </c>
      <c r="BI166">
        <v>0</v>
      </c>
      <c r="BJ166">
        <v>0</v>
      </c>
      <c r="BK166">
        <v>0</v>
      </c>
      <c r="BL166">
        <v>0</v>
      </c>
      <c r="BM166">
        <v>100</v>
      </c>
      <c r="BN166">
        <v>0</v>
      </c>
      <c r="BO166">
        <v>0</v>
      </c>
      <c r="BP166">
        <v>0</v>
      </c>
      <c r="BR166">
        <v>0</v>
      </c>
      <c r="BS166">
        <v>0</v>
      </c>
      <c r="BX166">
        <v>0</v>
      </c>
      <c r="BY166">
        <v>0</v>
      </c>
      <c r="BZ166">
        <v>0</v>
      </c>
      <c r="CA166">
        <v>0</v>
      </c>
      <c r="CC166">
        <v>1</v>
      </c>
      <c r="CD166" s="56">
        <v>42558</v>
      </c>
      <c r="CE166" s="56">
        <v>42767</v>
      </c>
      <c r="CF166" s="56">
        <v>42767</v>
      </c>
      <c r="CG166" s="56">
        <v>42823</v>
      </c>
      <c r="CH166" s="56"/>
      <c r="CI166" s="56"/>
      <c r="CJ166">
        <v>0</v>
      </c>
      <c r="CK166">
        <v>0</v>
      </c>
      <c r="CL166">
        <v>0</v>
      </c>
      <c r="CM166">
        <v>0</v>
      </c>
      <c r="CN166">
        <v>0</v>
      </c>
      <c r="CO166">
        <v>0</v>
      </c>
      <c r="CP166">
        <v>0.05</v>
      </c>
      <c r="CQ166" t="s">
        <v>1618</v>
      </c>
      <c r="CR166" t="s">
        <v>1368</v>
      </c>
      <c r="CS166" t="s">
        <v>1728</v>
      </c>
      <c r="CT166" t="s">
        <v>1724</v>
      </c>
      <c r="CU166" t="s">
        <v>1729</v>
      </c>
      <c r="CV166" t="s">
        <v>2026</v>
      </c>
      <c r="DB166" t="s">
        <v>1812</v>
      </c>
      <c r="DE166" t="s">
        <v>1724</v>
      </c>
    </row>
    <row r="167" spans="1:109" x14ac:dyDescent="0.25">
      <c r="A167" t="s">
        <v>1618</v>
      </c>
      <c r="B167">
        <v>1</v>
      </c>
      <c r="C167" s="56">
        <v>42823</v>
      </c>
      <c r="D167" t="s">
        <v>1619</v>
      </c>
      <c r="E167" t="s">
        <v>2027</v>
      </c>
      <c r="G167" t="s">
        <v>1603</v>
      </c>
      <c r="H167" t="s">
        <v>1603</v>
      </c>
      <c r="I167" t="s">
        <v>1603</v>
      </c>
      <c r="J167" t="s">
        <v>1603</v>
      </c>
      <c r="K167" t="s">
        <v>1603</v>
      </c>
      <c r="L167">
        <v>3.73</v>
      </c>
      <c r="M167">
        <v>2</v>
      </c>
      <c r="N167">
        <v>0</v>
      </c>
      <c r="O167" s="56"/>
      <c r="P167" s="56"/>
      <c r="Q167">
        <v>13717</v>
      </c>
      <c r="R167">
        <v>1</v>
      </c>
      <c r="S167">
        <v>8</v>
      </c>
      <c r="T167">
        <v>4</v>
      </c>
      <c r="U167">
        <v>4</v>
      </c>
      <c r="V167">
        <v>1</v>
      </c>
      <c r="X167" t="s">
        <v>1762</v>
      </c>
      <c r="AA167">
        <v>0</v>
      </c>
      <c r="AB167">
        <v>0</v>
      </c>
      <c r="AC167">
        <v>0</v>
      </c>
      <c r="AD167">
        <v>0</v>
      </c>
      <c r="AE167">
        <v>0</v>
      </c>
      <c r="AF167">
        <v>0</v>
      </c>
      <c r="AG167">
        <v>0</v>
      </c>
      <c r="AJ167" s="56"/>
      <c r="AK167" s="56"/>
      <c r="AL167" s="56"/>
      <c r="AP167" t="s">
        <v>1604</v>
      </c>
      <c r="AS167" t="s">
        <v>1605</v>
      </c>
      <c r="AT167">
        <v>1</v>
      </c>
      <c r="AV167">
        <v>0</v>
      </c>
      <c r="AW167">
        <v>0</v>
      </c>
      <c r="AX167">
        <v>0</v>
      </c>
      <c r="AY167" t="s">
        <v>1606</v>
      </c>
      <c r="AZ167" t="s">
        <v>1606</v>
      </c>
      <c r="BA167">
        <v>0</v>
      </c>
      <c r="BD167">
        <v>1000000000</v>
      </c>
      <c r="BE167">
        <v>0</v>
      </c>
      <c r="BF167">
        <v>0</v>
      </c>
      <c r="BG167">
        <v>0</v>
      </c>
      <c r="BH167">
        <v>0</v>
      </c>
      <c r="BI167">
        <v>0</v>
      </c>
      <c r="BJ167">
        <v>0</v>
      </c>
      <c r="BK167">
        <v>0</v>
      </c>
      <c r="BL167">
        <v>0</v>
      </c>
      <c r="BM167">
        <v>0</v>
      </c>
      <c r="BN167">
        <v>0</v>
      </c>
      <c r="BO167">
        <v>0</v>
      </c>
      <c r="BP167">
        <v>0</v>
      </c>
      <c r="BR167">
        <v>0</v>
      </c>
      <c r="BS167">
        <v>0</v>
      </c>
      <c r="BX167">
        <v>0</v>
      </c>
      <c r="BY167">
        <v>0</v>
      </c>
      <c r="BZ167">
        <v>0</v>
      </c>
      <c r="CA167">
        <v>0</v>
      </c>
      <c r="CC167">
        <v>1</v>
      </c>
      <c r="CD167" s="56">
        <v>42558</v>
      </c>
      <c r="CE167" s="56">
        <v>42767</v>
      </c>
      <c r="CF167" s="56">
        <v>42767</v>
      </c>
      <c r="CG167" s="56">
        <v>42823</v>
      </c>
      <c r="CH167" s="56"/>
      <c r="CI167" s="56"/>
      <c r="CJ167">
        <v>1</v>
      </c>
      <c r="CK167">
        <v>0</v>
      </c>
      <c r="CL167">
        <v>0.05</v>
      </c>
      <c r="CM167">
        <v>0</v>
      </c>
      <c r="CN167">
        <v>0</v>
      </c>
      <c r="CO167">
        <v>0</v>
      </c>
      <c r="CP167">
        <v>0</v>
      </c>
      <c r="CQ167" t="s">
        <v>1618</v>
      </c>
      <c r="CR167" t="s">
        <v>1368</v>
      </c>
      <c r="CS167" t="s">
        <v>1728</v>
      </c>
      <c r="CT167" t="s">
        <v>1724</v>
      </c>
      <c r="CU167" t="s">
        <v>1729</v>
      </c>
      <c r="CV167" t="s">
        <v>2028</v>
      </c>
      <c r="DB167" t="s">
        <v>2029</v>
      </c>
      <c r="DE167" t="s">
        <v>1724</v>
      </c>
    </row>
    <row r="168" spans="1:109" x14ac:dyDescent="0.25">
      <c r="A168" t="s">
        <v>1618</v>
      </c>
      <c r="B168">
        <v>1</v>
      </c>
      <c r="C168" s="56">
        <v>42823</v>
      </c>
      <c r="D168" t="s">
        <v>1619</v>
      </c>
      <c r="E168" t="s">
        <v>2030</v>
      </c>
      <c r="G168" t="s">
        <v>1603</v>
      </c>
      <c r="H168" t="s">
        <v>1603</v>
      </c>
      <c r="I168" t="s">
        <v>1603</v>
      </c>
      <c r="J168" t="s">
        <v>1603</v>
      </c>
      <c r="K168" t="s">
        <v>1603</v>
      </c>
      <c r="L168">
        <v>6.52</v>
      </c>
      <c r="M168">
        <v>22.48</v>
      </c>
      <c r="N168">
        <v>0</v>
      </c>
      <c r="O168" s="56"/>
      <c r="P168" s="56"/>
      <c r="Q168">
        <v>13717</v>
      </c>
      <c r="R168">
        <v>1</v>
      </c>
      <c r="S168">
        <v>8</v>
      </c>
      <c r="T168">
        <v>4</v>
      </c>
      <c r="U168">
        <v>4</v>
      </c>
      <c r="V168">
        <v>1</v>
      </c>
      <c r="X168" t="s">
        <v>1738</v>
      </c>
      <c r="AA168">
        <v>0</v>
      </c>
      <c r="AB168">
        <v>0</v>
      </c>
      <c r="AC168">
        <v>0</v>
      </c>
      <c r="AD168">
        <v>0</v>
      </c>
      <c r="AE168">
        <v>0</v>
      </c>
      <c r="AF168">
        <v>0</v>
      </c>
      <c r="AG168">
        <v>0</v>
      </c>
      <c r="AJ168" s="56"/>
      <c r="AK168" s="56"/>
      <c r="AL168" s="56"/>
      <c r="AP168" t="s">
        <v>1604</v>
      </c>
      <c r="AR168">
        <v>8</v>
      </c>
      <c r="AS168" t="s">
        <v>1605</v>
      </c>
      <c r="AT168">
        <v>1</v>
      </c>
      <c r="AV168">
        <v>0</v>
      </c>
      <c r="AW168">
        <v>0</v>
      </c>
      <c r="AX168">
        <v>0</v>
      </c>
      <c r="AY168" t="s">
        <v>1606</v>
      </c>
      <c r="AZ168" t="s">
        <v>1606</v>
      </c>
      <c r="BA168">
        <v>0</v>
      </c>
      <c r="BD168">
        <v>1000000000</v>
      </c>
      <c r="BE168">
        <v>0</v>
      </c>
      <c r="BF168">
        <v>0</v>
      </c>
      <c r="BG168">
        <v>0</v>
      </c>
      <c r="BH168">
        <v>0</v>
      </c>
      <c r="BI168">
        <v>0</v>
      </c>
      <c r="BJ168">
        <v>0</v>
      </c>
      <c r="BK168">
        <v>0</v>
      </c>
      <c r="BL168">
        <v>0</v>
      </c>
      <c r="BM168">
        <v>0</v>
      </c>
      <c r="BN168">
        <v>0</v>
      </c>
      <c r="BO168">
        <v>0</v>
      </c>
      <c r="BP168">
        <v>0</v>
      </c>
      <c r="BR168">
        <v>0</v>
      </c>
      <c r="BS168">
        <v>0</v>
      </c>
      <c r="BX168">
        <v>0</v>
      </c>
      <c r="BY168">
        <v>0</v>
      </c>
      <c r="BZ168">
        <v>0</v>
      </c>
      <c r="CA168">
        <v>0</v>
      </c>
      <c r="CC168">
        <v>1</v>
      </c>
      <c r="CD168" s="56">
        <v>42593</v>
      </c>
      <c r="CE168" s="56">
        <v>42767</v>
      </c>
      <c r="CF168" s="56">
        <v>42767</v>
      </c>
      <c r="CG168" s="56">
        <v>42823</v>
      </c>
      <c r="CH168" s="56"/>
      <c r="CI168" s="56"/>
      <c r="CJ168">
        <v>1</v>
      </c>
      <c r="CK168">
        <v>0</v>
      </c>
      <c r="CL168">
        <v>0.05</v>
      </c>
      <c r="CM168">
        <v>0</v>
      </c>
      <c r="CN168">
        <v>0</v>
      </c>
      <c r="CO168">
        <v>0</v>
      </c>
      <c r="CP168">
        <v>0</v>
      </c>
      <c r="CQ168" t="s">
        <v>1618</v>
      </c>
      <c r="CR168" t="s">
        <v>1368</v>
      </c>
      <c r="CS168" t="s">
        <v>1728</v>
      </c>
      <c r="CT168" t="s">
        <v>1724</v>
      </c>
      <c r="CU168" t="s">
        <v>1729</v>
      </c>
      <c r="CV168" t="s">
        <v>2031</v>
      </c>
      <c r="DB168" t="s">
        <v>2032</v>
      </c>
      <c r="DE168" t="s">
        <v>1724</v>
      </c>
    </row>
    <row r="169" spans="1:109" x14ac:dyDescent="0.25">
      <c r="A169" t="s">
        <v>1618</v>
      </c>
      <c r="B169">
        <v>1</v>
      </c>
      <c r="C169" s="56">
        <v>42823</v>
      </c>
      <c r="D169" t="s">
        <v>1619</v>
      </c>
      <c r="E169" t="s">
        <v>2033</v>
      </c>
      <c r="G169" t="s">
        <v>1603</v>
      </c>
      <c r="H169" t="s">
        <v>1603</v>
      </c>
      <c r="I169" t="s">
        <v>1603</v>
      </c>
      <c r="J169" t="s">
        <v>1603</v>
      </c>
      <c r="K169" t="s">
        <v>1603</v>
      </c>
      <c r="L169">
        <v>7.81</v>
      </c>
      <c r="M169">
        <v>22.48</v>
      </c>
      <c r="N169">
        <v>0</v>
      </c>
      <c r="O169" s="56"/>
      <c r="P169" s="56"/>
      <c r="Q169">
        <v>13717</v>
      </c>
      <c r="R169">
        <v>1</v>
      </c>
      <c r="S169">
        <v>8</v>
      </c>
      <c r="T169">
        <v>4</v>
      </c>
      <c r="U169">
        <v>4</v>
      </c>
      <c r="V169">
        <v>1</v>
      </c>
      <c r="X169" t="s">
        <v>1738</v>
      </c>
      <c r="AA169">
        <v>0</v>
      </c>
      <c r="AB169">
        <v>0</v>
      </c>
      <c r="AC169">
        <v>0</v>
      </c>
      <c r="AD169">
        <v>0</v>
      </c>
      <c r="AE169">
        <v>0</v>
      </c>
      <c r="AF169">
        <v>0</v>
      </c>
      <c r="AG169">
        <v>0</v>
      </c>
      <c r="AJ169" s="56"/>
      <c r="AK169" s="56"/>
      <c r="AL169" s="56"/>
      <c r="AP169" t="s">
        <v>1604</v>
      </c>
      <c r="AR169">
        <v>8</v>
      </c>
      <c r="AS169" t="s">
        <v>1605</v>
      </c>
      <c r="AT169">
        <v>1</v>
      </c>
      <c r="AV169">
        <v>0</v>
      </c>
      <c r="AW169">
        <v>0</v>
      </c>
      <c r="AX169">
        <v>0</v>
      </c>
      <c r="AY169" t="s">
        <v>1606</v>
      </c>
      <c r="AZ169" t="s">
        <v>1606</v>
      </c>
      <c r="BA169">
        <v>0</v>
      </c>
      <c r="BD169">
        <v>1000000000</v>
      </c>
      <c r="BE169">
        <v>0</v>
      </c>
      <c r="BF169">
        <v>0</v>
      </c>
      <c r="BG169">
        <v>0</v>
      </c>
      <c r="BH169">
        <v>0</v>
      </c>
      <c r="BI169">
        <v>0</v>
      </c>
      <c r="BJ169">
        <v>0</v>
      </c>
      <c r="BK169">
        <v>0</v>
      </c>
      <c r="BL169">
        <v>0</v>
      </c>
      <c r="BM169">
        <v>0</v>
      </c>
      <c r="BN169">
        <v>0</v>
      </c>
      <c r="BO169">
        <v>0</v>
      </c>
      <c r="BP169">
        <v>0</v>
      </c>
      <c r="BR169">
        <v>0</v>
      </c>
      <c r="BS169">
        <v>0</v>
      </c>
      <c r="BX169">
        <v>0</v>
      </c>
      <c r="BY169">
        <v>0</v>
      </c>
      <c r="BZ169">
        <v>0</v>
      </c>
      <c r="CA169">
        <v>0</v>
      </c>
      <c r="CC169">
        <v>1</v>
      </c>
      <c r="CD169" s="56">
        <v>42593</v>
      </c>
      <c r="CE169" s="56">
        <v>42767</v>
      </c>
      <c r="CF169" s="56">
        <v>42767</v>
      </c>
      <c r="CG169" s="56">
        <v>42823</v>
      </c>
      <c r="CH169" s="56"/>
      <c r="CI169" s="56"/>
      <c r="CJ169">
        <v>1</v>
      </c>
      <c r="CK169">
        <v>0</v>
      </c>
      <c r="CL169">
        <v>0.05</v>
      </c>
      <c r="CM169">
        <v>0</v>
      </c>
      <c r="CN169">
        <v>0</v>
      </c>
      <c r="CO169">
        <v>0</v>
      </c>
      <c r="CP169">
        <v>0</v>
      </c>
      <c r="CQ169" t="s">
        <v>1618</v>
      </c>
      <c r="CR169" t="s">
        <v>1368</v>
      </c>
      <c r="CS169" t="s">
        <v>1728</v>
      </c>
      <c r="CT169" t="s">
        <v>1724</v>
      </c>
      <c r="CU169" t="s">
        <v>1729</v>
      </c>
      <c r="CV169" t="s">
        <v>2034</v>
      </c>
      <c r="DB169" t="s">
        <v>2032</v>
      </c>
      <c r="DE169" t="s">
        <v>1724</v>
      </c>
    </row>
    <row r="170" spans="1:109" x14ac:dyDescent="0.25">
      <c r="A170" t="s">
        <v>1618</v>
      </c>
      <c r="B170">
        <v>1</v>
      </c>
      <c r="C170" s="56">
        <v>42823</v>
      </c>
      <c r="D170" t="s">
        <v>1619</v>
      </c>
      <c r="E170" t="s">
        <v>2035</v>
      </c>
      <c r="G170" t="s">
        <v>1603</v>
      </c>
      <c r="H170" t="s">
        <v>1603</v>
      </c>
      <c r="I170" t="s">
        <v>1603</v>
      </c>
      <c r="J170" t="s">
        <v>1603</v>
      </c>
      <c r="K170" t="s">
        <v>1603</v>
      </c>
      <c r="L170">
        <v>7.33</v>
      </c>
      <c r="M170">
        <v>24.98</v>
      </c>
      <c r="N170">
        <v>0</v>
      </c>
      <c r="O170" s="56"/>
      <c r="P170" s="56"/>
      <c r="Q170">
        <v>13717</v>
      </c>
      <c r="R170">
        <v>1</v>
      </c>
      <c r="S170">
        <v>8</v>
      </c>
      <c r="T170">
        <v>4</v>
      </c>
      <c r="U170">
        <v>4</v>
      </c>
      <c r="V170">
        <v>1</v>
      </c>
      <c r="X170" t="s">
        <v>1738</v>
      </c>
      <c r="AA170">
        <v>0</v>
      </c>
      <c r="AB170">
        <v>0</v>
      </c>
      <c r="AC170">
        <v>0</v>
      </c>
      <c r="AD170">
        <v>0</v>
      </c>
      <c r="AE170">
        <v>0</v>
      </c>
      <c r="AF170">
        <v>0</v>
      </c>
      <c r="AG170">
        <v>0</v>
      </c>
      <c r="AJ170" s="56"/>
      <c r="AK170" s="56"/>
      <c r="AL170" s="56"/>
      <c r="AP170" t="s">
        <v>1604</v>
      </c>
      <c r="AR170">
        <v>10</v>
      </c>
      <c r="AS170" t="s">
        <v>1605</v>
      </c>
      <c r="AT170">
        <v>1</v>
      </c>
      <c r="AV170">
        <v>0</v>
      </c>
      <c r="AW170">
        <v>0</v>
      </c>
      <c r="AX170">
        <v>0</v>
      </c>
      <c r="AY170" t="s">
        <v>1606</v>
      </c>
      <c r="AZ170" t="s">
        <v>1606</v>
      </c>
      <c r="BA170">
        <v>0</v>
      </c>
      <c r="BD170">
        <v>1000000000</v>
      </c>
      <c r="BE170">
        <v>0</v>
      </c>
      <c r="BF170">
        <v>0</v>
      </c>
      <c r="BG170">
        <v>0</v>
      </c>
      <c r="BH170">
        <v>0</v>
      </c>
      <c r="BI170">
        <v>0</v>
      </c>
      <c r="BJ170">
        <v>0</v>
      </c>
      <c r="BK170">
        <v>0</v>
      </c>
      <c r="BL170">
        <v>0</v>
      </c>
      <c r="BM170">
        <v>0</v>
      </c>
      <c r="BN170">
        <v>0</v>
      </c>
      <c r="BO170">
        <v>0</v>
      </c>
      <c r="BP170">
        <v>0</v>
      </c>
      <c r="BR170">
        <v>0</v>
      </c>
      <c r="BS170">
        <v>0</v>
      </c>
      <c r="BX170">
        <v>0</v>
      </c>
      <c r="BY170">
        <v>0</v>
      </c>
      <c r="BZ170">
        <v>0</v>
      </c>
      <c r="CA170">
        <v>0</v>
      </c>
      <c r="CC170">
        <v>1</v>
      </c>
      <c r="CD170" s="56">
        <v>42593</v>
      </c>
      <c r="CE170" s="56">
        <v>42767</v>
      </c>
      <c r="CF170" s="56">
        <v>42767</v>
      </c>
      <c r="CG170" s="56">
        <v>42823</v>
      </c>
      <c r="CH170" s="56"/>
      <c r="CI170" s="56"/>
      <c r="CJ170">
        <v>1</v>
      </c>
      <c r="CK170">
        <v>0</v>
      </c>
      <c r="CL170">
        <v>0.05</v>
      </c>
      <c r="CM170">
        <v>0</v>
      </c>
      <c r="CN170">
        <v>0</v>
      </c>
      <c r="CO170">
        <v>0</v>
      </c>
      <c r="CP170">
        <v>0</v>
      </c>
      <c r="CQ170" t="s">
        <v>1618</v>
      </c>
      <c r="CR170" t="s">
        <v>1368</v>
      </c>
      <c r="CS170" t="s">
        <v>1728</v>
      </c>
      <c r="CT170" t="s">
        <v>1724</v>
      </c>
      <c r="CU170" t="s">
        <v>1729</v>
      </c>
      <c r="CV170" t="s">
        <v>2036</v>
      </c>
      <c r="DB170" t="s">
        <v>2032</v>
      </c>
      <c r="DE170" t="s">
        <v>1724</v>
      </c>
    </row>
    <row r="171" spans="1:109" x14ac:dyDescent="0.25">
      <c r="A171" t="s">
        <v>1618</v>
      </c>
      <c r="B171">
        <v>1</v>
      </c>
      <c r="C171" s="56">
        <v>42823</v>
      </c>
      <c r="D171" t="s">
        <v>1619</v>
      </c>
      <c r="E171" t="s">
        <v>2037</v>
      </c>
      <c r="G171" t="s">
        <v>1603</v>
      </c>
      <c r="H171" t="s">
        <v>1603</v>
      </c>
      <c r="I171" t="s">
        <v>1603</v>
      </c>
      <c r="J171" t="s">
        <v>1603</v>
      </c>
      <c r="K171" t="s">
        <v>1603</v>
      </c>
      <c r="L171">
        <v>7.43</v>
      </c>
      <c r="M171">
        <v>24.98</v>
      </c>
      <c r="N171">
        <v>0</v>
      </c>
      <c r="O171" s="56"/>
      <c r="P171" s="56"/>
      <c r="Q171">
        <v>13717</v>
      </c>
      <c r="R171">
        <v>1</v>
      </c>
      <c r="S171">
        <v>8</v>
      </c>
      <c r="T171">
        <v>4</v>
      </c>
      <c r="U171">
        <v>4</v>
      </c>
      <c r="V171">
        <v>1</v>
      </c>
      <c r="X171" t="s">
        <v>1738</v>
      </c>
      <c r="AA171">
        <v>0</v>
      </c>
      <c r="AB171">
        <v>0</v>
      </c>
      <c r="AC171">
        <v>0</v>
      </c>
      <c r="AD171">
        <v>0</v>
      </c>
      <c r="AE171">
        <v>0</v>
      </c>
      <c r="AF171">
        <v>0</v>
      </c>
      <c r="AG171">
        <v>0</v>
      </c>
      <c r="AJ171" s="56"/>
      <c r="AK171" s="56"/>
      <c r="AL171" s="56"/>
      <c r="AP171" t="s">
        <v>1604</v>
      </c>
      <c r="AR171">
        <v>10</v>
      </c>
      <c r="AS171" t="s">
        <v>1605</v>
      </c>
      <c r="AT171">
        <v>1</v>
      </c>
      <c r="AV171">
        <v>0</v>
      </c>
      <c r="AW171">
        <v>0</v>
      </c>
      <c r="AX171">
        <v>0</v>
      </c>
      <c r="AY171" t="s">
        <v>1606</v>
      </c>
      <c r="AZ171" t="s">
        <v>1606</v>
      </c>
      <c r="BA171">
        <v>0</v>
      </c>
      <c r="BD171">
        <v>1000000000</v>
      </c>
      <c r="BE171">
        <v>0</v>
      </c>
      <c r="BF171">
        <v>0</v>
      </c>
      <c r="BG171">
        <v>0</v>
      </c>
      <c r="BH171">
        <v>0</v>
      </c>
      <c r="BI171">
        <v>0</v>
      </c>
      <c r="BJ171">
        <v>0</v>
      </c>
      <c r="BK171">
        <v>0</v>
      </c>
      <c r="BL171">
        <v>0</v>
      </c>
      <c r="BM171">
        <v>0</v>
      </c>
      <c r="BN171">
        <v>0</v>
      </c>
      <c r="BO171">
        <v>0</v>
      </c>
      <c r="BP171">
        <v>0</v>
      </c>
      <c r="BR171">
        <v>0</v>
      </c>
      <c r="BS171">
        <v>0</v>
      </c>
      <c r="BX171">
        <v>0</v>
      </c>
      <c r="BY171">
        <v>0</v>
      </c>
      <c r="BZ171">
        <v>0</v>
      </c>
      <c r="CA171">
        <v>0</v>
      </c>
      <c r="CC171">
        <v>1</v>
      </c>
      <c r="CD171" s="56">
        <v>42593</v>
      </c>
      <c r="CE171" s="56">
        <v>42767</v>
      </c>
      <c r="CF171" s="56">
        <v>42767</v>
      </c>
      <c r="CG171" s="56">
        <v>42823</v>
      </c>
      <c r="CH171" s="56"/>
      <c r="CI171" s="56"/>
      <c r="CJ171">
        <v>1</v>
      </c>
      <c r="CK171">
        <v>0</v>
      </c>
      <c r="CL171">
        <v>0.05</v>
      </c>
      <c r="CM171">
        <v>0</v>
      </c>
      <c r="CN171">
        <v>0</v>
      </c>
      <c r="CO171">
        <v>0</v>
      </c>
      <c r="CP171">
        <v>0</v>
      </c>
      <c r="CQ171" t="s">
        <v>1618</v>
      </c>
      <c r="CR171" t="s">
        <v>1368</v>
      </c>
      <c r="CS171" t="s">
        <v>1728</v>
      </c>
      <c r="CT171" t="s">
        <v>1724</v>
      </c>
      <c r="CU171" t="s">
        <v>1729</v>
      </c>
      <c r="CV171" t="s">
        <v>2038</v>
      </c>
      <c r="DB171" t="s">
        <v>2032</v>
      </c>
      <c r="DE171" t="s">
        <v>1724</v>
      </c>
    </row>
    <row r="172" spans="1:109" x14ac:dyDescent="0.25">
      <c r="A172" t="s">
        <v>1618</v>
      </c>
      <c r="B172">
        <v>1</v>
      </c>
      <c r="C172" s="56">
        <v>42823</v>
      </c>
      <c r="D172" t="s">
        <v>1619</v>
      </c>
      <c r="E172" t="s">
        <v>2039</v>
      </c>
      <c r="G172" t="s">
        <v>1603</v>
      </c>
      <c r="H172" t="s">
        <v>1603</v>
      </c>
      <c r="I172" t="s">
        <v>1603</v>
      </c>
      <c r="J172" t="s">
        <v>1603</v>
      </c>
      <c r="K172" t="s">
        <v>1603</v>
      </c>
      <c r="L172">
        <v>8.23</v>
      </c>
      <c r="M172">
        <v>26.81</v>
      </c>
      <c r="N172">
        <v>0</v>
      </c>
      <c r="O172" s="56"/>
      <c r="P172" s="56"/>
      <c r="Q172">
        <v>13717</v>
      </c>
      <c r="R172">
        <v>1</v>
      </c>
      <c r="S172">
        <v>8</v>
      </c>
      <c r="T172">
        <v>4</v>
      </c>
      <c r="U172">
        <v>4</v>
      </c>
      <c r="V172">
        <v>1</v>
      </c>
      <c r="X172" t="s">
        <v>1738</v>
      </c>
      <c r="AA172">
        <v>0</v>
      </c>
      <c r="AB172">
        <v>0</v>
      </c>
      <c r="AC172">
        <v>0</v>
      </c>
      <c r="AD172">
        <v>0</v>
      </c>
      <c r="AE172">
        <v>0</v>
      </c>
      <c r="AF172">
        <v>0</v>
      </c>
      <c r="AG172">
        <v>0</v>
      </c>
      <c r="AJ172" s="56"/>
      <c r="AK172" s="56"/>
      <c r="AL172" s="56"/>
      <c r="AP172" t="s">
        <v>1604</v>
      </c>
      <c r="AR172">
        <v>10</v>
      </c>
      <c r="AS172" t="s">
        <v>1605</v>
      </c>
      <c r="AT172">
        <v>1</v>
      </c>
      <c r="AV172">
        <v>0</v>
      </c>
      <c r="AW172">
        <v>0</v>
      </c>
      <c r="AX172">
        <v>0</v>
      </c>
      <c r="AY172" t="s">
        <v>1606</v>
      </c>
      <c r="AZ172" t="s">
        <v>1606</v>
      </c>
      <c r="BA172">
        <v>0</v>
      </c>
      <c r="BD172">
        <v>1000000000</v>
      </c>
      <c r="BE172">
        <v>0</v>
      </c>
      <c r="BF172">
        <v>0</v>
      </c>
      <c r="BG172">
        <v>0</v>
      </c>
      <c r="BH172">
        <v>0</v>
      </c>
      <c r="BI172">
        <v>0</v>
      </c>
      <c r="BJ172">
        <v>0</v>
      </c>
      <c r="BK172">
        <v>0</v>
      </c>
      <c r="BL172">
        <v>0</v>
      </c>
      <c r="BM172">
        <v>0</v>
      </c>
      <c r="BN172">
        <v>0</v>
      </c>
      <c r="BO172">
        <v>0</v>
      </c>
      <c r="BP172">
        <v>0</v>
      </c>
      <c r="BR172">
        <v>0</v>
      </c>
      <c r="BS172">
        <v>0</v>
      </c>
      <c r="BX172">
        <v>0</v>
      </c>
      <c r="BY172">
        <v>0</v>
      </c>
      <c r="BZ172">
        <v>0</v>
      </c>
      <c r="CA172">
        <v>0</v>
      </c>
      <c r="CC172">
        <v>1</v>
      </c>
      <c r="CD172" s="56">
        <v>42593</v>
      </c>
      <c r="CE172" s="56">
        <v>42767</v>
      </c>
      <c r="CF172" s="56">
        <v>42767</v>
      </c>
      <c r="CG172" s="56">
        <v>42823</v>
      </c>
      <c r="CH172" s="56"/>
      <c r="CI172" s="56"/>
      <c r="CJ172">
        <v>1</v>
      </c>
      <c r="CK172">
        <v>0</v>
      </c>
      <c r="CL172">
        <v>0.05</v>
      </c>
      <c r="CM172">
        <v>0</v>
      </c>
      <c r="CN172">
        <v>0</v>
      </c>
      <c r="CO172">
        <v>0</v>
      </c>
      <c r="CP172">
        <v>0</v>
      </c>
      <c r="CQ172" t="s">
        <v>1618</v>
      </c>
      <c r="CR172" t="s">
        <v>1368</v>
      </c>
      <c r="CS172" t="s">
        <v>1728</v>
      </c>
      <c r="CT172" t="s">
        <v>1724</v>
      </c>
      <c r="CU172" t="s">
        <v>1729</v>
      </c>
      <c r="CV172" t="s">
        <v>2040</v>
      </c>
      <c r="DB172" t="s">
        <v>2032</v>
      </c>
      <c r="DE172" t="s">
        <v>1724</v>
      </c>
    </row>
    <row r="173" spans="1:109" x14ac:dyDescent="0.25">
      <c r="A173" t="s">
        <v>1618</v>
      </c>
      <c r="B173">
        <v>1</v>
      </c>
      <c r="C173" s="56">
        <v>42823</v>
      </c>
      <c r="D173" t="s">
        <v>1619</v>
      </c>
      <c r="E173" t="s">
        <v>2041</v>
      </c>
      <c r="G173" t="s">
        <v>1603</v>
      </c>
      <c r="H173" t="s">
        <v>1603</v>
      </c>
      <c r="I173" t="s">
        <v>1603</v>
      </c>
      <c r="J173" t="s">
        <v>1603</v>
      </c>
      <c r="K173" t="s">
        <v>1603</v>
      </c>
      <c r="L173">
        <v>8.2100000000000009</v>
      </c>
      <c r="M173">
        <v>26.81</v>
      </c>
      <c r="N173">
        <v>0</v>
      </c>
      <c r="O173" s="56"/>
      <c r="P173" s="56"/>
      <c r="Q173">
        <v>13717</v>
      </c>
      <c r="R173">
        <v>1</v>
      </c>
      <c r="S173">
        <v>8</v>
      </c>
      <c r="T173">
        <v>4</v>
      </c>
      <c r="U173">
        <v>4</v>
      </c>
      <c r="V173">
        <v>1</v>
      </c>
      <c r="X173" t="s">
        <v>1738</v>
      </c>
      <c r="AA173">
        <v>0</v>
      </c>
      <c r="AB173">
        <v>0</v>
      </c>
      <c r="AC173">
        <v>0</v>
      </c>
      <c r="AD173">
        <v>0</v>
      </c>
      <c r="AE173">
        <v>0</v>
      </c>
      <c r="AF173">
        <v>0</v>
      </c>
      <c r="AG173">
        <v>0</v>
      </c>
      <c r="AJ173" s="56"/>
      <c r="AK173" s="56"/>
      <c r="AL173" s="56"/>
      <c r="AP173" t="s">
        <v>1604</v>
      </c>
      <c r="AR173">
        <v>10</v>
      </c>
      <c r="AS173" t="s">
        <v>1605</v>
      </c>
      <c r="AT173">
        <v>1</v>
      </c>
      <c r="AV173">
        <v>0</v>
      </c>
      <c r="AW173">
        <v>0</v>
      </c>
      <c r="AX173">
        <v>0</v>
      </c>
      <c r="AY173" t="s">
        <v>1606</v>
      </c>
      <c r="AZ173" t="s">
        <v>1606</v>
      </c>
      <c r="BA173">
        <v>0</v>
      </c>
      <c r="BD173">
        <v>1000000000</v>
      </c>
      <c r="BE173">
        <v>0</v>
      </c>
      <c r="BF173">
        <v>0</v>
      </c>
      <c r="BG173">
        <v>0</v>
      </c>
      <c r="BH173">
        <v>0</v>
      </c>
      <c r="BI173">
        <v>0</v>
      </c>
      <c r="BJ173">
        <v>0</v>
      </c>
      <c r="BK173">
        <v>0</v>
      </c>
      <c r="BL173">
        <v>0</v>
      </c>
      <c r="BM173">
        <v>0</v>
      </c>
      <c r="BN173">
        <v>0</v>
      </c>
      <c r="BO173">
        <v>0</v>
      </c>
      <c r="BP173">
        <v>0</v>
      </c>
      <c r="BR173">
        <v>0</v>
      </c>
      <c r="BS173">
        <v>0</v>
      </c>
      <c r="BX173">
        <v>0</v>
      </c>
      <c r="BY173">
        <v>0</v>
      </c>
      <c r="BZ173">
        <v>0</v>
      </c>
      <c r="CA173">
        <v>0</v>
      </c>
      <c r="CC173">
        <v>1</v>
      </c>
      <c r="CD173" s="56">
        <v>42593</v>
      </c>
      <c r="CE173" s="56">
        <v>42767</v>
      </c>
      <c r="CF173" s="56">
        <v>42767</v>
      </c>
      <c r="CG173" s="56">
        <v>42823</v>
      </c>
      <c r="CH173" s="56"/>
      <c r="CI173" s="56"/>
      <c r="CJ173">
        <v>1</v>
      </c>
      <c r="CK173">
        <v>0</v>
      </c>
      <c r="CL173">
        <v>0.05</v>
      </c>
      <c r="CM173">
        <v>0</v>
      </c>
      <c r="CN173">
        <v>0</v>
      </c>
      <c r="CO173">
        <v>0</v>
      </c>
      <c r="CP173">
        <v>0</v>
      </c>
      <c r="CQ173" t="s">
        <v>1618</v>
      </c>
      <c r="CR173" t="s">
        <v>1368</v>
      </c>
      <c r="CS173" t="s">
        <v>1728</v>
      </c>
      <c r="CT173" t="s">
        <v>1724</v>
      </c>
      <c r="CU173" t="s">
        <v>1729</v>
      </c>
      <c r="CV173" t="s">
        <v>2042</v>
      </c>
      <c r="DB173" t="s">
        <v>2032</v>
      </c>
      <c r="DE173" t="s">
        <v>1724</v>
      </c>
    </row>
    <row r="174" spans="1:109" x14ac:dyDescent="0.25">
      <c r="A174" t="s">
        <v>1618</v>
      </c>
      <c r="B174">
        <v>1</v>
      </c>
      <c r="C174" s="56">
        <v>42823</v>
      </c>
      <c r="D174" t="s">
        <v>1619</v>
      </c>
      <c r="E174" t="s">
        <v>2043</v>
      </c>
      <c r="G174" t="s">
        <v>1603</v>
      </c>
      <c r="H174" t="s">
        <v>1603</v>
      </c>
      <c r="I174" t="s">
        <v>1603</v>
      </c>
      <c r="J174" t="s">
        <v>1603</v>
      </c>
      <c r="K174" t="s">
        <v>1603</v>
      </c>
      <c r="L174">
        <v>8.3699999999999992</v>
      </c>
      <c r="M174">
        <v>30.91</v>
      </c>
      <c r="N174">
        <v>0</v>
      </c>
      <c r="O174" s="56"/>
      <c r="P174" s="56"/>
      <c r="Q174">
        <v>13717</v>
      </c>
      <c r="R174">
        <v>1</v>
      </c>
      <c r="S174">
        <v>8</v>
      </c>
      <c r="T174">
        <v>4</v>
      </c>
      <c r="U174">
        <v>4</v>
      </c>
      <c r="V174">
        <v>1</v>
      </c>
      <c r="X174" t="s">
        <v>1738</v>
      </c>
      <c r="AA174">
        <v>0</v>
      </c>
      <c r="AB174">
        <v>0</v>
      </c>
      <c r="AC174">
        <v>0</v>
      </c>
      <c r="AD174">
        <v>0</v>
      </c>
      <c r="AE174">
        <v>0</v>
      </c>
      <c r="AF174">
        <v>0</v>
      </c>
      <c r="AG174">
        <v>0</v>
      </c>
      <c r="AJ174" s="56"/>
      <c r="AK174" s="56"/>
      <c r="AL174" s="56"/>
      <c r="AP174" t="s">
        <v>1604</v>
      </c>
      <c r="AR174">
        <v>8</v>
      </c>
      <c r="AS174" t="s">
        <v>1605</v>
      </c>
      <c r="AT174">
        <v>1</v>
      </c>
      <c r="AV174">
        <v>0</v>
      </c>
      <c r="AW174">
        <v>0</v>
      </c>
      <c r="AX174">
        <v>0</v>
      </c>
      <c r="AY174" t="s">
        <v>1606</v>
      </c>
      <c r="AZ174" t="s">
        <v>1606</v>
      </c>
      <c r="BA174">
        <v>0</v>
      </c>
      <c r="BD174">
        <v>1000000000</v>
      </c>
      <c r="BE174">
        <v>0</v>
      </c>
      <c r="BF174">
        <v>0</v>
      </c>
      <c r="BG174">
        <v>0</v>
      </c>
      <c r="BH174">
        <v>0</v>
      </c>
      <c r="BI174">
        <v>0</v>
      </c>
      <c r="BJ174">
        <v>0</v>
      </c>
      <c r="BK174">
        <v>0</v>
      </c>
      <c r="BL174">
        <v>0</v>
      </c>
      <c r="BM174">
        <v>0</v>
      </c>
      <c r="BN174">
        <v>0</v>
      </c>
      <c r="BO174">
        <v>0</v>
      </c>
      <c r="BP174">
        <v>0</v>
      </c>
      <c r="BR174">
        <v>0</v>
      </c>
      <c r="BS174">
        <v>0</v>
      </c>
      <c r="BX174">
        <v>0</v>
      </c>
      <c r="BY174">
        <v>0</v>
      </c>
      <c r="BZ174">
        <v>0</v>
      </c>
      <c r="CA174">
        <v>0</v>
      </c>
      <c r="CC174">
        <v>1</v>
      </c>
      <c r="CD174" s="56">
        <v>42593</v>
      </c>
      <c r="CE174" s="56">
        <v>42767</v>
      </c>
      <c r="CF174" s="56">
        <v>42767</v>
      </c>
      <c r="CG174" s="56">
        <v>42823</v>
      </c>
      <c r="CH174" s="56"/>
      <c r="CI174" s="56"/>
      <c r="CJ174">
        <v>1</v>
      </c>
      <c r="CK174">
        <v>0</v>
      </c>
      <c r="CL174">
        <v>0.05</v>
      </c>
      <c r="CM174">
        <v>0</v>
      </c>
      <c r="CN174">
        <v>0</v>
      </c>
      <c r="CO174">
        <v>0</v>
      </c>
      <c r="CP174">
        <v>0</v>
      </c>
      <c r="CQ174" t="s">
        <v>1618</v>
      </c>
      <c r="CR174" t="s">
        <v>1368</v>
      </c>
      <c r="CS174" t="s">
        <v>1728</v>
      </c>
      <c r="CT174" t="s">
        <v>1724</v>
      </c>
      <c r="CU174" t="s">
        <v>1729</v>
      </c>
      <c r="CV174" t="s">
        <v>2044</v>
      </c>
      <c r="DB174" t="s">
        <v>2032</v>
      </c>
      <c r="DE174" t="s">
        <v>1724</v>
      </c>
    </row>
    <row r="175" spans="1:109" x14ac:dyDescent="0.25">
      <c r="A175" t="s">
        <v>1618</v>
      </c>
      <c r="B175">
        <v>1</v>
      </c>
      <c r="C175" s="56">
        <v>42823</v>
      </c>
      <c r="D175" t="s">
        <v>1619</v>
      </c>
      <c r="E175" t="s">
        <v>2045</v>
      </c>
      <c r="G175" t="s">
        <v>1603</v>
      </c>
      <c r="H175" t="s">
        <v>1603</v>
      </c>
      <c r="I175" t="s">
        <v>1603</v>
      </c>
      <c r="J175" t="s">
        <v>1603</v>
      </c>
      <c r="K175" t="s">
        <v>1603</v>
      </c>
      <c r="L175">
        <v>8.32</v>
      </c>
      <c r="M175">
        <v>30.91</v>
      </c>
      <c r="N175">
        <v>0</v>
      </c>
      <c r="O175" s="56"/>
      <c r="P175" s="56"/>
      <c r="Q175">
        <v>13717</v>
      </c>
      <c r="R175">
        <v>1</v>
      </c>
      <c r="S175">
        <v>8</v>
      </c>
      <c r="T175">
        <v>4</v>
      </c>
      <c r="U175">
        <v>4</v>
      </c>
      <c r="V175">
        <v>1</v>
      </c>
      <c r="X175" t="s">
        <v>1738</v>
      </c>
      <c r="AA175">
        <v>0</v>
      </c>
      <c r="AB175">
        <v>0</v>
      </c>
      <c r="AC175">
        <v>0</v>
      </c>
      <c r="AD175">
        <v>0</v>
      </c>
      <c r="AE175">
        <v>0</v>
      </c>
      <c r="AF175">
        <v>0</v>
      </c>
      <c r="AG175">
        <v>0</v>
      </c>
      <c r="AJ175" s="56"/>
      <c r="AK175" s="56"/>
      <c r="AL175" s="56"/>
      <c r="AP175" t="s">
        <v>1604</v>
      </c>
      <c r="AR175">
        <v>8</v>
      </c>
      <c r="AS175" t="s">
        <v>1605</v>
      </c>
      <c r="AT175">
        <v>1</v>
      </c>
      <c r="AV175">
        <v>0</v>
      </c>
      <c r="AW175">
        <v>0</v>
      </c>
      <c r="AX175">
        <v>0</v>
      </c>
      <c r="AY175" t="s">
        <v>1606</v>
      </c>
      <c r="AZ175" t="s">
        <v>1606</v>
      </c>
      <c r="BA175">
        <v>0</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42593</v>
      </c>
      <c r="CE175" s="56">
        <v>42767</v>
      </c>
      <c r="CF175" s="56">
        <v>42767</v>
      </c>
      <c r="CG175" s="56">
        <v>42823</v>
      </c>
      <c r="CH175" s="56"/>
      <c r="CI175" s="56"/>
      <c r="CJ175">
        <v>1</v>
      </c>
      <c r="CK175">
        <v>0</v>
      </c>
      <c r="CL175">
        <v>0.05</v>
      </c>
      <c r="CM175">
        <v>0</v>
      </c>
      <c r="CN175">
        <v>0</v>
      </c>
      <c r="CO175">
        <v>0</v>
      </c>
      <c r="CP175">
        <v>0</v>
      </c>
      <c r="CQ175" t="s">
        <v>1618</v>
      </c>
      <c r="CR175" t="s">
        <v>1368</v>
      </c>
      <c r="CS175" t="s">
        <v>1728</v>
      </c>
      <c r="CT175" t="s">
        <v>1724</v>
      </c>
      <c r="CU175" t="s">
        <v>1729</v>
      </c>
      <c r="CV175" t="s">
        <v>2046</v>
      </c>
      <c r="DB175" t="s">
        <v>2032</v>
      </c>
      <c r="DE175" t="s">
        <v>1724</v>
      </c>
    </row>
    <row r="176" spans="1:109" x14ac:dyDescent="0.25">
      <c r="A176" t="s">
        <v>1618</v>
      </c>
      <c r="B176">
        <v>1</v>
      </c>
      <c r="C176" s="56">
        <v>42823</v>
      </c>
      <c r="D176" t="s">
        <v>1619</v>
      </c>
      <c r="E176" t="s">
        <v>1393</v>
      </c>
      <c r="G176" t="s">
        <v>1603</v>
      </c>
      <c r="H176" t="s">
        <v>1603</v>
      </c>
      <c r="I176" t="s">
        <v>1603</v>
      </c>
      <c r="J176" t="s">
        <v>1603</v>
      </c>
      <c r="K176" t="s">
        <v>1603</v>
      </c>
      <c r="L176">
        <v>0.75</v>
      </c>
      <c r="M176">
        <v>2.66</v>
      </c>
      <c r="N176">
        <v>0</v>
      </c>
      <c r="O176" s="56"/>
      <c r="P176" s="56"/>
      <c r="Q176">
        <v>13717</v>
      </c>
      <c r="R176">
        <v>2</v>
      </c>
      <c r="S176">
        <v>18</v>
      </c>
      <c r="T176">
        <v>8</v>
      </c>
      <c r="U176">
        <v>10</v>
      </c>
      <c r="V176">
        <v>1</v>
      </c>
      <c r="W176" t="s">
        <v>2047</v>
      </c>
      <c r="X176" t="s">
        <v>2048</v>
      </c>
      <c r="AA176">
        <v>374.72</v>
      </c>
      <c r="AB176">
        <v>10118</v>
      </c>
      <c r="AC176">
        <v>14.01</v>
      </c>
      <c r="AD176">
        <v>6.02</v>
      </c>
      <c r="AE176">
        <v>0</v>
      </c>
      <c r="AF176">
        <v>0</v>
      </c>
      <c r="AG176">
        <v>0</v>
      </c>
      <c r="AJ176" s="56"/>
      <c r="AK176" s="56"/>
      <c r="AL176" s="56">
        <v>42245</v>
      </c>
      <c r="AP176" t="s">
        <v>1604</v>
      </c>
      <c r="AR176">
        <v>60</v>
      </c>
      <c r="AS176" t="s">
        <v>1605</v>
      </c>
      <c r="AT176">
        <v>1</v>
      </c>
      <c r="AV176">
        <v>21000</v>
      </c>
      <c r="AW176">
        <v>13965</v>
      </c>
      <c r="AX176">
        <v>6930</v>
      </c>
      <c r="AY176" t="s">
        <v>1620</v>
      </c>
      <c r="AZ176" t="s">
        <v>1620</v>
      </c>
      <c r="BA176">
        <v>35100</v>
      </c>
      <c r="BD176">
        <v>1000000000</v>
      </c>
      <c r="BE176">
        <v>9024</v>
      </c>
      <c r="BF176">
        <v>0.56999999999999995</v>
      </c>
      <c r="BG176">
        <v>0</v>
      </c>
      <c r="BH176">
        <v>0</v>
      </c>
      <c r="BI176">
        <v>0</v>
      </c>
      <c r="BJ176">
        <v>0</v>
      </c>
      <c r="BK176">
        <v>0</v>
      </c>
      <c r="BL176">
        <v>0</v>
      </c>
      <c r="BM176">
        <v>9024</v>
      </c>
      <c r="BN176">
        <v>0.56999999999999995</v>
      </c>
      <c r="BO176">
        <v>0</v>
      </c>
      <c r="BP176">
        <v>0</v>
      </c>
      <c r="BR176">
        <v>12000</v>
      </c>
      <c r="BS176">
        <v>11667</v>
      </c>
      <c r="BX176">
        <v>0</v>
      </c>
      <c r="BY176">
        <v>0</v>
      </c>
      <c r="BZ176">
        <v>0</v>
      </c>
      <c r="CA176">
        <v>6.79</v>
      </c>
      <c r="CC176">
        <v>1</v>
      </c>
      <c r="CD176" s="56">
        <v>42709</v>
      </c>
      <c r="CE176" s="56">
        <v>42709</v>
      </c>
      <c r="CF176" s="56">
        <v>42709</v>
      </c>
      <c r="CG176" s="56">
        <v>42835</v>
      </c>
      <c r="CH176" s="56"/>
      <c r="CI176" s="56"/>
      <c r="CJ176">
        <v>0.1</v>
      </c>
      <c r="CK176">
        <v>0</v>
      </c>
      <c r="CL176">
        <v>0</v>
      </c>
      <c r="CM176">
        <v>0</v>
      </c>
      <c r="CN176">
        <v>0.47</v>
      </c>
      <c r="CO176">
        <v>0</v>
      </c>
      <c r="CP176">
        <v>0</v>
      </c>
      <c r="CQ176" t="s">
        <v>1618</v>
      </c>
      <c r="CR176" t="s">
        <v>1368</v>
      </c>
      <c r="CS176" t="s">
        <v>1728</v>
      </c>
      <c r="CT176" t="s">
        <v>1724</v>
      </c>
      <c r="CU176" t="s">
        <v>2049</v>
      </c>
      <c r="CV176" t="s">
        <v>2050</v>
      </c>
      <c r="DB176" t="s">
        <v>2051</v>
      </c>
      <c r="DE176" t="s">
        <v>1724</v>
      </c>
    </row>
    <row r="177" spans="1:109" x14ac:dyDescent="0.25">
      <c r="A177" t="s">
        <v>1618</v>
      </c>
      <c r="B177">
        <v>1</v>
      </c>
      <c r="C177" s="56">
        <v>42823</v>
      </c>
      <c r="D177" t="s">
        <v>1619</v>
      </c>
      <c r="E177" t="s">
        <v>1394</v>
      </c>
      <c r="G177" t="s">
        <v>1603</v>
      </c>
      <c r="H177" t="s">
        <v>1603</v>
      </c>
      <c r="I177" t="s">
        <v>1603</v>
      </c>
      <c r="J177" t="s">
        <v>1603</v>
      </c>
      <c r="K177" t="s">
        <v>1603</v>
      </c>
      <c r="L177">
        <v>1.0900000000000001</v>
      </c>
      <c r="M177">
        <v>3.24</v>
      </c>
      <c r="N177">
        <v>0</v>
      </c>
      <c r="O177" s="56"/>
      <c r="P177" s="56"/>
      <c r="Q177">
        <v>13717</v>
      </c>
      <c r="R177">
        <v>2</v>
      </c>
      <c r="S177">
        <v>18</v>
      </c>
      <c r="T177">
        <v>8</v>
      </c>
      <c r="U177">
        <v>10</v>
      </c>
      <c r="V177">
        <v>1</v>
      </c>
      <c r="W177" t="s">
        <v>2047</v>
      </c>
      <c r="X177" t="s">
        <v>2048</v>
      </c>
      <c r="AA177">
        <v>618.62</v>
      </c>
      <c r="AB177">
        <v>16703</v>
      </c>
      <c r="AC177">
        <v>10.1</v>
      </c>
      <c r="AD177">
        <v>1.65</v>
      </c>
      <c r="AE177">
        <v>0</v>
      </c>
      <c r="AF177">
        <v>0</v>
      </c>
      <c r="AG177">
        <v>0</v>
      </c>
      <c r="AJ177" s="56"/>
      <c r="AK177" s="56"/>
      <c r="AL177" s="56"/>
      <c r="AP177" t="s">
        <v>1604</v>
      </c>
      <c r="AR177">
        <v>36</v>
      </c>
      <c r="AS177" t="s">
        <v>1605</v>
      </c>
      <c r="AT177">
        <v>1</v>
      </c>
      <c r="AV177">
        <v>25000</v>
      </c>
      <c r="AW177">
        <v>16625</v>
      </c>
      <c r="AX177">
        <v>8250</v>
      </c>
      <c r="AY177" t="s">
        <v>1621</v>
      </c>
      <c r="AZ177" t="s">
        <v>1621</v>
      </c>
      <c r="BA177">
        <v>40500</v>
      </c>
      <c r="BD177">
        <v>1000000000</v>
      </c>
      <c r="BE177">
        <v>4079</v>
      </c>
      <c r="BF177">
        <v>0.84</v>
      </c>
      <c r="BG177">
        <v>0</v>
      </c>
      <c r="BH177">
        <v>0</v>
      </c>
      <c r="BI177">
        <v>0</v>
      </c>
      <c r="BJ177">
        <v>0</v>
      </c>
      <c r="BK177">
        <v>0</v>
      </c>
      <c r="BL177">
        <v>0</v>
      </c>
      <c r="BM177">
        <v>4079</v>
      </c>
      <c r="BN177">
        <v>0.84</v>
      </c>
      <c r="BO177">
        <v>0</v>
      </c>
      <c r="BP177">
        <v>0</v>
      </c>
      <c r="BR177">
        <v>20916</v>
      </c>
      <c r="BS177">
        <v>13889</v>
      </c>
      <c r="BX177">
        <v>8967.65</v>
      </c>
      <c r="BY177">
        <v>0</v>
      </c>
      <c r="BZ177">
        <v>0</v>
      </c>
      <c r="CA177">
        <v>5.26</v>
      </c>
      <c r="CC177">
        <v>1</v>
      </c>
      <c r="CD177" s="56">
        <v>42709</v>
      </c>
      <c r="CE177" s="56">
        <v>42709</v>
      </c>
      <c r="CF177" s="56">
        <v>42709</v>
      </c>
      <c r="CG177" s="56">
        <v>42835</v>
      </c>
      <c r="CH177" s="56"/>
      <c r="CI177" s="56"/>
      <c r="CJ177">
        <v>1.1499999999999999</v>
      </c>
      <c r="CK177">
        <v>0</v>
      </c>
      <c r="CL177">
        <v>0</v>
      </c>
      <c r="CM177">
        <v>0.47</v>
      </c>
      <c r="CN177">
        <v>0</v>
      </c>
      <c r="CO177">
        <v>0</v>
      </c>
      <c r="CP177">
        <v>0</v>
      </c>
      <c r="CQ177" t="s">
        <v>1618</v>
      </c>
      <c r="CR177" t="s">
        <v>1368</v>
      </c>
      <c r="CS177" t="s">
        <v>1728</v>
      </c>
      <c r="CT177" t="s">
        <v>1724</v>
      </c>
      <c r="CU177" t="s">
        <v>2049</v>
      </c>
      <c r="CV177" t="s">
        <v>2052</v>
      </c>
      <c r="DB177" t="s">
        <v>2051</v>
      </c>
      <c r="DE177" t="s">
        <v>1724</v>
      </c>
    </row>
    <row r="178" spans="1:109" x14ac:dyDescent="0.25">
      <c r="A178" t="s">
        <v>1618</v>
      </c>
      <c r="B178">
        <v>1</v>
      </c>
      <c r="C178" s="56">
        <v>42823</v>
      </c>
      <c r="D178" t="s">
        <v>1619</v>
      </c>
      <c r="E178" t="s">
        <v>1395</v>
      </c>
      <c r="G178" t="s">
        <v>1603</v>
      </c>
      <c r="H178" t="s">
        <v>1603</v>
      </c>
      <c r="I178" t="s">
        <v>1603</v>
      </c>
      <c r="J178" t="s">
        <v>1603</v>
      </c>
      <c r="K178" t="s">
        <v>1603</v>
      </c>
      <c r="L178">
        <v>1.43</v>
      </c>
      <c r="M178">
        <v>4.38</v>
      </c>
      <c r="N178">
        <v>0</v>
      </c>
      <c r="O178" s="56"/>
      <c r="P178" s="56"/>
      <c r="Q178">
        <v>13717</v>
      </c>
      <c r="R178">
        <v>2</v>
      </c>
      <c r="S178">
        <v>18</v>
      </c>
      <c r="T178">
        <v>8</v>
      </c>
      <c r="U178">
        <v>10</v>
      </c>
      <c r="V178">
        <v>1</v>
      </c>
      <c r="W178" t="s">
        <v>2047</v>
      </c>
      <c r="X178" t="s">
        <v>2048</v>
      </c>
      <c r="AA178">
        <v>281.60000000000002</v>
      </c>
      <c r="AB178">
        <v>7604</v>
      </c>
      <c r="AC178">
        <v>7.1</v>
      </c>
      <c r="AD178">
        <v>2.2400000000000002</v>
      </c>
      <c r="AE178">
        <v>0</v>
      </c>
      <c r="AF178">
        <v>0</v>
      </c>
      <c r="AG178">
        <v>0</v>
      </c>
      <c r="AJ178" s="56"/>
      <c r="AK178" s="56"/>
      <c r="AL178" s="56"/>
      <c r="AP178" t="s">
        <v>1604</v>
      </c>
      <c r="AR178">
        <v>36</v>
      </c>
      <c r="AS178" t="s">
        <v>1605</v>
      </c>
      <c r="AT178">
        <v>1</v>
      </c>
      <c r="AV178">
        <v>8000</v>
      </c>
      <c r="AW178">
        <v>5320</v>
      </c>
      <c r="AX178">
        <v>2640</v>
      </c>
      <c r="AY178" t="s">
        <v>1621</v>
      </c>
      <c r="AZ178" t="s">
        <v>1621</v>
      </c>
      <c r="BA178">
        <v>16200</v>
      </c>
      <c r="BD178">
        <v>1000000000</v>
      </c>
      <c r="BE178">
        <v>2523</v>
      </c>
      <c r="BF178">
        <v>0.68</v>
      </c>
      <c r="BG178">
        <v>0</v>
      </c>
      <c r="BH178">
        <v>0</v>
      </c>
      <c r="BI178">
        <v>0</v>
      </c>
      <c r="BJ178">
        <v>0</v>
      </c>
      <c r="BK178">
        <v>0</v>
      </c>
      <c r="BL178">
        <v>0</v>
      </c>
      <c r="BM178">
        <v>2523</v>
      </c>
      <c r="BN178">
        <v>0.68</v>
      </c>
      <c r="BO178">
        <v>0</v>
      </c>
      <c r="BP178">
        <v>0</v>
      </c>
      <c r="BR178">
        <v>5472</v>
      </c>
      <c r="BS178">
        <v>4444</v>
      </c>
      <c r="BX178">
        <v>345.15</v>
      </c>
      <c r="BY178">
        <v>0</v>
      </c>
      <c r="BZ178">
        <v>0</v>
      </c>
      <c r="CA178">
        <v>5.5</v>
      </c>
      <c r="CC178">
        <v>1</v>
      </c>
      <c r="CD178" s="56">
        <v>42709</v>
      </c>
      <c r="CE178" s="56">
        <v>42709</v>
      </c>
      <c r="CF178" s="56">
        <v>42709</v>
      </c>
      <c r="CG178" s="56">
        <v>42835</v>
      </c>
      <c r="CH178" s="56"/>
      <c r="CI178" s="56"/>
      <c r="CJ178">
        <v>0.4</v>
      </c>
      <c r="CK178">
        <v>0</v>
      </c>
      <c r="CL178">
        <v>0</v>
      </c>
      <c r="CM178">
        <v>0.42</v>
      </c>
      <c r="CN178">
        <v>0.05</v>
      </c>
      <c r="CO178">
        <v>0</v>
      </c>
      <c r="CP178">
        <v>0</v>
      </c>
      <c r="CQ178" t="s">
        <v>1618</v>
      </c>
      <c r="CR178" t="s">
        <v>1368</v>
      </c>
      <c r="CS178" t="s">
        <v>1728</v>
      </c>
      <c r="CT178" t="s">
        <v>1724</v>
      </c>
      <c r="CU178" t="s">
        <v>2049</v>
      </c>
      <c r="CV178" t="s">
        <v>2053</v>
      </c>
      <c r="DB178" t="s">
        <v>2051</v>
      </c>
      <c r="DE178" t="s">
        <v>1724</v>
      </c>
    </row>
    <row r="179" spans="1:109" x14ac:dyDescent="0.25">
      <c r="A179" t="s">
        <v>1618</v>
      </c>
      <c r="B179">
        <v>1</v>
      </c>
      <c r="C179" s="56">
        <v>42823</v>
      </c>
      <c r="D179" t="s">
        <v>1619</v>
      </c>
      <c r="E179" t="s">
        <v>1601</v>
      </c>
      <c r="G179" t="s">
        <v>1603</v>
      </c>
      <c r="H179" t="s">
        <v>1603</v>
      </c>
      <c r="I179" t="s">
        <v>1603</v>
      </c>
      <c r="J179" t="s">
        <v>1603</v>
      </c>
      <c r="K179" t="s">
        <v>1603</v>
      </c>
      <c r="L179">
        <v>0.34</v>
      </c>
      <c r="M179">
        <v>3.93</v>
      </c>
      <c r="N179">
        <v>0</v>
      </c>
      <c r="O179" s="56"/>
      <c r="P179" s="56"/>
      <c r="Q179">
        <v>13717</v>
      </c>
      <c r="R179">
        <v>2</v>
      </c>
      <c r="S179">
        <v>18</v>
      </c>
      <c r="T179">
        <v>8</v>
      </c>
      <c r="U179">
        <v>10</v>
      </c>
      <c r="V179">
        <v>1</v>
      </c>
      <c r="X179" t="s">
        <v>2048</v>
      </c>
      <c r="Z179" t="s">
        <v>1734</v>
      </c>
      <c r="AA179">
        <v>0.86</v>
      </c>
      <c r="AB179">
        <v>24</v>
      </c>
      <c r="AC179">
        <v>69.77</v>
      </c>
      <c r="AD179">
        <v>93.9</v>
      </c>
      <c r="AE179">
        <v>0</v>
      </c>
      <c r="AF179">
        <v>0</v>
      </c>
      <c r="AG179">
        <v>0</v>
      </c>
      <c r="AJ179" s="56"/>
      <c r="AK179" s="56"/>
      <c r="AL179" s="56"/>
      <c r="AP179" t="s">
        <v>1604</v>
      </c>
      <c r="AR179">
        <v>72</v>
      </c>
      <c r="AS179" t="s">
        <v>1605</v>
      </c>
      <c r="AT179">
        <v>1</v>
      </c>
      <c r="AV179">
        <v>240</v>
      </c>
      <c r="AW179">
        <v>160</v>
      </c>
      <c r="AX179">
        <v>79</v>
      </c>
      <c r="AY179" t="s">
        <v>1754</v>
      </c>
      <c r="AZ179" t="s">
        <v>1754</v>
      </c>
      <c r="BA179">
        <v>324</v>
      </c>
      <c r="BD179">
        <v>1000000000</v>
      </c>
      <c r="BE179">
        <v>323</v>
      </c>
      <c r="BF179">
        <v>-0.35</v>
      </c>
      <c r="BG179">
        <v>0</v>
      </c>
      <c r="BH179">
        <v>0</v>
      </c>
      <c r="BI179">
        <v>0</v>
      </c>
      <c r="BJ179">
        <v>0</v>
      </c>
      <c r="BK179">
        <v>0</v>
      </c>
      <c r="BL179">
        <v>0</v>
      </c>
      <c r="BM179">
        <v>323</v>
      </c>
      <c r="BN179">
        <v>-0.35</v>
      </c>
      <c r="BO179">
        <v>0</v>
      </c>
      <c r="BP179">
        <v>0</v>
      </c>
      <c r="BR179">
        <v>0</v>
      </c>
      <c r="BS179">
        <v>133</v>
      </c>
      <c r="BX179">
        <v>0</v>
      </c>
      <c r="BY179">
        <v>28.22</v>
      </c>
      <c r="BZ179">
        <v>0</v>
      </c>
      <c r="CA179">
        <v>28.16</v>
      </c>
      <c r="CC179">
        <v>1</v>
      </c>
      <c r="CD179" s="56">
        <v>42709</v>
      </c>
      <c r="CE179" s="56">
        <v>42709</v>
      </c>
      <c r="CF179" s="56">
        <v>42709</v>
      </c>
      <c r="CG179" s="56">
        <v>42835</v>
      </c>
      <c r="CH179" s="56"/>
      <c r="CI179" s="56"/>
      <c r="CJ179">
        <v>0.01</v>
      </c>
      <c r="CK179">
        <v>0</v>
      </c>
      <c r="CL179">
        <v>0</v>
      </c>
      <c r="CM179">
        <v>0</v>
      </c>
      <c r="CN179">
        <v>0</v>
      </c>
      <c r="CO179">
        <v>0</v>
      </c>
      <c r="CP179">
        <v>0.47</v>
      </c>
      <c r="CQ179" t="s">
        <v>1618</v>
      </c>
      <c r="CR179" t="s">
        <v>1368</v>
      </c>
      <c r="CS179" t="s">
        <v>1728</v>
      </c>
      <c r="CT179" t="s">
        <v>1724</v>
      </c>
      <c r="CU179" t="s">
        <v>2049</v>
      </c>
      <c r="CV179" t="s">
        <v>2054</v>
      </c>
      <c r="DB179" t="s">
        <v>2055</v>
      </c>
      <c r="DE179" t="s">
        <v>1724</v>
      </c>
    </row>
    <row r="180" spans="1:109" x14ac:dyDescent="0.25">
      <c r="A180" t="s">
        <v>1618</v>
      </c>
      <c r="B180">
        <v>1</v>
      </c>
      <c r="C180" s="56">
        <v>42823</v>
      </c>
      <c r="D180" t="s">
        <v>1619</v>
      </c>
      <c r="E180" t="s">
        <v>1396</v>
      </c>
      <c r="G180" t="s">
        <v>1603</v>
      </c>
      <c r="H180" t="s">
        <v>1603</v>
      </c>
      <c r="I180" t="s">
        <v>1603</v>
      </c>
      <c r="J180" t="s">
        <v>1603</v>
      </c>
      <c r="K180" t="s">
        <v>1603</v>
      </c>
      <c r="L180">
        <v>0.44</v>
      </c>
      <c r="M180">
        <v>3.44</v>
      </c>
      <c r="N180">
        <v>0</v>
      </c>
      <c r="O180" s="56"/>
      <c r="P180" s="56"/>
      <c r="Q180">
        <v>13717</v>
      </c>
      <c r="R180">
        <v>2</v>
      </c>
      <c r="S180">
        <v>18</v>
      </c>
      <c r="T180">
        <v>8</v>
      </c>
      <c r="U180">
        <v>10</v>
      </c>
      <c r="V180">
        <v>1</v>
      </c>
      <c r="X180" t="s">
        <v>2048</v>
      </c>
      <c r="AA180">
        <v>97.26</v>
      </c>
      <c r="AB180">
        <v>2627</v>
      </c>
      <c r="AC180">
        <v>9</v>
      </c>
      <c r="AD180">
        <v>9.65</v>
      </c>
      <c r="AE180">
        <v>0</v>
      </c>
      <c r="AF180">
        <v>0</v>
      </c>
      <c r="AG180">
        <v>0</v>
      </c>
      <c r="AJ180" s="56"/>
      <c r="AK180" s="56"/>
      <c r="AL180" s="56"/>
      <c r="AP180" t="s">
        <v>1604</v>
      </c>
      <c r="AR180">
        <v>48</v>
      </c>
      <c r="AS180" t="s">
        <v>1605</v>
      </c>
      <c r="AT180">
        <v>1</v>
      </c>
      <c r="AV180">
        <v>3500</v>
      </c>
      <c r="AW180">
        <v>2328</v>
      </c>
      <c r="AX180">
        <v>1155</v>
      </c>
      <c r="AY180" t="s">
        <v>1754</v>
      </c>
      <c r="AZ180" t="s">
        <v>1754</v>
      </c>
      <c r="BA180">
        <v>8100</v>
      </c>
      <c r="BD180">
        <v>1000000000</v>
      </c>
      <c r="BE180">
        <v>3754</v>
      </c>
      <c r="BF180">
        <v>-7.0000000000000007E-2</v>
      </c>
      <c r="BG180">
        <v>0</v>
      </c>
      <c r="BH180">
        <v>0</v>
      </c>
      <c r="BI180">
        <v>0</v>
      </c>
      <c r="BJ180">
        <v>0</v>
      </c>
      <c r="BK180">
        <v>0</v>
      </c>
      <c r="BL180">
        <v>0</v>
      </c>
      <c r="BM180">
        <v>3754</v>
      </c>
      <c r="BN180">
        <v>-7.0000000000000007E-2</v>
      </c>
      <c r="BO180">
        <v>0</v>
      </c>
      <c r="BP180">
        <v>0</v>
      </c>
      <c r="BR180">
        <v>0</v>
      </c>
      <c r="BS180">
        <v>1944</v>
      </c>
      <c r="BX180">
        <v>0</v>
      </c>
      <c r="BY180">
        <v>111.76</v>
      </c>
      <c r="BZ180">
        <v>0</v>
      </c>
      <c r="CA180">
        <v>18.18</v>
      </c>
      <c r="CC180">
        <v>1</v>
      </c>
      <c r="CD180" s="56">
        <v>42709</v>
      </c>
      <c r="CE180" s="56">
        <v>42709</v>
      </c>
      <c r="CF180" s="56">
        <v>42709</v>
      </c>
      <c r="CG180" s="56">
        <v>42835</v>
      </c>
      <c r="CH180" s="56"/>
      <c r="CI180" s="56"/>
      <c r="CJ180">
        <v>0.13</v>
      </c>
      <c r="CK180">
        <v>0</v>
      </c>
      <c r="CL180">
        <v>0</v>
      </c>
      <c r="CM180">
        <v>0</v>
      </c>
      <c r="CN180">
        <v>0</v>
      </c>
      <c r="CO180">
        <v>0.31</v>
      </c>
      <c r="CP180">
        <v>0.16</v>
      </c>
      <c r="CQ180" t="s">
        <v>1618</v>
      </c>
      <c r="CR180" t="s">
        <v>1368</v>
      </c>
      <c r="CS180" t="s">
        <v>1728</v>
      </c>
      <c r="CT180" t="s">
        <v>1724</v>
      </c>
      <c r="CU180" t="s">
        <v>2049</v>
      </c>
      <c r="CV180" t="s">
        <v>2056</v>
      </c>
      <c r="DB180" t="s">
        <v>2055</v>
      </c>
      <c r="DE180" t="s">
        <v>1724</v>
      </c>
    </row>
    <row r="181" spans="1:109" x14ac:dyDescent="0.25">
      <c r="A181" t="s">
        <v>1618</v>
      </c>
      <c r="B181">
        <v>1</v>
      </c>
      <c r="C181" s="56">
        <v>42823</v>
      </c>
      <c r="D181" t="s">
        <v>1619</v>
      </c>
      <c r="E181" t="s">
        <v>1397</v>
      </c>
      <c r="G181" t="s">
        <v>1603</v>
      </c>
      <c r="H181" t="s">
        <v>1603</v>
      </c>
      <c r="I181" t="s">
        <v>1603</v>
      </c>
      <c r="J181" t="s">
        <v>1603</v>
      </c>
      <c r="K181" t="s">
        <v>1603</v>
      </c>
      <c r="L181">
        <v>0.69</v>
      </c>
      <c r="M181">
        <v>4.3099999999999996</v>
      </c>
      <c r="N181">
        <v>0</v>
      </c>
      <c r="O181" s="56"/>
      <c r="P181" s="56"/>
      <c r="Q181">
        <v>13717</v>
      </c>
      <c r="R181">
        <v>2</v>
      </c>
      <c r="S181">
        <v>18</v>
      </c>
      <c r="T181">
        <v>8</v>
      </c>
      <c r="U181">
        <v>10</v>
      </c>
      <c r="V181">
        <v>1</v>
      </c>
      <c r="W181" t="s">
        <v>2047</v>
      </c>
      <c r="X181" t="s">
        <v>2048</v>
      </c>
      <c r="Z181" t="s">
        <v>1734</v>
      </c>
      <c r="AA181">
        <v>319.77</v>
      </c>
      <c r="AB181">
        <v>8634</v>
      </c>
      <c r="AC181">
        <v>3.13</v>
      </c>
      <c r="AD181">
        <v>0.09</v>
      </c>
      <c r="AE181">
        <v>0</v>
      </c>
      <c r="AF181">
        <v>0</v>
      </c>
      <c r="AG181">
        <v>0</v>
      </c>
      <c r="AJ181" s="56">
        <v>42666</v>
      </c>
      <c r="AK181" s="56"/>
      <c r="AL181" s="56"/>
      <c r="AP181" t="s">
        <v>1604</v>
      </c>
      <c r="AR181">
        <v>36</v>
      </c>
      <c r="AS181" t="s">
        <v>1605</v>
      </c>
      <c r="AT181">
        <v>1</v>
      </c>
      <c r="AV181">
        <v>4000</v>
      </c>
      <c r="AW181">
        <v>2660</v>
      </c>
      <c r="AX181">
        <v>1320</v>
      </c>
      <c r="AY181" t="s">
        <v>1621</v>
      </c>
      <c r="AZ181" t="s">
        <v>1621</v>
      </c>
      <c r="BA181">
        <v>11880</v>
      </c>
      <c r="BD181">
        <v>1000000000</v>
      </c>
      <c r="BE181">
        <v>121</v>
      </c>
      <c r="BF181">
        <v>0.97</v>
      </c>
      <c r="BG181">
        <v>0</v>
      </c>
      <c r="BH181">
        <v>0</v>
      </c>
      <c r="BI181">
        <v>0</v>
      </c>
      <c r="BJ181">
        <v>0</v>
      </c>
      <c r="BK181">
        <v>0</v>
      </c>
      <c r="BL181">
        <v>0</v>
      </c>
      <c r="BM181">
        <v>121</v>
      </c>
      <c r="BN181">
        <v>0.97</v>
      </c>
      <c r="BO181">
        <v>0</v>
      </c>
      <c r="BP181">
        <v>0</v>
      </c>
      <c r="BR181">
        <v>3888</v>
      </c>
      <c r="BS181">
        <v>2222</v>
      </c>
      <c r="BX181">
        <v>4340.38</v>
      </c>
      <c r="BY181">
        <v>0</v>
      </c>
      <c r="BZ181">
        <v>0</v>
      </c>
      <c r="CA181">
        <v>13.99</v>
      </c>
      <c r="CC181">
        <v>1</v>
      </c>
      <c r="CD181" s="56">
        <v>42709</v>
      </c>
      <c r="CE181" s="56">
        <v>42709</v>
      </c>
      <c r="CF181" s="56">
        <v>42709</v>
      </c>
      <c r="CG181" s="56">
        <v>42835</v>
      </c>
      <c r="CH181" s="56"/>
      <c r="CI181" s="56"/>
      <c r="CJ181">
        <v>1.34</v>
      </c>
      <c r="CK181">
        <v>0</v>
      </c>
      <c r="CL181">
        <v>0</v>
      </c>
      <c r="CM181">
        <v>0.43</v>
      </c>
      <c r="CN181">
        <v>0</v>
      </c>
      <c r="CO181">
        <v>0.01</v>
      </c>
      <c r="CP181">
        <v>0.02</v>
      </c>
      <c r="CQ181" t="s">
        <v>1618</v>
      </c>
      <c r="CR181" t="s">
        <v>1368</v>
      </c>
      <c r="CS181" t="s">
        <v>1728</v>
      </c>
      <c r="CT181" t="s">
        <v>1724</v>
      </c>
      <c r="CU181" t="s">
        <v>2049</v>
      </c>
      <c r="CV181" t="s">
        <v>2057</v>
      </c>
      <c r="DB181" t="s">
        <v>2055</v>
      </c>
      <c r="DE181" t="s">
        <v>1724</v>
      </c>
    </row>
    <row r="182" spans="1:109" x14ac:dyDescent="0.25">
      <c r="A182" t="s">
        <v>1618</v>
      </c>
      <c r="B182">
        <v>1</v>
      </c>
      <c r="C182" s="56">
        <v>42823</v>
      </c>
      <c r="D182" t="s">
        <v>1619</v>
      </c>
      <c r="E182" t="s">
        <v>1398</v>
      </c>
      <c r="G182" t="s">
        <v>1603</v>
      </c>
      <c r="H182" t="s">
        <v>1603</v>
      </c>
      <c r="I182" t="s">
        <v>1603</v>
      </c>
      <c r="J182" t="s">
        <v>1603</v>
      </c>
      <c r="K182" t="s">
        <v>1603</v>
      </c>
      <c r="L182">
        <v>0.8</v>
      </c>
      <c r="M182">
        <v>5.41</v>
      </c>
      <c r="N182">
        <v>0</v>
      </c>
      <c r="O182" s="56"/>
      <c r="P182" s="56"/>
      <c r="Q182">
        <v>13717</v>
      </c>
      <c r="R182">
        <v>2</v>
      </c>
      <c r="S182">
        <v>18</v>
      </c>
      <c r="T182">
        <v>8</v>
      </c>
      <c r="U182">
        <v>10</v>
      </c>
      <c r="V182">
        <v>1</v>
      </c>
      <c r="W182" t="s">
        <v>2047</v>
      </c>
      <c r="X182" t="s">
        <v>2048</v>
      </c>
      <c r="AA182">
        <v>11.34</v>
      </c>
      <c r="AB182">
        <v>307</v>
      </c>
      <c r="AC182">
        <v>22.05</v>
      </c>
      <c r="AD182">
        <v>11.71</v>
      </c>
      <c r="AE182">
        <v>0</v>
      </c>
      <c r="AF182">
        <v>0</v>
      </c>
      <c r="AG182">
        <v>0</v>
      </c>
      <c r="AJ182" s="56"/>
      <c r="AK182" s="56"/>
      <c r="AL182" s="56"/>
      <c r="AP182" t="s">
        <v>1604</v>
      </c>
      <c r="AR182">
        <v>24</v>
      </c>
      <c r="AS182" t="s">
        <v>1605</v>
      </c>
      <c r="AT182">
        <v>1</v>
      </c>
      <c r="AV182">
        <v>1000</v>
      </c>
      <c r="AW182">
        <v>665</v>
      </c>
      <c r="AX182">
        <v>330</v>
      </c>
      <c r="AY182" t="s">
        <v>1620</v>
      </c>
      <c r="AZ182" t="s">
        <v>1620</v>
      </c>
      <c r="BA182">
        <v>2700</v>
      </c>
      <c r="BD182">
        <v>1000000000</v>
      </c>
      <c r="BE182">
        <v>531</v>
      </c>
      <c r="BF182">
        <v>0.47</v>
      </c>
      <c r="BG182">
        <v>0</v>
      </c>
      <c r="BH182">
        <v>0</v>
      </c>
      <c r="BI182">
        <v>0</v>
      </c>
      <c r="BJ182">
        <v>0</v>
      </c>
      <c r="BK182">
        <v>0</v>
      </c>
      <c r="BL182">
        <v>0</v>
      </c>
      <c r="BM182">
        <v>531</v>
      </c>
      <c r="BN182">
        <v>0.47</v>
      </c>
      <c r="BO182">
        <v>0</v>
      </c>
      <c r="BP182">
        <v>0</v>
      </c>
      <c r="BR182">
        <v>480</v>
      </c>
      <c r="BS182">
        <v>556</v>
      </c>
      <c r="BX182">
        <v>0</v>
      </c>
      <c r="BY182">
        <v>0</v>
      </c>
      <c r="BZ182">
        <v>0</v>
      </c>
      <c r="CA182">
        <v>15.37</v>
      </c>
      <c r="CC182">
        <v>1</v>
      </c>
      <c r="CD182" s="56">
        <v>42709</v>
      </c>
      <c r="CE182" s="56">
        <v>42709</v>
      </c>
      <c r="CF182" s="56">
        <v>42709</v>
      </c>
      <c r="CG182" s="56">
        <v>42835</v>
      </c>
      <c r="CH182" s="56"/>
      <c r="CI182" s="56"/>
      <c r="CJ182">
        <v>0.22</v>
      </c>
      <c r="CK182">
        <v>0</v>
      </c>
      <c r="CL182">
        <v>0</v>
      </c>
      <c r="CM182">
        <v>0.02</v>
      </c>
      <c r="CN182">
        <v>0.44</v>
      </c>
      <c r="CO182">
        <v>0</v>
      </c>
      <c r="CP182">
        <v>0</v>
      </c>
      <c r="CQ182" t="s">
        <v>1618</v>
      </c>
      <c r="CR182" t="s">
        <v>1368</v>
      </c>
      <c r="CS182" t="s">
        <v>1728</v>
      </c>
      <c r="CT182" t="s">
        <v>1724</v>
      </c>
      <c r="CU182" t="s">
        <v>2049</v>
      </c>
      <c r="CV182" t="s">
        <v>2058</v>
      </c>
      <c r="DB182" t="s">
        <v>2055</v>
      </c>
      <c r="DE182" t="s">
        <v>1724</v>
      </c>
    </row>
    <row r="183" spans="1:109" x14ac:dyDescent="0.25">
      <c r="A183" t="s">
        <v>1618</v>
      </c>
      <c r="B183">
        <v>1</v>
      </c>
      <c r="C183" s="56">
        <v>42823</v>
      </c>
      <c r="D183" t="s">
        <v>1619</v>
      </c>
      <c r="E183" t="s">
        <v>2059</v>
      </c>
      <c r="G183" t="s">
        <v>1603</v>
      </c>
      <c r="H183" t="s">
        <v>1603</v>
      </c>
      <c r="I183" t="s">
        <v>1603</v>
      </c>
      <c r="J183" t="s">
        <v>1603</v>
      </c>
      <c r="K183" t="s">
        <v>1603</v>
      </c>
      <c r="L183">
        <v>8.66</v>
      </c>
      <c r="M183">
        <v>35.15</v>
      </c>
      <c r="N183">
        <v>0</v>
      </c>
      <c r="O183" s="56"/>
      <c r="P183" s="56"/>
      <c r="Q183">
        <v>13717</v>
      </c>
      <c r="R183">
        <v>1</v>
      </c>
      <c r="S183">
        <v>8</v>
      </c>
      <c r="T183">
        <v>4</v>
      </c>
      <c r="U183">
        <v>4</v>
      </c>
      <c r="V183">
        <v>1</v>
      </c>
      <c r="X183" t="s">
        <v>1738</v>
      </c>
      <c r="AA183">
        <v>0</v>
      </c>
      <c r="AB183">
        <v>0</v>
      </c>
      <c r="AC183">
        <v>0</v>
      </c>
      <c r="AD183">
        <v>0</v>
      </c>
      <c r="AE183">
        <v>0</v>
      </c>
      <c r="AF183">
        <v>0</v>
      </c>
      <c r="AG183">
        <v>0</v>
      </c>
      <c r="AJ183" s="56"/>
      <c r="AK183" s="56"/>
      <c r="AL183" s="56"/>
      <c r="AP183" t="s">
        <v>1604</v>
      </c>
      <c r="AR183">
        <v>18</v>
      </c>
      <c r="AS183" t="s">
        <v>1605</v>
      </c>
      <c r="AT183">
        <v>1</v>
      </c>
      <c r="AV183">
        <v>0</v>
      </c>
      <c r="AW183">
        <v>0</v>
      </c>
      <c r="AX183">
        <v>0</v>
      </c>
      <c r="AY183" t="s">
        <v>1606</v>
      </c>
      <c r="AZ183" t="s">
        <v>1606</v>
      </c>
      <c r="BA183">
        <v>0</v>
      </c>
      <c r="BD183">
        <v>1000000000</v>
      </c>
      <c r="BE183">
        <v>3</v>
      </c>
      <c r="BF183">
        <v>0</v>
      </c>
      <c r="BG183">
        <v>0</v>
      </c>
      <c r="BH183">
        <v>0</v>
      </c>
      <c r="BI183">
        <v>0</v>
      </c>
      <c r="BJ183">
        <v>0</v>
      </c>
      <c r="BK183">
        <v>0</v>
      </c>
      <c r="BL183">
        <v>0</v>
      </c>
      <c r="BM183">
        <v>3</v>
      </c>
      <c r="BN183">
        <v>0</v>
      </c>
      <c r="BO183">
        <v>0</v>
      </c>
      <c r="BP183">
        <v>0</v>
      </c>
      <c r="BR183">
        <v>0</v>
      </c>
      <c r="BS183">
        <v>0</v>
      </c>
      <c r="BX183">
        <v>0</v>
      </c>
      <c r="BY183">
        <v>0</v>
      </c>
      <c r="BZ183">
        <v>0</v>
      </c>
      <c r="CA183">
        <v>0</v>
      </c>
      <c r="CC183">
        <v>1</v>
      </c>
      <c r="CD183" s="56">
        <v>42593</v>
      </c>
      <c r="CE183" s="56">
        <v>42767</v>
      </c>
      <c r="CF183" s="56">
        <v>42767</v>
      </c>
      <c r="CG183" s="56">
        <v>42823</v>
      </c>
      <c r="CH183" s="56"/>
      <c r="CI183" s="56"/>
      <c r="CJ183">
        <v>0</v>
      </c>
      <c r="CK183">
        <v>0</v>
      </c>
      <c r="CL183">
        <v>0</v>
      </c>
      <c r="CM183">
        <v>0</v>
      </c>
      <c r="CN183">
        <v>0</v>
      </c>
      <c r="CO183">
        <v>0</v>
      </c>
      <c r="CP183">
        <v>0.05</v>
      </c>
      <c r="CQ183" t="s">
        <v>1618</v>
      </c>
      <c r="CR183" t="s">
        <v>1368</v>
      </c>
      <c r="CS183" t="s">
        <v>1728</v>
      </c>
      <c r="CT183" t="s">
        <v>1724</v>
      </c>
      <c r="CU183" t="s">
        <v>1729</v>
      </c>
      <c r="CV183" t="s">
        <v>2060</v>
      </c>
      <c r="DB183" t="s">
        <v>1953</v>
      </c>
      <c r="DE183" t="s">
        <v>1724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69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1622</v>
      </c>
      <c r="B2">
        <v>8</v>
      </c>
      <c r="C2" s="47">
        <v>42736</v>
      </c>
      <c r="D2" s="3" t="str">
        <f>YEAR(Datos_Consumo[[#This Row],[FECHA]])&amp;"-"&amp;MONTH(Datos_Consumo[[#This Row],[FECHA]])</f>
        <v>2017-1</v>
      </c>
      <c r="F2" s="47">
        <v>42644</v>
      </c>
      <c r="G2" s="53" t="str">
        <f>YEAR(Fecha_Consumo[[#This Row],[FECHAS_CONSUMO]])&amp;"-"&amp;MONTH(Fecha_Consumo[[#This Row],[FECHAS_CONSUMO]])</f>
        <v>2016-10</v>
      </c>
    </row>
    <row r="3" spans="1:7" x14ac:dyDescent="0.25">
      <c r="A3" t="s">
        <v>1623</v>
      </c>
      <c r="B3">
        <v>61</v>
      </c>
      <c r="C3" s="56">
        <v>42644</v>
      </c>
      <c r="D3" s="3" t="str">
        <f>YEAR(Datos_Consumo[[#This Row],[FECHA]])&amp;"-"&amp;MONTH(Datos_Consumo[[#This Row],[FECHA]])</f>
        <v>2016-10</v>
      </c>
      <c r="F3" s="56">
        <v>42675</v>
      </c>
      <c r="G3" s="53" t="str">
        <f>YEAR(Fecha_Consumo[[#This Row],[FECHAS_CONSUMO]])&amp;"-"&amp;MONTH(Fecha_Consumo[[#This Row],[FECHAS_CONSUMO]])</f>
        <v>2016-11</v>
      </c>
    </row>
    <row r="4" spans="1:7" x14ac:dyDescent="0.25">
      <c r="A4" t="s">
        <v>1623</v>
      </c>
      <c r="B4">
        <v>4</v>
      </c>
      <c r="C4" s="56">
        <v>42675</v>
      </c>
      <c r="D4" s="3" t="str">
        <f>YEAR(Datos_Consumo[[#This Row],[FECHA]])&amp;"-"&amp;MONTH(Datos_Consumo[[#This Row],[FECHA]])</f>
        <v>2016-11</v>
      </c>
      <c r="F4" s="56">
        <v>42705</v>
      </c>
      <c r="G4" s="53" t="str">
        <f>YEAR(Fecha_Consumo[[#This Row],[FECHAS_CONSUMO]])&amp;"-"&amp;MONTH(Fecha_Consumo[[#This Row],[FECHAS_CONSUMO]])</f>
        <v>2016-12</v>
      </c>
    </row>
    <row r="5" spans="1:7" x14ac:dyDescent="0.25">
      <c r="A5" t="s">
        <v>1623</v>
      </c>
      <c r="B5">
        <v>4</v>
      </c>
      <c r="C5" s="56">
        <v>42705</v>
      </c>
      <c r="D5" s="3" t="str">
        <f>YEAR(Datos_Consumo[[#This Row],[FECHA]])&amp;"-"&amp;MONTH(Datos_Consumo[[#This Row],[FECHA]])</f>
        <v>2016-12</v>
      </c>
      <c r="F5" s="56">
        <v>42736</v>
      </c>
      <c r="G5" s="53" t="str">
        <f>YEAR(Fecha_Consumo[[#This Row],[FECHAS_CONSUMO]])&amp;"-"&amp;MONTH(Fecha_Consumo[[#This Row],[FECHAS_CONSUMO]])</f>
        <v>2017-1</v>
      </c>
    </row>
    <row r="6" spans="1:7" x14ac:dyDescent="0.25">
      <c r="A6" t="s">
        <v>1623</v>
      </c>
      <c r="B6">
        <v>108</v>
      </c>
      <c r="C6" s="56">
        <v>42736</v>
      </c>
      <c r="D6" s="3" t="str">
        <f>YEAR(Datos_Consumo[[#This Row],[FECHA]])&amp;"-"&amp;MONTH(Datos_Consumo[[#This Row],[FECHA]])</f>
        <v>2017-1</v>
      </c>
      <c r="F6" s="56">
        <v>42767</v>
      </c>
      <c r="G6" s="53" t="str">
        <f>YEAR(Fecha_Consumo[[#This Row],[FECHAS_CONSUMO]])&amp;"-"&amp;MONTH(Fecha_Consumo[[#This Row],[FECHAS_CONSUMO]])</f>
        <v>2017-2</v>
      </c>
    </row>
    <row r="7" spans="1:7" x14ac:dyDescent="0.25">
      <c r="A7" t="s">
        <v>1623</v>
      </c>
      <c r="B7">
        <v>70</v>
      </c>
      <c r="C7" s="56">
        <v>42767</v>
      </c>
      <c r="D7" s="3" t="str">
        <f>YEAR(Datos_Consumo[[#This Row],[FECHA]])&amp;"-"&amp;MONTH(Datos_Consumo[[#This Row],[FECHA]])</f>
        <v>2017-2</v>
      </c>
    </row>
    <row r="8" spans="1:7" x14ac:dyDescent="0.25">
      <c r="A8" t="s">
        <v>1607</v>
      </c>
      <c r="B8">
        <v>2</v>
      </c>
      <c r="C8" s="56">
        <v>42644</v>
      </c>
      <c r="D8" s="3" t="str">
        <f>YEAR(Datos_Consumo[[#This Row],[FECHA]])&amp;"-"&amp;MONTH(Datos_Consumo[[#This Row],[FECHA]])</f>
        <v>2016-10</v>
      </c>
    </row>
    <row r="9" spans="1:7" x14ac:dyDescent="0.25">
      <c r="A9" t="s">
        <v>1607</v>
      </c>
      <c r="B9">
        <v>1</v>
      </c>
      <c r="C9" s="56">
        <v>42675</v>
      </c>
      <c r="D9" s="3" t="str">
        <f>YEAR(Datos_Consumo[[#This Row],[FECHA]])&amp;"-"&amp;MONTH(Datos_Consumo[[#This Row],[FECHA]])</f>
        <v>2016-11</v>
      </c>
    </row>
    <row r="10" spans="1:7" x14ac:dyDescent="0.25">
      <c r="A10" t="s">
        <v>1607</v>
      </c>
      <c r="B10">
        <v>2</v>
      </c>
      <c r="C10" s="56">
        <v>42705</v>
      </c>
      <c r="D10" s="3" t="str">
        <f>YEAR(Datos_Consumo[[#This Row],[FECHA]])&amp;"-"&amp;MONTH(Datos_Consumo[[#This Row],[FECHA]])</f>
        <v>2016-12</v>
      </c>
    </row>
    <row r="11" spans="1:7" x14ac:dyDescent="0.25">
      <c r="A11" t="s">
        <v>1607</v>
      </c>
      <c r="B11">
        <v>11</v>
      </c>
      <c r="C11" s="56">
        <v>42736</v>
      </c>
      <c r="D11" s="3" t="str">
        <f>YEAR(Datos_Consumo[[#This Row],[FECHA]])&amp;"-"&amp;MONTH(Datos_Consumo[[#This Row],[FECHA]])</f>
        <v>2017-1</v>
      </c>
    </row>
    <row r="12" spans="1:7" x14ac:dyDescent="0.25">
      <c r="A12" t="s">
        <v>1624</v>
      </c>
      <c r="B12">
        <v>8</v>
      </c>
      <c r="C12" s="56">
        <v>42644</v>
      </c>
      <c r="D12" s="3" t="str">
        <f>YEAR(Datos_Consumo[[#This Row],[FECHA]])&amp;"-"&amp;MONTH(Datos_Consumo[[#This Row],[FECHA]])</f>
        <v>2016-10</v>
      </c>
    </row>
    <row r="13" spans="1:7" x14ac:dyDescent="0.25">
      <c r="A13" t="s">
        <v>1608</v>
      </c>
      <c r="B13">
        <v>28</v>
      </c>
      <c r="C13" s="56">
        <v>42644</v>
      </c>
      <c r="D13" s="3" t="str">
        <f>YEAR(Datos_Consumo[[#This Row],[FECHA]])&amp;"-"&amp;MONTH(Datos_Consumo[[#This Row],[FECHA]])</f>
        <v>2016-10</v>
      </c>
    </row>
    <row r="14" spans="1:7" x14ac:dyDescent="0.25">
      <c r="A14" t="s">
        <v>1608</v>
      </c>
      <c r="B14">
        <v>20</v>
      </c>
      <c r="C14" s="56">
        <v>42675</v>
      </c>
      <c r="D14" s="3" t="str">
        <f>YEAR(Datos_Consumo[[#This Row],[FECHA]])&amp;"-"&amp;MONTH(Datos_Consumo[[#This Row],[FECHA]])</f>
        <v>2016-11</v>
      </c>
    </row>
    <row r="15" spans="1:7" x14ac:dyDescent="0.25">
      <c r="A15" t="s">
        <v>1608</v>
      </c>
      <c r="B15">
        <v>42</v>
      </c>
      <c r="C15" s="56">
        <v>42705</v>
      </c>
      <c r="D15" s="3" t="str">
        <f>YEAR(Datos_Consumo[[#This Row],[FECHA]])&amp;"-"&amp;MONTH(Datos_Consumo[[#This Row],[FECHA]])</f>
        <v>2016-12</v>
      </c>
    </row>
    <row r="16" spans="1:7" x14ac:dyDescent="0.25">
      <c r="A16" t="s">
        <v>1608</v>
      </c>
      <c r="B16">
        <v>12</v>
      </c>
      <c r="C16" s="56">
        <v>42736</v>
      </c>
      <c r="D16" s="3" t="str">
        <f>YEAR(Datos_Consumo[[#This Row],[FECHA]])&amp;"-"&amp;MONTH(Datos_Consumo[[#This Row],[FECHA]])</f>
        <v>2017-1</v>
      </c>
    </row>
    <row r="17" spans="1:4" x14ac:dyDescent="0.25">
      <c r="A17" t="s">
        <v>1609</v>
      </c>
      <c r="B17">
        <v>4</v>
      </c>
      <c r="C17" s="56">
        <v>42644</v>
      </c>
      <c r="D17" s="3" t="str">
        <f>YEAR(Datos_Consumo[[#This Row],[FECHA]])&amp;"-"&amp;MONTH(Datos_Consumo[[#This Row],[FECHA]])</f>
        <v>2016-10</v>
      </c>
    </row>
    <row r="18" spans="1:4" x14ac:dyDescent="0.25">
      <c r="A18" t="s">
        <v>1609</v>
      </c>
      <c r="B18">
        <v>13</v>
      </c>
      <c r="C18" s="56">
        <v>42675</v>
      </c>
      <c r="D18" s="3" t="str">
        <f>YEAR(Datos_Consumo[[#This Row],[FECHA]])&amp;"-"&amp;MONTH(Datos_Consumo[[#This Row],[FECHA]])</f>
        <v>2016-11</v>
      </c>
    </row>
    <row r="19" spans="1:4" x14ac:dyDescent="0.25">
      <c r="A19" t="s">
        <v>1609</v>
      </c>
      <c r="B19">
        <v>12</v>
      </c>
      <c r="C19" s="56">
        <v>42705</v>
      </c>
      <c r="D19" s="3" t="str">
        <f>YEAR(Datos_Consumo[[#This Row],[FECHA]])&amp;"-"&amp;MONTH(Datos_Consumo[[#This Row],[FECHA]])</f>
        <v>2016-12</v>
      </c>
    </row>
    <row r="20" spans="1:4" x14ac:dyDescent="0.25">
      <c r="A20" t="s">
        <v>1625</v>
      </c>
      <c r="B20">
        <v>1</v>
      </c>
      <c r="C20" s="56">
        <v>42675</v>
      </c>
      <c r="D20" s="3" t="str">
        <f>YEAR(Datos_Consumo[[#This Row],[FECHA]])&amp;"-"&amp;MONTH(Datos_Consumo[[#This Row],[FECHA]])</f>
        <v>2016-11</v>
      </c>
    </row>
    <row r="21" spans="1:4" x14ac:dyDescent="0.25">
      <c r="A21" t="s">
        <v>1625</v>
      </c>
      <c r="B21">
        <v>2</v>
      </c>
      <c r="C21" s="56">
        <v>42736</v>
      </c>
      <c r="D21" s="3" t="str">
        <f>YEAR(Datos_Consumo[[#This Row],[FECHA]])&amp;"-"&amp;MONTH(Datos_Consumo[[#This Row],[FECHA]])</f>
        <v>2017-1</v>
      </c>
    </row>
    <row r="22" spans="1:4" x14ac:dyDescent="0.25">
      <c r="A22" t="s">
        <v>1626</v>
      </c>
      <c r="B22">
        <v>1</v>
      </c>
      <c r="C22" s="56">
        <v>42736</v>
      </c>
      <c r="D22" s="3" t="str">
        <f>YEAR(Datos_Consumo[[#This Row],[FECHA]])&amp;"-"&amp;MONTH(Datos_Consumo[[#This Row],[FECHA]])</f>
        <v>2017-1</v>
      </c>
    </row>
    <row r="23" spans="1:4" x14ac:dyDescent="0.25">
      <c r="A23" t="s">
        <v>1627</v>
      </c>
      <c r="B23">
        <v>1</v>
      </c>
      <c r="C23" s="56">
        <v>42736</v>
      </c>
      <c r="D23" s="3" t="str">
        <f>YEAR(Datos_Consumo[[#This Row],[FECHA]])&amp;"-"&amp;MONTH(Datos_Consumo[[#This Row],[FECHA]])</f>
        <v>2017-1</v>
      </c>
    </row>
    <row r="24" spans="1:4" x14ac:dyDescent="0.25">
      <c r="A24" t="s">
        <v>1628</v>
      </c>
      <c r="B24">
        <v>8</v>
      </c>
      <c r="C24" s="56">
        <v>42705</v>
      </c>
      <c r="D24" s="3" t="str">
        <f>YEAR(Datos_Consumo[[#This Row],[FECHA]])&amp;"-"&amp;MONTH(Datos_Consumo[[#This Row],[FECHA]])</f>
        <v>2016-12</v>
      </c>
    </row>
    <row r="25" spans="1:4" x14ac:dyDescent="0.25">
      <c r="A25" t="s">
        <v>1629</v>
      </c>
      <c r="B25">
        <v>1</v>
      </c>
      <c r="C25" s="56">
        <v>42736</v>
      </c>
      <c r="D25" s="3" t="str">
        <f>YEAR(Datos_Consumo[[#This Row],[FECHA]])&amp;"-"&amp;MONTH(Datos_Consumo[[#This Row],[FECHA]])</f>
        <v>2017-1</v>
      </c>
    </row>
    <row r="26" spans="1:4" x14ac:dyDescent="0.25">
      <c r="A26" t="s">
        <v>1630</v>
      </c>
      <c r="B26">
        <v>1</v>
      </c>
      <c r="C26" s="56">
        <v>42675</v>
      </c>
      <c r="D26" s="3" t="str">
        <f>YEAR(Datos_Consumo[[#This Row],[FECHA]])&amp;"-"&amp;MONTH(Datos_Consumo[[#This Row],[FECHA]])</f>
        <v>2016-11</v>
      </c>
    </row>
    <row r="27" spans="1:4" x14ac:dyDescent="0.25">
      <c r="A27" t="s">
        <v>1631</v>
      </c>
      <c r="B27">
        <v>1</v>
      </c>
      <c r="C27" s="56">
        <v>42736</v>
      </c>
      <c r="D27" s="3" t="str">
        <f>YEAR(Datos_Consumo[[#This Row],[FECHA]])&amp;"-"&amp;MONTH(Datos_Consumo[[#This Row],[FECHA]])</f>
        <v>2017-1</v>
      </c>
    </row>
    <row r="28" spans="1:4" x14ac:dyDescent="0.25">
      <c r="A28" t="s">
        <v>1632</v>
      </c>
      <c r="B28">
        <v>1</v>
      </c>
      <c r="C28" s="56">
        <v>42736</v>
      </c>
      <c r="D28" s="3" t="str">
        <f>YEAR(Datos_Consumo[[#This Row],[FECHA]])&amp;"-"&amp;MONTH(Datos_Consumo[[#This Row],[FECHA]])</f>
        <v>2017-1</v>
      </c>
    </row>
    <row r="29" spans="1:4" x14ac:dyDescent="0.25">
      <c r="A29" t="s">
        <v>1633</v>
      </c>
      <c r="B29">
        <v>1</v>
      </c>
      <c r="C29" s="56">
        <v>42644</v>
      </c>
      <c r="D29" s="3" t="str">
        <f>YEAR(Datos_Consumo[[#This Row],[FECHA]])&amp;"-"&amp;MONTH(Datos_Consumo[[#This Row],[FECHA]])</f>
        <v>2016-10</v>
      </c>
    </row>
    <row r="30" spans="1:4" x14ac:dyDescent="0.25">
      <c r="A30" t="s">
        <v>1634</v>
      </c>
      <c r="B30">
        <v>2</v>
      </c>
      <c r="C30" s="56">
        <v>42675</v>
      </c>
      <c r="D30" s="3" t="str">
        <f>YEAR(Datos_Consumo[[#This Row],[FECHA]])&amp;"-"&amp;MONTH(Datos_Consumo[[#This Row],[FECHA]])</f>
        <v>2016-11</v>
      </c>
    </row>
    <row r="31" spans="1:4" x14ac:dyDescent="0.25">
      <c r="A31" t="s">
        <v>1610</v>
      </c>
      <c r="B31">
        <v>1</v>
      </c>
      <c r="C31" s="56">
        <v>42644</v>
      </c>
      <c r="D31" s="3" t="str">
        <f>YEAR(Datos_Consumo[[#This Row],[FECHA]])&amp;"-"&amp;MONTH(Datos_Consumo[[#This Row],[FECHA]])</f>
        <v>2016-10</v>
      </c>
    </row>
    <row r="32" spans="1:4" x14ac:dyDescent="0.25">
      <c r="A32" t="s">
        <v>1635</v>
      </c>
      <c r="B32">
        <v>500</v>
      </c>
      <c r="C32" s="56">
        <v>42736</v>
      </c>
      <c r="D32" s="3" t="str">
        <f>YEAR(Datos_Consumo[[#This Row],[FECHA]])&amp;"-"&amp;MONTH(Datos_Consumo[[#This Row],[FECHA]])</f>
        <v>2017-1</v>
      </c>
    </row>
    <row r="33" spans="1:4" x14ac:dyDescent="0.25">
      <c r="A33" t="s">
        <v>1636</v>
      </c>
      <c r="B33">
        <v>500</v>
      </c>
      <c r="C33" s="56">
        <v>42705</v>
      </c>
      <c r="D33" s="3" t="str">
        <f>YEAR(Datos_Consumo[[#This Row],[FECHA]])&amp;"-"&amp;MONTH(Datos_Consumo[[#This Row],[FECHA]])</f>
        <v>2016-12</v>
      </c>
    </row>
    <row r="34" spans="1:4" x14ac:dyDescent="0.25">
      <c r="A34" t="s">
        <v>1637</v>
      </c>
      <c r="B34">
        <v>500</v>
      </c>
      <c r="C34" s="56">
        <v>42705</v>
      </c>
      <c r="D34" s="3" t="str">
        <f>YEAR(Datos_Consumo[[#This Row],[FECHA]])&amp;"-"&amp;MONTH(Datos_Consumo[[#This Row],[FECHA]])</f>
        <v>2016-12</v>
      </c>
    </row>
    <row r="35" spans="1:4" x14ac:dyDescent="0.25">
      <c r="A35" t="s">
        <v>1638</v>
      </c>
      <c r="B35">
        <v>500</v>
      </c>
      <c r="C35" s="56">
        <v>42705</v>
      </c>
      <c r="D35" s="3" t="str">
        <f>YEAR(Datos_Consumo[[#This Row],[FECHA]])&amp;"-"&amp;MONTH(Datos_Consumo[[#This Row],[FECHA]])</f>
        <v>2016-12</v>
      </c>
    </row>
    <row r="36" spans="1:4" x14ac:dyDescent="0.25">
      <c r="A36" t="s">
        <v>1638</v>
      </c>
      <c r="B36">
        <v>500</v>
      </c>
      <c r="C36" s="56">
        <v>42736</v>
      </c>
      <c r="D36" s="3" t="str">
        <f>YEAR(Datos_Consumo[[#This Row],[FECHA]])&amp;"-"&amp;MONTH(Datos_Consumo[[#This Row],[FECHA]])</f>
        <v>2017-1</v>
      </c>
    </row>
    <row r="37" spans="1:4" x14ac:dyDescent="0.25">
      <c r="A37" t="s">
        <v>1639</v>
      </c>
      <c r="B37">
        <v>500</v>
      </c>
      <c r="C37" s="56">
        <v>42705</v>
      </c>
      <c r="D37" s="3" t="str">
        <f>YEAR(Datos_Consumo[[#This Row],[FECHA]])&amp;"-"&amp;MONTH(Datos_Consumo[[#This Row],[FECHA]])</f>
        <v>2016-12</v>
      </c>
    </row>
    <row r="38" spans="1:4" x14ac:dyDescent="0.25">
      <c r="A38" t="s">
        <v>1639</v>
      </c>
      <c r="B38">
        <v>500</v>
      </c>
      <c r="C38" s="56">
        <v>42736</v>
      </c>
      <c r="D38" s="3" t="str">
        <f>YEAR(Datos_Consumo[[#This Row],[FECHA]])&amp;"-"&amp;MONTH(Datos_Consumo[[#This Row],[FECHA]])</f>
        <v>2017-1</v>
      </c>
    </row>
    <row r="39" spans="1:4" x14ac:dyDescent="0.25">
      <c r="A39" t="s">
        <v>1399</v>
      </c>
      <c r="B39">
        <v>1</v>
      </c>
      <c r="C39" s="56">
        <v>42644</v>
      </c>
      <c r="D39" s="3" t="str">
        <f>YEAR(Datos_Consumo[[#This Row],[FECHA]])&amp;"-"&amp;MONTH(Datos_Consumo[[#This Row],[FECHA]])</f>
        <v>2016-10</v>
      </c>
    </row>
    <row r="40" spans="1:4" x14ac:dyDescent="0.25">
      <c r="A40" t="s">
        <v>1399</v>
      </c>
      <c r="B40">
        <v>2</v>
      </c>
      <c r="C40" s="56">
        <v>42675</v>
      </c>
      <c r="D40" s="3" t="str">
        <f>YEAR(Datos_Consumo[[#This Row],[FECHA]])&amp;"-"&amp;MONTH(Datos_Consumo[[#This Row],[FECHA]])</f>
        <v>2016-11</v>
      </c>
    </row>
    <row r="41" spans="1:4" x14ac:dyDescent="0.25">
      <c r="A41" t="s">
        <v>1400</v>
      </c>
      <c r="B41">
        <v>1</v>
      </c>
      <c r="C41" s="56">
        <v>42705</v>
      </c>
      <c r="D41" s="3" t="str">
        <f>YEAR(Datos_Consumo[[#This Row],[FECHA]])&amp;"-"&amp;MONTH(Datos_Consumo[[#This Row],[FECHA]])</f>
        <v>2016-12</v>
      </c>
    </row>
    <row r="42" spans="1:4" x14ac:dyDescent="0.25">
      <c r="A42" t="s">
        <v>1401</v>
      </c>
      <c r="B42">
        <v>1</v>
      </c>
      <c r="C42" s="56">
        <v>42644</v>
      </c>
      <c r="D42" s="3" t="str">
        <f>YEAR(Datos_Consumo[[#This Row],[FECHA]])&amp;"-"&amp;MONTH(Datos_Consumo[[#This Row],[FECHA]])</f>
        <v>2016-10</v>
      </c>
    </row>
    <row r="43" spans="1:4" x14ac:dyDescent="0.25">
      <c r="A43" t="s">
        <v>1402</v>
      </c>
      <c r="B43">
        <v>45</v>
      </c>
      <c r="C43" s="56">
        <v>42675</v>
      </c>
      <c r="D43" s="3" t="str">
        <f>YEAR(Datos_Consumo[[#This Row],[FECHA]])&amp;"-"&amp;MONTH(Datos_Consumo[[#This Row],[FECHA]])</f>
        <v>2016-11</v>
      </c>
    </row>
    <row r="44" spans="1:4" x14ac:dyDescent="0.25">
      <c r="A44" t="s">
        <v>1403</v>
      </c>
      <c r="B44">
        <v>1</v>
      </c>
      <c r="C44" s="56">
        <v>42644</v>
      </c>
      <c r="D44" s="3" t="str">
        <f>YEAR(Datos_Consumo[[#This Row],[FECHA]])&amp;"-"&amp;MONTH(Datos_Consumo[[#This Row],[FECHA]])</f>
        <v>2016-10</v>
      </c>
    </row>
    <row r="45" spans="1:4" x14ac:dyDescent="0.25">
      <c r="A45" t="s">
        <v>1404</v>
      </c>
      <c r="B45">
        <v>2</v>
      </c>
      <c r="C45" s="56">
        <v>42644</v>
      </c>
      <c r="D45" s="3" t="str">
        <f>YEAR(Datos_Consumo[[#This Row],[FECHA]])&amp;"-"&amp;MONTH(Datos_Consumo[[#This Row],[FECHA]])</f>
        <v>2016-10</v>
      </c>
    </row>
    <row r="46" spans="1:4" x14ac:dyDescent="0.25">
      <c r="A46" t="s">
        <v>1404</v>
      </c>
      <c r="B46">
        <v>4</v>
      </c>
      <c r="C46" s="56">
        <v>42675</v>
      </c>
      <c r="D46" s="3" t="str">
        <f>YEAR(Datos_Consumo[[#This Row],[FECHA]])&amp;"-"&amp;MONTH(Datos_Consumo[[#This Row],[FECHA]])</f>
        <v>2016-11</v>
      </c>
    </row>
    <row r="47" spans="1:4" x14ac:dyDescent="0.25">
      <c r="A47" t="s">
        <v>1405</v>
      </c>
      <c r="B47">
        <v>107</v>
      </c>
      <c r="C47" s="56">
        <v>42644</v>
      </c>
      <c r="D47" s="3" t="str">
        <f>YEAR(Datos_Consumo[[#This Row],[FECHA]])&amp;"-"&amp;MONTH(Datos_Consumo[[#This Row],[FECHA]])</f>
        <v>2016-10</v>
      </c>
    </row>
    <row r="48" spans="1:4" x14ac:dyDescent="0.25">
      <c r="A48" t="s">
        <v>1640</v>
      </c>
      <c r="B48">
        <v>13</v>
      </c>
      <c r="C48" s="56">
        <v>42644</v>
      </c>
      <c r="D48" s="3" t="str">
        <f>YEAR(Datos_Consumo[[#This Row],[FECHA]])&amp;"-"&amp;MONTH(Datos_Consumo[[#This Row],[FECHA]])</f>
        <v>2016-10</v>
      </c>
    </row>
    <row r="49" spans="1:4" x14ac:dyDescent="0.25">
      <c r="A49" t="s">
        <v>1640</v>
      </c>
      <c r="B49">
        <v>15</v>
      </c>
      <c r="C49" s="56">
        <v>42705</v>
      </c>
      <c r="D49" s="3" t="str">
        <f>YEAR(Datos_Consumo[[#This Row],[FECHA]])&amp;"-"&amp;MONTH(Datos_Consumo[[#This Row],[FECHA]])</f>
        <v>2016-12</v>
      </c>
    </row>
    <row r="50" spans="1:4" x14ac:dyDescent="0.25">
      <c r="A50" t="s">
        <v>1641</v>
      </c>
      <c r="B50">
        <v>7</v>
      </c>
      <c r="C50" s="56">
        <v>42644</v>
      </c>
      <c r="D50" s="3" t="str">
        <f>YEAR(Datos_Consumo[[#This Row],[FECHA]])&amp;"-"&amp;MONTH(Datos_Consumo[[#This Row],[FECHA]])</f>
        <v>2016-10</v>
      </c>
    </row>
    <row r="51" spans="1:4" x14ac:dyDescent="0.25">
      <c r="A51" t="s">
        <v>1641</v>
      </c>
      <c r="B51">
        <v>15</v>
      </c>
      <c r="C51" s="56">
        <v>42705</v>
      </c>
      <c r="D51" s="3" t="str">
        <f>YEAR(Datos_Consumo[[#This Row],[FECHA]])&amp;"-"&amp;MONTH(Datos_Consumo[[#This Row],[FECHA]])</f>
        <v>2016-12</v>
      </c>
    </row>
    <row r="52" spans="1:4" x14ac:dyDescent="0.25">
      <c r="A52" t="s">
        <v>1642</v>
      </c>
      <c r="B52">
        <v>80</v>
      </c>
      <c r="C52" s="56">
        <v>42705</v>
      </c>
      <c r="D52" s="3" t="str">
        <f>YEAR(Datos_Consumo[[#This Row],[FECHA]])&amp;"-"&amp;MONTH(Datos_Consumo[[#This Row],[FECHA]])</f>
        <v>2016-12</v>
      </c>
    </row>
    <row r="53" spans="1:4" x14ac:dyDescent="0.25">
      <c r="A53" t="s">
        <v>1642</v>
      </c>
      <c r="B53">
        <v>80</v>
      </c>
      <c r="C53" s="56">
        <v>42736</v>
      </c>
      <c r="D53" s="3" t="str">
        <f>YEAR(Datos_Consumo[[#This Row],[FECHA]])&amp;"-"&amp;MONTH(Datos_Consumo[[#This Row],[FECHA]])</f>
        <v>2017-1</v>
      </c>
    </row>
    <row r="54" spans="1:4" x14ac:dyDescent="0.25">
      <c r="A54" t="s">
        <v>1406</v>
      </c>
      <c r="B54">
        <v>150</v>
      </c>
      <c r="C54" s="56">
        <v>42644</v>
      </c>
      <c r="D54" s="3" t="str">
        <f>YEAR(Datos_Consumo[[#This Row],[FECHA]])&amp;"-"&amp;MONTH(Datos_Consumo[[#This Row],[FECHA]])</f>
        <v>2016-10</v>
      </c>
    </row>
    <row r="55" spans="1:4" x14ac:dyDescent="0.25">
      <c r="A55" t="s">
        <v>1407</v>
      </c>
      <c r="B55">
        <v>25</v>
      </c>
      <c r="C55" s="56">
        <v>42736</v>
      </c>
      <c r="D55" s="3" t="str">
        <f>YEAR(Datos_Consumo[[#This Row],[FECHA]])&amp;"-"&amp;MONTH(Datos_Consumo[[#This Row],[FECHA]])</f>
        <v>2017-1</v>
      </c>
    </row>
    <row r="56" spans="1:4" x14ac:dyDescent="0.25">
      <c r="A56" t="s">
        <v>1643</v>
      </c>
      <c r="B56">
        <v>1</v>
      </c>
      <c r="C56" s="56">
        <v>42644</v>
      </c>
      <c r="D56" s="3" t="str">
        <f>YEAR(Datos_Consumo[[#This Row],[FECHA]])&amp;"-"&amp;MONTH(Datos_Consumo[[#This Row],[FECHA]])</f>
        <v>2016-10</v>
      </c>
    </row>
    <row r="57" spans="1:4" x14ac:dyDescent="0.25">
      <c r="A57" t="s">
        <v>1643</v>
      </c>
      <c r="B57">
        <v>1</v>
      </c>
      <c r="C57" s="56">
        <v>42705</v>
      </c>
      <c r="D57" s="3" t="str">
        <f>YEAR(Datos_Consumo[[#This Row],[FECHA]])&amp;"-"&amp;MONTH(Datos_Consumo[[#This Row],[FECHA]])</f>
        <v>2016-12</v>
      </c>
    </row>
    <row r="58" spans="1:4" x14ac:dyDescent="0.25">
      <c r="A58" t="s">
        <v>1643</v>
      </c>
      <c r="B58">
        <v>4</v>
      </c>
      <c r="C58" s="56">
        <v>42736</v>
      </c>
      <c r="D58" s="3" t="str">
        <f>YEAR(Datos_Consumo[[#This Row],[FECHA]])&amp;"-"&amp;MONTH(Datos_Consumo[[#This Row],[FECHA]])</f>
        <v>2017-1</v>
      </c>
    </row>
    <row r="59" spans="1:4" x14ac:dyDescent="0.25">
      <c r="A59" t="s">
        <v>1408</v>
      </c>
      <c r="B59">
        <v>1</v>
      </c>
      <c r="C59" s="56">
        <v>42644</v>
      </c>
      <c r="D59" s="3" t="str">
        <f>YEAR(Datos_Consumo[[#This Row],[FECHA]])&amp;"-"&amp;MONTH(Datos_Consumo[[#This Row],[FECHA]])</f>
        <v>2016-10</v>
      </c>
    </row>
    <row r="60" spans="1:4" x14ac:dyDescent="0.25">
      <c r="A60" t="s">
        <v>1408</v>
      </c>
      <c r="B60">
        <v>1</v>
      </c>
      <c r="C60" s="56">
        <v>42705</v>
      </c>
      <c r="D60" s="3" t="str">
        <f>YEAR(Datos_Consumo[[#This Row],[FECHA]])&amp;"-"&amp;MONTH(Datos_Consumo[[#This Row],[FECHA]])</f>
        <v>2016-12</v>
      </c>
    </row>
    <row r="61" spans="1:4" x14ac:dyDescent="0.25">
      <c r="A61" t="s">
        <v>1408</v>
      </c>
      <c r="B61">
        <v>2</v>
      </c>
      <c r="C61" s="56">
        <v>42736</v>
      </c>
      <c r="D61" s="3" t="str">
        <f>YEAR(Datos_Consumo[[#This Row],[FECHA]])&amp;"-"&amp;MONTH(Datos_Consumo[[#This Row],[FECHA]])</f>
        <v>2017-1</v>
      </c>
    </row>
    <row r="62" spans="1:4" x14ac:dyDescent="0.25">
      <c r="A62" t="s">
        <v>1409</v>
      </c>
      <c r="B62">
        <v>3</v>
      </c>
      <c r="C62" s="56">
        <v>42644</v>
      </c>
      <c r="D62" s="3" t="str">
        <f>YEAR(Datos_Consumo[[#This Row],[FECHA]])&amp;"-"&amp;MONTH(Datos_Consumo[[#This Row],[FECHA]])</f>
        <v>2016-10</v>
      </c>
    </row>
    <row r="63" spans="1:4" x14ac:dyDescent="0.25">
      <c r="A63" t="s">
        <v>1409</v>
      </c>
      <c r="B63">
        <v>7</v>
      </c>
      <c r="C63" s="56">
        <v>42675</v>
      </c>
      <c r="D63" s="3" t="str">
        <f>YEAR(Datos_Consumo[[#This Row],[FECHA]])&amp;"-"&amp;MONTH(Datos_Consumo[[#This Row],[FECHA]])</f>
        <v>2016-11</v>
      </c>
    </row>
    <row r="64" spans="1:4" x14ac:dyDescent="0.25">
      <c r="A64" t="s">
        <v>1409</v>
      </c>
      <c r="B64">
        <v>0.4</v>
      </c>
      <c r="C64" s="56">
        <v>42705</v>
      </c>
      <c r="D64" s="3" t="str">
        <f>YEAR(Datos_Consumo[[#This Row],[FECHA]])&amp;"-"&amp;MONTH(Datos_Consumo[[#This Row],[FECHA]])</f>
        <v>2016-12</v>
      </c>
    </row>
    <row r="65" spans="1:4" x14ac:dyDescent="0.25">
      <c r="A65" t="s">
        <v>1409</v>
      </c>
      <c r="B65">
        <v>2</v>
      </c>
      <c r="C65" s="56">
        <v>42736</v>
      </c>
      <c r="D65" s="3" t="str">
        <f>YEAR(Datos_Consumo[[#This Row],[FECHA]])&amp;"-"&amp;MONTH(Datos_Consumo[[#This Row],[FECHA]])</f>
        <v>2017-1</v>
      </c>
    </row>
    <row r="66" spans="1:4" x14ac:dyDescent="0.25">
      <c r="A66" t="s">
        <v>1410</v>
      </c>
      <c r="B66">
        <v>2</v>
      </c>
      <c r="C66" s="56">
        <v>42644</v>
      </c>
      <c r="D66" s="3" t="str">
        <f>YEAR(Datos_Consumo[[#This Row],[FECHA]])&amp;"-"&amp;MONTH(Datos_Consumo[[#This Row],[FECHA]])</f>
        <v>2016-10</v>
      </c>
    </row>
    <row r="67" spans="1:4" x14ac:dyDescent="0.25">
      <c r="A67" t="s">
        <v>1410</v>
      </c>
      <c r="B67">
        <v>2</v>
      </c>
      <c r="C67" s="56">
        <v>42675</v>
      </c>
      <c r="D67" s="3" t="str">
        <f>YEAR(Datos_Consumo[[#This Row],[FECHA]])&amp;"-"&amp;MONTH(Datos_Consumo[[#This Row],[FECHA]])</f>
        <v>2016-11</v>
      </c>
    </row>
    <row r="68" spans="1:4" x14ac:dyDescent="0.25">
      <c r="A68" t="s">
        <v>1410</v>
      </c>
      <c r="B68">
        <v>0.4</v>
      </c>
      <c r="C68" s="56">
        <v>42705</v>
      </c>
      <c r="D68" s="3" t="str">
        <f>YEAR(Datos_Consumo[[#This Row],[FECHA]])&amp;"-"&amp;MONTH(Datos_Consumo[[#This Row],[FECHA]])</f>
        <v>2016-12</v>
      </c>
    </row>
    <row r="69" spans="1:4" x14ac:dyDescent="0.25">
      <c r="A69" t="s">
        <v>1410</v>
      </c>
      <c r="B69">
        <v>3</v>
      </c>
      <c r="C69" s="56">
        <v>42736</v>
      </c>
      <c r="D69" s="3" t="str">
        <f>YEAR(Datos_Consumo[[#This Row],[FECHA]])&amp;"-"&amp;MONTH(Datos_Consumo[[#This Row],[FECHA]])</f>
        <v>2017-1</v>
      </c>
    </row>
    <row r="70" spans="1:4" x14ac:dyDescent="0.25">
      <c r="A70" t="s">
        <v>1378</v>
      </c>
      <c r="B70">
        <v>34</v>
      </c>
      <c r="C70" s="56">
        <v>42644</v>
      </c>
      <c r="D70" s="3" t="str">
        <f>YEAR(Datos_Consumo[[#This Row],[FECHA]])&amp;"-"&amp;MONTH(Datos_Consumo[[#This Row],[FECHA]])</f>
        <v>2016-10</v>
      </c>
    </row>
    <row r="71" spans="1:4" x14ac:dyDescent="0.25">
      <c r="A71" t="s">
        <v>1378</v>
      </c>
      <c r="B71">
        <v>0.4</v>
      </c>
      <c r="C71" s="56">
        <v>42705</v>
      </c>
      <c r="D71" s="3" t="str">
        <f>YEAR(Datos_Consumo[[#This Row],[FECHA]])&amp;"-"&amp;MONTH(Datos_Consumo[[#This Row],[FECHA]])</f>
        <v>2016-12</v>
      </c>
    </row>
    <row r="72" spans="1:4" x14ac:dyDescent="0.25">
      <c r="A72" t="s">
        <v>1378</v>
      </c>
      <c r="B72">
        <v>12</v>
      </c>
      <c r="C72" s="56">
        <v>42736</v>
      </c>
      <c r="D72" s="3" t="str">
        <f>YEAR(Datos_Consumo[[#This Row],[FECHA]])&amp;"-"&amp;MONTH(Datos_Consumo[[#This Row],[FECHA]])</f>
        <v>2017-1</v>
      </c>
    </row>
    <row r="73" spans="1:4" x14ac:dyDescent="0.25">
      <c r="A73" t="s">
        <v>1379</v>
      </c>
      <c r="B73">
        <v>1</v>
      </c>
      <c r="C73" s="56">
        <v>42675</v>
      </c>
      <c r="D73" s="3" t="str">
        <f>YEAR(Datos_Consumo[[#This Row],[FECHA]])&amp;"-"&amp;MONTH(Datos_Consumo[[#This Row],[FECHA]])</f>
        <v>2016-11</v>
      </c>
    </row>
    <row r="74" spans="1:4" x14ac:dyDescent="0.25">
      <c r="A74" t="s">
        <v>1379</v>
      </c>
      <c r="B74">
        <v>150</v>
      </c>
      <c r="C74" s="56">
        <v>42705</v>
      </c>
      <c r="D74" s="3" t="str">
        <f>YEAR(Datos_Consumo[[#This Row],[FECHA]])&amp;"-"&amp;MONTH(Datos_Consumo[[#This Row],[FECHA]])</f>
        <v>2016-12</v>
      </c>
    </row>
    <row r="75" spans="1:4" x14ac:dyDescent="0.25">
      <c r="A75" t="s">
        <v>1379</v>
      </c>
      <c r="B75">
        <v>149</v>
      </c>
      <c r="C75" s="56">
        <v>42736</v>
      </c>
      <c r="D75" s="3" t="str">
        <f>YEAR(Datos_Consumo[[#This Row],[FECHA]])&amp;"-"&amp;MONTH(Datos_Consumo[[#This Row],[FECHA]])</f>
        <v>2017-1</v>
      </c>
    </row>
    <row r="76" spans="1:4" x14ac:dyDescent="0.25">
      <c r="A76" t="s">
        <v>1411</v>
      </c>
      <c r="B76">
        <v>120</v>
      </c>
      <c r="C76" s="56">
        <v>42644</v>
      </c>
      <c r="D76" s="3" t="str">
        <f>YEAR(Datos_Consumo[[#This Row],[FECHA]])&amp;"-"&amp;MONTH(Datos_Consumo[[#This Row],[FECHA]])</f>
        <v>2016-10</v>
      </c>
    </row>
    <row r="77" spans="1:4" x14ac:dyDescent="0.25">
      <c r="A77" t="s">
        <v>1411</v>
      </c>
      <c r="B77">
        <v>3240</v>
      </c>
      <c r="C77" s="56">
        <v>42675</v>
      </c>
      <c r="D77" s="3" t="str">
        <f>YEAR(Datos_Consumo[[#This Row],[FECHA]])&amp;"-"&amp;MONTH(Datos_Consumo[[#This Row],[FECHA]])</f>
        <v>2016-11</v>
      </c>
    </row>
    <row r="78" spans="1:4" x14ac:dyDescent="0.25">
      <c r="A78" t="s">
        <v>1411</v>
      </c>
      <c r="B78">
        <v>2014</v>
      </c>
      <c r="C78" s="56">
        <v>42705</v>
      </c>
      <c r="D78" s="3" t="str">
        <f>YEAR(Datos_Consumo[[#This Row],[FECHA]])&amp;"-"&amp;MONTH(Datos_Consumo[[#This Row],[FECHA]])</f>
        <v>2016-12</v>
      </c>
    </row>
    <row r="79" spans="1:4" x14ac:dyDescent="0.25">
      <c r="A79" t="s">
        <v>1411</v>
      </c>
      <c r="B79">
        <v>80</v>
      </c>
      <c r="C79" s="56">
        <v>42736</v>
      </c>
      <c r="D79" s="3" t="str">
        <f>YEAR(Datos_Consumo[[#This Row],[FECHA]])&amp;"-"&amp;MONTH(Datos_Consumo[[#This Row],[FECHA]])</f>
        <v>2017-1</v>
      </c>
    </row>
    <row r="80" spans="1:4" x14ac:dyDescent="0.25">
      <c r="A80" t="s">
        <v>1644</v>
      </c>
      <c r="B80">
        <v>40</v>
      </c>
      <c r="C80" s="56">
        <v>42644</v>
      </c>
      <c r="D80" s="3" t="str">
        <f>YEAR(Datos_Consumo[[#This Row],[FECHA]])&amp;"-"&amp;MONTH(Datos_Consumo[[#This Row],[FECHA]])</f>
        <v>2016-10</v>
      </c>
    </row>
    <row r="81" spans="1:4" x14ac:dyDescent="0.25">
      <c r="A81" t="s">
        <v>1644</v>
      </c>
      <c r="B81">
        <v>70</v>
      </c>
      <c r="C81" s="56">
        <v>42675</v>
      </c>
      <c r="D81" s="3" t="str">
        <f>YEAR(Datos_Consumo[[#This Row],[FECHA]])&amp;"-"&amp;MONTH(Datos_Consumo[[#This Row],[FECHA]])</f>
        <v>2016-11</v>
      </c>
    </row>
    <row r="82" spans="1:4" x14ac:dyDescent="0.25">
      <c r="A82" t="s">
        <v>1644</v>
      </c>
      <c r="B82">
        <v>60</v>
      </c>
      <c r="C82" s="56">
        <v>42736</v>
      </c>
      <c r="D82" s="3" t="str">
        <f>YEAR(Datos_Consumo[[#This Row],[FECHA]])&amp;"-"&amp;MONTH(Datos_Consumo[[#This Row],[FECHA]])</f>
        <v>2017-1</v>
      </c>
    </row>
    <row r="83" spans="1:4" x14ac:dyDescent="0.25">
      <c r="A83" t="s">
        <v>1412</v>
      </c>
      <c r="B83">
        <v>20</v>
      </c>
      <c r="C83" s="56">
        <v>42644</v>
      </c>
      <c r="D83" s="3" t="str">
        <f>YEAR(Datos_Consumo[[#This Row],[FECHA]])&amp;"-"&amp;MONTH(Datos_Consumo[[#This Row],[FECHA]])</f>
        <v>2016-10</v>
      </c>
    </row>
    <row r="84" spans="1:4" x14ac:dyDescent="0.25">
      <c r="A84" t="s">
        <v>1412</v>
      </c>
      <c r="B84">
        <v>15</v>
      </c>
      <c r="C84" s="56">
        <v>42675</v>
      </c>
      <c r="D84" s="3" t="str">
        <f>YEAR(Datos_Consumo[[#This Row],[FECHA]])&amp;"-"&amp;MONTH(Datos_Consumo[[#This Row],[FECHA]])</f>
        <v>2016-11</v>
      </c>
    </row>
    <row r="85" spans="1:4" x14ac:dyDescent="0.25">
      <c r="A85" t="s">
        <v>1412</v>
      </c>
      <c r="B85">
        <v>20</v>
      </c>
      <c r="C85" s="56">
        <v>42736</v>
      </c>
      <c r="D85" s="3" t="str">
        <f>YEAR(Datos_Consumo[[#This Row],[FECHA]])&amp;"-"&amp;MONTH(Datos_Consumo[[#This Row],[FECHA]])</f>
        <v>2017-1</v>
      </c>
    </row>
    <row r="86" spans="1:4" x14ac:dyDescent="0.25">
      <c r="A86" t="s">
        <v>1413</v>
      </c>
      <c r="B86">
        <v>45</v>
      </c>
      <c r="C86" s="56">
        <v>42644</v>
      </c>
      <c r="D86" s="3" t="str">
        <f>YEAR(Datos_Consumo[[#This Row],[FECHA]])&amp;"-"&amp;MONTH(Datos_Consumo[[#This Row],[FECHA]])</f>
        <v>2016-10</v>
      </c>
    </row>
    <row r="87" spans="1:4" x14ac:dyDescent="0.25">
      <c r="A87" t="s">
        <v>1413</v>
      </c>
      <c r="B87">
        <v>59</v>
      </c>
      <c r="C87" s="56">
        <v>42675</v>
      </c>
      <c r="D87" s="3" t="str">
        <f>YEAR(Datos_Consumo[[#This Row],[FECHA]])&amp;"-"&amp;MONTH(Datos_Consumo[[#This Row],[FECHA]])</f>
        <v>2016-11</v>
      </c>
    </row>
    <row r="88" spans="1:4" x14ac:dyDescent="0.25">
      <c r="A88" t="s">
        <v>1413</v>
      </c>
      <c r="B88">
        <v>28</v>
      </c>
      <c r="C88" s="56">
        <v>42705</v>
      </c>
      <c r="D88" s="3" t="str">
        <f>YEAR(Datos_Consumo[[#This Row],[FECHA]])&amp;"-"&amp;MONTH(Datos_Consumo[[#This Row],[FECHA]])</f>
        <v>2016-12</v>
      </c>
    </row>
    <row r="89" spans="1:4" x14ac:dyDescent="0.25">
      <c r="A89" t="s">
        <v>1413</v>
      </c>
      <c r="B89">
        <v>29</v>
      </c>
      <c r="C89" s="56">
        <v>42736</v>
      </c>
      <c r="D89" s="3" t="str">
        <f>YEAR(Datos_Consumo[[#This Row],[FECHA]])&amp;"-"&amp;MONTH(Datos_Consumo[[#This Row],[FECHA]])</f>
        <v>2017-1</v>
      </c>
    </row>
    <row r="90" spans="1:4" x14ac:dyDescent="0.25">
      <c r="A90" t="s">
        <v>1414</v>
      </c>
      <c r="B90">
        <v>1</v>
      </c>
      <c r="C90" s="56">
        <v>42736</v>
      </c>
      <c r="D90" s="3" t="str">
        <f>YEAR(Datos_Consumo[[#This Row],[FECHA]])&amp;"-"&amp;MONTH(Datos_Consumo[[#This Row],[FECHA]])</f>
        <v>2017-1</v>
      </c>
    </row>
    <row r="91" spans="1:4" x14ac:dyDescent="0.25">
      <c r="A91" t="s">
        <v>1645</v>
      </c>
      <c r="B91">
        <v>1</v>
      </c>
      <c r="C91" s="56">
        <v>42736</v>
      </c>
      <c r="D91" s="3" t="str">
        <f>YEAR(Datos_Consumo[[#This Row],[FECHA]])&amp;"-"&amp;MONTH(Datos_Consumo[[#This Row],[FECHA]])</f>
        <v>2017-1</v>
      </c>
    </row>
    <row r="92" spans="1:4" x14ac:dyDescent="0.25">
      <c r="A92" t="s">
        <v>1646</v>
      </c>
      <c r="B92">
        <v>3</v>
      </c>
      <c r="C92" s="56">
        <v>42675</v>
      </c>
      <c r="D92" s="3" t="str">
        <f>YEAR(Datos_Consumo[[#This Row],[FECHA]])&amp;"-"&amp;MONTH(Datos_Consumo[[#This Row],[FECHA]])</f>
        <v>2016-11</v>
      </c>
    </row>
    <row r="93" spans="1:4" x14ac:dyDescent="0.25">
      <c r="A93" t="s">
        <v>1646</v>
      </c>
      <c r="B93">
        <v>2</v>
      </c>
      <c r="C93" s="56">
        <v>42736</v>
      </c>
      <c r="D93" s="3" t="str">
        <f>YEAR(Datos_Consumo[[#This Row],[FECHA]])&amp;"-"&amp;MONTH(Datos_Consumo[[#This Row],[FECHA]])</f>
        <v>2017-1</v>
      </c>
    </row>
    <row r="94" spans="1:4" x14ac:dyDescent="0.25">
      <c r="A94" t="s">
        <v>1647</v>
      </c>
      <c r="B94">
        <v>2</v>
      </c>
      <c r="C94" s="56">
        <v>42675</v>
      </c>
      <c r="D94" s="3" t="str">
        <f>YEAR(Datos_Consumo[[#This Row],[FECHA]])&amp;"-"&amp;MONTH(Datos_Consumo[[#This Row],[FECHA]])</f>
        <v>2016-11</v>
      </c>
    </row>
    <row r="95" spans="1:4" x14ac:dyDescent="0.25">
      <c r="A95" t="s">
        <v>1647</v>
      </c>
      <c r="B95">
        <v>2</v>
      </c>
      <c r="C95" s="56">
        <v>42736</v>
      </c>
      <c r="D95" s="3" t="str">
        <f>YEAR(Datos_Consumo[[#This Row],[FECHA]])&amp;"-"&amp;MONTH(Datos_Consumo[[#This Row],[FECHA]])</f>
        <v>2017-1</v>
      </c>
    </row>
    <row r="96" spans="1:4" x14ac:dyDescent="0.25">
      <c r="A96" t="s">
        <v>1648</v>
      </c>
      <c r="B96">
        <v>1</v>
      </c>
      <c r="C96" s="56">
        <v>42736</v>
      </c>
      <c r="D96" s="3" t="str">
        <f>YEAR(Datos_Consumo[[#This Row],[FECHA]])&amp;"-"&amp;MONTH(Datos_Consumo[[#This Row],[FECHA]])</f>
        <v>2017-1</v>
      </c>
    </row>
    <row r="97" spans="1:4" x14ac:dyDescent="0.25">
      <c r="A97" t="s">
        <v>1380</v>
      </c>
      <c r="B97">
        <v>5</v>
      </c>
      <c r="C97" s="56">
        <v>42675</v>
      </c>
      <c r="D97" s="3" t="str">
        <f>YEAR(Datos_Consumo[[#This Row],[FECHA]])&amp;"-"&amp;MONTH(Datos_Consumo[[#This Row],[FECHA]])</f>
        <v>2016-11</v>
      </c>
    </row>
    <row r="98" spans="1:4" x14ac:dyDescent="0.25">
      <c r="A98" t="s">
        <v>1380</v>
      </c>
      <c r="B98">
        <v>328</v>
      </c>
      <c r="C98" s="56">
        <v>42705</v>
      </c>
      <c r="D98" s="3" t="str">
        <f>YEAR(Datos_Consumo[[#This Row],[FECHA]])&amp;"-"&amp;MONTH(Datos_Consumo[[#This Row],[FECHA]])</f>
        <v>2016-12</v>
      </c>
    </row>
    <row r="99" spans="1:4" x14ac:dyDescent="0.25">
      <c r="A99" t="s">
        <v>1380</v>
      </c>
      <c r="B99">
        <v>182</v>
      </c>
      <c r="C99" s="56">
        <v>42736</v>
      </c>
      <c r="D99" s="3" t="str">
        <f>YEAR(Datos_Consumo[[#This Row],[FECHA]])&amp;"-"&amp;MONTH(Datos_Consumo[[#This Row],[FECHA]])</f>
        <v>2017-1</v>
      </c>
    </row>
    <row r="100" spans="1:4" x14ac:dyDescent="0.25">
      <c r="A100" t="s">
        <v>1415</v>
      </c>
      <c r="B100">
        <v>400</v>
      </c>
      <c r="C100" s="56">
        <v>42675</v>
      </c>
      <c r="D100" s="3" t="str">
        <f>YEAR(Datos_Consumo[[#This Row],[FECHA]])&amp;"-"&amp;MONTH(Datos_Consumo[[#This Row],[FECHA]])</f>
        <v>2016-11</v>
      </c>
    </row>
    <row r="101" spans="1:4" x14ac:dyDescent="0.25">
      <c r="A101" t="s">
        <v>1415</v>
      </c>
      <c r="B101">
        <v>420</v>
      </c>
      <c r="C101" s="56">
        <v>42705</v>
      </c>
      <c r="D101" s="3" t="str">
        <f>YEAR(Datos_Consumo[[#This Row],[FECHA]])&amp;"-"&amp;MONTH(Datos_Consumo[[#This Row],[FECHA]])</f>
        <v>2016-12</v>
      </c>
    </row>
    <row r="102" spans="1:4" x14ac:dyDescent="0.25">
      <c r="A102" t="s">
        <v>1416</v>
      </c>
      <c r="B102">
        <v>5</v>
      </c>
      <c r="C102" s="56">
        <v>42644</v>
      </c>
      <c r="D102" s="3" t="str">
        <f>YEAR(Datos_Consumo[[#This Row],[FECHA]])&amp;"-"&amp;MONTH(Datos_Consumo[[#This Row],[FECHA]])</f>
        <v>2016-10</v>
      </c>
    </row>
    <row r="103" spans="1:4" x14ac:dyDescent="0.25">
      <c r="A103" t="s">
        <v>1416</v>
      </c>
      <c r="B103">
        <v>95</v>
      </c>
      <c r="C103" s="56">
        <v>42705</v>
      </c>
      <c r="D103" s="3" t="str">
        <f>YEAR(Datos_Consumo[[#This Row],[FECHA]])&amp;"-"&amp;MONTH(Datos_Consumo[[#This Row],[FECHA]])</f>
        <v>2016-12</v>
      </c>
    </row>
    <row r="104" spans="1:4" x14ac:dyDescent="0.25">
      <c r="A104" t="s">
        <v>1416</v>
      </c>
      <c r="B104">
        <v>20</v>
      </c>
      <c r="C104" s="56">
        <v>42736</v>
      </c>
      <c r="D104" s="3" t="str">
        <f>YEAR(Datos_Consumo[[#This Row],[FECHA]])&amp;"-"&amp;MONTH(Datos_Consumo[[#This Row],[FECHA]])</f>
        <v>2017-1</v>
      </c>
    </row>
    <row r="105" spans="1:4" x14ac:dyDescent="0.25">
      <c r="A105" t="s">
        <v>1417</v>
      </c>
      <c r="B105">
        <v>200</v>
      </c>
      <c r="C105" s="56">
        <v>42675</v>
      </c>
      <c r="D105" s="3" t="str">
        <f>YEAR(Datos_Consumo[[#This Row],[FECHA]])&amp;"-"&amp;MONTH(Datos_Consumo[[#This Row],[FECHA]])</f>
        <v>2016-11</v>
      </c>
    </row>
    <row r="106" spans="1:4" x14ac:dyDescent="0.25">
      <c r="A106" t="s">
        <v>1417</v>
      </c>
      <c r="B106">
        <v>1690</v>
      </c>
      <c r="C106" s="56">
        <v>42705</v>
      </c>
      <c r="D106" s="3" t="str">
        <f>YEAR(Datos_Consumo[[#This Row],[FECHA]])&amp;"-"&amp;MONTH(Datos_Consumo[[#This Row],[FECHA]])</f>
        <v>2016-12</v>
      </c>
    </row>
    <row r="107" spans="1:4" x14ac:dyDescent="0.25">
      <c r="A107" t="s">
        <v>1418</v>
      </c>
      <c r="B107">
        <v>30</v>
      </c>
      <c r="C107" s="56">
        <v>42644</v>
      </c>
      <c r="D107" s="3" t="str">
        <f>YEAR(Datos_Consumo[[#This Row],[FECHA]])&amp;"-"&amp;MONTH(Datos_Consumo[[#This Row],[FECHA]])</f>
        <v>2016-10</v>
      </c>
    </row>
    <row r="108" spans="1:4" x14ac:dyDescent="0.25">
      <c r="A108" t="s">
        <v>1418</v>
      </c>
      <c r="B108">
        <v>50</v>
      </c>
      <c r="C108" s="56">
        <v>42705</v>
      </c>
      <c r="D108" s="3" t="str">
        <f>YEAR(Datos_Consumo[[#This Row],[FECHA]])&amp;"-"&amp;MONTH(Datos_Consumo[[#This Row],[FECHA]])</f>
        <v>2016-12</v>
      </c>
    </row>
    <row r="109" spans="1:4" x14ac:dyDescent="0.25">
      <c r="A109" t="s">
        <v>1419</v>
      </c>
      <c r="B109">
        <v>10</v>
      </c>
      <c r="C109" s="56">
        <v>42675</v>
      </c>
      <c r="D109" s="3" t="str">
        <f>YEAR(Datos_Consumo[[#This Row],[FECHA]])&amp;"-"&amp;MONTH(Datos_Consumo[[#This Row],[FECHA]])</f>
        <v>2016-11</v>
      </c>
    </row>
    <row r="110" spans="1:4" x14ac:dyDescent="0.25">
      <c r="A110" t="s">
        <v>1419</v>
      </c>
      <c r="B110">
        <v>35</v>
      </c>
      <c r="C110" s="56">
        <v>42705</v>
      </c>
      <c r="D110" s="3" t="str">
        <f>YEAR(Datos_Consumo[[#This Row],[FECHA]])&amp;"-"&amp;MONTH(Datos_Consumo[[#This Row],[FECHA]])</f>
        <v>2016-12</v>
      </c>
    </row>
    <row r="111" spans="1:4" x14ac:dyDescent="0.25">
      <c r="A111" t="s">
        <v>1419</v>
      </c>
      <c r="B111">
        <v>30</v>
      </c>
      <c r="C111" s="56">
        <v>42736</v>
      </c>
      <c r="D111" s="3" t="str">
        <f>YEAR(Datos_Consumo[[#This Row],[FECHA]])&amp;"-"&amp;MONTH(Datos_Consumo[[#This Row],[FECHA]])</f>
        <v>2017-1</v>
      </c>
    </row>
    <row r="112" spans="1:4" x14ac:dyDescent="0.25">
      <c r="A112" t="s">
        <v>1420</v>
      </c>
      <c r="B112">
        <v>4000</v>
      </c>
      <c r="C112" s="56">
        <v>42644</v>
      </c>
      <c r="D112" s="3" t="str">
        <f>YEAR(Datos_Consumo[[#This Row],[FECHA]])&amp;"-"&amp;MONTH(Datos_Consumo[[#This Row],[FECHA]])</f>
        <v>2016-10</v>
      </c>
    </row>
    <row r="113" spans="1:4" x14ac:dyDescent="0.25">
      <c r="A113" t="s">
        <v>1420</v>
      </c>
      <c r="B113">
        <v>25</v>
      </c>
      <c r="C113" s="56">
        <v>42675</v>
      </c>
      <c r="D113" s="3" t="str">
        <f>YEAR(Datos_Consumo[[#This Row],[FECHA]])&amp;"-"&amp;MONTH(Datos_Consumo[[#This Row],[FECHA]])</f>
        <v>2016-11</v>
      </c>
    </row>
    <row r="114" spans="1:4" x14ac:dyDescent="0.25">
      <c r="A114" t="s">
        <v>1420</v>
      </c>
      <c r="B114">
        <v>455</v>
      </c>
      <c r="C114" s="56">
        <v>42705</v>
      </c>
      <c r="D114" s="3" t="str">
        <f>YEAR(Datos_Consumo[[#This Row],[FECHA]])&amp;"-"&amp;MONTH(Datos_Consumo[[#This Row],[FECHA]])</f>
        <v>2016-12</v>
      </c>
    </row>
    <row r="115" spans="1:4" x14ac:dyDescent="0.25">
      <c r="A115" t="s">
        <v>1420</v>
      </c>
      <c r="B115">
        <v>38</v>
      </c>
      <c r="C115" s="56">
        <v>42736</v>
      </c>
      <c r="D115" s="3" t="str">
        <f>YEAR(Datos_Consumo[[#This Row],[FECHA]])&amp;"-"&amp;MONTH(Datos_Consumo[[#This Row],[FECHA]])</f>
        <v>2017-1</v>
      </c>
    </row>
    <row r="116" spans="1:4" x14ac:dyDescent="0.25">
      <c r="A116" t="s">
        <v>1421</v>
      </c>
      <c r="B116">
        <v>4050</v>
      </c>
      <c r="C116" s="56">
        <v>42644</v>
      </c>
      <c r="D116" s="3" t="str">
        <f>YEAR(Datos_Consumo[[#This Row],[FECHA]])&amp;"-"&amp;MONTH(Datos_Consumo[[#This Row],[FECHA]])</f>
        <v>2016-10</v>
      </c>
    </row>
    <row r="117" spans="1:4" x14ac:dyDescent="0.25">
      <c r="A117" t="s">
        <v>1421</v>
      </c>
      <c r="B117">
        <v>10</v>
      </c>
      <c r="C117" s="56">
        <v>42675</v>
      </c>
      <c r="D117" s="3" t="str">
        <f>YEAR(Datos_Consumo[[#This Row],[FECHA]])&amp;"-"&amp;MONTH(Datos_Consumo[[#This Row],[FECHA]])</f>
        <v>2016-11</v>
      </c>
    </row>
    <row r="118" spans="1:4" x14ac:dyDescent="0.25">
      <c r="A118" t="s">
        <v>1421</v>
      </c>
      <c r="B118">
        <v>20</v>
      </c>
      <c r="C118" s="56">
        <v>42705</v>
      </c>
      <c r="D118" s="3" t="str">
        <f>YEAR(Datos_Consumo[[#This Row],[FECHA]])&amp;"-"&amp;MONTH(Datos_Consumo[[#This Row],[FECHA]])</f>
        <v>2016-12</v>
      </c>
    </row>
    <row r="119" spans="1:4" x14ac:dyDescent="0.25">
      <c r="A119" t="s">
        <v>1421</v>
      </c>
      <c r="B119">
        <v>25</v>
      </c>
      <c r="C119" s="56">
        <v>42736</v>
      </c>
      <c r="D119" s="3" t="str">
        <f>YEAR(Datos_Consumo[[#This Row],[FECHA]])&amp;"-"&amp;MONTH(Datos_Consumo[[#This Row],[FECHA]])</f>
        <v>2017-1</v>
      </c>
    </row>
    <row r="120" spans="1:4" x14ac:dyDescent="0.25">
      <c r="A120" t="s">
        <v>1422</v>
      </c>
      <c r="B120">
        <v>8</v>
      </c>
      <c r="C120" s="56">
        <v>42736</v>
      </c>
      <c r="D120" s="3" t="str">
        <f>YEAR(Datos_Consumo[[#This Row],[FECHA]])&amp;"-"&amp;MONTH(Datos_Consumo[[#This Row],[FECHA]])</f>
        <v>2017-1</v>
      </c>
    </row>
    <row r="121" spans="1:4" x14ac:dyDescent="0.25">
      <c r="A121" t="s">
        <v>1381</v>
      </c>
      <c r="B121">
        <v>10</v>
      </c>
      <c r="C121" s="56">
        <v>42675</v>
      </c>
      <c r="D121" s="3" t="str">
        <f>YEAR(Datos_Consumo[[#This Row],[FECHA]])&amp;"-"&amp;MONTH(Datos_Consumo[[#This Row],[FECHA]])</f>
        <v>2016-11</v>
      </c>
    </row>
    <row r="122" spans="1:4" x14ac:dyDescent="0.25">
      <c r="A122" t="s">
        <v>1382</v>
      </c>
      <c r="B122">
        <v>5</v>
      </c>
      <c r="C122" s="56">
        <v>42736</v>
      </c>
      <c r="D122" s="3" t="str">
        <f>YEAR(Datos_Consumo[[#This Row],[FECHA]])&amp;"-"&amp;MONTH(Datos_Consumo[[#This Row],[FECHA]])</f>
        <v>2017-1</v>
      </c>
    </row>
    <row r="123" spans="1:4" x14ac:dyDescent="0.25">
      <c r="A123" t="s">
        <v>1423</v>
      </c>
      <c r="B123">
        <v>18</v>
      </c>
      <c r="C123" s="56">
        <v>42644</v>
      </c>
      <c r="D123" s="3" t="str">
        <f>YEAR(Datos_Consumo[[#This Row],[FECHA]])&amp;"-"&amp;MONTH(Datos_Consumo[[#This Row],[FECHA]])</f>
        <v>2016-10</v>
      </c>
    </row>
    <row r="124" spans="1:4" x14ac:dyDescent="0.25">
      <c r="A124" t="s">
        <v>1423</v>
      </c>
      <c r="B124">
        <v>36</v>
      </c>
      <c r="C124" s="56">
        <v>42675</v>
      </c>
      <c r="D124" s="3" t="str">
        <f>YEAR(Datos_Consumo[[#This Row],[FECHA]])&amp;"-"&amp;MONTH(Datos_Consumo[[#This Row],[FECHA]])</f>
        <v>2016-11</v>
      </c>
    </row>
    <row r="125" spans="1:4" x14ac:dyDescent="0.25">
      <c r="A125" t="s">
        <v>1423</v>
      </c>
      <c r="B125">
        <v>8</v>
      </c>
      <c r="C125" s="56">
        <v>42705</v>
      </c>
      <c r="D125" s="3" t="str">
        <f>YEAR(Datos_Consumo[[#This Row],[FECHA]])&amp;"-"&amp;MONTH(Datos_Consumo[[#This Row],[FECHA]])</f>
        <v>2016-12</v>
      </c>
    </row>
    <row r="126" spans="1:4" x14ac:dyDescent="0.25">
      <c r="A126" t="s">
        <v>1423</v>
      </c>
      <c r="B126">
        <v>58</v>
      </c>
      <c r="C126" s="56">
        <v>42736</v>
      </c>
      <c r="D126" s="3" t="str">
        <f>YEAR(Datos_Consumo[[#This Row],[FECHA]])&amp;"-"&amp;MONTH(Datos_Consumo[[#This Row],[FECHA]])</f>
        <v>2017-1</v>
      </c>
    </row>
    <row r="127" spans="1:4" x14ac:dyDescent="0.25">
      <c r="A127" t="s">
        <v>1424</v>
      </c>
      <c r="B127">
        <v>5</v>
      </c>
      <c r="C127" s="56">
        <v>42644</v>
      </c>
      <c r="D127" s="3" t="str">
        <f>YEAR(Datos_Consumo[[#This Row],[FECHA]])&amp;"-"&amp;MONTH(Datos_Consumo[[#This Row],[FECHA]])</f>
        <v>2016-10</v>
      </c>
    </row>
    <row r="128" spans="1:4" x14ac:dyDescent="0.25">
      <c r="A128" t="s">
        <v>1424</v>
      </c>
      <c r="B128">
        <v>45</v>
      </c>
      <c r="C128" s="56">
        <v>42675</v>
      </c>
      <c r="D128" s="3" t="str">
        <f>YEAR(Datos_Consumo[[#This Row],[FECHA]])&amp;"-"&amp;MONTH(Datos_Consumo[[#This Row],[FECHA]])</f>
        <v>2016-11</v>
      </c>
    </row>
    <row r="129" spans="1:4" x14ac:dyDescent="0.25">
      <c r="A129" t="s">
        <v>1424</v>
      </c>
      <c r="B129">
        <v>6</v>
      </c>
      <c r="C129" s="56">
        <v>42705</v>
      </c>
      <c r="D129" s="3" t="str">
        <f>YEAR(Datos_Consumo[[#This Row],[FECHA]])&amp;"-"&amp;MONTH(Datos_Consumo[[#This Row],[FECHA]])</f>
        <v>2016-12</v>
      </c>
    </row>
    <row r="130" spans="1:4" x14ac:dyDescent="0.25">
      <c r="A130" t="s">
        <v>1424</v>
      </c>
      <c r="B130">
        <v>20</v>
      </c>
      <c r="C130" s="56">
        <v>42736</v>
      </c>
      <c r="D130" s="3" t="str">
        <f>YEAR(Datos_Consumo[[#This Row],[FECHA]])&amp;"-"&amp;MONTH(Datos_Consumo[[#This Row],[FECHA]])</f>
        <v>2017-1</v>
      </c>
    </row>
    <row r="131" spans="1:4" x14ac:dyDescent="0.25">
      <c r="A131" t="s">
        <v>1425</v>
      </c>
      <c r="B131">
        <v>230</v>
      </c>
      <c r="C131" s="56">
        <v>42644</v>
      </c>
      <c r="D131" s="3" t="str">
        <f>YEAR(Datos_Consumo[[#This Row],[FECHA]])&amp;"-"&amp;MONTH(Datos_Consumo[[#This Row],[FECHA]])</f>
        <v>2016-10</v>
      </c>
    </row>
    <row r="132" spans="1:4" x14ac:dyDescent="0.25">
      <c r="A132" t="s">
        <v>1425</v>
      </c>
      <c r="B132">
        <v>285</v>
      </c>
      <c r="C132" s="56">
        <v>42675</v>
      </c>
      <c r="D132" s="3" t="str">
        <f>YEAR(Datos_Consumo[[#This Row],[FECHA]])&amp;"-"&amp;MONTH(Datos_Consumo[[#This Row],[FECHA]])</f>
        <v>2016-11</v>
      </c>
    </row>
    <row r="133" spans="1:4" x14ac:dyDescent="0.25">
      <c r="A133" t="s">
        <v>1425</v>
      </c>
      <c r="B133">
        <v>10</v>
      </c>
      <c r="C133" s="56">
        <v>42705</v>
      </c>
      <c r="D133" s="3" t="str">
        <f>YEAR(Datos_Consumo[[#This Row],[FECHA]])&amp;"-"&amp;MONTH(Datos_Consumo[[#This Row],[FECHA]])</f>
        <v>2016-12</v>
      </c>
    </row>
    <row r="134" spans="1:4" x14ac:dyDescent="0.25">
      <c r="A134" t="s">
        <v>1425</v>
      </c>
      <c r="B134">
        <v>620</v>
      </c>
      <c r="C134" s="56">
        <v>42736</v>
      </c>
      <c r="D134" s="3" t="str">
        <f>YEAR(Datos_Consumo[[#This Row],[FECHA]])&amp;"-"&amp;MONTH(Datos_Consumo[[#This Row],[FECHA]])</f>
        <v>2017-1</v>
      </c>
    </row>
    <row r="135" spans="1:4" x14ac:dyDescent="0.25">
      <c r="A135" t="s">
        <v>1426</v>
      </c>
      <c r="B135">
        <v>28</v>
      </c>
      <c r="C135" s="56">
        <v>42675</v>
      </c>
      <c r="D135" s="3" t="str">
        <f>YEAR(Datos_Consumo[[#This Row],[FECHA]])&amp;"-"&amp;MONTH(Datos_Consumo[[#This Row],[FECHA]])</f>
        <v>2016-11</v>
      </c>
    </row>
    <row r="136" spans="1:4" x14ac:dyDescent="0.25">
      <c r="A136" t="s">
        <v>1427</v>
      </c>
      <c r="B136">
        <v>10</v>
      </c>
      <c r="C136" s="56">
        <v>42644</v>
      </c>
      <c r="D136" s="3" t="str">
        <f>YEAR(Datos_Consumo[[#This Row],[FECHA]])&amp;"-"&amp;MONTH(Datos_Consumo[[#This Row],[FECHA]])</f>
        <v>2016-10</v>
      </c>
    </row>
    <row r="137" spans="1:4" x14ac:dyDescent="0.25">
      <c r="A137" t="s">
        <v>1428</v>
      </c>
      <c r="B137">
        <v>5</v>
      </c>
      <c r="C137" s="56">
        <v>42736</v>
      </c>
      <c r="D137" s="3" t="str">
        <f>YEAR(Datos_Consumo[[#This Row],[FECHA]])&amp;"-"&amp;MONTH(Datos_Consumo[[#This Row],[FECHA]])</f>
        <v>2017-1</v>
      </c>
    </row>
    <row r="138" spans="1:4" x14ac:dyDescent="0.25">
      <c r="A138" t="s">
        <v>1429</v>
      </c>
      <c r="B138">
        <v>10</v>
      </c>
      <c r="C138" s="56">
        <v>42644</v>
      </c>
      <c r="D138" s="3" t="str">
        <f>YEAR(Datos_Consumo[[#This Row],[FECHA]])&amp;"-"&amp;MONTH(Datos_Consumo[[#This Row],[FECHA]])</f>
        <v>2016-10</v>
      </c>
    </row>
    <row r="139" spans="1:4" x14ac:dyDescent="0.25">
      <c r="A139" t="s">
        <v>1429</v>
      </c>
      <c r="B139">
        <v>8</v>
      </c>
      <c r="C139" s="56">
        <v>42675</v>
      </c>
      <c r="D139" s="3" t="str">
        <f>YEAR(Datos_Consumo[[#This Row],[FECHA]])&amp;"-"&amp;MONTH(Datos_Consumo[[#This Row],[FECHA]])</f>
        <v>2016-11</v>
      </c>
    </row>
    <row r="140" spans="1:4" x14ac:dyDescent="0.25">
      <c r="A140" t="s">
        <v>1429</v>
      </c>
      <c r="B140">
        <v>13</v>
      </c>
      <c r="C140" s="56">
        <v>42705</v>
      </c>
      <c r="D140" s="3" t="str">
        <f>YEAR(Datos_Consumo[[#This Row],[FECHA]])&amp;"-"&amp;MONTH(Datos_Consumo[[#This Row],[FECHA]])</f>
        <v>2016-12</v>
      </c>
    </row>
    <row r="141" spans="1:4" x14ac:dyDescent="0.25">
      <c r="A141" t="s">
        <v>1429</v>
      </c>
      <c r="B141">
        <v>21</v>
      </c>
      <c r="C141" s="56">
        <v>42736</v>
      </c>
      <c r="D141" s="3" t="str">
        <f>YEAR(Datos_Consumo[[#This Row],[FECHA]])&amp;"-"&amp;MONTH(Datos_Consumo[[#This Row],[FECHA]])</f>
        <v>2017-1</v>
      </c>
    </row>
    <row r="142" spans="1:4" x14ac:dyDescent="0.25">
      <c r="A142" t="s">
        <v>1430</v>
      </c>
      <c r="B142">
        <v>5</v>
      </c>
      <c r="C142" s="56">
        <v>42675</v>
      </c>
      <c r="D142" s="3" t="str">
        <f>YEAR(Datos_Consumo[[#This Row],[FECHA]])&amp;"-"&amp;MONTH(Datos_Consumo[[#This Row],[FECHA]])</f>
        <v>2016-11</v>
      </c>
    </row>
    <row r="143" spans="1:4" x14ac:dyDescent="0.25">
      <c r="A143" t="s">
        <v>1430</v>
      </c>
      <c r="B143">
        <v>10</v>
      </c>
      <c r="C143" s="56">
        <v>42705</v>
      </c>
      <c r="D143" s="3" t="str">
        <f>YEAR(Datos_Consumo[[#This Row],[FECHA]])&amp;"-"&amp;MONTH(Datos_Consumo[[#This Row],[FECHA]])</f>
        <v>2016-12</v>
      </c>
    </row>
    <row r="144" spans="1:4" x14ac:dyDescent="0.25">
      <c r="A144" t="s">
        <v>1430</v>
      </c>
      <c r="B144">
        <v>8</v>
      </c>
      <c r="C144" s="56">
        <v>42736</v>
      </c>
      <c r="D144" s="3" t="str">
        <f>YEAR(Datos_Consumo[[#This Row],[FECHA]])&amp;"-"&amp;MONTH(Datos_Consumo[[#This Row],[FECHA]])</f>
        <v>2017-1</v>
      </c>
    </row>
    <row r="145" spans="1:4" x14ac:dyDescent="0.25">
      <c r="A145" t="s">
        <v>1383</v>
      </c>
      <c r="B145">
        <v>50</v>
      </c>
      <c r="C145" s="56">
        <v>42675</v>
      </c>
      <c r="D145" s="3" t="str">
        <f>YEAR(Datos_Consumo[[#This Row],[FECHA]])&amp;"-"&amp;MONTH(Datos_Consumo[[#This Row],[FECHA]])</f>
        <v>2016-11</v>
      </c>
    </row>
    <row r="146" spans="1:4" x14ac:dyDescent="0.25">
      <c r="A146" t="s">
        <v>1383</v>
      </c>
      <c r="B146">
        <v>18</v>
      </c>
      <c r="C146" s="56">
        <v>42705</v>
      </c>
      <c r="D146" s="3" t="str">
        <f>YEAR(Datos_Consumo[[#This Row],[FECHA]])&amp;"-"&amp;MONTH(Datos_Consumo[[#This Row],[FECHA]])</f>
        <v>2016-12</v>
      </c>
    </row>
    <row r="147" spans="1:4" x14ac:dyDescent="0.25">
      <c r="A147" t="s">
        <v>1383</v>
      </c>
      <c r="B147">
        <v>20</v>
      </c>
      <c r="C147" s="56">
        <v>42736</v>
      </c>
      <c r="D147" s="3" t="str">
        <f>YEAR(Datos_Consumo[[#This Row],[FECHA]])&amp;"-"&amp;MONTH(Datos_Consumo[[#This Row],[FECHA]])</f>
        <v>2017-1</v>
      </c>
    </row>
    <row r="148" spans="1:4" x14ac:dyDescent="0.25">
      <c r="A148" t="s">
        <v>1384</v>
      </c>
      <c r="B148">
        <v>100</v>
      </c>
      <c r="C148" s="56">
        <v>42675</v>
      </c>
      <c r="D148" s="3" t="str">
        <f>YEAR(Datos_Consumo[[#This Row],[FECHA]])&amp;"-"&amp;MONTH(Datos_Consumo[[#This Row],[FECHA]])</f>
        <v>2016-11</v>
      </c>
    </row>
    <row r="149" spans="1:4" x14ac:dyDescent="0.25">
      <c r="A149" t="s">
        <v>1384</v>
      </c>
      <c r="B149">
        <v>500</v>
      </c>
      <c r="C149" s="56">
        <v>42705</v>
      </c>
      <c r="D149" s="3" t="str">
        <f>YEAR(Datos_Consumo[[#This Row],[FECHA]])&amp;"-"&amp;MONTH(Datos_Consumo[[#This Row],[FECHA]])</f>
        <v>2016-12</v>
      </c>
    </row>
    <row r="150" spans="1:4" x14ac:dyDescent="0.25">
      <c r="A150" t="s">
        <v>1431</v>
      </c>
      <c r="B150">
        <v>6</v>
      </c>
      <c r="C150" s="56">
        <v>42644</v>
      </c>
      <c r="D150" s="3" t="str">
        <f>YEAR(Datos_Consumo[[#This Row],[FECHA]])&amp;"-"&amp;MONTH(Datos_Consumo[[#This Row],[FECHA]])</f>
        <v>2016-10</v>
      </c>
    </row>
    <row r="151" spans="1:4" x14ac:dyDescent="0.25">
      <c r="A151" t="s">
        <v>1431</v>
      </c>
      <c r="B151">
        <v>5</v>
      </c>
      <c r="C151" s="56">
        <v>42675</v>
      </c>
      <c r="D151" s="3" t="str">
        <f>YEAR(Datos_Consumo[[#This Row],[FECHA]])&amp;"-"&amp;MONTH(Datos_Consumo[[#This Row],[FECHA]])</f>
        <v>2016-11</v>
      </c>
    </row>
    <row r="152" spans="1:4" x14ac:dyDescent="0.25">
      <c r="A152" t="s">
        <v>1431</v>
      </c>
      <c r="B152">
        <v>6</v>
      </c>
      <c r="C152" s="56">
        <v>42705</v>
      </c>
      <c r="D152" s="3" t="str">
        <f>YEAR(Datos_Consumo[[#This Row],[FECHA]])&amp;"-"&amp;MONTH(Datos_Consumo[[#This Row],[FECHA]])</f>
        <v>2016-12</v>
      </c>
    </row>
    <row r="153" spans="1:4" x14ac:dyDescent="0.25">
      <c r="A153" t="s">
        <v>1432</v>
      </c>
      <c r="B153">
        <v>23</v>
      </c>
      <c r="C153" s="56">
        <v>42644</v>
      </c>
      <c r="D153" s="3" t="str">
        <f>YEAR(Datos_Consumo[[#This Row],[FECHA]])&amp;"-"&amp;MONTH(Datos_Consumo[[#This Row],[FECHA]])</f>
        <v>2016-10</v>
      </c>
    </row>
    <row r="154" spans="1:4" x14ac:dyDescent="0.25">
      <c r="A154" t="s">
        <v>1432</v>
      </c>
      <c r="B154">
        <v>20</v>
      </c>
      <c r="C154" s="56">
        <v>42675</v>
      </c>
      <c r="D154" s="3" t="str">
        <f>YEAR(Datos_Consumo[[#This Row],[FECHA]])&amp;"-"&amp;MONTH(Datos_Consumo[[#This Row],[FECHA]])</f>
        <v>2016-11</v>
      </c>
    </row>
    <row r="155" spans="1:4" x14ac:dyDescent="0.25">
      <c r="A155" t="s">
        <v>1432</v>
      </c>
      <c r="B155">
        <v>65</v>
      </c>
      <c r="C155" s="56">
        <v>42705</v>
      </c>
      <c r="D155" s="3" t="str">
        <f>YEAR(Datos_Consumo[[#This Row],[FECHA]])&amp;"-"&amp;MONTH(Datos_Consumo[[#This Row],[FECHA]])</f>
        <v>2016-12</v>
      </c>
    </row>
    <row r="156" spans="1:4" x14ac:dyDescent="0.25">
      <c r="A156" t="s">
        <v>1432</v>
      </c>
      <c r="B156">
        <v>10</v>
      </c>
      <c r="C156" s="56">
        <v>42736</v>
      </c>
      <c r="D156" s="3" t="str">
        <f>YEAR(Datos_Consumo[[#This Row],[FECHA]])&amp;"-"&amp;MONTH(Datos_Consumo[[#This Row],[FECHA]])</f>
        <v>2017-1</v>
      </c>
    </row>
    <row r="157" spans="1:4" x14ac:dyDescent="0.25">
      <c r="A157" t="s">
        <v>1385</v>
      </c>
      <c r="B157">
        <v>3755</v>
      </c>
      <c r="C157" s="56">
        <v>42644</v>
      </c>
      <c r="D157" s="3" t="str">
        <f>YEAR(Datos_Consumo[[#This Row],[FECHA]])&amp;"-"&amp;MONTH(Datos_Consumo[[#This Row],[FECHA]])</f>
        <v>2016-10</v>
      </c>
    </row>
    <row r="158" spans="1:4" x14ac:dyDescent="0.25">
      <c r="A158" t="s">
        <v>1385</v>
      </c>
      <c r="B158">
        <v>12</v>
      </c>
      <c r="C158" s="56">
        <v>42736</v>
      </c>
      <c r="D158" s="3" t="str">
        <f>YEAR(Datos_Consumo[[#This Row],[FECHA]])&amp;"-"&amp;MONTH(Datos_Consumo[[#This Row],[FECHA]])</f>
        <v>2017-1</v>
      </c>
    </row>
    <row r="159" spans="1:4" x14ac:dyDescent="0.25">
      <c r="A159" t="s">
        <v>1386</v>
      </c>
      <c r="B159">
        <v>20</v>
      </c>
      <c r="C159" s="56">
        <v>42675</v>
      </c>
      <c r="D159" s="3" t="str">
        <f>YEAR(Datos_Consumo[[#This Row],[FECHA]])&amp;"-"&amp;MONTH(Datos_Consumo[[#This Row],[FECHA]])</f>
        <v>2016-11</v>
      </c>
    </row>
    <row r="160" spans="1:4" x14ac:dyDescent="0.25">
      <c r="A160" t="s">
        <v>1386</v>
      </c>
      <c r="B160">
        <v>220</v>
      </c>
      <c r="C160" s="56">
        <v>42705</v>
      </c>
      <c r="D160" s="3" t="str">
        <f>YEAR(Datos_Consumo[[#This Row],[FECHA]])&amp;"-"&amp;MONTH(Datos_Consumo[[#This Row],[FECHA]])</f>
        <v>2016-12</v>
      </c>
    </row>
    <row r="161" spans="1:4" x14ac:dyDescent="0.25">
      <c r="A161" t="s">
        <v>1386</v>
      </c>
      <c r="B161">
        <v>2</v>
      </c>
      <c r="C161" s="56">
        <v>42736</v>
      </c>
      <c r="D161" s="3" t="str">
        <f>YEAR(Datos_Consumo[[#This Row],[FECHA]])&amp;"-"&amp;MONTH(Datos_Consumo[[#This Row],[FECHA]])</f>
        <v>2017-1</v>
      </c>
    </row>
    <row r="162" spans="1:4" x14ac:dyDescent="0.25">
      <c r="A162" t="s">
        <v>1649</v>
      </c>
      <c r="B162">
        <v>40</v>
      </c>
      <c r="C162" s="56">
        <v>42736</v>
      </c>
      <c r="D162" s="3" t="str">
        <f>YEAR(Datos_Consumo[[#This Row],[FECHA]])&amp;"-"&amp;MONTH(Datos_Consumo[[#This Row],[FECHA]])</f>
        <v>2017-1</v>
      </c>
    </row>
    <row r="163" spans="1:4" x14ac:dyDescent="0.25">
      <c r="A163" t="s">
        <v>1650</v>
      </c>
      <c r="B163">
        <v>16</v>
      </c>
      <c r="C163" s="56">
        <v>42644</v>
      </c>
      <c r="D163" s="3" t="str">
        <f>YEAR(Datos_Consumo[[#This Row],[FECHA]])&amp;"-"&amp;MONTH(Datos_Consumo[[#This Row],[FECHA]])</f>
        <v>2016-10</v>
      </c>
    </row>
    <row r="164" spans="1:4" x14ac:dyDescent="0.25">
      <c r="A164" t="s">
        <v>1650</v>
      </c>
      <c r="B164">
        <v>50</v>
      </c>
      <c r="C164" s="56">
        <v>42675</v>
      </c>
      <c r="D164" s="3" t="str">
        <f>YEAR(Datos_Consumo[[#This Row],[FECHA]])&amp;"-"&amp;MONTH(Datos_Consumo[[#This Row],[FECHA]])</f>
        <v>2016-11</v>
      </c>
    </row>
    <row r="165" spans="1:4" x14ac:dyDescent="0.25">
      <c r="A165" t="s">
        <v>1650</v>
      </c>
      <c r="B165">
        <v>30</v>
      </c>
      <c r="C165" s="56">
        <v>42705</v>
      </c>
      <c r="D165" s="3" t="str">
        <f>YEAR(Datos_Consumo[[#This Row],[FECHA]])&amp;"-"&amp;MONTH(Datos_Consumo[[#This Row],[FECHA]])</f>
        <v>2016-12</v>
      </c>
    </row>
    <row r="166" spans="1:4" x14ac:dyDescent="0.25">
      <c r="A166" t="s">
        <v>1650</v>
      </c>
      <c r="B166">
        <v>5</v>
      </c>
      <c r="C166" s="56">
        <v>42736</v>
      </c>
      <c r="D166" s="3" t="str">
        <f>YEAR(Datos_Consumo[[#This Row],[FECHA]])&amp;"-"&amp;MONTH(Datos_Consumo[[#This Row],[FECHA]])</f>
        <v>2017-1</v>
      </c>
    </row>
    <row r="167" spans="1:4" x14ac:dyDescent="0.25">
      <c r="A167" t="s">
        <v>1651</v>
      </c>
      <c r="B167">
        <v>50</v>
      </c>
      <c r="C167" s="56">
        <v>42644</v>
      </c>
      <c r="D167" s="3" t="str">
        <f>YEAR(Datos_Consumo[[#This Row],[FECHA]])&amp;"-"&amp;MONTH(Datos_Consumo[[#This Row],[FECHA]])</f>
        <v>2016-10</v>
      </c>
    </row>
    <row r="168" spans="1:4" x14ac:dyDescent="0.25">
      <c r="A168" t="s">
        <v>1652</v>
      </c>
      <c r="B168">
        <v>150</v>
      </c>
      <c r="C168" s="56">
        <v>42644</v>
      </c>
      <c r="D168" s="3" t="str">
        <f>YEAR(Datos_Consumo[[#This Row],[FECHA]])&amp;"-"&amp;MONTH(Datos_Consumo[[#This Row],[FECHA]])</f>
        <v>2016-10</v>
      </c>
    </row>
    <row r="169" spans="1:4" x14ac:dyDescent="0.25">
      <c r="A169" t="s">
        <v>1652</v>
      </c>
      <c r="B169">
        <v>72</v>
      </c>
      <c r="C169" s="56">
        <v>42675</v>
      </c>
      <c r="D169" s="3" t="str">
        <f>YEAR(Datos_Consumo[[#This Row],[FECHA]])&amp;"-"&amp;MONTH(Datos_Consumo[[#This Row],[FECHA]])</f>
        <v>2016-11</v>
      </c>
    </row>
    <row r="170" spans="1:4" x14ac:dyDescent="0.25">
      <c r="A170" t="s">
        <v>1652</v>
      </c>
      <c r="B170">
        <v>98</v>
      </c>
      <c r="C170" s="56">
        <v>42705</v>
      </c>
      <c r="D170" s="3" t="str">
        <f>YEAR(Datos_Consumo[[#This Row],[FECHA]])&amp;"-"&amp;MONTH(Datos_Consumo[[#This Row],[FECHA]])</f>
        <v>2016-12</v>
      </c>
    </row>
    <row r="171" spans="1:4" x14ac:dyDescent="0.25">
      <c r="A171" t="s">
        <v>1652</v>
      </c>
      <c r="B171">
        <v>126</v>
      </c>
      <c r="C171" s="56">
        <v>42736</v>
      </c>
      <c r="D171" s="3" t="str">
        <f>YEAR(Datos_Consumo[[#This Row],[FECHA]])&amp;"-"&amp;MONTH(Datos_Consumo[[#This Row],[FECHA]])</f>
        <v>2017-1</v>
      </c>
    </row>
    <row r="172" spans="1:4" x14ac:dyDescent="0.25">
      <c r="A172" t="s">
        <v>1653</v>
      </c>
      <c r="B172">
        <v>15</v>
      </c>
      <c r="C172" s="56">
        <v>42644</v>
      </c>
      <c r="D172" s="3" t="str">
        <f>YEAR(Datos_Consumo[[#This Row],[FECHA]])&amp;"-"&amp;MONTH(Datos_Consumo[[#This Row],[FECHA]])</f>
        <v>2016-10</v>
      </c>
    </row>
    <row r="173" spans="1:4" x14ac:dyDescent="0.25">
      <c r="A173" t="s">
        <v>1653</v>
      </c>
      <c r="B173">
        <v>20</v>
      </c>
      <c r="C173" s="56">
        <v>42675</v>
      </c>
      <c r="D173" s="3" t="str">
        <f>YEAR(Datos_Consumo[[#This Row],[FECHA]])&amp;"-"&amp;MONTH(Datos_Consumo[[#This Row],[FECHA]])</f>
        <v>2016-11</v>
      </c>
    </row>
    <row r="174" spans="1:4" x14ac:dyDescent="0.25">
      <c r="A174" t="s">
        <v>1653</v>
      </c>
      <c r="B174">
        <v>5</v>
      </c>
      <c r="C174" s="56">
        <v>42736</v>
      </c>
      <c r="D174" s="3" t="str">
        <f>YEAR(Datos_Consumo[[#This Row],[FECHA]])&amp;"-"&amp;MONTH(Datos_Consumo[[#This Row],[FECHA]])</f>
        <v>2017-1</v>
      </c>
    </row>
    <row r="175" spans="1:4" x14ac:dyDescent="0.25">
      <c r="A175" t="s">
        <v>1433</v>
      </c>
      <c r="B175">
        <v>2</v>
      </c>
      <c r="C175" s="56">
        <v>42644</v>
      </c>
      <c r="D175" s="3" t="str">
        <f>YEAR(Datos_Consumo[[#This Row],[FECHA]])&amp;"-"&amp;MONTH(Datos_Consumo[[#This Row],[FECHA]])</f>
        <v>2016-10</v>
      </c>
    </row>
    <row r="176" spans="1:4" x14ac:dyDescent="0.25">
      <c r="A176" t="s">
        <v>1433</v>
      </c>
      <c r="B176">
        <v>4</v>
      </c>
      <c r="C176" s="56">
        <v>42736</v>
      </c>
      <c r="D176" s="3" t="str">
        <f>YEAR(Datos_Consumo[[#This Row],[FECHA]])&amp;"-"&amp;MONTH(Datos_Consumo[[#This Row],[FECHA]])</f>
        <v>2017-1</v>
      </c>
    </row>
    <row r="177" spans="1:4" x14ac:dyDescent="0.25">
      <c r="A177" t="s">
        <v>1434</v>
      </c>
      <c r="B177">
        <v>8</v>
      </c>
      <c r="C177" s="56">
        <v>42644</v>
      </c>
      <c r="D177" s="3" t="str">
        <f>YEAR(Datos_Consumo[[#This Row],[FECHA]])&amp;"-"&amp;MONTH(Datos_Consumo[[#This Row],[FECHA]])</f>
        <v>2016-10</v>
      </c>
    </row>
    <row r="178" spans="1:4" x14ac:dyDescent="0.25">
      <c r="A178" t="s">
        <v>1434</v>
      </c>
      <c r="B178">
        <v>600</v>
      </c>
      <c r="C178" s="56">
        <v>42705</v>
      </c>
      <c r="D178" s="3" t="str">
        <f>YEAR(Datos_Consumo[[#This Row],[FECHA]])&amp;"-"&amp;MONTH(Datos_Consumo[[#This Row],[FECHA]])</f>
        <v>2016-12</v>
      </c>
    </row>
    <row r="179" spans="1:4" x14ac:dyDescent="0.25">
      <c r="A179" t="s">
        <v>1434</v>
      </c>
      <c r="B179">
        <v>604</v>
      </c>
      <c r="C179" s="56">
        <v>42736</v>
      </c>
      <c r="D179" s="3" t="str">
        <f>YEAR(Datos_Consumo[[#This Row],[FECHA]])&amp;"-"&amp;MONTH(Datos_Consumo[[#This Row],[FECHA]])</f>
        <v>2017-1</v>
      </c>
    </row>
    <row r="180" spans="1:4" x14ac:dyDescent="0.25">
      <c r="A180" t="s">
        <v>1435</v>
      </c>
      <c r="B180">
        <v>266</v>
      </c>
      <c r="C180" s="56">
        <v>42644</v>
      </c>
      <c r="D180" s="3" t="str">
        <f>YEAR(Datos_Consumo[[#This Row],[FECHA]])&amp;"-"&amp;MONTH(Datos_Consumo[[#This Row],[FECHA]])</f>
        <v>2016-10</v>
      </c>
    </row>
    <row r="181" spans="1:4" x14ac:dyDescent="0.25">
      <c r="A181" t="s">
        <v>1435</v>
      </c>
      <c r="B181">
        <v>1236</v>
      </c>
      <c r="C181" s="56">
        <v>42675</v>
      </c>
      <c r="D181" s="3" t="str">
        <f>YEAR(Datos_Consumo[[#This Row],[FECHA]])&amp;"-"&amp;MONTH(Datos_Consumo[[#This Row],[FECHA]])</f>
        <v>2016-11</v>
      </c>
    </row>
    <row r="182" spans="1:4" x14ac:dyDescent="0.25">
      <c r="A182" t="s">
        <v>1435</v>
      </c>
      <c r="B182">
        <v>400</v>
      </c>
      <c r="C182" s="56">
        <v>42736</v>
      </c>
      <c r="D182" s="3" t="str">
        <f>YEAR(Datos_Consumo[[#This Row],[FECHA]])&amp;"-"&amp;MONTH(Datos_Consumo[[#This Row],[FECHA]])</f>
        <v>2017-1</v>
      </c>
    </row>
    <row r="183" spans="1:4" x14ac:dyDescent="0.25">
      <c r="A183" t="s">
        <v>1435</v>
      </c>
      <c r="B183">
        <v>405</v>
      </c>
      <c r="C183" s="56">
        <v>42736</v>
      </c>
      <c r="D183" s="3" t="str">
        <f>YEAR(Datos_Consumo[[#This Row],[FECHA]])&amp;"-"&amp;MONTH(Datos_Consumo[[#This Row],[FECHA]])</f>
        <v>2017-1</v>
      </c>
    </row>
    <row r="184" spans="1:4" x14ac:dyDescent="0.25">
      <c r="A184" t="s">
        <v>1387</v>
      </c>
      <c r="B184">
        <v>4625</v>
      </c>
      <c r="C184" s="56">
        <v>42644</v>
      </c>
      <c r="D184" s="3" t="str">
        <f>YEAR(Datos_Consumo[[#This Row],[FECHA]])&amp;"-"&amp;MONTH(Datos_Consumo[[#This Row],[FECHA]])</f>
        <v>2016-10</v>
      </c>
    </row>
    <row r="185" spans="1:4" x14ac:dyDescent="0.25">
      <c r="A185" t="s">
        <v>1387</v>
      </c>
      <c r="B185">
        <v>6270</v>
      </c>
      <c r="C185" s="56">
        <v>42675</v>
      </c>
      <c r="D185" s="3" t="str">
        <f>YEAR(Datos_Consumo[[#This Row],[FECHA]])&amp;"-"&amp;MONTH(Datos_Consumo[[#This Row],[FECHA]])</f>
        <v>2016-11</v>
      </c>
    </row>
    <row r="186" spans="1:4" x14ac:dyDescent="0.25">
      <c r="A186" t="s">
        <v>1387</v>
      </c>
      <c r="B186">
        <v>5020</v>
      </c>
      <c r="C186" s="56">
        <v>42705</v>
      </c>
      <c r="D186" s="3" t="str">
        <f>YEAR(Datos_Consumo[[#This Row],[FECHA]])&amp;"-"&amp;MONTH(Datos_Consumo[[#This Row],[FECHA]])</f>
        <v>2016-12</v>
      </c>
    </row>
    <row r="187" spans="1:4" x14ac:dyDescent="0.25">
      <c r="A187" t="s">
        <v>1387</v>
      </c>
      <c r="B187">
        <v>5290</v>
      </c>
      <c r="C187" s="56">
        <v>42736</v>
      </c>
      <c r="D187" s="3" t="str">
        <f>YEAR(Datos_Consumo[[#This Row],[FECHA]])&amp;"-"&amp;MONTH(Datos_Consumo[[#This Row],[FECHA]])</f>
        <v>2017-1</v>
      </c>
    </row>
    <row r="188" spans="1:4" x14ac:dyDescent="0.25">
      <c r="A188" t="s">
        <v>1654</v>
      </c>
      <c r="B188">
        <v>10</v>
      </c>
      <c r="C188" s="56">
        <v>42736</v>
      </c>
      <c r="D188" s="3" t="str">
        <f>YEAR(Datos_Consumo[[#This Row],[FECHA]])&amp;"-"&amp;MONTH(Datos_Consumo[[#This Row],[FECHA]])</f>
        <v>2017-1</v>
      </c>
    </row>
    <row r="189" spans="1:4" x14ac:dyDescent="0.25">
      <c r="A189" t="s">
        <v>1655</v>
      </c>
      <c r="B189">
        <v>8</v>
      </c>
      <c r="C189" s="56">
        <v>42705</v>
      </c>
      <c r="D189" s="3" t="str">
        <f>YEAR(Datos_Consumo[[#This Row],[FECHA]])&amp;"-"&amp;MONTH(Datos_Consumo[[#This Row],[FECHA]])</f>
        <v>2016-12</v>
      </c>
    </row>
    <row r="190" spans="1:4" x14ac:dyDescent="0.25">
      <c r="A190" t="s">
        <v>1388</v>
      </c>
      <c r="B190">
        <v>40</v>
      </c>
      <c r="C190" s="56">
        <v>42705</v>
      </c>
      <c r="D190" s="3" t="str">
        <f>YEAR(Datos_Consumo[[#This Row],[FECHA]])&amp;"-"&amp;MONTH(Datos_Consumo[[#This Row],[FECHA]])</f>
        <v>2016-12</v>
      </c>
    </row>
    <row r="191" spans="1:4" x14ac:dyDescent="0.25">
      <c r="A191" t="s">
        <v>1388</v>
      </c>
      <c r="B191">
        <v>10</v>
      </c>
      <c r="C191" s="56">
        <v>42736</v>
      </c>
      <c r="D191" s="3" t="str">
        <f>YEAR(Datos_Consumo[[#This Row],[FECHA]])&amp;"-"&amp;MONTH(Datos_Consumo[[#This Row],[FECHA]])</f>
        <v>2017-1</v>
      </c>
    </row>
    <row r="192" spans="1:4" x14ac:dyDescent="0.25">
      <c r="A192" t="s">
        <v>1436</v>
      </c>
      <c r="B192">
        <v>20</v>
      </c>
      <c r="C192" s="56">
        <v>42675</v>
      </c>
      <c r="D192" s="3" t="str">
        <f>YEAR(Datos_Consumo[[#This Row],[FECHA]])&amp;"-"&amp;MONTH(Datos_Consumo[[#This Row],[FECHA]])</f>
        <v>2016-11</v>
      </c>
    </row>
    <row r="193" spans="1:4" x14ac:dyDescent="0.25">
      <c r="A193" t="s">
        <v>1436</v>
      </c>
      <c r="B193">
        <v>10</v>
      </c>
      <c r="C193" s="56">
        <v>42705</v>
      </c>
      <c r="D193" s="3" t="str">
        <f>YEAR(Datos_Consumo[[#This Row],[FECHA]])&amp;"-"&amp;MONTH(Datos_Consumo[[#This Row],[FECHA]])</f>
        <v>2016-12</v>
      </c>
    </row>
    <row r="194" spans="1:4" x14ac:dyDescent="0.25">
      <c r="A194" t="s">
        <v>1436</v>
      </c>
      <c r="B194">
        <v>30</v>
      </c>
      <c r="C194" s="56">
        <v>42736</v>
      </c>
      <c r="D194" s="3" t="str">
        <f>YEAR(Datos_Consumo[[#This Row],[FECHA]])&amp;"-"&amp;MONTH(Datos_Consumo[[#This Row],[FECHA]])</f>
        <v>2017-1</v>
      </c>
    </row>
    <row r="195" spans="1:4" x14ac:dyDescent="0.25">
      <c r="A195" t="s">
        <v>1437</v>
      </c>
      <c r="B195">
        <v>20</v>
      </c>
      <c r="C195" s="56">
        <v>42675</v>
      </c>
      <c r="D195" s="3" t="str">
        <f>YEAR(Datos_Consumo[[#This Row],[FECHA]])&amp;"-"&amp;MONTH(Datos_Consumo[[#This Row],[FECHA]])</f>
        <v>2016-11</v>
      </c>
    </row>
    <row r="196" spans="1:4" x14ac:dyDescent="0.25">
      <c r="A196" t="s">
        <v>1437</v>
      </c>
      <c r="B196">
        <v>20</v>
      </c>
      <c r="C196" s="56">
        <v>42705</v>
      </c>
      <c r="D196" s="3" t="str">
        <f>YEAR(Datos_Consumo[[#This Row],[FECHA]])&amp;"-"&amp;MONTH(Datos_Consumo[[#This Row],[FECHA]])</f>
        <v>2016-12</v>
      </c>
    </row>
    <row r="197" spans="1:4" x14ac:dyDescent="0.25">
      <c r="A197" t="s">
        <v>1437</v>
      </c>
      <c r="B197">
        <v>24</v>
      </c>
      <c r="C197" s="56">
        <v>42736</v>
      </c>
      <c r="D197" s="3" t="str">
        <f>YEAR(Datos_Consumo[[#This Row],[FECHA]])&amp;"-"&amp;MONTH(Datos_Consumo[[#This Row],[FECHA]])</f>
        <v>2017-1</v>
      </c>
    </row>
    <row r="198" spans="1:4" x14ac:dyDescent="0.25">
      <c r="A198" t="s">
        <v>1438</v>
      </c>
      <c r="B198">
        <v>20</v>
      </c>
      <c r="C198" s="56">
        <v>42675</v>
      </c>
      <c r="D198" s="3" t="str">
        <f>YEAR(Datos_Consumo[[#This Row],[FECHA]])&amp;"-"&amp;MONTH(Datos_Consumo[[#This Row],[FECHA]])</f>
        <v>2016-11</v>
      </c>
    </row>
    <row r="199" spans="1:4" x14ac:dyDescent="0.25">
      <c r="A199" t="s">
        <v>1438</v>
      </c>
      <c r="B199">
        <v>10</v>
      </c>
      <c r="C199" s="56">
        <v>42705</v>
      </c>
      <c r="D199" s="3" t="str">
        <f>YEAR(Datos_Consumo[[#This Row],[FECHA]])&amp;"-"&amp;MONTH(Datos_Consumo[[#This Row],[FECHA]])</f>
        <v>2016-12</v>
      </c>
    </row>
    <row r="200" spans="1:4" x14ac:dyDescent="0.25">
      <c r="A200" t="s">
        <v>1438</v>
      </c>
      <c r="B200">
        <v>23</v>
      </c>
      <c r="C200" s="56">
        <v>42736</v>
      </c>
      <c r="D200" s="3" t="str">
        <f>YEAR(Datos_Consumo[[#This Row],[FECHA]])&amp;"-"&amp;MONTH(Datos_Consumo[[#This Row],[FECHA]])</f>
        <v>2017-1</v>
      </c>
    </row>
    <row r="201" spans="1:4" x14ac:dyDescent="0.25">
      <c r="A201" t="s">
        <v>1439</v>
      </c>
      <c r="B201">
        <v>8</v>
      </c>
      <c r="C201" s="56">
        <v>42644</v>
      </c>
      <c r="D201" s="3" t="str">
        <f>YEAR(Datos_Consumo[[#This Row],[FECHA]])&amp;"-"&amp;MONTH(Datos_Consumo[[#This Row],[FECHA]])</f>
        <v>2016-10</v>
      </c>
    </row>
    <row r="202" spans="1:4" x14ac:dyDescent="0.25">
      <c r="A202" t="s">
        <v>1439</v>
      </c>
      <c r="B202">
        <v>2</v>
      </c>
      <c r="C202" s="56">
        <v>42675</v>
      </c>
      <c r="D202" s="3" t="str">
        <f>YEAR(Datos_Consumo[[#This Row],[FECHA]])&amp;"-"&amp;MONTH(Datos_Consumo[[#This Row],[FECHA]])</f>
        <v>2016-11</v>
      </c>
    </row>
    <row r="203" spans="1:4" x14ac:dyDescent="0.25">
      <c r="A203" t="s">
        <v>1440</v>
      </c>
      <c r="B203">
        <v>20</v>
      </c>
      <c r="C203" s="56">
        <v>42675</v>
      </c>
      <c r="D203" s="3" t="str">
        <f>YEAR(Datos_Consumo[[#This Row],[FECHA]])&amp;"-"&amp;MONTH(Datos_Consumo[[#This Row],[FECHA]])</f>
        <v>2016-11</v>
      </c>
    </row>
    <row r="204" spans="1:4" x14ac:dyDescent="0.25">
      <c r="A204" t="s">
        <v>1440</v>
      </c>
      <c r="B204">
        <v>1</v>
      </c>
      <c r="C204" s="56">
        <v>42705</v>
      </c>
      <c r="D204" s="3" t="str">
        <f>YEAR(Datos_Consumo[[#This Row],[FECHA]])&amp;"-"&amp;MONTH(Datos_Consumo[[#This Row],[FECHA]])</f>
        <v>2016-12</v>
      </c>
    </row>
    <row r="205" spans="1:4" x14ac:dyDescent="0.25">
      <c r="A205" t="s">
        <v>1440</v>
      </c>
      <c r="B205">
        <v>34</v>
      </c>
      <c r="C205" s="56">
        <v>42736</v>
      </c>
      <c r="D205" s="3" t="str">
        <f>YEAR(Datos_Consumo[[#This Row],[FECHA]])&amp;"-"&amp;MONTH(Datos_Consumo[[#This Row],[FECHA]])</f>
        <v>2017-1</v>
      </c>
    </row>
    <row r="206" spans="1:4" x14ac:dyDescent="0.25">
      <c r="A206" t="s">
        <v>1389</v>
      </c>
      <c r="B206">
        <v>51</v>
      </c>
      <c r="C206" s="56">
        <v>42705</v>
      </c>
      <c r="D206" s="3" t="str">
        <f>YEAR(Datos_Consumo[[#This Row],[FECHA]])&amp;"-"&amp;MONTH(Datos_Consumo[[#This Row],[FECHA]])</f>
        <v>2016-12</v>
      </c>
    </row>
    <row r="207" spans="1:4" x14ac:dyDescent="0.25">
      <c r="A207" t="s">
        <v>1389</v>
      </c>
      <c r="B207">
        <v>2</v>
      </c>
      <c r="C207" s="56">
        <v>42736</v>
      </c>
      <c r="D207" s="3" t="str">
        <f>YEAR(Datos_Consumo[[#This Row],[FECHA]])&amp;"-"&amp;MONTH(Datos_Consumo[[#This Row],[FECHA]])</f>
        <v>2017-1</v>
      </c>
    </row>
    <row r="208" spans="1:4" x14ac:dyDescent="0.25">
      <c r="A208" t="s">
        <v>1441</v>
      </c>
      <c r="B208">
        <v>20</v>
      </c>
      <c r="C208" s="56">
        <v>42675</v>
      </c>
      <c r="D208" s="3" t="str">
        <f>YEAR(Datos_Consumo[[#This Row],[FECHA]])&amp;"-"&amp;MONTH(Datos_Consumo[[#This Row],[FECHA]])</f>
        <v>2016-11</v>
      </c>
    </row>
    <row r="209" spans="1:4" x14ac:dyDescent="0.25">
      <c r="A209" t="s">
        <v>1441</v>
      </c>
      <c r="B209">
        <v>1</v>
      </c>
      <c r="C209" s="56">
        <v>42736</v>
      </c>
      <c r="D209" s="3" t="str">
        <f>YEAR(Datos_Consumo[[#This Row],[FECHA]])&amp;"-"&amp;MONTH(Datos_Consumo[[#This Row],[FECHA]])</f>
        <v>2017-1</v>
      </c>
    </row>
    <row r="210" spans="1:4" x14ac:dyDescent="0.25">
      <c r="A210" t="s">
        <v>1442</v>
      </c>
      <c r="B210">
        <v>5</v>
      </c>
      <c r="C210" s="56">
        <v>42644</v>
      </c>
      <c r="D210" s="3" t="str">
        <f>YEAR(Datos_Consumo[[#This Row],[FECHA]])&amp;"-"&amp;MONTH(Datos_Consumo[[#This Row],[FECHA]])</f>
        <v>2016-10</v>
      </c>
    </row>
    <row r="211" spans="1:4" x14ac:dyDescent="0.25">
      <c r="A211" t="s">
        <v>1442</v>
      </c>
      <c r="B211">
        <v>20</v>
      </c>
      <c r="C211" s="56">
        <v>42705</v>
      </c>
      <c r="D211" s="3" t="str">
        <f>YEAR(Datos_Consumo[[#This Row],[FECHA]])&amp;"-"&amp;MONTH(Datos_Consumo[[#This Row],[FECHA]])</f>
        <v>2016-12</v>
      </c>
    </row>
    <row r="212" spans="1:4" x14ac:dyDescent="0.25">
      <c r="A212" t="s">
        <v>1443</v>
      </c>
      <c r="B212">
        <v>50</v>
      </c>
      <c r="C212" s="56">
        <v>42705</v>
      </c>
      <c r="D212" s="3" t="str">
        <f>YEAR(Datos_Consumo[[#This Row],[FECHA]])&amp;"-"&amp;MONTH(Datos_Consumo[[#This Row],[FECHA]])</f>
        <v>2016-12</v>
      </c>
    </row>
    <row r="213" spans="1:4" x14ac:dyDescent="0.25">
      <c r="A213" t="s">
        <v>1444</v>
      </c>
      <c r="B213">
        <v>10</v>
      </c>
      <c r="C213" s="56">
        <v>42705</v>
      </c>
      <c r="D213" s="3" t="str">
        <f>YEAR(Datos_Consumo[[#This Row],[FECHA]])&amp;"-"&amp;MONTH(Datos_Consumo[[#This Row],[FECHA]])</f>
        <v>2016-12</v>
      </c>
    </row>
    <row r="214" spans="1:4" x14ac:dyDescent="0.25">
      <c r="A214" t="s">
        <v>1444</v>
      </c>
      <c r="B214">
        <v>5</v>
      </c>
      <c r="C214" s="56">
        <v>42736</v>
      </c>
      <c r="D214" s="3" t="str">
        <f>YEAR(Datos_Consumo[[#This Row],[FECHA]])&amp;"-"&amp;MONTH(Datos_Consumo[[#This Row],[FECHA]])</f>
        <v>2017-1</v>
      </c>
    </row>
    <row r="215" spans="1:4" x14ac:dyDescent="0.25">
      <c r="A215" t="s">
        <v>1445</v>
      </c>
      <c r="B215">
        <v>5</v>
      </c>
      <c r="C215" s="56">
        <v>42644</v>
      </c>
      <c r="D215" s="3" t="str">
        <f>YEAR(Datos_Consumo[[#This Row],[FECHA]])&amp;"-"&amp;MONTH(Datos_Consumo[[#This Row],[FECHA]])</f>
        <v>2016-10</v>
      </c>
    </row>
    <row r="216" spans="1:4" x14ac:dyDescent="0.25">
      <c r="A216" t="s">
        <v>1445</v>
      </c>
      <c r="B216">
        <v>10</v>
      </c>
      <c r="C216" s="56">
        <v>42705</v>
      </c>
      <c r="D216" s="3" t="str">
        <f>YEAR(Datos_Consumo[[#This Row],[FECHA]])&amp;"-"&amp;MONTH(Datos_Consumo[[#This Row],[FECHA]])</f>
        <v>2016-12</v>
      </c>
    </row>
    <row r="217" spans="1:4" x14ac:dyDescent="0.25">
      <c r="A217" t="s">
        <v>1446</v>
      </c>
      <c r="B217">
        <v>20</v>
      </c>
      <c r="C217" s="56">
        <v>42705</v>
      </c>
      <c r="D217" s="3" t="str">
        <f>YEAR(Datos_Consumo[[#This Row],[FECHA]])&amp;"-"&amp;MONTH(Datos_Consumo[[#This Row],[FECHA]])</f>
        <v>2016-12</v>
      </c>
    </row>
    <row r="218" spans="1:4" x14ac:dyDescent="0.25">
      <c r="A218" t="s">
        <v>1447</v>
      </c>
      <c r="B218">
        <v>40</v>
      </c>
      <c r="C218" s="56">
        <v>42705</v>
      </c>
      <c r="D218" s="3" t="str">
        <f>YEAR(Datos_Consumo[[#This Row],[FECHA]])&amp;"-"&amp;MONTH(Datos_Consumo[[#This Row],[FECHA]])</f>
        <v>2016-12</v>
      </c>
    </row>
    <row r="219" spans="1:4" x14ac:dyDescent="0.25">
      <c r="A219" t="s">
        <v>1448</v>
      </c>
      <c r="B219">
        <v>5</v>
      </c>
      <c r="C219" s="56">
        <v>42644</v>
      </c>
      <c r="D219" s="3" t="str">
        <f>YEAR(Datos_Consumo[[#This Row],[FECHA]])&amp;"-"&amp;MONTH(Datos_Consumo[[#This Row],[FECHA]])</f>
        <v>2016-10</v>
      </c>
    </row>
    <row r="220" spans="1:4" x14ac:dyDescent="0.25">
      <c r="A220" t="s">
        <v>1448</v>
      </c>
      <c r="B220">
        <v>30</v>
      </c>
      <c r="C220" s="56">
        <v>42705</v>
      </c>
      <c r="D220" s="3" t="str">
        <f>YEAR(Datos_Consumo[[#This Row],[FECHA]])&amp;"-"&amp;MONTH(Datos_Consumo[[#This Row],[FECHA]])</f>
        <v>2016-12</v>
      </c>
    </row>
    <row r="221" spans="1:4" x14ac:dyDescent="0.25">
      <c r="A221" t="s">
        <v>1448</v>
      </c>
      <c r="B221">
        <v>4</v>
      </c>
      <c r="C221" s="56">
        <v>42736</v>
      </c>
      <c r="D221" s="3" t="str">
        <f>YEAR(Datos_Consumo[[#This Row],[FECHA]])&amp;"-"&amp;MONTH(Datos_Consumo[[#This Row],[FECHA]])</f>
        <v>2017-1</v>
      </c>
    </row>
    <row r="222" spans="1:4" x14ac:dyDescent="0.25">
      <c r="A222" t="s">
        <v>1449</v>
      </c>
      <c r="B222">
        <v>2</v>
      </c>
      <c r="C222" s="56">
        <v>42644</v>
      </c>
      <c r="D222" s="3" t="str">
        <f>YEAR(Datos_Consumo[[#This Row],[FECHA]])&amp;"-"&amp;MONTH(Datos_Consumo[[#This Row],[FECHA]])</f>
        <v>2016-10</v>
      </c>
    </row>
    <row r="223" spans="1:4" x14ac:dyDescent="0.25">
      <c r="A223" t="s">
        <v>1449</v>
      </c>
      <c r="B223">
        <v>20</v>
      </c>
      <c r="C223" s="56">
        <v>42705</v>
      </c>
      <c r="D223" s="3" t="str">
        <f>YEAR(Datos_Consumo[[#This Row],[FECHA]])&amp;"-"&amp;MONTH(Datos_Consumo[[#This Row],[FECHA]])</f>
        <v>2016-12</v>
      </c>
    </row>
    <row r="224" spans="1:4" x14ac:dyDescent="0.25">
      <c r="A224" t="s">
        <v>1449</v>
      </c>
      <c r="B224">
        <v>26</v>
      </c>
      <c r="C224" s="56">
        <v>42736</v>
      </c>
      <c r="D224" s="3" t="str">
        <f>YEAR(Datos_Consumo[[#This Row],[FECHA]])&amp;"-"&amp;MONTH(Datos_Consumo[[#This Row],[FECHA]])</f>
        <v>2017-1</v>
      </c>
    </row>
    <row r="225" spans="1:4" x14ac:dyDescent="0.25">
      <c r="A225" t="s">
        <v>1450</v>
      </c>
      <c r="B225">
        <v>2</v>
      </c>
      <c r="C225" s="56">
        <v>42644</v>
      </c>
      <c r="D225" s="3" t="str">
        <f>YEAR(Datos_Consumo[[#This Row],[FECHA]])&amp;"-"&amp;MONTH(Datos_Consumo[[#This Row],[FECHA]])</f>
        <v>2016-10</v>
      </c>
    </row>
    <row r="226" spans="1:4" x14ac:dyDescent="0.25">
      <c r="A226" t="s">
        <v>1450</v>
      </c>
      <c r="B226">
        <v>10</v>
      </c>
      <c r="C226" s="56">
        <v>42705</v>
      </c>
      <c r="D226" s="3" t="str">
        <f>YEAR(Datos_Consumo[[#This Row],[FECHA]])&amp;"-"&amp;MONTH(Datos_Consumo[[#This Row],[FECHA]])</f>
        <v>2016-12</v>
      </c>
    </row>
    <row r="227" spans="1:4" x14ac:dyDescent="0.25">
      <c r="A227" t="s">
        <v>1451</v>
      </c>
      <c r="B227">
        <v>1</v>
      </c>
      <c r="C227" s="56">
        <v>42736</v>
      </c>
      <c r="D227" s="3" t="str">
        <f>YEAR(Datos_Consumo[[#This Row],[FECHA]])&amp;"-"&amp;MONTH(Datos_Consumo[[#This Row],[FECHA]])</f>
        <v>2017-1</v>
      </c>
    </row>
    <row r="228" spans="1:4" x14ac:dyDescent="0.25">
      <c r="A228" t="s">
        <v>1452</v>
      </c>
      <c r="B228">
        <v>40</v>
      </c>
      <c r="C228" s="56">
        <v>42644</v>
      </c>
      <c r="D228" s="3" t="str">
        <f>YEAR(Datos_Consumo[[#This Row],[FECHA]])&amp;"-"&amp;MONTH(Datos_Consumo[[#This Row],[FECHA]])</f>
        <v>2016-10</v>
      </c>
    </row>
    <row r="229" spans="1:4" x14ac:dyDescent="0.25">
      <c r="A229" t="s">
        <v>1390</v>
      </c>
      <c r="B229">
        <v>70</v>
      </c>
      <c r="C229" s="56">
        <v>42644</v>
      </c>
      <c r="D229" s="3" t="str">
        <f>YEAR(Datos_Consumo[[#This Row],[FECHA]])&amp;"-"&amp;MONTH(Datos_Consumo[[#This Row],[FECHA]])</f>
        <v>2016-10</v>
      </c>
    </row>
    <row r="230" spans="1:4" x14ac:dyDescent="0.25">
      <c r="A230" t="s">
        <v>1390</v>
      </c>
      <c r="B230">
        <v>20</v>
      </c>
      <c r="C230" s="56">
        <v>42675</v>
      </c>
      <c r="D230" s="3" t="str">
        <f>YEAR(Datos_Consumo[[#This Row],[FECHA]])&amp;"-"&amp;MONTH(Datos_Consumo[[#This Row],[FECHA]])</f>
        <v>2016-11</v>
      </c>
    </row>
    <row r="231" spans="1:4" x14ac:dyDescent="0.25">
      <c r="A231" t="s">
        <v>1390</v>
      </c>
      <c r="B231">
        <v>20</v>
      </c>
      <c r="C231" s="56">
        <v>42736</v>
      </c>
      <c r="D231" s="3" t="str">
        <f>YEAR(Datos_Consumo[[#This Row],[FECHA]])&amp;"-"&amp;MONTH(Datos_Consumo[[#This Row],[FECHA]])</f>
        <v>2017-1</v>
      </c>
    </row>
    <row r="232" spans="1:4" x14ac:dyDescent="0.25">
      <c r="A232" t="s">
        <v>1656</v>
      </c>
      <c r="B232">
        <v>50</v>
      </c>
      <c r="C232" s="56">
        <v>42736</v>
      </c>
      <c r="D232" s="3" t="str">
        <f>YEAR(Datos_Consumo[[#This Row],[FECHA]])&amp;"-"&amp;MONTH(Datos_Consumo[[#This Row],[FECHA]])</f>
        <v>2017-1</v>
      </c>
    </row>
    <row r="233" spans="1:4" x14ac:dyDescent="0.25">
      <c r="A233" t="s">
        <v>1657</v>
      </c>
      <c r="B233">
        <v>24</v>
      </c>
      <c r="C233" s="56">
        <v>42644</v>
      </c>
      <c r="D233" s="3" t="str">
        <f>YEAR(Datos_Consumo[[#This Row],[FECHA]])&amp;"-"&amp;MONTH(Datos_Consumo[[#This Row],[FECHA]])</f>
        <v>2016-10</v>
      </c>
    </row>
    <row r="234" spans="1:4" x14ac:dyDescent="0.25">
      <c r="A234" t="s">
        <v>1657</v>
      </c>
      <c r="B234">
        <v>20</v>
      </c>
      <c r="C234" s="56">
        <v>42675</v>
      </c>
      <c r="D234" s="3" t="str">
        <f>YEAR(Datos_Consumo[[#This Row],[FECHA]])&amp;"-"&amp;MONTH(Datos_Consumo[[#This Row],[FECHA]])</f>
        <v>2016-11</v>
      </c>
    </row>
    <row r="235" spans="1:4" x14ac:dyDescent="0.25">
      <c r="A235" t="s">
        <v>1657</v>
      </c>
      <c r="B235">
        <v>50</v>
      </c>
      <c r="C235" s="56">
        <v>42736</v>
      </c>
      <c r="D235" s="3" t="str">
        <f>YEAR(Datos_Consumo[[#This Row],[FECHA]])&amp;"-"&amp;MONTH(Datos_Consumo[[#This Row],[FECHA]])</f>
        <v>2017-1</v>
      </c>
    </row>
    <row r="236" spans="1:4" x14ac:dyDescent="0.25">
      <c r="A236" t="s">
        <v>1453</v>
      </c>
      <c r="B236">
        <v>26</v>
      </c>
      <c r="C236" s="56">
        <v>42644</v>
      </c>
      <c r="D236" s="3" t="str">
        <f>YEAR(Datos_Consumo[[#This Row],[FECHA]])&amp;"-"&amp;MONTH(Datos_Consumo[[#This Row],[FECHA]])</f>
        <v>2016-10</v>
      </c>
    </row>
    <row r="237" spans="1:4" x14ac:dyDescent="0.25">
      <c r="A237" t="s">
        <v>1453</v>
      </c>
      <c r="B237">
        <v>20</v>
      </c>
      <c r="C237" s="56">
        <v>42675</v>
      </c>
      <c r="D237" s="3" t="str">
        <f>YEAR(Datos_Consumo[[#This Row],[FECHA]])&amp;"-"&amp;MONTH(Datos_Consumo[[#This Row],[FECHA]])</f>
        <v>2016-11</v>
      </c>
    </row>
    <row r="238" spans="1:4" x14ac:dyDescent="0.25">
      <c r="A238" t="s">
        <v>1453</v>
      </c>
      <c r="B238">
        <v>12</v>
      </c>
      <c r="C238" s="56">
        <v>42705</v>
      </c>
      <c r="D238" s="3" t="str">
        <f>YEAR(Datos_Consumo[[#This Row],[FECHA]])&amp;"-"&amp;MONTH(Datos_Consumo[[#This Row],[FECHA]])</f>
        <v>2016-12</v>
      </c>
    </row>
    <row r="239" spans="1:4" x14ac:dyDescent="0.25">
      <c r="A239" t="s">
        <v>1453</v>
      </c>
      <c r="B239">
        <v>38</v>
      </c>
      <c r="C239" s="56">
        <v>42736</v>
      </c>
      <c r="D239" s="3" t="str">
        <f>YEAR(Datos_Consumo[[#This Row],[FECHA]])&amp;"-"&amp;MONTH(Datos_Consumo[[#This Row],[FECHA]])</f>
        <v>2017-1</v>
      </c>
    </row>
    <row r="240" spans="1:4" x14ac:dyDescent="0.25">
      <c r="A240" t="s">
        <v>1391</v>
      </c>
      <c r="B240">
        <v>73</v>
      </c>
      <c r="C240" s="56">
        <v>42644</v>
      </c>
      <c r="D240" s="3" t="str">
        <f>YEAR(Datos_Consumo[[#This Row],[FECHA]])&amp;"-"&amp;MONTH(Datos_Consumo[[#This Row],[FECHA]])</f>
        <v>2016-10</v>
      </c>
    </row>
    <row r="241" spans="1:4" x14ac:dyDescent="0.25">
      <c r="A241" t="s">
        <v>1391</v>
      </c>
      <c r="B241">
        <v>75</v>
      </c>
      <c r="C241" s="56">
        <v>42675</v>
      </c>
      <c r="D241" s="3" t="str">
        <f>YEAR(Datos_Consumo[[#This Row],[FECHA]])&amp;"-"&amp;MONTH(Datos_Consumo[[#This Row],[FECHA]])</f>
        <v>2016-11</v>
      </c>
    </row>
    <row r="242" spans="1:4" x14ac:dyDescent="0.25">
      <c r="A242" t="s">
        <v>1391</v>
      </c>
      <c r="B242">
        <v>65</v>
      </c>
      <c r="C242" s="56">
        <v>42705</v>
      </c>
      <c r="D242" s="3" t="str">
        <f>YEAR(Datos_Consumo[[#This Row],[FECHA]])&amp;"-"&amp;MONTH(Datos_Consumo[[#This Row],[FECHA]])</f>
        <v>2016-12</v>
      </c>
    </row>
    <row r="243" spans="1:4" x14ac:dyDescent="0.25">
      <c r="A243" t="s">
        <v>1391</v>
      </c>
      <c r="B243">
        <v>139</v>
      </c>
      <c r="C243" s="56">
        <v>42736</v>
      </c>
      <c r="D243" s="3" t="str">
        <f>YEAR(Datos_Consumo[[#This Row],[FECHA]])&amp;"-"&amp;MONTH(Datos_Consumo[[#This Row],[FECHA]])</f>
        <v>2017-1</v>
      </c>
    </row>
    <row r="244" spans="1:4" x14ac:dyDescent="0.25">
      <c r="A244" t="s">
        <v>1392</v>
      </c>
      <c r="B244">
        <v>99</v>
      </c>
      <c r="C244" s="56">
        <v>42644</v>
      </c>
      <c r="D244" s="3" t="str">
        <f>YEAR(Datos_Consumo[[#This Row],[FECHA]])&amp;"-"&amp;MONTH(Datos_Consumo[[#This Row],[FECHA]])</f>
        <v>2016-10</v>
      </c>
    </row>
    <row r="245" spans="1:4" x14ac:dyDescent="0.25">
      <c r="A245" t="s">
        <v>1392</v>
      </c>
      <c r="B245">
        <v>80</v>
      </c>
      <c r="C245" s="56">
        <v>42675</v>
      </c>
      <c r="D245" s="3" t="str">
        <f>YEAR(Datos_Consumo[[#This Row],[FECHA]])&amp;"-"&amp;MONTH(Datos_Consumo[[#This Row],[FECHA]])</f>
        <v>2016-11</v>
      </c>
    </row>
    <row r="246" spans="1:4" x14ac:dyDescent="0.25">
      <c r="A246" t="s">
        <v>1392</v>
      </c>
      <c r="B246">
        <v>25</v>
      </c>
      <c r="C246" s="56">
        <v>42705</v>
      </c>
      <c r="D246" s="3" t="str">
        <f>YEAR(Datos_Consumo[[#This Row],[FECHA]])&amp;"-"&amp;MONTH(Datos_Consumo[[#This Row],[FECHA]])</f>
        <v>2016-12</v>
      </c>
    </row>
    <row r="247" spans="1:4" x14ac:dyDescent="0.25">
      <c r="A247" t="s">
        <v>1392</v>
      </c>
      <c r="B247">
        <v>115</v>
      </c>
      <c r="C247" s="56">
        <v>42736</v>
      </c>
      <c r="D247" s="3" t="str">
        <f>YEAR(Datos_Consumo[[#This Row],[FECHA]])&amp;"-"&amp;MONTH(Datos_Consumo[[#This Row],[FECHA]])</f>
        <v>2017-1</v>
      </c>
    </row>
    <row r="248" spans="1:4" x14ac:dyDescent="0.25">
      <c r="A248" t="s">
        <v>1454</v>
      </c>
      <c r="B248">
        <v>1</v>
      </c>
      <c r="C248" s="56">
        <v>42644</v>
      </c>
      <c r="D248" s="3" t="str">
        <f>YEAR(Datos_Consumo[[#This Row],[FECHA]])&amp;"-"&amp;MONTH(Datos_Consumo[[#This Row],[FECHA]])</f>
        <v>2016-10</v>
      </c>
    </row>
    <row r="249" spans="1:4" x14ac:dyDescent="0.25">
      <c r="A249" t="s">
        <v>1455</v>
      </c>
      <c r="B249">
        <v>1</v>
      </c>
      <c r="C249" s="56">
        <v>42644</v>
      </c>
      <c r="D249" s="3" t="str">
        <f>YEAR(Datos_Consumo[[#This Row],[FECHA]])&amp;"-"&amp;MONTH(Datos_Consumo[[#This Row],[FECHA]])</f>
        <v>2016-10</v>
      </c>
    </row>
    <row r="250" spans="1:4" x14ac:dyDescent="0.25">
      <c r="A250" t="s">
        <v>1455</v>
      </c>
      <c r="B250">
        <v>5</v>
      </c>
      <c r="C250" s="56">
        <v>42736</v>
      </c>
      <c r="D250" s="3" t="str">
        <f>YEAR(Datos_Consumo[[#This Row],[FECHA]])&amp;"-"&amp;MONTH(Datos_Consumo[[#This Row],[FECHA]])</f>
        <v>2017-1</v>
      </c>
    </row>
    <row r="251" spans="1:4" x14ac:dyDescent="0.25">
      <c r="A251" t="s">
        <v>1456</v>
      </c>
      <c r="B251">
        <v>20</v>
      </c>
      <c r="C251" s="56">
        <v>42644</v>
      </c>
      <c r="D251" s="3" t="str">
        <f>YEAR(Datos_Consumo[[#This Row],[FECHA]])&amp;"-"&amp;MONTH(Datos_Consumo[[#This Row],[FECHA]])</f>
        <v>2016-10</v>
      </c>
    </row>
    <row r="252" spans="1:4" x14ac:dyDescent="0.25">
      <c r="A252" t="s">
        <v>1456</v>
      </c>
      <c r="B252">
        <v>2</v>
      </c>
      <c r="C252" s="56">
        <v>42736</v>
      </c>
      <c r="D252" s="3" t="str">
        <f>YEAR(Datos_Consumo[[#This Row],[FECHA]])&amp;"-"&amp;MONTH(Datos_Consumo[[#This Row],[FECHA]])</f>
        <v>2017-1</v>
      </c>
    </row>
    <row r="253" spans="1:4" x14ac:dyDescent="0.25">
      <c r="A253" t="s">
        <v>1457</v>
      </c>
      <c r="B253">
        <v>1</v>
      </c>
      <c r="C253" s="56">
        <v>42644</v>
      </c>
      <c r="D253" s="3" t="str">
        <f>YEAR(Datos_Consumo[[#This Row],[FECHA]])&amp;"-"&amp;MONTH(Datos_Consumo[[#This Row],[FECHA]])</f>
        <v>2016-10</v>
      </c>
    </row>
    <row r="254" spans="1:4" x14ac:dyDescent="0.25">
      <c r="A254" t="s">
        <v>1457</v>
      </c>
      <c r="B254">
        <v>9</v>
      </c>
      <c r="C254" s="56">
        <v>42736</v>
      </c>
      <c r="D254" s="3" t="str">
        <f>YEAR(Datos_Consumo[[#This Row],[FECHA]])&amp;"-"&amp;MONTH(Datos_Consumo[[#This Row],[FECHA]])</f>
        <v>2017-1</v>
      </c>
    </row>
    <row r="255" spans="1:4" x14ac:dyDescent="0.25">
      <c r="A255" t="s">
        <v>1658</v>
      </c>
      <c r="B255">
        <v>1</v>
      </c>
      <c r="C255" s="56">
        <v>42736</v>
      </c>
      <c r="D255" s="3" t="str">
        <f>YEAR(Datos_Consumo[[#This Row],[FECHA]])&amp;"-"&amp;MONTH(Datos_Consumo[[#This Row],[FECHA]])</f>
        <v>2017-1</v>
      </c>
    </row>
    <row r="256" spans="1:4" x14ac:dyDescent="0.25">
      <c r="A256" t="s">
        <v>1659</v>
      </c>
      <c r="B256">
        <v>1</v>
      </c>
      <c r="C256" s="56">
        <v>42644</v>
      </c>
      <c r="D256" s="3" t="str">
        <f>YEAR(Datos_Consumo[[#This Row],[FECHA]])&amp;"-"&amp;MONTH(Datos_Consumo[[#This Row],[FECHA]])</f>
        <v>2016-10</v>
      </c>
    </row>
    <row r="257" spans="1:4" x14ac:dyDescent="0.25">
      <c r="A257" t="s">
        <v>1659</v>
      </c>
      <c r="B257">
        <v>1</v>
      </c>
      <c r="C257" s="56">
        <v>42675</v>
      </c>
      <c r="D257" s="3" t="str">
        <f>YEAR(Datos_Consumo[[#This Row],[FECHA]])&amp;"-"&amp;MONTH(Datos_Consumo[[#This Row],[FECHA]])</f>
        <v>2016-11</v>
      </c>
    </row>
    <row r="258" spans="1:4" x14ac:dyDescent="0.25">
      <c r="A258" t="s">
        <v>1660</v>
      </c>
      <c r="B258">
        <v>144</v>
      </c>
      <c r="C258" s="56">
        <v>42644</v>
      </c>
      <c r="D258" s="3" t="str">
        <f>YEAR(Datos_Consumo[[#This Row],[FECHA]])&amp;"-"&amp;MONTH(Datos_Consumo[[#This Row],[FECHA]])</f>
        <v>2016-10</v>
      </c>
    </row>
    <row r="259" spans="1:4" x14ac:dyDescent="0.25">
      <c r="A259" t="s">
        <v>1661</v>
      </c>
      <c r="B259">
        <v>3</v>
      </c>
      <c r="C259" s="56">
        <v>42644</v>
      </c>
      <c r="D259" s="3" t="str">
        <f>YEAR(Datos_Consumo[[#This Row],[FECHA]])&amp;"-"&amp;MONTH(Datos_Consumo[[#This Row],[FECHA]])</f>
        <v>2016-10</v>
      </c>
    </row>
    <row r="260" spans="1:4" x14ac:dyDescent="0.25">
      <c r="A260" t="s">
        <v>1662</v>
      </c>
      <c r="B260">
        <v>10</v>
      </c>
      <c r="C260" s="56">
        <v>42644</v>
      </c>
      <c r="D260" s="3" t="str">
        <f>YEAR(Datos_Consumo[[#This Row],[FECHA]])&amp;"-"&amp;MONTH(Datos_Consumo[[#This Row],[FECHA]])</f>
        <v>2016-10</v>
      </c>
    </row>
    <row r="261" spans="1:4" x14ac:dyDescent="0.25">
      <c r="A261" t="s">
        <v>1662</v>
      </c>
      <c r="B261">
        <v>500</v>
      </c>
      <c r="C261" s="56">
        <v>42675</v>
      </c>
      <c r="D261" s="3" t="str">
        <f>YEAR(Datos_Consumo[[#This Row],[FECHA]])&amp;"-"&amp;MONTH(Datos_Consumo[[#This Row],[FECHA]])</f>
        <v>2016-11</v>
      </c>
    </row>
    <row r="262" spans="1:4" x14ac:dyDescent="0.25">
      <c r="A262" t="s">
        <v>1662</v>
      </c>
      <c r="B262">
        <v>10</v>
      </c>
      <c r="C262" s="56">
        <v>42705</v>
      </c>
      <c r="D262" s="3" t="str">
        <f>YEAR(Datos_Consumo[[#This Row],[FECHA]])&amp;"-"&amp;MONTH(Datos_Consumo[[#This Row],[FECHA]])</f>
        <v>2016-12</v>
      </c>
    </row>
    <row r="263" spans="1:4" x14ac:dyDescent="0.25">
      <c r="A263" t="s">
        <v>1611</v>
      </c>
      <c r="B263">
        <v>36</v>
      </c>
      <c r="C263" s="56">
        <v>42644</v>
      </c>
      <c r="D263" s="3" t="str">
        <f>YEAR(Datos_Consumo[[#This Row],[FECHA]])&amp;"-"&amp;MONTH(Datos_Consumo[[#This Row],[FECHA]])</f>
        <v>2016-10</v>
      </c>
    </row>
    <row r="264" spans="1:4" x14ac:dyDescent="0.25">
      <c r="A264" t="s">
        <v>1611</v>
      </c>
      <c r="B264">
        <v>54</v>
      </c>
      <c r="C264" s="56">
        <v>42675</v>
      </c>
      <c r="D264" s="3" t="str">
        <f>YEAR(Datos_Consumo[[#This Row],[FECHA]])&amp;"-"&amp;MONTH(Datos_Consumo[[#This Row],[FECHA]])</f>
        <v>2016-11</v>
      </c>
    </row>
    <row r="265" spans="1:4" x14ac:dyDescent="0.25">
      <c r="A265" t="s">
        <v>1611</v>
      </c>
      <c r="B265">
        <v>119</v>
      </c>
      <c r="C265" s="56">
        <v>42705</v>
      </c>
      <c r="D265" s="3" t="str">
        <f>YEAR(Datos_Consumo[[#This Row],[FECHA]])&amp;"-"&amp;MONTH(Datos_Consumo[[#This Row],[FECHA]])</f>
        <v>2016-12</v>
      </c>
    </row>
    <row r="266" spans="1:4" x14ac:dyDescent="0.25">
      <c r="A266" t="s">
        <v>1611</v>
      </c>
      <c r="B266">
        <v>48</v>
      </c>
      <c r="C266" s="56">
        <v>42736</v>
      </c>
      <c r="D266" s="3" t="str">
        <f>YEAR(Datos_Consumo[[#This Row],[FECHA]])&amp;"-"&amp;MONTH(Datos_Consumo[[#This Row],[FECHA]])</f>
        <v>2017-1</v>
      </c>
    </row>
    <row r="267" spans="1:4" x14ac:dyDescent="0.25">
      <c r="A267" t="s">
        <v>1612</v>
      </c>
      <c r="B267">
        <v>164</v>
      </c>
      <c r="C267" s="56">
        <v>42644</v>
      </c>
      <c r="D267" s="3" t="str">
        <f>YEAR(Datos_Consumo[[#This Row],[FECHA]])&amp;"-"&amp;MONTH(Datos_Consumo[[#This Row],[FECHA]])</f>
        <v>2016-10</v>
      </c>
    </row>
    <row r="268" spans="1:4" x14ac:dyDescent="0.25">
      <c r="A268" t="s">
        <v>1612</v>
      </c>
      <c r="B268">
        <v>654</v>
      </c>
      <c r="C268" s="56">
        <v>42675</v>
      </c>
      <c r="D268" s="3" t="str">
        <f>YEAR(Datos_Consumo[[#This Row],[FECHA]])&amp;"-"&amp;MONTH(Datos_Consumo[[#This Row],[FECHA]])</f>
        <v>2016-11</v>
      </c>
    </row>
    <row r="269" spans="1:4" x14ac:dyDescent="0.25">
      <c r="A269" t="s">
        <v>1612</v>
      </c>
      <c r="B269">
        <v>75</v>
      </c>
      <c r="C269" s="56">
        <v>42705</v>
      </c>
      <c r="D269" s="3" t="str">
        <f>YEAR(Datos_Consumo[[#This Row],[FECHA]])&amp;"-"&amp;MONTH(Datos_Consumo[[#This Row],[FECHA]])</f>
        <v>2016-12</v>
      </c>
    </row>
    <row r="270" spans="1:4" x14ac:dyDescent="0.25">
      <c r="A270" t="s">
        <v>1612</v>
      </c>
      <c r="B270">
        <v>192</v>
      </c>
      <c r="C270" s="56">
        <v>42736</v>
      </c>
      <c r="D270" s="3" t="str">
        <f>YEAR(Datos_Consumo[[#This Row],[FECHA]])&amp;"-"&amp;MONTH(Datos_Consumo[[#This Row],[FECHA]])</f>
        <v>2017-1</v>
      </c>
    </row>
    <row r="271" spans="1:4" x14ac:dyDescent="0.25">
      <c r="A271" t="s">
        <v>1663</v>
      </c>
      <c r="B271">
        <v>722</v>
      </c>
      <c r="C271" s="56">
        <v>42644</v>
      </c>
      <c r="D271" s="3" t="str">
        <f>YEAR(Datos_Consumo[[#This Row],[FECHA]])&amp;"-"&amp;MONTH(Datos_Consumo[[#This Row],[FECHA]])</f>
        <v>2016-10</v>
      </c>
    </row>
    <row r="272" spans="1:4" x14ac:dyDescent="0.25">
      <c r="A272" t="s">
        <v>1663</v>
      </c>
      <c r="B272">
        <v>516</v>
      </c>
      <c r="C272" s="56">
        <v>42675</v>
      </c>
      <c r="D272" s="3" t="str">
        <f>YEAR(Datos_Consumo[[#This Row],[FECHA]])&amp;"-"&amp;MONTH(Datos_Consumo[[#This Row],[FECHA]])</f>
        <v>2016-11</v>
      </c>
    </row>
    <row r="273" spans="1:4" x14ac:dyDescent="0.25">
      <c r="A273" t="s">
        <v>1663</v>
      </c>
      <c r="B273">
        <v>508</v>
      </c>
      <c r="C273" s="56">
        <v>42705</v>
      </c>
      <c r="D273" s="3" t="str">
        <f>YEAR(Datos_Consumo[[#This Row],[FECHA]])&amp;"-"&amp;MONTH(Datos_Consumo[[#This Row],[FECHA]])</f>
        <v>2016-12</v>
      </c>
    </row>
    <row r="274" spans="1:4" x14ac:dyDescent="0.25">
      <c r="A274" t="s">
        <v>1663</v>
      </c>
      <c r="B274">
        <v>515</v>
      </c>
      <c r="C274" s="56">
        <v>42736</v>
      </c>
      <c r="D274" s="3" t="str">
        <f>YEAR(Datos_Consumo[[#This Row],[FECHA]])&amp;"-"&amp;MONTH(Datos_Consumo[[#This Row],[FECHA]])</f>
        <v>2017-1</v>
      </c>
    </row>
    <row r="275" spans="1:4" x14ac:dyDescent="0.25">
      <c r="A275" t="s">
        <v>1664</v>
      </c>
      <c r="B275">
        <v>102</v>
      </c>
      <c r="C275" s="56">
        <v>42675</v>
      </c>
      <c r="D275" s="3" t="str">
        <f>YEAR(Datos_Consumo[[#This Row],[FECHA]])&amp;"-"&amp;MONTH(Datos_Consumo[[#This Row],[FECHA]])</f>
        <v>2016-11</v>
      </c>
    </row>
    <row r="276" spans="1:4" x14ac:dyDescent="0.25">
      <c r="A276" t="s">
        <v>1664</v>
      </c>
      <c r="B276">
        <v>100</v>
      </c>
      <c r="C276" s="56">
        <v>42736</v>
      </c>
      <c r="D276" s="3" t="str">
        <f>YEAR(Datos_Consumo[[#This Row],[FECHA]])&amp;"-"&amp;MONTH(Datos_Consumo[[#This Row],[FECHA]])</f>
        <v>2017-1</v>
      </c>
    </row>
    <row r="277" spans="1:4" x14ac:dyDescent="0.25">
      <c r="A277" t="s">
        <v>1665</v>
      </c>
      <c r="B277">
        <v>2009</v>
      </c>
      <c r="C277" s="56">
        <v>42644</v>
      </c>
      <c r="D277" s="3" t="str">
        <f>YEAR(Datos_Consumo[[#This Row],[FECHA]])&amp;"-"&amp;MONTH(Datos_Consumo[[#This Row],[FECHA]])</f>
        <v>2016-10</v>
      </c>
    </row>
    <row r="278" spans="1:4" x14ac:dyDescent="0.25">
      <c r="A278" t="s">
        <v>1665</v>
      </c>
      <c r="B278">
        <v>2620</v>
      </c>
      <c r="C278" s="56">
        <v>42675</v>
      </c>
      <c r="D278" s="3" t="str">
        <f>YEAR(Datos_Consumo[[#This Row],[FECHA]])&amp;"-"&amp;MONTH(Datos_Consumo[[#This Row],[FECHA]])</f>
        <v>2016-11</v>
      </c>
    </row>
    <row r="279" spans="1:4" x14ac:dyDescent="0.25">
      <c r="A279" t="s">
        <v>1665</v>
      </c>
      <c r="B279">
        <v>2000</v>
      </c>
      <c r="C279" s="56">
        <v>42705</v>
      </c>
      <c r="D279" s="3" t="str">
        <f>YEAR(Datos_Consumo[[#This Row],[FECHA]])&amp;"-"&amp;MONTH(Datos_Consumo[[#This Row],[FECHA]])</f>
        <v>2016-12</v>
      </c>
    </row>
    <row r="280" spans="1:4" x14ac:dyDescent="0.25">
      <c r="A280" t="s">
        <v>1665</v>
      </c>
      <c r="B280">
        <v>2019</v>
      </c>
      <c r="C280" s="56">
        <v>42736</v>
      </c>
      <c r="D280" s="3" t="str">
        <f>YEAR(Datos_Consumo[[#This Row],[FECHA]])&amp;"-"&amp;MONTH(Datos_Consumo[[#This Row],[FECHA]])</f>
        <v>2017-1</v>
      </c>
    </row>
    <row r="281" spans="1:4" x14ac:dyDescent="0.25">
      <c r="A281" t="s">
        <v>1666</v>
      </c>
      <c r="B281">
        <v>1</v>
      </c>
      <c r="C281" s="56">
        <v>42644</v>
      </c>
      <c r="D281" s="3" t="str">
        <f>YEAR(Datos_Consumo[[#This Row],[FECHA]])&amp;"-"&amp;MONTH(Datos_Consumo[[#This Row],[FECHA]])</f>
        <v>2016-10</v>
      </c>
    </row>
    <row r="282" spans="1:4" x14ac:dyDescent="0.25">
      <c r="A282" t="s">
        <v>1666</v>
      </c>
      <c r="B282">
        <v>2</v>
      </c>
      <c r="C282" s="56">
        <v>42675</v>
      </c>
      <c r="D282" s="3" t="str">
        <f>YEAR(Datos_Consumo[[#This Row],[FECHA]])&amp;"-"&amp;MONTH(Datos_Consumo[[#This Row],[FECHA]])</f>
        <v>2016-11</v>
      </c>
    </row>
    <row r="283" spans="1:4" x14ac:dyDescent="0.25">
      <c r="A283" t="s">
        <v>1667</v>
      </c>
      <c r="B283">
        <v>12</v>
      </c>
      <c r="C283" s="56">
        <v>42736</v>
      </c>
      <c r="D283" s="3" t="str">
        <f>YEAR(Datos_Consumo[[#This Row],[FECHA]])&amp;"-"&amp;MONTH(Datos_Consumo[[#This Row],[FECHA]])</f>
        <v>2017-1</v>
      </c>
    </row>
    <row r="284" spans="1:4" x14ac:dyDescent="0.25">
      <c r="A284" t="s">
        <v>1668</v>
      </c>
      <c r="B284">
        <v>6</v>
      </c>
      <c r="C284" s="56">
        <v>42644</v>
      </c>
      <c r="D284" s="3" t="str">
        <f>YEAR(Datos_Consumo[[#This Row],[FECHA]])&amp;"-"&amp;MONTH(Datos_Consumo[[#This Row],[FECHA]])</f>
        <v>2016-10</v>
      </c>
    </row>
    <row r="285" spans="1:4" x14ac:dyDescent="0.25">
      <c r="A285" t="s">
        <v>1668</v>
      </c>
      <c r="B285">
        <v>24</v>
      </c>
      <c r="C285" s="56">
        <v>42705</v>
      </c>
      <c r="D285" s="3" t="str">
        <f>YEAR(Datos_Consumo[[#This Row],[FECHA]])&amp;"-"&amp;MONTH(Datos_Consumo[[#This Row],[FECHA]])</f>
        <v>2016-12</v>
      </c>
    </row>
    <row r="286" spans="1:4" x14ac:dyDescent="0.25">
      <c r="A286" t="s">
        <v>1669</v>
      </c>
      <c r="B286">
        <v>1</v>
      </c>
      <c r="C286" s="56">
        <v>42644</v>
      </c>
      <c r="D286" s="3" t="str">
        <f>YEAR(Datos_Consumo[[#This Row],[FECHA]])&amp;"-"&amp;MONTH(Datos_Consumo[[#This Row],[FECHA]])</f>
        <v>2016-10</v>
      </c>
    </row>
    <row r="287" spans="1:4" x14ac:dyDescent="0.25">
      <c r="A287" t="s">
        <v>1669</v>
      </c>
      <c r="B287">
        <v>1</v>
      </c>
      <c r="C287" s="56">
        <v>42705</v>
      </c>
      <c r="D287" s="3" t="str">
        <f>YEAR(Datos_Consumo[[#This Row],[FECHA]])&amp;"-"&amp;MONTH(Datos_Consumo[[#This Row],[FECHA]])</f>
        <v>2016-12</v>
      </c>
    </row>
    <row r="288" spans="1:4" x14ac:dyDescent="0.25">
      <c r="A288" t="s">
        <v>1613</v>
      </c>
      <c r="B288">
        <v>429</v>
      </c>
      <c r="C288" s="56">
        <v>42675</v>
      </c>
      <c r="D288" s="3" t="str">
        <f>YEAR(Datos_Consumo[[#This Row],[FECHA]])&amp;"-"&amp;MONTH(Datos_Consumo[[#This Row],[FECHA]])</f>
        <v>2016-11</v>
      </c>
    </row>
    <row r="289" spans="1:4" x14ac:dyDescent="0.25">
      <c r="A289" t="s">
        <v>1613</v>
      </c>
      <c r="B289">
        <v>360</v>
      </c>
      <c r="C289" s="56">
        <v>42705</v>
      </c>
      <c r="D289" s="3" t="str">
        <f>YEAR(Datos_Consumo[[#This Row],[FECHA]])&amp;"-"&amp;MONTH(Datos_Consumo[[#This Row],[FECHA]])</f>
        <v>2016-12</v>
      </c>
    </row>
    <row r="290" spans="1:4" x14ac:dyDescent="0.25">
      <c r="A290" t="s">
        <v>1613</v>
      </c>
      <c r="B290">
        <v>81</v>
      </c>
      <c r="C290" s="56">
        <v>42736</v>
      </c>
      <c r="D290" s="3" t="str">
        <f>YEAR(Datos_Consumo[[#This Row],[FECHA]])&amp;"-"&amp;MONTH(Datos_Consumo[[#This Row],[FECHA]])</f>
        <v>2017-1</v>
      </c>
    </row>
    <row r="291" spans="1:4" x14ac:dyDescent="0.25">
      <c r="A291" t="s">
        <v>1670</v>
      </c>
      <c r="B291">
        <v>12</v>
      </c>
      <c r="C291" s="56">
        <v>42705</v>
      </c>
      <c r="D291" s="3" t="str">
        <f>YEAR(Datos_Consumo[[#This Row],[FECHA]])&amp;"-"&amp;MONTH(Datos_Consumo[[#This Row],[FECHA]])</f>
        <v>2016-12</v>
      </c>
    </row>
    <row r="292" spans="1:4" x14ac:dyDescent="0.25">
      <c r="A292" t="s">
        <v>1671</v>
      </c>
      <c r="B292">
        <v>5</v>
      </c>
      <c r="C292" s="56">
        <v>42675</v>
      </c>
      <c r="D292" s="3" t="str">
        <f>YEAR(Datos_Consumo[[#This Row],[FECHA]])&amp;"-"&amp;MONTH(Datos_Consumo[[#This Row],[FECHA]])</f>
        <v>2016-11</v>
      </c>
    </row>
    <row r="293" spans="1:4" x14ac:dyDescent="0.25">
      <c r="A293" t="s">
        <v>1672</v>
      </c>
      <c r="B293">
        <v>15</v>
      </c>
      <c r="C293" s="56">
        <v>42644</v>
      </c>
      <c r="D293" s="3" t="str">
        <f>YEAR(Datos_Consumo[[#This Row],[FECHA]])&amp;"-"&amp;MONTH(Datos_Consumo[[#This Row],[FECHA]])</f>
        <v>2016-10</v>
      </c>
    </row>
    <row r="294" spans="1:4" x14ac:dyDescent="0.25">
      <c r="A294" t="s">
        <v>1673</v>
      </c>
      <c r="B294">
        <v>15</v>
      </c>
      <c r="C294" s="56">
        <v>42644</v>
      </c>
      <c r="D294" s="3" t="str">
        <f>YEAR(Datos_Consumo[[#This Row],[FECHA]])&amp;"-"&amp;MONTH(Datos_Consumo[[#This Row],[FECHA]])</f>
        <v>2016-10</v>
      </c>
    </row>
    <row r="295" spans="1:4" x14ac:dyDescent="0.25">
      <c r="A295" t="s">
        <v>1674</v>
      </c>
      <c r="B295">
        <v>20</v>
      </c>
      <c r="C295" s="56">
        <v>42705</v>
      </c>
      <c r="D295" s="3" t="str">
        <f>YEAR(Datos_Consumo[[#This Row],[FECHA]])&amp;"-"&amp;MONTH(Datos_Consumo[[#This Row],[FECHA]])</f>
        <v>2016-12</v>
      </c>
    </row>
    <row r="296" spans="1:4" x14ac:dyDescent="0.25">
      <c r="A296" t="s">
        <v>1674</v>
      </c>
      <c r="B296">
        <v>5</v>
      </c>
      <c r="C296" s="56">
        <v>42736</v>
      </c>
      <c r="D296" s="3" t="str">
        <f>YEAR(Datos_Consumo[[#This Row],[FECHA]])&amp;"-"&amp;MONTH(Datos_Consumo[[#This Row],[FECHA]])</f>
        <v>2017-1</v>
      </c>
    </row>
    <row r="297" spans="1:4" x14ac:dyDescent="0.25">
      <c r="A297" t="s">
        <v>1675</v>
      </c>
      <c r="B297">
        <v>16</v>
      </c>
      <c r="C297" s="56">
        <v>42644</v>
      </c>
      <c r="D297" s="3" t="str">
        <f>YEAR(Datos_Consumo[[#This Row],[FECHA]])&amp;"-"&amp;MONTH(Datos_Consumo[[#This Row],[FECHA]])</f>
        <v>2016-10</v>
      </c>
    </row>
    <row r="298" spans="1:4" x14ac:dyDescent="0.25">
      <c r="A298" t="s">
        <v>1675</v>
      </c>
      <c r="B298">
        <v>162</v>
      </c>
      <c r="C298" s="56">
        <v>42675</v>
      </c>
      <c r="D298" s="3" t="str">
        <f>YEAR(Datos_Consumo[[#This Row],[FECHA]])&amp;"-"&amp;MONTH(Datos_Consumo[[#This Row],[FECHA]])</f>
        <v>2016-11</v>
      </c>
    </row>
    <row r="299" spans="1:4" x14ac:dyDescent="0.25">
      <c r="A299" t="s">
        <v>1675</v>
      </c>
      <c r="B299">
        <v>210</v>
      </c>
      <c r="C299" s="56">
        <v>42705</v>
      </c>
      <c r="D299" s="3" t="str">
        <f>YEAR(Datos_Consumo[[#This Row],[FECHA]])&amp;"-"&amp;MONTH(Datos_Consumo[[#This Row],[FECHA]])</f>
        <v>2016-12</v>
      </c>
    </row>
    <row r="300" spans="1:4" x14ac:dyDescent="0.25">
      <c r="A300" t="s">
        <v>1675</v>
      </c>
      <c r="B300">
        <v>28</v>
      </c>
      <c r="C300" s="56">
        <v>42736</v>
      </c>
      <c r="D300" s="3" t="str">
        <f>YEAR(Datos_Consumo[[#This Row],[FECHA]])&amp;"-"&amp;MONTH(Datos_Consumo[[#This Row],[FECHA]])</f>
        <v>2017-1</v>
      </c>
    </row>
    <row r="301" spans="1:4" x14ac:dyDescent="0.25">
      <c r="A301" t="s">
        <v>1676</v>
      </c>
      <c r="B301">
        <v>160</v>
      </c>
      <c r="C301" s="56">
        <v>42644</v>
      </c>
      <c r="D301" s="3" t="str">
        <f>YEAR(Datos_Consumo[[#This Row],[FECHA]])&amp;"-"&amp;MONTH(Datos_Consumo[[#This Row],[FECHA]])</f>
        <v>2016-10</v>
      </c>
    </row>
    <row r="302" spans="1:4" x14ac:dyDescent="0.25">
      <c r="A302" t="s">
        <v>1676</v>
      </c>
      <c r="B302">
        <v>120</v>
      </c>
      <c r="C302" s="56">
        <v>42736</v>
      </c>
      <c r="D302" s="3" t="str">
        <f>YEAR(Datos_Consumo[[#This Row],[FECHA]])&amp;"-"&amp;MONTH(Datos_Consumo[[#This Row],[FECHA]])</f>
        <v>2017-1</v>
      </c>
    </row>
    <row r="303" spans="1:4" x14ac:dyDescent="0.25">
      <c r="A303" t="s">
        <v>1677</v>
      </c>
      <c r="B303">
        <v>240</v>
      </c>
      <c r="C303" s="56">
        <v>42644</v>
      </c>
      <c r="D303" s="3" t="str">
        <f>YEAR(Datos_Consumo[[#This Row],[FECHA]])&amp;"-"&amp;MONTH(Datos_Consumo[[#This Row],[FECHA]])</f>
        <v>2016-10</v>
      </c>
    </row>
    <row r="304" spans="1:4" x14ac:dyDescent="0.25">
      <c r="A304" t="s">
        <v>1677</v>
      </c>
      <c r="B304">
        <v>160</v>
      </c>
      <c r="C304" s="56">
        <v>42705</v>
      </c>
      <c r="D304" s="3" t="str">
        <f>YEAR(Datos_Consumo[[#This Row],[FECHA]])&amp;"-"&amp;MONTH(Datos_Consumo[[#This Row],[FECHA]])</f>
        <v>2016-12</v>
      </c>
    </row>
    <row r="305" spans="1:4" x14ac:dyDescent="0.25">
      <c r="A305" t="s">
        <v>1678</v>
      </c>
      <c r="B305">
        <v>160</v>
      </c>
      <c r="C305" s="56">
        <v>42644</v>
      </c>
      <c r="D305" s="3" t="str">
        <f>YEAR(Datos_Consumo[[#This Row],[FECHA]])&amp;"-"&amp;MONTH(Datos_Consumo[[#This Row],[FECHA]])</f>
        <v>2016-10</v>
      </c>
    </row>
    <row r="306" spans="1:4" x14ac:dyDescent="0.25">
      <c r="A306" t="s">
        <v>1678</v>
      </c>
      <c r="B306">
        <v>160</v>
      </c>
      <c r="C306" s="56">
        <v>42705</v>
      </c>
      <c r="D306" s="3" t="str">
        <f>YEAR(Datos_Consumo[[#This Row],[FECHA]])&amp;"-"&amp;MONTH(Datos_Consumo[[#This Row],[FECHA]])</f>
        <v>2016-12</v>
      </c>
    </row>
    <row r="307" spans="1:4" x14ac:dyDescent="0.25">
      <c r="A307" t="s">
        <v>1679</v>
      </c>
      <c r="B307">
        <v>240</v>
      </c>
      <c r="C307" s="56">
        <v>42644</v>
      </c>
      <c r="D307" s="3" t="str">
        <f>YEAR(Datos_Consumo[[#This Row],[FECHA]])&amp;"-"&amp;MONTH(Datos_Consumo[[#This Row],[FECHA]])</f>
        <v>2016-10</v>
      </c>
    </row>
    <row r="308" spans="1:4" x14ac:dyDescent="0.25">
      <c r="A308" t="s">
        <v>1679</v>
      </c>
      <c r="B308">
        <v>160</v>
      </c>
      <c r="C308" s="56">
        <v>42736</v>
      </c>
      <c r="D308" s="3" t="str">
        <f>YEAR(Datos_Consumo[[#This Row],[FECHA]])&amp;"-"&amp;MONTH(Datos_Consumo[[#This Row],[FECHA]])</f>
        <v>2017-1</v>
      </c>
    </row>
    <row r="309" spans="1:4" x14ac:dyDescent="0.25">
      <c r="A309" t="s">
        <v>1680</v>
      </c>
      <c r="B309">
        <v>15</v>
      </c>
      <c r="C309" s="56">
        <v>42644</v>
      </c>
      <c r="D309" s="3" t="str">
        <f>YEAR(Datos_Consumo[[#This Row],[FECHA]])&amp;"-"&amp;MONTH(Datos_Consumo[[#This Row],[FECHA]])</f>
        <v>2016-10</v>
      </c>
    </row>
    <row r="310" spans="1:4" x14ac:dyDescent="0.25">
      <c r="A310" t="s">
        <v>1680</v>
      </c>
      <c r="B310">
        <v>12</v>
      </c>
      <c r="C310" s="56">
        <v>42675</v>
      </c>
      <c r="D310" s="3" t="str">
        <f>YEAR(Datos_Consumo[[#This Row],[FECHA]])&amp;"-"&amp;MONTH(Datos_Consumo[[#This Row],[FECHA]])</f>
        <v>2016-11</v>
      </c>
    </row>
    <row r="311" spans="1:4" x14ac:dyDescent="0.25">
      <c r="A311" t="s">
        <v>1680</v>
      </c>
      <c r="B311">
        <v>4</v>
      </c>
      <c r="C311" s="56">
        <v>42705</v>
      </c>
      <c r="D311" s="3" t="str">
        <f>YEAR(Datos_Consumo[[#This Row],[FECHA]])&amp;"-"&amp;MONTH(Datos_Consumo[[#This Row],[FECHA]])</f>
        <v>2016-12</v>
      </c>
    </row>
    <row r="312" spans="1:4" x14ac:dyDescent="0.25">
      <c r="A312" t="s">
        <v>1680</v>
      </c>
      <c r="B312">
        <v>6</v>
      </c>
      <c r="C312" s="56">
        <v>42736</v>
      </c>
      <c r="D312" s="3" t="str">
        <f>YEAR(Datos_Consumo[[#This Row],[FECHA]])&amp;"-"&amp;MONTH(Datos_Consumo[[#This Row],[FECHA]])</f>
        <v>2017-1</v>
      </c>
    </row>
    <row r="313" spans="1:4" x14ac:dyDescent="0.25">
      <c r="A313" t="s">
        <v>1458</v>
      </c>
      <c r="B313">
        <v>5</v>
      </c>
      <c r="C313" s="56">
        <v>42644</v>
      </c>
      <c r="D313" s="3" t="str">
        <f>YEAR(Datos_Consumo[[#This Row],[FECHA]])&amp;"-"&amp;MONTH(Datos_Consumo[[#This Row],[FECHA]])</f>
        <v>2016-10</v>
      </c>
    </row>
    <row r="314" spans="1:4" x14ac:dyDescent="0.25">
      <c r="A314" t="s">
        <v>1458</v>
      </c>
      <c r="B314">
        <v>5</v>
      </c>
      <c r="C314" s="56">
        <v>42705</v>
      </c>
      <c r="D314" s="3" t="str">
        <f>YEAR(Datos_Consumo[[#This Row],[FECHA]])&amp;"-"&amp;MONTH(Datos_Consumo[[#This Row],[FECHA]])</f>
        <v>2016-12</v>
      </c>
    </row>
    <row r="315" spans="1:4" x14ac:dyDescent="0.25">
      <c r="A315" t="s">
        <v>1681</v>
      </c>
      <c r="B315">
        <v>105</v>
      </c>
      <c r="C315" s="56">
        <v>42644</v>
      </c>
      <c r="D315" s="3" t="str">
        <f>YEAR(Datos_Consumo[[#This Row],[FECHA]])&amp;"-"&amp;MONTH(Datos_Consumo[[#This Row],[FECHA]])</f>
        <v>2016-10</v>
      </c>
    </row>
    <row r="316" spans="1:4" x14ac:dyDescent="0.25">
      <c r="A316" t="s">
        <v>1681</v>
      </c>
      <c r="B316">
        <v>69</v>
      </c>
      <c r="C316" s="56">
        <v>42675</v>
      </c>
      <c r="D316" s="3" t="str">
        <f>YEAR(Datos_Consumo[[#This Row],[FECHA]])&amp;"-"&amp;MONTH(Datos_Consumo[[#This Row],[FECHA]])</f>
        <v>2016-11</v>
      </c>
    </row>
    <row r="317" spans="1:4" x14ac:dyDescent="0.25">
      <c r="A317" t="s">
        <v>1681</v>
      </c>
      <c r="B317">
        <v>90</v>
      </c>
      <c r="C317" s="56">
        <v>42705</v>
      </c>
      <c r="D317" s="3" t="str">
        <f>YEAR(Datos_Consumo[[#This Row],[FECHA]])&amp;"-"&amp;MONTH(Datos_Consumo[[#This Row],[FECHA]])</f>
        <v>2016-12</v>
      </c>
    </row>
    <row r="318" spans="1:4" x14ac:dyDescent="0.25">
      <c r="A318" t="s">
        <v>1681</v>
      </c>
      <c r="B318">
        <v>90</v>
      </c>
      <c r="C318" s="56">
        <v>42736</v>
      </c>
      <c r="D318" s="3" t="str">
        <f>YEAR(Datos_Consumo[[#This Row],[FECHA]])&amp;"-"&amp;MONTH(Datos_Consumo[[#This Row],[FECHA]])</f>
        <v>2017-1</v>
      </c>
    </row>
    <row r="319" spans="1:4" x14ac:dyDescent="0.25">
      <c r="A319" t="s">
        <v>1459</v>
      </c>
      <c r="B319">
        <v>2</v>
      </c>
      <c r="C319" s="56">
        <v>42736</v>
      </c>
      <c r="D319" s="3" t="str">
        <f>YEAR(Datos_Consumo[[#This Row],[FECHA]])&amp;"-"&amp;MONTH(Datos_Consumo[[#This Row],[FECHA]])</f>
        <v>2017-1</v>
      </c>
    </row>
    <row r="320" spans="1:4" x14ac:dyDescent="0.25">
      <c r="A320" t="s">
        <v>1460</v>
      </c>
      <c r="B320">
        <v>1</v>
      </c>
      <c r="C320" s="56">
        <v>42644</v>
      </c>
      <c r="D320" s="3" t="str">
        <f>YEAR(Datos_Consumo[[#This Row],[FECHA]])&amp;"-"&amp;MONTH(Datos_Consumo[[#This Row],[FECHA]])</f>
        <v>2016-10</v>
      </c>
    </row>
    <row r="321" spans="1:4" x14ac:dyDescent="0.25">
      <c r="A321" t="s">
        <v>1460</v>
      </c>
      <c r="B321">
        <v>65</v>
      </c>
      <c r="C321" s="56">
        <v>42675</v>
      </c>
      <c r="D321" s="3" t="str">
        <f>YEAR(Datos_Consumo[[#This Row],[FECHA]])&amp;"-"&amp;MONTH(Datos_Consumo[[#This Row],[FECHA]])</f>
        <v>2016-11</v>
      </c>
    </row>
    <row r="322" spans="1:4" x14ac:dyDescent="0.25">
      <c r="A322" t="s">
        <v>1460</v>
      </c>
      <c r="B322">
        <v>1</v>
      </c>
      <c r="C322" s="56">
        <v>42705</v>
      </c>
      <c r="D322" s="3" t="str">
        <f>YEAR(Datos_Consumo[[#This Row],[FECHA]])&amp;"-"&amp;MONTH(Datos_Consumo[[#This Row],[FECHA]])</f>
        <v>2016-12</v>
      </c>
    </row>
    <row r="323" spans="1:4" x14ac:dyDescent="0.25">
      <c r="A323" t="s">
        <v>1461</v>
      </c>
      <c r="B323">
        <v>20</v>
      </c>
      <c r="C323" s="56">
        <v>42675</v>
      </c>
      <c r="D323" s="3" t="str">
        <f>YEAR(Datos_Consumo[[#This Row],[FECHA]])&amp;"-"&amp;MONTH(Datos_Consumo[[#This Row],[FECHA]])</f>
        <v>2016-11</v>
      </c>
    </row>
    <row r="324" spans="1:4" x14ac:dyDescent="0.25">
      <c r="A324" t="s">
        <v>1461</v>
      </c>
      <c r="B324">
        <v>40</v>
      </c>
      <c r="C324" s="56">
        <v>42736</v>
      </c>
      <c r="D324" s="3" t="str">
        <f>YEAR(Datos_Consumo[[#This Row],[FECHA]])&amp;"-"&amp;MONTH(Datos_Consumo[[#This Row],[FECHA]])</f>
        <v>2017-1</v>
      </c>
    </row>
    <row r="325" spans="1:4" x14ac:dyDescent="0.25">
      <c r="A325" t="s">
        <v>1462</v>
      </c>
      <c r="B325">
        <v>120</v>
      </c>
      <c r="C325" s="56">
        <v>42705</v>
      </c>
      <c r="D325" s="3" t="str">
        <f>YEAR(Datos_Consumo[[#This Row],[FECHA]])&amp;"-"&amp;MONTH(Datos_Consumo[[#This Row],[FECHA]])</f>
        <v>2016-12</v>
      </c>
    </row>
    <row r="326" spans="1:4" x14ac:dyDescent="0.25">
      <c r="A326" t="s">
        <v>1463</v>
      </c>
      <c r="B326">
        <v>25000</v>
      </c>
      <c r="C326" s="56">
        <v>42736</v>
      </c>
      <c r="D326" s="3" t="str">
        <f>YEAR(Datos_Consumo[[#This Row],[FECHA]])&amp;"-"&amp;MONTH(Datos_Consumo[[#This Row],[FECHA]])</f>
        <v>2017-1</v>
      </c>
    </row>
    <row r="327" spans="1:4" x14ac:dyDescent="0.25">
      <c r="A327" t="s">
        <v>1464</v>
      </c>
      <c r="B327">
        <v>2377</v>
      </c>
      <c r="C327" s="56">
        <v>42644</v>
      </c>
      <c r="D327" s="3" t="str">
        <f>YEAR(Datos_Consumo[[#This Row],[FECHA]])&amp;"-"&amp;MONTH(Datos_Consumo[[#This Row],[FECHA]])</f>
        <v>2016-10</v>
      </c>
    </row>
    <row r="328" spans="1:4" x14ac:dyDescent="0.25">
      <c r="A328" t="s">
        <v>1464</v>
      </c>
      <c r="B328">
        <v>300</v>
      </c>
      <c r="C328" s="56">
        <v>42705</v>
      </c>
      <c r="D328" s="3" t="str">
        <f>YEAR(Datos_Consumo[[#This Row],[FECHA]])&amp;"-"&amp;MONTH(Datos_Consumo[[#This Row],[FECHA]])</f>
        <v>2016-12</v>
      </c>
    </row>
    <row r="329" spans="1:4" x14ac:dyDescent="0.25">
      <c r="A329" t="s">
        <v>1465</v>
      </c>
      <c r="B329">
        <v>15000</v>
      </c>
      <c r="C329" s="56">
        <v>42736</v>
      </c>
      <c r="D329" s="3" t="str">
        <f>YEAR(Datos_Consumo[[#This Row],[FECHA]])&amp;"-"&amp;MONTH(Datos_Consumo[[#This Row],[FECHA]])</f>
        <v>2017-1</v>
      </c>
    </row>
    <row r="330" spans="1:4" x14ac:dyDescent="0.25">
      <c r="A330" t="s">
        <v>1466</v>
      </c>
      <c r="B330">
        <v>1200</v>
      </c>
      <c r="C330" s="56">
        <v>42644</v>
      </c>
      <c r="D330" s="3" t="str">
        <f>YEAR(Datos_Consumo[[#This Row],[FECHA]])&amp;"-"&amp;MONTH(Datos_Consumo[[#This Row],[FECHA]])</f>
        <v>2016-10</v>
      </c>
    </row>
    <row r="331" spans="1:4" x14ac:dyDescent="0.25">
      <c r="A331" t="s">
        <v>1466</v>
      </c>
      <c r="B331">
        <v>300</v>
      </c>
      <c r="C331" s="56">
        <v>42705</v>
      </c>
      <c r="D331" s="3" t="str">
        <f>YEAR(Datos_Consumo[[#This Row],[FECHA]])&amp;"-"&amp;MONTH(Datos_Consumo[[#This Row],[FECHA]])</f>
        <v>2016-12</v>
      </c>
    </row>
    <row r="332" spans="1:4" x14ac:dyDescent="0.25">
      <c r="A332" t="s">
        <v>1467</v>
      </c>
      <c r="B332">
        <v>10000</v>
      </c>
      <c r="C332" s="56">
        <v>42736</v>
      </c>
      <c r="D332" s="3" t="str">
        <f>YEAR(Datos_Consumo[[#This Row],[FECHA]])&amp;"-"&amp;MONTH(Datos_Consumo[[#This Row],[FECHA]])</f>
        <v>2017-1</v>
      </c>
    </row>
    <row r="333" spans="1:4" x14ac:dyDescent="0.25">
      <c r="A333" t="s">
        <v>1468</v>
      </c>
      <c r="B333">
        <v>127</v>
      </c>
      <c r="C333" s="56">
        <v>42675</v>
      </c>
      <c r="D333" s="3" t="str">
        <f>YEAR(Datos_Consumo[[#This Row],[FECHA]])&amp;"-"&amp;MONTH(Datos_Consumo[[#This Row],[FECHA]])</f>
        <v>2016-11</v>
      </c>
    </row>
    <row r="334" spans="1:4" x14ac:dyDescent="0.25">
      <c r="A334" t="s">
        <v>1469</v>
      </c>
      <c r="B334">
        <v>7</v>
      </c>
      <c r="C334" s="56">
        <v>42644</v>
      </c>
      <c r="D334" s="3" t="str">
        <f>YEAR(Datos_Consumo[[#This Row],[FECHA]])&amp;"-"&amp;MONTH(Datos_Consumo[[#This Row],[FECHA]])</f>
        <v>2016-10</v>
      </c>
    </row>
    <row r="335" spans="1:4" x14ac:dyDescent="0.25">
      <c r="A335" t="s">
        <v>1469</v>
      </c>
      <c r="B335">
        <v>7</v>
      </c>
      <c r="C335" s="56">
        <v>42675</v>
      </c>
      <c r="D335" s="3" t="str">
        <f>YEAR(Datos_Consumo[[#This Row],[FECHA]])&amp;"-"&amp;MONTH(Datos_Consumo[[#This Row],[FECHA]])</f>
        <v>2016-11</v>
      </c>
    </row>
    <row r="336" spans="1:4" x14ac:dyDescent="0.25">
      <c r="A336" t="s">
        <v>1469</v>
      </c>
      <c r="B336">
        <v>5</v>
      </c>
      <c r="C336" s="56">
        <v>42705</v>
      </c>
      <c r="D336" s="3" t="str">
        <f>YEAR(Datos_Consumo[[#This Row],[FECHA]])&amp;"-"&amp;MONTH(Datos_Consumo[[#This Row],[FECHA]])</f>
        <v>2016-12</v>
      </c>
    </row>
    <row r="337" spans="1:4" x14ac:dyDescent="0.25">
      <c r="A337" t="s">
        <v>1470</v>
      </c>
      <c r="B337">
        <v>5</v>
      </c>
      <c r="C337" s="56">
        <v>42644</v>
      </c>
      <c r="D337" s="3" t="str">
        <f>YEAR(Datos_Consumo[[#This Row],[FECHA]])&amp;"-"&amp;MONTH(Datos_Consumo[[#This Row],[FECHA]])</f>
        <v>2016-10</v>
      </c>
    </row>
    <row r="338" spans="1:4" x14ac:dyDescent="0.25">
      <c r="A338" t="s">
        <v>1470</v>
      </c>
      <c r="B338">
        <v>2</v>
      </c>
      <c r="C338" s="56">
        <v>42705</v>
      </c>
      <c r="D338" s="3" t="str">
        <f>YEAR(Datos_Consumo[[#This Row],[FECHA]])&amp;"-"&amp;MONTH(Datos_Consumo[[#This Row],[FECHA]])</f>
        <v>2016-12</v>
      </c>
    </row>
    <row r="339" spans="1:4" x14ac:dyDescent="0.25">
      <c r="A339" t="s">
        <v>1470</v>
      </c>
      <c r="B339">
        <v>1</v>
      </c>
      <c r="C339" s="56">
        <v>42736</v>
      </c>
      <c r="D339" s="3" t="str">
        <f>YEAR(Datos_Consumo[[#This Row],[FECHA]])&amp;"-"&amp;MONTH(Datos_Consumo[[#This Row],[FECHA]])</f>
        <v>2017-1</v>
      </c>
    </row>
    <row r="340" spans="1:4" x14ac:dyDescent="0.25">
      <c r="A340" t="s">
        <v>1471</v>
      </c>
      <c r="B340">
        <v>3</v>
      </c>
      <c r="C340" s="56">
        <v>42644</v>
      </c>
      <c r="D340" s="3" t="str">
        <f>YEAR(Datos_Consumo[[#This Row],[FECHA]])&amp;"-"&amp;MONTH(Datos_Consumo[[#This Row],[FECHA]])</f>
        <v>2016-10</v>
      </c>
    </row>
    <row r="341" spans="1:4" x14ac:dyDescent="0.25">
      <c r="A341" t="s">
        <v>1471</v>
      </c>
      <c r="B341">
        <v>4</v>
      </c>
      <c r="C341" s="56">
        <v>42675</v>
      </c>
      <c r="D341" s="3" t="str">
        <f>YEAR(Datos_Consumo[[#This Row],[FECHA]])&amp;"-"&amp;MONTH(Datos_Consumo[[#This Row],[FECHA]])</f>
        <v>2016-11</v>
      </c>
    </row>
    <row r="342" spans="1:4" x14ac:dyDescent="0.25">
      <c r="A342" t="s">
        <v>1472</v>
      </c>
      <c r="B342">
        <v>1</v>
      </c>
      <c r="C342" s="56">
        <v>42644</v>
      </c>
      <c r="D342" s="3" t="str">
        <f>YEAR(Datos_Consumo[[#This Row],[FECHA]])&amp;"-"&amp;MONTH(Datos_Consumo[[#This Row],[FECHA]])</f>
        <v>2016-10</v>
      </c>
    </row>
    <row r="343" spans="1:4" x14ac:dyDescent="0.25">
      <c r="A343" t="s">
        <v>1472</v>
      </c>
      <c r="B343">
        <v>3</v>
      </c>
      <c r="C343" s="56">
        <v>42675</v>
      </c>
      <c r="D343" s="3" t="str">
        <f>YEAR(Datos_Consumo[[#This Row],[FECHA]])&amp;"-"&amp;MONTH(Datos_Consumo[[#This Row],[FECHA]])</f>
        <v>2016-11</v>
      </c>
    </row>
    <row r="344" spans="1:4" x14ac:dyDescent="0.25">
      <c r="A344" t="s">
        <v>1472</v>
      </c>
      <c r="B344">
        <v>1</v>
      </c>
      <c r="C344" s="56">
        <v>42705</v>
      </c>
      <c r="D344" s="3" t="str">
        <f>YEAR(Datos_Consumo[[#This Row],[FECHA]])&amp;"-"&amp;MONTH(Datos_Consumo[[#This Row],[FECHA]])</f>
        <v>2016-12</v>
      </c>
    </row>
    <row r="345" spans="1:4" x14ac:dyDescent="0.25">
      <c r="A345" t="s">
        <v>1473</v>
      </c>
      <c r="B345">
        <v>2</v>
      </c>
      <c r="C345" s="56">
        <v>42644</v>
      </c>
      <c r="D345" s="3" t="str">
        <f>YEAR(Datos_Consumo[[#This Row],[FECHA]])&amp;"-"&amp;MONTH(Datos_Consumo[[#This Row],[FECHA]])</f>
        <v>2016-10</v>
      </c>
    </row>
    <row r="346" spans="1:4" x14ac:dyDescent="0.25">
      <c r="A346" t="s">
        <v>1473</v>
      </c>
      <c r="B346">
        <v>2</v>
      </c>
      <c r="C346" s="56">
        <v>42675</v>
      </c>
      <c r="D346" s="3" t="str">
        <f>YEAR(Datos_Consumo[[#This Row],[FECHA]])&amp;"-"&amp;MONTH(Datos_Consumo[[#This Row],[FECHA]])</f>
        <v>2016-11</v>
      </c>
    </row>
    <row r="347" spans="1:4" x14ac:dyDescent="0.25">
      <c r="A347" t="s">
        <v>1473</v>
      </c>
      <c r="B347">
        <v>2</v>
      </c>
      <c r="C347" s="56">
        <v>42705</v>
      </c>
      <c r="D347" s="3" t="str">
        <f>YEAR(Datos_Consumo[[#This Row],[FECHA]])&amp;"-"&amp;MONTH(Datos_Consumo[[#This Row],[FECHA]])</f>
        <v>2016-12</v>
      </c>
    </row>
    <row r="348" spans="1:4" x14ac:dyDescent="0.25">
      <c r="A348" t="s">
        <v>1474</v>
      </c>
      <c r="B348">
        <v>7</v>
      </c>
      <c r="C348" s="56">
        <v>42675</v>
      </c>
      <c r="D348" s="3" t="str">
        <f>YEAR(Datos_Consumo[[#This Row],[FECHA]])&amp;"-"&amp;MONTH(Datos_Consumo[[#This Row],[FECHA]])</f>
        <v>2016-11</v>
      </c>
    </row>
    <row r="349" spans="1:4" x14ac:dyDescent="0.25">
      <c r="A349" t="s">
        <v>1474</v>
      </c>
      <c r="B349">
        <v>1</v>
      </c>
      <c r="C349" s="56">
        <v>42705</v>
      </c>
      <c r="D349" s="3" t="str">
        <f>YEAR(Datos_Consumo[[#This Row],[FECHA]])&amp;"-"&amp;MONTH(Datos_Consumo[[#This Row],[FECHA]])</f>
        <v>2016-12</v>
      </c>
    </row>
    <row r="350" spans="1:4" x14ac:dyDescent="0.25">
      <c r="A350" t="s">
        <v>1474</v>
      </c>
      <c r="B350">
        <v>3</v>
      </c>
      <c r="C350" s="56">
        <v>42736</v>
      </c>
      <c r="D350" s="3" t="str">
        <f>YEAR(Datos_Consumo[[#This Row],[FECHA]])&amp;"-"&amp;MONTH(Datos_Consumo[[#This Row],[FECHA]])</f>
        <v>2017-1</v>
      </c>
    </row>
    <row r="351" spans="1:4" x14ac:dyDescent="0.25">
      <c r="A351" t="s">
        <v>1475</v>
      </c>
      <c r="B351">
        <v>2</v>
      </c>
      <c r="C351" s="56">
        <v>42736</v>
      </c>
      <c r="D351" s="3" t="str">
        <f>YEAR(Datos_Consumo[[#This Row],[FECHA]])&amp;"-"&amp;MONTH(Datos_Consumo[[#This Row],[FECHA]])</f>
        <v>2017-1</v>
      </c>
    </row>
    <row r="352" spans="1:4" x14ac:dyDescent="0.25">
      <c r="A352" t="s">
        <v>1476</v>
      </c>
      <c r="B352">
        <v>4</v>
      </c>
      <c r="C352" s="56">
        <v>42644</v>
      </c>
      <c r="D352" s="3" t="str">
        <f>YEAR(Datos_Consumo[[#This Row],[FECHA]])&amp;"-"&amp;MONTH(Datos_Consumo[[#This Row],[FECHA]])</f>
        <v>2016-10</v>
      </c>
    </row>
    <row r="353" spans="1:4" x14ac:dyDescent="0.25">
      <c r="A353" t="s">
        <v>1476</v>
      </c>
      <c r="B353">
        <v>1</v>
      </c>
      <c r="C353" s="56">
        <v>42675</v>
      </c>
      <c r="D353" s="3" t="str">
        <f>YEAR(Datos_Consumo[[#This Row],[FECHA]])&amp;"-"&amp;MONTH(Datos_Consumo[[#This Row],[FECHA]])</f>
        <v>2016-11</v>
      </c>
    </row>
    <row r="354" spans="1:4" x14ac:dyDescent="0.25">
      <c r="A354" t="s">
        <v>1477</v>
      </c>
      <c r="B354">
        <v>3</v>
      </c>
      <c r="C354" s="56">
        <v>42644</v>
      </c>
      <c r="D354" s="3" t="str">
        <f>YEAR(Datos_Consumo[[#This Row],[FECHA]])&amp;"-"&amp;MONTH(Datos_Consumo[[#This Row],[FECHA]])</f>
        <v>2016-10</v>
      </c>
    </row>
    <row r="355" spans="1:4" x14ac:dyDescent="0.25">
      <c r="A355" t="s">
        <v>1477</v>
      </c>
      <c r="B355">
        <v>1</v>
      </c>
      <c r="C355" s="56">
        <v>42675</v>
      </c>
      <c r="D355" s="3" t="str">
        <f>YEAR(Datos_Consumo[[#This Row],[FECHA]])&amp;"-"&amp;MONTH(Datos_Consumo[[#This Row],[FECHA]])</f>
        <v>2016-11</v>
      </c>
    </row>
    <row r="356" spans="1:4" x14ac:dyDescent="0.25">
      <c r="A356" t="s">
        <v>1477</v>
      </c>
      <c r="B356">
        <v>1</v>
      </c>
      <c r="C356" s="56">
        <v>42705</v>
      </c>
      <c r="D356" s="3" t="str">
        <f>YEAR(Datos_Consumo[[#This Row],[FECHA]])&amp;"-"&amp;MONTH(Datos_Consumo[[#This Row],[FECHA]])</f>
        <v>2016-12</v>
      </c>
    </row>
    <row r="357" spans="1:4" x14ac:dyDescent="0.25">
      <c r="A357" t="s">
        <v>1478</v>
      </c>
      <c r="B357">
        <v>2</v>
      </c>
      <c r="C357" s="56">
        <v>42644</v>
      </c>
      <c r="D357" s="3" t="str">
        <f>YEAR(Datos_Consumo[[#This Row],[FECHA]])&amp;"-"&amp;MONTH(Datos_Consumo[[#This Row],[FECHA]])</f>
        <v>2016-10</v>
      </c>
    </row>
    <row r="358" spans="1:4" x14ac:dyDescent="0.25">
      <c r="A358" t="s">
        <v>1479</v>
      </c>
      <c r="B358">
        <v>2</v>
      </c>
      <c r="C358" s="56">
        <v>42644</v>
      </c>
      <c r="D358" s="3" t="str">
        <f>YEAR(Datos_Consumo[[#This Row],[FECHA]])&amp;"-"&amp;MONTH(Datos_Consumo[[#This Row],[FECHA]])</f>
        <v>2016-10</v>
      </c>
    </row>
    <row r="359" spans="1:4" x14ac:dyDescent="0.25">
      <c r="A359" t="s">
        <v>1480</v>
      </c>
      <c r="B359">
        <v>7</v>
      </c>
      <c r="C359" s="56">
        <v>42736</v>
      </c>
      <c r="D359" s="3" t="str">
        <f>YEAR(Datos_Consumo[[#This Row],[FECHA]])&amp;"-"&amp;MONTH(Datos_Consumo[[#This Row],[FECHA]])</f>
        <v>2017-1</v>
      </c>
    </row>
    <row r="360" spans="1:4" x14ac:dyDescent="0.25">
      <c r="A360" t="s">
        <v>1481</v>
      </c>
      <c r="B360">
        <v>1</v>
      </c>
      <c r="C360" s="56">
        <v>42644</v>
      </c>
      <c r="D360" s="3" t="str">
        <f>YEAR(Datos_Consumo[[#This Row],[FECHA]])&amp;"-"&amp;MONTH(Datos_Consumo[[#This Row],[FECHA]])</f>
        <v>2016-10</v>
      </c>
    </row>
    <row r="361" spans="1:4" x14ac:dyDescent="0.25">
      <c r="A361" t="s">
        <v>1481</v>
      </c>
      <c r="B361">
        <v>1</v>
      </c>
      <c r="C361" s="56">
        <v>42675</v>
      </c>
      <c r="D361" s="3" t="str">
        <f>YEAR(Datos_Consumo[[#This Row],[FECHA]])&amp;"-"&amp;MONTH(Datos_Consumo[[#This Row],[FECHA]])</f>
        <v>2016-11</v>
      </c>
    </row>
    <row r="362" spans="1:4" x14ac:dyDescent="0.25">
      <c r="A362" t="s">
        <v>1481</v>
      </c>
      <c r="B362">
        <v>4</v>
      </c>
      <c r="C362" s="56">
        <v>42705</v>
      </c>
      <c r="D362" s="3" t="str">
        <f>YEAR(Datos_Consumo[[#This Row],[FECHA]])&amp;"-"&amp;MONTH(Datos_Consumo[[#This Row],[FECHA]])</f>
        <v>2016-12</v>
      </c>
    </row>
    <row r="363" spans="1:4" x14ac:dyDescent="0.25">
      <c r="A363" t="s">
        <v>1481</v>
      </c>
      <c r="B363">
        <v>8</v>
      </c>
      <c r="C363" s="56">
        <v>42736</v>
      </c>
      <c r="D363" s="3" t="str">
        <f>YEAR(Datos_Consumo[[#This Row],[FECHA]])&amp;"-"&amp;MONTH(Datos_Consumo[[#This Row],[FECHA]])</f>
        <v>2017-1</v>
      </c>
    </row>
    <row r="364" spans="1:4" x14ac:dyDescent="0.25">
      <c r="A364" t="s">
        <v>1482</v>
      </c>
      <c r="B364">
        <v>3</v>
      </c>
      <c r="C364" s="56">
        <v>42644</v>
      </c>
      <c r="D364" s="3" t="str">
        <f>YEAR(Datos_Consumo[[#This Row],[FECHA]])&amp;"-"&amp;MONTH(Datos_Consumo[[#This Row],[FECHA]])</f>
        <v>2016-10</v>
      </c>
    </row>
    <row r="365" spans="1:4" x14ac:dyDescent="0.25">
      <c r="A365" t="s">
        <v>1482</v>
      </c>
      <c r="B365">
        <v>3</v>
      </c>
      <c r="C365" s="56">
        <v>42705</v>
      </c>
      <c r="D365" s="3" t="str">
        <f>YEAR(Datos_Consumo[[#This Row],[FECHA]])&amp;"-"&amp;MONTH(Datos_Consumo[[#This Row],[FECHA]])</f>
        <v>2016-12</v>
      </c>
    </row>
    <row r="366" spans="1:4" x14ac:dyDescent="0.25">
      <c r="A366" t="s">
        <v>1483</v>
      </c>
      <c r="B366">
        <v>7</v>
      </c>
      <c r="C366" s="56">
        <v>42644</v>
      </c>
      <c r="D366" s="3" t="str">
        <f>YEAR(Datos_Consumo[[#This Row],[FECHA]])&amp;"-"&amp;MONTH(Datos_Consumo[[#This Row],[FECHA]])</f>
        <v>2016-10</v>
      </c>
    </row>
    <row r="367" spans="1:4" x14ac:dyDescent="0.25">
      <c r="A367" t="s">
        <v>1483</v>
      </c>
      <c r="B367">
        <v>5</v>
      </c>
      <c r="C367" s="56">
        <v>42675</v>
      </c>
      <c r="D367" s="3" t="str">
        <f>YEAR(Datos_Consumo[[#This Row],[FECHA]])&amp;"-"&amp;MONTH(Datos_Consumo[[#This Row],[FECHA]])</f>
        <v>2016-11</v>
      </c>
    </row>
    <row r="368" spans="1:4" x14ac:dyDescent="0.25">
      <c r="A368" t="s">
        <v>1484</v>
      </c>
      <c r="B368">
        <v>1</v>
      </c>
      <c r="C368" s="56">
        <v>42705</v>
      </c>
      <c r="D368" s="3" t="str">
        <f>YEAR(Datos_Consumo[[#This Row],[FECHA]])&amp;"-"&amp;MONTH(Datos_Consumo[[#This Row],[FECHA]])</f>
        <v>2016-12</v>
      </c>
    </row>
    <row r="369" spans="1:4" x14ac:dyDescent="0.25">
      <c r="A369" t="s">
        <v>1485</v>
      </c>
      <c r="B369">
        <v>125</v>
      </c>
      <c r="C369" s="56">
        <v>42705</v>
      </c>
      <c r="D369" s="3" t="str">
        <f>YEAR(Datos_Consumo[[#This Row],[FECHA]])&amp;"-"&amp;MONTH(Datos_Consumo[[#This Row],[FECHA]])</f>
        <v>2016-12</v>
      </c>
    </row>
    <row r="370" spans="1:4" x14ac:dyDescent="0.25">
      <c r="A370" t="s">
        <v>1486</v>
      </c>
      <c r="B370">
        <v>1</v>
      </c>
      <c r="C370" s="56">
        <v>42644</v>
      </c>
      <c r="D370" s="3" t="str">
        <f>YEAR(Datos_Consumo[[#This Row],[FECHA]])&amp;"-"&amp;MONTH(Datos_Consumo[[#This Row],[FECHA]])</f>
        <v>2016-10</v>
      </c>
    </row>
    <row r="371" spans="1:4" x14ac:dyDescent="0.25">
      <c r="A371" t="s">
        <v>1487</v>
      </c>
      <c r="B371">
        <v>1</v>
      </c>
      <c r="C371" s="56">
        <v>42644</v>
      </c>
      <c r="D371" s="3" t="str">
        <f>YEAR(Datos_Consumo[[#This Row],[FECHA]])&amp;"-"&amp;MONTH(Datos_Consumo[[#This Row],[FECHA]])</f>
        <v>2016-10</v>
      </c>
    </row>
    <row r="372" spans="1:4" x14ac:dyDescent="0.25">
      <c r="A372" t="s">
        <v>1488</v>
      </c>
      <c r="B372">
        <v>1</v>
      </c>
      <c r="C372" s="56">
        <v>42644</v>
      </c>
      <c r="D372" s="3" t="str">
        <f>YEAR(Datos_Consumo[[#This Row],[FECHA]])&amp;"-"&amp;MONTH(Datos_Consumo[[#This Row],[FECHA]])</f>
        <v>2016-10</v>
      </c>
    </row>
    <row r="373" spans="1:4" x14ac:dyDescent="0.25">
      <c r="A373" t="s">
        <v>1489</v>
      </c>
      <c r="B373">
        <v>1</v>
      </c>
      <c r="C373" s="56">
        <v>42736</v>
      </c>
      <c r="D373" s="3" t="str">
        <f>YEAR(Datos_Consumo[[#This Row],[FECHA]])&amp;"-"&amp;MONTH(Datos_Consumo[[#This Row],[FECHA]])</f>
        <v>2017-1</v>
      </c>
    </row>
    <row r="374" spans="1:4" x14ac:dyDescent="0.25">
      <c r="A374" t="s">
        <v>1490</v>
      </c>
      <c r="B374">
        <v>1</v>
      </c>
      <c r="C374" s="56">
        <v>42675</v>
      </c>
      <c r="D374" s="3" t="str">
        <f>YEAR(Datos_Consumo[[#This Row],[FECHA]])&amp;"-"&amp;MONTH(Datos_Consumo[[#This Row],[FECHA]])</f>
        <v>2016-11</v>
      </c>
    </row>
    <row r="375" spans="1:4" x14ac:dyDescent="0.25">
      <c r="A375" t="s">
        <v>1491</v>
      </c>
      <c r="B375">
        <v>1</v>
      </c>
      <c r="C375" s="56">
        <v>42705</v>
      </c>
      <c r="D375" s="3" t="str">
        <f>YEAR(Datos_Consumo[[#This Row],[FECHA]])&amp;"-"&amp;MONTH(Datos_Consumo[[#This Row],[FECHA]])</f>
        <v>2016-12</v>
      </c>
    </row>
    <row r="376" spans="1:4" x14ac:dyDescent="0.25">
      <c r="A376" t="s">
        <v>1492</v>
      </c>
      <c r="B376">
        <v>2</v>
      </c>
      <c r="C376" s="56">
        <v>42736</v>
      </c>
      <c r="D376" s="3" t="str">
        <f>YEAR(Datos_Consumo[[#This Row],[FECHA]])&amp;"-"&amp;MONTH(Datos_Consumo[[#This Row],[FECHA]])</f>
        <v>2017-1</v>
      </c>
    </row>
    <row r="377" spans="1:4" x14ac:dyDescent="0.25">
      <c r="A377" t="s">
        <v>1493</v>
      </c>
      <c r="B377">
        <v>1</v>
      </c>
      <c r="C377" s="56">
        <v>42736</v>
      </c>
      <c r="D377" s="3" t="str">
        <f>YEAR(Datos_Consumo[[#This Row],[FECHA]])&amp;"-"&amp;MONTH(Datos_Consumo[[#This Row],[FECHA]])</f>
        <v>2017-1</v>
      </c>
    </row>
    <row r="378" spans="1:4" x14ac:dyDescent="0.25">
      <c r="A378" t="s">
        <v>1494</v>
      </c>
      <c r="B378">
        <v>1</v>
      </c>
      <c r="C378" s="56">
        <v>42705</v>
      </c>
      <c r="D378" s="3" t="str">
        <f>YEAR(Datos_Consumo[[#This Row],[FECHA]])&amp;"-"&amp;MONTH(Datos_Consumo[[#This Row],[FECHA]])</f>
        <v>2016-12</v>
      </c>
    </row>
    <row r="379" spans="1:4" x14ac:dyDescent="0.25">
      <c r="A379" t="s">
        <v>1682</v>
      </c>
      <c r="B379">
        <v>56</v>
      </c>
      <c r="C379" s="56">
        <v>42644</v>
      </c>
      <c r="D379" s="3" t="str">
        <f>YEAR(Datos_Consumo[[#This Row],[FECHA]])&amp;"-"&amp;MONTH(Datos_Consumo[[#This Row],[FECHA]])</f>
        <v>2016-10</v>
      </c>
    </row>
    <row r="380" spans="1:4" x14ac:dyDescent="0.25">
      <c r="A380" t="s">
        <v>1683</v>
      </c>
      <c r="B380">
        <v>1850</v>
      </c>
      <c r="C380" s="56">
        <v>42644</v>
      </c>
      <c r="D380" s="3" t="str">
        <f>YEAR(Datos_Consumo[[#This Row],[FECHA]])&amp;"-"&amp;MONTH(Datos_Consumo[[#This Row],[FECHA]])</f>
        <v>2016-10</v>
      </c>
    </row>
    <row r="381" spans="1:4" x14ac:dyDescent="0.25">
      <c r="A381" t="s">
        <v>1684</v>
      </c>
      <c r="B381">
        <v>200</v>
      </c>
      <c r="C381" s="56">
        <v>42675</v>
      </c>
      <c r="D381" s="3" t="str">
        <f>YEAR(Datos_Consumo[[#This Row],[FECHA]])&amp;"-"&amp;MONTH(Datos_Consumo[[#This Row],[FECHA]])</f>
        <v>2016-11</v>
      </c>
    </row>
    <row r="382" spans="1:4" x14ac:dyDescent="0.25">
      <c r="A382" t="s">
        <v>1684</v>
      </c>
      <c r="B382">
        <v>4200</v>
      </c>
      <c r="C382" s="56">
        <v>42736</v>
      </c>
      <c r="D382" s="3" t="str">
        <f>YEAR(Datos_Consumo[[#This Row],[FECHA]])&amp;"-"&amp;MONTH(Datos_Consumo[[#This Row],[FECHA]])</f>
        <v>2017-1</v>
      </c>
    </row>
    <row r="383" spans="1:4" x14ac:dyDescent="0.25">
      <c r="A383" t="s">
        <v>1685</v>
      </c>
      <c r="B383">
        <v>11550</v>
      </c>
      <c r="C383" s="56">
        <v>42644</v>
      </c>
      <c r="D383" s="3" t="str">
        <f>YEAR(Datos_Consumo[[#This Row],[FECHA]])&amp;"-"&amp;MONTH(Datos_Consumo[[#This Row],[FECHA]])</f>
        <v>2016-10</v>
      </c>
    </row>
    <row r="384" spans="1:4" x14ac:dyDescent="0.25">
      <c r="A384" t="s">
        <v>1685</v>
      </c>
      <c r="B384">
        <v>300</v>
      </c>
      <c r="C384" s="56">
        <v>42675</v>
      </c>
      <c r="D384" s="3" t="str">
        <f>YEAR(Datos_Consumo[[#This Row],[FECHA]])&amp;"-"&amp;MONTH(Datos_Consumo[[#This Row],[FECHA]])</f>
        <v>2016-11</v>
      </c>
    </row>
    <row r="385" spans="1:4" x14ac:dyDescent="0.25">
      <c r="A385" t="s">
        <v>1685</v>
      </c>
      <c r="B385">
        <v>14800</v>
      </c>
      <c r="C385" s="56">
        <v>42705</v>
      </c>
      <c r="D385" s="3" t="str">
        <f>YEAR(Datos_Consumo[[#This Row],[FECHA]])&amp;"-"&amp;MONTH(Datos_Consumo[[#This Row],[FECHA]])</f>
        <v>2016-12</v>
      </c>
    </row>
    <row r="386" spans="1:4" x14ac:dyDescent="0.25">
      <c r="A386" t="s">
        <v>1685</v>
      </c>
      <c r="B386">
        <v>2300</v>
      </c>
      <c r="C386" s="56">
        <v>42736</v>
      </c>
      <c r="D386" s="3" t="str">
        <f>YEAR(Datos_Consumo[[#This Row],[FECHA]])&amp;"-"&amp;MONTH(Datos_Consumo[[#This Row],[FECHA]])</f>
        <v>2017-1</v>
      </c>
    </row>
    <row r="387" spans="1:4" x14ac:dyDescent="0.25">
      <c r="A387" t="s">
        <v>1686</v>
      </c>
      <c r="B387">
        <v>200</v>
      </c>
      <c r="C387" s="56">
        <v>42675</v>
      </c>
      <c r="D387" s="3" t="str">
        <f>YEAR(Datos_Consumo[[#This Row],[FECHA]])&amp;"-"&amp;MONTH(Datos_Consumo[[#This Row],[FECHA]])</f>
        <v>2016-11</v>
      </c>
    </row>
    <row r="388" spans="1:4" x14ac:dyDescent="0.25">
      <c r="A388" t="s">
        <v>1686</v>
      </c>
      <c r="B388">
        <v>2200</v>
      </c>
      <c r="C388" s="56">
        <v>42736</v>
      </c>
      <c r="D388" s="3" t="str">
        <f>YEAR(Datos_Consumo[[#This Row],[FECHA]])&amp;"-"&amp;MONTH(Datos_Consumo[[#This Row],[FECHA]])</f>
        <v>2017-1</v>
      </c>
    </row>
    <row r="389" spans="1:4" x14ac:dyDescent="0.25">
      <c r="A389" t="s">
        <v>1687</v>
      </c>
      <c r="B389">
        <v>1</v>
      </c>
      <c r="C389" s="56">
        <v>42675</v>
      </c>
      <c r="D389" s="3" t="str">
        <f>YEAR(Datos_Consumo[[#This Row],[FECHA]])&amp;"-"&amp;MONTH(Datos_Consumo[[#This Row],[FECHA]])</f>
        <v>2016-11</v>
      </c>
    </row>
    <row r="390" spans="1:4" x14ac:dyDescent="0.25">
      <c r="A390" t="s">
        <v>1688</v>
      </c>
      <c r="B390">
        <v>50</v>
      </c>
      <c r="C390" s="56">
        <v>42736</v>
      </c>
      <c r="D390" s="3" t="str">
        <f>YEAR(Datos_Consumo[[#This Row],[FECHA]])&amp;"-"&amp;MONTH(Datos_Consumo[[#This Row],[FECHA]])</f>
        <v>2017-1</v>
      </c>
    </row>
    <row r="391" spans="1:4" x14ac:dyDescent="0.25">
      <c r="A391" t="s">
        <v>1689</v>
      </c>
      <c r="B391">
        <v>20</v>
      </c>
      <c r="C391" s="56">
        <v>42644</v>
      </c>
      <c r="D391" s="3" t="str">
        <f>YEAR(Datos_Consumo[[#This Row],[FECHA]])&amp;"-"&amp;MONTH(Datos_Consumo[[#This Row],[FECHA]])</f>
        <v>2016-10</v>
      </c>
    </row>
    <row r="392" spans="1:4" x14ac:dyDescent="0.25">
      <c r="A392" t="s">
        <v>1689</v>
      </c>
      <c r="B392">
        <v>10</v>
      </c>
      <c r="C392" s="56">
        <v>42675</v>
      </c>
      <c r="D392" s="3" t="str">
        <f>YEAR(Datos_Consumo[[#This Row],[FECHA]])&amp;"-"&amp;MONTH(Datos_Consumo[[#This Row],[FECHA]])</f>
        <v>2016-11</v>
      </c>
    </row>
    <row r="393" spans="1:4" x14ac:dyDescent="0.25">
      <c r="A393" t="s">
        <v>1689</v>
      </c>
      <c r="B393">
        <v>15</v>
      </c>
      <c r="C393" s="56">
        <v>42705</v>
      </c>
      <c r="D393" s="3" t="str">
        <f>YEAR(Datos_Consumo[[#This Row],[FECHA]])&amp;"-"&amp;MONTH(Datos_Consumo[[#This Row],[FECHA]])</f>
        <v>2016-12</v>
      </c>
    </row>
    <row r="394" spans="1:4" x14ac:dyDescent="0.25">
      <c r="A394" t="s">
        <v>1689</v>
      </c>
      <c r="B394">
        <v>15</v>
      </c>
      <c r="C394" s="56">
        <v>42736</v>
      </c>
      <c r="D394" s="3" t="str">
        <f>YEAR(Datos_Consumo[[#This Row],[FECHA]])&amp;"-"&amp;MONTH(Datos_Consumo[[#This Row],[FECHA]])</f>
        <v>2017-1</v>
      </c>
    </row>
    <row r="395" spans="1:4" x14ac:dyDescent="0.25">
      <c r="A395" t="s">
        <v>1690</v>
      </c>
      <c r="B395">
        <v>500</v>
      </c>
      <c r="C395" s="56">
        <v>42705</v>
      </c>
      <c r="D395" s="3" t="str">
        <f>YEAR(Datos_Consumo[[#This Row],[FECHA]])&amp;"-"&amp;MONTH(Datos_Consumo[[#This Row],[FECHA]])</f>
        <v>2016-12</v>
      </c>
    </row>
    <row r="396" spans="1:4" x14ac:dyDescent="0.25">
      <c r="A396" t="s">
        <v>1690</v>
      </c>
      <c r="B396">
        <v>500</v>
      </c>
      <c r="C396" s="56">
        <v>42736</v>
      </c>
      <c r="D396" s="3" t="str">
        <f>YEAR(Datos_Consumo[[#This Row],[FECHA]])&amp;"-"&amp;MONTH(Datos_Consumo[[#This Row],[FECHA]])</f>
        <v>2017-1</v>
      </c>
    </row>
    <row r="397" spans="1:4" x14ac:dyDescent="0.25">
      <c r="A397" t="s">
        <v>1691</v>
      </c>
      <c r="B397">
        <v>500</v>
      </c>
      <c r="C397" s="56">
        <v>42705</v>
      </c>
      <c r="D397" s="3" t="str">
        <f>YEAR(Datos_Consumo[[#This Row],[FECHA]])&amp;"-"&amp;MONTH(Datos_Consumo[[#This Row],[FECHA]])</f>
        <v>2016-12</v>
      </c>
    </row>
    <row r="398" spans="1:4" x14ac:dyDescent="0.25">
      <c r="A398" t="s">
        <v>1691</v>
      </c>
      <c r="B398">
        <v>500</v>
      </c>
      <c r="C398" s="56">
        <v>42736</v>
      </c>
      <c r="D398" s="3" t="str">
        <f>YEAR(Datos_Consumo[[#This Row],[FECHA]])&amp;"-"&amp;MONTH(Datos_Consumo[[#This Row],[FECHA]])</f>
        <v>2017-1</v>
      </c>
    </row>
    <row r="399" spans="1:4" x14ac:dyDescent="0.25">
      <c r="A399" t="s">
        <v>1692</v>
      </c>
      <c r="B399">
        <v>500</v>
      </c>
      <c r="C399" s="56">
        <v>42705</v>
      </c>
      <c r="D399" s="3" t="str">
        <f>YEAR(Datos_Consumo[[#This Row],[FECHA]])&amp;"-"&amp;MONTH(Datos_Consumo[[#This Row],[FECHA]])</f>
        <v>2016-12</v>
      </c>
    </row>
    <row r="400" spans="1:4" x14ac:dyDescent="0.25">
      <c r="A400" t="s">
        <v>1692</v>
      </c>
      <c r="B400">
        <v>500</v>
      </c>
      <c r="C400" s="56">
        <v>42736</v>
      </c>
      <c r="D400" s="3" t="str">
        <f>YEAR(Datos_Consumo[[#This Row],[FECHA]])&amp;"-"&amp;MONTH(Datos_Consumo[[#This Row],[FECHA]])</f>
        <v>2017-1</v>
      </c>
    </row>
    <row r="401" spans="1:4" x14ac:dyDescent="0.25">
      <c r="A401" t="s">
        <v>1495</v>
      </c>
      <c r="B401">
        <v>9</v>
      </c>
      <c r="C401" s="56">
        <v>42644</v>
      </c>
      <c r="D401" s="3" t="str">
        <f>YEAR(Datos_Consumo[[#This Row],[FECHA]])&amp;"-"&amp;MONTH(Datos_Consumo[[#This Row],[FECHA]])</f>
        <v>2016-10</v>
      </c>
    </row>
    <row r="402" spans="1:4" x14ac:dyDescent="0.25">
      <c r="A402" t="s">
        <v>1495</v>
      </c>
      <c r="B402">
        <v>31</v>
      </c>
      <c r="C402" s="56">
        <v>42675</v>
      </c>
      <c r="D402" s="3" t="str">
        <f>YEAR(Datos_Consumo[[#This Row],[FECHA]])&amp;"-"&amp;MONTH(Datos_Consumo[[#This Row],[FECHA]])</f>
        <v>2016-11</v>
      </c>
    </row>
    <row r="403" spans="1:4" x14ac:dyDescent="0.25">
      <c r="A403" t="s">
        <v>1495</v>
      </c>
      <c r="B403">
        <v>80</v>
      </c>
      <c r="C403" s="56">
        <v>42705</v>
      </c>
      <c r="D403" s="3" t="str">
        <f>YEAR(Datos_Consumo[[#This Row],[FECHA]])&amp;"-"&amp;MONTH(Datos_Consumo[[#This Row],[FECHA]])</f>
        <v>2016-12</v>
      </c>
    </row>
    <row r="404" spans="1:4" x14ac:dyDescent="0.25">
      <c r="A404" t="s">
        <v>1495</v>
      </c>
      <c r="B404">
        <v>48</v>
      </c>
      <c r="C404" s="56">
        <v>42736</v>
      </c>
      <c r="D404" s="3" t="str">
        <f>YEAR(Datos_Consumo[[#This Row],[FECHA]])&amp;"-"&amp;MONTH(Datos_Consumo[[#This Row],[FECHA]])</f>
        <v>2017-1</v>
      </c>
    </row>
    <row r="405" spans="1:4" x14ac:dyDescent="0.25">
      <c r="A405" t="s">
        <v>1495</v>
      </c>
      <c r="B405">
        <v>1</v>
      </c>
      <c r="C405" s="56">
        <v>42767</v>
      </c>
      <c r="D405" s="3" t="str">
        <f>YEAR(Datos_Consumo[[#This Row],[FECHA]])&amp;"-"&amp;MONTH(Datos_Consumo[[#This Row],[FECHA]])</f>
        <v>2017-2</v>
      </c>
    </row>
    <row r="406" spans="1:4" x14ac:dyDescent="0.25">
      <c r="A406" t="s">
        <v>1496</v>
      </c>
      <c r="B406">
        <v>1</v>
      </c>
      <c r="C406" s="56">
        <v>42644</v>
      </c>
      <c r="D406" s="3" t="str">
        <f>YEAR(Datos_Consumo[[#This Row],[FECHA]])&amp;"-"&amp;MONTH(Datos_Consumo[[#This Row],[FECHA]])</f>
        <v>2016-10</v>
      </c>
    </row>
    <row r="407" spans="1:4" x14ac:dyDescent="0.25">
      <c r="A407" t="s">
        <v>1497</v>
      </c>
      <c r="B407">
        <v>1</v>
      </c>
      <c r="C407" s="56">
        <v>42644</v>
      </c>
      <c r="D407" s="3" t="str">
        <f>YEAR(Datos_Consumo[[#This Row],[FECHA]])&amp;"-"&amp;MONTH(Datos_Consumo[[#This Row],[FECHA]])</f>
        <v>2016-10</v>
      </c>
    </row>
    <row r="408" spans="1:4" x14ac:dyDescent="0.25">
      <c r="A408" t="s">
        <v>1497</v>
      </c>
      <c r="B408">
        <v>2</v>
      </c>
      <c r="C408" s="56">
        <v>42675</v>
      </c>
      <c r="D408" s="3" t="str">
        <f>YEAR(Datos_Consumo[[#This Row],[FECHA]])&amp;"-"&amp;MONTH(Datos_Consumo[[#This Row],[FECHA]])</f>
        <v>2016-11</v>
      </c>
    </row>
    <row r="409" spans="1:4" x14ac:dyDescent="0.25">
      <c r="A409" t="s">
        <v>1498</v>
      </c>
      <c r="B409">
        <v>1</v>
      </c>
      <c r="C409" s="56">
        <v>42675</v>
      </c>
      <c r="D409" s="3" t="str">
        <f>YEAR(Datos_Consumo[[#This Row],[FECHA]])&amp;"-"&amp;MONTH(Datos_Consumo[[#This Row],[FECHA]])</f>
        <v>2016-11</v>
      </c>
    </row>
    <row r="410" spans="1:4" x14ac:dyDescent="0.25">
      <c r="A410" t="s">
        <v>1499</v>
      </c>
      <c r="B410">
        <v>1</v>
      </c>
      <c r="C410" s="56">
        <v>42644</v>
      </c>
      <c r="D410" s="3" t="str">
        <f>YEAR(Datos_Consumo[[#This Row],[FECHA]])&amp;"-"&amp;MONTH(Datos_Consumo[[#This Row],[FECHA]])</f>
        <v>2016-10</v>
      </c>
    </row>
    <row r="411" spans="1:4" x14ac:dyDescent="0.25">
      <c r="A411" t="s">
        <v>1500</v>
      </c>
      <c r="B411">
        <v>2</v>
      </c>
      <c r="C411" s="56">
        <v>42644</v>
      </c>
      <c r="D411" s="3" t="str">
        <f>YEAR(Datos_Consumo[[#This Row],[FECHA]])&amp;"-"&amp;MONTH(Datos_Consumo[[#This Row],[FECHA]])</f>
        <v>2016-10</v>
      </c>
    </row>
    <row r="412" spans="1:4" x14ac:dyDescent="0.25">
      <c r="A412" t="s">
        <v>1501</v>
      </c>
      <c r="B412">
        <v>3</v>
      </c>
      <c r="C412" s="56">
        <v>42644</v>
      </c>
      <c r="D412" s="3" t="str">
        <f>YEAR(Datos_Consumo[[#This Row],[FECHA]])&amp;"-"&amp;MONTH(Datos_Consumo[[#This Row],[FECHA]])</f>
        <v>2016-10</v>
      </c>
    </row>
    <row r="413" spans="1:4" x14ac:dyDescent="0.25">
      <c r="A413" t="s">
        <v>1502</v>
      </c>
      <c r="B413">
        <v>2</v>
      </c>
      <c r="C413" s="56">
        <v>42675</v>
      </c>
      <c r="D413" s="3" t="str">
        <f>YEAR(Datos_Consumo[[#This Row],[FECHA]])&amp;"-"&amp;MONTH(Datos_Consumo[[#This Row],[FECHA]])</f>
        <v>2016-11</v>
      </c>
    </row>
    <row r="414" spans="1:4" x14ac:dyDescent="0.25">
      <c r="A414" t="s">
        <v>1503</v>
      </c>
      <c r="B414">
        <v>1</v>
      </c>
      <c r="C414" s="56">
        <v>42675</v>
      </c>
      <c r="D414" s="3" t="str">
        <f>YEAR(Datos_Consumo[[#This Row],[FECHA]])&amp;"-"&amp;MONTH(Datos_Consumo[[#This Row],[FECHA]])</f>
        <v>2016-11</v>
      </c>
    </row>
    <row r="415" spans="1:4" x14ac:dyDescent="0.25">
      <c r="A415" t="s">
        <v>1504</v>
      </c>
      <c r="B415">
        <v>1</v>
      </c>
      <c r="C415" s="56">
        <v>42644</v>
      </c>
      <c r="D415" s="3" t="str">
        <f>YEAR(Datos_Consumo[[#This Row],[FECHA]])&amp;"-"&amp;MONTH(Datos_Consumo[[#This Row],[FECHA]])</f>
        <v>2016-10</v>
      </c>
    </row>
    <row r="416" spans="1:4" x14ac:dyDescent="0.25">
      <c r="A416" t="s">
        <v>1505</v>
      </c>
      <c r="B416">
        <v>1</v>
      </c>
      <c r="C416" s="56">
        <v>42644</v>
      </c>
      <c r="D416" s="3" t="str">
        <f>YEAR(Datos_Consumo[[#This Row],[FECHA]])&amp;"-"&amp;MONTH(Datos_Consumo[[#This Row],[FECHA]])</f>
        <v>2016-10</v>
      </c>
    </row>
    <row r="417" spans="1:4" x14ac:dyDescent="0.25">
      <c r="A417" t="s">
        <v>1506</v>
      </c>
      <c r="B417">
        <v>2</v>
      </c>
      <c r="C417" s="56">
        <v>42644</v>
      </c>
      <c r="D417" s="3" t="str">
        <f>YEAR(Datos_Consumo[[#This Row],[FECHA]])&amp;"-"&amp;MONTH(Datos_Consumo[[#This Row],[FECHA]])</f>
        <v>2016-10</v>
      </c>
    </row>
    <row r="418" spans="1:4" x14ac:dyDescent="0.25">
      <c r="A418" t="s">
        <v>1507</v>
      </c>
      <c r="B418">
        <v>5</v>
      </c>
      <c r="C418" s="56">
        <v>42644</v>
      </c>
      <c r="D418" s="3" t="str">
        <f>YEAR(Datos_Consumo[[#This Row],[FECHA]])&amp;"-"&amp;MONTH(Datos_Consumo[[#This Row],[FECHA]])</f>
        <v>2016-10</v>
      </c>
    </row>
    <row r="419" spans="1:4" x14ac:dyDescent="0.25">
      <c r="A419" t="s">
        <v>1507</v>
      </c>
      <c r="B419">
        <v>1</v>
      </c>
      <c r="C419" s="56">
        <v>42675</v>
      </c>
      <c r="D419" s="3" t="str">
        <f>YEAR(Datos_Consumo[[#This Row],[FECHA]])&amp;"-"&amp;MONTH(Datos_Consumo[[#This Row],[FECHA]])</f>
        <v>2016-11</v>
      </c>
    </row>
    <row r="420" spans="1:4" x14ac:dyDescent="0.25">
      <c r="A420" t="s">
        <v>1508</v>
      </c>
      <c r="B420">
        <v>5</v>
      </c>
      <c r="C420" s="56">
        <v>42644</v>
      </c>
      <c r="D420" s="3" t="str">
        <f>YEAR(Datos_Consumo[[#This Row],[FECHA]])&amp;"-"&amp;MONTH(Datos_Consumo[[#This Row],[FECHA]])</f>
        <v>2016-10</v>
      </c>
    </row>
    <row r="421" spans="1:4" x14ac:dyDescent="0.25">
      <c r="A421" t="s">
        <v>1508</v>
      </c>
      <c r="B421">
        <v>1</v>
      </c>
      <c r="C421" s="56">
        <v>42675</v>
      </c>
      <c r="D421" s="3" t="str">
        <f>YEAR(Datos_Consumo[[#This Row],[FECHA]])&amp;"-"&amp;MONTH(Datos_Consumo[[#This Row],[FECHA]])</f>
        <v>2016-11</v>
      </c>
    </row>
    <row r="422" spans="1:4" x14ac:dyDescent="0.25">
      <c r="A422" t="s">
        <v>1509</v>
      </c>
      <c r="B422">
        <v>3</v>
      </c>
      <c r="C422" s="56">
        <v>42644</v>
      </c>
      <c r="D422" s="3" t="str">
        <f>YEAR(Datos_Consumo[[#This Row],[FECHA]])&amp;"-"&amp;MONTH(Datos_Consumo[[#This Row],[FECHA]])</f>
        <v>2016-10</v>
      </c>
    </row>
    <row r="423" spans="1:4" x14ac:dyDescent="0.25">
      <c r="A423" t="s">
        <v>1509</v>
      </c>
      <c r="B423">
        <v>4</v>
      </c>
      <c r="C423" s="56">
        <v>42675</v>
      </c>
      <c r="D423" s="3" t="str">
        <f>YEAR(Datos_Consumo[[#This Row],[FECHA]])&amp;"-"&amp;MONTH(Datos_Consumo[[#This Row],[FECHA]])</f>
        <v>2016-11</v>
      </c>
    </row>
    <row r="424" spans="1:4" x14ac:dyDescent="0.25">
      <c r="A424" t="s">
        <v>1510</v>
      </c>
      <c r="B424">
        <v>1</v>
      </c>
      <c r="C424" s="56">
        <v>42644</v>
      </c>
      <c r="D424" s="3" t="str">
        <f>YEAR(Datos_Consumo[[#This Row],[FECHA]])&amp;"-"&amp;MONTH(Datos_Consumo[[#This Row],[FECHA]])</f>
        <v>2016-10</v>
      </c>
    </row>
    <row r="425" spans="1:4" x14ac:dyDescent="0.25">
      <c r="A425" t="s">
        <v>1511</v>
      </c>
      <c r="B425">
        <v>1</v>
      </c>
      <c r="C425" s="56">
        <v>42644</v>
      </c>
      <c r="D425" s="3" t="str">
        <f>YEAR(Datos_Consumo[[#This Row],[FECHA]])&amp;"-"&amp;MONTH(Datos_Consumo[[#This Row],[FECHA]])</f>
        <v>2016-10</v>
      </c>
    </row>
    <row r="426" spans="1:4" x14ac:dyDescent="0.25">
      <c r="A426" t="s">
        <v>1511</v>
      </c>
      <c r="B426">
        <v>2</v>
      </c>
      <c r="C426" s="56">
        <v>42675</v>
      </c>
      <c r="D426" s="3" t="str">
        <f>YEAR(Datos_Consumo[[#This Row],[FECHA]])&amp;"-"&amp;MONTH(Datos_Consumo[[#This Row],[FECHA]])</f>
        <v>2016-11</v>
      </c>
    </row>
    <row r="427" spans="1:4" x14ac:dyDescent="0.25">
      <c r="A427" t="s">
        <v>1512</v>
      </c>
      <c r="B427">
        <v>1</v>
      </c>
      <c r="C427" s="56">
        <v>42644</v>
      </c>
      <c r="D427" s="3" t="str">
        <f>YEAR(Datos_Consumo[[#This Row],[FECHA]])&amp;"-"&amp;MONTH(Datos_Consumo[[#This Row],[FECHA]])</f>
        <v>2016-10</v>
      </c>
    </row>
    <row r="428" spans="1:4" x14ac:dyDescent="0.25">
      <c r="A428" t="s">
        <v>1513</v>
      </c>
      <c r="B428">
        <v>1</v>
      </c>
      <c r="C428" s="56">
        <v>42644</v>
      </c>
      <c r="D428" s="3" t="str">
        <f>YEAR(Datos_Consumo[[#This Row],[FECHA]])&amp;"-"&amp;MONTH(Datos_Consumo[[#This Row],[FECHA]])</f>
        <v>2016-10</v>
      </c>
    </row>
    <row r="429" spans="1:4" x14ac:dyDescent="0.25">
      <c r="A429" t="s">
        <v>1514</v>
      </c>
      <c r="B429">
        <v>2</v>
      </c>
      <c r="C429" s="56">
        <v>42644</v>
      </c>
      <c r="D429" s="3" t="str">
        <f>YEAR(Datos_Consumo[[#This Row],[FECHA]])&amp;"-"&amp;MONTH(Datos_Consumo[[#This Row],[FECHA]])</f>
        <v>2016-10</v>
      </c>
    </row>
    <row r="430" spans="1:4" x14ac:dyDescent="0.25">
      <c r="A430" t="s">
        <v>1514</v>
      </c>
      <c r="B430">
        <v>2</v>
      </c>
      <c r="C430" s="56">
        <v>42675</v>
      </c>
      <c r="D430" s="3" t="str">
        <f>YEAR(Datos_Consumo[[#This Row],[FECHA]])&amp;"-"&amp;MONTH(Datos_Consumo[[#This Row],[FECHA]])</f>
        <v>2016-11</v>
      </c>
    </row>
    <row r="431" spans="1:4" x14ac:dyDescent="0.25">
      <c r="A431" t="s">
        <v>1515</v>
      </c>
      <c r="B431">
        <v>1</v>
      </c>
      <c r="C431" s="56">
        <v>42644</v>
      </c>
      <c r="D431" s="3" t="str">
        <f>YEAR(Datos_Consumo[[#This Row],[FECHA]])&amp;"-"&amp;MONTH(Datos_Consumo[[#This Row],[FECHA]])</f>
        <v>2016-10</v>
      </c>
    </row>
    <row r="432" spans="1:4" x14ac:dyDescent="0.25">
      <c r="A432" t="s">
        <v>1516</v>
      </c>
      <c r="B432">
        <v>2</v>
      </c>
      <c r="C432" s="56">
        <v>42644</v>
      </c>
      <c r="D432" s="3" t="str">
        <f>YEAR(Datos_Consumo[[#This Row],[FECHA]])&amp;"-"&amp;MONTH(Datos_Consumo[[#This Row],[FECHA]])</f>
        <v>2016-10</v>
      </c>
    </row>
    <row r="433" spans="1:4" x14ac:dyDescent="0.25">
      <c r="A433" t="s">
        <v>1517</v>
      </c>
      <c r="B433">
        <v>2</v>
      </c>
      <c r="C433" s="56">
        <v>42644</v>
      </c>
      <c r="D433" s="3" t="str">
        <f>YEAR(Datos_Consumo[[#This Row],[FECHA]])&amp;"-"&amp;MONTH(Datos_Consumo[[#This Row],[FECHA]])</f>
        <v>2016-10</v>
      </c>
    </row>
    <row r="434" spans="1:4" x14ac:dyDescent="0.25">
      <c r="A434" t="s">
        <v>1518</v>
      </c>
      <c r="B434">
        <v>1</v>
      </c>
      <c r="C434" s="56">
        <v>42675</v>
      </c>
      <c r="D434" s="3" t="str">
        <f>YEAR(Datos_Consumo[[#This Row],[FECHA]])&amp;"-"&amp;MONTH(Datos_Consumo[[#This Row],[FECHA]])</f>
        <v>2016-11</v>
      </c>
    </row>
    <row r="435" spans="1:4" x14ac:dyDescent="0.25">
      <c r="A435" t="s">
        <v>1519</v>
      </c>
      <c r="B435">
        <v>1</v>
      </c>
      <c r="C435" s="56">
        <v>42644</v>
      </c>
      <c r="D435" s="3" t="str">
        <f>YEAR(Datos_Consumo[[#This Row],[FECHA]])&amp;"-"&amp;MONTH(Datos_Consumo[[#This Row],[FECHA]])</f>
        <v>2016-10</v>
      </c>
    </row>
    <row r="436" spans="1:4" x14ac:dyDescent="0.25">
      <c r="A436" t="s">
        <v>1520</v>
      </c>
      <c r="B436">
        <v>1</v>
      </c>
      <c r="C436" s="56">
        <v>42644</v>
      </c>
      <c r="D436" s="3" t="str">
        <f>YEAR(Datos_Consumo[[#This Row],[FECHA]])&amp;"-"&amp;MONTH(Datos_Consumo[[#This Row],[FECHA]])</f>
        <v>2016-10</v>
      </c>
    </row>
    <row r="437" spans="1:4" x14ac:dyDescent="0.25">
      <c r="A437" t="s">
        <v>1521</v>
      </c>
      <c r="B437">
        <v>1</v>
      </c>
      <c r="C437" s="56">
        <v>42644</v>
      </c>
      <c r="D437" s="3" t="str">
        <f>YEAR(Datos_Consumo[[#This Row],[FECHA]])&amp;"-"&amp;MONTH(Datos_Consumo[[#This Row],[FECHA]])</f>
        <v>2016-10</v>
      </c>
    </row>
    <row r="438" spans="1:4" x14ac:dyDescent="0.25">
      <c r="A438" t="s">
        <v>1522</v>
      </c>
      <c r="B438">
        <v>2</v>
      </c>
      <c r="C438" s="56">
        <v>42644</v>
      </c>
      <c r="D438" s="3" t="str">
        <f>YEAR(Datos_Consumo[[#This Row],[FECHA]])&amp;"-"&amp;MONTH(Datos_Consumo[[#This Row],[FECHA]])</f>
        <v>2016-10</v>
      </c>
    </row>
    <row r="439" spans="1:4" x14ac:dyDescent="0.25">
      <c r="A439" t="s">
        <v>1523</v>
      </c>
      <c r="B439">
        <v>1</v>
      </c>
      <c r="C439" s="56">
        <v>42675</v>
      </c>
      <c r="D439" s="3" t="str">
        <f>YEAR(Datos_Consumo[[#This Row],[FECHA]])&amp;"-"&amp;MONTH(Datos_Consumo[[#This Row],[FECHA]])</f>
        <v>2016-11</v>
      </c>
    </row>
    <row r="440" spans="1:4" x14ac:dyDescent="0.25">
      <c r="A440" t="s">
        <v>1524</v>
      </c>
      <c r="B440">
        <v>1</v>
      </c>
      <c r="C440" s="56">
        <v>42644</v>
      </c>
      <c r="D440" s="3" t="str">
        <f>YEAR(Datos_Consumo[[#This Row],[FECHA]])&amp;"-"&amp;MONTH(Datos_Consumo[[#This Row],[FECHA]])</f>
        <v>2016-10</v>
      </c>
    </row>
    <row r="441" spans="1:4" x14ac:dyDescent="0.25">
      <c r="A441" t="s">
        <v>1525</v>
      </c>
      <c r="B441">
        <v>1</v>
      </c>
      <c r="C441" s="56">
        <v>42644</v>
      </c>
      <c r="D441" s="3" t="str">
        <f>YEAR(Datos_Consumo[[#This Row],[FECHA]])&amp;"-"&amp;MONTH(Datos_Consumo[[#This Row],[FECHA]])</f>
        <v>2016-10</v>
      </c>
    </row>
    <row r="442" spans="1:4" x14ac:dyDescent="0.25">
      <c r="A442" t="s">
        <v>1526</v>
      </c>
      <c r="B442">
        <v>2</v>
      </c>
      <c r="C442" s="56">
        <v>42644</v>
      </c>
      <c r="D442" s="3" t="str">
        <f>YEAR(Datos_Consumo[[#This Row],[FECHA]])&amp;"-"&amp;MONTH(Datos_Consumo[[#This Row],[FECHA]])</f>
        <v>2016-10</v>
      </c>
    </row>
    <row r="443" spans="1:4" x14ac:dyDescent="0.25">
      <c r="A443" t="s">
        <v>1527</v>
      </c>
      <c r="B443">
        <v>1</v>
      </c>
      <c r="C443" s="56">
        <v>42644</v>
      </c>
      <c r="D443" s="3" t="str">
        <f>YEAR(Datos_Consumo[[#This Row],[FECHA]])&amp;"-"&amp;MONTH(Datos_Consumo[[#This Row],[FECHA]])</f>
        <v>2016-10</v>
      </c>
    </row>
    <row r="444" spans="1:4" x14ac:dyDescent="0.25">
      <c r="A444" t="s">
        <v>1528</v>
      </c>
      <c r="B444">
        <v>2</v>
      </c>
      <c r="C444" s="56">
        <v>42644</v>
      </c>
      <c r="D444" s="3" t="str">
        <f>YEAR(Datos_Consumo[[#This Row],[FECHA]])&amp;"-"&amp;MONTH(Datos_Consumo[[#This Row],[FECHA]])</f>
        <v>2016-10</v>
      </c>
    </row>
    <row r="445" spans="1:4" x14ac:dyDescent="0.25">
      <c r="A445" t="s">
        <v>1529</v>
      </c>
      <c r="B445">
        <v>3</v>
      </c>
      <c r="C445" s="56">
        <v>42736</v>
      </c>
      <c r="D445" s="3" t="str">
        <f>YEAR(Datos_Consumo[[#This Row],[FECHA]])&amp;"-"&amp;MONTH(Datos_Consumo[[#This Row],[FECHA]])</f>
        <v>2017-1</v>
      </c>
    </row>
    <row r="446" spans="1:4" x14ac:dyDescent="0.25">
      <c r="A446" t="s">
        <v>1529</v>
      </c>
      <c r="B446">
        <v>1</v>
      </c>
      <c r="C446" s="56">
        <v>42767</v>
      </c>
      <c r="D446" s="3" t="str">
        <f>YEAR(Datos_Consumo[[#This Row],[FECHA]])&amp;"-"&amp;MONTH(Datos_Consumo[[#This Row],[FECHA]])</f>
        <v>2017-2</v>
      </c>
    </row>
    <row r="447" spans="1:4" x14ac:dyDescent="0.25">
      <c r="A447" t="s">
        <v>1530</v>
      </c>
      <c r="B447">
        <v>2</v>
      </c>
      <c r="C447" s="56">
        <v>42644</v>
      </c>
      <c r="D447" s="3" t="str">
        <f>YEAR(Datos_Consumo[[#This Row],[FECHA]])&amp;"-"&amp;MONTH(Datos_Consumo[[#This Row],[FECHA]])</f>
        <v>2016-10</v>
      </c>
    </row>
    <row r="448" spans="1:4" x14ac:dyDescent="0.25">
      <c r="A448" t="s">
        <v>1530</v>
      </c>
      <c r="B448">
        <v>1</v>
      </c>
      <c r="C448" s="56">
        <v>42675</v>
      </c>
      <c r="D448" s="3" t="str">
        <f>YEAR(Datos_Consumo[[#This Row],[FECHA]])&amp;"-"&amp;MONTH(Datos_Consumo[[#This Row],[FECHA]])</f>
        <v>2016-11</v>
      </c>
    </row>
    <row r="449" spans="1:4" x14ac:dyDescent="0.25">
      <c r="A449" t="s">
        <v>1530</v>
      </c>
      <c r="B449">
        <v>1</v>
      </c>
      <c r="C449" s="56">
        <v>42705</v>
      </c>
      <c r="D449" s="3" t="str">
        <f>YEAR(Datos_Consumo[[#This Row],[FECHA]])&amp;"-"&amp;MONTH(Datos_Consumo[[#This Row],[FECHA]])</f>
        <v>2016-12</v>
      </c>
    </row>
    <row r="450" spans="1:4" x14ac:dyDescent="0.25">
      <c r="A450" t="s">
        <v>1530</v>
      </c>
      <c r="B450">
        <v>5</v>
      </c>
      <c r="C450" s="56">
        <v>42736</v>
      </c>
      <c r="D450" s="3" t="str">
        <f>YEAR(Datos_Consumo[[#This Row],[FECHA]])&amp;"-"&amp;MONTH(Datos_Consumo[[#This Row],[FECHA]])</f>
        <v>2017-1</v>
      </c>
    </row>
    <row r="451" spans="1:4" x14ac:dyDescent="0.25">
      <c r="A451" t="s">
        <v>1531</v>
      </c>
      <c r="B451">
        <v>1</v>
      </c>
      <c r="C451" s="56">
        <v>42644</v>
      </c>
      <c r="D451" s="3" t="str">
        <f>YEAR(Datos_Consumo[[#This Row],[FECHA]])&amp;"-"&amp;MONTH(Datos_Consumo[[#This Row],[FECHA]])</f>
        <v>2016-10</v>
      </c>
    </row>
    <row r="452" spans="1:4" x14ac:dyDescent="0.25">
      <c r="A452" t="s">
        <v>1531</v>
      </c>
      <c r="B452">
        <v>2</v>
      </c>
      <c r="C452" s="56">
        <v>42675</v>
      </c>
      <c r="D452" s="3" t="str">
        <f>YEAR(Datos_Consumo[[#This Row],[FECHA]])&amp;"-"&amp;MONTH(Datos_Consumo[[#This Row],[FECHA]])</f>
        <v>2016-11</v>
      </c>
    </row>
    <row r="453" spans="1:4" x14ac:dyDescent="0.25">
      <c r="A453" t="s">
        <v>1531</v>
      </c>
      <c r="B453">
        <v>2</v>
      </c>
      <c r="C453" s="56">
        <v>42705</v>
      </c>
      <c r="D453" s="3" t="str">
        <f>YEAR(Datos_Consumo[[#This Row],[FECHA]])&amp;"-"&amp;MONTH(Datos_Consumo[[#This Row],[FECHA]])</f>
        <v>2016-12</v>
      </c>
    </row>
    <row r="454" spans="1:4" x14ac:dyDescent="0.25">
      <c r="A454" t="s">
        <v>1531</v>
      </c>
      <c r="B454">
        <v>3</v>
      </c>
      <c r="C454" s="56">
        <v>42736</v>
      </c>
      <c r="D454" s="3" t="str">
        <f>YEAR(Datos_Consumo[[#This Row],[FECHA]])&amp;"-"&amp;MONTH(Datos_Consumo[[#This Row],[FECHA]])</f>
        <v>2017-1</v>
      </c>
    </row>
    <row r="455" spans="1:4" x14ac:dyDescent="0.25">
      <c r="A455" t="s">
        <v>1532</v>
      </c>
      <c r="B455">
        <v>1</v>
      </c>
      <c r="C455" s="56">
        <v>42644</v>
      </c>
      <c r="D455" s="3" t="str">
        <f>YEAR(Datos_Consumo[[#This Row],[FECHA]])&amp;"-"&amp;MONTH(Datos_Consumo[[#This Row],[FECHA]])</f>
        <v>2016-10</v>
      </c>
    </row>
    <row r="456" spans="1:4" x14ac:dyDescent="0.25">
      <c r="A456" t="s">
        <v>1532</v>
      </c>
      <c r="B456">
        <v>2</v>
      </c>
      <c r="C456" s="56">
        <v>42675</v>
      </c>
      <c r="D456" s="3" t="str">
        <f>YEAR(Datos_Consumo[[#This Row],[FECHA]])&amp;"-"&amp;MONTH(Datos_Consumo[[#This Row],[FECHA]])</f>
        <v>2016-11</v>
      </c>
    </row>
    <row r="457" spans="1:4" x14ac:dyDescent="0.25">
      <c r="A457" t="s">
        <v>1532</v>
      </c>
      <c r="B457">
        <v>3</v>
      </c>
      <c r="C457" s="56">
        <v>42705</v>
      </c>
      <c r="D457" s="3" t="str">
        <f>YEAR(Datos_Consumo[[#This Row],[FECHA]])&amp;"-"&amp;MONTH(Datos_Consumo[[#This Row],[FECHA]])</f>
        <v>2016-12</v>
      </c>
    </row>
    <row r="458" spans="1:4" x14ac:dyDescent="0.25">
      <c r="A458" t="s">
        <v>1532</v>
      </c>
      <c r="B458">
        <v>3</v>
      </c>
      <c r="C458" s="56">
        <v>42736</v>
      </c>
      <c r="D458" s="3" t="str">
        <f>YEAR(Datos_Consumo[[#This Row],[FECHA]])&amp;"-"&amp;MONTH(Datos_Consumo[[#This Row],[FECHA]])</f>
        <v>2017-1</v>
      </c>
    </row>
    <row r="459" spans="1:4" x14ac:dyDescent="0.25">
      <c r="A459" t="s">
        <v>1533</v>
      </c>
      <c r="B459">
        <v>1</v>
      </c>
      <c r="C459" s="56">
        <v>42644</v>
      </c>
      <c r="D459" s="3" t="str">
        <f>YEAR(Datos_Consumo[[#This Row],[FECHA]])&amp;"-"&amp;MONTH(Datos_Consumo[[#This Row],[FECHA]])</f>
        <v>2016-10</v>
      </c>
    </row>
    <row r="460" spans="1:4" x14ac:dyDescent="0.25">
      <c r="A460" t="s">
        <v>1533</v>
      </c>
      <c r="B460">
        <v>2</v>
      </c>
      <c r="C460" s="56">
        <v>42675</v>
      </c>
      <c r="D460" s="3" t="str">
        <f>YEAR(Datos_Consumo[[#This Row],[FECHA]])&amp;"-"&amp;MONTH(Datos_Consumo[[#This Row],[FECHA]])</f>
        <v>2016-11</v>
      </c>
    </row>
    <row r="461" spans="1:4" x14ac:dyDescent="0.25">
      <c r="A461" t="s">
        <v>1533</v>
      </c>
      <c r="B461">
        <v>1</v>
      </c>
      <c r="C461" s="56">
        <v>42705</v>
      </c>
      <c r="D461" s="3" t="str">
        <f>YEAR(Datos_Consumo[[#This Row],[FECHA]])&amp;"-"&amp;MONTH(Datos_Consumo[[#This Row],[FECHA]])</f>
        <v>2016-12</v>
      </c>
    </row>
    <row r="462" spans="1:4" x14ac:dyDescent="0.25">
      <c r="A462" t="s">
        <v>1534</v>
      </c>
      <c r="B462">
        <v>1</v>
      </c>
      <c r="C462" s="56">
        <v>42644</v>
      </c>
      <c r="D462" s="3" t="str">
        <f>YEAR(Datos_Consumo[[#This Row],[FECHA]])&amp;"-"&amp;MONTH(Datos_Consumo[[#This Row],[FECHA]])</f>
        <v>2016-10</v>
      </c>
    </row>
    <row r="463" spans="1:4" x14ac:dyDescent="0.25">
      <c r="A463" t="s">
        <v>1534</v>
      </c>
      <c r="B463">
        <v>1</v>
      </c>
      <c r="C463" s="56">
        <v>42675</v>
      </c>
      <c r="D463" s="3" t="str">
        <f>YEAR(Datos_Consumo[[#This Row],[FECHA]])&amp;"-"&amp;MONTH(Datos_Consumo[[#This Row],[FECHA]])</f>
        <v>2016-11</v>
      </c>
    </row>
    <row r="464" spans="1:4" x14ac:dyDescent="0.25">
      <c r="A464" t="s">
        <v>1534</v>
      </c>
      <c r="B464">
        <v>1</v>
      </c>
      <c r="C464" s="56">
        <v>42705</v>
      </c>
      <c r="D464" s="3" t="str">
        <f>YEAR(Datos_Consumo[[#This Row],[FECHA]])&amp;"-"&amp;MONTH(Datos_Consumo[[#This Row],[FECHA]])</f>
        <v>2016-12</v>
      </c>
    </row>
    <row r="465" spans="1:4" x14ac:dyDescent="0.25">
      <c r="A465" t="s">
        <v>1534</v>
      </c>
      <c r="B465">
        <v>1</v>
      </c>
      <c r="C465" s="56">
        <v>42736</v>
      </c>
      <c r="D465" s="3" t="str">
        <f>YEAR(Datos_Consumo[[#This Row],[FECHA]])&amp;"-"&amp;MONTH(Datos_Consumo[[#This Row],[FECHA]])</f>
        <v>2017-1</v>
      </c>
    </row>
    <row r="466" spans="1:4" x14ac:dyDescent="0.25">
      <c r="A466" t="s">
        <v>1535</v>
      </c>
      <c r="B466">
        <v>1</v>
      </c>
      <c r="C466" s="56">
        <v>42644</v>
      </c>
      <c r="D466" s="3" t="str">
        <f>YEAR(Datos_Consumo[[#This Row],[FECHA]])&amp;"-"&amp;MONTH(Datos_Consumo[[#This Row],[FECHA]])</f>
        <v>2016-10</v>
      </c>
    </row>
    <row r="467" spans="1:4" x14ac:dyDescent="0.25">
      <c r="A467" t="s">
        <v>1535</v>
      </c>
      <c r="B467">
        <v>4</v>
      </c>
      <c r="C467" s="56">
        <v>42675</v>
      </c>
      <c r="D467" s="3" t="str">
        <f>YEAR(Datos_Consumo[[#This Row],[FECHA]])&amp;"-"&amp;MONTH(Datos_Consumo[[#This Row],[FECHA]])</f>
        <v>2016-11</v>
      </c>
    </row>
    <row r="468" spans="1:4" x14ac:dyDescent="0.25">
      <c r="A468" t="s">
        <v>1535</v>
      </c>
      <c r="B468">
        <v>4</v>
      </c>
      <c r="C468" s="56">
        <v>42705</v>
      </c>
      <c r="D468" s="3" t="str">
        <f>YEAR(Datos_Consumo[[#This Row],[FECHA]])&amp;"-"&amp;MONTH(Datos_Consumo[[#This Row],[FECHA]])</f>
        <v>2016-12</v>
      </c>
    </row>
    <row r="469" spans="1:4" x14ac:dyDescent="0.25">
      <c r="A469" t="s">
        <v>1535</v>
      </c>
      <c r="B469">
        <v>1</v>
      </c>
      <c r="C469" s="56">
        <v>42736</v>
      </c>
      <c r="D469" s="3" t="str">
        <f>YEAR(Datos_Consumo[[#This Row],[FECHA]])&amp;"-"&amp;MONTH(Datos_Consumo[[#This Row],[FECHA]])</f>
        <v>2017-1</v>
      </c>
    </row>
    <row r="470" spans="1:4" x14ac:dyDescent="0.25">
      <c r="A470" t="s">
        <v>1536</v>
      </c>
      <c r="B470">
        <v>1</v>
      </c>
      <c r="C470" s="56">
        <v>42675</v>
      </c>
      <c r="D470" s="3" t="str">
        <f>YEAR(Datos_Consumo[[#This Row],[FECHA]])&amp;"-"&amp;MONTH(Datos_Consumo[[#This Row],[FECHA]])</f>
        <v>2016-11</v>
      </c>
    </row>
    <row r="471" spans="1:4" x14ac:dyDescent="0.25">
      <c r="A471" t="s">
        <v>1536</v>
      </c>
      <c r="B471">
        <v>1</v>
      </c>
      <c r="C471" s="56">
        <v>42705</v>
      </c>
      <c r="D471" s="3" t="str">
        <f>YEAR(Datos_Consumo[[#This Row],[FECHA]])&amp;"-"&amp;MONTH(Datos_Consumo[[#This Row],[FECHA]])</f>
        <v>2016-12</v>
      </c>
    </row>
    <row r="472" spans="1:4" x14ac:dyDescent="0.25">
      <c r="A472" t="s">
        <v>1536</v>
      </c>
      <c r="B472">
        <v>3</v>
      </c>
      <c r="C472" s="56">
        <v>42736</v>
      </c>
      <c r="D472" s="3" t="str">
        <f>YEAR(Datos_Consumo[[#This Row],[FECHA]])&amp;"-"&amp;MONTH(Datos_Consumo[[#This Row],[FECHA]])</f>
        <v>2017-1</v>
      </c>
    </row>
    <row r="473" spans="1:4" x14ac:dyDescent="0.25">
      <c r="A473" t="s">
        <v>1537</v>
      </c>
      <c r="B473">
        <v>2</v>
      </c>
      <c r="C473" s="56">
        <v>42644</v>
      </c>
      <c r="D473" s="3" t="str">
        <f>YEAR(Datos_Consumo[[#This Row],[FECHA]])&amp;"-"&amp;MONTH(Datos_Consumo[[#This Row],[FECHA]])</f>
        <v>2016-10</v>
      </c>
    </row>
    <row r="474" spans="1:4" x14ac:dyDescent="0.25">
      <c r="A474" t="s">
        <v>1537</v>
      </c>
      <c r="B474">
        <v>2</v>
      </c>
      <c r="C474" s="56">
        <v>42675</v>
      </c>
      <c r="D474" s="3" t="str">
        <f>YEAR(Datos_Consumo[[#This Row],[FECHA]])&amp;"-"&amp;MONTH(Datos_Consumo[[#This Row],[FECHA]])</f>
        <v>2016-11</v>
      </c>
    </row>
    <row r="475" spans="1:4" x14ac:dyDescent="0.25">
      <c r="A475" t="s">
        <v>1537</v>
      </c>
      <c r="B475">
        <v>4</v>
      </c>
      <c r="C475" s="56">
        <v>42705</v>
      </c>
      <c r="D475" s="3" t="str">
        <f>YEAR(Datos_Consumo[[#This Row],[FECHA]])&amp;"-"&amp;MONTH(Datos_Consumo[[#This Row],[FECHA]])</f>
        <v>2016-12</v>
      </c>
    </row>
    <row r="476" spans="1:4" x14ac:dyDescent="0.25">
      <c r="A476" t="s">
        <v>1537</v>
      </c>
      <c r="B476">
        <v>3</v>
      </c>
      <c r="C476" s="56">
        <v>42736</v>
      </c>
      <c r="D476" s="3" t="str">
        <f>YEAR(Datos_Consumo[[#This Row],[FECHA]])&amp;"-"&amp;MONTH(Datos_Consumo[[#This Row],[FECHA]])</f>
        <v>2017-1</v>
      </c>
    </row>
    <row r="477" spans="1:4" x14ac:dyDescent="0.25">
      <c r="A477" t="s">
        <v>1538</v>
      </c>
      <c r="B477">
        <v>1</v>
      </c>
      <c r="C477" s="56">
        <v>42675</v>
      </c>
      <c r="D477" s="3" t="str">
        <f>YEAR(Datos_Consumo[[#This Row],[FECHA]])&amp;"-"&amp;MONTH(Datos_Consumo[[#This Row],[FECHA]])</f>
        <v>2016-11</v>
      </c>
    </row>
    <row r="478" spans="1:4" x14ac:dyDescent="0.25">
      <c r="A478" t="s">
        <v>1538</v>
      </c>
      <c r="B478">
        <v>2</v>
      </c>
      <c r="C478" s="56">
        <v>42705</v>
      </c>
      <c r="D478" s="3" t="str">
        <f>YEAR(Datos_Consumo[[#This Row],[FECHA]])&amp;"-"&amp;MONTH(Datos_Consumo[[#This Row],[FECHA]])</f>
        <v>2016-12</v>
      </c>
    </row>
    <row r="479" spans="1:4" x14ac:dyDescent="0.25">
      <c r="A479" t="s">
        <v>1538</v>
      </c>
      <c r="B479">
        <v>1</v>
      </c>
      <c r="C479" s="56">
        <v>42736</v>
      </c>
      <c r="D479" s="3" t="str">
        <f>YEAR(Datos_Consumo[[#This Row],[FECHA]])&amp;"-"&amp;MONTH(Datos_Consumo[[#This Row],[FECHA]])</f>
        <v>2017-1</v>
      </c>
    </row>
    <row r="480" spans="1:4" x14ac:dyDescent="0.25">
      <c r="A480" t="s">
        <v>1539</v>
      </c>
      <c r="B480">
        <v>1</v>
      </c>
      <c r="C480" s="56">
        <v>42675</v>
      </c>
      <c r="D480" s="3" t="str">
        <f>YEAR(Datos_Consumo[[#This Row],[FECHA]])&amp;"-"&amp;MONTH(Datos_Consumo[[#This Row],[FECHA]])</f>
        <v>2016-11</v>
      </c>
    </row>
    <row r="481" spans="1:4" x14ac:dyDescent="0.25">
      <c r="A481" t="s">
        <v>1539</v>
      </c>
      <c r="B481">
        <v>1</v>
      </c>
      <c r="C481" s="56">
        <v>42705</v>
      </c>
      <c r="D481" s="3" t="str">
        <f>YEAR(Datos_Consumo[[#This Row],[FECHA]])&amp;"-"&amp;MONTH(Datos_Consumo[[#This Row],[FECHA]])</f>
        <v>2016-12</v>
      </c>
    </row>
    <row r="482" spans="1:4" x14ac:dyDescent="0.25">
      <c r="A482" t="s">
        <v>1539</v>
      </c>
      <c r="B482">
        <v>3</v>
      </c>
      <c r="C482" s="56">
        <v>42736</v>
      </c>
      <c r="D482" s="3" t="str">
        <f>YEAR(Datos_Consumo[[#This Row],[FECHA]])&amp;"-"&amp;MONTH(Datos_Consumo[[#This Row],[FECHA]])</f>
        <v>2017-1</v>
      </c>
    </row>
    <row r="483" spans="1:4" x14ac:dyDescent="0.25">
      <c r="A483" t="s">
        <v>1540</v>
      </c>
      <c r="B483">
        <v>4</v>
      </c>
      <c r="C483" s="56">
        <v>42644</v>
      </c>
      <c r="D483" s="3" t="str">
        <f>YEAR(Datos_Consumo[[#This Row],[FECHA]])&amp;"-"&amp;MONTH(Datos_Consumo[[#This Row],[FECHA]])</f>
        <v>2016-10</v>
      </c>
    </row>
    <row r="484" spans="1:4" x14ac:dyDescent="0.25">
      <c r="A484" t="s">
        <v>1540</v>
      </c>
      <c r="B484">
        <v>1</v>
      </c>
      <c r="C484" s="56">
        <v>42675</v>
      </c>
      <c r="D484" s="3" t="str">
        <f>YEAR(Datos_Consumo[[#This Row],[FECHA]])&amp;"-"&amp;MONTH(Datos_Consumo[[#This Row],[FECHA]])</f>
        <v>2016-11</v>
      </c>
    </row>
    <row r="485" spans="1:4" x14ac:dyDescent="0.25">
      <c r="A485" t="s">
        <v>1540</v>
      </c>
      <c r="B485">
        <v>1</v>
      </c>
      <c r="C485" s="56">
        <v>42705</v>
      </c>
      <c r="D485" s="3" t="str">
        <f>YEAR(Datos_Consumo[[#This Row],[FECHA]])&amp;"-"&amp;MONTH(Datos_Consumo[[#This Row],[FECHA]])</f>
        <v>2016-12</v>
      </c>
    </row>
    <row r="486" spans="1:4" x14ac:dyDescent="0.25">
      <c r="A486" t="s">
        <v>1540</v>
      </c>
      <c r="B486">
        <v>9</v>
      </c>
      <c r="C486" s="56">
        <v>42736</v>
      </c>
      <c r="D486" s="3" t="str">
        <f>YEAR(Datos_Consumo[[#This Row],[FECHA]])&amp;"-"&amp;MONTH(Datos_Consumo[[#This Row],[FECHA]])</f>
        <v>2017-1</v>
      </c>
    </row>
    <row r="487" spans="1:4" x14ac:dyDescent="0.25">
      <c r="A487" t="s">
        <v>1541</v>
      </c>
      <c r="B487">
        <v>3</v>
      </c>
      <c r="C487" s="56">
        <v>42675</v>
      </c>
      <c r="D487" s="3" t="str">
        <f>YEAR(Datos_Consumo[[#This Row],[FECHA]])&amp;"-"&amp;MONTH(Datos_Consumo[[#This Row],[FECHA]])</f>
        <v>2016-11</v>
      </c>
    </row>
    <row r="488" spans="1:4" x14ac:dyDescent="0.25">
      <c r="A488" t="s">
        <v>1541</v>
      </c>
      <c r="B488">
        <v>3</v>
      </c>
      <c r="C488" s="56">
        <v>42705</v>
      </c>
      <c r="D488" s="3" t="str">
        <f>YEAR(Datos_Consumo[[#This Row],[FECHA]])&amp;"-"&amp;MONTH(Datos_Consumo[[#This Row],[FECHA]])</f>
        <v>2016-12</v>
      </c>
    </row>
    <row r="489" spans="1:4" x14ac:dyDescent="0.25">
      <c r="A489" t="s">
        <v>1541</v>
      </c>
      <c r="B489">
        <v>2</v>
      </c>
      <c r="C489" s="56">
        <v>42736</v>
      </c>
      <c r="D489" s="3" t="str">
        <f>YEAR(Datos_Consumo[[#This Row],[FECHA]])&amp;"-"&amp;MONTH(Datos_Consumo[[#This Row],[FECHA]])</f>
        <v>2017-1</v>
      </c>
    </row>
    <row r="490" spans="1:4" x14ac:dyDescent="0.25">
      <c r="A490" t="s">
        <v>1542</v>
      </c>
      <c r="B490">
        <v>4</v>
      </c>
      <c r="C490" s="56">
        <v>42675</v>
      </c>
      <c r="D490" s="3" t="str">
        <f>YEAR(Datos_Consumo[[#This Row],[FECHA]])&amp;"-"&amp;MONTH(Datos_Consumo[[#This Row],[FECHA]])</f>
        <v>2016-11</v>
      </c>
    </row>
    <row r="491" spans="1:4" x14ac:dyDescent="0.25">
      <c r="A491" t="s">
        <v>1542</v>
      </c>
      <c r="B491">
        <v>1</v>
      </c>
      <c r="C491" s="56">
        <v>42705</v>
      </c>
      <c r="D491" s="3" t="str">
        <f>YEAR(Datos_Consumo[[#This Row],[FECHA]])&amp;"-"&amp;MONTH(Datos_Consumo[[#This Row],[FECHA]])</f>
        <v>2016-12</v>
      </c>
    </row>
    <row r="492" spans="1:4" x14ac:dyDescent="0.25">
      <c r="A492" t="s">
        <v>1542</v>
      </c>
      <c r="B492">
        <v>2</v>
      </c>
      <c r="C492" s="56">
        <v>42736</v>
      </c>
      <c r="D492" s="3" t="str">
        <f>YEAR(Datos_Consumo[[#This Row],[FECHA]])&amp;"-"&amp;MONTH(Datos_Consumo[[#This Row],[FECHA]])</f>
        <v>2017-1</v>
      </c>
    </row>
    <row r="493" spans="1:4" x14ac:dyDescent="0.25">
      <c r="A493" t="s">
        <v>1542</v>
      </c>
      <c r="B493">
        <v>1</v>
      </c>
      <c r="C493" s="56">
        <v>42767</v>
      </c>
      <c r="D493" s="3" t="str">
        <f>YEAR(Datos_Consumo[[#This Row],[FECHA]])&amp;"-"&amp;MONTH(Datos_Consumo[[#This Row],[FECHA]])</f>
        <v>2017-2</v>
      </c>
    </row>
    <row r="494" spans="1:4" x14ac:dyDescent="0.25">
      <c r="A494" t="s">
        <v>1543</v>
      </c>
      <c r="B494">
        <v>2</v>
      </c>
      <c r="C494" s="56">
        <v>42644</v>
      </c>
      <c r="D494" s="3" t="str">
        <f>YEAR(Datos_Consumo[[#This Row],[FECHA]])&amp;"-"&amp;MONTH(Datos_Consumo[[#This Row],[FECHA]])</f>
        <v>2016-10</v>
      </c>
    </row>
    <row r="495" spans="1:4" x14ac:dyDescent="0.25">
      <c r="A495" t="s">
        <v>1543</v>
      </c>
      <c r="B495">
        <v>3</v>
      </c>
      <c r="C495" s="56">
        <v>42675</v>
      </c>
      <c r="D495" s="3" t="str">
        <f>YEAR(Datos_Consumo[[#This Row],[FECHA]])&amp;"-"&amp;MONTH(Datos_Consumo[[#This Row],[FECHA]])</f>
        <v>2016-11</v>
      </c>
    </row>
    <row r="496" spans="1:4" x14ac:dyDescent="0.25">
      <c r="A496" t="s">
        <v>1543</v>
      </c>
      <c r="B496">
        <v>1</v>
      </c>
      <c r="C496" s="56">
        <v>42705</v>
      </c>
      <c r="D496" s="3" t="str">
        <f>YEAR(Datos_Consumo[[#This Row],[FECHA]])&amp;"-"&amp;MONTH(Datos_Consumo[[#This Row],[FECHA]])</f>
        <v>2016-12</v>
      </c>
    </row>
    <row r="497" spans="1:4" x14ac:dyDescent="0.25">
      <c r="A497" t="s">
        <v>1543</v>
      </c>
      <c r="B497">
        <v>1</v>
      </c>
      <c r="C497" s="56">
        <v>42736</v>
      </c>
      <c r="D497" s="3" t="str">
        <f>YEAR(Datos_Consumo[[#This Row],[FECHA]])&amp;"-"&amp;MONTH(Datos_Consumo[[#This Row],[FECHA]])</f>
        <v>2017-1</v>
      </c>
    </row>
    <row r="498" spans="1:4" x14ac:dyDescent="0.25">
      <c r="A498" t="s">
        <v>1544</v>
      </c>
      <c r="B498">
        <v>3</v>
      </c>
      <c r="C498" s="56">
        <v>42705</v>
      </c>
      <c r="D498" s="3" t="str">
        <f>YEAR(Datos_Consumo[[#This Row],[FECHA]])&amp;"-"&amp;MONTH(Datos_Consumo[[#This Row],[FECHA]])</f>
        <v>2016-12</v>
      </c>
    </row>
    <row r="499" spans="1:4" x14ac:dyDescent="0.25">
      <c r="A499" t="s">
        <v>1544</v>
      </c>
      <c r="B499">
        <v>1</v>
      </c>
      <c r="C499" s="56">
        <v>42736</v>
      </c>
      <c r="D499" s="3" t="str">
        <f>YEAR(Datos_Consumo[[#This Row],[FECHA]])&amp;"-"&amp;MONTH(Datos_Consumo[[#This Row],[FECHA]])</f>
        <v>2017-1</v>
      </c>
    </row>
    <row r="500" spans="1:4" x14ac:dyDescent="0.25">
      <c r="A500" t="s">
        <v>1545</v>
      </c>
      <c r="B500">
        <v>3</v>
      </c>
      <c r="C500" s="56">
        <v>42644</v>
      </c>
      <c r="D500" s="3" t="str">
        <f>YEAR(Datos_Consumo[[#This Row],[FECHA]])&amp;"-"&amp;MONTH(Datos_Consumo[[#This Row],[FECHA]])</f>
        <v>2016-10</v>
      </c>
    </row>
    <row r="501" spans="1:4" x14ac:dyDescent="0.25">
      <c r="A501" t="s">
        <v>1545</v>
      </c>
      <c r="B501">
        <v>2</v>
      </c>
      <c r="C501" s="56">
        <v>42675</v>
      </c>
      <c r="D501" s="3" t="str">
        <f>YEAR(Datos_Consumo[[#This Row],[FECHA]])&amp;"-"&amp;MONTH(Datos_Consumo[[#This Row],[FECHA]])</f>
        <v>2016-11</v>
      </c>
    </row>
    <row r="502" spans="1:4" x14ac:dyDescent="0.25">
      <c r="A502" t="s">
        <v>1545</v>
      </c>
      <c r="B502">
        <v>2</v>
      </c>
      <c r="C502" s="56">
        <v>42705</v>
      </c>
      <c r="D502" s="3" t="str">
        <f>YEAR(Datos_Consumo[[#This Row],[FECHA]])&amp;"-"&amp;MONTH(Datos_Consumo[[#This Row],[FECHA]])</f>
        <v>2016-12</v>
      </c>
    </row>
    <row r="503" spans="1:4" x14ac:dyDescent="0.25">
      <c r="A503" t="s">
        <v>1545</v>
      </c>
      <c r="B503">
        <v>1</v>
      </c>
      <c r="C503" s="56">
        <v>42736</v>
      </c>
      <c r="D503" s="3" t="str">
        <f>YEAR(Datos_Consumo[[#This Row],[FECHA]])&amp;"-"&amp;MONTH(Datos_Consumo[[#This Row],[FECHA]])</f>
        <v>2017-1</v>
      </c>
    </row>
    <row r="504" spans="1:4" x14ac:dyDescent="0.25">
      <c r="A504" t="s">
        <v>1546</v>
      </c>
      <c r="B504">
        <v>1</v>
      </c>
      <c r="C504" s="56">
        <v>42644</v>
      </c>
      <c r="D504" s="3" t="str">
        <f>YEAR(Datos_Consumo[[#This Row],[FECHA]])&amp;"-"&amp;MONTH(Datos_Consumo[[#This Row],[FECHA]])</f>
        <v>2016-10</v>
      </c>
    </row>
    <row r="505" spans="1:4" x14ac:dyDescent="0.25">
      <c r="A505" t="s">
        <v>1546</v>
      </c>
      <c r="B505">
        <v>5</v>
      </c>
      <c r="C505" s="56">
        <v>42675</v>
      </c>
      <c r="D505" s="3" t="str">
        <f>YEAR(Datos_Consumo[[#This Row],[FECHA]])&amp;"-"&amp;MONTH(Datos_Consumo[[#This Row],[FECHA]])</f>
        <v>2016-11</v>
      </c>
    </row>
    <row r="506" spans="1:4" x14ac:dyDescent="0.25">
      <c r="A506" t="s">
        <v>1546</v>
      </c>
      <c r="B506">
        <v>4</v>
      </c>
      <c r="C506" s="56">
        <v>42705</v>
      </c>
      <c r="D506" s="3" t="str">
        <f>YEAR(Datos_Consumo[[#This Row],[FECHA]])&amp;"-"&amp;MONTH(Datos_Consumo[[#This Row],[FECHA]])</f>
        <v>2016-12</v>
      </c>
    </row>
    <row r="507" spans="1:4" x14ac:dyDescent="0.25">
      <c r="A507" t="s">
        <v>1546</v>
      </c>
      <c r="B507">
        <v>1</v>
      </c>
      <c r="C507" s="56">
        <v>42736</v>
      </c>
      <c r="D507" s="3" t="str">
        <f>YEAR(Datos_Consumo[[#This Row],[FECHA]])&amp;"-"&amp;MONTH(Datos_Consumo[[#This Row],[FECHA]])</f>
        <v>2017-1</v>
      </c>
    </row>
    <row r="508" spans="1:4" x14ac:dyDescent="0.25">
      <c r="A508" t="s">
        <v>1547</v>
      </c>
      <c r="B508">
        <v>3</v>
      </c>
      <c r="C508" s="56">
        <v>42675</v>
      </c>
      <c r="D508" s="3" t="str">
        <f>YEAR(Datos_Consumo[[#This Row],[FECHA]])&amp;"-"&amp;MONTH(Datos_Consumo[[#This Row],[FECHA]])</f>
        <v>2016-11</v>
      </c>
    </row>
    <row r="509" spans="1:4" x14ac:dyDescent="0.25">
      <c r="A509" t="s">
        <v>1547</v>
      </c>
      <c r="B509">
        <v>5</v>
      </c>
      <c r="C509" s="56">
        <v>42705</v>
      </c>
      <c r="D509" s="3" t="str">
        <f>YEAR(Datos_Consumo[[#This Row],[FECHA]])&amp;"-"&amp;MONTH(Datos_Consumo[[#This Row],[FECHA]])</f>
        <v>2016-12</v>
      </c>
    </row>
    <row r="510" spans="1:4" x14ac:dyDescent="0.25">
      <c r="A510" t="s">
        <v>1547</v>
      </c>
      <c r="B510">
        <v>4</v>
      </c>
      <c r="C510" s="56">
        <v>42736</v>
      </c>
      <c r="D510" s="3" t="str">
        <f>YEAR(Datos_Consumo[[#This Row],[FECHA]])&amp;"-"&amp;MONTH(Datos_Consumo[[#This Row],[FECHA]])</f>
        <v>2017-1</v>
      </c>
    </row>
    <row r="511" spans="1:4" x14ac:dyDescent="0.25">
      <c r="A511" t="s">
        <v>1548</v>
      </c>
      <c r="B511">
        <v>2</v>
      </c>
      <c r="C511" s="56">
        <v>42705</v>
      </c>
      <c r="D511" s="3" t="str">
        <f>YEAR(Datos_Consumo[[#This Row],[FECHA]])&amp;"-"&amp;MONTH(Datos_Consumo[[#This Row],[FECHA]])</f>
        <v>2016-12</v>
      </c>
    </row>
    <row r="512" spans="1:4" x14ac:dyDescent="0.25">
      <c r="A512" t="s">
        <v>1548</v>
      </c>
      <c r="B512">
        <v>2</v>
      </c>
      <c r="C512" s="56">
        <v>42736</v>
      </c>
      <c r="D512" s="3" t="str">
        <f>YEAR(Datos_Consumo[[#This Row],[FECHA]])&amp;"-"&amp;MONTH(Datos_Consumo[[#This Row],[FECHA]])</f>
        <v>2017-1</v>
      </c>
    </row>
    <row r="513" spans="1:4" x14ac:dyDescent="0.25">
      <c r="A513" t="s">
        <v>1549</v>
      </c>
      <c r="B513">
        <v>2</v>
      </c>
      <c r="C513" s="56">
        <v>42644</v>
      </c>
      <c r="D513" s="3" t="str">
        <f>YEAR(Datos_Consumo[[#This Row],[FECHA]])&amp;"-"&amp;MONTH(Datos_Consumo[[#This Row],[FECHA]])</f>
        <v>2016-10</v>
      </c>
    </row>
    <row r="514" spans="1:4" x14ac:dyDescent="0.25">
      <c r="A514" t="s">
        <v>1549</v>
      </c>
      <c r="B514">
        <v>3</v>
      </c>
      <c r="C514" s="56">
        <v>42705</v>
      </c>
      <c r="D514" s="3" t="str">
        <f>YEAR(Datos_Consumo[[#This Row],[FECHA]])&amp;"-"&amp;MONTH(Datos_Consumo[[#This Row],[FECHA]])</f>
        <v>2016-12</v>
      </c>
    </row>
    <row r="515" spans="1:4" x14ac:dyDescent="0.25">
      <c r="A515" t="s">
        <v>1549</v>
      </c>
      <c r="B515">
        <v>1</v>
      </c>
      <c r="C515" s="56">
        <v>42736</v>
      </c>
      <c r="D515" s="3" t="str">
        <f>YEAR(Datos_Consumo[[#This Row],[FECHA]])&amp;"-"&amp;MONTH(Datos_Consumo[[#This Row],[FECHA]])</f>
        <v>2017-1</v>
      </c>
    </row>
    <row r="516" spans="1:4" x14ac:dyDescent="0.25">
      <c r="A516" t="s">
        <v>1550</v>
      </c>
      <c r="B516">
        <v>1</v>
      </c>
      <c r="C516" s="56">
        <v>42675</v>
      </c>
      <c r="D516" s="3" t="str">
        <f>YEAR(Datos_Consumo[[#This Row],[FECHA]])&amp;"-"&amp;MONTH(Datos_Consumo[[#This Row],[FECHA]])</f>
        <v>2016-11</v>
      </c>
    </row>
    <row r="517" spans="1:4" x14ac:dyDescent="0.25">
      <c r="A517" t="s">
        <v>1550</v>
      </c>
      <c r="B517">
        <v>2</v>
      </c>
      <c r="C517" s="56">
        <v>42705</v>
      </c>
      <c r="D517" s="3" t="str">
        <f>YEAR(Datos_Consumo[[#This Row],[FECHA]])&amp;"-"&amp;MONTH(Datos_Consumo[[#This Row],[FECHA]])</f>
        <v>2016-12</v>
      </c>
    </row>
    <row r="518" spans="1:4" x14ac:dyDescent="0.25">
      <c r="A518" t="s">
        <v>1550</v>
      </c>
      <c r="B518">
        <v>1</v>
      </c>
      <c r="C518" s="56">
        <v>42736</v>
      </c>
      <c r="D518" s="3" t="str">
        <f>YEAR(Datos_Consumo[[#This Row],[FECHA]])&amp;"-"&amp;MONTH(Datos_Consumo[[#This Row],[FECHA]])</f>
        <v>2017-1</v>
      </c>
    </row>
    <row r="519" spans="1:4" x14ac:dyDescent="0.25">
      <c r="A519" t="s">
        <v>1551</v>
      </c>
      <c r="B519">
        <v>1</v>
      </c>
      <c r="C519" s="56">
        <v>42675</v>
      </c>
      <c r="D519" s="3" t="str">
        <f>YEAR(Datos_Consumo[[#This Row],[FECHA]])&amp;"-"&amp;MONTH(Datos_Consumo[[#This Row],[FECHA]])</f>
        <v>2016-11</v>
      </c>
    </row>
    <row r="520" spans="1:4" x14ac:dyDescent="0.25">
      <c r="A520" t="s">
        <v>1552</v>
      </c>
      <c r="B520">
        <v>1</v>
      </c>
      <c r="C520" s="56">
        <v>42675</v>
      </c>
      <c r="D520" s="3" t="str">
        <f>YEAR(Datos_Consumo[[#This Row],[FECHA]])&amp;"-"&amp;MONTH(Datos_Consumo[[#This Row],[FECHA]])</f>
        <v>2016-11</v>
      </c>
    </row>
    <row r="521" spans="1:4" x14ac:dyDescent="0.25">
      <c r="A521" t="s">
        <v>1553</v>
      </c>
      <c r="B521">
        <v>3</v>
      </c>
      <c r="C521" s="56">
        <v>42736</v>
      </c>
      <c r="D521" s="3" t="str">
        <f>YEAR(Datos_Consumo[[#This Row],[FECHA]])&amp;"-"&amp;MONTH(Datos_Consumo[[#This Row],[FECHA]])</f>
        <v>2017-1</v>
      </c>
    </row>
    <row r="522" spans="1:4" x14ac:dyDescent="0.25">
      <c r="A522" t="s">
        <v>1554</v>
      </c>
      <c r="B522">
        <v>2</v>
      </c>
      <c r="C522" s="56">
        <v>42675</v>
      </c>
      <c r="D522" s="3" t="str">
        <f>YEAR(Datos_Consumo[[#This Row],[FECHA]])&amp;"-"&amp;MONTH(Datos_Consumo[[#This Row],[FECHA]])</f>
        <v>2016-11</v>
      </c>
    </row>
    <row r="523" spans="1:4" x14ac:dyDescent="0.25">
      <c r="A523" t="s">
        <v>1555</v>
      </c>
      <c r="B523">
        <v>2</v>
      </c>
      <c r="C523" s="56">
        <v>42675</v>
      </c>
      <c r="D523" s="3" t="str">
        <f>YEAR(Datos_Consumo[[#This Row],[FECHA]])&amp;"-"&amp;MONTH(Datos_Consumo[[#This Row],[FECHA]])</f>
        <v>2016-11</v>
      </c>
    </row>
    <row r="524" spans="1:4" x14ac:dyDescent="0.25">
      <c r="A524" t="s">
        <v>1555</v>
      </c>
      <c r="B524">
        <v>1</v>
      </c>
      <c r="C524" s="56">
        <v>42705</v>
      </c>
      <c r="D524" s="3" t="str">
        <f>YEAR(Datos_Consumo[[#This Row],[FECHA]])&amp;"-"&amp;MONTH(Datos_Consumo[[#This Row],[FECHA]])</f>
        <v>2016-12</v>
      </c>
    </row>
    <row r="525" spans="1:4" x14ac:dyDescent="0.25">
      <c r="A525" t="s">
        <v>1556</v>
      </c>
      <c r="B525">
        <v>1</v>
      </c>
      <c r="C525" s="56">
        <v>42675</v>
      </c>
      <c r="D525" s="3" t="str">
        <f>YEAR(Datos_Consumo[[#This Row],[FECHA]])&amp;"-"&amp;MONTH(Datos_Consumo[[#This Row],[FECHA]])</f>
        <v>2016-11</v>
      </c>
    </row>
    <row r="526" spans="1:4" x14ac:dyDescent="0.25">
      <c r="A526" t="s">
        <v>1556</v>
      </c>
      <c r="B526">
        <v>2</v>
      </c>
      <c r="C526" s="56">
        <v>42705</v>
      </c>
      <c r="D526" s="3" t="str">
        <f>YEAR(Datos_Consumo[[#This Row],[FECHA]])&amp;"-"&amp;MONTH(Datos_Consumo[[#This Row],[FECHA]])</f>
        <v>2016-12</v>
      </c>
    </row>
    <row r="527" spans="1:4" x14ac:dyDescent="0.25">
      <c r="A527" t="s">
        <v>1557</v>
      </c>
      <c r="B527">
        <v>2</v>
      </c>
      <c r="C527" s="56">
        <v>42644</v>
      </c>
      <c r="D527" s="3" t="str">
        <f>YEAR(Datos_Consumo[[#This Row],[FECHA]])&amp;"-"&amp;MONTH(Datos_Consumo[[#This Row],[FECHA]])</f>
        <v>2016-10</v>
      </c>
    </row>
    <row r="528" spans="1:4" x14ac:dyDescent="0.25">
      <c r="A528" t="s">
        <v>1557</v>
      </c>
      <c r="B528">
        <v>1</v>
      </c>
      <c r="C528" s="56">
        <v>42675</v>
      </c>
      <c r="D528" s="3" t="str">
        <f>YEAR(Datos_Consumo[[#This Row],[FECHA]])&amp;"-"&amp;MONTH(Datos_Consumo[[#This Row],[FECHA]])</f>
        <v>2016-11</v>
      </c>
    </row>
    <row r="529" spans="1:4" x14ac:dyDescent="0.25">
      <c r="A529" t="s">
        <v>1557</v>
      </c>
      <c r="B529">
        <v>2</v>
      </c>
      <c r="C529" s="56">
        <v>42705</v>
      </c>
      <c r="D529" s="3" t="str">
        <f>YEAR(Datos_Consumo[[#This Row],[FECHA]])&amp;"-"&amp;MONTH(Datos_Consumo[[#This Row],[FECHA]])</f>
        <v>2016-12</v>
      </c>
    </row>
    <row r="530" spans="1:4" x14ac:dyDescent="0.25">
      <c r="A530" t="s">
        <v>1557</v>
      </c>
      <c r="B530">
        <v>1</v>
      </c>
      <c r="C530" s="56">
        <v>42736</v>
      </c>
      <c r="D530" s="3" t="str">
        <f>YEAR(Datos_Consumo[[#This Row],[FECHA]])&amp;"-"&amp;MONTH(Datos_Consumo[[#This Row],[FECHA]])</f>
        <v>2017-1</v>
      </c>
    </row>
    <row r="531" spans="1:4" x14ac:dyDescent="0.25">
      <c r="A531" t="s">
        <v>1558</v>
      </c>
      <c r="B531">
        <v>1</v>
      </c>
      <c r="C531" s="56">
        <v>42705</v>
      </c>
      <c r="D531" s="3" t="str">
        <f>YEAR(Datos_Consumo[[#This Row],[FECHA]])&amp;"-"&amp;MONTH(Datos_Consumo[[#This Row],[FECHA]])</f>
        <v>2016-12</v>
      </c>
    </row>
    <row r="532" spans="1:4" x14ac:dyDescent="0.25">
      <c r="A532" t="s">
        <v>1558</v>
      </c>
      <c r="B532">
        <v>1</v>
      </c>
      <c r="C532" s="56">
        <v>42736</v>
      </c>
      <c r="D532" s="3" t="str">
        <f>YEAR(Datos_Consumo[[#This Row],[FECHA]])&amp;"-"&amp;MONTH(Datos_Consumo[[#This Row],[FECHA]])</f>
        <v>2017-1</v>
      </c>
    </row>
    <row r="533" spans="1:4" x14ac:dyDescent="0.25">
      <c r="A533" t="s">
        <v>1559</v>
      </c>
      <c r="B533">
        <v>1</v>
      </c>
      <c r="C533" s="56">
        <v>42736</v>
      </c>
      <c r="D533" s="3" t="str">
        <f>YEAR(Datos_Consumo[[#This Row],[FECHA]])&amp;"-"&amp;MONTH(Datos_Consumo[[#This Row],[FECHA]])</f>
        <v>2017-1</v>
      </c>
    </row>
    <row r="534" spans="1:4" x14ac:dyDescent="0.25">
      <c r="A534" t="s">
        <v>1560</v>
      </c>
      <c r="B534">
        <v>1</v>
      </c>
      <c r="C534" s="56">
        <v>42675</v>
      </c>
      <c r="D534" s="3" t="str">
        <f>YEAR(Datos_Consumo[[#This Row],[FECHA]])&amp;"-"&amp;MONTH(Datos_Consumo[[#This Row],[FECHA]])</f>
        <v>2016-11</v>
      </c>
    </row>
    <row r="535" spans="1:4" x14ac:dyDescent="0.25">
      <c r="A535" t="s">
        <v>1561</v>
      </c>
      <c r="B535">
        <v>3</v>
      </c>
      <c r="C535" s="56">
        <v>42644</v>
      </c>
      <c r="D535" s="3" t="str">
        <f>YEAR(Datos_Consumo[[#This Row],[FECHA]])&amp;"-"&amp;MONTH(Datos_Consumo[[#This Row],[FECHA]])</f>
        <v>2016-10</v>
      </c>
    </row>
    <row r="536" spans="1:4" x14ac:dyDescent="0.25">
      <c r="A536" t="s">
        <v>1561</v>
      </c>
      <c r="B536">
        <v>5</v>
      </c>
      <c r="C536" s="56">
        <v>42675</v>
      </c>
      <c r="D536" s="3" t="str">
        <f>YEAR(Datos_Consumo[[#This Row],[FECHA]])&amp;"-"&amp;MONTH(Datos_Consumo[[#This Row],[FECHA]])</f>
        <v>2016-11</v>
      </c>
    </row>
    <row r="537" spans="1:4" x14ac:dyDescent="0.25">
      <c r="A537" t="s">
        <v>1561</v>
      </c>
      <c r="B537">
        <v>6</v>
      </c>
      <c r="C537" s="56">
        <v>42705</v>
      </c>
      <c r="D537" s="3" t="str">
        <f>YEAR(Datos_Consumo[[#This Row],[FECHA]])&amp;"-"&amp;MONTH(Datos_Consumo[[#This Row],[FECHA]])</f>
        <v>2016-12</v>
      </c>
    </row>
    <row r="538" spans="1:4" x14ac:dyDescent="0.25">
      <c r="A538" t="s">
        <v>1561</v>
      </c>
      <c r="B538">
        <v>6</v>
      </c>
      <c r="C538" s="56">
        <v>42736</v>
      </c>
      <c r="D538" s="3" t="str">
        <f>YEAR(Datos_Consumo[[#This Row],[FECHA]])&amp;"-"&amp;MONTH(Datos_Consumo[[#This Row],[FECHA]])</f>
        <v>2017-1</v>
      </c>
    </row>
    <row r="539" spans="1:4" x14ac:dyDescent="0.25">
      <c r="A539" t="s">
        <v>1562</v>
      </c>
      <c r="B539">
        <v>3</v>
      </c>
      <c r="C539" s="56">
        <v>42675</v>
      </c>
      <c r="D539" s="3" t="str">
        <f>YEAR(Datos_Consumo[[#This Row],[FECHA]])&amp;"-"&amp;MONTH(Datos_Consumo[[#This Row],[FECHA]])</f>
        <v>2016-11</v>
      </c>
    </row>
    <row r="540" spans="1:4" x14ac:dyDescent="0.25">
      <c r="A540" t="s">
        <v>1562</v>
      </c>
      <c r="B540">
        <v>1</v>
      </c>
      <c r="C540" s="56">
        <v>42705</v>
      </c>
      <c r="D540" s="3" t="str">
        <f>YEAR(Datos_Consumo[[#This Row],[FECHA]])&amp;"-"&amp;MONTH(Datos_Consumo[[#This Row],[FECHA]])</f>
        <v>2016-12</v>
      </c>
    </row>
    <row r="541" spans="1:4" x14ac:dyDescent="0.25">
      <c r="A541" t="s">
        <v>1562</v>
      </c>
      <c r="B541">
        <v>3</v>
      </c>
      <c r="C541" s="56">
        <v>42736</v>
      </c>
      <c r="D541" s="3" t="str">
        <f>YEAR(Datos_Consumo[[#This Row],[FECHA]])&amp;"-"&amp;MONTH(Datos_Consumo[[#This Row],[FECHA]])</f>
        <v>2017-1</v>
      </c>
    </row>
    <row r="542" spans="1:4" x14ac:dyDescent="0.25">
      <c r="A542" t="s">
        <v>1563</v>
      </c>
      <c r="B542">
        <v>1</v>
      </c>
      <c r="C542" s="56">
        <v>42675</v>
      </c>
      <c r="D542" s="3" t="str">
        <f>YEAR(Datos_Consumo[[#This Row],[FECHA]])&amp;"-"&amp;MONTH(Datos_Consumo[[#This Row],[FECHA]])</f>
        <v>2016-11</v>
      </c>
    </row>
    <row r="543" spans="1:4" x14ac:dyDescent="0.25">
      <c r="A543" t="s">
        <v>1563</v>
      </c>
      <c r="B543">
        <v>1</v>
      </c>
      <c r="C543" s="56">
        <v>42705</v>
      </c>
      <c r="D543" s="3" t="str">
        <f>YEAR(Datos_Consumo[[#This Row],[FECHA]])&amp;"-"&amp;MONTH(Datos_Consumo[[#This Row],[FECHA]])</f>
        <v>2016-12</v>
      </c>
    </row>
    <row r="544" spans="1:4" x14ac:dyDescent="0.25">
      <c r="A544" t="s">
        <v>1563</v>
      </c>
      <c r="B544">
        <v>1</v>
      </c>
      <c r="C544" s="56">
        <v>42736</v>
      </c>
      <c r="D544" s="3" t="str">
        <f>YEAR(Datos_Consumo[[#This Row],[FECHA]])&amp;"-"&amp;MONTH(Datos_Consumo[[#This Row],[FECHA]])</f>
        <v>2017-1</v>
      </c>
    </row>
    <row r="545" spans="1:4" x14ac:dyDescent="0.25">
      <c r="A545" t="s">
        <v>1564</v>
      </c>
      <c r="B545">
        <v>1</v>
      </c>
      <c r="C545" s="56">
        <v>42705</v>
      </c>
      <c r="D545" s="3" t="str">
        <f>YEAR(Datos_Consumo[[#This Row],[FECHA]])&amp;"-"&amp;MONTH(Datos_Consumo[[#This Row],[FECHA]])</f>
        <v>2016-12</v>
      </c>
    </row>
    <row r="546" spans="1:4" x14ac:dyDescent="0.25">
      <c r="A546" t="s">
        <v>1564</v>
      </c>
      <c r="B546">
        <v>2</v>
      </c>
      <c r="C546" s="56">
        <v>42736</v>
      </c>
      <c r="D546" s="3" t="str">
        <f>YEAR(Datos_Consumo[[#This Row],[FECHA]])&amp;"-"&amp;MONTH(Datos_Consumo[[#This Row],[FECHA]])</f>
        <v>2017-1</v>
      </c>
    </row>
    <row r="547" spans="1:4" x14ac:dyDescent="0.25">
      <c r="A547" t="s">
        <v>1565</v>
      </c>
      <c r="B547">
        <v>2</v>
      </c>
      <c r="C547" s="56">
        <v>42644</v>
      </c>
      <c r="D547" s="3" t="str">
        <f>YEAR(Datos_Consumo[[#This Row],[FECHA]])&amp;"-"&amp;MONTH(Datos_Consumo[[#This Row],[FECHA]])</f>
        <v>2016-10</v>
      </c>
    </row>
    <row r="548" spans="1:4" x14ac:dyDescent="0.25">
      <c r="A548" t="s">
        <v>1565</v>
      </c>
      <c r="B548">
        <v>4</v>
      </c>
      <c r="C548" s="56">
        <v>42675</v>
      </c>
      <c r="D548" s="3" t="str">
        <f>YEAR(Datos_Consumo[[#This Row],[FECHA]])&amp;"-"&amp;MONTH(Datos_Consumo[[#This Row],[FECHA]])</f>
        <v>2016-11</v>
      </c>
    </row>
    <row r="549" spans="1:4" x14ac:dyDescent="0.25">
      <c r="A549" t="s">
        <v>1565</v>
      </c>
      <c r="B549">
        <v>3</v>
      </c>
      <c r="C549" s="56">
        <v>42705</v>
      </c>
      <c r="D549" s="3" t="str">
        <f>YEAR(Datos_Consumo[[#This Row],[FECHA]])&amp;"-"&amp;MONTH(Datos_Consumo[[#This Row],[FECHA]])</f>
        <v>2016-12</v>
      </c>
    </row>
    <row r="550" spans="1:4" x14ac:dyDescent="0.25">
      <c r="A550" t="s">
        <v>1565</v>
      </c>
      <c r="B550">
        <v>1</v>
      </c>
      <c r="C550" s="56">
        <v>42767</v>
      </c>
      <c r="D550" s="3" t="str">
        <f>YEAR(Datos_Consumo[[#This Row],[FECHA]])&amp;"-"&amp;MONTH(Datos_Consumo[[#This Row],[FECHA]])</f>
        <v>2017-2</v>
      </c>
    </row>
    <row r="551" spans="1:4" x14ac:dyDescent="0.25">
      <c r="A551" t="s">
        <v>1566</v>
      </c>
      <c r="B551">
        <v>2</v>
      </c>
      <c r="C551" s="56">
        <v>42644</v>
      </c>
      <c r="D551" s="3" t="str">
        <f>YEAR(Datos_Consumo[[#This Row],[FECHA]])&amp;"-"&amp;MONTH(Datos_Consumo[[#This Row],[FECHA]])</f>
        <v>2016-10</v>
      </c>
    </row>
    <row r="552" spans="1:4" x14ac:dyDescent="0.25">
      <c r="A552" t="s">
        <v>1566</v>
      </c>
      <c r="B552">
        <v>1</v>
      </c>
      <c r="C552" s="56">
        <v>42675</v>
      </c>
      <c r="D552" s="3" t="str">
        <f>YEAR(Datos_Consumo[[#This Row],[FECHA]])&amp;"-"&amp;MONTH(Datos_Consumo[[#This Row],[FECHA]])</f>
        <v>2016-11</v>
      </c>
    </row>
    <row r="553" spans="1:4" x14ac:dyDescent="0.25">
      <c r="A553" t="s">
        <v>1566</v>
      </c>
      <c r="B553">
        <v>3</v>
      </c>
      <c r="C553" s="56">
        <v>42705</v>
      </c>
      <c r="D553" s="3" t="str">
        <f>YEAR(Datos_Consumo[[#This Row],[FECHA]])&amp;"-"&amp;MONTH(Datos_Consumo[[#This Row],[FECHA]])</f>
        <v>2016-12</v>
      </c>
    </row>
    <row r="554" spans="1:4" x14ac:dyDescent="0.25">
      <c r="A554" t="s">
        <v>1566</v>
      </c>
      <c r="B554">
        <v>1</v>
      </c>
      <c r="C554" s="56">
        <v>42736</v>
      </c>
      <c r="D554" s="3" t="str">
        <f>YEAR(Datos_Consumo[[#This Row],[FECHA]])&amp;"-"&amp;MONTH(Datos_Consumo[[#This Row],[FECHA]])</f>
        <v>2017-1</v>
      </c>
    </row>
    <row r="555" spans="1:4" x14ac:dyDescent="0.25">
      <c r="A555" t="s">
        <v>1567</v>
      </c>
      <c r="B555">
        <v>2</v>
      </c>
      <c r="C555" s="56">
        <v>42705</v>
      </c>
      <c r="D555" s="3" t="str">
        <f>YEAR(Datos_Consumo[[#This Row],[FECHA]])&amp;"-"&amp;MONTH(Datos_Consumo[[#This Row],[FECHA]])</f>
        <v>2016-12</v>
      </c>
    </row>
    <row r="556" spans="1:4" x14ac:dyDescent="0.25">
      <c r="A556" t="s">
        <v>1567</v>
      </c>
      <c r="B556">
        <v>2</v>
      </c>
      <c r="C556" s="56">
        <v>42736</v>
      </c>
      <c r="D556" s="3" t="str">
        <f>YEAR(Datos_Consumo[[#This Row],[FECHA]])&amp;"-"&amp;MONTH(Datos_Consumo[[#This Row],[FECHA]])</f>
        <v>2017-1</v>
      </c>
    </row>
    <row r="557" spans="1:4" x14ac:dyDescent="0.25">
      <c r="A557" t="s">
        <v>1568</v>
      </c>
      <c r="B557">
        <v>1</v>
      </c>
      <c r="C557" s="56">
        <v>42675</v>
      </c>
      <c r="D557" s="3" t="str">
        <f>YEAR(Datos_Consumo[[#This Row],[FECHA]])&amp;"-"&amp;MONTH(Datos_Consumo[[#This Row],[FECHA]])</f>
        <v>2016-11</v>
      </c>
    </row>
    <row r="558" spans="1:4" x14ac:dyDescent="0.25">
      <c r="A558" t="s">
        <v>1568</v>
      </c>
      <c r="B558">
        <v>1</v>
      </c>
      <c r="C558" s="56">
        <v>42705</v>
      </c>
      <c r="D558" s="3" t="str">
        <f>YEAR(Datos_Consumo[[#This Row],[FECHA]])&amp;"-"&amp;MONTH(Datos_Consumo[[#This Row],[FECHA]])</f>
        <v>2016-12</v>
      </c>
    </row>
    <row r="559" spans="1:4" x14ac:dyDescent="0.25">
      <c r="A559" t="s">
        <v>1568</v>
      </c>
      <c r="B559">
        <v>2</v>
      </c>
      <c r="C559" s="56">
        <v>42736</v>
      </c>
      <c r="D559" s="3" t="str">
        <f>YEAR(Datos_Consumo[[#This Row],[FECHA]])&amp;"-"&amp;MONTH(Datos_Consumo[[#This Row],[FECHA]])</f>
        <v>2017-1</v>
      </c>
    </row>
    <row r="560" spans="1:4" x14ac:dyDescent="0.25">
      <c r="A560" t="s">
        <v>1569</v>
      </c>
      <c r="B560">
        <v>2</v>
      </c>
      <c r="C560" s="56">
        <v>42705</v>
      </c>
      <c r="D560" s="3" t="str">
        <f>YEAR(Datos_Consumo[[#This Row],[FECHA]])&amp;"-"&amp;MONTH(Datos_Consumo[[#This Row],[FECHA]])</f>
        <v>2016-12</v>
      </c>
    </row>
    <row r="561" spans="1:4" x14ac:dyDescent="0.25">
      <c r="A561" t="s">
        <v>1570</v>
      </c>
      <c r="B561">
        <v>2</v>
      </c>
      <c r="C561" s="56">
        <v>42705</v>
      </c>
      <c r="D561" s="3" t="str">
        <f>YEAR(Datos_Consumo[[#This Row],[FECHA]])&amp;"-"&amp;MONTH(Datos_Consumo[[#This Row],[FECHA]])</f>
        <v>2016-12</v>
      </c>
    </row>
    <row r="562" spans="1:4" x14ac:dyDescent="0.25">
      <c r="A562" t="s">
        <v>1571</v>
      </c>
      <c r="B562">
        <v>1</v>
      </c>
      <c r="C562" s="56">
        <v>42705</v>
      </c>
      <c r="D562" s="3" t="str">
        <f>YEAR(Datos_Consumo[[#This Row],[FECHA]])&amp;"-"&amp;MONTH(Datos_Consumo[[#This Row],[FECHA]])</f>
        <v>2016-12</v>
      </c>
    </row>
    <row r="563" spans="1:4" x14ac:dyDescent="0.25">
      <c r="A563" t="s">
        <v>1572</v>
      </c>
      <c r="B563">
        <v>1</v>
      </c>
      <c r="C563" s="56">
        <v>42644</v>
      </c>
      <c r="D563" s="3" t="str">
        <f>YEAR(Datos_Consumo[[#This Row],[FECHA]])&amp;"-"&amp;MONTH(Datos_Consumo[[#This Row],[FECHA]])</f>
        <v>2016-10</v>
      </c>
    </row>
    <row r="564" spans="1:4" x14ac:dyDescent="0.25">
      <c r="A564" t="s">
        <v>1572</v>
      </c>
      <c r="B564">
        <v>2</v>
      </c>
      <c r="C564" s="56">
        <v>42675</v>
      </c>
      <c r="D564" s="3" t="str">
        <f>YEAR(Datos_Consumo[[#This Row],[FECHA]])&amp;"-"&amp;MONTH(Datos_Consumo[[#This Row],[FECHA]])</f>
        <v>2016-11</v>
      </c>
    </row>
    <row r="565" spans="1:4" x14ac:dyDescent="0.25">
      <c r="A565" t="s">
        <v>1572</v>
      </c>
      <c r="B565">
        <v>1</v>
      </c>
      <c r="C565" s="56">
        <v>42705</v>
      </c>
      <c r="D565" s="3" t="str">
        <f>YEAR(Datos_Consumo[[#This Row],[FECHA]])&amp;"-"&amp;MONTH(Datos_Consumo[[#This Row],[FECHA]])</f>
        <v>2016-12</v>
      </c>
    </row>
    <row r="566" spans="1:4" x14ac:dyDescent="0.25">
      <c r="A566" t="s">
        <v>1572</v>
      </c>
      <c r="B566">
        <v>2</v>
      </c>
      <c r="C566" s="56">
        <v>42736</v>
      </c>
      <c r="D566" s="3" t="str">
        <f>YEAR(Datos_Consumo[[#This Row],[FECHA]])&amp;"-"&amp;MONTH(Datos_Consumo[[#This Row],[FECHA]])</f>
        <v>2017-1</v>
      </c>
    </row>
    <row r="567" spans="1:4" x14ac:dyDescent="0.25">
      <c r="A567" t="s">
        <v>1573</v>
      </c>
      <c r="B567">
        <v>2</v>
      </c>
      <c r="C567" s="56">
        <v>42675</v>
      </c>
      <c r="D567" s="3" t="str">
        <f>YEAR(Datos_Consumo[[#This Row],[FECHA]])&amp;"-"&amp;MONTH(Datos_Consumo[[#This Row],[FECHA]])</f>
        <v>2016-11</v>
      </c>
    </row>
    <row r="568" spans="1:4" x14ac:dyDescent="0.25">
      <c r="A568" t="s">
        <v>1573</v>
      </c>
      <c r="B568">
        <v>2</v>
      </c>
      <c r="C568" s="56">
        <v>42736</v>
      </c>
      <c r="D568" s="3" t="str">
        <f>YEAR(Datos_Consumo[[#This Row],[FECHA]])&amp;"-"&amp;MONTH(Datos_Consumo[[#This Row],[FECHA]])</f>
        <v>2017-1</v>
      </c>
    </row>
    <row r="569" spans="1:4" x14ac:dyDescent="0.25">
      <c r="A569" t="s">
        <v>1574</v>
      </c>
      <c r="B569">
        <v>1</v>
      </c>
      <c r="C569" s="56">
        <v>42675</v>
      </c>
      <c r="D569" s="3" t="str">
        <f>YEAR(Datos_Consumo[[#This Row],[FECHA]])&amp;"-"&amp;MONTH(Datos_Consumo[[#This Row],[FECHA]])</f>
        <v>2016-11</v>
      </c>
    </row>
    <row r="570" spans="1:4" x14ac:dyDescent="0.25">
      <c r="A570" t="s">
        <v>1574</v>
      </c>
      <c r="B570">
        <v>3</v>
      </c>
      <c r="C570" s="56">
        <v>42705</v>
      </c>
      <c r="D570" s="3" t="str">
        <f>YEAR(Datos_Consumo[[#This Row],[FECHA]])&amp;"-"&amp;MONTH(Datos_Consumo[[#This Row],[FECHA]])</f>
        <v>2016-12</v>
      </c>
    </row>
    <row r="571" spans="1:4" x14ac:dyDescent="0.25">
      <c r="A571" t="s">
        <v>1575</v>
      </c>
      <c r="B571">
        <v>1</v>
      </c>
      <c r="C571" s="56">
        <v>42644</v>
      </c>
      <c r="D571" s="3" t="str">
        <f>YEAR(Datos_Consumo[[#This Row],[FECHA]])&amp;"-"&amp;MONTH(Datos_Consumo[[#This Row],[FECHA]])</f>
        <v>2016-10</v>
      </c>
    </row>
    <row r="572" spans="1:4" x14ac:dyDescent="0.25">
      <c r="A572" t="s">
        <v>1576</v>
      </c>
      <c r="B572">
        <v>1</v>
      </c>
      <c r="C572" s="56">
        <v>42644</v>
      </c>
      <c r="D572" s="3" t="str">
        <f>YEAR(Datos_Consumo[[#This Row],[FECHA]])&amp;"-"&amp;MONTH(Datos_Consumo[[#This Row],[FECHA]])</f>
        <v>2016-10</v>
      </c>
    </row>
    <row r="573" spans="1:4" x14ac:dyDescent="0.25">
      <c r="A573" t="s">
        <v>1576</v>
      </c>
      <c r="B573">
        <v>2</v>
      </c>
      <c r="C573" s="56">
        <v>42705</v>
      </c>
      <c r="D573" s="3" t="str">
        <f>YEAR(Datos_Consumo[[#This Row],[FECHA]])&amp;"-"&amp;MONTH(Datos_Consumo[[#This Row],[FECHA]])</f>
        <v>2016-12</v>
      </c>
    </row>
    <row r="574" spans="1:4" x14ac:dyDescent="0.25">
      <c r="A574" t="s">
        <v>1576</v>
      </c>
      <c r="B574">
        <v>1</v>
      </c>
      <c r="C574" s="56">
        <v>42736</v>
      </c>
      <c r="D574" s="3" t="str">
        <f>YEAR(Datos_Consumo[[#This Row],[FECHA]])&amp;"-"&amp;MONTH(Datos_Consumo[[#This Row],[FECHA]])</f>
        <v>2017-1</v>
      </c>
    </row>
    <row r="575" spans="1:4" x14ac:dyDescent="0.25">
      <c r="A575" t="s">
        <v>1577</v>
      </c>
      <c r="B575">
        <v>1</v>
      </c>
      <c r="C575" s="56">
        <v>42675</v>
      </c>
      <c r="D575" s="3" t="str">
        <f>YEAR(Datos_Consumo[[#This Row],[FECHA]])&amp;"-"&amp;MONTH(Datos_Consumo[[#This Row],[FECHA]])</f>
        <v>2016-11</v>
      </c>
    </row>
    <row r="576" spans="1:4" x14ac:dyDescent="0.25">
      <c r="A576" t="s">
        <v>1578</v>
      </c>
      <c r="B576">
        <v>1</v>
      </c>
      <c r="C576" s="56">
        <v>42705</v>
      </c>
      <c r="D576" s="3" t="str">
        <f>YEAR(Datos_Consumo[[#This Row],[FECHA]])&amp;"-"&amp;MONTH(Datos_Consumo[[#This Row],[FECHA]])</f>
        <v>2016-12</v>
      </c>
    </row>
    <row r="577" spans="1:4" x14ac:dyDescent="0.25">
      <c r="A577" t="s">
        <v>1579</v>
      </c>
      <c r="B577">
        <v>3</v>
      </c>
      <c r="C577" s="56">
        <v>42705</v>
      </c>
      <c r="D577" s="3" t="str">
        <f>YEAR(Datos_Consumo[[#This Row],[FECHA]])&amp;"-"&amp;MONTH(Datos_Consumo[[#This Row],[FECHA]])</f>
        <v>2016-12</v>
      </c>
    </row>
    <row r="578" spans="1:4" x14ac:dyDescent="0.25">
      <c r="A578" t="s">
        <v>1580</v>
      </c>
      <c r="B578">
        <v>1</v>
      </c>
      <c r="C578" s="56">
        <v>42675</v>
      </c>
      <c r="D578" s="3" t="str">
        <f>YEAR(Datos_Consumo[[#This Row],[FECHA]])&amp;"-"&amp;MONTH(Datos_Consumo[[#This Row],[FECHA]])</f>
        <v>2016-11</v>
      </c>
    </row>
    <row r="579" spans="1:4" x14ac:dyDescent="0.25">
      <c r="A579" t="s">
        <v>1581</v>
      </c>
      <c r="B579">
        <v>1</v>
      </c>
      <c r="C579" s="56">
        <v>42675</v>
      </c>
      <c r="D579" s="3" t="str">
        <f>YEAR(Datos_Consumo[[#This Row],[FECHA]])&amp;"-"&amp;MONTH(Datos_Consumo[[#This Row],[FECHA]])</f>
        <v>2016-11</v>
      </c>
    </row>
    <row r="580" spans="1:4" x14ac:dyDescent="0.25">
      <c r="A580" t="s">
        <v>1582</v>
      </c>
      <c r="B580">
        <v>1</v>
      </c>
      <c r="C580" s="56">
        <v>42705</v>
      </c>
      <c r="D580" s="3" t="str">
        <f>YEAR(Datos_Consumo[[#This Row],[FECHA]])&amp;"-"&amp;MONTH(Datos_Consumo[[#This Row],[FECHA]])</f>
        <v>2016-12</v>
      </c>
    </row>
    <row r="581" spans="1:4" x14ac:dyDescent="0.25">
      <c r="A581" t="s">
        <v>1583</v>
      </c>
      <c r="B581">
        <v>1</v>
      </c>
      <c r="C581" s="56">
        <v>42675</v>
      </c>
      <c r="D581" s="3" t="str">
        <f>YEAR(Datos_Consumo[[#This Row],[FECHA]])&amp;"-"&amp;MONTH(Datos_Consumo[[#This Row],[FECHA]])</f>
        <v>2016-11</v>
      </c>
    </row>
    <row r="582" spans="1:4" x14ac:dyDescent="0.25">
      <c r="A582" t="s">
        <v>1584</v>
      </c>
      <c r="B582">
        <v>1</v>
      </c>
      <c r="C582" s="56">
        <v>42675</v>
      </c>
      <c r="D582" s="3" t="str">
        <f>YEAR(Datos_Consumo[[#This Row],[FECHA]])&amp;"-"&amp;MONTH(Datos_Consumo[[#This Row],[FECHA]])</f>
        <v>2016-11</v>
      </c>
    </row>
    <row r="583" spans="1:4" x14ac:dyDescent="0.25">
      <c r="A583" t="s">
        <v>1585</v>
      </c>
      <c r="B583">
        <v>1</v>
      </c>
      <c r="C583" s="56">
        <v>42675</v>
      </c>
      <c r="D583" s="3" t="str">
        <f>YEAR(Datos_Consumo[[#This Row],[FECHA]])&amp;"-"&amp;MONTH(Datos_Consumo[[#This Row],[FECHA]])</f>
        <v>2016-11</v>
      </c>
    </row>
    <row r="584" spans="1:4" x14ac:dyDescent="0.25">
      <c r="A584" t="s">
        <v>1586</v>
      </c>
      <c r="B584">
        <v>1</v>
      </c>
      <c r="C584" s="56">
        <v>42705</v>
      </c>
      <c r="D584" s="3" t="str">
        <f>YEAR(Datos_Consumo[[#This Row],[FECHA]])&amp;"-"&amp;MONTH(Datos_Consumo[[#This Row],[FECHA]])</f>
        <v>2016-12</v>
      </c>
    </row>
    <row r="585" spans="1:4" x14ac:dyDescent="0.25">
      <c r="A585" t="s">
        <v>1587</v>
      </c>
      <c r="B585">
        <v>1</v>
      </c>
      <c r="C585" s="56">
        <v>42675</v>
      </c>
      <c r="D585" s="3" t="str">
        <f>YEAR(Datos_Consumo[[#This Row],[FECHA]])&amp;"-"&amp;MONTH(Datos_Consumo[[#This Row],[FECHA]])</f>
        <v>2016-11</v>
      </c>
    </row>
    <row r="586" spans="1:4" x14ac:dyDescent="0.25">
      <c r="A586" t="s">
        <v>1588</v>
      </c>
      <c r="B586">
        <v>1</v>
      </c>
      <c r="C586" s="56">
        <v>42675</v>
      </c>
      <c r="D586" s="3" t="str">
        <f>YEAR(Datos_Consumo[[#This Row],[FECHA]])&amp;"-"&amp;MONTH(Datos_Consumo[[#This Row],[FECHA]])</f>
        <v>2016-11</v>
      </c>
    </row>
    <row r="587" spans="1:4" x14ac:dyDescent="0.25">
      <c r="A587" t="s">
        <v>1589</v>
      </c>
      <c r="B587">
        <v>1</v>
      </c>
      <c r="C587" s="56">
        <v>42705</v>
      </c>
      <c r="D587" s="3" t="str">
        <f>YEAR(Datos_Consumo[[#This Row],[FECHA]])&amp;"-"&amp;MONTH(Datos_Consumo[[#This Row],[FECHA]])</f>
        <v>2016-12</v>
      </c>
    </row>
    <row r="588" spans="1:4" x14ac:dyDescent="0.25">
      <c r="A588" t="s">
        <v>1590</v>
      </c>
      <c r="B588">
        <v>2</v>
      </c>
      <c r="C588" s="56">
        <v>42675</v>
      </c>
      <c r="D588" s="3" t="str">
        <f>YEAR(Datos_Consumo[[#This Row],[FECHA]])&amp;"-"&amp;MONTH(Datos_Consumo[[#This Row],[FECHA]])</f>
        <v>2016-11</v>
      </c>
    </row>
    <row r="589" spans="1:4" x14ac:dyDescent="0.25">
      <c r="A589" t="s">
        <v>1591</v>
      </c>
      <c r="B589">
        <v>1</v>
      </c>
      <c r="C589" s="56">
        <v>42675</v>
      </c>
      <c r="D589" s="3" t="str">
        <f>YEAR(Datos_Consumo[[#This Row],[FECHA]])&amp;"-"&amp;MONTH(Datos_Consumo[[#This Row],[FECHA]])</f>
        <v>2016-11</v>
      </c>
    </row>
    <row r="590" spans="1:4" x14ac:dyDescent="0.25">
      <c r="A590" t="s">
        <v>1591</v>
      </c>
      <c r="B590">
        <v>1</v>
      </c>
      <c r="C590" s="56">
        <v>42736</v>
      </c>
      <c r="D590" s="3" t="str">
        <f>YEAR(Datos_Consumo[[#This Row],[FECHA]])&amp;"-"&amp;MONTH(Datos_Consumo[[#This Row],[FECHA]])</f>
        <v>2017-1</v>
      </c>
    </row>
    <row r="591" spans="1:4" x14ac:dyDescent="0.25">
      <c r="A591" t="s">
        <v>1592</v>
      </c>
      <c r="B591">
        <v>1</v>
      </c>
      <c r="C591" s="56">
        <v>42644</v>
      </c>
      <c r="D591" s="3" t="str">
        <f>YEAR(Datos_Consumo[[#This Row],[FECHA]])&amp;"-"&amp;MONTH(Datos_Consumo[[#This Row],[FECHA]])</f>
        <v>2016-10</v>
      </c>
    </row>
    <row r="592" spans="1:4" x14ac:dyDescent="0.25">
      <c r="A592" t="s">
        <v>1593</v>
      </c>
      <c r="B592">
        <v>1</v>
      </c>
      <c r="C592" s="56">
        <v>42644</v>
      </c>
      <c r="D592" s="3" t="str">
        <f>YEAR(Datos_Consumo[[#This Row],[FECHA]])&amp;"-"&amp;MONTH(Datos_Consumo[[#This Row],[FECHA]])</f>
        <v>2016-10</v>
      </c>
    </row>
    <row r="593" spans="1:4" x14ac:dyDescent="0.25">
      <c r="A593" t="s">
        <v>1593</v>
      </c>
      <c r="B593">
        <v>4</v>
      </c>
      <c r="C593" s="56">
        <v>42705</v>
      </c>
      <c r="D593" s="3" t="str">
        <f>YEAR(Datos_Consumo[[#This Row],[FECHA]])&amp;"-"&amp;MONTH(Datos_Consumo[[#This Row],[FECHA]])</f>
        <v>2016-12</v>
      </c>
    </row>
    <row r="594" spans="1:4" x14ac:dyDescent="0.25">
      <c r="A594" t="s">
        <v>1593</v>
      </c>
      <c r="B594">
        <v>4</v>
      </c>
      <c r="C594" s="56">
        <v>42736</v>
      </c>
      <c r="D594" s="3" t="str">
        <f>YEAR(Datos_Consumo[[#This Row],[FECHA]])&amp;"-"&amp;MONTH(Datos_Consumo[[#This Row],[FECHA]])</f>
        <v>2017-1</v>
      </c>
    </row>
    <row r="595" spans="1:4" x14ac:dyDescent="0.25">
      <c r="A595" t="s">
        <v>1594</v>
      </c>
      <c r="B595">
        <v>1</v>
      </c>
      <c r="C595" s="56">
        <v>42675</v>
      </c>
      <c r="D595" s="3" t="str">
        <f>YEAR(Datos_Consumo[[#This Row],[FECHA]])&amp;"-"&amp;MONTH(Datos_Consumo[[#This Row],[FECHA]])</f>
        <v>2016-11</v>
      </c>
    </row>
    <row r="596" spans="1:4" x14ac:dyDescent="0.25">
      <c r="A596" t="s">
        <v>1595</v>
      </c>
      <c r="B596">
        <v>1</v>
      </c>
      <c r="C596" s="56">
        <v>42644</v>
      </c>
      <c r="D596" s="3" t="str">
        <f>YEAR(Datos_Consumo[[#This Row],[FECHA]])&amp;"-"&amp;MONTH(Datos_Consumo[[#This Row],[FECHA]])</f>
        <v>2016-10</v>
      </c>
    </row>
    <row r="597" spans="1:4" x14ac:dyDescent="0.25">
      <c r="A597" t="s">
        <v>1595</v>
      </c>
      <c r="B597">
        <v>1</v>
      </c>
      <c r="C597" s="56">
        <v>42675</v>
      </c>
      <c r="D597" s="3" t="str">
        <f>YEAR(Datos_Consumo[[#This Row],[FECHA]])&amp;"-"&amp;MONTH(Datos_Consumo[[#This Row],[FECHA]])</f>
        <v>2016-11</v>
      </c>
    </row>
    <row r="598" spans="1:4" x14ac:dyDescent="0.25">
      <c r="A598" t="s">
        <v>1596</v>
      </c>
      <c r="B598">
        <v>1</v>
      </c>
      <c r="C598" s="56">
        <v>42675</v>
      </c>
      <c r="D598" s="3" t="str">
        <f>YEAR(Datos_Consumo[[#This Row],[FECHA]])&amp;"-"&amp;MONTH(Datos_Consumo[[#This Row],[FECHA]])</f>
        <v>2016-11</v>
      </c>
    </row>
    <row r="599" spans="1:4" x14ac:dyDescent="0.25">
      <c r="A599" t="s">
        <v>1597</v>
      </c>
      <c r="B599">
        <v>1</v>
      </c>
      <c r="C599" s="56">
        <v>42675</v>
      </c>
      <c r="D599" s="3" t="str">
        <f>YEAR(Datos_Consumo[[#This Row],[FECHA]])&amp;"-"&amp;MONTH(Datos_Consumo[[#This Row],[FECHA]])</f>
        <v>2016-11</v>
      </c>
    </row>
    <row r="600" spans="1:4" x14ac:dyDescent="0.25">
      <c r="A600" t="s">
        <v>1693</v>
      </c>
      <c r="B600">
        <v>1</v>
      </c>
      <c r="C600" s="56">
        <v>42705</v>
      </c>
      <c r="D600" s="3" t="str">
        <f>YEAR(Datos_Consumo[[#This Row],[FECHA]])&amp;"-"&amp;MONTH(Datos_Consumo[[#This Row],[FECHA]])</f>
        <v>2016-12</v>
      </c>
    </row>
    <row r="601" spans="1:4" x14ac:dyDescent="0.25">
      <c r="A601" t="s">
        <v>1694</v>
      </c>
      <c r="B601">
        <v>1</v>
      </c>
      <c r="C601" s="56">
        <v>42705</v>
      </c>
      <c r="D601" s="3" t="str">
        <f>YEAR(Datos_Consumo[[#This Row],[FECHA]])&amp;"-"&amp;MONTH(Datos_Consumo[[#This Row],[FECHA]])</f>
        <v>2016-12</v>
      </c>
    </row>
    <row r="602" spans="1:4" x14ac:dyDescent="0.25">
      <c r="A602" t="s">
        <v>1695</v>
      </c>
      <c r="B602">
        <v>1</v>
      </c>
      <c r="C602" s="56">
        <v>42675</v>
      </c>
      <c r="D602" s="3" t="str">
        <f>YEAR(Datos_Consumo[[#This Row],[FECHA]])&amp;"-"&amp;MONTH(Datos_Consumo[[#This Row],[FECHA]])</f>
        <v>2016-11</v>
      </c>
    </row>
    <row r="603" spans="1:4" x14ac:dyDescent="0.25">
      <c r="A603" t="s">
        <v>1695</v>
      </c>
      <c r="B603">
        <v>1</v>
      </c>
      <c r="C603" s="56">
        <v>42705</v>
      </c>
      <c r="D603" s="3" t="str">
        <f>YEAR(Datos_Consumo[[#This Row],[FECHA]])&amp;"-"&amp;MONTH(Datos_Consumo[[#This Row],[FECHA]])</f>
        <v>2016-12</v>
      </c>
    </row>
    <row r="604" spans="1:4" x14ac:dyDescent="0.25">
      <c r="A604" t="s">
        <v>1696</v>
      </c>
      <c r="B604">
        <v>1</v>
      </c>
      <c r="C604" s="56">
        <v>42675</v>
      </c>
      <c r="D604" s="3" t="str">
        <f>YEAR(Datos_Consumo[[#This Row],[FECHA]])&amp;"-"&amp;MONTH(Datos_Consumo[[#This Row],[FECHA]])</f>
        <v>2016-11</v>
      </c>
    </row>
    <row r="605" spans="1:4" x14ac:dyDescent="0.25">
      <c r="A605" t="s">
        <v>1697</v>
      </c>
      <c r="B605">
        <v>1</v>
      </c>
      <c r="C605" s="56">
        <v>42736</v>
      </c>
      <c r="D605" s="3" t="str">
        <f>YEAR(Datos_Consumo[[#This Row],[FECHA]])&amp;"-"&amp;MONTH(Datos_Consumo[[#This Row],[FECHA]])</f>
        <v>2017-1</v>
      </c>
    </row>
    <row r="606" spans="1:4" x14ac:dyDescent="0.25">
      <c r="A606" t="s">
        <v>1698</v>
      </c>
      <c r="B606">
        <v>2</v>
      </c>
      <c r="C606" s="56">
        <v>42675</v>
      </c>
      <c r="D606" s="3" t="str">
        <f>YEAR(Datos_Consumo[[#This Row],[FECHA]])&amp;"-"&amp;MONTH(Datos_Consumo[[#This Row],[FECHA]])</f>
        <v>2016-11</v>
      </c>
    </row>
    <row r="607" spans="1:4" x14ac:dyDescent="0.25">
      <c r="A607" t="s">
        <v>1598</v>
      </c>
      <c r="B607">
        <v>1</v>
      </c>
      <c r="C607" s="56">
        <v>42675</v>
      </c>
      <c r="D607" s="3" t="str">
        <f>YEAR(Datos_Consumo[[#This Row],[FECHA]])&amp;"-"&amp;MONTH(Datos_Consumo[[#This Row],[FECHA]])</f>
        <v>2016-11</v>
      </c>
    </row>
    <row r="608" spans="1:4" x14ac:dyDescent="0.25">
      <c r="A608" t="s">
        <v>1599</v>
      </c>
      <c r="B608">
        <v>1</v>
      </c>
      <c r="C608" s="56">
        <v>42644</v>
      </c>
      <c r="D608" s="3" t="str">
        <f>YEAR(Datos_Consumo[[#This Row],[FECHA]])&amp;"-"&amp;MONTH(Datos_Consumo[[#This Row],[FECHA]])</f>
        <v>2016-10</v>
      </c>
    </row>
    <row r="609" spans="1:4" x14ac:dyDescent="0.25">
      <c r="A609" t="s">
        <v>1599</v>
      </c>
      <c r="B609">
        <v>3</v>
      </c>
      <c r="C609" s="56">
        <v>42675</v>
      </c>
      <c r="D609" s="3" t="str">
        <f>YEAR(Datos_Consumo[[#This Row],[FECHA]])&amp;"-"&amp;MONTH(Datos_Consumo[[#This Row],[FECHA]])</f>
        <v>2016-11</v>
      </c>
    </row>
    <row r="610" spans="1:4" x14ac:dyDescent="0.25">
      <c r="A610" t="s">
        <v>1599</v>
      </c>
      <c r="B610">
        <v>2</v>
      </c>
      <c r="C610" s="56">
        <v>42705</v>
      </c>
      <c r="D610" s="3" t="str">
        <f>YEAR(Datos_Consumo[[#This Row],[FECHA]])&amp;"-"&amp;MONTH(Datos_Consumo[[#This Row],[FECHA]])</f>
        <v>2016-12</v>
      </c>
    </row>
    <row r="611" spans="1:4" x14ac:dyDescent="0.25">
      <c r="A611" t="s">
        <v>1599</v>
      </c>
      <c r="B611">
        <v>4</v>
      </c>
      <c r="C611" s="56">
        <v>42736</v>
      </c>
      <c r="D611" s="3" t="str">
        <f>YEAR(Datos_Consumo[[#This Row],[FECHA]])&amp;"-"&amp;MONTH(Datos_Consumo[[#This Row],[FECHA]])</f>
        <v>2017-1</v>
      </c>
    </row>
    <row r="612" spans="1:4" x14ac:dyDescent="0.25">
      <c r="A612" t="s">
        <v>1600</v>
      </c>
      <c r="B612">
        <v>1</v>
      </c>
      <c r="C612" s="56">
        <v>42644</v>
      </c>
      <c r="D612" s="3" t="str">
        <f>YEAR(Datos_Consumo[[#This Row],[FECHA]])&amp;"-"&amp;MONTH(Datos_Consumo[[#This Row],[FECHA]])</f>
        <v>2016-10</v>
      </c>
    </row>
    <row r="613" spans="1:4" x14ac:dyDescent="0.25">
      <c r="A613" t="s">
        <v>1600</v>
      </c>
      <c r="B613">
        <v>1</v>
      </c>
      <c r="C613" s="56">
        <v>42675</v>
      </c>
      <c r="D613" s="3" t="str">
        <f>YEAR(Datos_Consumo[[#This Row],[FECHA]])&amp;"-"&amp;MONTH(Datos_Consumo[[#This Row],[FECHA]])</f>
        <v>2016-11</v>
      </c>
    </row>
    <row r="614" spans="1:4" x14ac:dyDescent="0.25">
      <c r="A614" t="s">
        <v>1600</v>
      </c>
      <c r="B614">
        <v>4</v>
      </c>
      <c r="C614" s="56">
        <v>42705</v>
      </c>
      <c r="D614" s="3" t="str">
        <f>YEAR(Datos_Consumo[[#This Row],[FECHA]])&amp;"-"&amp;MONTH(Datos_Consumo[[#This Row],[FECHA]])</f>
        <v>2016-12</v>
      </c>
    </row>
    <row r="615" spans="1:4" x14ac:dyDescent="0.25">
      <c r="A615" t="s">
        <v>1699</v>
      </c>
      <c r="B615">
        <v>5</v>
      </c>
      <c r="C615" s="56">
        <v>42644</v>
      </c>
      <c r="D615" s="3" t="str">
        <f>YEAR(Datos_Consumo[[#This Row],[FECHA]])&amp;"-"&amp;MONTH(Datos_Consumo[[#This Row],[FECHA]])</f>
        <v>2016-10</v>
      </c>
    </row>
    <row r="616" spans="1:4" x14ac:dyDescent="0.25">
      <c r="A616" t="s">
        <v>1699</v>
      </c>
      <c r="B616">
        <v>1</v>
      </c>
      <c r="C616" s="56">
        <v>42675</v>
      </c>
      <c r="D616" s="3" t="str">
        <f>YEAR(Datos_Consumo[[#This Row],[FECHA]])&amp;"-"&amp;MONTH(Datos_Consumo[[#This Row],[FECHA]])</f>
        <v>2016-11</v>
      </c>
    </row>
    <row r="617" spans="1:4" x14ac:dyDescent="0.25">
      <c r="A617" t="s">
        <v>1700</v>
      </c>
      <c r="B617">
        <v>542</v>
      </c>
      <c r="C617" s="56">
        <v>42644</v>
      </c>
      <c r="D617" s="3" t="str">
        <f>YEAR(Datos_Consumo[[#This Row],[FECHA]])&amp;"-"&amp;MONTH(Datos_Consumo[[#This Row],[FECHA]])</f>
        <v>2016-10</v>
      </c>
    </row>
    <row r="618" spans="1:4" x14ac:dyDescent="0.25">
      <c r="A618" t="s">
        <v>1700</v>
      </c>
      <c r="B618">
        <v>1509</v>
      </c>
      <c r="C618" s="56">
        <v>42675</v>
      </c>
      <c r="D618" s="3" t="str">
        <f>YEAR(Datos_Consumo[[#This Row],[FECHA]])&amp;"-"&amp;MONTH(Datos_Consumo[[#This Row],[FECHA]])</f>
        <v>2016-11</v>
      </c>
    </row>
    <row r="619" spans="1:4" x14ac:dyDescent="0.25">
      <c r="A619" t="s">
        <v>1700</v>
      </c>
      <c r="B619">
        <v>2071</v>
      </c>
      <c r="C619" s="56">
        <v>42705</v>
      </c>
      <c r="D619" s="3" t="str">
        <f>YEAR(Datos_Consumo[[#This Row],[FECHA]])&amp;"-"&amp;MONTH(Datos_Consumo[[#This Row],[FECHA]])</f>
        <v>2016-12</v>
      </c>
    </row>
    <row r="620" spans="1:4" x14ac:dyDescent="0.25">
      <c r="A620" t="s">
        <v>1700</v>
      </c>
      <c r="B620">
        <v>2926</v>
      </c>
      <c r="C620" s="56">
        <v>42736</v>
      </c>
      <c r="D620" s="3" t="str">
        <f>YEAR(Datos_Consumo[[#This Row],[FECHA]])&amp;"-"&amp;MONTH(Datos_Consumo[[#This Row],[FECHA]])</f>
        <v>2017-1</v>
      </c>
    </row>
    <row r="621" spans="1:4" x14ac:dyDescent="0.25">
      <c r="A621" t="s">
        <v>1614</v>
      </c>
      <c r="B621">
        <v>3</v>
      </c>
      <c r="C621" s="56">
        <v>42675</v>
      </c>
      <c r="D621" s="3" t="str">
        <f>YEAR(Datos_Consumo[[#This Row],[FECHA]])&amp;"-"&amp;MONTH(Datos_Consumo[[#This Row],[FECHA]])</f>
        <v>2016-11</v>
      </c>
    </row>
    <row r="622" spans="1:4" x14ac:dyDescent="0.25">
      <c r="A622" t="s">
        <v>1614</v>
      </c>
      <c r="B622">
        <v>1</v>
      </c>
      <c r="C622" s="56">
        <v>42705</v>
      </c>
      <c r="D622" s="3" t="str">
        <f>YEAR(Datos_Consumo[[#This Row],[FECHA]])&amp;"-"&amp;MONTH(Datos_Consumo[[#This Row],[FECHA]])</f>
        <v>2016-12</v>
      </c>
    </row>
    <row r="623" spans="1:4" x14ac:dyDescent="0.25">
      <c r="A623" t="s">
        <v>1701</v>
      </c>
      <c r="B623">
        <v>12</v>
      </c>
      <c r="C623" s="56">
        <v>42644</v>
      </c>
      <c r="D623" s="3" t="str">
        <f>YEAR(Datos_Consumo[[#This Row],[FECHA]])&amp;"-"&amp;MONTH(Datos_Consumo[[#This Row],[FECHA]])</f>
        <v>2016-10</v>
      </c>
    </row>
    <row r="624" spans="1:4" x14ac:dyDescent="0.25">
      <c r="A624" t="s">
        <v>1701</v>
      </c>
      <c r="B624">
        <v>8</v>
      </c>
      <c r="C624" s="56">
        <v>42675</v>
      </c>
      <c r="D624" s="3" t="str">
        <f>YEAR(Datos_Consumo[[#This Row],[FECHA]])&amp;"-"&amp;MONTH(Datos_Consumo[[#This Row],[FECHA]])</f>
        <v>2016-11</v>
      </c>
    </row>
    <row r="625" spans="1:4" x14ac:dyDescent="0.25">
      <c r="A625" t="s">
        <v>1701</v>
      </c>
      <c r="B625">
        <v>7</v>
      </c>
      <c r="C625" s="56">
        <v>42705</v>
      </c>
      <c r="D625" s="3" t="str">
        <f>YEAR(Datos_Consumo[[#This Row],[FECHA]])&amp;"-"&amp;MONTH(Datos_Consumo[[#This Row],[FECHA]])</f>
        <v>2016-12</v>
      </c>
    </row>
    <row r="626" spans="1:4" x14ac:dyDescent="0.25">
      <c r="A626" t="s">
        <v>1701</v>
      </c>
      <c r="B626">
        <v>9</v>
      </c>
      <c r="C626" s="56">
        <v>42736</v>
      </c>
      <c r="D626" s="3" t="str">
        <f>YEAR(Datos_Consumo[[#This Row],[FECHA]])&amp;"-"&amp;MONTH(Datos_Consumo[[#This Row],[FECHA]])</f>
        <v>2017-1</v>
      </c>
    </row>
    <row r="627" spans="1:4" x14ac:dyDescent="0.25">
      <c r="A627" t="s">
        <v>1702</v>
      </c>
      <c r="B627">
        <v>1</v>
      </c>
      <c r="C627" s="56">
        <v>42644</v>
      </c>
      <c r="D627" s="3" t="str">
        <f>YEAR(Datos_Consumo[[#This Row],[FECHA]])&amp;"-"&amp;MONTH(Datos_Consumo[[#This Row],[FECHA]])</f>
        <v>2016-10</v>
      </c>
    </row>
    <row r="628" spans="1:4" x14ac:dyDescent="0.25">
      <c r="A628" t="s">
        <v>1702</v>
      </c>
      <c r="B628">
        <v>9</v>
      </c>
      <c r="C628" s="56">
        <v>42675</v>
      </c>
      <c r="D628" s="3" t="str">
        <f>YEAR(Datos_Consumo[[#This Row],[FECHA]])&amp;"-"&amp;MONTH(Datos_Consumo[[#This Row],[FECHA]])</f>
        <v>2016-11</v>
      </c>
    </row>
    <row r="629" spans="1:4" x14ac:dyDescent="0.25">
      <c r="A629" t="s">
        <v>1615</v>
      </c>
      <c r="B629">
        <v>23</v>
      </c>
      <c r="C629" s="56">
        <v>42644</v>
      </c>
      <c r="D629" s="3" t="str">
        <f>YEAR(Datos_Consumo[[#This Row],[FECHA]])&amp;"-"&amp;MONTH(Datos_Consumo[[#This Row],[FECHA]])</f>
        <v>2016-10</v>
      </c>
    </row>
    <row r="630" spans="1:4" x14ac:dyDescent="0.25">
      <c r="A630" t="s">
        <v>1615</v>
      </c>
      <c r="B630">
        <v>11</v>
      </c>
      <c r="C630" s="56">
        <v>42675</v>
      </c>
      <c r="D630" s="3" t="str">
        <f>YEAR(Datos_Consumo[[#This Row],[FECHA]])&amp;"-"&amp;MONTH(Datos_Consumo[[#This Row],[FECHA]])</f>
        <v>2016-11</v>
      </c>
    </row>
    <row r="631" spans="1:4" x14ac:dyDescent="0.25">
      <c r="A631" t="s">
        <v>1615</v>
      </c>
      <c r="B631">
        <v>10</v>
      </c>
      <c r="C631" s="56">
        <v>42705</v>
      </c>
      <c r="D631" s="3" t="str">
        <f>YEAR(Datos_Consumo[[#This Row],[FECHA]])&amp;"-"&amp;MONTH(Datos_Consumo[[#This Row],[FECHA]])</f>
        <v>2016-12</v>
      </c>
    </row>
    <row r="632" spans="1:4" x14ac:dyDescent="0.25">
      <c r="A632" t="s">
        <v>1615</v>
      </c>
      <c r="B632">
        <v>9</v>
      </c>
      <c r="C632" s="56">
        <v>42736</v>
      </c>
      <c r="D632" s="3" t="str">
        <f>YEAR(Datos_Consumo[[#This Row],[FECHA]])&amp;"-"&amp;MONTH(Datos_Consumo[[#This Row],[FECHA]])</f>
        <v>2017-1</v>
      </c>
    </row>
    <row r="633" spans="1:4" x14ac:dyDescent="0.25">
      <c r="A633" t="s">
        <v>1703</v>
      </c>
      <c r="B633">
        <v>1</v>
      </c>
      <c r="C633" s="56">
        <v>42675</v>
      </c>
      <c r="D633" s="3" t="str">
        <f>YEAR(Datos_Consumo[[#This Row],[FECHA]])&amp;"-"&amp;MONTH(Datos_Consumo[[#This Row],[FECHA]])</f>
        <v>2016-11</v>
      </c>
    </row>
    <row r="634" spans="1:4" x14ac:dyDescent="0.25">
      <c r="A634" t="s">
        <v>1704</v>
      </c>
      <c r="B634">
        <v>10</v>
      </c>
      <c r="C634" s="56">
        <v>42644</v>
      </c>
      <c r="D634" s="3" t="str">
        <f>YEAR(Datos_Consumo[[#This Row],[FECHA]])&amp;"-"&amp;MONTH(Datos_Consumo[[#This Row],[FECHA]])</f>
        <v>2016-10</v>
      </c>
    </row>
    <row r="635" spans="1:4" x14ac:dyDescent="0.25">
      <c r="A635" t="s">
        <v>1704</v>
      </c>
      <c r="B635">
        <v>10</v>
      </c>
      <c r="C635" s="56">
        <v>42705</v>
      </c>
      <c r="D635" s="3" t="str">
        <f>YEAR(Datos_Consumo[[#This Row],[FECHA]])&amp;"-"&amp;MONTH(Datos_Consumo[[#This Row],[FECHA]])</f>
        <v>2016-12</v>
      </c>
    </row>
    <row r="636" spans="1:4" x14ac:dyDescent="0.25">
      <c r="A636" t="s">
        <v>1393</v>
      </c>
      <c r="B636">
        <v>2210</v>
      </c>
      <c r="C636" s="56">
        <v>42644</v>
      </c>
      <c r="D636" s="3" t="str">
        <f>YEAR(Datos_Consumo[[#This Row],[FECHA]])&amp;"-"&amp;MONTH(Datos_Consumo[[#This Row],[FECHA]])</f>
        <v>2016-10</v>
      </c>
    </row>
    <row r="637" spans="1:4" x14ac:dyDescent="0.25">
      <c r="A637" t="s">
        <v>1393</v>
      </c>
      <c r="B637">
        <v>3070</v>
      </c>
      <c r="C637" s="56">
        <v>42675</v>
      </c>
      <c r="D637" s="3" t="str">
        <f>YEAR(Datos_Consumo[[#This Row],[FECHA]])&amp;"-"&amp;MONTH(Datos_Consumo[[#This Row],[FECHA]])</f>
        <v>2016-11</v>
      </c>
    </row>
    <row r="638" spans="1:4" x14ac:dyDescent="0.25">
      <c r="A638" t="s">
        <v>1393</v>
      </c>
      <c r="B638">
        <v>2985</v>
      </c>
      <c r="C638" s="56">
        <v>42705</v>
      </c>
      <c r="D638" s="3" t="str">
        <f>YEAR(Datos_Consumo[[#This Row],[FECHA]])&amp;"-"&amp;MONTH(Datos_Consumo[[#This Row],[FECHA]])</f>
        <v>2016-12</v>
      </c>
    </row>
    <row r="639" spans="1:4" x14ac:dyDescent="0.25">
      <c r="A639" t="s">
        <v>1393</v>
      </c>
      <c r="B639">
        <v>1317</v>
      </c>
      <c r="C639" s="56">
        <v>42736</v>
      </c>
      <c r="D639" s="3" t="str">
        <f>YEAR(Datos_Consumo[[#This Row],[FECHA]])&amp;"-"&amp;MONTH(Datos_Consumo[[#This Row],[FECHA]])</f>
        <v>2017-1</v>
      </c>
    </row>
    <row r="640" spans="1:4" x14ac:dyDescent="0.25">
      <c r="A640" t="s">
        <v>1394</v>
      </c>
      <c r="B640">
        <v>3746</v>
      </c>
      <c r="C640" s="56">
        <v>42644</v>
      </c>
      <c r="D640" s="3" t="str">
        <f>YEAR(Datos_Consumo[[#This Row],[FECHA]])&amp;"-"&amp;MONTH(Datos_Consumo[[#This Row],[FECHA]])</f>
        <v>2016-10</v>
      </c>
    </row>
    <row r="641" spans="1:4" x14ac:dyDescent="0.25">
      <c r="A641" t="s">
        <v>1394</v>
      </c>
      <c r="B641">
        <v>4898</v>
      </c>
      <c r="C641" s="56">
        <v>42675</v>
      </c>
      <c r="D641" s="3" t="str">
        <f>YEAR(Datos_Consumo[[#This Row],[FECHA]])&amp;"-"&amp;MONTH(Datos_Consumo[[#This Row],[FECHA]])</f>
        <v>2016-11</v>
      </c>
    </row>
    <row r="642" spans="1:4" x14ac:dyDescent="0.25">
      <c r="A642" t="s">
        <v>1394</v>
      </c>
      <c r="B642">
        <v>4791</v>
      </c>
      <c r="C642" s="56">
        <v>42705</v>
      </c>
      <c r="D642" s="3" t="str">
        <f>YEAR(Datos_Consumo[[#This Row],[FECHA]])&amp;"-"&amp;MONTH(Datos_Consumo[[#This Row],[FECHA]])</f>
        <v>2016-12</v>
      </c>
    </row>
    <row r="643" spans="1:4" x14ac:dyDescent="0.25">
      <c r="A643" t="s">
        <v>1394</v>
      </c>
      <c r="B643">
        <v>2126</v>
      </c>
      <c r="C643" s="56">
        <v>42736</v>
      </c>
      <c r="D643" s="3" t="str">
        <f>YEAR(Datos_Consumo[[#This Row],[FECHA]])&amp;"-"&amp;MONTH(Datos_Consumo[[#This Row],[FECHA]])</f>
        <v>2017-1</v>
      </c>
    </row>
    <row r="644" spans="1:4" x14ac:dyDescent="0.25">
      <c r="A644" t="s">
        <v>1394</v>
      </c>
      <c r="B644">
        <v>258</v>
      </c>
      <c r="C644" s="56">
        <v>42767</v>
      </c>
      <c r="D644" s="3" t="str">
        <f>YEAR(Datos_Consumo[[#This Row],[FECHA]])&amp;"-"&amp;MONTH(Datos_Consumo[[#This Row],[FECHA]])</f>
        <v>2017-2</v>
      </c>
    </row>
    <row r="645" spans="1:4" x14ac:dyDescent="0.25">
      <c r="A645" t="s">
        <v>1395</v>
      </c>
      <c r="B645">
        <v>1021</v>
      </c>
      <c r="C645" s="56">
        <v>42644</v>
      </c>
      <c r="D645" s="3" t="str">
        <f>YEAR(Datos_Consumo[[#This Row],[FECHA]])&amp;"-"&amp;MONTH(Datos_Consumo[[#This Row],[FECHA]])</f>
        <v>2016-10</v>
      </c>
    </row>
    <row r="646" spans="1:4" x14ac:dyDescent="0.25">
      <c r="A646" t="s">
        <v>1395</v>
      </c>
      <c r="B646">
        <v>2270</v>
      </c>
      <c r="C646" s="56">
        <v>42675</v>
      </c>
      <c r="D646" s="3" t="str">
        <f>YEAR(Datos_Consumo[[#This Row],[FECHA]])&amp;"-"&amp;MONTH(Datos_Consumo[[#This Row],[FECHA]])</f>
        <v>2016-11</v>
      </c>
    </row>
    <row r="647" spans="1:4" x14ac:dyDescent="0.25">
      <c r="A647" t="s">
        <v>1395</v>
      </c>
      <c r="B647">
        <v>3170</v>
      </c>
      <c r="C647" s="56">
        <v>42705</v>
      </c>
      <c r="D647" s="3" t="str">
        <f>YEAR(Datos_Consumo[[#This Row],[FECHA]])&amp;"-"&amp;MONTH(Datos_Consumo[[#This Row],[FECHA]])</f>
        <v>2016-12</v>
      </c>
    </row>
    <row r="648" spans="1:4" x14ac:dyDescent="0.25">
      <c r="A648" t="s">
        <v>1395</v>
      </c>
      <c r="B648">
        <v>740</v>
      </c>
      <c r="C648" s="56">
        <v>42736</v>
      </c>
      <c r="D648" s="3" t="str">
        <f>YEAR(Datos_Consumo[[#This Row],[FECHA]])&amp;"-"&amp;MONTH(Datos_Consumo[[#This Row],[FECHA]])</f>
        <v>2017-1</v>
      </c>
    </row>
    <row r="649" spans="1:4" x14ac:dyDescent="0.25">
      <c r="A649" t="s">
        <v>1705</v>
      </c>
      <c r="B649">
        <v>10</v>
      </c>
      <c r="C649" s="56">
        <v>42675</v>
      </c>
      <c r="D649" s="3" t="str">
        <f>YEAR(Datos_Consumo[[#This Row],[FECHA]])&amp;"-"&amp;MONTH(Datos_Consumo[[#This Row],[FECHA]])</f>
        <v>2016-11</v>
      </c>
    </row>
    <row r="650" spans="1:4" x14ac:dyDescent="0.25">
      <c r="A650" t="s">
        <v>1706</v>
      </c>
      <c r="B650">
        <v>80</v>
      </c>
      <c r="C650" s="56">
        <v>42644</v>
      </c>
      <c r="D650" s="3" t="str">
        <f>YEAR(Datos_Consumo[[#This Row],[FECHA]])&amp;"-"&amp;MONTH(Datos_Consumo[[#This Row],[FECHA]])</f>
        <v>2016-10</v>
      </c>
    </row>
    <row r="651" spans="1:4" x14ac:dyDescent="0.25">
      <c r="A651" t="s">
        <v>1706</v>
      </c>
      <c r="B651">
        <v>91</v>
      </c>
      <c r="C651" s="56">
        <v>42675</v>
      </c>
      <c r="D651" s="3" t="str">
        <f>YEAR(Datos_Consumo[[#This Row],[FECHA]])&amp;"-"&amp;MONTH(Datos_Consumo[[#This Row],[FECHA]])</f>
        <v>2016-11</v>
      </c>
    </row>
    <row r="652" spans="1:4" x14ac:dyDescent="0.25">
      <c r="A652" t="s">
        <v>1706</v>
      </c>
      <c r="B652">
        <v>20</v>
      </c>
      <c r="C652" s="56">
        <v>42705</v>
      </c>
      <c r="D652" s="3" t="str">
        <f>YEAR(Datos_Consumo[[#This Row],[FECHA]])&amp;"-"&amp;MONTH(Datos_Consumo[[#This Row],[FECHA]])</f>
        <v>2016-12</v>
      </c>
    </row>
    <row r="653" spans="1:4" x14ac:dyDescent="0.25">
      <c r="A653" t="s">
        <v>1706</v>
      </c>
      <c r="B653">
        <v>4</v>
      </c>
      <c r="C653" s="56">
        <v>42736</v>
      </c>
      <c r="D653" s="3" t="str">
        <f>YEAR(Datos_Consumo[[#This Row],[FECHA]])&amp;"-"&amp;MONTH(Datos_Consumo[[#This Row],[FECHA]])</f>
        <v>2017-1</v>
      </c>
    </row>
    <row r="654" spans="1:4" x14ac:dyDescent="0.25">
      <c r="A654" t="s">
        <v>1616</v>
      </c>
      <c r="B654">
        <v>34</v>
      </c>
      <c r="C654" s="56">
        <v>42736</v>
      </c>
      <c r="D654" s="3" t="str">
        <f>YEAR(Datos_Consumo[[#This Row],[FECHA]])&amp;"-"&amp;MONTH(Datos_Consumo[[#This Row],[FECHA]])</f>
        <v>2017-1</v>
      </c>
    </row>
    <row r="655" spans="1:4" x14ac:dyDescent="0.25">
      <c r="A655" t="s">
        <v>1707</v>
      </c>
      <c r="B655">
        <v>18</v>
      </c>
      <c r="C655" s="56">
        <v>42644</v>
      </c>
      <c r="D655" s="3" t="str">
        <f>YEAR(Datos_Consumo[[#This Row],[FECHA]])&amp;"-"&amp;MONTH(Datos_Consumo[[#This Row],[FECHA]])</f>
        <v>2016-10</v>
      </c>
    </row>
    <row r="656" spans="1:4" x14ac:dyDescent="0.25">
      <c r="A656" t="s">
        <v>1707</v>
      </c>
      <c r="B656">
        <v>10</v>
      </c>
      <c r="C656" s="56">
        <v>42705</v>
      </c>
      <c r="D656" s="3" t="str">
        <f>YEAR(Datos_Consumo[[#This Row],[FECHA]])&amp;"-"&amp;MONTH(Datos_Consumo[[#This Row],[FECHA]])</f>
        <v>2016-12</v>
      </c>
    </row>
    <row r="657" spans="1:4" x14ac:dyDescent="0.25">
      <c r="A657" t="s">
        <v>1707</v>
      </c>
      <c r="B657">
        <v>10</v>
      </c>
      <c r="C657" s="56">
        <v>42736</v>
      </c>
      <c r="D657" s="3" t="str">
        <f>YEAR(Datos_Consumo[[#This Row],[FECHA]])&amp;"-"&amp;MONTH(Datos_Consumo[[#This Row],[FECHA]])</f>
        <v>2017-1</v>
      </c>
    </row>
    <row r="658" spans="1:4" x14ac:dyDescent="0.25">
      <c r="A658" t="s">
        <v>1708</v>
      </c>
      <c r="B658">
        <v>30</v>
      </c>
      <c r="C658" s="56">
        <v>42736</v>
      </c>
      <c r="D658" s="3" t="str">
        <f>YEAR(Datos_Consumo[[#This Row],[FECHA]])&amp;"-"&amp;MONTH(Datos_Consumo[[#This Row],[FECHA]])</f>
        <v>2017-1</v>
      </c>
    </row>
    <row r="659" spans="1:4" x14ac:dyDescent="0.25">
      <c r="A659" t="s">
        <v>1601</v>
      </c>
      <c r="B659">
        <v>10</v>
      </c>
      <c r="C659" s="56">
        <v>42675</v>
      </c>
      <c r="D659" s="3" t="str">
        <f>YEAR(Datos_Consumo[[#This Row],[FECHA]])&amp;"-"&amp;MONTH(Datos_Consumo[[#This Row],[FECHA]])</f>
        <v>2016-11</v>
      </c>
    </row>
    <row r="660" spans="1:4" x14ac:dyDescent="0.25">
      <c r="A660" t="s">
        <v>1601</v>
      </c>
      <c r="B660">
        <v>12</v>
      </c>
      <c r="C660" s="56">
        <v>42705</v>
      </c>
      <c r="D660" s="3" t="str">
        <f>YEAR(Datos_Consumo[[#This Row],[FECHA]])&amp;"-"&amp;MONTH(Datos_Consumo[[#This Row],[FECHA]])</f>
        <v>2016-12</v>
      </c>
    </row>
    <row r="661" spans="1:4" x14ac:dyDescent="0.25">
      <c r="A661" t="s">
        <v>1396</v>
      </c>
      <c r="B661">
        <v>920</v>
      </c>
      <c r="C661" s="56">
        <v>42644</v>
      </c>
      <c r="D661" s="3" t="str">
        <f>YEAR(Datos_Consumo[[#This Row],[FECHA]])&amp;"-"&amp;MONTH(Datos_Consumo[[#This Row],[FECHA]])</f>
        <v>2016-10</v>
      </c>
    </row>
    <row r="662" spans="1:4" x14ac:dyDescent="0.25">
      <c r="A662" t="s">
        <v>1396</v>
      </c>
      <c r="B662">
        <v>713</v>
      </c>
      <c r="C662" s="56">
        <v>42675</v>
      </c>
      <c r="D662" s="3" t="str">
        <f>YEAR(Datos_Consumo[[#This Row],[FECHA]])&amp;"-"&amp;MONTH(Datos_Consumo[[#This Row],[FECHA]])</f>
        <v>2016-11</v>
      </c>
    </row>
    <row r="663" spans="1:4" x14ac:dyDescent="0.25">
      <c r="A663" t="s">
        <v>1396</v>
      </c>
      <c r="B663">
        <v>352</v>
      </c>
      <c r="C663" s="56">
        <v>42705</v>
      </c>
      <c r="D663" s="3" t="str">
        <f>YEAR(Datos_Consumo[[#This Row],[FECHA]])&amp;"-"&amp;MONTH(Datos_Consumo[[#This Row],[FECHA]])</f>
        <v>2016-12</v>
      </c>
    </row>
    <row r="664" spans="1:4" x14ac:dyDescent="0.25">
      <c r="A664" t="s">
        <v>1396</v>
      </c>
      <c r="B664">
        <v>502</v>
      </c>
      <c r="C664" s="56">
        <v>42736</v>
      </c>
      <c r="D664" s="3" t="str">
        <f>YEAR(Datos_Consumo[[#This Row],[FECHA]])&amp;"-"&amp;MONTH(Datos_Consumo[[#This Row],[FECHA]])</f>
        <v>2017-1</v>
      </c>
    </row>
    <row r="665" spans="1:4" x14ac:dyDescent="0.25">
      <c r="A665" t="s">
        <v>1397</v>
      </c>
      <c r="B665">
        <v>635</v>
      </c>
      <c r="C665" s="56">
        <v>42644</v>
      </c>
      <c r="D665" s="3" t="str">
        <f>YEAR(Datos_Consumo[[#This Row],[FECHA]])&amp;"-"&amp;MONTH(Datos_Consumo[[#This Row],[FECHA]])</f>
        <v>2016-10</v>
      </c>
    </row>
    <row r="666" spans="1:4" x14ac:dyDescent="0.25">
      <c r="A666" t="s">
        <v>1397</v>
      </c>
      <c r="B666">
        <v>1594</v>
      </c>
      <c r="C666" s="56">
        <v>42675</v>
      </c>
      <c r="D666" s="3" t="str">
        <f>YEAR(Datos_Consumo[[#This Row],[FECHA]])&amp;"-"&amp;MONTH(Datos_Consumo[[#This Row],[FECHA]])</f>
        <v>2016-11</v>
      </c>
    </row>
    <row r="667" spans="1:4" x14ac:dyDescent="0.25">
      <c r="A667" t="s">
        <v>1397</v>
      </c>
      <c r="B667">
        <v>5238</v>
      </c>
      <c r="C667" s="56">
        <v>42705</v>
      </c>
      <c r="D667" s="3" t="str">
        <f>YEAR(Datos_Consumo[[#This Row],[FECHA]])&amp;"-"&amp;MONTH(Datos_Consumo[[#This Row],[FECHA]])</f>
        <v>2016-12</v>
      </c>
    </row>
    <row r="668" spans="1:4" x14ac:dyDescent="0.25">
      <c r="A668" t="s">
        <v>1397</v>
      </c>
      <c r="B668">
        <v>710</v>
      </c>
      <c r="C668" s="56">
        <v>42736</v>
      </c>
      <c r="D668" s="3" t="str">
        <f>YEAR(Datos_Consumo[[#This Row],[FECHA]])&amp;"-"&amp;MONTH(Datos_Consumo[[#This Row],[FECHA]])</f>
        <v>2017-1</v>
      </c>
    </row>
    <row r="669" spans="1:4" x14ac:dyDescent="0.25">
      <c r="A669" t="s">
        <v>1398</v>
      </c>
      <c r="B669">
        <v>240</v>
      </c>
      <c r="C669" s="56">
        <v>42644</v>
      </c>
      <c r="D669" s="3" t="str">
        <f>YEAR(Datos_Consumo[[#This Row],[FECHA]])&amp;"-"&amp;MONTH(Datos_Consumo[[#This Row],[FECHA]])</f>
        <v>2016-10</v>
      </c>
    </row>
    <row r="670" spans="1:4" x14ac:dyDescent="0.25">
      <c r="A670" t="s">
        <v>1398</v>
      </c>
      <c r="B670">
        <v>30</v>
      </c>
      <c r="C670" s="56">
        <v>42675</v>
      </c>
      <c r="D670" s="3" t="str">
        <f>YEAR(Datos_Consumo[[#This Row],[FECHA]])&amp;"-"&amp;MONTH(Datos_Consumo[[#This Row],[FECHA]])</f>
        <v>2016-11</v>
      </c>
    </row>
    <row r="671" spans="1:4" x14ac:dyDescent="0.25">
      <c r="A671" t="s">
        <v>1398</v>
      </c>
      <c r="B671">
        <v>20</v>
      </c>
      <c r="C671" s="56">
        <v>42736</v>
      </c>
      <c r="D671" s="3" t="str">
        <f>YEAR(Datos_Consumo[[#This Row],[FECHA]])&amp;"-"&amp;MONTH(Datos_Consumo[[#This Row],[FECHA]])</f>
        <v>2017-1</v>
      </c>
    </row>
    <row r="672" spans="1:4" x14ac:dyDescent="0.25">
      <c r="A672" t="s">
        <v>1709</v>
      </c>
      <c r="B672">
        <v>20</v>
      </c>
      <c r="C672" s="56">
        <v>42644</v>
      </c>
      <c r="D672" s="3" t="str">
        <f>YEAR(Datos_Consumo[[#This Row],[FECHA]])&amp;"-"&amp;MONTH(Datos_Consumo[[#This Row],[FECHA]])</f>
        <v>2016-10</v>
      </c>
    </row>
    <row r="673" spans="1:4" x14ac:dyDescent="0.25">
      <c r="A673" t="s">
        <v>1709</v>
      </c>
      <c r="B673">
        <v>20</v>
      </c>
      <c r="C673" s="56">
        <v>42675</v>
      </c>
      <c r="D673" s="3" t="str">
        <f>YEAR(Datos_Consumo[[#This Row],[FECHA]])&amp;"-"&amp;MONTH(Datos_Consumo[[#This Row],[FECHA]])</f>
        <v>2016-11</v>
      </c>
    </row>
    <row r="674" spans="1:4" x14ac:dyDescent="0.25">
      <c r="A674" t="s">
        <v>1709</v>
      </c>
      <c r="B674">
        <v>20</v>
      </c>
      <c r="C674" s="56">
        <v>42705</v>
      </c>
      <c r="D674" s="3" t="str">
        <f>YEAR(Datos_Consumo[[#This Row],[FECHA]])&amp;"-"&amp;MONTH(Datos_Consumo[[#This Row],[FECHA]])</f>
        <v>2016-12</v>
      </c>
    </row>
    <row r="675" spans="1:4" x14ac:dyDescent="0.25">
      <c r="A675" t="s">
        <v>1709</v>
      </c>
      <c r="B675">
        <v>20</v>
      </c>
      <c r="C675" s="56">
        <v>42736</v>
      </c>
      <c r="D675" s="3" t="str">
        <f>YEAR(Datos_Consumo[[#This Row],[FECHA]])&amp;"-"&amp;MONTH(Datos_Consumo[[#This Row],[FECHA]])</f>
        <v>2017-1</v>
      </c>
    </row>
    <row r="676" spans="1:4" x14ac:dyDescent="0.25">
      <c r="A676" t="s">
        <v>1710</v>
      </c>
      <c r="B676">
        <v>10</v>
      </c>
      <c r="C676" s="56">
        <v>42705</v>
      </c>
      <c r="D676" s="3" t="str">
        <f>YEAR(Datos_Consumo[[#This Row],[FECHA]])&amp;"-"&amp;MONTH(Datos_Consumo[[#This Row],[FECHA]])</f>
        <v>2016-12</v>
      </c>
    </row>
    <row r="677" spans="1:4" x14ac:dyDescent="0.25">
      <c r="A677" t="s">
        <v>1710</v>
      </c>
      <c r="B677">
        <v>20</v>
      </c>
      <c r="C677" s="56">
        <v>42736</v>
      </c>
      <c r="D677" s="3" t="str">
        <f>YEAR(Datos_Consumo[[#This Row],[FECHA]])&amp;"-"&amp;MONTH(Datos_Consumo[[#This Row],[FECHA]])</f>
        <v>2017-1</v>
      </c>
    </row>
    <row r="678" spans="1:4" x14ac:dyDescent="0.25">
      <c r="A678" t="s">
        <v>1617</v>
      </c>
      <c r="B678">
        <v>2</v>
      </c>
      <c r="C678" s="56">
        <v>42675</v>
      </c>
      <c r="D678" s="3" t="str">
        <f>YEAR(Datos_Consumo[[#This Row],[FECHA]])&amp;"-"&amp;MONTH(Datos_Consumo[[#This Row],[FECHA]])</f>
        <v>2016-11</v>
      </c>
    </row>
    <row r="679" spans="1:4" x14ac:dyDescent="0.25">
      <c r="A679" t="s">
        <v>1617</v>
      </c>
      <c r="B679">
        <v>3</v>
      </c>
      <c r="C679" s="56">
        <v>42705</v>
      </c>
      <c r="D679" s="3" t="str">
        <f>YEAR(Datos_Consumo[[#This Row],[FECHA]])&amp;"-"&amp;MONTH(Datos_Consumo[[#This Row],[FECHA]])</f>
        <v>2016-12</v>
      </c>
    </row>
    <row r="680" spans="1:4" x14ac:dyDescent="0.25">
      <c r="A680" t="s">
        <v>1711</v>
      </c>
      <c r="B680">
        <v>1</v>
      </c>
      <c r="C680" s="56">
        <v>42675</v>
      </c>
      <c r="D680" s="3" t="str">
        <f>YEAR(Datos_Consumo[[#This Row],[FECHA]])&amp;"-"&amp;MONTH(Datos_Consumo[[#This Row],[FECHA]])</f>
        <v>2016-11</v>
      </c>
    </row>
    <row r="681" spans="1:4" x14ac:dyDescent="0.25">
      <c r="A681" t="s">
        <v>1712</v>
      </c>
      <c r="B681">
        <v>2</v>
      </c>
      <c r="C681" s="56">
        <v>42675</v>
      </c>
      <c r="D681" s="3" t="str">
        <f>YEAR(Datos_Consumo[[#This Row],[FECHA]])&amp;"-"&amp;MONTH(Datos_Consumo[[#This Row],[FECHA]])</f>
        <v>2016-11</v>
      </c>
    </row>
    <row r="682" spans="1:4" x14ac:dyDescent="0.25">
      <c r="A682" t="s">
        <v>1713</v>
      </c>
      <c r="B682">
        <v>4</v>
      </c>
      <c r="C682" s="56">
        <v>42644</v>
      </c>
      <c r="D682" s="3" t="str">
        <f>YEAR(Datos_Consumo[[#This Row],[FECHA]])&amp;"-"&amp;MONTH(Datos_Consumo[[#This Row],[FECHA]])</f>
        <v>2016-10</v>
      </c>
    </row>
    <row r="683" spans="1:4" x14ac:dyDescent="0.25">
      <c r="A683" t="s">
        <v>1713</v>
      </c>
      <c r="B683">
        <v>10</v>
      </c>
      <c r="C683" s="56">
        <v>42736</v>
      </c>
      <c r="D683" s="3" t="str">
        <f>YEAR(Datos_Consumo[[#This Row],[FECHA]])&amp;"-"&amp;MONTH(Datos_Consumo[[#This Row],[FECHA]])</f>
        <v>2017-1</v>
      </c>
    </row>
    <row r="684" spans="1:4" x14ac:dyDescent="0.25">
      <c r="A684" t="s">
        <v>1714</v>
      </c>
      <c r="B684">
        <v>6</v>
      </c>
      <c r="C684" s="56">
        <v>42644</v>
      </c>
      <c r="D684" s="3" t="str">
        <f>YEAR(Datos_Consumo[[#This Row],[FECHA]])&amp;"-"&amp;MONTH(Datos_Consumo[[#This Row],[FECHA]])</f>
        <v>2016-10</v>
      </c>
    </row>
    <row r="685" spans="1:4" x14ac:dyDescent="0.25">
      <c r="A685" t="s">
        <v>1714</v>
      </c>
      <c r="B685">
        <v>15</v>
      </c>
      <c r="C685" s="56">
        <v>42675</v>
      </c>
      <c r="D685" s="3" t="str">
        <f>YEAR(Datos_Consumo[[#This Row],[FECHA]])&amp;"-"&amp;MONTH(Datos_Consumo[[#This Row],[FECHA]])</f>
        <v>2016-11</v>
      </c>
    </row>
    <row r="686" spans="1:4" x14ac:dyDescent="0.25">
      <c r="A686" t="s">
        <v>1714</v>
      </c>
      <c r="B686">
        <v>59</v>
      </c>
      <c r="C686" s="56">
        <v>42705</v>
      </c>
      <c r="D686" s="3" t="str">
        <f>YEAR(Datos_Consumo[[#This Row],[FECHA]])&amp;"-"&amp;MONTH(Datos_Consumo[[#This Row],[FECHA]])</f>
        <v>2016-12</v>
      </c>
    </row>
    <row r="687" spans="1:4" x14ac:dyDescent="0.25">
      <c r="A687" t="s">
        <v>1714</v>
      </c>
      <c r="B687">
        <v>26</v>
      </c>
      <c r="C687" s="56">
        <v>42736</v>
      </c>
      <c r="D687" s="3" t="str">
        <f>YEAR(Datos_Consumo[[#This Row],[FECHA]])&amp;"-"&amp;MONTH(Datos_Consumo[[#This Row],[FECHA]])</f>
        <v>2017-1</v>
      </c>
    </row>
    <row r="688" spans="1:4" x14ac:dyDescent="0.25">
      <c r="A688" t="s">
        <v>1715</v>
      </c>
      <c r="B688">
        <v>40</v>
      </c>
      <c r="C688" s="56">
        <v>42644</v>
      </c>
      <c r="D688" s="3" t="str">
        <f>YEAR(Datos_Consumo[[#This Row],[FECHA]])&amp;"-"&amp;MONTH(Datos_Consumo[[#This Row],[FECHA]])</f>
        <v>2016-10</v>
      </c>
    </row>
    <row r="689" spans="1:4" x14ac:dyDescent="0.25">
      <c r="A689" t="s">
        <v>1715</v>
      </c>
      <c r="B689">
        <v>90</v>
      </c>
      <c r="C689" s="56">
        <v>42675</v>
      </c>
      <c r="D689" s="3" t="str">
        <f>YEAR(Datos_Consumo[[#This Row],[FECHA]])&amp;"-"&amp;MONTH(Datos_Consumo[[#This Row],[FECHA]])</f>
        <v>2016-11</v>
      </c>
    </row>
    <row r="690" spans="1:4" x14ac:dyDescent="0.25">
      <c r="A690" t="s">
        <v>1715</v>
      </c>
      <c r="B690">
        <v>83</v>
      </c>
      <c r="C690" s="56">
        <v>42705</v>
      </c>
      <c r="D690" s="3" t="str">
        <f>YEAR(Datos_Consumo[[#This Row],[FECHA]])&amp;"-"&amp;MONTH(Datos_Consumo[[#This Row],[FECHA]])</f>
        <v>2016-12</v>
      </c>
    </row>
    <row r="691" spans="1:4" x14ac:dyDescent="0.25">
      <c r="A691" t="s">
        <v>1715</v>
      </c>
      <c r="B691">
        <v>36</v>
      </c>
      <c r="C691" s="56">
        <v>42736</v>
      </c>
      <c r="D691" s="3" t="str">
        <f>YEAR(Datos_Consumo[[#This Row],[FECHA]])&amp;"-"&amp;MONTH(Datos_Consumo[[#This Row],[FECHA]])</f>
        <v>2017-1</v>
      </c>
    </row>
    <row r="692" spans="1:4" x14ac:dyDescent="0.25">
      <c r="A692" t="s">
        <v>1716</v>
      </c>
      <c r="B692">
        <v>1</v>
      </c>
      <c r="C692" s="56">
        <v>42675</v>
      </c>
      <c r="D692"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2017-04-01T02:08:42Z</dcterms:modified>
</cp:coreProperties>
</file>