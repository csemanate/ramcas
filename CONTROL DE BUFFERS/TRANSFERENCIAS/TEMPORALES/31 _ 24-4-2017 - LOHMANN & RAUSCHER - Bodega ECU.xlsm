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7.xml" ContentType="application/vnd.ms-office.activeX+xml"/>
  <Override PartName="/xl/activeX/activeX27.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TRANSFERENCIAS\TEMPORALES\"/>
    </mc:Choice>
  </mc:AlternateContent>
  <bookViews>
    <workbookView xWindow="240" yWindow="0" windowWidth="11040" windowHeight="8475"/>
  </bookViews>
  <sheets>
    <sheet name="TRANSFERENCIA" sheetId="1" r:id="rId1"/>
    <sheet name="AUX" sheetId="22" state="hidden" r:id="rId2"/>
    <sheet name="Form" sheetId="21" state="hidden" r:id="rId3"/>
    <sheet name="DUE" sheetId="19" state="veryHidden" r:id="rId4"/>
    <sheet name="US" sheetId="17" state="veryHidden" r:id="rId5"/>
    <sheet name="PATH" sheetId="13" state="hidden" r:id="rId6"/>
    <sheet name="DATOS" sheetId="3" state="hidden" r:id="rId7"/>
    <sheet name="REPETIDO" sheetId="4" state="hidden" r:id="rId8"/>
    <sheet name="USER" sheetId="18" state="hidden" r:id="rId9"/>
    <sheet name="CUBICAJE" sheetId="5" state="hidden" r:id="rId10"/>
    <sheet name="RECETAS" sheetId="7" state="hidden" r:id="rId11"/>
    <sheet name="ASIGNACION" sheetId="8" state="hidden" r:id="rId12"/>
    <sheet name="MPyPT" sheetId="9" state="hidden" r:id="rId13"/>
    <sheet name="Causas" sheetId="10" state="hidden" r:id="rId14"/>
    <sheet name="IMPRESION" sheetId="11" state="hidden" r:id="rId15"/>
    <sheet name="CriteriosFiltros" sheetId="12" state="hidden" r:id="rId16"/>
    <sheet name="CONSOLIDADOS" sheetId="15" state="hidden" r:id="rId17"/>
    <sheet name="v_buffer_hist_hoy" sheetId="20" state="hidden" r:id="rId18"/>
    <sheet name="CONSUMO" sheetId="16" state="hidden" r:id="rId19"/>
  </sheets>
  <functionGroups builtInGroupCount="18"/>
  <externalReferences>
    <externalReference r:id="rId20"/>
    <externalReference r:id="rId21"/>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ffer_Range" localSheetId="0" hidden="1">{19.5,282,TRUE,3,26.25,20.25}</definedName>
    <definedName name="_cmdBuscaItem_Range" localSheetId="0" hidden="1">{21,0,TRUE,3,2.25,21.75}</definedName>
    <definedName name="_cmdCambiarPropiedad_Range" localSheetId="0" hidden="1">{21,106.5,TRUE,3,26.25,51.75}</definedName>
    <definedName name="_cmdCancelar_Range" localSheetId="0" hidden="1">{21,54.75,TRUE,3,26.25,51.75}</definedName>
    <definedName name="_cmdConfirmar_Range" localSheetId="0" hidden="1">{21,2.25,TRUE,3,26.25,51.75}</definedName>
    <definedName name="_cmdConsumo_Range" localSheetId="0" hidden="1">{21,21,TRUE,1,2.25,21}</definedName>
    <definedName name="_cmdConsumoVer_Range" localSheetId="0" hidden="1">{19.5,324,TRUE,3,26.25,20.25}</definedName>
    <definedName name="_cmdDarDeBaja_Range" localSheetId="0" hidden="1">{21,88.5,TRUE,3,2.25,31.5}</definedName>
    <definedName name="_cmdDescendente_Range" localSheetId="0" hidden="1">{18.75,315,TRUE,3,2.25,13.5}</definedName>
    <definedName name="_cmdDespacho_Range" localSheetId="0" hidden="1">{19.5,366,TRUE,3,26.25,19.5}</definedName>
    <definedName name="_cmdEstatus_Range" localSheetId="0" hidden="1">{19.5,345,TRUE,3,26.25,20.25}</definedName>
    <definedName name="_cmdFechaArribo_Range" localSheetId="0" hidden="1">{16.5,333.75,TRUE,2,111.75,12.75}</definedName>
    <definedName name="_cmdFechaCierre_Range" localSheetId="0" hidden="1">{16.5,534.75,TRUE,2,66.75,14.25}</definedName>
    <definedName name="_cmdImprimir_Range" localSheetId="0" hidden="1">{21,120,TRUE,3,2.25,29.25}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{21,66,TRUE,3,2.25,20.25}</definedName>
    <definedName name="_cmdReq_Range" localSheetId="0" hidden="1">{19.5,303.75,TRUE,3,26.25,19.5}</definedName>
    <definedName name="_cmdVistas_Range" localSheetId="0" hidden="1">{21,42,TRUE,3,2.25,23.25}</definedName>
    <definedName name="_xlnm._FilterDatabase" localSheetId="0" hidden="1">TRANSFERENCIA!$A$8:$CB$19</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5" hidden="1">PATH!$G$1:$I$2</definedName>
    <definedName name="Consulta_desde_DatosConsolidados" localSheetId="5" hidden="1">PATH!$A$1:$D$2</definedName>
    <definedName name="Consulta_desde_ODBC_MySQL_en_AGROTA" localSheetId="13" hidden="1">Causas!$A$1:$A$4</definedName>
    <definedName name="Consulta_desde_ODBC_RAMCAS1" localSheetId="5" hidden="1">PATH!$K$1:$M$2</definedName>
    <definedName name="Consulta_desde_ODBC_RAMCAS1_1" localSheetId="5" hidden="1">PATH!$Q$1:$R$3</definedName>
    <definedName name="Consulta_desde_ODBC_RAMCAS1_2" localSheetId="5" hidden="1">PATH!$T$1:$W$111</definedName>
    <definedName name="Consulta_desde_REPORTES_en_Access" localSheetId="12" hidden="1">MPyPT!$A$1:$B$745</definedName>
    <definedName name="Consulta_desde_REPORTES_en_Access" localSheetId="10" hidden="1">RECETAS!$A$1:$G$24</definedName>
    <definedName name="DESTINO">TRANSFERENCIA!$B$4</definedName>
    <definedName name="EMPRESA" comment="Rango que se utiliza para llenar el combobox donde se elije en qué empresa se está trabajando." localSheetId="5">[1]!Tabla_EMPRESA[NombreEmpresa]</definedName>
    <definedName name="EMPRESA">DATOS!$A$7</definedName>
    <definedName name="error1">AUX!$B$1</definedName>
    <definedName name="error2">AUX!$B$2</definedName>
    <definedName name="error3">AUX!$B$3</definedName>
    <definedName name="ESTADO">DUE!$A$5</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TABLATRANSFERENCIA[[#Headers],[2016-12]]</definedName>
    <definedName name="INICIO">TABLATRANSFERENCIA[[#Headers],[CODIGO]]</definedName>
    <definedName name="ItemsSeleccionados">[1]!tblItemsSeleccionados[#Data]</definedName>
    <definedName name="lista_errores">AUX!$D$1</definedName>
    <definedName name="mensaje">TRANSFERENCIA!$D$1</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5">OFFSET([0]!INICIO,0,0,COUNTA([2]TRANSFERENCIA!$A:$A)-4,COUNTA([2]TRANSFERENCIA!$8:$8))</definedName>
    <definedName name="TABLA">TRANSFERENCIA!$A$8:$BX$19</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 name="YA_EJECUTADO">AUX!$F$1</definedName>
  </definedNames>
  <calcPr calcId="152511"/>
  <pivotCaches>
    <pivotCache cacheId="2" r:id="rId22"/>
  </pivotCaches>
</workbook>
</file>

<file path=xl/calcChain.xml><?xml version="1.0" encoding="utf-8"?>
<calcChain xmlns="http://schemas.openxmlformats.org/spreadsheetml/2006/main">
  <c r="BV19" i="1" l="1"/>
  <c r="BV18" i="1"/>
  <c r="BV17" i="1"/>
  <c r="BV16" i="1"/>
  <c r="BV15" i="1"/>
  <c r="BV14" i="1"/>
  <c r="BV13" i="1"/>
  <c r="BV12" i="1"/>
  <c r="BV11" i="1"/>
  <c r="BV10" i="1"/>
  <c r="BV9" i="1"/>
  <c r="AX9" i="1" a="1"/>
  <c r="AX9" i="1" s="1"/>
  <c r="AX10" i="1" a="1"/>
  <c r="AX10" i="1"/>
  <c r="AX11" i="1" a="1"/>
  <c r="AX11" i="1" s="1"/>
  <c r="AX12" i="1" a="1"/>
  <c r="AX12" i="1"/>
  <c r="AX13" i="1" a="1"/>
  <c r="AX13" i="1" s="1"/>
  <c r="AX14" i="1" a="1"/>
  <c r="AX14" i="1"/>
  <c r="AX15" i="1" a="1"/>
  <c r="AX15" i="1" s="1"/>
  <c r="AX16" i="1" a="1"/>
  <c r="AX16" i="1"/>
  <c r="AX17" i="1" a="1"/>
  <c r="AX17" i="1" s="1"/>
  <c r="AX18" i="1" a="1"/>
  <c r="AX18" i="1"/>
  <c r="AX19" i="1" a="1"/>
  <c r="AX19" i="1" s="1"/>
  <c r="AY9" i="1" a="1"/>
  <c r="AY9" i="1"/>
  <c r="AY10" i="1" a="1"/>
  <c r="AY10" i="1" s="1"/>
  <c r="AY11" i="1" a="1"/>
  <c r="AY11" i="1"/>
  <c r="AY12" i="1" a="1"/>
  <c r="AY12" i="1" s="1"/>
  <c r="AY13" i="1" a="1"/>
  <c r="AY13" i="1" s="1"/>
  <c r="AY14" i="1" a="1"/>
  <c r="AY14" i="1" s="1"/>
  <c r="AY15" i="1" a="1"/>
  <c r="AY15" i="1" s="1"/>
  <c r="AY16" i="1" a="1"/>
  <c r="AY16" i="1" s="1"/>
  <c r="AY17" i="1" a="1"/>
  <c r="AY17" i="1" s="1"/>
  <c r="AY18" i="1" a="1"/>
  <c r="AY18" i="1" s="1"/>
  <c r="AY19" i="1" a="1"/>
  <c r="AY19" i="1" s="1"/>
  <c r="AZ9" i="1" a="1"/>
  <c r="AZ9" i="1" s="1"/>
  <c r="AZ10" i="1" a="1"/>
  <c r="AZ10" i="1" s="1"/>
  <c r="AZ11" i="1" a="1"/>
  <c r="AZ11" i="1" s="1"/>
  <c r="AZ12" i="1" a="1"/>
  <c r="AZ12" i="1" s="1"/>
  <c r="AZ13" i="1" a="1"/>
  <c r="AZ13" i="1" s="1"/>
  <c r="AZ14" i="1" a="1"/>
  <c r="AZ14" i="1" s="1"/>
  <c r="AZ15" i="1" a="1"/>
  <c r="AZ15" i="1" s="1"/>
  <c r="AZ16" i="1" a="1"/>
  <c r="AZ16" i="1" s="1"/>
  <c r="AZ17" i="1" a="1"/>
  <c r="AZ17" i="1" s="1"/>
  <c r="AZ18" i="1" a="1"/>
  <c r="AZ18" i="1" s="1"/>
  <c r="AZ19" i="1" a="1"/>
  <c r="AZ19" i="1" s="1"/>
  <c r="BA9" i="1" a="1"/>
  <c r="BA9" i="1" s="1"/>
  <c r="BA10" i="1" a="1"/>
  <c r="BA10" i="1" s="1"/>
  <c r="BA11" i="1" a="1"/>
  <c r="BA11" i="1" s="1"/>
  <c r="BA12" i="1" a="1"/>
  <c r="BA12" i="1" s="1"/>
  <c r="BA13" i="1" a="1"/>
  <c r="BA13" i="1" s="1"/>
  <c r="BA14" i="1" a="1"/>
  <c r="BA14" i="1" s="1"/>
  <c r="BA15" i="1" a="1"/>
  <c r="BA15" i="1" s="1"/>
  <c r="BA16" i="1" a="1"/>
  <c r="BA16" i="1" s="1"/>
  <c r="BA17" i="1" a="1"/>
  <c r="BA17" i="1" s="1"/>
  <c r="BA18" i="1" a="1"/>
  <c r="BA18" i="1" s="1"/>
  <c r="BA19" i="1" a="1"/>
  <c r="BA19" i="1" s="1"/>
  <c r="BB9" i="1" a="1"/>
  <c r="BB9" i="1" s="1"/>
  <c r="BB10" i="1" a="1"/>
  <c r="BB10" i="1" s="1"/>
  <c r="BB11" i="1" a="1"/>
  <c r="BB11" i="1" s="1"/>
  <c r="BB12" i="1" a="1"/>
  <c r="BB12" i="1" s="1"/>
  <c r="BB13" i="1" a="1"/>
  <c r="BB13" i="1" s="1"/>
  <c r="BB14" i="1" a="1"/>
  <c r="BB14" i="1" s="1"/>
  <c r="BB15" i="1" a="1"/>
  <c r="BB15" i="1" s="1"/>
  <c r="BB16" i="1" a="1"/>
  <c r="BB16" i="1" s="1"/>
  <c r="BB17" i="1" a="1"/>
  <c r="BB17" i="1" s="1"/>
  <c r="BB18" i="1" a="1"/>
  <c r="BB18" i="1" s="1"/>
  <c r="BB19" i="1" a="1"/>
  <c r="BB19" i="1" s="1"/>
  <c r="BC9" i="1" a="1"/>
  <c r="BC9" i="1" s="1"/>
  <c r="BC10" i="1" a="1"/>
  <c r="BC10" i="1" s="1"/>
  <c r="BC11" i="1" a="1"/>
  <c r="BC11" i="1" s="1"/>
  <c r="BC12" i="1" a="1"/>
  <c r="BC12" i="1" s="1"/>
  <c r="BC13" i="1" a="1"/>
  <c r="BC13" i="1" s="1"/>
  <c r="BC14" i="1" a="1"/>
  <c r="BC14" i="1" s="1"/>
  <c r="BC15" i="1" a="1"/>
  <c r="BC15" i="1" s="1"/>
  <c r="BC16" i="1" a="1"/>
  <c r="BC16" i="1" s="1"/>
  <c r="BC17" i="1" a="1"/>
  <c r="BC17" i="1" s="1"/>
  <c r="BC18" i="1" a="1"/>
  <c r="BC18" i="1" s="1"/>
  <c r="BC19" i="1" a="1"/>
  <c r="BC19" i="1" s="1"/>
  <c r="BJ9" i="1"/>
  <c r="BJ10" i="1"/>
  <c r="BJ11" i="1"/>
  <c r="BJ12" i="1"/>
  <c r="BJ13" i="1"/>
  <c r="BJ14" i="1"/>
  <c r="BJ15" i="1"/>
  <c r="BJ16" i="1"/>
  <c r="BJ17" i="1"/>
  <c r="BJ18" i="1"/>
  <c r="BJ19" i="1"/>
  <c r="BK9" i="1"/>
  <c r="BK10" i="1"/>
  <c r="BK11" i="1"/>
  <c r="BK12" i="1"/>
  <c r="BK13" i="1"/>
  <c r="BK14" i="1"/>
  <c r="BK15" i="1"/>
  <c r="BK16" i="1"/>
  <c r="BK17" i="1"/>
  <c r="BK18" i="1"/>
  <c r="BK19" i="1"/>
  <c r="BL9" i="1"/>
  <c r="BL10" i="1"/>
  <c r="BL11" i="1"/>
  <c r="BL12" i="1"/>
  <c r="BL13" i="1"/>
  <c r="BL14" i="1"/>
  <c r="BL15" i="1"/>
  <c r="BL16" i="1"/>
  <c r="BL17" i="1"/>
  <c r="BL18" i="1"/>
  <c r="BL19" i="1"/>
  <c r="BM9" i="1"/>
  <c r="BM10" i="1"/>
  <c r="BM11" i="1"/>
  <c r="BM12" i="1"/>
  <c r="BM13" i="1"/>
  <c r="BM14" i="1"/>
  <c r="BM15" i="1"/>
  <c r="BM16" i="1"/>
  <c r="BM17" i="1"/>
  <c r="BM18" i="1"/>
  <c r="BM19" i="1"/>
  <c r="BN9" i="1"/>
  <c r="BN10" i="1"/>
  <c r="BN11" i="1"/>
  <c r="BN12" i="1"/>
  <c r="BN13" i="1"/>
  <c r="BN14" i="1"/>
  <c r="BN15" i="1"/>
  <c r="BN16" i="1"/>
  <c r="BN17" i="1"/>
  <c r="BN18" i="1"/>
  <c r="BN19" i="1"/>
  <c r="BP9" i="1"/>
  <c r="BP10" i="1"/>
  <c r="BP11" i="1"/>
  <c r="BP12" i="1"/>
  <c r="BP13" i="1"/>
  <c r="BP14" i="1"/>
  <c r="BP15" i="1"/>
  <c r="BP16" i="1"/>
  <c r="BP17" i="1"/>
  <c r="BP18" i="1"/>
  <c r="BP19" i="1"/>
  <c r="BS9" i="1"/>
  <c r="BS10" i="1"/>
  <c r="BS11" i="1"/>
  <c r="BS12" i="1"/>
  <c r="BS13" i="1"/>
  <c r="BS14" i="1"/>
  <c r="BS15" i="1"/>
  <c r="BS16" i="1"/>
  <c r="BS17" i="1"/>
  <c r="BS18" i="1"/>
  <c r="BS19" i="1"/>
  <c r="BX9" i="1" a="1"/>
  <c r="BX9" i="1" s="1"/>
  <c r="BX10" i="1" a="1"/>
  <c r="BX10" i="1" s="1"/>
  <c r="BX11" i="1" a="1"/>
  <c r="BX11" i="1" s="1"/>
  <c r="BX12" i="1" a="1"/>
  <c r="BX12" i="1" s="1"/>
  <c r="BX13" i="1" a="1"/>
  <c r="BX13" i="1" s="1"/>
  <c r="BX14" i="1" a="1"/>
  <c r="BX14" i="1" s="1"/>
  <c r="BX15" i="1" a="1"/>
  <c r="BX15" i="1" s="1"/>
  <c r="BX16" i="1" a="1"/>
  <c r="BX16" i="1" s="1"/>
  <c r="BX17" i="1" a="1"/>
  <c r="BX17" i="1" s="1"/>
  <c r="BX18" i="1" a="1"/>
  <c r="BX18" i="1" s="1"/>
  <c r="BX19" i="1" a="1"/>
  <c r="BX19" i="1" s="1"/>
  <c r="BY9" i="1"/>
  <c r="BY10" i="1"/>
  <c r="BY11" i="1"/>
  <c r="BY12" i="1"/>
  <c r="BY13" i="1"/>
  <c r="BY14" i="1"/>
  <c r="BY15" i="1"/>
  <c r="BY16" i="1"/>
  <c r="BY17" i="1"/>
  <c r="BY18" i="1"/>
  <c r="BY19" i="1"/>
  <c r="G2" i="16" l="1"/>
  <c r="G3" i="16"/>
  <c r="G4" i="16"/>
  <c r="G5" i="16"/>
  <c r="G6" i="16"/>
  <c r="G7" i="16"/>
  <c r="D1026" i="16"/>
  <c r="D1027" i="16"/>
  <c r="D1028" i="16"/>
  <c r="D1029" i="16"/>
  <c r="D1030" i="16"/>
  <c r="D1031" i="16"/>
  <c r="D1032" i="16"/>
  <c r="D1033" i="16"/>
  <c r="D1034" i="16"/>
  <c r="D1035" i="16"/>
  <c r="D1036" i="16"/>
  <c r="D1037" i="16"/>
  <c r="D1038" i="16"/>
  <c r="D1039" i="16"/>
  <c r="D1040" i="16"/>
  <c r="D1041" i="16"/>
  <c r="D1042" i="16"/>
  <c r="D1043" i="16"/>
  <c r="D1044" i="16"/>
  <c r="D1045" i="16"/>
  <c r="D1046" i="16"/>
  <c r="D1047" i="16"/>
  <c r="D1048" i="16"/>
  <c r="D1049" i="16"/>
  <c r="D1050" i="16"/>
  <c r="D1051" i="16"/>
  <c r="D1052" i="16"/>
  <c r="D1053" i="16"/>
  <c r="D1054" i="16"/>
  <c r="D1055" i="16"/>
  <c r="D1056" i="16"/>
  <c r="D1057" i="16"/>
  <c r="D1058" i="16"/>
  <c r="D1059" i="16"/>
  <c r="D1060" i="16"/>
  <c r="D1061" i="16"/>
  <c r="D1062" i="16"/>
  <c r="D1063" i="16"/>
  <c r="D1064" i="16"/>
  <c r="D1065" i="16"/>
  <c r="D1066" i="16"/>
  <c r="D1067" i="16"/>
  <c r="D1068" i="16"/>
  <c r="D1069" i="16"/>
  <c r="D1070" i="16"/>
  <c r="D1071" i="16"/>
  <c r="D1072" i="16"/>
  <c r="D1073" i="16"/>
  <c r="D1074" i="16"/>
  <c r="D1075" i="16"/>
  <c r="D1076" i="16"/>
  <c r="D1077" i="16"/>
  <c r="D1078" i="16"/>
  <c r="D1079" i="16"/>
  <c r="D1080" i="16"/>
  <c r="D1081" i="16"/>
  <c r="D1082" i="16"/>
  <c r="D1083" i="16"/>
  <c r="D1084" i="16"/>
  <c r="D1085" i="16"/>
  <c r="D1086" i="16"/>
  <c r="D1087" i="16"/>
  <c r="D1088" i="16"/>
  <c r="D1089" i="16"/>
  <c r="D1090" i="16"/>
  <c r="D1091" i="16"/>
  <c r="D1092" i="16"/>
  <c r="D1093" i="16"/>
  <c r="D1094" i="16"/>
  <c r="D1095" i="16"/>
  <c r="D1096" i="16"/>
  <c r="D1097" i="16"/>
  <c r="D1098" i="16"/>
  <c r="D1099" i="16"/>
  <c r="D1100" i="16"/>
  <c r="D1101" i="16"/>
  <c r="D1102" i="16"/>
  <c r="D1103" i="16"/>
  <c r="D1104" i="16"/>
  <c r="D1105" i="16"/>
  <c r="D1106" i="16"/>
  <c r="D1107" i="16"/>
  <c r="D1108" i="16"/>
  <c r="D1109" i="16"/>
  <c r="D1110" i="16"/>
  <c r="D1111" i="16"/>
  <c r="D1112" i="16"/>
  <c r="D1113" i="16"/>
  <c r="D1114" i="16"/>
  <c r="D1115" i="16"/>
  <c r="D1116" i="16"/>
  <c r="D1117" i="16"/>
  <c r="D1118" i="16"/>
  <c r="D1119" i="16"/>
  <c r="D1120" i="16"/>
  <c r="D1121" i="16"/>
  <c r="D1122" i="16"/>
  <c r="D1123" i="16"/>
  <c r="D1124" i="16"/>
  <c r="D1125" i="16"/>
  <c r="D1126" i="16"/>
  <c r="D1127" i="16"/>
  <c r="D1128" i="16"/>
  <c r="D1129" i="16"/>
  <c r="D1130" i="16"/>
  <c r="D1131" i="16"/>
  <c r="D1132" i="16"/>
  <c r="D1133" i="16"/>
  <c r="D1134" i="16"/>
  <c r="D1135" i="16"/>
  <c r="D1136" i="16"/>
  <c r="D1137" i="16"/>
  <c r="D1138" i="16"/>
  <c r="D1139" i="16"/>
  <c r="D1140" i="16"/>
  <c r="D1141" i="16"/>
  <c r="D1142" i="16"/>
  <c r="D1143" i="16"/>
  <c r="D1144" i="16"/>
  <c r="D1145" i="16"/>
  <c r="D1146" i="16"/>
  <c r="D1147" i="16"/>
  <c r="D1148" i="16"/>
  <c r="D1149" i="16"/>
  <c r="D1150" i="16"/>
  <c r="D1151" i="16"/>
  <c r="D1152" i="16"/>
  <c r="D1153" i="16"/>
  <c r="D1154" i="16"/>
  <c r="D1155" i="16"/>
  <c r="D1156" i="16"/>
  <c r="D1157" i="16"/>
  <c r="D1158" i="16"/>
  <c r="D1159" i="16"/>
  <c r="D1160" i="16"/>
  <c r="D1161" i="16"/>
  <c r="D1162" i="16"/>
  <c r="D1163" i="16"/>
  <c r="D1164" i="16"/>
  <c r="D1165" i="16"/>
  <c r="D1166" i="16"/>
  <c r="D1167" i="16"/>
  <c r="D1168" i="16"/>
  <c r="D1169" i="16"/>
  <c r="D1170" i="16"/>
  <c r="D1171" i="16"/>
  <c r="D1172" i="16"/>
  <c r="D1173" i="16"/>
  <c r="D1174" i="16"/>
  <c r="D1175" i="16"/>
  <c r="D1176" i="16"/>
  <c r="D1177" i="16"/>
  <c r="D1178" i="16"/>
  <c r="D1179" i="16"/>
  <c r="D1180" i="16"/>
  <c r="D1181" i="16"/>
  <c r="D1182" i="16"/>
  <c r="D1183" i="16"/>
  <c r="D1184" i="16"/>
  <c r="D1185" i="16"/>
  <c r="D1186" i="16"/>
  <c r="D1187" i="16"/>
  <c r="D1188" i="16"/>
  <c r="D1189" i="16"/>
  <c r="D1190" i="16"/>
  <c r="D1191" i="16"/>
  <c r="D1192" i="16"/>
  <c r="D1193" i="16"/>
  <c r="D1194" i="16"/>
  <c r="D1195" i="16"/>
  <c r="D1196" i="16"/>
  <c r="D1197" i="16"/>
  <c r="D1198" i="16"/>
  <c r="D1199" i="16"/>
  <c r="D1200" i="16"/>
  <c r="D1201" i="16"/>
  <c r="D1202" i="16"/>
  <c r="D1203" i="16"/>
  <c r="D1204" i="16"/>
  <c r="D1205" i="16"/>
  <c r="D1206" i="16"/>
  <c r="D1207" i="16"/>
  <c r="D1208" i="16"/>
  <c r="D1209" i="16"/>
  <c r="D1210" i="16"/>
  <c r="D1211" i="16"/>
  <c r="D1212" i="16"/>
  <c r="D1213" i="16"/>
  <c r="D1214" i="16"/>
  <c r="D1215" i="16"/>
  <c r="D1216" i="16"/>
  <c r="D1217" i="16"/>
  <c r="D1218" i="16"/>
  <c r="D1219" i="16"/>
  <c r="D1220" i="16"/>
  <c r="D1221" i="16"/>
  <c r="D1222" i="16"/>
  <c r="D1223" i="16"/>
  <c r="D1224" i="16"/>
  <c r="D1225" i="16"/>
  <c r="D1226" i="16"/>
  <c r="D1227" i="16"/>
  <c r="D1228" i="16"/>
  <c r="D1229" i="16"/>
  <c r="D1230" i="16"/>
  <c r="D1231"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D1001" i="16"/>
  <c r="D1002" i="16"/>
  <c r="D1003" i="16"/>
  <c r="D1004" i="16"/>
  <c r="D1005" i="16"/>
  <c r="D1006" i="16"/>
  <c r="D1007" i="16"/>
  <c r="D1008" i="16"/>
  <c r="D1009" i="16"/>
  <c r="D1010" i="16"/>
  <c r="D1011" i="16"/>
  <c r="D1012" i="16"/>
  <c r="D1013" i="16"/>
  <c r="D1014" i="16"/>
  <c r="D1015" i="16"/>
  <c r="D1016" i="16"/>
  <c r="D1017" i="16"/>
  <c r="D1018" i="16"/>
  <c r="D1019" i="16"/>
  <c r="D1020" i="16"/>
  <c r="D1021" i="16"/>
  <c r="D1022" i="16"/>
  <c r="D1023" i="16"/>
  <c r="D1024" i="16"/>
  <c r="D1025"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B3" i="22" l="1"/>
  <c r="B1" i="22"/>
  <c r="BX2" i="21"/>
  <c r="B3" i="12" l="1"/>
  <c r="A2" i="12"/>
  <c r="B2" i="22" l="1"/>
  <c r="D1" i="22" s="1"/>
  <c r="C7" i="1" s="1"/>
  <c r="C4" i="1"/>
  <c r="BS2" i="21" l="1"/>
  <c r="BP2" i="21"/>
  <c r="BK2" i="21"/>
  <c r="BJ2" i="21"/>
  <c r="BI2" i="21"/>
  <c r="BH2" i="21"/>
  <c r="BG2" i="21"/>
  <c r="BC2" i="21" a="1"/>
  <c r="BC2" i="21" s="1"/>
  <c r="BB2" i="21" a="1"/>
  <c r="BB2" i="21" s="1"/>
  <c r="BA2" i="21" a="1"/>
  <c r="BA2" i="21" s="1"/>
  <c r="AZ2" i="21" a="1"/>
  <c r="AZ2" i="21" s="1"/>
  <c r="AY2" i="21" a="1"/>
  <c r="AY2" i="21" s="1"/>
  <c r="AX2" i="21" a="1"/>
  <c r="AX2" i="21" s="1"/>
  <c r="AG2" i="21"/>
  <c r="I2" i="21"/>
  <c r="V2" i="21"/>
  <c r="AN2" i="21"/>
  <c r="J2" i="21"/>
  <c r="AM2" i="21"/>
  <c r="B2" i="21"/>
  <c r="P2" i="21"/>
  <c r="C2" i="21"/>
  <c r="AA2" i="21"/>
  <c r="AV2" i="21"/>
  <c r="O2" i="21"/>
  <c r="Q2" i="21"/>
  <c r="AC2" i="21"/>
  <c r="AL2" i="21"/>
  <c r="AD2" i="21"/>
  <c r="AT2" i="21"/>
  <c r="F2" i="21"/>
  <c r="R2" i="21"/>
  <c r="AO2" i="21"/>
  <c r="H2" i="21"/>
  <c r="T2" i="21"/>
  <c r="AS2" i="21"/>
  <c r="BV2" i="21"/>
  <c r="AK2" i="21"/>
  <c r="E2" i="21"/>
  <c r="D2" i="21"/>
  <c r="AU2" i="21"/>
  <c r="AE2" i="21"/>
  <c r="K2" i="21"/>
  <c r="BW2" i="21"/>
  <c r="AP2" i="21"/>
  <c r="AJ2" i="21"/>
  <c r="X2" i="21"/>
  <c r="Y2" i="21"/>
  <c r="AQ2" i="21"/>
  <c r="U2" i="21"/>
  <c r="L2" i="21"/>
  <c r="G2" i="21"/>
  <c r="AF2" i="21"/>
  <c r="Z2" i="21"/>
  <c r="AI2" i="21"/>
  <c r="N2" i="21"/>
  <c r="AB2" i="21"/>
  <c r="W2" i="21"/>
  <c r="S2" i="21"/>
  <c r="AW2" i="21"/>
  <c r="AR2" i="21"/>
  <c r="M2" i="21"/>
  <c r="AH2" i="21"/>
  <c r="BU2" i="21" l="1"/>
  <c r="BT2" i="21" a="1"/>
  <c r="BT2" i="21" s="1"/>
  <c r="BM2" i="21"/>
  <c r="B3" i="11" l="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 r="B4" i="22" l="1"/>
</calcChain>
</file>

<file path=xl/comments1.xml><?xml version="1.0" encoding="utf-8"?>
<comments xmlns="http://schemas.openxmlformats.org/spreadsheetml/2006/main">
  <authors>
    <author>CAS</author>
    <author>Carlos Semanate</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Carlos Semanate:</t>
        </r>
        <r>
          <rPr>
            <sz val="9"/>
            <color indexed="81"/>
            <rFont val="Tahoma"/>
            <family val="2"/>
          </rPr>
          <t xml:space="preserve">
Fecha en la que este ítem fue requerido en esta transferencia.</t>
        </r>
      </text>
    </comment>
    <comment ref="BG8" authorId="1" shapeId="0">
      <text>
        <r>
          <rPr>
            <b/>
            <sz val="9"/>
            <color indexed="81"/>
            <rFont val="Tahoma"/>
            <family val="2"/>
          </rPr>
          <t>Carlos Semanate:</t>
        </r>
        <r>
          <rPr>
            <sz val="9"/>
            <color indexed="81"/>
            <rFont val="Tahoma"/>
            <family val="2"/>
          </rPr>
          <t xml:space="preserve">
Fecha en la que este ítem cierra su participación en esta transferencia..</t>
        </r>
      </text>
    </comment>
    <comment ref="BH8" authorId="2" shapeId="0">
      <text>
        <r>
          <rPr>
            <b/>
            <sz val="9"/>
            <color indexed="81"/>
            <rFont val="Tahoma"/>
            <family val="2"/>
          </rPr>
          <t>RAMCAS:</t>
        </r>
        <r>
          <rPr>
            <sz val="9"/>
            <color indexed="81"/>
            <rFont val="Tahoma"/>
            <family val="2"/>
          </rPr>
          <t xml:space="preserve">
Identificación opcional de la Orden de Compra (PO) a la cual pertenece el ítem.</t>
        </r>
      </text>
    </comment>
    <comment ref="BI8" authorId="0" shapeId="0">
      <text>
        <r>
          <rPr>
            <b/>
            <sz val="9"/>
            <color indexed="81"/>
            <rFont val="Tahoma"/>
            <family val="2"/>
          </rPr>
          <t>CAS:</t>
        </r>
        <r>
          <rPr>
            <sz val="9"/>
            <color indexed="81"/>
            <rFont val="Tahoma"/>
            <family val="2"/>
          </rPr>
          <t xml:space="preserve">
Número de embarques en los cuales se va a dividir el REQUERIM.</t>
        </r>
      </text>
    </comment>
    <comment ref="BQ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R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T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U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<sst xmlns="http://schemas.openxmlformats.org/spreadsheetml/2006/main" count="6227" uniqueCount="2178">
  <si>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</si>
  <si>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</si>
  <si>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</si>
  <si>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</si>
  <si>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</si>
  <si>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</si>
  <si>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</si>
  <si>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</si>
  <si>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</si>
  <si>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</si>
  <si>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</si>
  <si>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</si>
  <si>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</si>
  <si>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</si>
  <si>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</si>
  <si>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</si>
  <si>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</si>
  <si>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</si>
  <si>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</si>
  <si>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</si>
  <si>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</si>
  <si>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</si>
  <si>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</si>
  <si>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</si>
  <si>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</si>
  <si>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</si>
  <si>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</si>
  <si>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</si>
  <si>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</si>
  <si>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</si>
  <si>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</si>
  <si>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</si>
  <si>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</si>
  <si>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</si>
  <si>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</si>
  <si>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</si>
  <si>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</si>
  <si>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</si>
  <si>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</si>
  <si>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</si>
  <si>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</si>
  <si>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</si>
  <si>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</si>
  <si>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</si>
  <si>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</si>
  <si>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</si>
  <si>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</si>
  <si>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</si>
  <si>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</si>
  <si>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</si>
  <si>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</si>
  <si>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</si>
  <si>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</si>
  <si>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</si>
  <si>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</si>
  <si>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</si>
  <si>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</si>
  <si>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</si>
  <si>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</si>
  <si>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</si>
  <si>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</si>
  <si>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</si>
  <si>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</si>
  <si>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</si>
  <si>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</si>
  <si>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</si>
  <si>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</si>
  <si>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</si>
  <si>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</si>
  <si>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</si>
  <si>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</si>
  <si>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</si>
  <si>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</si>
  <si>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</si>
  <si>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</si>
  <si>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</si>
  <si>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</si>
  <si>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</si>
  <si>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</si>
  <si>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</si>
  <si>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</si>
  <si>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</si>
  <si>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</si>
  <si>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</si>
  <si>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</si>
  <si>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</si>
  <si>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</si>
  <si>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</si>
  <si>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</si>
  <si>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</si>
  <si>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</si>
  <si>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</si>
  <si>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</si>
  <si>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</si>
  <si>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</si>
  <si>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</si>
  <si>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</si>
  <si>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</si>
  <si>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</si>
  <si>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</si>
  <si>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</si>
  <si>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</si>
  <si>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</si>
  <si>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</si>
  <si>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</si>
  <si>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</si>
  <si>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</si>
  <si>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</si>
  <si>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</si>
  <si>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</si>
  <si>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</si>
  <si>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</si>
  <si>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</si>
  <si>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</si>
  <si>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</si>
  <si>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</si>
  <si>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</si>
  <si>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</si>
  <si>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</si>
  <si>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</si>
  <si>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</si>
  <si>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</si>
  <si>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</si>
  <si>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</si>
  <si>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</si>
  <si>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</si>
  <si>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</si>
  <si>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</si>
  <si>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</si>
  <si>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</si>
  <si>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</si>
  <si>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</si>
  <si>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</si>
  <si>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</si>
  <si>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</si>
  <si>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</si>
  <si>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</si>
  <si>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</si>
  <si>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</si>
  <si>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</si>
  <si>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</si>
  <si>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</si>
  <si>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</si>
  <si>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</si>
  <si>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</si>
  <si>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</si>
  <si>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</si>
  <si>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</si>
  <si>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</si>
  <si>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</si>
  <si>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</si>
  <si>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</si>
  <si>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</si>
  <si>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</si>
  <si>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</si>
  <si>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</si>
  <si>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</si>
  <si>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</si>
  <si>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</si>
  <si>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</si>
  <si>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</si>
  <si>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</si>
  <si>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</si>
  <si>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</si>
  <si>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</si>
  <si>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</si>
  <si>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</si>
  <si>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</si>
  <si>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</si>
  <si>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</si>
  <si>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</si>
  <si>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</si>
  <si>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</si>
  <si>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</si>
  <si>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</si>
  <si>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</si>
  <si>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</si>
  <si>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</si>
  <si>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</si>
  <si>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</si>
  <si>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</si>
  <si>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</si>
  <si>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</si>
  <si>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</si>
  <si>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</si>
  <si>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</si>
  <si>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</si>
  <si>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</si>
  <si>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</si>
  <si>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</si>
  <si>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</si>
  <si>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</si>
  <si>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</si>
  <si>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</si>
  <si>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</si>
  <si>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</si>
  <si>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</si>
  <si>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</si>
  <si>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</si>
  <si>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</si>
  <si>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</si>
  <si>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</si>
  <si>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</si>
  <si>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</si>
  <si>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</si>
  <si>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</si>
  <si>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</si>
  <si>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</si>
  <si>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</si>
  <si>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</si>
  <si>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</si>
  <si>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</si>
  <si>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</si>
  <si>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</si>
  <si>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</si>
  <si>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</si>
  <si>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</si>
  <si>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</si>
  <si>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</si>
  <si>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</si>
  <si>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</si>
  <si>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</si>
  <si>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</si>
  <si>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</si>
  <si>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</si>
  <si>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</si>
  <si>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</si>
  <si>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</si>
  <si>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</si>
  <si>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</si>
  <si>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</si>
  <si>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</si>
  <si>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</si>
  <si>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</si>
  <si>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</si>
  <si>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</si>
  <si>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</si>
  <si>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</si>
  <si>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</si>
  <si>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</si>
  <si>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</si>
  <si>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</si>
  <si>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</si>
  <si>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</si>
  <si>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</si>
  <si>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</si>
  <si>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</si>
  <si>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</si>
  <si>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</si>
  <si>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</si>
  <si>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</si>
  <si>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</si>
  <si>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</si>
  <si>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</si>
  <si>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</si>
  <si>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</si>
  <si>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</si>
  <si>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</si>
  <si>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</si>
  <si>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</si>
  <si>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</si>
  <si>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</si>
  <si>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</si>
  <si>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</si>
  <si>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</si>
  <si>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</si>
  <si>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</si>
  <si>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</si>
  <si>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</si>
  <si>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</si>
  <si>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</si>
  <si>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</si>
  <si>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</si>
  <si>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</si>
  <si>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</si>
  <si>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</si>
  <si>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</si>
  <si>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</si>
  <si>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</si>
  <si>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</si>
  <si>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</si>
  <si>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</si>
  <si>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</si>
  <si>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</si>
  <si>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</si>
  <si>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</si>
  <si>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</si>
  <si>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</si>
  <si>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</si>
  <si>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</si>
  <si>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</si>
  <si>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</si>
  <si>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</si>
  <si>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</si>
  <si>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</si>
  <si>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</si>
  <si>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</si>
  <si>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</si>
  <si>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</si>
  <si>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</si>
  <si>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</si>
  <si>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</si>
  <si>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</si>
  <si>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</si>
  <si>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</si>
  <si>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</si>
  <si>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</si>
  <si>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</si>
  <si>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</si>
  <si>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</si>
  <si>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</si>
  <si>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</si>
  <si>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</si>
  <si>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</si>
  <si>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</si>
  <si>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</si>
  <si>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</si>
  <si>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</si>
  <si>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</si>
  <si>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</si>
  <si>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</si>
  <si>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</si>
  <si>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</si>
  <si>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</si>
  <si>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</si>
  <si>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</si>
  <si>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</si>
  <si>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</si>
  <si>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</si>
  <si>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</si>
  <si>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</si>
  <si>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</si>
  <si>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</si>
  <si>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</si>
  <si>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</si>
  <si>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</si>
  <si>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</si>
  <si>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</si>
  <si>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</si>
  <si>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</si>
  <si>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</si>
  <si>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</si>
  <si>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</si>
  <si>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</si>
  <si>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</si>
  <si>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</si>
  <si>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</si>
  <si>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</si>
  <si>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</si>
  <si>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</si>
  <si>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</si>
  <si>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</si>
  <si>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</si>
  <si>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</si>
  <si>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</si>
  <si>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</si>
  <si>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</si>
  <si>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</si>
  <si>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</si>
  <si>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</si>
  <si>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</si>
  <si>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</si>
  <si>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</si>
  <si>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</si>
  <si>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</si>
  <si>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</si>
  <si>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</si>
  <si>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</si>
  <si>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</si>
  <si>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</si>
  <si>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</si>
  <si>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</si>
  <si>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</si>
  <si>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</si>
  <si>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</si>
  <si>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</si>
  <si>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</si>
  <si>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</si>
  <si>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</si>
  <si>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</si>
  <si>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</si>
  <si>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</si>
  <si>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</si>
  <si>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</si>
  <si>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</si>
  <si>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</si>
  <si>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</si>
  <si>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</si>
  <si>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</si>
  <si>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</si>
  <si>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</si>
  <si>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</si>
  <si>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</si>
  <si>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</si>
  <si>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</si>
  <si>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</si>
  <si>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</si>
  <si>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</si>
  <si>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</si>
  <si>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</si>
  <si>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</si>
  <si>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</si>
  <si>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</si>
  <si>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</si>
  <si>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</si>
  <si>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</si>
  <si>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</si>
  <si>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</si>
  <si>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</si>
  <si>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</si>
  <si>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</si>
  <si>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</si>
  <si>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</si>
  <si>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</si>
  <si>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</si>
  <si>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</si>
  <si>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</si>
  <si>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</si>
  <si>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</si>
  <si>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</si>
  <si>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</si>
  <si>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</si>
  <si>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</si>
  <si>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</si>
  <si>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</si>
  <si>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</si>
  <si>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</si>
  <si>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</si>
  <si>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</si>
  <si>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</si>
  <si>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</si>
  <si>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</si>
  <si>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</si>
  <si>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</si>
  <si>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</si>
  <si>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</si>
  <si>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</si>
  <si>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</si>
  <si>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</si>
  <si>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</si>
  <si>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</si>
  <si>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</si>
  <si>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</si>
  <si>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</si>
  <si>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</si>
  <si>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</si>
  <si>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</si>
  <si>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</si>
  <si>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</si>
  <si>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</si>
  <si>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</si>
  <si>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</si>
  <si>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</si>
  <si>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</si>
  <si>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</si>
  <si>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</si>
  <si>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</si>
  <si>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</si>
  <si>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</si>
  <si>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</si>
  <si>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</si>
  <si>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</si>
  <si>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</si>
  <si>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</si>
  <si>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</si>
  <si>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</si>
  <si>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</si>
  <si>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</si>
  <si>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</si>
  <si>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</si>
  <si>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</si>
  <si>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</si>
  <si>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</si>
  <si>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</si>
  <si>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</si>
  <si>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</si>
  <si>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</si>
  <si>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</si>
  <si>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</si>
  <si>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</si>
  <si>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</si>
  <si>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</si>
  <si>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</si>
  <si>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</si>
  <si>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</si>
  <si>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</si>
  <si>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</si>
  <si>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</si>
  <si>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</si>
  <si>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</si>
  <si>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</si>
  <si>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</si>
  <si>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</si>
  <si>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</si>
  <si>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</si>
  <si>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</si>
  <si>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</si>
  <si>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</si>
  <si>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</si>
  <si>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</si>
  <si>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</si>
  <si>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</si>
  <si>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</si>
  <si>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</si>
  <si>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</si>
  <si>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</si>
  <si>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</si>
  <si>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</si>
  <si>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</si>
  <si>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</si>
  <si>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</si>
  <si>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</si>
  <si>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</si>
  <si>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</si>
  <si>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</si>
  <si>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</si>
  <si>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</si>
  <si>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</si>
  <si>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</si>
  <si>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</si>
  <si>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</si>
  <si>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</si>
  <si>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</si>
  <si>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</si>
  <si>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</si>
  <si>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</si>
  <si>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</si>
  <si>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</si>
  <si>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</si>
  <si>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</si>
  <si>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</si>
  <si>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</si>
  <si>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</si>
  <si>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</si>
  <si>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</si>
  <si>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</si>
  <si>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</si>
  <si>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</si>
  <si>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</si>
  <si>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</si>
  <si>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</si>
  <si>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</si>
  <si>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</si>
  <si>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</si>
  <si>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</si>
  <si>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</si>
  <si>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</si>
  <si>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</si>
  <si>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</si>
  <si>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</si>
  <si>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</si>
  <si>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</si>
  <si>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</si>
  <si>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</si>
  <si>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</si>
  <si>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</si>
  <si>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</si>
  <si>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</si>
  <si>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</si>
  <si>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</si>
  <si>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</si>
  <si>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</si>
  <si>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</si>
  <si>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</si>
  <si>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</si>
  <si>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</si>
  <si>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</si>
  <si>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</si>
  <si>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</si>
  <si>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</si>
  <si>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</si>
  <si>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</si>
  <si>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</si>
  <si>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</si>
  <si>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</si>
  <si>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</si>
  <si>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</si>
  <si>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</si>
  <si>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</si>
  <si>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</si>
  <si>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</si>
  <si>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</si>
  <si>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</si>
  <si>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</si>
  <si>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</si>
  <si>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</si>
  <si>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</si>
  <si>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</si>
  <si>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</si>
  <si>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</si>
  <si>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</si>
  <si>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</si>
  <si>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</si>
  <si>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</si>
  <si>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</si>
  <si>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</si>
  <si>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</si>
  <si>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</si>
  <si>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</si>
  <si>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</si>
  <si>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</si>
  <si>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</si>
  <si>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</si>
  <si>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</si>
  <si>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</si>
  <si>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</si>
  <si>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</si>
  <si>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</si>
  <si>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</si>
  <si>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</si>
  <si>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</si>
  <si>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</si>
  <si>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</si>
  <si>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</si>
  <si>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</si>
  <si>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</si>
  <si>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</si>
  <si>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</si>
  <si>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</si>
  <si>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</si>
  <si>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</si>
  <si>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</si>
  <si>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</si>
  <si>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</si>
  <si>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</si>
  <si>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</si>
  <si>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</si>
  <si>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</si>
  <si>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</si>
  <si>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</si>
  <si>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</si>
  <si>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</si>
  <si>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</si>
  <si>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</si>
  <si>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</si>
  <si>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</si>
  <si>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</si>
  <si>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</si>
  <si>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</si>
  <si>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</si>
  <si>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</si>
  <si>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</si>
  <si>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</si>
  <si>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</si>
  <si>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</si>
  <si>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</si>
  <si>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</si>
  <si>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</si>
  <si>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</si>
  <si>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</si>
  <si>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</si>
  <si>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</si>
  <si>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</si>
  <si>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</si>
  <si>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</si>
  <si>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</si>
  <si>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</si>
  <si>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</si>
  <si>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</si>
  <si>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</si>
  <si>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</si>
  <si>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</si>
  <si>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</si>
  <si>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</si>
  <si>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</si>
  <si>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</si>
  <si>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</si>
  <si>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</si>
  <si>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</si>
  <si>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</si>
  <si>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</si>
  <si>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</si>
  <si>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</si>
  <si>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</si>
  <si>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</si>
  <si>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</si>
  <si>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</si>
  <si>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</si>
  <si>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</si>
  <si>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</si>
  <si>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</si>
  <si>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</si>
  <si>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</si>
  <si>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</si>
  <si>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</si>
  <si>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</si>
  <si>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</si>
  <si>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</si>
  <si>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</si>
  <si>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</si>
  <si>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</si>
  <si>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</si>
  <si>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</si>
  <si>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</si>
  <si>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</si>
  <si>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</si>
  <si>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</si>
  <si>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</si>
  <si>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</si>
  <si>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</si>
  <si>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</si>
  <si>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</si>
  <si>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</si>
  <si>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</si>
  <si>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</si>
  <si>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</si>
  <si>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</si>
  <si>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</si>
  <si>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</si>
  <si>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</si>
  <si>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</si>
  <si>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</si>
  <si>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</si>
  <si>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</si>
  <si>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</si>
  <si>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</si>
  <si>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</si>
  <si>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</si>
  <si>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</si>
  <si>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</si>
  <si>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</si>
  <si>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</si>
  <si>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</si>
  <si>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</si>
  <si>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</si>
  <si>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</si>
  <si>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</si>
  <si>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</si>
  <si>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</si>
  <si>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</si>
  <si>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</si>
  <si>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</si>
  <si>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</si>
  <si>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</si>
  <si>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</si>
  <si>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</si>
  <si>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</si>
  <si>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</si>
  <si>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</si>
  <si>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</si>
  <si>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</si>
  <si>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</si>
  <si>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</si>
  <si>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</si>
  <si>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</si>
  <si>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</si>
  <si>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</si>
  <si>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</si>
  <si>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</si>
  <si>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</si>
  <si>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</si>
  <si>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</si>
  <si>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</si>
  <si>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</si>
  <si>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</si>
  <si>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</si>
  <si>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</si>
  <si>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</si>
  <si>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</si>
  <si>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</si>
  <si>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</si>
  <si>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</si>
  <si>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</si>
  <si>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</si>
  <si>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</si>
  <si>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</si>
  <si>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</si>
  <si>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</si>
  <si>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</si>
  <si>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</si>
  <si>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</si>
  <si>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</si>
  <si>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</si>
  <si>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</si>
  <si>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</si>
  <si>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</si>
  <si>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</si>
  <si>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</si>
  <si>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</si>
  <si>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</si>
  <si>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</si>
  <si>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</si>
  <si>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</si>
  <si>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</si>
  <si>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</si>
  <si>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</si>
  <si>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</si>
  <si>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</si>
  <si>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</si>
  <si>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</si>
  <si>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</si>
  <si>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</si>
  <si>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</si>
  <si>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</si>
  <si>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</si>
  <si>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</si>
  <si>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</si>
  <si>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</si>
  <si>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</si>
  <si>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</si>
  <si>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</si>
  <si>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</si>
  <si>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</si>
  <si>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</si>
  <si>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</si>
  <si>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</si>
  <si>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</si>
  <si>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</si>
  <si>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</si>
  <si>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</si>
  <si>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</si>
  <si>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</si>
  <si>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</si>
  <si>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</si>
  <si>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</si>
  <si>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</si>
  <si>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</si>
  <si>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</si>
  <si>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</si>
  <si>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</si>
  <si>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</si>
  <si>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</si>
  <si>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</si>
  <si>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</si>
  <si>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</si>
  <si>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</si>
  <si>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</si>
  <si>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</si>
  <si>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</si>
  <si>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</si>
  <si>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</si>
  <si>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</si>
  <si>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</si>
  <si>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</si>
  <si>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</si>
  <si>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</si>
  <si>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</si>
  <si>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</si>
  <si>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</si>
  <si>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</si>
  <si>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</si>
  <si>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</si>
  <si>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</si>
  <si>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</si>
  <si>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</si>
  <si>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</si>
  <si>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</si>
  <si>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</si>
  <si>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</si>
  <si>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</si>
  <si>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</si>
  <si>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</si>
  <si>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</si>
  <si>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</si>
  <si>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</si>
  <si>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</si>
  <si>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</si>
  <si>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</si>
  <si>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</si>
  <si>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</si>
  <si>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</si>
  <si>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</si>
  <si>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</si>
  <si>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</si>
  <si>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</si>
  <si>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</si>
  <si>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</si>
  <si>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</si>
  <si>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</si>
  <si>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</si>
  <si>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</si>
  <si>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</si>
  <si>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</si>
  <si>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</si>
  <si>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</si>
  <si>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</si>
  <si>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</si>
  <si>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</si>
  <si>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</si>
  <si>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</si>
  <si>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</si>
  <si>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</si>
  <si>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</si>
  <si>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</si>
  <si>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</si>
  <si>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</si>
  <si>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</si>
  <si>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</si>
  <si>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</si>
  <si>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</si>
  <si>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</si>
  <si>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</si>
  <si>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</si>
  <si>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</si>
  <si>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</si>
  <si>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</si>
  <si>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</si>
  <si>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</si>
  <si>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</si>
  <si>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</si>
  <si>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</si>
  <si>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</si>
  <si>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</si>
  <si>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</si>
  <si>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</si>
  <si>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</si>
  <si>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</si>
  <si>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</si>
  <si>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</si>
  <si>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</si>
  <si>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</si>
  <si>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</si>
  <si>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</si>
  <si>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</si>
  <si>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</si>
  <si>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</si>
  <si>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</si>
  <si>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</si>
  <si>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</si>
  <si>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</si>
  <si>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</si>
  <si>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</si>
  <si>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</si>
  <si>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</si>
  <si>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</si>
  <si>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</si>
  <si>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</si>
  <si>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</si>
  <si>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</si>
  <si>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</si>
  <si>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</si>
  <si>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</si>
  <si>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</si>
  <si>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</si>
  <si>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</si>
  <si>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</si>
  <si>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</si>
  <si>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</si>
  <si>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</si>
  <si>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</si>
  <si>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</si>
  <si>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</si>
  <si>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</si>
  <si>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</si>
  <si>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</si>
  <si>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</si>
  <si>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</si>
  <si>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</si>
  <si>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</si>
  <si>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</si>
  <si>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</si>
  <si>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</si>
  <si>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</si>
  <si>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</si>
  <si>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</si>
  <si>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</si>
  <si>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</si>
  <si>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</si>
  <si>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</si>
  <si>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</si>
  <si>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</si>
  <si>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</si>
  <si>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</si>
  <si>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</si>
  <si>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</si>
  <si>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</si>
  <si>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</si>
  <si>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</si>
  <si>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</si>
  <si>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</si>
  <si>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</si>
  <si>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</si>
  <si>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</si>
  <si>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</si>
  <si>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</si>
  <si>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</si>
  <si>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</si>
  <si>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</si>
  <si>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</si>
  <si>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</si>
  <si>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</si>
  <si>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</si>
  <si>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</si>
  <si>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</si>
  <si>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</si>
  <si>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</si>
  <si>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</si>
  <si>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</si>
  <si>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</si>
  <si>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</si>
  <si>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</si>
  <si>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</si>
  <si>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</si>
  <si>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</si>
  <si>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</si>
  <si>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</si>
  <si>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</si>
  <si>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</si>
  <si>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</si>
  <si>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</si>
  <si>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</si>
  <si>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</si>
  <si>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</si>
  <si>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</si>
  <si>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</si>
  <si>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</si>
  <si>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</si>
  <si>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</si>
  <si>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</si>
  <si>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</si>
  <si>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</si>
  <si>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</si>
  <si>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</si>
  <si>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</si>
  <si>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</si>
  <si>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</si>
  <si>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</si>
  <si>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</si>
  <si>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</si>
  <si>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</si>
  <si>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</si>
  <si>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</si>
  <si>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</si>
  <si>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</si>
  <si>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</si>
  <si>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</si>
  <si>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</si>
  <si>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</si>
  <si>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</si>
  <si>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</si>
  <si>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</si>
  <si>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</si>
  <si>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</si>
  <si>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</si>
  <si>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</si>
  <si>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</si>
  <si>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</si>
  <si>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</si>
  <si>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</si>
  <si>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</si>
  <si>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</si>
  <si>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</si>
  <si>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</si>
  <si>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</si>
  <si>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</si>
  <si>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</si>
  <si>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</si>
  <si>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</si>
  <si>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</si>
  <si>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</si>
  <si>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</si>
  <si>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</si>
  <si>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</si>
  <si>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</si>
  <si>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</si>
  <si>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</si>
  <si>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</si>
  <si>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</si>
  <si>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</si>
  <si>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</si>
  <si>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</si>
  <si>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</si>
  <si>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</si>
  <si>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</si>
  <si>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</si>
  <si>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</si>
  <si>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</si>
  <si>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</si>
  <si>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</si>
  <si>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</si>
  <si>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</si>
  <si>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</si>
  <si>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</si>
  <si>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</si>
  <si>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</si>
  <si>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</si>
  <si>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</si>
  <si>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</si>
  <si>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</si>
  <si>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</si>
  <si>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</si>
  <si>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</si>
  <si>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</si>
  <si>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</si>
  <si>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</si>
  <si>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</si>
  <si>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</si>
  <si>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</si>
  <si>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</si>
  <si>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</si>
  <si>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</si>
  <si>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</si>
  <si>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</si>
  <si>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</si>
  <si>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</si>
  <si>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</si>
  <si>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</si>
  <si>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</si>
  <si>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</si>
  <si>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</si>
  <si>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</si>
  <si>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</si>
  <si>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</si>
  <si>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</si>
  <si>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</si>
  <si>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</si>
  <si>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</si>
  <si>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</si>
  <si>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</si>
  <si>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</si>
  <si>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</si>
  <si>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</si>
  <si>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</si>
  <si>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</si>
  <si>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</si>
  <si>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</si>
  <si>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</si>
  <si>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</si>
  <si>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</si>
  <si>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</si>
  <si>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</si>
  <si>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</si>
  <si>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</si>
  <si>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</si>
  <si>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</si>
  <si>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</si>
  <si>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</si>
  <si>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</si>
  <si>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</si>
  <si>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</si>
  <si>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</si>
  <si>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</si>
  <si>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</si>
  <si>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</si>
  <si>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</si>
  <si>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</si>
  <si>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</si>
  <si>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</si>
  <si>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</si>
  <si>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</si>
  <si>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</si>
  <si>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</si>
  <si>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</si>
  <si>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</si>
  <si>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</si>
  <si>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</si>
  <si>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</si>
  <si>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</si>
  <si>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</si>
  <si>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</si>
  <si>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</si>
  <si>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</si>
  <si>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</si>
  <si>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</si>
  <si>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</si>
  <si>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</si>
  <si>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</si>
  <si>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</si>
  <si>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</si>
  <si>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</si>
  <si>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</si>
  <si>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</si>
  <si>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</si>
  <si>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</si>
  <si>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</si>
  <si>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</si>
  <si>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</si>
  <si>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</si>
  <si>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</si>
  <si>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</si>
  <si>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</si>
  <si>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</si>
  <si>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</si>
  <si>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</si>
  <si>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</si>
  <si>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</si>
  <si>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</si>
  <si>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</si>
  <si>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</si>
  <si>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</si>
  <si>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</si>
  <si>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</si>
  <si>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</si>
  <si>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</si>
  <si>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</si>
  <si>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</si>
  <si>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</si>
  <si>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</si>
  <si>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</si>
  <si>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</si>
  <si>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</si>
  <si>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</si>
  <si>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</si>
  <si>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</si>
  <si>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</si>
  <si>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</si>
  <si>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</si>
  <si>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</si>
  <si>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</si>
  <si>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</si>
  <si>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</si>
  <si>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</si>
  <si>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</si>
  <si>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</si>
  <si>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</si>
  <si>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</si>
  <si>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</si>
  <si>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</si>
  <si>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</si>
  <si>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</si>
  <si>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</si>
  <si>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</si>
  <si>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</si>
  <si>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</si>
  <si>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</si>
  <si>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</si>
  <si>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</si>
  <si>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</si>
  <si>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</si>
  <si>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</si>
  <si>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</si>
  <si>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</si>
  <si>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</si>
  <si>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</si>
  <si>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</si>
  <si>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</si>
  <si>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</si>
  <si>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</si>
  <si>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</si>
  <si>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</si>
  <si>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</si>
  <si>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</si>
  <si>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</si>
  <si>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</si>
  <si>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</si>
  <si>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</si>
  <si>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</si>
  <si>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</si>
  <si>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</si>
  <si>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</si>
  <si>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</si>
  <si>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</si>
  <si>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</si>
  <si>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</si>
  <si>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</si>
  <si>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</si>
  <si>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</si>
  <si>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</si>
  <si>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</si>
  <si>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</si>
  <si>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</si>
  <si>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</si>
  <si>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</si>
  <si>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</si>
  <si>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</si>
  <si>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</si>
  <si>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</si>
  <si>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</si>
  <si>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</si>
  <si>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</si>
  <si>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</si>
  <si>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</si>
  <si>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</si>
  <si>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</si>
  <si>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</si>
  <si>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</si>
  <si>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</si>
  <si>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</si>
  <si>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</si>
  <si>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</si>
  <si>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</si>
  <si>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</si>
  <si>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</si>
  <si>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</si>
  <si>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</si>
  <si>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</si>
  <si>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</si>
  <si>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</si>
  <si>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</si>
  <si>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</si>
  <si>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</si>
  <si>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</si>
  <si>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</si>
  <si>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</si>
  <si>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</si>
  <si>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</si>
  <si>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</si>
  <si>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</si>
  <si>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</si>
  <si>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</si>
  <si>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</si>
  <si>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</si>
  <si>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</si>
  <si>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</si>
  <si>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</si>
  <si>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</si>
  <si>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</si>
  <si>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</si>
  <si>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</si>
  <si>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</si>
  <si>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</si>
  <si>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</si>
  <si>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</si>
  <si>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</si>
  <si>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</si>
  <si>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</si>
  <si>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</si>
  <si>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</si>
  <si>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</si>
  <si>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</si>
  <si>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</si>
  <si>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</si>
  <si>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</si>
  <si>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</si>
  <si>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</si>
  <si>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</si>
  <si>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</si>
  <si>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</si>
  <si>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</si>
  <si>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</si>
  <si>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</si>
  <si>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</si>
  <si>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</si>
  <si>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</si>
  <si>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</si>
  <si>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</si>
  <si>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</si>
  <si>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</si>
  <si>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</si>
  <si>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</si>
  <si>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</si>
  <si>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</si>
  <si>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</si>
  <si>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</si>
  <si>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</si>
  <si>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</si>
  <si>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</si>
  <si>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</si>
  <si>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</si>
  <si>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</si>
  <si>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</si>
  <si>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</si>
  <si>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</si>
  <si>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</si>
  <si>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</si>
  <si>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</si>
  <si>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</si>
  <si>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</si>
  <si>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</si>
  <si>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</si>
  <si>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</si>
  <si>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</si>
  <si>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</si>
  <si>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</si>
  <si>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</si>
  <si>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</si>
  <si>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</si>
  <si>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</si>
  <si>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</si>
  <si>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</si>
  <si>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</si>
  <si>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</si>
  <si>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</si>
  <si>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</si>
  <si>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</si>
  <si>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</si>
  <si>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</si>
  <si>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</si>
  <si>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</si>
  <si>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</si>
  <si>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2016-5</t>
  </si>
  <si>
    <t>2016-6</t>
  </si>
  <si>
    <t>Columna3</t>
  </si>
  <si>
    <t>Columna4</t>
  </si>
  <si>
    <t>Columna5</t>
  </si>
  <si>
    <t>Columna6</t>
  </si>
  <si>
    <t>CÓD REFERENCIAL</t>
  </si>
  <si>
    <t>PO</t>
  </si>
  <si>
    <t>14824</t>
  </si>
  <si>
    <t>15101</t>
  </si>
  <si>
    <t>20401</t>
  </si>
  <si>
    <t>20463</t>
  </si>
  <si>
    <t>20471</t>
  </si>
  <si>
    <t>20571</t>
  </si>
  <si>
    <t>20572</t>
  </si>
  <si>
    <t>20701</t>
  </si>
  <si>
    <t>20706</t>
  </si>
  <si>
    <t>23318</t>
  </si>
  <si>
    <t>25201</t>
  </si>
  <si>
    <t>25213</t>
  </si>
  <si>
    <t>25446</t>
  </si>
  <si>
    <t>30065</t>
  </si>
  <si>
    <t>30067</t>
  </si>
  <si>
    <t>91182</t>
  </si>
  <si>
    <t>91184</t>
  </si>
  <si>
    <t>91185</t>
  </si>
  <si>
    <t>92842</t>
  </si>
  <si>
    <t>92843</t>
  </si>
  <si>
    <t>92844</t>
  </si>
  <si>
    <t>10SW5006N</t>
  </si>
  <si>
    <t>10SW5007N</t>
  </si>
  <si>
    <t>11004</t>
  </si>
  <si>
    <t>13105</t>
  </si>
  <si>
    <t>14820</t>
  </si>
  <si>
    <t>14821</t>
  </si>
  <si>
    <t>14822</t>
  </si>
  <si>
    <t>15965</t>
  </si>
  <si>
    <t>16759</t>
  </si>
  <si>
    <t>16760</t>
  </si>
  <si>
    <t>16985</t>
  </si>
  <si>
    <t>20402</t>
  </si>
  <si>
    <t>20403</t>
  </si>
  <si>
    <t>20410</t>
  </si>
  <si>
    <t>20411</t>
  </si>
  <si>
    <t>20412</t>
  </si>
  <si>
    <t>20413</t>
  </si>
  <si>
    <t>20441</t>
  </si>
  <si>
    <t>20445</t>
  </si>
  <si>
    <t>20479</t>
  </si>
  <si>
    <t>20481</t>
  </si>
  <si>
    <t>20482</t>
  </si>
  <si>
    <t>20540</t>
  </si>
  <si>
    <t>20541</t>
  </si>
  <si>
    <t>20570</t>
  </si>
  <si>
    <t>20573</t>
  </si>
  <si>
    <t>20632</t>
  </si>
  <si>
    <t>22201</t>
  </si>
  <si>
    <t>22202</t>
  </si>
  <si>
    <t>23316</t>
  </si>
  <si>
    <t>25202</t>
  </si>
  <si>
    <t>25203</t>
  </si>
  <si>
    <t>25204</t>
  </si>
  <si>
    <t>25211</t>
  </si>
  <si>
    <t>25212</t>
  </si>
  <si>
    <t>25214</t>
  </si>
  <si>
    <t>25221</t>
  </si>
  <si>
    <t>25222</t>
  </si>
  <si>
    <t>25223</t>
  </si>
  <si>
    <t>25235</t>
  </si>
  <si>
    <t>25236</t>
  </si>
  <si>
    <t>25237</t>
  </si>
  <si>
    <t>25239</t>
  </si>
  <si>
    <t>25240</t>
  </si>
  <si>
    <t>25241</t>
  </si>
  <si>
    <t>25242</t>
  </si>
  <si>
    <t>30063</t>
  </si>
  <si>
    <t>30074</t>
  </si>
  <si>
    <t>30076</t>
  </si>
  <si>
    <t>30077</t>
  </si>
  <si>
    <t>31222</t>
  </si>
  <si>
    <t>35BI1608</t>
  </si>
  <si>
    <t>35BI2010</t>
  </si>
  <si>
    <t>39434</t>
  </si>
  <si>
    <t>3FKFB210106</t>
  </si>
  <si>
    <t>3FKFB210118</t>
  </si>
  <si>
    <t>3FKFB210136</t>
  </si>
  <si>
    <t>3FKFB210138</t>
  </si>
  <si>
    <t>3FKFB210172</t>
  </si>
  <si>
    <t>3FKFB210182</t>
  </si>
  <si>
    <t>3FKFB210184</t>
  </si>
  <si>
    <t>3FKFS230106</t>
  </si>
  <si>
    <t>3FKFS230110</t>
  </si>
  <si>
    <t>3FKFS230114</t>
  </si>
  <si>
    <t>3FKFS230116</t>
  </si>
  <si>
    <t>3FKFS230118</t>
  </si>
  <si>
    <t>3FKFS250204</t>
  </si>
  <si>
    <t>3FKFS250214</t>
  </si>
  <si>
    <t>3FKSS230210</t>
  </si>
  <si>
    <t>3FKSS230212</t>
  </si>
  <si>
    <t>3FKSS230214</t>
  </si>
  <si>
    <t>3FKSS230218</t>
  </si>
  <si>
    <t>3FPAP310218</t>
  </si>
  <si>
    <t>41ST3028</t>
  </si>
  <si>
    <t>45ST3024</t>
  </si>
  <si>
    <t>45ST3026</t>
  </si>
  <si>
    <t>45ST3028</t>
  </si>
  <si>
    <t>45ST3030</t>
  </si>
  <si>
    <t>71271440</t>
  </si>
  <si>
    <t>71302803</t>
  </si>
  <si>
    <t>71303200</t>
  </si>
  <si>
    <t>71306613</t>
  </si>
  <si>
    <t>71306614</t>
  </si>
  <si>
    <t>71332520</t>
  </si>
  <si>
    <t>71332525</t>
  </si>
  <si>
    <t>71332530</t>
  </si>
  <si>
    <t>71334948</t>
  </si>
  <si>
    <t>71335548</t>
  </si>
  <si>
    <t>71420100</t>
  </si>
  <si>
    <t>71420102</t>
  </si>
  <si>
    <t>71420104</t>
  </si>
  <si>
    <t>71420106</t>
  </si>
  <si>
    <t>71420108</t>
  </si>
  <si>
    <t>71420116</t>
  </si>
  <si>
    <t>71420118</t>
  </si>
  <si>
    <t>71420120</t>
  </si>
  <si>
    <t>71420122</t>
  </si>
  <si>
    <t>71420124</t>
  </si>
  <si>
    <t>71420162</t>
  </si>
  <si>
    <t>71420164</t>
  </si>
  <si>
    <t>71420166</t>
  </si>
  <si>
    <t>71420168</t>
  </si>
  <si>
    <t>71420170</t>
  </si>
  <si>
    <t>71420172</t>
  </si>
  <si>
    <t>71420180</t>
  </si>
  <si>
    <t>71420182</t>
  </si>
  <si>
    <t>71420184</t>
  </si>
  <si>
    <t>71420186</t>
  </si>
  <si>
    <t>71420188</t>
  </si>
  <si>
    <t>71420190</t>
  </si>
  <si>
    <t>71420524</t>
  </si>
  <si>
    <t>71420532</t>
  </si>
  <si>
    <t>71420537</t>
  </si>
  <si>
    <t>71420574</t>
  </si>
  <si>
    <t>71420576</t>
  </si>
  <si>
    <t>71420578</t>
  </si>
  <si>
    <t>71420802</t>
  </si>
  <si>
    <t>71420804</t>
  </si>
  <si>
    <t>71420806</t>
  </si>
  <si>
    <t>71420814</t>
  </si>
  <si>
    <t>71420816</t>
  </si>
  <si>
    <t>71420818</t>
  </si>
  <si>
    <t>71420820</t>
  </si>
  <si>
    <t>71420822</t>
  </si>
  <si>
    <t>71420830</t>
  </si>
  <si>
    <t>71420832</t>
  </si>
  <si>
    <t>71420834</t>
  </si>
  <si>
    <t>71420844</t>
  </si>
  <si>
    <t>71420846</t>
  </si>
  <si>
    <t>71420850</t>
  </si>
  <si>
    <t>71420966</t>
  </si>
  <si>
    <t>71421014</t>
  </si>
  <si>
    <t>71421015</t>
  </si>
  <si>
    <t>71421016</t>
  </si>
  <si>
    <t>71421114</t>
  </si>
  <si>
    <t>71421115</t>
  </si>
  <si>
    <t>71421116</t>
  </si>
  <si>
    <t>71421117</t>
  </si>
  <si>
    <t>71421723</t>
  </si>
  <si>
    <t>71421803</t>
  </si>
  <si>
    <t>71424002</t>
  </si>
  <si>
    <t>71424013</t>
  </si>
  <si>
    <t>71424024</t>
  </si>
  <si>
    <t>71424026</t>
  </si>
  <si>
    <t>71424043</t>
  </si>
  <si>
    <t>71424045</t>
  </si>
  <si>
    <t>71424225</t>
  </si>
  <si>
    <t>71424227</t>
  </si>
  <si>
    <t>71426003</t>
  </si>
  <si>
    <t>71453201</t>
  </si>
  <si>
    <t>71453211</t>
  </si>
  <si>
    <t>71453212</t>
  </si>
  <si>
    <t>71453213</t>
  </si>
  <si>
    <t>71453221</t>
  </si>
  <si>
    <t>71453222</t>
  </si>
  <si>
    <t>72204152</t>
  </si>
  <si>
    <t>72204190</t>
  </si>
  <si>
    <t>92841</t>
  </si>
  <si>
    <t>admin</t>
  </si>
  <si>
    <t>10-602</t>
  </si>
  <si>
    <t>10105</t>
  </si>
  <si>
    <t>10110</t>
  </si>
  <si>
    <t>30197082</t>
  </si>
  <si>
    <t>30197085</t>
  </si>
  <si>
    <t>30209703</t>
  </si>
  <si>
    <t>8810809</t>
  </si>
  <si>
    <t>8848803</t>
  </si>
  <si>
    <t>9235403</t>
  </si>
  <si>
    <t>CIENT-01</t>
  </si>
  <si>
    <t>MEDITOP</t>
  </si>
  <si>
    <t>10-4025</t>
  </si>
  <si>
    <t>10-6000</t>
  </si>
  <si>
    <t>10167</t>
  </si>
  <si>
    <t>10314</t>
  </si>
  <si>
    <t>10356T</t>
  </si>
  <si>
    <t>10400</t>
  </si>
  <si>
    <t>10420</t>
  </si>
  <si>
    <t>10714</t>
  </si>
  <si>
    <t>10715</t>
  </si>
  <si>
    <t>10716</t>
  </si>
  <si>
    <t>1081801</t>
  </si>
  <si>
    <t>1082401</t>
  </si>
  <si>
    <t>1083001</t>
  </si>
  <si>
    <t>1083601</t>
  </si>
  <si>
    <t>1084501</t>
  </si>
  <si>
    <t>11228</t>
  </si>
  <si>
    <t>11232</t>
  </si>
  <si>
    <t>13-5024</t>
  </si>
  <si>
    <t>135100</t>
  </si>
  <si>
    <t>160</t>
  </si>
  <si>
    <t>20016</t>
  </si>
  <si>
    <t>20053</t>
  </si>
  <si>
    <t>20054</t>
  </si>
  <si>
    <t>20055</t>
  </si>
  <si>
    <t>20833</t>
  </si>
  <si>
    <t>20836</t>
  </si>
  <si>
    <t>21298</t>
  </si>
  <si>
    <t>21833</t>
  </si>
  <si>
    <t>240</t>
  </si>
  <si>
    <t>24602</t>
  </si>
  <si>
    <t>26030</t>
  </si>
  <si>
    <t>270</t>
  </si>
  <si>
    <t>30177836</t>
  </si>
  <si>
    <t>30197006</t>
  </si>
  <si>
    <t>30200242</t>
  </si>
  <si>
    <t>30204303</t>
  </si>
  <si>
    <t>30204383</t>
  </si>
  <si>
    <t>30204384</t>
  </si>
  <si>
    <t>30207866</t>
  </si>
  <si>
    <t>30207867</t>
  </si>
  <si>
    <t>30209655</t>
  </si>
  <si>
    <t>30210128</t>
  </si>
  <si>
    <t>30215947</t>
  </si>
  <si>
    <t>30216482</t>
  </si>
  <si>
    <t>30218777</t>
  </si>
  <si>
    <t>30218786</t>
  </si>
  <si>
    <t>30218808</t>
  </si>
  <si>
    <t>30218902</t>
  </si>
  <si>
    <t>30220934</t>
  </si>
  <si>
    <t>316</t>
  </si>
  <si>
    <t>5060102</t>
  </si>
  <si>
    <t>5060202</t>
  </si>
  <si>
    <t>5060302</t>
  </si>
  <si>
    <t>6.105.285</t>
  </si>
  <si>
    <t>622</t>
  </si>
  <si>
    <t>650</t>
  </si>
  <si>
    <t>6802401</t>
  </si>
  <si>
    <t>6803001</t>
  </si>
  <si>
    <t>6803601</t>
  </si>
  <si>
    <t>71461012</t>
  </si>
  <si>
    <t>71461013</t>
  </si>
  <si>
    <t>71461014</t>
  </si>
  <si>
    <t>71461015</t>
  </si>
  <si>
    <t>72200903</t>
  </si>
  <si>
    <t>78198</t>
  </si>
  <si>
    <t>88411</t>
  </si>
  <si>
    <t>8841106</t>
  </si>
  <si>
    <t>8907001</t>
  </si>
  <si>
    <t>8926535</t>
  </si>
  <si>
    <t>9235302</t>
  </si>
  <si>
    <t>9235402</t>
  </si>
  <si>
    <t>9235502</t>
  </si>
  <si>
    <t>9235503</t>
  </si>
  <si>
    <t>9511101</t>
  </si>
  <si>
    <t>9511102</t>
  </si>
  <si>
    <t>HM750-3020</t>
  </si>
  <si>
    <t>MMB45</t>
  </si>
  <si>
    <t>MMB60</t>
  </si>
  <si>
    <t>MMB90</t>
  </si>
  <si>
    <t>2016-12</t>
  </si>
  <si>
    <t>2017-1</t>
  </si>
  <si>
    <t>2017-2</t>
  </si>
  <si>
    <t>Borrar</t>
  </si>
  <si>
    <t>DE FECHA</t>
  </si>
  <si>
    <t>A FECHA</t>
  </si>
  <si>
    <t>Tiene vacíos en la fecha de inicio</t>
  </si>
  <si>
    <t>Tiene problemas de pedido mínimo de grupo</t>
  </si>
  <si>
    <t>Tiene vacíos en la fecha de fin</t>
  </si>
  <si>
    <t>Tiene filas con código vacío</t>
  </si>
  <si>
    <t>ECU</t>
  </si>
  <si>
    <t>0</t>
  </si>
  <si>
    <t>Default</t>
  </si>
  <si>
    <t>=</t>
  </si>
  <si>
    <t>G</t>
  </si>
  <si>
    <t>Pedido Calculado</t>
  </si>
  <si>
    <t>HOSPICARE</t>
  </si>
  <si>
    <t>HOSPICARE.xlsm</t>
  </si>
  <si>
    <t>ESTADO</t>
  </si>
  <si>
    <t>ACT</t>
  </si>
  <si>
    <t>TRANSFERENCIA CARGADA</t>
  </si>
  <si>
    <t>BUF</t>
  </si>
  <si>
    <t>L</t>
  </si>
  <si>
    <t>+-</t>
  </si>
  <si>
    <t>V</t>
  </si>
  <si>
    <t>89070</t>
  </si>
  <si>
    <t>92354</t>
  </si>
  <si>
    <t>10824</t>
  </si>
  <si>
    <t>10830</t>
  </si>
  <si>
    <t>10836</t>
  </si>
  <si>
    <t>10845</t>
  </si>
  <si>
    <t>50601</t>
  </si>
  <si>
    <t>50602</t>
  </si>
  <si>
    <t>50603</t>
  </si>
  <si>
    <t>69606</t>
  </si>
  <si>
    <t>88108</t>
  </si>
  <si>
    <t>88488</t>
  </si>
  <si>
    <t>89265</t>
  </si>
  <si>
    <t>-</t>
  </si>
  <si>
    <t>92355</t>
  </si>
  <si>
    <t>95111</t>
  </si>
  <si>
    <t>A</t>
  </si>
  <si>
    <t>LIBRE-9</t>
  </si>
  <si>
    <t>04.07.42.12095</t>
  </si>
  <si>
    <t>04.07.43.00000</t>
  </si>
  <si>
    <t>04.07.50.00000</t>
  </si>
  <si>
    <t>10022</t>
  </si>
  <si>
    <t>10026</t>
  </si>
  <si>
    <t>10030</t>
  </si>
  <si>
    <t>10031</t>
  </si>
  <si>
    <t>10034</t>
  </si>
  <si>
    <t>10035</t>
  </si>
  <si>
    <t>10039</t>
  </si>
  <si>
    <t>10112</t>
  </si>
  <si>
    <t>10119</t>
  </si>
  <si>
    <t>10191</t>
  </si>
  <si>
    <t>102310H</t>
  </si>
  <si>
    <t>102313H</t>
  </si>
  <si>
    <t>10236H</t>
  </si>
  <si>
    <t>10237H</t>
  </si>
  <si>
    <t>10238H</t>
  </si>
  <si>
    <t>10239H</t>
  </si>
  <si>
    <t>10313</t>
  </si>
  <si>
    <t>10323T</t>
  </si>
  <si>
    <t>10702</t>
  </si>
  <si>
    <t>10703</t>
  </si>
  <si>
    <t>10704</t>
  </si>
  <si>
    <t>10713</t>
  </si>
  <si>
    <t>10803</t>
  </si>
  <si>
    <t>10SW5008N</t>
  </si>
  <si>
    <t>10SW8008N</t>
  </si>
  <si>
    <t>11010</t>
  </si>
  <si>
    <t>11011</t>
  </si>
  <si>
    <t>11224</t>
  </si>
  <si>
    <t>13099</t>
  </si>
  <si>
    <t>135155</t>
  </si>
  <si>
    <t>20408</t>
  </si>
  <si>
    <t>20442</t>
  </si>
  <si>
    <t>20461</t>
  </si>
  <si>
    <t>20469</t>
  </si>
  <si>
    <t>20531</t>
  </si>
  <si>
    <t>20542</t>
  </si>
  <si>
    <t>20543</t>
  </si>
  <si>
    <t>20705</t>
  </si>
  <si>
    <t>20828</t>
  </si>
  <si>
    <t>20932</t>
  </si>
  <si>
    <t>22200</t>
  </si>
  <si>
    <t>22203</t>
  </si>
  <si>
    <t>22312</t>
  </si>
  <si>
    <t>23093</t>
  </si>
  <si>
    <t>23317</t>
  </si>
  <si>
    <t>24501</t>
  </si>
  <si>
    <t>25238</t>
  </si>
  <si>
    <t>25441</t>
  </si>
  <si>
    <t>273</t>
  </si>
  <si>
    <t>30073</t>
  </si>
  <si>
    <t>30170791</t>
  </si>
  <si>
    <t>30179615</t>
  </si>
  <si>
    <t>30180262</t>
  </si>
  <si>
    <t>30193247</t>
  </si>
  <si>
    <t>30196092</t>
  </si>
  <si>
    <t>30212902</t>
  </si>
  <si>
    <t>30212903</t>
  </si>
  <si>
    <t>30215946</t>
  </si>
  <si>
    <t>30218206</t>
  </si>
  <si>
    <t>30219456</t>
  </si>
  <si>
    <t>30343</t>
  </si>
  <si>
    <t>35BI1809</t>
  </si>
  <si>
    <t>3FKFS230102</t>
  </si>
  <si>
    <t>3FKFS230104</t>
  </si>
  <si>
    <t>3FKFS250218</t>
  </si>
  <si>
    <t>41ST3024</t>
  </si>
  <si>
    <t>45ST3020</t>
  </si>
  <si>
    <t>4824727</t>
  </si>
  <si>
    <t>5060101</t>
  </si>
  <si>
    <t>5060201</t>
  </si>
  <si>
    <t>5060301</t>
  </si>
  <si>
    <t>6.564.023</t>
  </si>
  <si>
    <t>6938BP</t>
  </si>
  <si>
    <t>71302200</t>
  </si>
  <si>
    <t>71302204</t>
  </si>
  <si>
    <t>71302208</t>
  </si>
  <si>
    <t>71302212</t>
  </si>
  <si>
    <t>71302800</t>
  </si>
  <si>
    <t>71302808</t>
  </si>
  <si>
    <t>71302812</t>
  </si>
  <si>
    <t>71303203</t>
  </si>
  <si>
    <t>71303204</t>
  </si>
  <si>
    <t>71303208</t>
  </si>
  <si>
    <t>71303212</t>
  </si>
  <si>
    <t>71306112</t>
  </si>
  <si>
    <t>71306608</t>
  </si>
  <si>
    <t>71306609</t>
  </si>
  <si>
    <t>71306610</t>
  </si>
  <si>
    <t>71306611</t>
  </si>
  <si>
    <t>71306612</t>
  </si>
  <si>
    <t>71306615</t>
  </si>
  <si>
    <t>71306710</t>
  </si>
  <si>
    <t>71313209</t>
  </si>
  <si>
    <t>71313211</t>
  </si>
  <si>
    <t>71316509</t>
  </si>
  <si>
    <t>71316511</t>
  </si>
  <si>
    <t>71316513</t>
  </si>
  <si>
    <t>71332515</t>
  </si>
  <si>
    <t>71332535</t>
  </si>
  <si>
    <t>71334942</t>
  </si>
  <si>
    <t>71334944</t>
  </si>
  <si>
    <t>71334946</t>
  </si>
  <si>
    <t>71334950</t>
  </si>
  <si>
    <t>71334954</t>
  </si>
  <si>
    <t>71335540</t>
  </si>
  <si>
    <t>71335542</t>
  </si>
  <si>
    <t>71335544</t>
  </si>
  <si>
    <t>71335546</t>
  </si>
  <si>
    <t>71335550</t>
  </si>
  <si>
    <t>71335552</t>
  </si>
  <si>
    <t>71335554</t>
  </si>
  <si>
    <t>71335558</t>
  </si>
  <si>
    <t>71337140</t>
  </si>
  <si>
    <t>71337648</t>
  </si>
  <si>
    <t>71337650</t>
  </si>
  <si>
    <t>71337652</t>
  </si>
  <si>
    <t>71337654</t>
  </si>
  <si>
    <t>71337746</t>
  </si>
  <si>
    <t>71337948</t>
  </si>
  <si>
    <t>71337952</t>
  </si>
  <si>
    <t>71337954</t>
  </si>
  <si>
    <t>71337958</t>
  </si>
  <si>
    <t>71342800</t>
  </si>
  <si>
    <t>71342808</t>
  </si>
  <si>
    <t>71343203</t>
  </si>
  <si>
    <t>71343204</t>
  </si>
  <si>
    <t>71343208</t>
  </si>
  <si>
    <t>71352243</t>
  </si>
  <si>
    <t>71358034</t>
  </si>
  <si>
    <t>71420098</t>
  </si>
  <si>
    <t>71420114</t>
  </si>
  <si>
    <t>71420523</t>
  </si>
  <si>
    <t>71420526</t>
  </si>
  <si>
    <t>71420528</t>
  </si>
  <si>
    <t>71420530</t>
  </si>
  <si>
    <t>71420538</t>
  </si>
  <si>
    <t>71420540</t>
  </si>
  <si>
    <t>71420542</t>
  </si>
  <si>
    <t>71420551</t>
  </si>
  <si>
    <t>71420552</t>
  </si>
  <si>
    <t>71420554</t>
  </si>
  <si>
    <t>71420556</t>
  </si>
  <si>
    <t>71420558</t>
  </si>
  <si>
    <t>71420580</t>
  </si>
  <si>
    <t>71420808</t>
  </si>
  <si>
    <t>71420810</t>
  </si>
  <si>
    <t>71420812</t>
  </si>
  <si>
    <t>71420824</t>
  </si>
  <si>
    <t>71420826</t>
  </si>
  <si>
    <t>71420828</t>
  </si>
  <si>
    <t>71420836</t>
  </si>
  <si>
    <t>71420838</t>
  </si>
  <si>
    <t>71420840</t>
  </si>
  <si>
    <t>71420842</t>
  </si>
  <si>
    <t>71420959</t>
  </si>
  <si>
    <t>71420960</t>
  </si>
  <si>
    <t>71420962</t>
  </si>
  <si>
    <t>71420964</t>
  </si>
  <si>
    <t>71420968</t>
  </si>
  <si>
    <t>71421012</t>
  </si>
  <si>
    <t>71421013</t>
  </si>
  <si>
    <t>71421017</t>
  </si>
  <si>
    <t>71421112</t>
  </si>
  <si>
    <t>71421113</t>
  </si>
  <si>
    <t>71421141</t>
  </si>
  <si>
    <t>71421142</t>
  </si>
  <si>
    <t>71421145</t>
  </si>
  <si>
    <t>71421147</t>
  </si>
  <si>
    <t>71421148</t>
  </si>
  <si>
    <t>71421163</t>
  </si>
  <si>
    <t>71421172</t>
  </si>
  <si>
    <t>71421173</t>
  </si>
  <si>
    <t>71421174</t>
  </si>
  <si>
    <t>71421176</t>
  </si>
  <si>
    <t>71421177</t>
  </si>
  <si>
    <t>71421658</t>
  </si>
  <si>
    <t>71421661</t>
  </si>
  <si>
    <t>71421664</t>
  </si>
  <si>
    <t>71421665</t>
  </si>
  <si>
    <t>71421741</t>
  </si>
  <si>
    <t>71421805</t>
  </si>
  <si>
    <t>71423039</t>
  </si>
  <si>
    <t>71423041</t>
  </si>
  <si>
    <t>71423042</t>
  </si>
  <si>
    <t>71423043</t>
  </si>
  <si>
    <t>71423044</t>
  </si>
  <si>
    <t>71423045</t>
  </si>
  <si>
    <t>71423046</t>
  </si>
  <si>
    <t>71423047</t>
  </si>
  <si>
    <t>71423048</t>
  </si>
  <si>
    <t>71424003</t>
  </si>
  <si>
    <t>71424004</t>
  </si>
  <si>
    <t>71424005</t>
  </si>
  <si>
    <t>71424006</t>
  </si>
  <si>
    <t>71424007</t>
  </si>
  <si>
    <t>71424012</t>
  </si>
  <si>
    <t>71424014</t>
  </si>
  <si>
    <t>71424015</t>
  </si>
  <si>
    <t>71424016</t>
  </si>
  <si>
    <t>71424017</t>
  </si>
  <si>
    <t>71424025</t>
  </si>
  <si>
    <t>71424027</t>
  </si>
  <si>
    <t>71424028</t>
  </si>
  <si>
    <t>71424044</t>
  </si>
  <si>
    <t>71424046</t>
  </si>
  <si>
    <t>71424047</t>
  </si>
  <si>
    <t>71424048</t>
  </si>
  <si>
    <t>71424064</t>
  </si>
  <si>
    <t>71424188</t>
  </si>
  <si>
    <t>71424202</t>
  </si>
  <si>
    <t>71424204</t>
  </si>
  <si>
    <t>71424206</t>
  </si>
  <si>
    <t>71424208</t>
  </si>
  <si>
    <t>71424223</t>
  </si>
  <si>
    <t>71425002</t>
  </si>
  <si>
    <t>71425003</t>
  </si>
  <si>
    <t>71425004</t>
  </si>
  <si>
    <t>71425005</t>
  </si>
  <si>
    <t>71425006</t>
  </si>
  <si>
    <t>71425007</t>
  </si>
  <si>
    <t>71426004</t>
  </si>
  <si>
    <t>71426005</t>
  </si>
  <si>
    <t>71426006</t>
  </si>
  <si>
    <t>71426007</t>
  </si>
  <si>
    <t>71453202</t>
  </si>
  <si>
    <t>71453203</t>
  </si>
  <si>
    <t>71453204</t>
  </si>
  <si>
    <t>71453214</t>
  </si>
  <si>
    <t>71453223</t>
  </si>
  <si>
    <t>71453224</t>
  </si>
  <si>
    <t>71453231</t>
  </si>
  <si>
    <t>71453232</t>
  </si>
  <si>
    <t>71453233</t>
  </si>
  <si>
    <t>7210423</t>
  </si>
  <si>
    <t>7210573</t>
  </si>
  <si>
    <t>7211004</t>
  </si>
  <si>
    <t>72200082</t>
  </si>
  <si>
    <t>72200414</t>
  </si>
  <si>
    <t>72200902</t>
  </si>
  <si>
    <t>72200905</t>
  </si>
  <si>
    <t>72202467</t>
  </si>
  <si>
    <t>72202469</t>
  </si>
  <si>
    <t>72203238</t>
  </si>
  <si>
    <t>76XX3035N-06</t>
  </si>
  <si>
    <t>7861073101543</t>
  </si>
  <si>
    <t>7861073101567</t>
  </si>
  <si>
    <t>7861073101659</t>
  </si>
  <si>
    <t>85XX0050N35-00</t>
  </si>
  <si>
    <t>8810804</t>
  </si>
  <si>
    <t>8841112</t>
  </si>
  <si>
    <t>8873160</t>
  </si>
  <si>
    <t>8973135</t>
  </si>
  <si>
    <t>91BX3805L-00</t>
  </si>
  <si>
    <t>93AE3232L05</t>
  </si>
  <si>
    <t>93CL1522L05</t>
  </si>
  <si>
    <t>93MB3219L17-10</t>
  </si>
  <si>
    <t>ASC4250-01</t>
  </si>
  <si>
    <t>ASC4830-01</t>
  </si>
  <si>
    <t>ASC5500-01</t>
  </si>
  <si>
    <t>HD 680 DE-V</t>
  </si>
  <si>
    <t>KNS-1706-10</t>
  </si>
  <si>
    <t>VK-VAG40X6</t>
  </si>
  <si>
    <t>2017-3</t>
  </si>
  <si>
    <t>2017-4</t>
  </si>
  <si>
    <t>2017-5</t>
  </si>
  <si>
    <t>REDAX</t>
  </si>
  <si>
    <t>10102</t>
  </si>
  <si>
    <t>10128</t>
  </si>
  <si>
    <t>10410</t>
  </si>
  <si>
    <t>20928</t>
  </si>
  <si>
    <t>10101R</t>
  </si>
  <si>
    <t>SUSP-17</t>
  </si>
  <si>
    <t>REDAX AEREO</t>
  </si>
  <si>
    <t>Sistema de drenaje toracico DRENTECH ANE</t>
  </si>
  <si>
    <t>CAMPANA DE TRES CAMARAS HUMEDO</t>
  </si>
  <si>
    <t>CAMPANA CUATRO CAMARAS EN HUMEDO DOS TUB</t>
  </si>
  <si>
    <t>CAMPANA CUATRO CAMARAS EN HUMEDO</t>
  </si>
  <si>
    <t>10102PX</t>
  </si>
  <si>
    <t>LIBRE-11</t>
  </si>
  <si>
    <t>COMPACT 4 CÁMARAS HÚMEDO</t>
  </si>
  <si>
    <t>COMPACT - Chest drain three chambers Rec</t>
  </si>
  <si>
    <t>VARIANT - Chest drain three chambers Rec</t>
  </si>
  <si>
    <t>CAMPANA DE TRES CAMARAS SECO</t>
  </si>
  <si>
    <t>LIBRE-53</t>
  </si>
  <si>
    <t>VARIANT CAMPANA DE 3 CAMARAS EN SECO UN</t>
  </si>
  <si>
    <t>CAMPANA DE CUATRO CAMARAS EN SECO</t>
  </si>
  <si>
    <t>10113</t>
  </si>
  <si>
    <t>LIBRE-10</t>
  </si>
  <si>
    <t>CAMPANA TRES CAMARAS DUNE SECO UN TUBO</t>
  </si>
  <si>
    <t>CAMPANA TRES CAMARAS TOTALMENTE SECO</t>
  </si>
  <si>
    <t>10117</t>
  </si>
  <si>
    <t>Sistema de drenaje toracico para pediatr</t>
  </si>
  <si>
    <t>CAMPANA  DOS CAMARAS</t>
  </si>
  <si>
    <t>VARIANT CAMPANA DE 4 CAMARAS EN SECO DOS</t>
  </si>
  <si>
    <t>10126</t>
  </si>
  <si>
    <t>SIMPLE PLUS - Chest drain two chambers R</t>
  </si>
  <si>
    <t>SIMPLE 3 - Chest drain two chambers Reci</t>
  </si>
  <si>
    <t>10129</t>
  </si>
  <si>
    <t>10130</t>
  </si>
  <si>
    <t>10140</t>
  </si>
  <si>
    <t>EMOTRANS DUNE mobile  Recipiente de dren</t>
  </si>
  <si>
    <t>CAMP.AUTOTRANSF.TRES CAMARAS TOTALM.SECO</t>
  </si>
  <si>
    <t>10141</t>
  </si>
  <si>
    <t>Bolsa de Sangre EMOTRANS Bolsa de sangre</t>
  </si>
  <si>
    <t>ACCESORIOS  CAMPANAS</t>
  </si>
  <si>
    <t>10161</t>
  </si>
  <si>
    <t>EMOTRANS - Chest drain three chambers Re</t>
  </si>
  <si>
    <t>CAMP. AUTOTRASNF.TRES CAMARAS EN HUMEDO</t>
  </si>
  <si>
    <t>10162</t>
  </si>
  <si>
    <t>EMOTRANS - Chest drain four chambers Rec</t>
  </si>
  <si>
    <t>CAMP.AUTOTRANSF.CUATRO CAMARAS EN HUMEDO</t>
  </si>
  <si>
    <t>10172</t>
  </si>
  <si>
    <t>Portable chest drainage vacuum unit</t>
  </si>
  <si>
    <t>ACCESORIOS CAMPANAS</t>
  </si>
  <si>
    <t>10174</t>
  </si>
  <si>
    <t>KIT portable chest drainage vacuum unit</t>
  </si>
  <si>
    <t>CAMPANA UNICAMERAL CHEST UN TUBO</t>
  </si>
  <si>
    <t>CAMPANA UNICAMERAL</t>
  </si>
  <si>
    <t>10192</t>
  </si>
  <si>
    <t>Drentech PALM KIT portable chest drainag</t>
  </si>
  <si>
    <t>10193</t>
  </si>
  <si>
    <t>Drentecha PALM Portable chest drainage v</t>
  </si>
  <si>
    <t>LIBRE-116</t>
  </si>
  <si>
    <t>RESERVORIO DE SILICON DE 100ML</t>
  </si>
  <si>
    <t>RESERVORIOS</t>
  </si>
  <si>
    <t>RESERVORIO DE SILICON DE 200ML</t>
  </si>
  <si>
    <t>RESERVORIO DE SILICON DE 400ML</t>
  </si>
  <si>
    <t>10530</t>
  </si>
  <si>
    <t>"Heimlich Valve - standalone, sterile"</t>
  </si>
  <si>
    <t>VALVULA DE HEIMLICH</t>
  </si>
  <si>
    <t>10531</t>
  </si>
  <si>
    <t>Heimlich Valve with 600 ml bag tapless e</t>
  </si>
  <si>
    <t>10538</t>
  </si>
  <si>
    <t>Chest unit protection filter</t>
  </si>
  <si>
    <t>10564</t>
  </si>
  <si>
    <t>"Tubo de conexión para neonatologia, 20 u"</t>
  </si>
  <si>
    <t>10705</t>
  </si>
  <si>
    <t>Set autotransfusión</t>
  </si>
  <si>
    <t>SET DE AUTOTRANSFUSION</t>
  </si>
  <si>
    <t>Set autotransfusión con resorte interno</t>
  </si>
  <si>
    <t>10800</t>
  </si>
  <si>
    <t>"UNICO - Centesis Set, standard version -"</t>
  </si>
  <si>
    <t>UNICO</t>
  </si>
  <si>
    <t>10801</t>
  </si>
  <si>
    <t>10802</t>
  </si>
  <si>
    <t>"UNICO - Centesis Set, de-connectable ver"</t>
  </si>
  <si>
    <t>11216</t>
  </si>
  <si>
    <t>"Catéter Torácico c/Trocar CH 16 / 5,3mm"</t>
  </si>
  <si>
    <t>CATETERES CON TROCAR PUNTA AFILADA</t>
  </si>
  <si>
    <t>11220</t>
  </si>
  <si>
    <t>"Catéter Torácico c/Trocar CH 20 / 6,6mm"</t>
  </si>
  <si>
    <t>Catéter Torácico c/Trocar CH 24 / 8mm /</t>
  </si>
  <si>
    <t>R</t>
  </si>
  <si>
    <t>CATETER TORACICO CON TROCAR PUNTA AFILAD</t>
  </si>
  <si>
    <t>12004</t>
  </si>
  <si>
    <t>Bolsa 600 ml</t>
  </si>
  <si>
    <t>BOLSAS</t>
  </si>
  <si>
    <t>12015</t>
  </si>
  <si>
    <t>Bolsa 200 ml</t>
  </si>
  <si>
    <t>12024</t>
  </si>
  <si>
    <t>Bolsa de sangre para recambio para drena</t>
  </si>
  <si>
    <t>ACCESORIO SET DE AUTOTRANSFUSION</t>
  </si>
  <si>
    <t>20812</t>
  </si>
  <si>
    <t>Catéter Torácco Silicón recto CH 12 / 4m</t>
  </si>
  <si>
    <t>CATETERES DE SILICON RECTO</t>
  </si>
  <si>
    <t>20815</t>
  </si>
  <si>
    <t>Catéter Torácco Silicón recto CH 15 / 5m</t>
  </si>
  <si>
    <t>20818</t>
  </si>
  <si>
    <t>Catéter Torácco Silicón recto CH 18 / 6m</t>
  </si>
  <si>
    <t>20821</t>
  </si>
  <si>
    <t>Catéter Torácco Silicón recto CH 21 / 7m</t>
  </si>
  <si>
    <t>20824</t>
  </si>
  <si>
    <t>Catéter Torácco Silicón recto CH 24 / 8m</t>
  </si>
  <si>
    <t>"Catéter Torácco Silicón recto CH 28 / 9,"</t>
  </si>
  <si>
    <t>20830</t>
  </si>
  <si>
    <t>Catéter Torácco Silicón recto CH 30 / 10</t>
  </si>
  <si>
    <t>Catéter Torácco Silicón recto CH 33 / 11</t>
  </si>
  <si>
    <t>Catéter Torácco Silicón recto CH 36 / 12</t>
  </si>
  <si>
    <t>20916</t>
  </si>
  <si>
    <t>"Catéter Torácico Angulado PVC CH 16 / 5,"</t>
  </si>
  <si>
    <t>CATETERES ANGULADOS PVC</t>
  </si>
  <si>
    <t>20920</t>
  </si>
  <si>
    <t>"Catéter Torácico Angulado PVC CH 20 / 6,"</t>
  </si>
  <si>
    <t>20924</t>
  </si>
  <si>
    <t>Catéter Torácico Angulado PVC CH 24 / 8</t>
  </si>
  <si>
    <t>"Catéter Torácico Angulado PVC CH 28 / 9,"</t>
  </si>
  <si>
    <t>20930</t>
  </si>
  <si>
    <t>Catéter Torácico Angulado PVC CH 30 / 10</t>
  </si>
  <si>
    <t>"Catéter Torácico Angulado PVC CH 32 /10,"</t>
  </si>
  <si>
    <t>20936</t>
  </si>
  <si>
    <t>Catéter Torácico Angulado PVC CH 36 / 12</t>
  </si>
  <si>
    <t>20940</t>
  </si>
  <si>
    <t>Catéter Torácico Angulado PVC CH 40 / 13</t>
  </si>
  <si>
    <t>21016</t>
  </si>
  <si>
    <t>"Catéter Torácico recto PVC CH 16 / 5,3 m"</t>
  </si>
  <si>
    <t>CATETERES RECTOS PVC</t>
  </si>
  <si>
    <t>21020</t>
  </si>
  <si>
    <t>"Catéter Torácico recto PVC CH 20 / 6,6 m"</t>
  </si>
  <si>
    <t>21024</t>
  </si>
  <si>
    <t>Catéter Torácico recto PVC CH 24 / 8 mm</t>
  </si>
  <si>
    <t>21028</t>
  </si>
  <si>
    <t>"Catéter Torácico recto PVC CH 28 / 9,3 m"</t>
  </si>
  <si>
    <t>21030</t>
  </si>
  <si>
    <t>Catéter Torácico recto PVC CH 30 / 10 mm</t>
  </si>
  <si>
    <t>21032</t>
  </si>
  <si>
    <t>"Catéter Torácico recto PVC CH 32 / 10,6"</t>
  </si>
  <si>
    <t>21036</t>
  </si>
  <si>
    <t>Catéter Torácico recto PVC CH 36 / 12 mm</t>
  </si>
  <si>
    <t>21040</t>
  </si>
  <si>
    <t>"Catéter Torácico recto PVC CH 40 / 13,3"</t>
  </si>
  <si>
    <t>21108</t>
  </si>
  <si>
    <t>"Catéter Torácico c/Trocar CH 8 / 2,6mm /"</t>
  </si>
  <si>
    <t>CATETERES CON TROCAR PUNTA CERRADA</t>
  </si>
  <si>
    <t>21110</t>
  </si>
  <si>
    <t>"Catéter Torácico c/Trocar CH 10 / 3,3mm"</t>
  </si>
  <si>
    <t>21112</t>
  </si>
  <si>
    <t>Catéter Torácico c/Trocar CH 12 / 4mm /</t>
  </si>
  <si>
    <t>21116</t>
  </si>
  <si>
    <t>21118</t>
  </si>
  <si>
    <t>Catéter Torácico c/Trocar CH 18 / 6mm /</t>
  </si>
  <si>
    <t>21120</t>
  </si>
  <si>
    <t>21124</t>
  </si>
  <si>
    <t>21128</t>
  </si>
  <si>
    <t>"Catéter Torácico c/Trocar CH 28 / 9,3mm"</t>
  </si>
  <si>
    <t>21132</t>
  </si>
  <si>
    <t>"Catéter Torácico c/Trocar CH 32 / 10,6mm"</t>
  </si>
  <si>
    <t>21824</t>
  </si>
  <si>
    <t>Catéter Torácico Silicón Angulado CH 24</t>
  </si>
  <si>
    <t>CATETERES DE SILICON ANGULADO</t>
  </si>
  <si>
    <t>21828</t>
  </si>
  <si>
    <t>Catéter Torácico Silicón Angulado CH 28</t>
  </si>
  <si>
    <t>21830</t>
  </si>
  <si>
    <t>Catéter Torácico Silicón Angulado CH 30</t>
  </si>
  <si>
    <t>Catéter Torácico Silicón Angulado CH 33</t>
  </si>
  <si>
    <t>21836</t>
  </si>
  <si>
    <t>Catéter Torácico Silicón Angulado CH 36</t>
  </si>
  <si>
    <t>24110</t>
  </si>
  <si>
    <t>DREN PLANO DE SILICON TIPO JACKSON PRATT</t>
  </si>
  <si>
    <t>JACKSON PRATT</t>
  </si>
  <si>
    <t>24111</t>
  </si>
  <si>
    <t>24130</t>
  </si>
  <si>
    <t>24131</t>
  </si>
  <si>
    <t>24140</t>
  </si>
  <si>
    <t>24141</t>
  </si>
  <si>
    <t>24200</t>
  </si>
  <si>
    <t>DREN REDONDO DE SILICON TIPO JACKSON PRA</t>
  </si>
  <si>
    <t>24201</t>
  </si>
  <si>
    <t>24210</t>
  </si>
  <si>
    <t>24211</t>
  </si>
  <si>
    <t>DREN REDONDO  DE SILICON TIPO JACKSON PR</t>
  </si>
  <si>
    <t>24220</t>
  </si>
  <si>
    <t>24221</t>
  </si>
  <si>
    <t>24230</t>
  </si>
  <si>
    <t>24231</t>
  </si>
  <si>
    <t>24601</t>
  </si>
  <si>
    <t>SPIRAL DREN CON TROCAR 7FR/CH</t>
  </si>
  <si>
    <t>SPIRAL</t>
  </si>
  <si>
    <t>SPIRAL DREN CON TROCAR 10FR/CH</t>
  </si>
  <si>
    <t>24603</t>
  </si>
  <si>
    <t>SPIRAL DREN CON TROCAR 15FR/CH</t>
  </si>
  <si>
    <t>24604</t>
  </si>
  <si>
    <t>SPIRAL DREN CON TROCAR 19FR/CH</t>
  </si>
  <si>
    <t>24605</t>
  </si>
  <si>
    <t>SPIRAL DREN CON TROCAR CH12</t>
  </si>
  <si>
    <t>24607</t>
  </si>
  <si>
    <t>SPIRAL DREN CON TROCAR CH7</t>
  </si>
  <si>
    <t>24610</t>
  </si>
  <si>
    <t>DREN ESPIRAL SIN TROCAR 10CH UN</t>
  </si>
  <si>
    <t>24612</t>
  </si>
  <si>
    <t>DREN ESPIRAL SIN TROCAR CH12</t>
  </si>
  <si>
    <t>24615</t>
  </si>
  <si>
    <t>DREN ESPIRAL SIN TROCAR CH15</t>
  </si>
  <si>
    <t>24619</t>
  </si>
  <si>
    <t>DREN ESPIRAL SIN TROCAR CH19</t>
  </si>
  <si>
    <t>24620</t>
  </si>
  <si>
    <t>DREN ESPIRAL SIN TROCAR 20CH UN</t>
  </si>
  <si>
    <t>24621</t>
  </si>
  <si>
    <t>DREN ESPIRAL SIN TROCAR CH24</t>
  </si>
  <si>
    <t>25019</t>
  </si>
  <si>
    <t>Kardial Spiral DREN SIN TROCAR DE 19 FR/</t>
  </si>
  <si>
    <t>KARDIAL</t>
  </si>
  <si>
    <t>25024</t>
  </si>
  <si>
    <t>Kardial Spiral DREN SIN TROCAR DE 24 FR/</t>
  </si>
  <si>
    <t>LOHMANN &amp; RAUSCHER</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</si>
</sst>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 #,##0"/>
    <numFmt numFmtId="165" formatCode="0.0"/>
    <numFmt numFmtId="166" formatCode="0.0%"/>
    <numFmt numFmtId="167" formatCode="&quot;$&quot;\ #,##0.00"/>
    <numFmt numFmtId="168" formatCode="dd/mmm/yyyy"/>
    <numFmt numFmtId="169" formatCode="yyyy\-mm"/>
  </numFmts>
  <fonts count="14"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b/>
      <sz val="11"/>
      <color rgb="FFFF0000"/>
      <name val="Calibri"/>
      <family val="2"/>
      <scheme val="minor"/>
    </font>
  </fonts>
  <fills count="13">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
      <patternFill patternType="solid">
        <fgColor rgb="FF7030A0"/>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7">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68" fontId="0" fillId="0" borderId="0" xfId="0" applyNumberFormat="1" applyAlignment="1" applyProtection="1">
      <alignment horizontal="center"/>
      <protection locked="0"/>
    </xf>
    <xf numFmtId="0" fontId="10" fillId="12" borderId="0" xfId="0" applyFont="1" applyFill="1" applyAlignment="1">
      <alignment horizontal="center" vertical="center" wrapText="1"/>
    </xf>
    <xf numFmtId="168" fontId="0" fillId="0" borderId="0" xfId="0" applyNumberFormat="1" applyAlignment="1" applyProtection="1">
      <alignment horizontal="center"/>
    </xf>
    <xf numFmtId="0" fontId="13" fillId="4" borderId="10" xfId="0" applyFont="1" applyFill="1" applyBorder="1"/>
    <xf numFmtId="0" fontId="1" fillId="4" borderId="0" xfId="0" applyFont="1" applyFill="1" applyAlignment="1">
      <alignment horizontal="center" vertical="center" wrapText="1"/>
    </xf>
    <xf numFmtId="168" fontId="0" fillId="0" borderId="0" xfId="0" applyNumberFormat="1" applyAlignment="1">
      <alignment horizontal="center"/>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13">
    <dxf>
      <font>
        <color theme="0"/>
      </font>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ont>
        <color theme="0"/>
      </font>
      <fill>
        <patternFill>
          <bgColor rgb="FFC00000"/>
        </patternFill>
      </fill>
    </dxf>
    <dxf>
      <font>
        <color theme="0"/>
      </font>
      <fill>
        <patternFill>
          <bgColor theme="6"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68" formatCode="dd/mmm/yyyy"/>
      <alignment horizontal="center" vertical="bottom" textRotation="0" wrapText="0" indent="0" justifyLastLine="0" shrinkToFit="0" readingOrder="0"/>
      <protection locked="0" hidden="0"/>
    </dxf>
    <dxf>
      <numFmt numFmtId="168" formatCode="dd/mmm/yyyy"/>
      <alignment horizontal="center" vertical="bottom" textRotation="0" wrapText="0" indent="0" justifyLastLine="0" shrinkToFit="0" readingOrder="0"/>
      <protection locked="1"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8" formatCode="dd/mmm/yyyy"/>
      <alignment horizontal="center" vertical="bottom" textRotation="0" wrapText="0" indent="0" justifyLastLine="0" shrinkToFit="0" readingOrder="0"/>
    </dxf>
    <dxf>
      <numFmt numFmtId="168" formatCode="dd/mmm/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20.emf"/><Relationship Id="rId13" Type="http://schemas.openxmlformats.org/officeDocument/2006/relationships/image" Target="../media/image23.emf"/><Relationship Id="rId18" Type="http://schemas.openxmlformats.org/officeDocument/2006/relationships/image" Target="../media/image25.emf"/><Relationship Id="rId26" Type="http://schemas.openxmlformats.org/officeDocument/2006/relationships/image" Target="../media/image1.emf"/><Relationship Id="rId3" Type="http://schemas.openxmlformats.org/officeDocument/2006/relationships/image" Target="../media/image16.emf"/><Relationship Id="rId21" Type="http://schemas.openxmlformats.org/officeDocument/2006/relationships/image" Target="../media/image6.emf"/><Relationship Id="rId7" Type="http://schemas.openxmlformats.org/officeDocument/2006/relationships/image" Target="../media/image19.emf"/><Relationship Id="rId12" Type="http://schemas.openxmlformats.org/officeDocument/2006/relationships/image" Target="../media/image22.emf"/><Relationship Id="rId17" Type="http://schemas.openxmlformats.org/officeDocument/2006/relationships/image" Target="../media/image8.emf"/><Relationship Id="rId25" Type="http://schemas.openxmlformats.org/officeDocument/2006/relationships/image" Target="../media/image2.emf"/><Relationship Id="rId2" Type="http://schemas.openxmlformats.org/officeDocument/2006/relationships/image" Target="../media/image14.emf"/><Relationship Id="rId16" Type="http://schemas.openxmlformats.org/officeDocument/2006/relationships/image" Target="../media/image9.emf"/><Relationship Id="rId20" Type="http://schemas.openxmlformats.org/officeDocument/2006/relationships/image" Target="../media/image7.emf"/><Relationship Id="rId1" Type="http://schemas.openxmlformats.org/officeDocument/2006/relationships/image" Target="../media/image15.emf"/><Relationship Id="rId6" Type="http://schemas.openxmlformats.org/officeDocument/2006/relationships/image" Target="../media/image18.emf"/><Relationship Id="rId11" Type="http://schemas.openxmlformats.org/officeDocument/2006/relationships/image" Target="../media/image10.emf"/><Relationship Id="rId24" Type="http://schemas.openxmlformats.org/officeDocument/2006/relationships/image" Target="../media/image3.emf"/><Relationship Id="rId5" Type="http://schemas.openxmlformats.org/officeDocument/2006/relationships/image" Target="../media/image12.emf"/><Relationship Id="rId15" Type="http://schemas.openxmlformats.org/officeDocument/2006/relationships/image" Target="../media/image13.emf"/><Relationship Id="rId23" Type="http://schemas.openxmlformats.org/officeDocument/2006/relationships/image" Target="../media/image4.emf"/><Relationship Id="rId10" Type="http://schemas.openxmlformats.org/officeDocument/2006/relationships/image" Target="../media/image11.emf"/><Relationship Id="rId19" Type="http://schemas.openxmlformats.org/officeDocument/2006/relationships/image" Target="../media/image26.emf"/><Relationship Id="rId4" Type="http://schemas.openxmlformats.org/officeDocument/2006/relationships/image" Target="../media/image17.emf"/><Relationship Id="rId9" Type="http://schemas.openxmlformats.org/officeDocument/2006/relationships/image" Target="../media/image21.emf"/><Relationship Id="rId14" Type="http://schemas.openxmlformats.org/officeDocument/2006/relationships/image" Target="../media/image24.emf"/><Relationship Id="rId22"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9.emf"/><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333375</xdr:rowOff>
        </xdr:from>
        <xdr:to>
          <xdr:col>0</xdr:col>
          <xdr:colOff>685800</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695325</xdr:colOff>
          <xdr:row>0</xdr:row>
          <xdr:rowOff>333375</xdr:rowOff>
        </xdr:from>
        <xdr:to>
          <xdr:col>1</xdr:col>
          <xdr:colOff>47625</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6</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219075</xdr:colOff>
          <xdr:row>0</xdr:row>
          <xdr:rowOff>28575</xdr:rowOff>
        </xdr:from>
        <xdr:to>
          <xdr:col>1</xdr:col>
          <xdr:colOff>590550</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0</xdr:row>
          <xdr:rowOff>276225</xdr:rowOff>
        </xdr:from>
        <xdr:to>
          <xdr:col>6</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0</xdr:row>
          <xdr:rowOff>28575</xdr:rowOff>
        </xdr:from>
        <xdr:to>
          <xdr:col>0</xdr:col>
          <xdr:colOff>1095375</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333375</xdr:rowOff>
        </xdr:from>
        <xdr:to>
          <xdr:col>1</xdr:col>
          <xdr:colOff>2533650</xdr:colOff>
          <xdr:row>0</xdr:row>
          <xdr:rowOff>581025</xdr:rowOff>
        </xdr:to>
        <xdr:sp macro="" textlink="">
          <xdr:nvSpPr>
            <xdr:cNvPr id="1087" name="cmdBuffer"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2552700</xdr:colOff>
          <xdr:row>0</xdr:row>
          <xdr:rowOff>333375</xdr:rowOff>
        </xdr:from>
        <xdr:to>
          <xdr:col>1</xdr:col>
          <xdr:colOff>2800350</xdr:colOff>
          <xdr:row>0</xdr:row>
          <xdr:rowOff>581025</xdr:rowOff>
        </xdr:to>
        <xdr:sp macro="" textlink="">
          <xdr:nvSpPr>
            <xdr:cNvPr id="1088" name="cmdReq"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0</xdr:row>
          <xdr:rowOff>333375</xdr:rowOff>
        </xdr:from>
        <xdr:to>
          <xdr:col>1</xdr:col>
          <xdr:colOff>3067050</xdr:colOff>
          <xdr:row>0</xdr:row>
          <xdr:rowOff>581025</xdr:rowOff>
        </xdr:to>
        <xdr:sp macro="" textlink="">
          <xdr:nvSpPr>
            <xdr:cNvPr id="1090" name="cmdConsumoVer" hidden="1">
              <a:extLst>
                <a:ext uri="{63B3BB69-23CF-44E3-9099-C40C66FF867C}">
                  <a14:compatExt spid="_x0000_s1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333375</xdr:rowOff>
        </xdr:from>
        <xdr:to>
          <xdr:col>2</xdr:col>
          <xdr:colOff>257175</xdr:colOff>
          <xdr:row>0</xdr:row>
          <xdr:rowOff>581025</xdr:rowOff>
        </xdr:to>
        <xdr:sp macro="" textlink="">
          <xdr:nvSpPr>
            <xdr:cNvPr id="1093" name="cmdEstatus" hidden="1">
              <a:extLst>
                <a:ext uri="{63B3BB69-23CF-44E3-9099-C40C66FF867C}">
                  <a14:compatExt spid="_x0000_s1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333375</xdr:rowOff>
        </xdr:from>
        <xdr:to>
          <xdr:col>2</xdr:col>
          <xdr:colOff>514350</xdr:colOff>
          <xdr:row>0</xdr:row>
          <xdr:rowOff>581025</xdr:rowOff>
        </xdr:to>
        <xdr:sp macro="" textlink="">
          <xdr:nvSpPr>
            <xdr:cNvPr id="1095" name="cmdDespacho"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685800</xdr:colOff>
          <xdr:row>0</xdr:row>
          <xdr:rowOff>333375</xdr:rowOff>
        </xdr:from>
        <xdr:to>
          <xdr:col>1</xdr:col>
          <xdr:colOff>1200150</xdr:colOff>
          <xdr:row>0</xdr:row>
          <xdr:rowOff>600075</xdr:rowOff>
        </xdr:to>
        <xdr:sp macro="" textlink="">
          <xdr:nvSpPr>
            <xdr:cNvPr id="1096" name="cmdNombreDescriptivo" hidden="1">
              <a:extLst>
                <a:ext uri="{63B3BB69-23CF-44E3-9099-C40C66FF867C}">
                  <a14:compatExt spid="_x0000_s10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2"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CB19" totalsRowShown="0" headerRowDxfId="212">
  <autoFilter ref="A8:CB19"/>
  <tableColumns count="80">
    <tableColumn id="1" name="CODIGO" dataDxfId="211"/>
    <tableColumn id="2" name="DESCRIPCION" dataDxfId="210"/>
    <tableColumn id="36" name="CODIGO GENERICO" dataDxfId="209"/>
    <tableColumn id="45" name="CODIGO VINCULADO" dataDxfId="208"/>
    <tableColumn id="4" name="LINEA" dataDxfId="207"/>
    <tableColumn id="29" name="SUBLINEA" dataDxfId="206"/>
    <tableColumn id="3" name="GRUPO" dataDxfId="205"/>
    <tableColumn id="22" name="FAMILIA" dataDxfId="204"/>
    <tableColumn id="23" name="SUBFAMILIA" dataDxfId="203"/>
    <tableColumn id="24" name="CATEGORIA" dataDxfId="202"/>
    <tableColumn id="25" name="TIPO" dataDxfId="201"/>
    <tableColumn id="26" name="MARCA" dataDxfId="200"/>
    <tableColumn id="27" name="MODELO" dataDxfId="199"/>
    <tableColumn id="28" name="CAT MANAGEMENT" dataDxfId="198"/>
    <tableColumn id="65" name="Estatus" dataDxfId="197"/>
    <tableColumn id="14" name="CTV" dataDxfId="196"/>
    <tableColumn id="15" name="PVP" dataDxfId="195"/>
    <tableColumn id="7" name="RENTABILIDAD" dataDxfId="194"/>
    <tableColumn id="53" name="RENTABILID PROY" dataDxfId="193"/>
    <tableColumn id="19" name="VEL EFECT" dataDxfId="192"/>
    <tableColumn id="20" name="SERVICIO" dataDxfId="191"/>
    <tableColumn id="21" name="PROVEEDOR" dataDxfId="190"/>
    <tableColumn id="39" name="PERFIL" dataDxfId="189"/>
    <tableColumn id="54" name="T REP" dataDxfId="188"/>
    <tableColumn id="55" name="F REP" dataDxfId="187"/>
    <tableColumn id="5" name="BUFFER" dataDxfId="186"/>
    <tableColumn id="75" name="INV PROVEEDOR" dataDxfId="185"/>
    <tableColumn id="31" name="INV FISICO" dataDxfId="184"/>
    <tableColumn id="6" name="CONS BUFF" dataDxfId="183"/>
    <tableColumn id="50" name="COLOR" dataDxfId="182"/>
    <tableColumn id="32" name="INV TRANSITO" dataDxfId="181"/>
    <tableColumn id="41" name="NEGOCIACIÓN" dataDxfId="180"/>
    <tableColumn id="42" name="PRODUCCIÓN" dataDxfId="179"/>
    <tableColumn id="43" name="EMBARCADO" dataDxfId="178"/>
    <tableColumn id="33" name="COMPROMETIDO" dataDxfId="177"/>
    <tableColumn id="34" name="BACKORDER" dataDxfId="176"/>
    <tableColumn id="40" name="INV PROYECTADO" dataDxfId="175"/>
    <tableColumn id="46" name="CONSUMO INV PROY" dataDxfId="174"/>
    <tableColumn id="51" name="COLOR1" dataDxfId="173"/>
    <tableColumn id="37" name="PEDIDO MIN" dataDxfId="172"/>
    <tableColumn id="38" name="PEDIDO MIN GRUPO" dataDxfId="171"/>
    <tableColumn id="30" name="UNIDAD EMPAQUE" dataDxfId="170"/>
    <tableColumn id="12" name="PEDIDO PROMEDIO" dataDxfId="169"/>
    <tableColumn id="47" name="COBERT BUFFER" dataDxfId="168"/>
    <tableColumn id="48" name="COBERT INV PROY" dataDxfId="167"/>
    <tableColumn id="49" name="COBERT PEDID MIN" dataDxfId="166"/>
    <tableColumn id="52" name="DIAS DESABASTECIM" dataDxfId="165"/>
    <tableColumn id="67" name="ULT TRANSFER INI" dataDxfId="164"/>
    <tableColumn id="68" name="ULT TRANSFER FIN" dataDxfId="163"/>
    <tableColumn id="64" name="2016-12" dataDxfId="162">
      <calculatedColumnFormula array="1">IFERROR(INDEX(Datos_Consumo[CANTIDAD],MATCH(TABLATRANSFERENCIA[[#This Row],[CODIGO]]&amp;TABLATRANSFERENCIA[[#Headers],[2016-12]],Datos_Consumo[CODIGO]&amp;Datos_Consumo[FECHA_FORMATO],0)),0)</calculatedColumnFormula>
    </tableColumn>
    <tableColumn id="63" name="2017-1" dataDxfId="161">
      <calculatedColumnFormula array="1">IFERROR(INDEX(Datos_Consumo[CANTIDAD],MATCH(TABLATRANSFERENCIA[[#This Row],[CODIGO]]&amp;TABLATRANSFERENCIA[[#Headers],[2017-1]],Datos_Consumo[CODIGO]&amp;Datos_Consumo[FECHA_FORMATO],0)),0)</calculatedColumnFormula>
    </tableColumn>
    <tableColumn id="62" name="2017-2" dataDxfId="160">
      <calculatedColumnFormula array="1">IFERROR(INDEX(Datos_Consumo[CANTIDAD],MATCH(TABLATRANSFERENCIA[[#This Row],[CODIGO]]&amp;TABLATRANSFERENCIA[[#Headers],[2017-2]],Datos_Consumo[CODIGO]&amp;Datos_Consumo[FECHA_FORMATO],0)),0)</calculatedColumnFormula>
    </tableColumn>
    <tableColumn id="61" name="2017-3" dataDxfId="159">
      <calculatedColumnFormula array="1">IFERROR(INDEX(Datos_Consumo[CANTIDAD],MATCH(TABLATRANSFERENCIA[[#This Row],[CODIGO]]&amp;TABLATRANSFERENCIA[[#Headers],[2017-3]],Datos_Consumo[CODIGO]&amp;Datos_Consumo[FECHA_FORMATO],0)),0)</calculatedColumnFormula>
    </tableColumn>
    <tableColumn id="60" name="2017-4" dataDxfId="158">
      <calculatedColumnFormula array="1">IFERROR(INDEX(Datos_Consumo[CANTIDAD],MATCH(TABLATRANSFERENCIA[[#This Row],[CODIGO]]&amp;TABLATRANSFERENCIA[[#Headers],[2017-4]],Datos_Consumo[CODIGO]&amp;Datos_Consumo[FECHA_FORMATO],0)),0)</calculatedColumnFormula>
    </tableColumn>
    <tableColumn id="59" name="2017-5" dataDxfId="157">
      <calculatedColumnFormula array="1">IFERROR(INDEX(Datos_Consumo[CANTIDAD],MATCH(TABLATRANSFERENCIA[[#This Row],[CODIGO]]&amp;TABLATRANSFERENCIA[[#Headers],[2017-5]],Datos_Consumo[CODIGO]&amp;Datos_Consumo[FECHA_FORMATO],0)),0)</calculatedColumnFormula>
    </tableColumn>
    <tableColumn id="8" name="REQUERIM" dataDxfId="156"/>
    <tableColumn id="13" name="REQ TOTAL" dataDxfId="155"/>
    <tableColumn id="78" name="DE FECHA" dataDxfId="154"/>
    <tableColumn id="79" name="A FECHA" dataDxfId="153"/>
    <tableColumn id="76" name="PO" dataDxfId="152"/>
    <tableColumn id="66" name="EMBARQUES" dataDxfId="151"/>
    <tableColumn id="69" name="Emb1" dataDxfId="150">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49">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48">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47">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46">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45"/>
    <tableColumn id="44" name="TAMAÑO RELATIVO" dataDxfId="144">
      <calculatedColumnFormula>IFERROR(TABLATRANSFERENCIA[[#This Row],[REQUERIM]]/TABLATRANSFERENCIA[[#This Row],[PEDIDO PROMEDIO]],0)</calculatedColumnFormula>
    </tableColumn>
    <tableColumn id="9" name="DESPACHO" dataDxfId="143"/>
    <tableColumn id="10" name="RECIBIDO" dataDxfId="142"/>
    <tableColumn id="11" name="TRANSITO" dataDxfId="141">
      <calculatedColumnFormula>IF(TABLATRANSFERENCIA[[#This Row],[RECIBIDO]]&lt;&gt;"",0,IF(TABLATRANSFERENCIA[[#This Row],[DESPACHO]]&lt;&gt;"",TABLATRANSFERENCIA[[#This Row],[DESPACHO]],TABLATRANSFERENCIA[[#This Row],[REQUERIM]]))</calculatedColumnFormula>
    </tableColumn>
    <tableColumn id="16" name="OBSERVACIONES DESPACHOS" dataDxfId="140"/>
    <tableColumn id="17" name="OBSERVACIONES RECEPCIONES" dataDxfId="139"/>
    <tableColumn id="18" name="TIPO TRANSF" dataDxfId="138">
      <calculatedColumnFormula>"N"</calculatedColumnFormula>
    </tableColumn>
    <tableColumn id="80" name="ESTADO" dataDxfId="137"/>
    <tableColumn id="35" name="Error Pedid Min Grupo" dataDxfId="136">
      <calculatedColumnFormula array="1">IF(SUM(--(TABLATRANSFERENCIA[[#This Row],[CODIGO GENERICO]]=TABLATRANSFERENCIA[CODIGO GENERICO])*TABLATRANSFERENCIA[REQUERIM])&lt;TABLATRANSFERENCIA[[#This Row],[PEDIDO MIN GRUPO]],1,0)</calculatedColumnFormula>
    </tableColumn>
    <tableColumn id="56" name="Color Proyectado" dataDxfId="135">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34"/>
    <tableColumn id="58" name="ZONA ROJA" dataDxfId="133"/>
    <tableColumn id="77" name="Borrar" dataDxfId="132"/>
  </tableColumns>
  <tableStyleInfo name="TableStyleLight1" showFirstColumn="0" showLastColumn="0" showRowStripes="1" showColumnStripes="0"/>
</table>
</file>

<file path=xl/tables/table2.xml><?xml version="1.0" encoding="utf-8"?>
<table xmlns="http://schemas.openxmlformats.org/spreadsheetml/2006/main" id="15" name="XXYY" displayName="XXYY" ref="A1:BX2" totalsRowShown="0" headerRowDxfId="131">
  <autoFilter ref="A1:BX2"/>
  <tableColumns count="76">
    <tableColumn id="1" name="CODIGO" dataDxfId="130"/>
    <tableColumn id="2" name="DESCRIPCION" dataDxfId="129">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28">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27">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26">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25">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24">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23">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22">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21">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20">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19">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18">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17">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16">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15">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14">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13">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12">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11">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10">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09">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08">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07">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06">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05">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04">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03">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02">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101">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100">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99">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98">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97">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96">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95">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94">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93">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92">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91">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90">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89">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88">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87">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86">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85">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84">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83">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82">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81">
      <calculatedColumnFormula array="1">IFERROR(INDEX(Datos_Consumo[CANTIDAD],MATCH(XXYY[[#This Row],[CODIGO]]&amp;XXYY[[#Headers],[2016-5]],Datos_Consumo[CODIGO]&amp;Datos_Consumo[FECHA_FORMATO],0)),0)</calculatedColumnFormula>
    </tableColumn>
    <tableColumn id="63" name="2016-6" dataDxfId="80">
      <calculatedColumnFormula array="1">IFERROR(INDEX(Datos_Consumo[CANTIDAD],MATCH(XXYY[[#This Row],[CODIGO]]&amp;XXYY[[#Headers],[2016-6]],Datos_Consumo[CODIGO]&amp;Datos_Consumo[FECHA_FORMATO],0)),0)</calculatedColumnFormula>
    </tableColumn>
    <tableColumn id="62" name="Columna3" dataDxfId="79">
      <calculatedColumnFormula array="1">IFERROR(INDEX(Datos_Consumo[CANTIDAD],MATCH(XXYY[[#This Row],[CODIGO]]&amp;XXYY[[#Headers],[Columna3]],Datos_Consumo[CODIGO]&amp;Datos_Consumo[FECHA_FORMATO],0)),0)</calculatedColumnFormula>
    </tableColumn>
    <tableColumn id="61" name="Columna4" dataDxfId="78">
      <calculatedColumnFormula array="1">IFERROR(INDEX(Datos_Consumo[CANTIDAD],MATCH(XXYY[[#This Row],[CODIGO]]&amp;XXYY[[#Headers],[Columna4]],Datos_Consumo[CODIGO]&amp;Datos_Consumo[FECHA_FORMATO],0)),0)</calculatedColumnFormula>
    </tableColumn>
    <tableColumn id="60" name="Columna5" dataDxfId="77">
      <calculatedColumnFormula array="1">IFERROR(INDEX(Datos_Consumo[CANTIDAD],MATCH(XXYY[[#This Row],[CODIGO]]&amp;XXYY[[#Headers],[Columna5]],Datos_Consumo[CODIGO]&amp;Datos_Consumo[FECHA_FORMATO],0)),0)</calculatedColumnFormula>
    </tableColumn>
    <tableColumn id="59" name="Columna6" dataDxfId="76">
      <calculatedColumnFormula array="1">IFERROR(INDEX(Datos_Consumo[CANTIDAD],MATCH(XXYY[[#This Row],[CODIGO]]&amp;XXYY[[#Headers],[Columna6]],Datos_Consumo[CODIGO]&amp;Datos_Consumo[FECHA_FORMATO],0)),0)</calculatedColumnFormula>
    </tableColumn>
    <tableColumn id="8" name="REQUERIM" dataDxfId="75"/>
    <tableColumn id="13" name="REQ TOTAL" dataDxfId="74"/>
    <tableColumn id="66" name="EMBARQUES" dataDxfId="73"/>
    <tableColumn id="69" name="Emb1" dataDxfId="72">
      <calculatedColumnFormula>IF(RIGHT(XXYY[[#Headers],[Emb1]],1)*1&lt;=XXYY[[#This Row],[EMBARQUES]],IF(ISBLANK(XXYY[[#This Row],[EMBARQUES]]),XXYY[[#This Row],[REQUERIM]],ROUND(XXYY[[#This Row],[REQUERIM]]/XXYY[[#This Row],[EMBARQUES]],0)),XXYY[[#This Row],[REQUERIM]])</calculatedColumnFormula>
    </tableColumn>
    <tableColumn id="70" name="Emb2" dataDxfId="71">
      <calculatedColumnFormula>IF(RIGHT(XXYY[[#Headers],[Emb2]],1)*1&lt;XXYY[[#This Row],[EMBARQUES]],ROUND(XXYY[[#This Row],[REQUERIM]]/XXYY[[#This Row],[EMBARQUES]],0),IF(RIGHT(XXYY[[#Headers],[Emb2]],1)*1=XXYY[[#This Row],[EMBARQUES]],XXYY[[#This Row],[REQUERIM]]-SUM(XXYY[[#This Row],[Emb1]]),0))</calculatedColumnFormula>
    </tableColumn>
    <tableColumn id="71" name="Emb3" dataDxfId="70">
      <calculatedColumnFormula>IF(RIGHT(XXYY[[#Headers],[Emb3]],1)*1&lt;XXYY[[#This Row],[EMBARQUES]],ROUND(XXYY[[#This Row],[REQUERIM]]/XXYY[[#This Row],[EMBARQUES]],0),IF(RIGHT(XXYY[[#Headers],[Emb3]],1)*1=XXYY[[#This Row],[EMBARQUES]],XXYY[[#This Row],[REQUERIM]]-SUM(XXYY[[#This Row],[Emb1]:[Emb2]]),0))</calculatedColumnFormula>
    </tableColumn>
    <tableColumn id="72" name="Emb4" dataDxfId="69">
      <calculatedColumnFormula>IF(RIGHT(XXYY[[#Headers],[Emb4]],1)*1&lt;XXYY[[#This Row],[EMBARQUES]],ROUND(XXYY[[#This Row],[REQUERIM]]/XXYY[[#This Row],[EMBARQUES]],0),IF(RIGHT(XXYY[[#Headers],[Emb4]],1)*1=XXYY[[#This Row],[EMBARQUES]],XXYY[[#This Row],[REQUERIM]]-SUM(XXYY[[#This Row],[Emb1]:[Emb3]]),0))</calculatedColumnFormula>
    </tableColumn>
    <tableColumn id="73" name="Emb5" dataDxfId="68">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67"/>
    <tableColumn id="44" name="TAMAÑO RELATIVO" dataDxfId="66">
      <calculatedColumnFormula>IFERROR(XXYY[[#This Row],[REQUERIM]]/XXYY[[#This Row],[PEDIDO PROMEDIO]],0)</calculatedColumnFormula>
    </tableColumn>
    <tableColumn id="9" name="DESPACHO" dataDxfId="65"/>
    <tableColumn id="10" name="RECIBIDO" dataDxfId="64"/>
    <tableColumn id="11" name="TRANSITO" dataDxfId="63">
      <calculatedColumnFormula>IF(XXYY[[#This Row],[RECIBIDO]]&lt;&gt;"",0,IF(XXYY[[#This Row],[DESPACHO]]&lt;&gt;"",XXYY[[#This Row],[DESPACHO]],XXYY[[#This Row],[REQUERIM]]))</calculatedColumnFormula>
    </tableColumn>
    <tableColumn id="16" name="OBSERVACIONES DESPACHOS" dataDxfId="62"/>
    <tableColumn id="17" name="OBSERVACIONES RECEPCIONES" dataDxfId="61"/>
    <tableColumn id="18" name="TIPO TRANSF" dataDxfId="60">
      <calculatedColumnFormula>"N"</calculatedColumnFormula>
    </tableColumn>
    <tableColumn id="35" name="Error Pedid Min Grupo" dataDxfId="59">
      <calculatedColumnFormula array="1">IF(SUM(--(XXYY[[#This Row],[CODIGO GENERICO]]=XXYY[CODIGO GENERICO])*XXYY[REQUERIM])&lt;XXYY[[#This Row],[PEDIDO MIN GRUPO]],1,0)</calculatedColumnFormula>
    </tableColumn>
    <tableColumn id="56" name="Color Proyectado" dataDxfId="58">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57">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56">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 id="76" name="Pedido Calculado" dataDxfId="55">
      <calculatedColumnFormula>IFERROR(INDEX(OFFSET(INDIRECT("v_buffer_hist_hoy!$A$1"),1,MATCH("buh_pedido_calculado",INDIRECT("v_buffer_hist_hoy!$1:$1"),0)-1,100000,1),MATCH(CLEAN(TABLATRANSFERENCIA[[#This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4"/>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3"/>
    <tableColumn id="7" uniqueName="7" name="PATH" queryTableFieldId="7" dataDxfId="52"/>
    <tableColumn id="5" uniqueName="5" name="COMPLETO" queryTableFieldId="5" dataDxfId="51">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50"/>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49">
      <calculatedColumnFormula>IFERROR(MATCH(Tabla_Recetas[[#This Row],[Cod Padre]],TABLATRANSFERENCIA[CODIGO],0),0)</calculatedColumnFormula>
    </tableColumn>
    <tableColumn id="12" uniqueName="12" name="Cantidad Requerida" queryTableFieldId="12" dataDxfId="48">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D6" insertRow="1" totalsRowShown="0" headerRowDxfId="47">
  <autoFilter ref="A5:D6"/>
  <tableColumns count="4">
    <tableColumn id="1" name="CÓDIGO"/>
    <tableColumn id="2" name="DESCRIPCIÓN"/>
    <tableColumn id="3" name="CANTIDAD" dataDxfId="46"/>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45"/>
    <tableColumn id="109" name="con_ultima_transferencia_ini" dataDxfId="44"/>
    <tableColumn id="110" name="con_ultima_transferencia_fin" dataDxfId="43"/>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1231" totalsRowShown="0">
  <autoFilter ref="A1:D1231"/>
  <tableColumns count="4">
    <tableColumn id="1" name="CODIGO"/>
    <tableColumn id="2" name="CANTIDAD"/>
    <tableColumn id="3" name="FECHA"/>
    <tableColumn id="4" name="FECHA_FORMATO" dataDxfId="42">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7" totalsRowShown="0">
  <autoFilter ref="F1:G7"/>
  <tableColumns count="2">
    <tableColumn id="1" name="FECHAS_CONSUMO"/>
    <tableColumn id="2" name="FECHA_FORMATO" dataDxfId="41">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table" Target="../tables/table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comments" Target="../comments1.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7.emf"/><Relationship Id="rId5" Type="http://schemas.openxmlformats.org/officeDocument/2006/relationships/control" Target="../activeX/activeX27.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4.vml"/><Relationship Id="rId7" Type="http://schemas.openxmlformats.org/officeDocument/2006/relationships/image" Target="../media/image29.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9.xml"/><Relationship Id="rId5" Type="http://schemas.openxmlformats.org/officeDocument/2006/relationships/image" Target="../media/image28.emf"/><Relationship Id="rId4" Type="http://schemas.openxmlformats.org/officeDocument/2006/relationships/control" Target="../activeX/activeX28.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CB19"/>
  <sheetViews>
    <sheetView showGridLines="0" tabSelected="1" zoomScale="80" zoomScaleNormal="80" workbookViewId="0">
      <pane xSplit="4" ySplit="8" topLeftCell="BT9" activePane="bottomRight" state="frozen"/>
      <selection pane="topRight" activeCell="E1" sqref="E1"/>
      <selection pane="bottomLeft" activeCell="A9" sqref="A9"/>
      <selection pane="bottomRight"/>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14" width="20.7109375" customWidth="1"/>
    <col min="15" max="20" width="10.7109375" customWidth="1"/>
    <col min="21" max="21" width="15.140625" customWidth="1"/>
    <col min="22" max="23" width="25.7109375" customWidth="1"/>
    <col min="24" max="25" width="12" customWidth="1"/>
    <col min="26" max="27" width="16.42578125" customWidth="1"/>
    <col min="28" max="28" width="11.42578125" customWidth="1"/>
    <col min="29" max="30" width="13.28515625" customWidth="1"/>
    <col min="31" max="35" width="11.42578125" customWidth="1"/>
    <col min="36" max="36" width="13.42578125" customWidth="1"/>
    <col min="37" max="37" width="13.140625" customWidth="1"/>
    <col min="38" max="38" width="15.28515625" customWidth="1"/>
    <col min="39" max="39" width="14.85546875" customWidth="1"/>
    <col min="40" max="40" width="11.42578125" customWidth="1"/>
    <col min="41" max="41" width="13.5703125" customWidth="1"/>
    <col min="42" max="42" width="11.42578125" customWidth="1"/>
    <col min="43" max="53" width="13.140625" customWidth="1"/>
    <col min="54" max="66" width="15.7109375" customWidth="1"/>
    <col min="67" max="67" width="26.85546875" hidden="1" customWidth="1"/>
    <col min="68" max="68" width="17.7109375" hidden="1" customWidth="1"/>
    <col min="69" max="69" width="28.85546875" customWidth="1"/>
    <col min="70" max="70" width="31" customWidth="1"/>
    <col min="71" max="71" width="19.5703125" hidden="1" customWidth="1"/>
    <col min="72" max="72" width="30.7109375" customWidth="1"/>
    <col min="73" max="73" width="29.85546875" customWidth="1"/>
    <col min="74" max="74" width="13.5703125" customWidth="1"/>
    <col min="75" max="75" width="11.42578125" customWidth="1"/>
    <col min="76" max="79" width="11.42578125" hidden="1" customWidth="1"/>
    <col min="80" max="80" width="0" hidden="1" customWidth="1"/>
  </cols>
  <sheetData>
    <row r="1" spans="1:80" ht="51.75" customHeight="1" x14ac:dyDescent="0.3">
      <c r="A1" s="34"/>
      <c r="B1" s="35"/>
      <c r="C1" s="35"/>
      <c r="D1" s="65" t="s">
        <v>1668</v>
      </c>
      <c r="E1" s="35"/>
      <c r="F1" s="35"/>
      <c r="G1" s="35"/>
      <c r="H1" s="35"/>
      <c r="I1" s="35"/>
      <c r="J1" s="35"/>
      <c r="K1" s="35"/>
      <c r="L1" s="35"/>
      <c r="M1" s="35"/>
      <c r="N1" s="35"/>
      <c r="O1" s="35"/>
      <c r="P1" s="35"/>
      <c r="Q1" s="35"/>
      <c r="R1" s="37"/>
      <c r="S1" s="37"/>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row>
    <row r="2" spans="1:80" x14ac:dyDescent="0.25">
      <c r="A2" s="17" t="s">
        <v>12</v>
      </c>
      <c r="B2" s="18">
        <v>31</v>
      </c>
      <c r="C2" s="19" t="s">
        <v>0</v>
      </c>
      <c r="D2" s="20">
        <v>42849</v>
      </c>
      <c r="E2" s="36"/>
      <c r="F2" s="36"/>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row>
    <row r="3" spans="1:80" x14ac:dyDescent="0.25">
      <c r="A3" s="21" t="s">
        <v>2</v>
      </c>
      <c r="B3" s="22" t="s">
        <v>2177</v>
      </c>
      <c r="C3" s="23" t="s">
        <v>1</v>
      </c>
      <c r="D3" s="24"/>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row>
    <row r="4" spans="1:80" x14ac:dyDescent="0.25">
      <c r="A4" s="21" t="s">
        <v>3</v>
      </c>
      <c r="B4" s="25" t="s">
        <v>1368</v>
      </c>
      <c r="C4" s="26" t="str">
        <f>COUNTA(TABLATRANSFERENCIA[CODIGO])&amp;"-"&amp;SUBTOTAL(3,TABLATRANSFERENCIA[CODIGO])&amp;" SKU"</f>
        <v>11-11 SKU</v>
      </c>
      <c r="D4" s="27"/>
      <c r="E4" s="36"/>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c r="BT4" s="36"/>
      <c r="BU4" s="36"/>
      <c r="BV4" s="36"/>
      <c r="BW4" s="36"/>
      <c r="BX4" s="36"/>
    </row>
    <row r="5" spans="1:80" x14ac:dyDescent="0.25">
      <c r="A5" s="21" t="s">
        <v>1376</v>
      </c>
      <c r="B5" s="28"/>
      <c r="C5" s="23" t="s">
        <v>23</v>
      </c>
      <c r="D5" s="29">
        <f>IFERROR(SUMPRODUCT(TABLATRANSFERENCIA[CTV],TABLATRANSFERENCIA[TRANSITO]),"")</f>
        <v>0</v>
      </c>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row>
    <row r="6" spans="1:80" ht="17.25" x14ac:dyDescent="0.25">
      <c r="A6" s="21" t="s">
        <v>24</v>
      </c>
      <c r="B6" s="24"/>
      <c r="C6" s="23" t="s">
        <v>25</v>
      </c>
      <c r="D6" s="30">
        <f>IFERROR(SUMPRODUCT(Tabla_CubicajeAgrota[VOL],Tabla_CubicajeAgrota[CANTIDAD]),0)</f>
        <v>0</v>
      </c>
      <c r="E6" s="36" t="s">
        <v>29</v>
      </c>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row>
    <row r="7" spans="1:80" x14ac:dyDescent="0.25">
      <c r="A7" s="31" t="s">
        <v>837</v>
      </c>
      <c r="B7" s="32"/>
      <c r="C7" s="64" t="str">
        <f>lista_errores</f>
        <v/>
      </c>
      <c r="D7" s="33"/>
      <c r="E7" s="36"/>
      <c r="F7" s="36"/>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c r="BT7" s="36"/>
      <c r="BU7" s="36"/>
      <c r="BV7" s="36"/>
      <c r="BW7" s="36"/>
      <c r="BX7" s="36"/>
    </row>
    <row r="8" spans="1:80" ht="45.75" customHeight="1" x14ac:dyDescent="0.25">
      <c r="A8" s="47" t="s">
        <v>26</v>
      </c>
      <c r="B8" s="47" t="s">
        <v>851</v>
      </c>
      <c r="C8" s="47" t="s">
        <v>909</v>
      </c>
      <c r="D8" s="47" t="s">
        <v>1020</v>
      </c>
      <c r="E8" s="47" t="s">
        <v>892</v>
      </c>
      <c r="F8" s="47" t="s">
        <v>903</v>
      </c>
      <c r="G8" s="47" t="s">
        <v>891</v>
      </c>
      <c r="H8" s="47" t="s">
        <v>884</v>
      </c>
      <c r="I8" s="47" t="s">
        <v>885</v>
      </c>
      <c r="J8" s="47" t="s">
        <v>886</v>
      </c>
      <c r="K8" s="47" t="s">
        <v>887</v>
      </c>
      <c r="L8" s="47" t="s">
        <v>888</v>
      </c>
      <c r="M8" s="47" t="s">
        <v>889</v>
      </c>
      <c r="N8" s="47" t="s">
        <v>890</v>
      </c>
      <c r="O8" s="42" t="s">
        <v>1038</v>
      </c>
      <c r="P8" s="42" t="s">
        <v>18</v>
      </c>
      <c r="Q8" s="42" t="s">
        <v>19</v>
      </c>
      <c r="R8" s="42" t="s">
        <v>10</v>
      </c>
      <c r="S8" s="42" t="s">
        <v>980</v>
      </c>
      <c r="T8" s="42" t="s">
        <v>37</v>
      </c>
      <c r="U8" s="42" t="s">
        <v>38</v>
      </c>
      <c r="V8" s="42" t="s">
        <v>844</v>
      </c>
      <c r="W8" s="42" t="s">
        <v>908</v>
      </c>
      <c r="X8" s="42" t="s">
        <v>1027</v>
      </c>
      <c r="Y8" s="42" t="s">
        <v>1028</v>
      </c>
      <c r="Z8" s="44" t="s">
        <v>8</v>
      </c>
      <c r="AA8" s="44" t="s">
        <v>1148</v>
      </c>
      <c r="AB8" s="44" t="s">
        <v>904</v>
      </c>
      <c r="AC8" s="44" t="s">
        <v>9</v>
      </c>
      <c r="AD8" s="44" t="s">
        <v>977</v>
      </c>
      <c r="AE8" s="44" t="s">
        <v>907</v>
      </c>
      <c r="AF8" s="44" t="s">
        <v>916</v>
      </c>
      <c r="AG8" s="44" t="s">
        <v>917</v>
      </c>
      <c r="AH8" s="44" t="s">
        <v>918</v>
      </c>
      <c r="AI8" s="44" t="s">
        <v>905</v>
      </c>
      <c r="AJ8" s="44" t="s">
        <v>906</v>
      </c>
      <c r="AK8" s="44" t="s">
        <v>913</v>
      </c>
      <c r="AL8" s="44" t="s">
        <v>973</v>
      </c>
      <c r="AM8" s="44" t="s">
        <v>978</v>
      </c>
      <c r="AN8" s="44" t="s">
        <v>910</v>
      </c>
      <c r="AO8" s="44" t="s">
        <v>911</v>
      </c>
      <c r="AP8" s="44" t="s">
        <v>914</v>
      </c>
      <c r="AQ8" s="43" t="s">
        <v>912</v>
      </c>
      <c r="AR8" s="44" t="s">
        <v>974</v>
      </c>
      <c r="AS8" s="44" t="s">
        <v>975</v>
      </c>
      <c r="AT8" s="44" t="s">
        <v>976</v>
      </c>
      <c r="AU8" s="44" t="s">
        <v>979</v>
      </c>
      <c r="AV8" s="43" t="s">
        <v>1039</v>
      </c>
      <c r="AW8" s="43" t="s">
        <v>1040</v>
      </c>
      <c r="AX8" s="51" t="s">
        <v>1648</v>
      </c>
      <c r="AY8" s="51" t="s">
        <v>1649</v>
      </c>
      <c r="AZ8" s="51" t="s">
        <v>1650</v>
      </c>
      <c r="BA8" s="51" t="s">
        <v>1956</v>
      </c>
      <c r="BB8" s="51" t="s">
        <v>1957</v>
      </c>
      <c r="BC8" s="51" t="s">
        <v>1958</v>
      </c>
      <c r="BD8" s="43" t="s">
        <v>11</v>
      </c>
      <c r="BE8" s="43" t="s">
        <v>17</v>
      </c>
      <c r="BF8" s="62" t="s">
        <v>1652</v>
      </c>
      <c r="BG8" s="62" t="s">
        <v>1653</v>
      </c>
      <c r="BH8" s="43" t="s">
        <v>1377</v>
      </c>
      <c r="BI8" s="57" t="s">
        <v>1044</v>
      </c>
      <c r="BJ8" s="56" t="s">
        <v>1045</v>
      </c>
      <c r="BK8" s="56" t="s">
        <v>1046</v>
      </c>
      <c r="BL8" s="56" t="s">
        <v>1047</v>
      </c>
      <c r="BM8" s="56" t="s">
        <v>1048</v>
      </c>
      <c r="BN8" s="56" t="s">
        <v>1049</v>
      </c>
      <c r="BO8" s="43" t="s">
        <v>1050</v>
      </c>
      <c r="BP8" s="44" t="s">
        <v>919</v>
      </c>
      <c r="BQ8" s="43" t="s">
        <v>13</v>
      </c>
      <c r="BR8" s="43" t="s">
        <v>14</v>
      </c>
      <c r="BS8" s="39" t="s">
        <v>15</v>
      </c>
      <c r="BT8" s="38" t="s">
        <v>20</v>
      </c>
      <c r="BU8" s="38" t="s">
        <v>21</v>
      </c>
      <c r="BV8" s="38" t="s">
        <v>22</v>
      </c>
      <c r="BW8" s="38" t="s">
        <v>1666</v>
      </c>
      <c r="BX8" s="41" t="s">
        <v>915</v>
      </c>
      <c r="BY8" s="41" t="s">
        <v>1032</v>
      </c>
      <c r="BZ8" s="41" t="s">
        <v>1033</v>
      </c>
      <c r="CA8" s="41" t="s">
        <v>1034</v>
      </c>
      <c r="CB8" s="41" t="s">
        <v>1651</v>
      </c>
    </row>
    <row r="9" spans="1:80" x14ac:dyDescent="0.25">
      <c r="A9" s="53" t="s">
        <v>1720</v>
      </c>
      <c r="B9" s="3"/>
      <c r="C9" s="3"/>
      <c r="D9" s="3"/>
      <c r="E9" s="3"/>
      <c r="F9" s="3"/>
      <c r="G9" s="3"/>
      <c r="H9" s="3"/>
      <c r="I9" s="3"/>
      <c r="J9" s="3"/>
      <c r="K9" s="3"/>
      <c r="L9" s="3"/>
      <c r="M9" s="3"/>
      <c r="N9" s="3"/>
      <c r="O9" s="5"/>
      <c r="P9" s="5"/>
      <c r="Q9" s="5"/>
      <c r="R9" s="45"/>
      <c r="S9" s="45"/>
      <c r="T9" s="45"/>
      <c r="U9" s="45"/>
      <c r="V9" s="48"/>
      <c r="W9" s="48"/>
      <c r="X9" s="50"/>
      <c r="Y9" s="50"/>
      <c r="Z9" s="6"/>
      <c r="AA9" s="6"/>
      <c r="AB9" s="6"/>
      <c r="AC9" s="4"/>
      <c r="AD9" s="6"/>
      <c r="AE9" s="6"/>
      <c r="AF9" s="6"/>
      <c r="AG9" s="6"/>
      <c r="AH9" s="6"/>
      <c r="AI9" s="6"/>
      <c r="AJ9" s="6"/>
      <c r="AK9" s="6"/>
      <c r="AL9" s="4"/>
      <c r="AM9" s="6"/>
      <c r="AN9" s="6"/>
      <c r="AO9" s="6"/>
      <c r="AP9" s="6"/>
      <c r="AQ9" s="6"/>
      <c r="AR9" s="6"/>
      <c r="AS9" s="6"/>
      <c r="AT9" s="6"/>
      <c r="AU9" s="6"/>
      <c r="AV9" s="66"/>
      <c r="AW9" s="66"/>
      <c r="AX9" s="6">
        <f t="array" ref="AX9">IFERROR(INDEX(Datos_Consumo[CANTIDAD],MATCH(TABLATRANSFERENCIA[[#This Row],[CODIGO]]&amp;TABLATRANSFERENCIA[[#Headers],[2016-12]],Datos_Consumo[CODIGO]&amp;Datos_Consumo[FECHA_FORMATO],0)),0)</f>
        <v>0</v>
      </c>
      <c r="AY9" s="6">
        <f t="array" ref="AY9">IFERROR(INDEX(Datos_Consumo[CANTIDAD],MATCH(TABLATRANSFERENCIA[[#This Row],[CODIGO]]&amp;TABLATRANSFERENCIA[[#Headers],[2017-1]],Datos_Consumo[CODIGO]&amp;Datos_Consumo[FECHA_FORMATO],0)),0)</f>
        <v>0</v>
      </c>
      <c r="AZ9" s="6">
        <f t="array" ref="AZ9">IFERROR(INDEX(Datos_Consumo[CANTIDAD],MATCH(TABLATRANSFERENCIA[[#This Row],[CODIGO]]&amp;TABLATRANSFERENCIA[[#Headers],[2017-2]],Datos_Consumo[CODIGO]&amp;Datos_Consumo[FECHA_FORMATO],0)),0)</f>
        <v>5</v>
      </c>
      <c r="BA9" s="6">
        <f t="array" ref="BA9">IFERROR(INDEX(Datos_Consumo[CANTIDAD],MATCH(TABLATRANSFERENCIA[[#This Row],[CODIGO]]&amp;TABLATRANSFERENCIA[[#Headers],[2017-3]],Datos_Consumo[CODIGO]&amp;Datos_Consumo[FECHA_FORMATO],0)),0)</f>
        <v>0</v>
      </c>
      <c r="BB9" s="6">
        <f t="array" ref="BB9">IFERROR(INDEX(Datos_Consumo[CANTIDAD],MATCH(TABLATRANSFERENCIA[[#This Row],[CODIGO]]&amp;TABLATRANSFERENCIA[[#Headers],[2017-4]],Datos_Consumo[CODIGO]&amp;Datos_Consumo[FECHA_FORMATO],0)),0)</f>
        <v>200</v>
      </c>
      <c r="BC9" s="6">
        <f t="array" ref="BC9">IFERROR(INDEX(Datos_Consumo[CANTIDAD],MATCH(TABLATRANSFERENCIA[[#This Row],[CODIGO]]&amp;TABLATRANSFERENCIA[[#Headers],[2017-5]],Datos_Consumo[CODIGO]&amp;Datos_Consumo[FECHA_FORMATO],0)),0)</f>
        <v>0</v>
      </c>
      <c r="BD9" s="49">
        <v>240</v>
      </c>
      <c r="BE9" s="54">
        <v>480</v>
      </c>
      <c r="BF9" s="63">
        <v>42849</v>
      </c>
      <c r="BG9" s="61"/>
      <c r="BH9" s="50"/>
      <c r="BI9" s="50"/>
      <c r="BJ9" s="50">
        <f>IF(RIGHT(TABLATRANSFERENCIA[[#Headers],[Emb1]],1)*1&lt;=TABLATRANSFERENCIA[[#This Row],[EMBARQUES]],IF(ISBLANK(TABLATRANSFERENCIA[[#This Row],[EMBARQUES]]),TABLATRANSFERENCIA[[#This Row],[REQUERIM]],ROUND(TABLATRANSFERENCIA[[#This Row],[REQUERIM]]/TABLATRANSFERENCIA[[#This Row],[EMBARQUES]],0)),TABLATRANSFERENCIA[[#This Row],[REQUERIM]])</f>
        <v>240</v>
      </c>
      <c r="BK9"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 s="50"/>
      <c r="BP9" s="45">
        <f>IFERROR(TABLATRANSFERENCIA[[#This Row],[REQUERIM]]/TABLATRANSFERENCIA[[#This Row],[PEDIDO PROMEDIO]],0)</f>
        <v>0</v>
      </c>
      <c r="BQ9" s="50"/>
      <c r="BR9" s="59"/>
      <c r="BS9" s="3">
        <f>IF(TABLATRANSFERENCIA[[#This Row],[RECIBIDO]]&lt;&gt;"",0,IF(TABLATRANSFERENCIA[[#This Row],[DESPACHO]]&lt;&gt;"",TABLATRANSFERENCIA[[#This Row],[DESPACHO]],TABLATRANSFERENCIA[[#This Row],[REQUERIM]]))</f>
        <v>240</v>
      </c>
      <c r="BT9" s="49"/>
      <c r="BU9" s="49"/>
      <c r="BV9" s="49" t="str">
        <f t="shared" ref="BV9:BV19" si="0">"N"</f>
        <v>N</v>
      </c>
      <c r="BW9" s="50" t="s">
        <v>1667</v>
      </c>
      <c r="BX9" s="50">
        <f t="array" ref="BX9">IF(SUM(--(TABLATRANSFERENCIA[[#This Row],[CODIGO GENERICO]]=TABLATRANSFERENCIA[CODIGO GENERICO])*TABLATRANSFERENCIA[REQUERIM])&lt;TABLATRANSFERENCIA[[#This Row],[PEDIDO MIN GRUPO]],1,0)</f>
        <v>0</v>
      </c>
      <c r="BY9"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9" s="50"/>
      <c r="CA9" s="50"/>
      <c r="CB9" s="50"/>
    </row>
    <row r="10" spans="1:80" x14ac:dyDescent="0.25">
      <c r="A10" s="53" t="s">
        <v>1378</v>
      </c>
      <c r="B10" s="3"/>
      <c r="C10" s="3"/>
      <c r="D10" s="3"/>
      <c r="E10" s="3"/>
      <c r="F10" s="3"/>
      <c r="G10" s="3"/>
      <c r="H10" s="3"/>
      <c r="I10" s="3"/>
      <c r="J10" s="3"/>
      <c r="K10" s="3"/>
      <c r="L10" s="3"/>
      <c r="M10" s="3"/>
      <c r="N10" s="3"/>
      <c r="O10" s="5"/>
      <c r="P10" s="5"/>
      <c r="Q10" s="5"/>
      <c r="R10" s="45"/>
      <c r="S10" s="45"/>
      <c r="T10" s="45"/>
      <c r="U10" s="45"/>
      <c r="V10" s="48"/>
      <c r="W10" s="48"/>
      <c r="X10" s="50"/>
      <c r="Y10" s="50"/>
      <c r="Z10" s="6"/>
      <c r="AA10" s="6"/>
      <c r="AB10" s="6"/>
      <c r="AC10" s="4"/>
      <c r="AD10" s="6"/>
      <c r="AE10" s="6"/>
      <c r="AF10" s="6"/>
      <c r="AG10" s="6"/>
      <c r="AH10" s="6"/>
      <c r="AI10" s="6"/>
      <c r="AJ10" s="6"/>
      <c r="AK10" s="6"/>
      <c r="AL10" s="4"/>
      <c r="AM10" s="6"/>
      <c r="AN10" s="6"/>
      <c r="AO10" s="6"/>
      <c r="AP10" s="6"/>
      <c r="AQ10" s="6"/>
      <c r="AR10" s="6"/>
      <c r="AS10" s="6"/>
      <c r="AT10" s="6"/>
      <c r="AU10" s="6"/>
      <c r="AV10" s="66"/>
      <c r="AW10" s="66"/>
      <c r="AX10" s="6">
        <f t="array" ref="AX10">IFERROR(INDEX(Datos_Consumo[CANTIDAD],MATCH(TABLATRANSFERENCIA[[#This Row],[CODIGO]]&amp;TABLATRANSFERENCIA[[#Headers],[2016-12]],Datos_Consumo[CODIGO]&amp;Datos_Consumo[FECHA_FORMATO],0)),0)</f>
        <v>0.4</v>
      </c>
      <c r="AY10" s="6">
        <f t="array" ref="AY10">IFERROR(INDEX(Datos_Consumo[CANTIDAD],MATCH(TABLATRANSFERENCIA[[#This Row],[CODIGO]]&amp;TABLATRANSFERENCIA[[#Headers],[2017-1]],Datos_Consumo[CODIGO]&amp;Datos_Consumo[FECHA_FORMATO],0)),0)</f>
        <v>12</v>
      </c>
      <c r="AZ10" s="6">
        <f t="array" ref="AZ10">IFERROR(INDEX(Datos_Consumo[CANTIDAD],MATCH(TABLATRANSFERENCIA[[#This Row],[CODIGO]]&amp;TABLATRANSFERENCIA[[#Headers],[2017-2]],Datos_Consumo[CODIGO]&amp;Datos_Consumo[FECHA_FORMATO],0)),0)</f>
        <v>2</v>
      </c>
      <c r="BA10" s="6">
        <f t="array" ref="BA10">IFERROR(INDEX(Datos_Consumo[CANTIDAD],MATCH(TABLATRANSFERENCIA[[#This Row],[CODIGO]]&amp;TABLATRANSFERENCIA[[#Headers],[2017-3]],Datos_Consumo[CODIGO]&amp;Datos_Consumo[FECHA_FORMATO],0)),0)</f>
        <v>0</v>
      </c>
      <c r="BB10" s="6">
        <f t="array" ref="BB10">IFERROR(INDEX(Datos_Consumo[CANTIDAD],MATCH(TABLATRANSFERENCIA[[#This Row],[CODIGO]]&amp;TABLATRANSFERENCIA[[#Headers],[2017-4]],Datos_Consumo[CODIGO]&amp;Datos_Consumo[FECHA_FORMATO],0)),0)</f>
        <v>5</v>
      </c>
      <c r="BC10" s="6">
        <f t="array" ref="BC10">IFERROR(INDEX(Datos_Consumo[CANTIDAD],MATCH(TABLATRANSFERENCIA[[#This Row],[CODIGO]]&amp;TABLATRANSFERENCIA[[#Headers],[2017-5]],Datos_Consumo[CODIGO]&amp;Datos_Consumo[FECHA_FORMATO],0)),0)</f>
        <v>1.6</v>
      </c>
      <c r="BD10" s="49">
        <v>6</v>
      </c>
      <c r="BE10" s="54">
        <v>6</v>
      </c>
      <c r="BF10" s="63">
        <v>42849</v>
      </c>
      <c r="BG10" s="61"/>
      <c r="BH10" s="50"/>
      <c r="BI10" s="50"/>
      <c r="BJ10" s="50">
        <f>IF(RIGHT(TABLATRANSFERENCIA[[#Headers],[Emb1]],1)*1&lt;=TABLATRANSFERENCIA[[#This Row],[EMBARQUES]],IF(ISBLANK(TABLATRANSFERENCIA[[#This Row],[EMBARQUES]]),TABLATRANSFERENCIA[[#This Row],[REQUERIM]],ROUND(TABLATRANSFERENCIA[[#This Row],[REQUERIM]]/TABLATRANSFERENCIA[[#This Row],[EMBARQUES]],0)),TABLATRANSFERENCIA[[#This Row],[REQUERIM]])</f>
        <v>6</v>
      </c>
      <c r="BK10"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 s="50"/>
      <c r="BP10" s="45">
        <f>IFERROR(TABLATRANSFERENCIA[[#This Row],[REQUERIM]]/TABLATRANSFERENCIA[[#This Row],[PEDIDO PROMEDIO]],0)</f>
        <v>0</v>
      </c>
      <c r="BQ10" s="50"/>
      <c r="BR10" s="59"/>
      <c r="BS10" s="3">
        <f>IF(TABLATRANSFERENCIA[[#This Row],[RECIBIDO]]&lt;&gt;"",0,IF(TABLATRANSFERENCIA[[#This Row],[DESPACHO]]&lt;&gt;"",TABLATRANSFERENCIA[[#This Row],[DESPACHO]],TABLATRANSFERENCIA[[#This Row],[REQUERIM]]))</f>
        <v>6</v>
      </c>
      <c r="BT10" s="49"/>
      <c r="BU10" s="49"/>
      <c r="BV10" s="49" t="str">
        <f t="shared" si="0"/>
        <v>N</v>
      </c>
      <c r="BW10" s="50" t="s">
        <v>1667</v>
      </c>
      <c r="BX10" s="50">
        <f t="array" ref="BX10">IF(SUM(--(TABLATRANSFERENCIA[[#This Row],[CODIGO GENERICO]]=TABLATRANSFERENCIA[CODIGO GENERICO])*TABLATRANSFERENCIA[REQUERIM])&lt;TABLATRANSFERENCIA[[#This Row],[PEDIDO MIN GRUPO]],1,0)</f>
        <v>0</v>
      </c>
      <c r="BY10"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0" s="50"/>
      <c r="CA10" s="50"/>
      <c r="CB10" s="50"/>
    </row>
    <row r="11" spans="1:80" x14ac:dyDescent="0.25">
      <c r="A11" s="53" t="s">
        <v>1415</v>
      </c>
      <c r="B11" s="3"/>
      <c r="C11" s="3"/>
      <c r="D11" s="3"/>
      <c r="E11" s="3"/>
      <c r="F11" s="3"/>
      <c r="G11" s="3"/>
      <c r="H11" s="3"/>
      <c r="I11" s="3"/>
      <c r="J11" s="3"/>
      <c r="K11" s="3"/>
      <c r="L11" s="3"/>
      <c r="M11" s="3"/>
      <c r="N11" s="3"/>
      <c r="O11" s="5"/>
      <c r="P11" s="5"/>
      <c r="Q11" s="5"/>
      <c r="R11" s="45"/>
      <c r="S11" s="45"/>
      <c r="T11" s="45"/>
      <c r="U11" s="45"/>
      <c r="V11" s="48"/>
      <c r="W11" s="48"/>
      <c r="X11" s="50"/>
      <c r="Y11" s="50"/>
      <c r="Z11" s="6"/>
      <c r="AA11" s="6"/>
      <c r="AB11" s="6"/>
      <c r="AC11" s="4"/>
      <c r="AD11" s="6"/>
      <c r="AE11" s="6"/>
      <c r="AF11" s="6"/>
      <c r="AG11" s="6"/>
      <c r="AH11" s="6"/>
      <c r="AI11" s="6"/>
      <c r="AJ11" s="6"/>
      <c r="AK11" s="6"/>
      <c r="AL11" s="4"/>
      <c r="AM11" s="6"/>
      <c r="AN11" s="6"/>
      <c r="AO11" s="6"/>
      <c r="AP11" s="6"/>
      <c r="AQ11" s="6"/>
      <c r="AR11" s="6"/>
      <c r="AS11" s="6"/>
      <c r="AT11" s="6"/>
      <c r="AU11" s="6"/>
      <c r="AV11" s="66"/>
      <c r="AW11" s="66"/>
      <c r="AX11" s="6">
        <f t="array" ref="AX11">IFERROR(INDEX(Datos_Consumo[CANTIDAD],MATCH(TABLATRANSFERENCIA[[#This Row],[CODIGO]]&amp;TABLATRANSFERENCIA[[#Headers],[2016-12]],Datos_Consumo[CODIGO]&amp;Datos_Consumo[FECHA_FORMATO],0)),0)</f>
        <v>455</v>
      </c>
      <c r="AY11" s="6">
        <f t="array" ref="AY11">IFERROR(INDEX(Datos_Consumo[CANTIDAD],MATCH(TABLATRANSFERENCIA[[#This Row],[CODIGO]]&amp;TABLATRANSFERENCIA[[#Headers],[2017-1]],Datos_Consumo[CODIGO]&amp;Datos_Consumo[FECHA_FORMATO],0)),0)</f>
        <v>38</v>
      </c>
      <c r="AZ11" s="6">
        <f t="array" ref="AZ11">IFERROR(INDEX(Datos_Consumo[CANTIDAD],MATCH(TABLATRANSFERENCIA[[#This Row],[CODIGO]]&amp;TABLATRANSFERENCIA[[#Headers],[2017-2]],Datos_Consumo[CODIGO]&amp;Datos_Consumo[FECHA_FORMATO],0)),0)</f>
        <v>19</v>
      </c>
      <c r="BA11" s="6">
        <f t="array" ref="BA11">IFERROR(INDEX(Datos_Consumo[CANTIDAD],MATCH(TABLATRANSFERENCIA[[#This Row],[CODIGO]]&amp;TABLATRANSFERENCIA[[#Headers],[2017-3]],Datos_Consumo[CODIGO]&amp;Datos_Consumo[FECHA_FORMATO],0)),0)</f>
        <v>64</v>
      </c>
      <c r="BB11" s="6">
        <f t="array" ref="BB11">IFERROR(INDEX(Datos_Consumo[CANTIDAD],MATCH(TABLATRANSFERENCIA[[#This Row],[CODIGO]]&amp;TABLATRANSFERENCIA[[#Headers],[2017-4]],Datos_Consumo[CODIGO]&amp;Datos_Consumo[FECHA_FORMATO],0)),0)</f>
        <v>459</v>
      </c>
      <c r="BC11" s="6">
        <f t="array" ref="BC11">IFERROR(INDEX(Datos_Consumo[CANTIDAD],MATCH(TABLATRANSFERENCIA[[#This Row],[CODIGO]]&amp;TABLATRANSFERENCIA[[#Headers],[2017-5]],Datos_Consumo[CODIGO]&amp;Datos_Consumo[FECHA_FORMATO],0)),0)</f>
        <v>0</v>
      </c>
      <c r="BD11" s="49">
        <v>450</v>
      </c>
      <c r="BE11" s="54">
        <v>450</v>
      </c>
      <c r="BF11" s="63">
        <v>42849</v>
      </c>
      <c r="BG11" s="61"/>
      <c r="BH11" s="50"/>
      <c r="BI11" s="50"/>
      <c r="BJ11" s="50">
        <f>IF(RIGHT(TABLATRANSFERENCIA[[#Headers],[Emb1]],1)*1&lt;=TABLATRANSFERENCIA[[#This Row],[EMBARQUES]],IF(ISBLANK(TABLATRANSFERENCIA[[#This Row],[EMBARQUES]]),TABLATRANSFERENCIA[[#This Row],[REQUERIM]],ROUND(TABLATRANSFERENCIA[[#This Row],[REQUERIM]]/TABLATRANSFERENCIA[[#This Row],[EMBARQUES]],0)),TABLATRANSFERENCIA[[#This Row],[REQUERIM]])</f>
        <v>450</v>
      </c>
      <c r="BK11"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 s="50"/>
      <c r="BP11" s="45">
        <f>IFERROR(TABLATRANSFERENCIA[[#This Row],[REQUERIM]]/TABLATRANSFERENCIA[[#This Row],[PEDIDO PROMEDIO]],0)</f>
        <v>0</v>
      </c>
      <c r="BQ11" s="50"/>
      <c r="BR11" s="59"/>
      <c r="BS11" s="3">
        <f>IF(TABLATRANSFERENCIA[[#This Row],[RECIBIDO]]&lt;&gt;"",0,IF(TABLATRANSFERENCIA[[#This Row],[DESPACHO]]&lt;&gt;"",TABLATRANSFERENCIA[[#This Row],[DESPACHO]],TABLATRANSFERENCIA[[#This Row],[REQUERIM]]))</f>
        <v>450</v>
      </c>
      <c r="BT11" s="49"/>
      <c r="BU11" s="49"/>
      <c r="BV11" s="49" t="str">
        <f t="shared" si="0"/>
        <v>N</v>
      </c>
      <c r="BW11" s="50" t="s">
        <v>1667</v>
      </c>
      <c r="BX11" s="50">
        <f t="array" ref="BX11">IF(SUM(--(TABLATRANSFERENCIA[[#This Row],[CODIGO GENERICO]]=TABLATRANSFERENCIA[CODIGO GENERICO])*TABLATRANSFERENCIA[REQUERIM])&lt;TABLATRANSFERENCIA[[#This Row],[PEDIDO MIN GRUPO]],1,0)</f>
        <v>0</v>
      </c>
      <c r="BY11"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1" s="50"/>
      <c r="CA11" s="50"/>
      <c r="CB11" s="50"/>
    </row>
    <row r="12" spans="1:80" x14ac:dyDescent="0.25">
      <c r="A12" s="53" t="s">
        <v>1727</v>
      </c>
      <c r="B12" s="3"/>
      <c r="C12" s="3"/>
      <c r="D12" s="3"/>
      <c r="E12" s="3"/>
      <c r="F12" s="3"/>
      <c r="G12" s="3"/>
      <c r="H12" s="3"/>
      <c r="I12" s="3"/>
      <c r="J12" s="3"/>
      <c r="K12" s="3"/>
      <c r="L12" s="3"/>
      <c r="M12" s="3"/>
      <c r="N12" s="3"/>
      <c r="O12" s="5"/>
      <c r="P12" s="5"/>
      <c r="Q12" s="5"/>
      <c r="R12" s="45"/>
      <c r="S12" s="45"/>
      <c r="T12" s="45"/>
      <c r="U12" s="45"/>
      <c r="V12" s="48"/>
      <c r="W12" s="48"/>
      <c r="X12" s="50"/>
      <c r="Y12" s="50"/>
      <c r="Z12" s="6"/>
      <c r="AA12" s="6"/>
      <c r="AB12" s="6"/>
      <c r="AC12" s="4"/>
      <c r="AD12" s="6"/>
      <c r="AE12" s="6"/>
      <c r="AF12" s="6"/>
      <c r="AG12" s="6"/>
      <c r="AH12" s="6"/>
      <c r="AI12" s="6"/>
      <c r="AJ12" s="6"/>
      <c r="AK12" s="6"/>
      <c r="AL12" s="4"/>
      <c r="AM12" s="6"/>
      <c r="AN12" s="6"/>
      <c r="AO12" s="6"/>
      <c r="AP12" s="6"/>
      <c r="AQ12" s="6"/>
      <c r="AR12" s="6"/>
      <c r="AS12" s="6"/>
      <c r="AT12" s="6"/>
      <c r="AU12" s="6"/>
      <c r="AV12" s="66"/>
      <c r="AW12" s="66"/>
      <c r="AX12" s="6">
        <f t="array" ref="AX12">IFERROR(INDEX(Datos_Consumo[CANTIDAD],MATCH(TABLATRANSFERENCIA[[#This Row],[CODIGO]]&amp;TABLATRANSFERENCIA[[#Headers],[2016-12]],Datos_Consumo[CODIGO]&amp;Datos_Consumo[FECHA_FORMATO],0)),0)</f>
        <v>0</v>
      </c>
      <c r="AY12" s="6">
        <f t="array" ref="AY12">IFERROR(INDEX(Datos_Consumo[CANTIDAD],MATCH(TABLATRANSFERENCIA[[#This Row],[CODIGO]]&amp;TABLATRANSFERENCIA[[#Headers],[2017-1]],Datos_Consumo[CODIGO]&amp;Datos_Consumo[FECHA_FORMATO],0)),0)</f>
        <v>0</v>
      </c>
      <c r="AZ12" s="6">
        <f t="array" ref="AZ12">IFERROR(INDEX(Datos_Consumo[CANTIDAD],MATCH(TABLATRANSFERENCIA[[#This Row],[CODIGO]]&amp;TABLATRANSFERENCIA[[#Headers],[2017-2]],Datos_Consumo[CODIGO]&amp;Datos_Consumo[FECHA_FORMATO],0)),0)</f>
        <v>1</v>
      </c>
      <c r="BA12" s="6">
        <f t="array" ref="BA12">IFERROR(INDEX(Datos_Consumo[CANTIDAD],MATCH(TABLATRANSFERENCIA[[#This Row],[CODIGO]]&amp;TABLATRANSFERENCIA[[#Headers],[2017-3]],Datos_Consumo[CODIGO]&amp;Datos_Consumo[FECHA_FORMATO],0)),0)</f>
        <v>0</v>
      </c>
      <c r="BB12" s="6">
        <f t="array" ref="BB12">IFERROR(INDEX(Datos_Consumo[CANTIDAD],MATCH(TABLATRANSFERENCIA[[#This Row],[CODIGO]]&amp;TABLATRANSFERENCIA[[#Headers],[2017-4]],Datos_Consumo[CODIGO]&amp;Datos_Consumo[FECHA_FORMATO],0)),0)</f>
        <v>0</v>
      </c>
      <c r="BC12" s="6">
        <f t="array" ref="BC12">IFERROR(INDEX(Datos_Consumo[CANTIDAD],MATCH(TABLATRANSFERENCIA[[#This Row],[CODIGO]]&amp;TABLATRANSFERENCIA[[#Headers],[2017-5]],Datos_Consumo[CODIGO]&amp;Datos_Consumo[FECHA_FORMATO],0)),0)</f>
        <v>0</v>
      </c>
      <c r="BD12" s="49">
        <v>10</v>
      </c>
      <c r="BE12" s="54">
        <v>10</v>
      </c>
      <c r="BF12" s="63">
        <v>42849</v>
      </c>
      <c r="BG12" s="61"/>
      <c r="BH12" s="50"/>
      <c r="BI12" s="50"/>
      <c r="BJ12" s="50">
        <f>IF(RIGHT(TABLATRANSFERENCIA[[#Headers],[Emb1]],1)*1&lt;=TABLATRANSFERENCIA[[#This Row],[EMBARQUES]],IF(ISBLANK(TABLATRANSFERENCIA[[#This Row],[EMBARQUES]]),TABLATRANSFERENCIA[[#This Row],[REQUERIM]],ROUND(TABLATRANSFERENCIA[[#This Row],[REQUERIM]]/TABLATRANSFERENCIA[[#This Row],[EMBARQUES]],0)),TABLATRANSFERENCIA[[#This Row],[REQUERIM]])</f>
        <v>10</v>
      </c>
      <c r="BK12"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 s="50"/>
      <c r="BP12" s="45">
        <f>IFERROR(TABLATRANSFERENCIA[[#This Row],[REQUERIM]]/TABLATRANSFERENCIA[[#This Row],[PEDIDO PROMEDIO]],0)</f>
        <v>0</v>
      </c>
      <c r="BQ12" s="50"/>
      <c r="BR12" s="59"/>
      <c r="BS12" s="3">
        <f>IF(TABLATRANSFERENCIA[[#This Row],[RECIBIDO]]&lt;&gt;"",0,IF(TABLATRANSFERENCIA[[#This Row],[DESPACHO]]&lt;&gt;"",TABLATRANSFERENCIA[[#This Row],[DESPACHO]],TABLATRANSFERENCIA[[#This Row],[REQUERIM]]))</f>
        <v>10</v>
      </c>
      <c r="BT12" s="49"/>
      <c r="BU12" s="49"/>
      <c r="BV12" s="49" t="str">
        <f t="shared" si="0"/>
        <v>N</v>
      </c>
      <c r="BW12" s="50" t="s">
        <v>1667</v>
      </c>
      <c r="BX12" s="50">
        <f t="array" ref="BX12">IF(SUM(--(TABLATRANSFERENCIA[[#This Row],[CODIGO GENERICO]]=TABLATRANSFERENCIA[CODIGO GENERICO])*TABLATRANSFERENCIA[REQUERIM])&lt;TABLATRANSFERENCIA[[#This Row],[PEDIDO MIN GRUPO]],1,0)</f>
        <v>0</v>
      </c>
      <c r="BY12"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2" s="50"/>
      <c r="CA12" s="50"/>
      <c r="CB12" s="50"/>
    </row>
    <row r="13" spans="1:80" x14ac:dyDescent="0.25">
      <c r="A13" s="53" t="s">
        <v>1383</v>
      </c>
      <c r="B13" s="3"/>
      <c r="C13" s="3"/>
      <c r="D13" s="3"/>
      <c r="E13" s="3"/>
      <c r="F13" s="3"/>
      <c r="G13" s="3"/>
      <c r="H13" s="3"/>
      <c r="I13" s="3"/>
      <c r="J13" s="3"/>
      <c r="K13" s="3"/>
      <c r="L13" s="3"/>
      <c r="M13" s="3"/>
      <c r="N13" s="3"/>
      <c r="O13" s="5"/>
      <c r="P13" s="5"/>
      <c r="Q13" s="5"/>
      <c r="R13" s="45"/>
      <c r="S13" s="45"/>
      <c r="T13" s="45"/>
      <c r="U13" s="45"/>
      <c r="V13" s="48"/>
      <c r="W13" s="48"/>
      <c r="X13" s="50"/>
      <c r="Y13" s="50"/>
      <c r="Z13" s="6"/>
      <c r="AA13" s="6"/>
      <c r="AB13" s="6"/>
      <c r="AC13" s="4"/>
      <c r="AD13" s="6"/>
      <c r="AE13" s="6"/>
      <c r="AF13" s="6"/>
      <c r="AG13" s="6"/>
      <c r="AH13" s="6"/>
      <c r="AI13" s="6"/>
      <c r="AJ13" s="6"/>
      <c r="AK13" s="6"/>
      <c r="AL13" s="4"/>
      <c r="AM13" s="6"/>
      <c r="AN13" s="6"/>
      <c r="AO13" s="6"/>
      <c r="AP13" s="6"/>
      <c r="AQ13" s="6"/>
      <c r="AR13" s="6"/>
      <c r="AS13" s="6"/>
      <c r="AT13" s="6"/>
      <c r="AU13" s="6"/>
      <c r="AV13" s="66"/>
      <c r="AW13" s="66"/>
      <c r="AX13" s="6">
        <f t="array" ref="AX13">IFERROR(INDEX(Datos_Consumo[CANTIDAD],MATCH(TABLATRANSFERENCIA[[#This Row],[CODIGO]]&amp;TABLATRANSFERENCIA[[#Headers],[2016-12]],Datos_Consumo[CODIGO]&amp;Datos_Consumo[FECHA_FORMATO],0)),0)</f>
        <v>18</v>
      </c>
      <c r="AY13" s="6">
        <f t="array" ref="AY13">IFERROR(INDEX(Datos_Consumo[CANTIDAD],MATCH(TABLATRANSFERENCIA[[#This Row],[CODIGO]]&amp;TABLATRANSFERENCIA[[#Headers],[2017-1]],Datos_Consumo[CODIGO]&amp;Datos_Consumo[FECHA_FORMATO],0)),0)</f>
        <v>20</v>
      </c>
      <c r="AZ13" s="6">
        <f t="array" ref="AZ13">IFERROR(INDEX(Datos_Consumo[CANTIDAD],MATCH(TABLATRANSFERENCIA[[#This Row],[CODIGO]]&amp;TABLATRANSFERENCIA[[#Headers],[2017-2]],Datos_Consumo[CODIGO]&amp;Datos_Consumo[FECHA_FORMATO],0)),0)</f>
        <v>10</v>
      </c>
      <c r="BA13" s="6">
        <f t="array" ref="BA13">IFERROR(INDEX(Datos_Consumo[CANTIDAD],MATCH(TABLATRANSFERENCIA[[#This Row],[CODIGO]]&amp;TABLATRANSFERENCIA[[#Headers],[2017-3]],Datos_Consumo[CODIGO]&amp;Datos_Consumo[FECHA_FORMATO],0)),0)</f>
        <v>66</v>
      </c>
      <c r="BB13" s="6">
        <f t="array" ref="BB13">IFERROR(INDEX(Datos_Consumo[CANTIDAD],MATCH(TABLATRANSFERENCIA[[#This Row],[CODIGO]]&amp;TABLATRANSFERENCIA[[#Headers],[2017-4]],Datos_Consumo[CODIGO]&amp;Datos_Consumo[FECHA_FORMATO],0)),0)</f>
        <v>76</v>
      </c>
      <c r="BC13" s="6">
        <f t="array" ref="BC13">IFERROR(INDEX(Datos_Consumo[CANTIDAD],MATCH(TABLATRANSFERENCIA[[#This Row],[CODIGO]]&amp;TABLATRANSFERENCIA[[#Headers],[2017-5]],Datos_Consumo[CODIGO]&amp;Datos_Consumo[FECHA_FORMATO],0)),0)</f>
        <v>13</v>
      </c>
      <c r="BD13" s="49">
        <v>150</v>
      </c>
      <c r="BE13" s="54">
        <v>150</v>
      </c>
      <c r="BF13" s="63">
        <v>42849</v>
      </c>
      <c r="BG13" s="61"/>
      <c r="BH13" s="50"/>
      <c r="BI13" s="50"/>
      <c r="BJ13" s="50">
        <f>IF(RIGHT(TABLATRANSFERENCIA[[#Headers],[Emb1]],1)*1&lt;=TABLATRANSFERENCIA[[#This Row],[EMBARQUES]],IF(ISBLANK(TABLATRANSFERENCIA[[#This Row],[EMBARQUES]]),TABLATRANSFERENCIA[[#This Row],[REQUERIM]],ROUND(TABLATRANSFERENCIA[[#This Row],[REQUERIM]]/TABLATRANSFERENCIA[[#This Row],[EMBARQUES]],0)),TABLATRANSFERENCIA[[#This Row],[REQUERIM]])</f>
        <v>150</v>
      </c>
      <c r="BK13"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3"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3"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3"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3" s="50"/>
      <c r="BP13" s="45">
        <f>IFERROR(TABLATRANSFERENCIA[[#This Row],[REQUERIM]]/TABLATRANSFERENCIA[[#This Row],[PEDIDO PROMEDIO]],0)</f>
        <v>0</v>
      </c>
      <c r="BQ13" s="50"/>
      <c r="BR13" s="59"/>
      <c r="BS13" s="3">
        <f>IF(TABLATRANSFERENCIA[[#This Row],[RECIBIDO]]&lt;&gt;"",0,IF(TABLATRANSFERENCIA[[#This Row],[DESPACHO]]&lt;&gt;"",TABLATRANSFERENCIA[[#This Row],[DESPACHO]],TABLATRANSFERENCIA[[#This Row],[REQUERIM]]))</f>
        <v>150</v>
      </c>
      <c r="BT13" s="49"/>
      <c r="BU13" s="49"/>
      <c r="BV13" s="49" t="str">
        <f t="shared" si="0"/>
        <v>N</v>
      </c>
      <c r="BW13" s="50" t="s">
        <v>1667</v>
      </c>
      <c r="BX13" s="50">
        <f t="array" ref="BX13">IF(SUM(--(TABLATRANSFERENCIA[[#This Row],[CODIGO GENERICO]]=TABLATRANSFERENCIA[CODIGO GENERICO])*TABLATRANSFERENCIA[REQUERIM])&lt;TABLATRANSFERENCIA[[#This Row],[PEDIDO MIN GRUPO]],1,0)</f>
        <v>0</v>
      </c>
      <c r="BY13"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3" s="50"/>
      <c r="CA13" s="50"/>
      <c r="CB13" s="50"/>
    </row>
    <row r="14" spans="1:80" x14ac:dyDescent="0.25">
      <c r="A14" s="53" t="s">
        <v>1384</v>
      </c>
      <c r="B14" s="3"/>
      <c r="C14" s="3"/>
      <c r="D14" s="3"/>
      <c r="E14" s="3"/>
      <c r="F14" s="3"/>
      <c r="G14" s="3"/>
      <c r="H14" s="3"/>
      <c r="I14" s="3"/>
      <c r="J14" s="3"/>
      <c r="K14" s="3"/>
      <c r="L14" s="3"/>
      <c r="M14" s="3"/>
      <c r="N14" s="3"/>
      <c r="O14" s="5"/>
      <c r="P14" s="5"/>
      <c r="Q14" s="5"/>
      <c r="R14" s="45"/>
      <c r="S14" s="45"/>
      <c r="T14" s="45"/>
      <c r="U14" s="45"/>
      <c r="V14" s="48"/>
      <c r="W14" s="48"/>
      <c r="X14" s="50"/>
      <c r="Y14" s="50"/>
      <c r="Z14" s="6"/>
      <c r="AA14" s="6"/>
      <c r="AB14" s="6"/>
      <c r="AC14" s="4"/>
      <c r="AD14" s="6"/>
      <c r="AE14" s="6"/>
      <c r="AF14" s="6"/>
      <c r="AG14" s="6"/>
      <c r="AH14" s="6"/>
      <c r="AI14" s="6"/>
      <c r="AJ14" s="6"/>
      <c r="AK14" s="6"/>
      <c r="AL14" s="4"/>
      <c r="AM14" s="6"/>
      <c r="AN14" s="6"/>
      <c r="AO14" s="6"/>
      <c r="AP14" s="6"/>
      <c r="AQ14" s="6"/>
      <c r="AR14" s="6"/>
      <c r="AS14" s="6"/>
      <c r="AT14" s="6"/>
      <c r="AU14" s="6"/>
      <c r="AV14" s="66"/>
      <c r="AW14" s="66"/>
      <c r="AX14" s="6">
        <f t="array" ref="AX14">IFERROR(INDEX(Datos_Consumo[CANTIDAD],MATCH(TABLATRANSFERENCIA[[#This Row],[CODIGO]]&amp;TABLATRANSFERENCIA[[#Headers],[2016-12]],Datos_Consumo[CODIGO]&amp;Datos_Consumo[FECHA_FORMATO],0)),0)</f>
        <v>500</v>
      </c>
      <c r="AY14" s="6">
        <f t="array" ref="AY14">IFERROR(INDEX(Datos_Consumo[CANTIDAD],MATCH(TABLATRANSFERENCIA[[#This Row],[CODIGO]]&amp;TABLATRANSFERENCIA[[#Headers],[2017-1]],Datos_Consumo[CODIGO]&amp;Datos_Consumo[FECHA_FORMATO],0)),0)</f>
        <v>0</v>
      </c>
      <c r="AZ14" s="6">
        <f t="array" ref="AZ14">IFERROR(INDEX(Datos_Consumo[CANTIDAD],MATCH(TABLATRANSFERENCIA[[#This Row],[CODIGO]]&amp;TABLATRANSFERENCIA[[#Headers],[2017-2]],Datos_Consumo[CODIGO]&amp;Datos_Consumo[FECHA_FORMATO],0)),0)</f>
        <v>0</v>
      </c>
      <c r="BA14" s="6">
        <f t="array" ref="BA14">IFERROR(INDEX(Datos_Consumo[CANTIDAD],MATCH(TABLATRANSFERENCIA[[#This Row],[CODIGO]]&amp;TABLATRANSFERENCIA[[#Headers],[2017-3]],Datos_Consumo[CODIGO]&amp;Datos_Consumo[FECHA_FORMATO],0)),0)</f>
        <v>0</v>
      </c>
      <c r="BB14" s="6">
        <f t="array" ref="BB14">IFERROR(INDEX(Datos_Consumo[CANTIDAD],MATCH(TABLATRANSFERENCIA[[#This Row],[CODIGO]]&amp;TABLATRANSFERENCIA[[#Headers],[2017-4]],Datos_Consumo[CODIGO]&amp;Datos_Consumo[FECHA_FORMATO],0)),0)</f>
        <v>70</v>
      </c>
      <c r="BC14" s="6">
        <f t="array" ref="BC14">IFERROR(INDEX(Datos_Consumo[CANTIDAD],MATCH(TABLATRANSFERENCIA[[#This Row],[CODIGO]]&amp;TABLATRANSFERENCIA[[#Headers],[2017-5]],Datos_Consumo[CODIGO]&amp;Datos_Consumo[FECHA_FORMATO],0)),0)</f>
        <v>0</v>
      </c>
      <c r="BD14" s="49">
        <v>60</v>
      </c>
      <c r="BE14" s="54">
        <v>60</v>
      </c>
      <c r="BF14" s="63">
        <v>42849</v>
      </c>
      <c r="BG14" s="61"/>
      <c r="BH14" s="50"/>
      <c r="BI14" s="50"/>
      <c r="BJ14" s="50">
        <f>IF(RIGHT(TABLATRANSFERENCIA[[#Headers],[Emb1]],1)*1&lt;=TABLATRANSFERENCIA[[#This Row],[EMBARQUES]],IF(ISBLANK(TABLATRANSFERENCIA[[#This Row],[EMBARQUES]]),TABLATRANSFERENCIA[[#This Row],[REQUERIM]],ROUND(TABLATRANSFERENCIA[[#This Row],[REQUERIM]]/TABLATRANSFERENCIA[[#This Row],[EMBARQUES]],0)),TABLATRANSFERENCIA[[#This Row],[REQUERIM]])</f>
        <v>60</v>
      </c>
      <c r="BK14"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4"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4"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4"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4" s="50"/>
      <c r="BP14" s="45">
        <f>IFERROR(TABLATRANSFERENCIA[[#This Row],[REQUERIM]]/TABLATRANSFERENCIA[[#This Row],[PEDIDO PROMEDIO]],0)</f>
        <v>0</v>
      </c>
      <c r="BQ14" s="50"/>
      <c r="BR14" s="59"/>
      <c r="BS14" s="3">
        <f>IF(TABLATRANSFERENCIA[[#This Row],[RECIBIDO]]&lt;&gt;"",0,IF(TABLATRANSFERENCIA[[#This Row],[DESPACHO]]&lt;&gt;"",TABLATRANSFERENCIA[[#This Row],[DESPACHO]],TABLATRANSFERENCIA[[#This Row],[REQUERIM]]))</f>
        <v>60</v>
      </c>
      <c r="BT14" s="49"/>
      <c r="BU14" s="49"/>
      <c r="BV14" s="49" t="str">
        <f t="shared" si="0"/>
        <v>N</v>
      </c>
      <c r="BW14" s="50" t="s">
        <v>1667</v>
      </c>
      <c r="BX14" s="50">
        <f t="array" ref="BX14">IF(SUM(--(TABLATRANSFERENCIA[[#This Row],[CODIGO GENERICO]]=TABLATRANSFERENCIA[CODIGO GENERICO])*TABLATRANSFERENCIA[REQUERIM])&lt;TABLATRANSFERENCIA[[#This Row],[PEDIDO MIN GRUPO]],1,0)</f>
        <v>0</v>
      </c>
      <c r="BY14"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4" s="50"/>
      <c r="CA14" s="50"/>
      <c r="CB14" s="50"/>
    </row>
    <row r="15" spans="1:80" x14ac:dyDescent="0.25">
      <c r="A15" s="53" t="s">
        <v>1427</v>
      </c>
      <c r="B15" s="3"/>
      <c r="C15" s="3"/>
      <c r="D15" s="3"/>
      <c r="E15" s="3"/>
      <c r="F15" s="3"/>
      <c r="G15" s="3"/>
      <c r="H15" s="3"/>
      <c r="I15" s="3"/>
      <c r="J15" s="3"/>
      <c r="K15" s="3"/>
      <c r="L15" s="3"/>
      <c r="M15" s="3"/>
      <c r="N15" s="3"/>
      <c r="O15" s="5"/>
      <c r="P15" s="5"/>
      <c r="Q15" s="5"/>
      <c r="R15" s="45"/>
      <c r="S15" s="45"/>
      <c r="T15" s="45"/>
      <c r="U15" s="45"/>
      <c r="V15" s="48"/>
      <c r="W15" s="48"/>
      <c r="X15" s="50"/>
      <c r="Y15" s="50"/>
      <c r="Z15" s="6"/>
      <c r="AA15" s="6"/>
      <c r="AB15" s="6"/>
      <c r="AC15" s="4"/>
      <c r="AD15" s="6"/>
      <c r="AE15" s="6"/>
      <c r="AF15" s="6"/>
      <c r="AG15" s="6"/>
      <c r="AH15" s="6"/>
      <c r="AI15" s="6"/>
      <c r="AJ15" s="6"/>
      <c r="AK15" s="6"/>
      <c r="AL15" s="4"/>
      <c r="AM15" s="6"/>
      <c r="AN15" s="6"/>
      <c r="AO15" s="6"/>
      <c r="AP15" s="6"/>
      <c r="AQ15" s="6"/>
      <c r="AR15" s="6"/>
      <c r="AS15" s="6"/>
      <c r="AT15" s="6"/>
      <c r="AU15" s="6"/>
      <c r="AV15" s="66"/>
      <c r="AW15" s="66"/>
      <c r="AX15" s="6">
        <f t="array" ref="AX15">IFERROR(INDEX(Datos_Consumo[CANTIDAD],MATCH(TABLATRANSFERENCIA[[#This Row],[CODIGO]]&amp;TABLATRANSFERENCIA[[#Headers],[2016-12]],Datos_Consumo[CODIGO]&amp;Datos_Consumo[FECHA_FORMATO],0)),0)</f>
        <v>600</v>
      </c>
      <c r="AY15" s="6">
        <f t="array" ref="AY15">IFERROR(INDEX(Datos_Consumo[CANTIDAD],MATCH(TABLATRANSFERENCIA[[#This Row],[CODIGO]]&amp;TABLATRANSFERENCIA[[#Headers],[2017-1]],Datos_Consumo[CODIGO]&amp;Datos_Consumo[FECHA_FORMATO],0)),0)</f>
        <v>604</v>
      </c>
      <c r="AZ15" s="6">
        <f t="array" ref="AZ15">IFERROR(INDEX(Datos_Consumo[CANTIDAD],MATCH(TABLATRANSFERENCIA[[#This Row],[CODIGO]]&amp;TABLATRANSFERENCIA[[#Headers],[2017-2]],Datos_Consumo[CODIGO]&amp;Datos_Consumo[FECHA_FORMATO],0)),0)</f>
        <v>608</v>
      </c>
      <c r="BA15" s="6">
        <f t="array" ref="BA15">IFERROR(INDEX(Datos_Consumo[CANTIDAD],MATCH(TABLATRANSFERENCIA[[#This Row],[CODIGO]]&amp;TABLATRANSFERENCIA[[#Headers],[2017-3]],Datos_Consumo[CODIGO]&amp;Datos_Consumo[FECHA_FORMATO],0)),0)</f>
        <v>600</v>
      </c>
      <c r="BB15" s="6">
        <f t="array" ref="BB15">IFERROR(INDEX(Datos_Consumo[CANTIDAD],MATCH(TABLATRANSFERENCIA[[#This Row],[CODIGO]]&amp;TABLATRANSFERENCIA[[#Headers],[2017-4]],Datos_Consumo[CODIGO]&amp;Datos_Consumo[FECHA_FORMATO],0)),0)</f>
        <v>74</v>
      </c>
      <c r="BC15" s="6">
        <f t="array" ref="BC15">IFERROR(INDEX(Datos_Consumo[CANTIDAD],MATCH(TABLATRANSFERENCIA[[#This Row],[CODIGO]]&amp;TABLATRANSFERENCIA[[#Headers],[2017-5]],Datos_Consumo[CODIGO]&amp;Datos_Consumo[FECHA_FORMATO],0)),0)</f>
        <v>150</v>
      </c>
      <c r="BD15" s="49">
        <v>90</v>
      </c>
      <c r="BE15" s="54">
        <v>90</v>
      </c>
      <c r="BF15" s="63">
        <v>42849</v>
      </c>
      <c r="BG15" s="61"/>
      <c r="BH15" s="50"/>
      <c r="BI15" s="50"/>
      <c r="BJ15" s="50">
        <f>IF(RIGHT(TABLATRANSFERENCIA[[#Headers],[Emb1]],1)*1&lt;=TABLATRANSFERENCIA[[#This Row],[EMBARQUES]],IF(ISBLANK(TABLATRANSFERENCIA[[#This Row],[EMBARQUES]]),TABLATRANSFERENCIA[[#This Row],[REQUERIM]],ROUND(TABLATRANSFERENCIA[[#This Row],[REQUERIM]]/TABLATRANSFERENCIA[[#This Row],[EMBARQUES]],0)),TABLATRANSFERENCIA[[#This Row],[REQUERIM]])</f>
        <v>90</v>
      </c>
      <c r="BK15"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5"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5"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5"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5" s="50"/>
      <c r="BP15" s="45">
        <f>IFERROR(TABLATRANSFERENCIA[[#This Row],[REQUERIM]]/TABLATRANSFERENCIA[[#This Row],[PEDIDO PROMEDIO]],0)</f>
        <v>0</v>
      </c>
      <c r="BQ15" s="50"/>
      <c r="BR15" s="59"/>
      <c r="BS15" s="3">
        <f>IF(TABLATRANSFERENCIA[[#This Row],[RECIBIDO]]&lt;&gt;"",0,IF(TABLATRANSFERENCIA[[#This Row],[DESPACHO]]&lt;&gt;"",TABLATRANSFERENCIA[[#This Row],[DESPACHO]],TABLATRANSFERENCIA[[#This Row],[REQUERIM]]))</f>
        <v>90</v>
      </c>
      <c r="BT15" s="49"/>
      <c r="BU15" s="49"/>
      <c r="BV15" s="49" t="str">
        <f t="shared" si="0"/>
        <v>N</v>
      </c>
      <c r="BW15" s="50" t="s">
        <v>1667</v>
      </c>
      <c r="BX15" s="50">
        <f t="array" ref="BX15">IF(SUM(--(TABLATRANSFERENCIA[[#This Row],[CODIGO GENERICO]]=TABLATRANSFERENCIA[CODIGO GENERICO])*TABLATRANSFERENCIA[REQUERIM])&lt;TABLATRANSFERENCIA[[#This Row],[PEDIDO MIN GRUPO]],1,0)</f>
        <v>0</v>
      </c>
      <c r="BY15"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5" s="50"/>
      <c r="CA15" s="50"/>
      <c r="CB15" s="50"/>
    </row>
    <row r="16" spans="1:80" x14ac:dyDescent="0.25">
      <c r="A16" s="53" t="s">
        <v>1387</v>
      </c>
      <c r="B16" s="3"/>
      <c r="C16" s="3"/>
      <c r="D16" s="3"/>
      <c r="E16" s="3"/>
      <c r="F16" s="3"/>
      <c r="G16" s="3"/>
      <c r="H16" s="3"/>
      <c r="I16" s="3"/>
      <c r="J16" s="3"/>
      <c r="K16" s="3"/>
      <c r="L16" s="3"/>
      <c r="M16" s="3"/>
      <c r="N16" s="3"/>
      <c r="O16" s="5"/>
      <c r="P16" s="5"/>
      <c r="Q16" s="5"/>
      <c r="R16" s="45"/>
      <c r="S16" s="45"/>
      <c r="T16" s="45"/>
      <c r="U16" s="45"/>
      <c r="V16" s="48"/>
      <c r="W16" s="48"/>
      <c r="X16" s="50"/>
      <c r="Y16" s="50"/>
      <c r="Z16" s="6"/>
      <c r="AA16" s="6"/>
      <c r="AB16" s="6"/>
      <c r="AC16" s="4"/>
      <c r="AD16" s="6"/>
      <c r="AE16" s="6"/>
      <c r="AF16" s="6"/>
      <c r="AG16" s="6"/>
      <c r="AH16" s="6"/>
      <c r="AI16" s="6"/>
      <c r="AJ16" s="6"/>
      <c r="AK16" s="6"/>
      <c r="AL16" s="4"/>
      <c r="AM16" s="6"/>
      <c r="AN16" s="6"/>
      <c r="AO16" s="6"/>
      <c r="AP16" s="6"/>
      <c r="AQ16" s="6"/>
      <c r="AR16" s="6"/>
      <c r="AS16" s="6"/>
      <c r="AT16" s="6"/>
      <c r="AU16" s="6"/>
      <c r="AV16" s="66"/>
      <c r="AW16" s="66"/>
      <c r="AX16" s="6">
        <f t="array" ref="AX16">IFERROR(INDEX(Datos_Consumo[CANTIDAD],MATCH(TABLATRANSFERENCIA[[#This Row],[CODIGO]]&amp;TABLATRANSFERENCIA[[#Headers],[2016-12]],Datos_Consumo[CODIGO]&amp;Datos_Consumo[FECHA_FORMATO],0)),0)</f>
        <v>5020</v>
      </c>
      <c r="AY16" s="6">
        <f t="array" ref="AY16">IFERROR(INDEX(Datos_Consumo[CANTIDAD],MATCH(TABLATRANSFERENCIA[[#This Row],[CODIGO]]&amp;TABLATRANSFERENCIA[[#Headers],[2017-1]],Datos_Consumo[CODIGO]&amp;Datos_Consumo[FECHA_FORMATO],0)),0)</f>
        <v>5290</v>
      </c>
      <c r="AZ16" s="6">
        <f t="array" ref="AZ16">IFERROR(INDEX(Datos_Consumo[CANTIDAD],MATCH(TABLATRANSFERENCIA[[#This Row],[CODIGO]]&amp;TABLATRANSFERENCIA[[#Headers],[2017-2]],Datos_Consumo[CODIGO]&amp;Datos_Consumo[FECHA_FORMATO],0)),0)</f>
        <v>6591</v>
      </c>
      <c r="BA16" s="6">
        <f t="array" ref="BA16">IFERROR(INDEX(Datos_Consumo[CANTIDAD],MATCH(TABLATRANSFERENCIA[[#This Row],[CODIGO]]&amp;TABLATRANSFERENCIA[[#Headers],[2017-3]],Datos_Consumo[CODIGO]&amp;Datos_Consumo[FECHA_FORMATO],0)),0)</f>
        <v>7800</v>
      </c>
      <c r="BB16" s="6">
        <f t="array" ref="BB16">IFERROR(INDEX(Datos_Consumo[CANTIDAD],MATCH(TABLATRANSFERENCIA[[#This Row],[CODIGO]]&amp;TABLATRANSFERENCIA[[#Headers],[2017-4]],Datos_Consumo[CODIGO]&amp;Datos_Consumo[FECHA_FORMATO],0)),0)</f>
        <v>18277</v>
      </c>
      <c r="BC16" s="6">
        <f t="array" ref="BC16">IFERROR(INDEX(Datos_Consumo[CANTIDAD],MATCH(TABLATRANSFERENCIA[[#This Row],[CODIGO]]&amp;TABLATRANSFERENCIA[[#Headers],[2017-5]],Datos_Consumo[CODIGO]&amp;Datos_Consumo[FECHA_FORMATO],0)),0)</f>
        <v>11315</v>
      </c>
      <c r="BD16" s="49">
        <v>7200</v>
      </c>
      <c r="BE16" s="54">
        <v>7200</v>
      </c>
      <c r="BF16" s="63">
        <v>42849</v>
      </c>
      <c r="BG16" s="61"/>
      <c r="BH16" s="50"/>
      <c r="BI16" s="50"/>
      <c r="BJ16" s="50">
        <f>IF(RIGHT(TABLATRANSFERENCIA[[#Headers],[Emb1]],1)*1&lt;=TABLATRANSFERENCIA[[#This Row],[EMBARQUES]],IF(ISBLANK(TABLATRANSFERENCIA[[#This Row],[EMBARQUES]]),TABLATRANSFERENCIA[[#This Row],[REQUERIM]],ROUND(TABLATRANSFERENCIA[[#This Row],[REQUERIM]]/TABLATRANSFERENCIA[[#This Row],[EMBARQUES]],0)),TABLATRANSFERENCIA[[#This Row],[REQUERIM]])</f>
        <v>7200</v>
      </c>
      <c r="BK16"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6"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6"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6"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6" s="50"/>
      <c r="BP16" s="45">
        <f>IFERROR(TABLATRANSFERENCIA[[#This Row],[REQUERIM]]/TABLATRANSFERENCIA[[#This Row],[PEDIDO PROMEDIO]],0)</f>
        <v>0</v>
      </c>
      <c r="BQ16" s="50"/>
      <c r="BR16" s="59"/>
      <c r="BS16" s="3">
        <f>IF(TABLATRANSFERENCIA[[#This Row],[RECIBIDO]]&lt;&gt;"",0,IF(TABLATRANSFERENCIA[[#This Row],[DESPACHO]]&lt;&gt;"",TABLATRANSFERENCIA[[#This Row],[DESPACHO]],TABLATRANSFERENCIA[[#This Row],[REQUERIM]]))</f>
        <v>7200</v>
      </c>
      <c r="BT16" s="49"/>
      <c r="BU16" s="49"/>
      <c r="BV16" s="49" t="str">
        <f t="shared" si="0"/>
        <v>N</v>
      </c>
      <c r="BW16" s="50" t="s">
        <v>1667</v>
      </c>
      <c r="BX16" s="50">
        <f t="array" ref="BX16">IF(SUM(--(TABLATRANSFERENCIA[[#This Row],[CODIGO GENERICO]]=TABLATRANSFERENCIA[CODIGO GENERICO])*TABLATRANSFERENCIA[REQUERIM])&lt;TABLATRANSFERENCIA[[#This Row],[PEDIDO MIN GRUPO]],1,0)</f>
        <v>0</v>
      </c>
      <c r="BY16"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6" s="50"/>
      <c r="CA16" s="50"/>
      <c r="CB16" s="50"/>
    </row>
    <row r="17" spans="1:80" x14ac:dyDescent="0.25">
      <c r="A17" s="53" t="s">
        <v>1430</v>
      </c>
      <c r="B17" s="3"/>
      <c r="C17" s="3"/>
      <c r="D17" s="3"/>
      <c r="E17" s="3"/>
      <c r="F17" s="3"/>
      <c r="G17" s="3"/>
      <c r="H17" s="3"/>
      <c r="I17" s="3"/>
      <c r="J17" s="3"/>
      <c r="K17" s="3"/>
      <c r="L17" s="3"/>
      <c r="M17" s="3"/>
      <c r="N17" s="3"/>
      <c r="O17" s="5"/>
      <c r="P17" s="5"/>
      <c r="Q17" s="5"/>
      <c r="R17" s="45"/>
      <c r="S17" s="45"/>
      <c r="T17" s="45"/>
      <c r="U17" s="45"/>
      <c r="V17" s="48"/>
      <c r="W17" s="48"/>
      <c r="X17" s="50"/>
      <c r="Y17" s="50"/>
      <c r="Z17" s="6"/>
      <c r="AA17" s="6"/>
      <c r="AB17" s="6"/>
      <c r="AC17" s="4"/>
      <c r="AD17" s="6"/>
      <c r="AE17" s="6"/>
      <c r="AF17" s="6"/>
      <c r="AG17" s="6"/>
      <c r="AH17" s="6"/>
      <c r="AI17" s="6"/>
      <c r="AJ17" s="6"/>
      <c r="AK17" s="6"/>
      <c r="AL17" s="4"/>
      <c r="AM17" s="6"/>
      <c r="AN17" s="6"/>
      <c r="AO17" s="6"/>
      <c r="AP17" s="6"/>
      <c r="AQ17" s="6"/>
      <c r="AR17" s="6"/>
      <c r="AS17" s="6"/>
      <c r="AT17" s="6"/>
      <c r="AU17" s="6"/>
      <c r="AV17" s="66"/>
      <c r="AW17" s="66"/>
      <c r="AX17" s="6">
        <f t="array" ref="AX17">IFERROR(INDEX(Datos_Consumo[CANTIDAD],MATCH(TABLATRANSFERENCIA[[#This Row],[CODIGO]]&amp;TABLATRANSFERENCIA[[#Headers],[2016-12]],Datos_Consumo[CODIGO]&amp;Datos_Consumo[FECHA_FORMATO],0)),0)</f>
        <v>20</v>
      </c>
      <c r="AY17" s="6">
        <f t="array" ref="AY17">IFERROR(INDEX(Datos_Consumo[CANTIDAD],MATCH(TABLATRANSFERENCIA[[#This Row],[CODIGO]]&amp;TABLATRANSFERENCIA[[#Headers],[2017-1]],Datos_Consumo[CODIGO]&amp;Datos_Consumo[FECHA_FORMATO],0)),0)</f>
        <v>24</v>
      </c>
      <c r="AZ17" s="6">
        <f t="array" ref="AZ17">IFERROR(INDEX(Datos_Consumo[CANTIDAD],MATCH(TABLATRANSFERENCIA[[#This Row],[CODIGO]]&amp;TABLATRANSFERENCIA[[#Headers],[2017-2]],Datos_Consumo[CODIGO]&amp;Datos_Consumo[FECHA_FORMATO],0)),0)</f>
        <v>0</v>
      </c>
      <c r="BA17" s="6">
        <f t="array" ref="BA17">IFERROR(INDEX(Datos_Consumo[CANTIDAD],MATCH(TABLATRANSFERENCIA[[#This Row],[CODIGO]]&amp;TABLATRANSFERENCIA[[#Headers],[2017-3]],Datos_Consumo[CODIGO]&amp;Datos_Consumo[FECHA_FORMATO],0)),0)</f>
        <v>40</v>
      </c>
      <c r="BB17" s="6">
        <f t="array" ref="BB17">IFERROR(INDEX(Datos_Consumo[CANTIDAD],MATCH(TABLATRANSFERENCIA[[#This Row],[CODIGO]]&amp;TABLATRANSFERENCIA[[#Headers],[2017-4]],Datos_Consumo[CODIGO]&amp;Datos_Consumo[FECHA_FORMATO],0)),0)</f>
        <v>18</v>
      </c>
      <c r="BC17" s="6">
        <f t="array" ref="BC17">IFERROR(INDEX(Datos_Consumo[CANTIDAD],MATCH(TABLATRANSFERENCIA[[#This Row],[CODIGO]]&amp;TABLATRANSFERENCIA[[#Headers],[2017-5]],Datos_Consumo[CODIGO]&amp;Datos_Consumo[FECHA_FORMATO],0)),0)</f>
        <v>20</v>
      </c>
      <c r="BD17" s="49">
        <v>40</v>
      </c>
      <c r="BE17" s="54">
        <v>40</v>
      </c>
      <c r="BF17" s="63">
        <v>42849</v>
      </c>
      <c r="BG17" s="61"/>
      <c r="BH17" s="50"/>
      <c r="BI17" s="50"/>
      <c r="BJ17" s="50">
        <f>IF(RIGHT(TABLATRANSFERENCIA[[#Headers],[Emb1]],1)*1&lt;=TABLATRANSFERENCIA[[#This Row],[EMBARQUES]],IF(ISBLANK(TABLATRANSFERENCIA[[#This Row],[EMBARQUES]]),TABLATRANSFERENCIA[[#This Row],[REQUERIM]],ROUND(TABLATRANSFERENCIA[[#This Row],[REQUERIM]]/TABLATRANSFERENCIA[[#This Row],[EMBARQUES]],0)),TABLATRANSFERENCIA[[#This Row],[REQUERIM]])</f>
        <v>40</v>
      </c>
      <c r="BK17"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7"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7"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7"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7" s="50"/>
      <c r="BP17" s="45">
        <f>IFERROR(TABLATRANSFERENCIA[[#This Row],[REQUERIM]]/TABLATRANSFERENCIA[[#This Row],[PEDIDO PROMEDIO]],0)</f>
        <v>0</v>
      </c>
      <c r="BQ17" s="50"/>
      <c r="BR17" s="59"/>
      <c r="BS17" s="3">
        <f>IF(TABLATRANSFERENCIA[[#This Row],[RECIBIDO]]&lt;&gt;"",0,IF(TABLATRANSFERENCIA[[#This Row],[DESPACHO]]&lt;&gt;"",TABLATRANSFERENCIA[[#This Row],[DESPACHO]],TABLATRANSFERENCIA[[#This Row],[REQUERIM]]))</f>
        <v>40</v>
      </c>
      <c r="BT17" s="49"/>
      <c r="BU17" s="49"/>
      <c r="BV17" s="49" t="str">
        <f t="shared" si="0"/>
        <v>N</v>
      </c>
      <c r="BW17" s="50" t="s">
        <v>1667</v>
      </c>
      <c r="BX17" s="50">
        <f t="array" ref="BX17">IF(SUM(--(TABLATRANSFERENCIA[[#This Row],[CODIGO GENERICO]]=TABLATRANSFERENCIA[CODIGO GENERICO])*TABLATRANSFERENCIA[REQUERIM])&lt;TABLATRANSFERENCIA[[#This Row],[PEDIDO MIN GRUPO]],1,0)</f>
        <v>0</v>
      </c>
      <c r="BY17"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7" s="50"/>
      <c r="CA17" s="50"/>
      <c r="CB17" s="50"/>
    </row>
    <row r="18" spans="1:80" x14ac:dyDescent="0.25">
      <c r="A18" s="53" t="s">
        <v>1389</v>
      </c>
      <c r="B18" s="3"/>
      <c r="C18" s="3"/>
      <c r="D18" s="3"/>
      <c r="E18" s="3"/>
      <c r="F18" s="3"/>
      <c r="G18" s="3"/>
      <c r="H18" s="3"/>
      <c r="I18" s="3"/>
      <c r="J18" s="3"/>
      <c r="K18" s="3"/>
      <c r="L18" s="3"/>
      <c r="M18" s="3"/>
      <c r="N18" s="3"/>
      <c r="O18" s="5"/>
      <c r="P18" s="5"/>
      <c r="Q18" s="5"/>
      <c r="R18" s="45"/>
      <c r="S18" s="45"/>
      <c r="T18" s="45"/>
      <c r="U18" s="45"/>
      <c r="V18" s="48"/>
      <c r="W18" s="48"/>
      <c r="X18" s="50"/>
      <c r="Y18" s="50"/>
      <c r="Z18" s="6"/>
      <c r="AA18" s="6"/>
      <c r="AB18" s="6"/>
      <c r="AC18" s="4"/>
      <c r="AD18" s="6"/>
      <c r="AE18" s="6"/>
      <c r="AF18" s="6"/>
      <c r="AG18" s="6"/>
      <c r="AH18" s="6"/>
      <c r="AI18" s="6"/>
      <c r="AJ18" s="6"/>
      <c r="AK18" s="6"/>
      <c r="AL18" s="4"/>
      <c r="AM18" s="6"/>
      <c r="AN18" s="6"/>
      <c r="AO18" s="6"/>
      <c r="AP18" s="6"/>
      <c r="AQ18" s="6"/>
      <c r="AR18" s="6"/>
      <c r="AS18" s="6"/>
      <c r="AT18" s="6"/>
      <c r="AU18" s="6"/>
      <c r="AV18" s="66"/>
      <c r="AW18" s="66"/>
      <c r="AX18" s="6">
        <f t="array" ref="AX18">IFERROR(INDEX(Datos_Consumo[CANTIDAD],MATCH(TABLATRANSFERENCIA[[#This Row],[CODIGO]]&amp;TABLATRANSFERENCIA[[#Headers],[2016-12]],Datos_Consumo[CODIGO]&amp;Datos_Consumo[FECHA_FORMATO],0)),0)</f>
        <v>51</v>
      </c>
      <c r="AY18" s="6">
        <f t="array" ref="AY18">IFERROR(INDEX(Datos_Consumo[CANTIDAD],MATCH(TABLATRANSFERENCIA[[#This Row],[CODIGO]]&amp;TABLATRANSFERENCIA[[#Headers],[2017-1]],Datos_Consumo[CODIGO]&amp;Datos_Consumo[FECHA_FORMATO],0)),0)</f>
        <v>2</v>
      </c>
      <c r="AZ18" s="6">
        <f t="array" ref="AZ18">IFERROR(INDEX(Datos_Consumo[CANTIDAD],MATCH(TABLATRANSFERENCIA[[#This Row],[CODIGO]]&amp;TABLATRANSFERENCIA[[#Headers],[2017-2]],Datos_Consumo[CODIGO]&amp;Datos_Consumo[FECHA_FORMATO],0)),0)</f>
        <v>2</v>
      </c>
      <c r="BA18" s="6">
        <f t="array" ref="BA18">IFERROR(INDEX(Datos_Consumo[CANTIDAD],MATCH(TABLATRANSFERENCIA[[#This Row],[CODIGO]]&amp;TABLATRANSFERENCIA[[#Headers],[2017-3]],Datos_Consumo[CODIGO]&amp;Datos_Consumo[FECHA_FORMATO],0)),0)</f>
        <v>3</v>
      </c>
      <c r="BB18" s="6">
        <f t="array" ref="BB18">IFERROR(INDEX(Datos_Consumo[CANTIDAD],MATCH(TABLATRANSFERENCIA[[#This Row],[CODIGO]]&amp;TABLATRANSFERENCIA[[#Headers],[2017-4]],Datos_Consumo[CODIGO]&amp;Datos_Consumo[FECHA_FORMATO],0)),0)</f>
        <v>0</v>
      </c>
      <c r="BC18" s="6">
        <f t="array" ref="BC18">IFERROR(INDEX(Datos_Consumo[CANTIDAD],MATCH(TABLATRANSFERENCIA[[#This Row],[CODIGO]]&amp;TABLATRANSFERENCIA[[#Headers],[2017-5]],Datos_Consumo[CODIGO]&amp;Datos_Consumo[FECHA_FORMATO],0)),0)</f>
        <v>40</v>
      </c>
      <c r="BD18" s="49">
        <v>40</v>
      </c>
      <c r="BE18" s="54">
        <v>40</v>
      </c>
      <c r="BF18" s="63">
        <v>42849</v>
      </c>
      <c r="BG18" s="61"/>
      <c r="BH18" s="50"/>
      <c r="BI18" s="50"/>
      <c r="BJ18" s="50">
        <f>IF(RIGHT(TABLATRANSFERENCIA[[#Headers],[Emb1]],1)*1&lt;=TABLATRANSFERENCIA[[#This Row],[EMBARQUES]],IF(ISBLANK(TABLATRANSFERENCIA[[#This Row],[EMBARQUES]]),TABLATRANSFERENCIA[[#This Row],[REQUERIM]],ROUND(TABLATRANSFERENCIA[[#This Row],[REQUERIM]]/TABLATRANSFERENCIA[[#This Row],[EMBARQUES]],0)),TABLATRANSFERENCIA[[#This Row],[REQUERIM]])</f>
        <v>40</v>
      </c>
      <c r="BK18"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8"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8"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8"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8" s="50"/>
      <c r="BP18" s="45">
        <f>IFERROR(TABLATRANSFERENCIA[[#This Row],[REQUERIM]]/TABLATRANSFERENCIA[[#This Row],[PEDIDO PROMEDIO]],0)</f>
        <v>0</v>
      </c>
      <c r="BQ18" s="50"/>
      <c r="BR18" s="59"/>
      <c r="BS18" s="3">
        <f>IF(TABLATRANSFERENCIA[[#This Row],[RECIBIDO]]&lt;&gt;"",0,IF(TABLATRANSFERENCIA[[#This Row],[DESPACHO]]&lt;&gt;"",TABLATRANSFERENCIA[[#This Row],[DESPACHO]],TABLATRANSFERENCIA[[#This Row],[REQUERIM]]))</f>
        <v>40</v>
      </c>
      <c r="BT18" s="49"/>
      <c r="BU18" s="49"/>
      <c r="BV18" s="49" t="str">
        <f t="shared" si="0"/>
        <v>N</v>
      </c>
      <c r="BW18" s="50" t="s">
        <v>1667</v>
      </c>
      <c r="BX18" s="50">
        <f t="array" ref="BX18">IF(SUM(--(TABLATRANSFERENCIA[[#This Row],[CODIGO GENERICO]]=TABLATRANSFERENCIA[CODIGO GENERICO])*TABLATRANSFERENCIA[REQUERIM])&lt;TABLATRANSFERENCIA[[#This Row],[PEDIDO MIN GRUPO]],1,0)</f>
        <v>0</v>
      </c>
      <c r="BY18"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8" s="50"/>
      <c r="CA18" s="50"/>
      <c r="CB18" s="50"/>
    </row>
    <row r="19" spans="1:80" x14ac:dyDescent="0.25">
      <c r="A19" s="53" t="s">
        <v>1391</v>
      </c>
      <c r="B19" s="3"/>
      <c r="C19" s="3"/>
      <c r="D19" s="3"/>
      <c r="E19" s="3"/>
      <c r="F19" s="3"/>
      <c r="G19" s="3"/>
      <c r="H19" s="3"/>
      <c r="I19" s="3"/>
      <c r="J19" s="3"/>
      <c r="K19" s="3"/>
      <c r="L19" s="3"/>
      <c r="M19" s="3"/>
      <c r="N19" s="3"/>
      <c r="O19" s="5"/>
      <c r="P19" s="5"/>
      <c r="Q19" s="5"/>
      <c r="R19" s="45"/>
      <c r="S19" s="45"/>
      <c r="T19" s="45"/>
      <c r="U19" s="45"/>
      <c r="V19" s="48"/>
      <c r="W19" s="48"/>
      <c r="X19" s="50"/>
      <c r="Y19" s="50"/>
      <c r="Z19" s="6"/>
      <c r="AA19" s="6"/>
      <c r="AB19" s="6"/>
      <c r="AC19" s="4"/>
      <c r="AD19" s="6"/>
      <c r="AE19" s="6"/>
      <c r="AF19" s="6"/>
      <c r="AG19" s="6"/>
      <c r="AH19" s="6"/>
      <c r="AI19" s="6"/>
      <c r="AJ19" s="6"/>
      <c r="AK19" s="6"/>
      <c r="AL19" s="4"/>
      <c r="AM19" s="6"/>
      <c r="AN19" s="6"/>
      <c r="AO19" s="6"/>
      <c r="AP19" s="6"/>
      <c r="AQ19" s="6"/>
      <c r="AR19" s="6"/>
      <c r="AS19" s="6"/>
      <c r="AT19" s="6"/>
      <c r="AU19" s="6"/>
      <c r="AV19" s="66"/>
      <c r="AW19" s="66"/>
      <c r="AX19" s="6">
        <f t="array" ref="AX19">IFERROR(INDEX(Datos_Consumo[CANTIDAD],MATCH(TABLATRANSFERENCIA[[#This Row],[CODIGO]]&amp;TABLATRANSFERENCIA[[#Headers],[2016-12]],Datos_Consumo[CODIGO]&amp;Datos_Consumo[FECHA_FORMATO],0)),0)</f>
        <v>65</v>
      </c>
      <c r="AY19" s="6">
        <f t="array" ref="AY19">IFERROR(INDEX(Datos_Consumo[CANTIDAD],MATCH(TABLATRANSFERENCIA[[#This Row],[CODIGO]]&amp;TABLATRANSFERENCIA[[#Headers],[2017-1]],Datos_Consumo[CODIGO]&amp;Datos_Consumo[FECHA_FORMATO],0)),0)</f>
        <v>139</v>
      </c>
      <c r="AZ19" s="6">
        <f t="array" ref="AZ19">IFERROR(INDEX(Datos_Consumo[CANTIDAD],MATCH(TABLATRANSFERENCIA[[#This Row],[CODIGO]]&amp;TABLATRANSFERENCIA[[#Headers],[2017-2]],Datos_Consumo[CODIGO]&amp;Datos_Consumo[FECHA_FORMATO],0)),0)</f>
        <v>82</v>
      </c>
      <c r="BA19" s="6">
        <f t="array" ref="BA19">IFERROR(INDEX(Datos_Consumo[CANTIDAD],MATCH(TABLATRANSFERENCIA[[#This Row],[CODIGO]]&amp;TABLATRANSFERENCIA[[#Headers],[2017-3]],Datos_Consumo[CODIGO]&amp;Datos_Consumo[FECHA_FORMATO],0)),0)</f>
        <v>102</v>
      </c>
      <c r="BB19" s="6">
        <f t="array" ref="BB19">IFERROR(INDEX(Datos_Consumo[CANTIDAD],MATCH(TABLATRANSFERENCIA[[#This Row],[CODIGO]]&amp;TABLATRANSFERENCIA[[#Headers],[2017-4]],Datos_Consumo[CODIGO]&amp;Datos_Consumo[FECHA_FORMATO],0)),0)</f>
        <v>131</v>
      </c>
      <c r="BC19" s="6">
        <f t="array" ref="BC19">IFERROR(INDEX(Datos_Consumo[CANTIDAD],MATCH(TABLATRANSFERENCIA[[#This Row],[CODIGO]]&amp;TABLATRANSFERENCIA[[#Headers],[2017-5]],Datos_Consumo[CODIGO]&amp;Datos_Consumo[FECHA_FORMATO],0)),0)</f>
        <v>79</v>
      </c>
      <c r="BD19" s="49">
        <v>240</v>
      </c>
      <c r="BE19" s="54">
        <v>240</v>
      </c>
      <c r="BF19" s="63">
        <v>42849</v>
      </c>
      <c r="BG19" s="61"/>
      <c r="BH19" s="50"/>
      <c r="BI19" s="50"/>
      <c r="BJ19" s="50">
        <f>IF(RIGHT(TABLATRANSFERENCIA[[#Headers],[Emb1]],1)*1&lt;=TABLATRANSFERENCIA[[#This Row],[EMBARQUES]],IF(ISBLANK(TABLATRANSFERENCIA[[#This Row],[EMBARQUES]]),TABLATRANSFERENCIA[[#This Row],[REQUERIM]],ROUND(TABLATRANSFERENCIA[[#This Row],[REQUERIM]]/TABLATRANSFERENCIA[[#This Row],[EMBARQUES]],0)),TABLATRANSFERENCIA[[#This Row],[REQUERIM]])</f>
        <v>240</v>
      </c>
      <c r="BK19"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9"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9"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9"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9" s="50"/>
      <c r="BP19" s="45">
        <f>IFERROR(TABLATRANSFERENCIA[[#This Row],[REQUERIM]]/TABLATRANSFERENCIA[[#This Row],[PEDIDO PROMEDIO]],0)</f>
        <v>0</v>
      </c>
      <c r="BQ19" s="50"/>
      <c r="BR19" s="59"/>
      <c r="BS19" s="3">
        <f>IF(TABLATRANSFERENCIA[[#This Row],[RECIBIDO]]&lt;&gt;"",0,IF(TABLATRANSFERENCIA[[#This Row],[DESPACHO]]&lt;&gt;"",TABLATRANSFERENCIA[[#This Row],[DESPACHO]],TABLATRANSFERENCIA[[#This Row],[REQUERIM]]))</f>
        <v>240</v>
      </c>
      <c r="BT19" s="49"/>
      <c r="BU19" s="49"/>
      <c r="BV19" s="49" t="str">
        <f t="shared" si="0"/>
        <v>N</v>
      </c>
      <c r="BW19" s="50" t="s">
        <v>1667</v>
      </c>
      <c r="BX19" s="50">
        <f t="array" ref="BX19">IF(SUM(--(TABLATRANSFERENCIA[[#This Row],[CODIGO GENERICO]]=TABLATRANSFERENCIA[CODIGO GENERICO])*TABLATRANSFERENCIA[REQUERIM])&lt;TABLATRANSFERENCIA[[#This Row],[PEDIDO MIN GRUPO]],1,0)</f>
        <v>0</v>
      </c>
      <c r="BY19"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9" s="50"/>
      <c r="CA19" s="50"/>
      <c r="CB19" s="50"/>
    </row>
  </sheetData>
  <sheetProtection algorithmName="SHA-512" hashValue="nGdb0bPJ9olUigr6T6T8/2KiNQNm3QHBdM9oqnjzGsDR8BIlatzWT7Bld3zQpuhntp+DdASBfSzn+Ej/KGTRnw==" saltValue="TfsmwTCEQ6C3wq6efwNvHg==" spinCount="100000" sheet="1" objects="1" scenarios="1" formatCells="0" sort="0" autoFilter="0"/>
  <conditionalFormatting sqref="BQ9:BR19">
    <cfRule type="expression" dxfId="40" priority="36">
      <formula>ISBLANK(BQ9)</formula>
    </cfRule>
  </conditionalFormatting>
  <conditionalFormatting sqref="B5">
    <cfRule type="expression" dxfId="39" priority="28">
      <formula>ISBLANK(REFERENCIA)</formula>
    </cfRule>
  </conditionalFormatting>
  <conditionalFormatting sqref="D3">
    <cfRule type="expression" dxfId="38" priority="26">
      <formula>AND(ISNUMBER($D$3),$D$3&lt;$D$2)</formula>
    </cfRule>
    <cfRule type="expression" dxfId="37" priority="35">
      <formula>ISBLANK(FECHACIERRE)</formula>
    </cfRule>
  </conditionalFormatting>
  <conditionalFormatting sqref="B6 D3">
    <cfRule type="expression" dxfId="36" priority="27">
      <formula>ISBLANK(FECHAARRIBO)</formula>
    </cfRule>
  </conditionalFormatting>
  <conditionalFormatting sqref="B7">
    <cfRule type="expression" dxfId="35" priority="25">
      <formula>NOT((B7=""))</formula>
    </cfRule>
  </conditionalFormatting>
  <conditionalFormatting sqref="AK9:AK19 AB9:AB19">
    <cfRule type="expression" dxfId="34" priority="17">
      <formula>AD9="G"</formula>
    </cfRule>
    <cfRule type="expression" dxfId="33" priority="18">
      <formula>AD9="L"</formula>
    </cfRule>
    <cfRule type="expression" dxfId="32" priority="19">
      <formula>AD9="V"</formula>
    </cfRule>
    <cfRule type="expression" dxfId="31" priority="20">
      <formula>AD9="A"</formula>
    </cfRule>
    <cfRule type="expression" dxfId="30" priority="21">
      <formula>AD9="N"</formula>
    </cfRule>
    <cfRule type="expression" dxfId="29" priority="22">
      <formula>AD9="R"</formula>
    </cfRule>
  </conditionalFormatting>
  <conditionalFormatting sqref="BU9:BU19">
    <cfRule type="expression" dxfId="28" priority="17386">
      <formula>AND(ISNUMBER($BR9),$BQ9&lt;&gt;$BR9)</formula>
    </cfRule>
  </conditionalFormatting>
  <conditionalFormatting sqref="AO9:AO19">
    <cfRule type="expression" dxfId="27" priority="10">
      <formula>$BX9=1</formula>
    </cfRule>
  </conditionalFormatting>
  <conditionalFormatting sqref="BD9:BD19">
    <cfRule type="expression" dxfId="26" priority="4">
      <formula>$BY9="N"</formula>
    </cfRule>
    <cfRule type="expression" dxfId="25" priority="5">
      <formula>$BY9="R"</formula>
    </cfRule>
    <cfRule type="expression" dxfId="24" priority="6">
      <formula>$BY9="A"</formula>
    </cfRule>
    <cfRule type="expression" dxfId="23" priority="7">
      <formula>$BY9="L"</formula>
    </cfRule>
    <cfRule type="expression" dxfId="22" priority="8">
      <formula>$BY9="V"</formula>
    </cfRule>
    <cfRule type="expression" dxfId="21" priority="9">
      <formula>$BY9="G"</formula>
    </cfRule>
  </conditionalFormatting>
  <conditionalFormatting sqref="BT9:BT19">
    <cfRule type="expression" dxfId="20" priority="63702">
      <formula>AND(ISNUMBER($BQ9),$BD9&lt;&gt;$BQ9)</formula>
    </cfRule>
  </conditionalFormatting>
  <conditionalFormatting sqref="D1">
    <cfRule type="expression" dxfId="19" priority="1">
      <formula>mensaje="TRANSFERENCIA CARGADA"</formula>
    </cfRule>
    <cfRule type="expression" dxfId="18" priority="2">
      <formula>mensaje&lt;&gt;""</formula>
    </cfRule>
  </conditionalFormatting>
  <conditionalFormatting sqref="R1:S1">
    <cfRule type="expression" dxfId="0" priority="64636">
      <formula>COUNTA($BR$9:$BR$19)=0</formula>
    </cfRule>
  </conditionalFormatting>
  <dataValidations count="9">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T9:BU19">
      <formula1>RangoCausas</formula1>
    </dataValidation>
    <dataValidation type="whole" allowBlank="1" showErrorMessage="1" promptTitle="Número de Embarques" sqref="BJ9:BN19">
      <formula1>0</formula1>
      <formula2>1000000</formula2>
    </dataValidation>
    <dataValidation type="whole" allowBlank="1" showErrorMessage="1" promptTitle="Número de Embarques" sqref="BI9:BI19">
      <formula1>1</formula1>
      <formula2>5</formula2>
    </dataValidation>
    <dataValidation allowBlank="1" showErrorMessage="1" promptTitle="Número de Embarques" sqref="BO9:BO19"/>
    <dataValidation type="list" allowBlank="1" showInputMessage="1" showErrorMessage="1" sqref="BW9:BW19">
      <formula1>"ACT,INA"</formula1>
    </dataValidation>
    <dataValidation type="custom" operator="greaterThan" allowBlank="1" showInputMessage="1" showErrorMessage="1" error="No puede ser menor a la fecha de inicio." sqref="BG9:BG19">
      <formula1>BG9&gt;=BF9</formula1>
    </dataValidation>
    <dataValidation type="custom" operator="greaterThanOrEqual" allowBlank="1" showInputMessage="1" showErrorMessage="1" error="No puede ser anterior a la fecha de creación de la transferencia ni menor a la fecha de finalización." sqref="BF9:BF19">
      <formula1>AND(BF9&gt;=FECHAORIGEN,BF9&lt;=BG9,ISNUMBER(BF9))</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96" r:id="rId4" name="cmdNombreDescriptivo">
          <controlPr defaultSize="0" autoLine="0" r:id="rId5">
            <anchor>
              <from>
                <xdr:col>1</xdr:col>
                <xdr:colOff>685800</xdr:colOff>
                <xdr:row>0</xdr:row>
                <xdr:rowOff>333375</xdr:rowOff>
              </from>
              <to>
                <xdr:col>1</xdr:col>
                <xdr:colOff>1200150</xdr:colOff>
                <xdr:row>0</xdr:row>
                <xdr:rowOff>600075</xdr:rowOff>
              </to>
            </anchor>
          </controlPr>
        </control>
      </mc:Choice>
      <mc:Fallback>
        <control shapeId="1096" r:id="rId4" name="cmdNombreDescriptivo"/>
      </mc:Fallback>
    </mc:AlternateContent>
    <mc:AlternateContent xmlns:mc="http://schemas.openxmlformats.org/markup-compatibility/2006">
      <mc:Choice Requires="x14">
        <control shapeId="1095" r:id="rId6" name="cmdDespacho">
          <controlPr defaultSize="0" autoLine="0" r:id="rId7">
            <anchor>
              <from>
                <xdr:col>2</xdr:col>
                <xdr:colOff>266700</xdr:colOff>
                <xdr:row>0</xdr:row>
                <xdr:rowOff>333375</xdr:rowOff>
              </from>
              <to>
                <xdr:col>2</xdr:col>
                <xdr:colOff>514350</xdr:colOff>
                <xdr:row>0</xdr:row>
                <xdr:rowOff>581025</xdr:rowOff>
              </to>
            </anchor>
          </controlPr>
        </control>
      </mc:Choice>
      <mc:Fallback>
        <control shapeId="1095" r:id="rId6" name="cmdDespacho"/>
      </mc:Fallback>
    </mc:AlternateContent>
    <mc:AlternateContent xmlns:mc="http://schemas.openxmlformats.org/markup-compatibility/2006">
      <mc:Choice Requires="x14">
        <control shapeId="1093" r:id="rId8" name="cmdEstatus">
          <controlPr defaultSize="0" autoLine="0" r:id="rId9">
            <anchor>
              <from>
                <xdr:col>2</xdr:col>
                <xdr:colOff>0</xdr:colOff>
                <xdr:row>0</xdr:row>
                <xdr:rowOff>333375</xdr:rowOff>
              </from>
              <to>
                <xdr:col>2</xdr:col>
                <xdr:colOff>257175</xdr:colOff>
                <xdr:row>0</xdr:row>
                <xdr:rowOff>581025</xdr:rowOff>
              </to>
            </anchor>
          </controlPr>
        </control>
      </mc:Choice>
      <mc:Fallback>
        <control shapeId="1093" r:id="rId8" name="cmdEstatus"/>
      </mc:Fallback>
    </mc:AlternateContent>
    <mc:AlternateContent xmlns:mc="http://schemas.openxmlformats.org/markup-compatibility/2006">
      <mc:Choice Requires="x14">
        <control shapeId="1090" r:id="rId10" name="cmdConsumoVer">
          <controlPr defaultSize="0" autoLine="0" r:id="rId11">
            <anchor>
              <from>
                <xdr:col>1</xdr:col>
                <xdr:colOff>2809875</xdr:colOff>
                <xdr:row>0</xdr:row>
                <xdr:rowOff>333375</xdr:rowOff>
              </from>
              <to>
                <xdr:col>1</xdr:col>
                <xdr:colOff>3067050</xdr:colOff>
                <xdr:row>0</xdr:row>
                <xdr:rowOff>581025</xdr:rowOff>
              </to>
            </anchor>
          </controlPr>
        </control>
      </mc:Choice>
      <mc:Fallback>
        <control shapeId="1090" r:id="rId10" name="cmdConsumoVer"/>
      </mc:Fallback>
    </mc:AlternateContent>
    <mc:AlternateContent xmlns:mc="http://schemas.openxmlformats.org/markup-compatibility/2006">
      <mc:Choice Requires="x14">
        <control shapeId="1088" r:id="rId12" name="cmdReq">
          <controlPr defaultSize="0" autoLine="0" r:id="rId13">
            <anchor>
              <from>
                <xdr:col>1</xdr:col>
                <xdr:colOff>2552700</xdr:colOff>
                <xdr:row>0</xdr:row>
                <xdr:rowOff>333375</xdr:rowOff>
              </from>
              <to>
                <xdr:col>1</xdr:col>
                <xdr:colOff>2800350</xdr:colOff>
                <xdr:row>0</xdr:row>
                <xdr:rowOff>581025</xdr:rowOff>
              </to>
            </anchor>
          </controlPr>
        </control>
      </mc:Choice>
      <mc:Fallback>
        <control shapeId="1088" r:id="rId12" name="cmdReq"/>
      </mc:Fallback>
    </mc:AlternateContent>
    <mc:AlternateContent xmlns:mc="http://schemas.openxmlformats.org/markup-compatibility/2006">
      <mc:Choice Requires="x14">
        <control shapeId="1087" r:id="rId14" name="cmdBuffer">
          <controlPr defaultSize="0" autoLine="0" r:id="rId15">
            <anchor>
              <from>
                <xdr:col>1</xdr:col>
                <xdr:colOff>2276475</xdr:colOff>
                <xdr:row>0</xdr:row>
                <xdr:rowOff>333375</xdr:rowOff>
              </from>
              <to>
                <xdr:col>1</xdr:col>
                <xdr:colOff>2533650</xdr:colOff>
                <xdr:row>0</xdr:row>
                <xdr:rowOff>581025</xdr:rowOff>
              </to>
            </anchor>
          </controlPr>
        </control>
      </mc:Choice>
      <mc:Fallback>
        <control shapeId="1087" r:id="rId14" name="cmdBuffer"/>
      </mc:Fallback>
    </mc:AlternateContent>
    <mc:AlternateContent xmlns:mc="http://schemas.openxmlformats.org/markup-compatibility/2006">
      <mc:Choice Requires="x14">
        <control shapeId="1082" r:id="rId16" name="cmdCambiarPropiedad">
          <controlPr defaultSize="0" autoLine="0" r:id="rId17">
            <anchor>
              <from>
                <xdr:col>1</xdr:col>
                <xdr:colOff>47625</xdr:colOff>
                <xdr:row>0</xdr:row>
                <xdr:rowOff>333375</xdr:rowOff>
              </from>
              <to>
                <xdr:col>1</xdr:col>
                <xdr:colOff>704850</xdr:colOff>
                <xdr:row>0</xdr:row>
                <xdr:rowOff>600075</xdr:rowOff>
              </to>
            </anchor>
          </controlPr>
        </control>
      </mc:Choice>
      <mc:Fallback>
        <control shapeId="1082" r:id="rId16" name="cmdCambiarPropiedad"/>
      </mc:Fallback>
    </mc:AlternateContent>
    <mc:AlternateContent xmlns:mc="http://schemas.openxmlformats.org/markup-compatibility/2006">
      <mc:Choice Requires="x14">
        <control shapeId="1074" r:id="rId18" name="cmdRefrescar">
          <controlPr defaultSize="0" print="0" autoLine="0" r:id="rId19">
            <anchor>
              <from>
                <xdr:col>0</xdr:col>
                <xdr:colOff>838200</xdr:colOff>
                <xdr:row>0</xdr:row>
                <xdr:rowOff>28575</xdr:rowOff>
              </from>
              <to>
                <xdr:col>0</xdr:col>
                <xdr:colOff>1095375</xdr:colOff>
                <xdr:row>0</xdr:row>
                <xdr:rowOff>295275</xdr:rowOff>
              </to>
            </anchor>
          </controlPr>
        </control>
      </mc:Choice>
      <mc:Fallback>
        <control shapeId="1074" r:id="rId18" name="cmdRefrescar"/>
      </mc:Fallback>
    </mc:AlternateContent>
    <mc:AlternateContent xmlns:mc="http://schemas.openxmlformats.org/markup-compatibility/2006">
      <mc:Choice Requires="x14">
        <control shapeId="1073" r:id="rId20" name="cmdVistas">
          <controlPr defaultSize="0" autoLine="0" r:id="rId21">
            <anchor>
              <from>
                <xdr:col>0</xdr:col>
                <xdr:colOff>533400</xdr:colOff>
                <xdr:row>0</xdr:row>
                <xdr:rowOff>28575</xdr:rowOff>
              </from>
              <to>
                <xdr:col>0</xdr:col>
                <xdr:colOff>828675</xdr:colOff>
                <xdr:row>0</xdr:row>
                <xdr:rowOff>295275</xdr:rowOff>
              </to>
            </anchor>
          </controlPr>
        </control>
      </mc:Choice>
      <mc:Fallback>
        <control shapeId="1073" r:id="rId20" name="cmdVistas"/>
      </mc:Fallback>
    </mc:AlternateContent>
    <mc:AlternateContent xmlns:mc="http://schemas.openxmlformats.org/markup-compatibility/2006">
      <mc:Choice Requires="x14">
        <control shapeId="1069" r:id="rId22" name="cmdQuitaFiltros">
          <controlPr defaultSize="0" autoLine="0" r:id="rId23">
            <anchor>
              <from>
                <xdr:col>1</xdr:col>
                <xdr:colOff>2276475</xdr:colOff>
                <xdr:row>0</xdr:row>
                <xdr:rowOff>28575</xdr:rowOff>
              </from>
              <to>
                <xdr:col>1</xdr:col>
                <xdr:colOff>2505075</xdr:colOff>
                <xdr:row>0</xdr:row>
                <xdr:rowOff>276225</xdr:rowOff>
              </to>
            </anchor>
          </controlPr>
        </control>
      </mc:Choice>
      <mc:Fallback>
        <control shapeId="1069" r:id="rId22" name="cmdQuitaFiltros"/>
      </mc:Fallback>
    </mc:AlternateContent>
    <mc:AlternateContent xmlns:mc="http://schemas.openxmlformats.org/markup-compatibility/2006">
      <mc:Choice Requires="x14">
        <control shapeId="1068" r:id="rId24" name="txtBusqueda">
          <controlPr defaultSize="0" autoLine="0" r:id="rId25">
            <anchor>
              <from>
                <xdr:col>1</xdr:col>
                <xdr:colOff>933450</xdr:colOff>
                <xdr:row>0</xdr:row>
                <xdr:rowOff>28575</xdr:rowOff>
              </from>
              <to>
                <xdr:col>1</xdr:col>
                <xdr:colOff>2276475</xdr:colOff>
                <xdr:row>0</xdr:row>
                <xdr:rowOff>314325</xdr:rowOff>
              </to>
            </anchor>
          </controlPr>
        </control>
      </mc:Choice>
      <mc:Fallback>
        <control shapeId="1068" r:id="rId24" name="txtBusqueda"/>
      </mc:Fallback>
    </mc:AlternateContent>
    <mc:AlternateContent xmlns:mc="http://schemas.openxmlformats.org/markup-compatibility/2006">
      <mc:Choice Requires="x14">
        <control shapeId="1031" r:id="rId26" name="cmdBuscaItem">
          <controlPr defaultSize="0" autoLine="0" r:id="rId27">
            <anchor>
              <from>
                <xdr:col>0</xdr:col>
                <xdr:colOff>0</xdr:colOff>
                <xdr:row>0</xdr:row>
                <xdr:rowOff>28575</xdr:rowOff>
              </from>
              <to>
                <xdr:col>0</xdr:col>
                <xdr:colOff>276225</xdr:colOff>
                <xdr:row>0</xdr:row>
                <xdr:rowOff>295275</xdr:rowOff>
              </to>
            </anchor>
          </controlPr>
        </control>
      </mc:Choice>
      <mc:Fallback>
        <control shapeId="1031" r:id="rId26" name="cmdBuscaItem"/>
      </mc:Fallback>
    </mc:AlternateContent>
    <mc:AlternateContent xmlns:mc="http://schemas.openxmlformats.org/markup-compatibility/2006">
      <mc:Choice Requires="x14">
        <control shapeId="1029" r:id="rId28" name="cmdLlenarTransfer">
          <controlPr defaultSize="0" autoLine="0" r:id="rId29">
            <anchor>
              <from>
                <xdr:col>6</xdr:col>
                <xdr:colOff>276225</xdr:colOff>
                <xdr:row>0</xdr:row>
                <xdr:rowOff>276225</xdr:rowOff>
              </from>
              <to>
                <xdr:col>6</xdr:col>
                <xdr:colOff>1181100</xdr:colOff>
                <xdr:row>0</xdr:row>
                <xdr:rowOff>542925</xdr:rowOff>
              </to>
            </anchor>
          </controlPr>
        </control>
      </mc:Choice>
      <mc:Fallback>
        <control shapeId="1029" r:id="rId28" name="cmdLlenarTransfer"/>
      </mc:Fallback>
    </mc:AlternateContent>
    <mc:AlternateContent xmlns:mc="http://schemas.openxmlformats.org/markup-compatibility/2006">
      <mc:Choice Requires="x14">
        <control shapeId="1026" r:id="rId30" name="cmdCancelar">
          <controlPr defaultSize="0" disabled="1" autoLine="0" r:id="rId31">
            <anchor>
              <from>
                <xdr:col>0</xdr:col>
                <xdr:colOff>695325</xdr:colOff>
                <xdr:row>0</xdr:row>
                <xdr:rowOff>333375</xdr:rowOff>
              </from>
              <to>
                <xdr:col>1</xdr:col>
                <xdr:colOff>47625</xdr:colOff>
                <xdr:row>0</xdr:row>
                <xdr:rowOff>600075</xdr:rowOff>
              </to>
            </anchor>
          </controlPr>
        </control>
      </mc:Choice>
      <mc:Fallback>
        <control shapeId="1026" r:id="rId30" name="cmdCancelar"/>
      </mc:Fallback>
    </mc:AlternateContent>
    <mc:AlternateContent xmlns:mc="http://schemas.openxmlformats.org/markup-compatibility/2006">
      <mc:Choice Requires="x14">
        <control shapeId="1025" r:id="rId32" name="cmdConfirmar">
          <controlPr defaultSize="0" disabled="1" autoLine="0" r:id="rId33">
            <anchor>
              <from>
                <xdr:col>0</xdr:col>
                <xdr:colOff>28575</xdr:colOff>
                <xdr:row>0</xdr:row>
                <xdr:rowOff>333375</xdr:rowOff>
              </from>
              <to>
                <xdr:col>0</xdr:col>
                <xdr:colOff>685800</xdr:colOff>
                <xdr:row>0</xdr:row>
                <xdr:rowOff>600075</xdr:rowOff>
              </to>
            </anchor>
          </controlPr>
        </control>
      </mc:Choice>
      <mc:Fallback>
        <control shapeId="1025" r:id="rId32" name="cmdConfirmar"/>
      </mc:Fallback>
    </mc:AlternateContent>
    <mc:AlternateContent xmlns:mc="http://schemas.openxmlformats.org/markup-compatibility/2006">
      <mc:Choice Requires="x14">
        <control shapeId="1028" r:id="rId34" name="cmdDarDeBaja">
          <controlPr defaultSize="0" autoLine="0" r:id="rId35">
            <anchor>
              <from>
                <xdr:col>0</xdr:col>
                <xdr:colOff>1123950</xdr:colOff>
                <xdr:row>0</xdr:row>
                <xdr:rowOff>28575</xdr:rowOff>
              </from>
              <to>
                <xdr:col>1</xdr:col>
                <xdr:colOff>219075</xdr:colOff>
                <xdr:row>0</xdr:row>
                <xdr:rowOff>295275</xdr:rowOff>
              </to>
            </anchor>
          </controlPr>
        </control>
      </mc:Choice>
      <mc:Fallback>
        <control shapeId="1028" r:id="rId34" name="cmdDarDeBaja"/>
      </mc:Fallback>
    </mc:AlternateContent>
    <mc:AlternateContent xmlns:mc="http://schemas.openxmlformats.org/markup-compatibility/2006">
      <mc:Choice Requires="x14">
        <control shapeId="1030" r:id="rId36" name="cmdLlenarTransferEspecial">
          <controlPr defaultSize="0" autoLine="0" r:id="rId37">
            <anchor>
              <from>
                <xdr:col>4</xdr:col>
                <xdr:colOff>1038225</xdr:colOff>
                <xdr:row>0</xdr:row>
                <xdr:rowOff>276225</xdr:rowOff>
              </from>
              <to>
                <xdr:col>6</xdr:col>
                <xdr:colOff>704850</xdr:colOff>
                <xdr:row>0</xdr:row>
                <xdr:rowOff>542925</xdr:rowOff>
              </to>
            </anchor>
          </controlPr>
        </control>
      </mc:Choice>
      <mc:Fallback>
        <control shapeId="1030" r:id="rId36" name="cmdLlenarTransferEspecial"/>
      </mc:Fallback>
    </mc:AlternateContent>
    <mc:AlternateContent xmlns:mc="http://schemas.openxmlformats.org/markup-compatibility/2006">
      <mc:Choice Requires="x14">
        <control shapeId="1037" r:id="rId38" name="cmdFechaArribo">
          <controlPr defaultSize="0" autoLine="0" r:id="rId39">
            <anchor moveWithCells="1">
              <from>
                <xdr:col>1</xdr:col>
                <xdr:colOff>2933700</xdr:colOff>
                <xdr:row>5</xdr:row>
                <xdr:rowOff>0</xdr:rowOff>
              </from>
              <to>
                <xdr:col>2</xdr:col>
                <xdr:colOff>19050</xdr:colOff>
                <xdr:row>5</xdr:row>
                <xdr:rowOff>209550</xdr:rowOff>
              </to>
            </anchor>
          </controlPr>
        </control>
      </mc:Choice>
      <mc:Fallback>
        <control shapeId="1037" r:id="rId38" name="cmdFechaArribo"/>
      </mc:Fallback>
    </mc:AlternateContent>
    <mc:AlternateContent xmlns:mc="http://schemas.openxmlformats.org/markup-compatibility/2006">
      <mc:Choice Requires="x14">
        <control shapeId="1038" r:id="rId40" name="cmdFechaCierre">
          <controlPr defaultSize="0" autoLine="0" r:id="rId41">
            <anchor moveWithCells="1">
              <from>
                <xdr:col>3</xdr:col>
                <xdr:colOff>1009650</xdr:colOff>
                <xdr:row>2</xdr:row>
                <xdr:rowOff>0</xdr:rowOff>
              </from>
              <to>
                <xdr:col>4</xdr:col>
                <xdr:colOff>28575</xdr:colOff>
                <xdr:row>3</xdr:row>
                <xdr:rowOff>19050</xdr:rowOff>
              </to>
            </anchor>
          </controlPr>
        </control>
      </mc:Choice>
      <mc:Fallback>
        <control shapeId="1038" r:id="rId40" name="cmdFechaCierre"/>
      </mc:Fallback>
    </mc:AlternateContent>
    <mc:AlternateContent xmlns:mc="http://schemas.openxmlformats.org/markup-compatibility/2006">
      <mc:Choice Requires="x14">
        <control shapeId="1039" r:id="rId42" name="cmdMRP">
          <controlPr defaultSize="0" autoLine="0" r:id="rId43">
            <anchor>
              <from>
                <xdr:col>1</xdr:col>
                <xdr:colOff>581025</xdr:colOff>
                <xdr:row>0</xdr:row>
                <xdr:rowOff>28575</xdr:rowOff>
              </from>
              <to>
                <xdr:col>1</xdr:col>
                <xdr:colOff>923925</xdr:colOff>
                <xdr:row>0</xdr:row>
                <xdr:rowOff>295275</xdr:rowOff>
              </to>
            </anchor>
          </controlPr>
        </control>
      </mc:Choice>
      <mc:Fallback>
        <control shapeId="1039" r:id="rId42" name="cmdMRP"/>
      </mc:Fallback>
    </mc:AlternateContent>
    <mc:AlternateContent xmlns:mc="http://schemas.openxmlformats.org/markup-compatibility/2006">
      <mc:Choice Requires="x14">
        <control shapeId="1067" r:id="rId44" name="cmdImprimir">
          <controlPr defaultSize="0" autoLine="0" r:id="rId45">
            <anchor>
              <from>
                <xdr:col>1</xdr:col>
                <xdr:colOff>219075</xdr:colOff>
                <xdr:row>0</xdr:row>
                <xdr:rowOff>28575</xdr:rowOff>
              </from>
              <to>
                <xdr:col>1</xdr:col>
                <xdr:colOff>590550</xdr:colOff>
                <xdr:row>0</xdr:row>
                <xdr:rowOff>295275</xdr:rowOff>
              </to>
            </anchor>
          </controlPr>
        </control>
      </mc:Choice>
      <mc:Fallback>
        <control shapeId="1067" r:id="rId44" name="cmdImprimir"/>
      </mc:Fallback>
    </mc:AlternateContent>
    <mc:AlternateContent xmlns:mc="http://schemas.openxmlformats.org/markup-compatibility/2006">
      <mc:Choice Requires="x14">
        <control shapeId="1070" r:id="rId46" name="cmdBorraRegistro">
          <controlPr defaultSize="0" autoLine="0" r:id="rId47">
            <anchor>
              <from>
                <xdr:col>2</xdr:col>
                <xdr:colOff>76200</xdr:colOff>
                <xdr:row>0</xdr:row>
                <xdr:rowOff>28575</xdr:rowOff>
              </from>
              <to>
                <xdr:col>2</xdr:col>
                <xdr:colOff>266700</xdr:colOff>
                <xdr:row>0</xdr:row>
                <xdr:rowOff>266700</xdr:rowOff>
              </to>
            </anchor>
          </controlPr>
        </control>
      </mc:Choice>
      <mc:Fallback>
        <control shapeId="1070" r:id="rId46" name="cmdBorraRegistro"/>
      </mc:Fallback>
    </mc:AlternateContent>
    <mc:AlternateContent xmlns:mc="http://schemas.openxmlformats.org/markup-compatibility/2006">
      <mc:Choice Requires="x14">
        <control shapeId="1071" r:id="rId48" name="cmdAscendente">
          <controlPr defaultSize="0" autoLine="0" r:id="rId49">
            <anchor>
              <from>
                <xdr:col>1</xdr:col>
                <xdr:colOff>2514600</xdr:colOff>
                <xdr:row>0</xdr:row>
                <xdr:rowOff>28575</xdr:rowOff>
              </from>
              <to>
                <xdr:col>1</xdr:col>
                <xdr:colOff>2686050</xdr:colOff>
                <xdr:row>0</xdr:row>
                <xdr:rowOff>266700</xdr:rowOff>
              </to>
            </anchor>
          </controlPr>
        </control>
      </mc:Choice>
      <mc:Fallback>
        <control shapeId="1071" r:id="rId48" name="cmdAscendente"/>
      </mc:Fallback>
    </mc:AlternateContent>
    <mc:AlternateContent xmlns:mc="http://schemas.openxmlformats.org/markup-compatibility/2006">
      <mc:Choice Requires="x14">
        <control shapeId="1072" r:id="rId50" name="cmdDescendente">
          <controlPr defaultSize="0" autoLine="0" r:id="rId51">
            <anchor>
              <from>
                <xdr:col>1</xdr:col>
                <xdr:colOff>2695575</xdr:colOff>
                <xdr:row>0</xdr:row>
                <xdr:rowOff>28575</xdr:rowOff>
              </from>
              <to>
                <xdr:col>1</xdr:col>
                <xdr:colOff>2867025</xdr:colOff>
                <xdr:row>0</xdr:row>
                <xdr:rowOff>266700</xdr:rowOff>
              </to>
            </anchor>
          </controlPr>
        </control>
      </mc:Choice>
      <mc:Fallback>
        <control shapeId="1072" r:id="rId50" name="cmdDescendente"/>
      </mc:Fallback>
    </mc:AlternateContent>
    <mc:AlternateContent xmlns:mc="http://schemas.openxmlformats.org/markup-compatibility/2006">
      <mc:Choice Requires="x14">
        <control shapeId="1077" r:id="rId52" name="cmdOrdenamientoMultiple">
          <controlPr defaultSize="0" autoLine="0" r:id="rId53">
            <anchor>
              <from>
                <xdr:col>1</xdr:col>
                <xdr:colOff>2886075</xdr:colOff>
                <xdr:row>0</xdr:row>
                <xdr:rowOff>28575</xdr:rowOff>
              </from>
              <to>
                <xdr:col>2</xdr:col>
                <xdr:colOff>66675</xdr:colOff>
                <xdr:row>0</xdr:row>
                <xdr:rowOff>266700</xdr:rowOff>
              </to>
            </anchor>
          </controlPr>
        </control>
      </mc:Choice>
      <mc:Fallback>
        <control shapeId="1077" r:id="rId52" name="cmdOrdenamientoMultiple"/>
      </mc:Fallback>
    </mc:AlternateContent>
    <mc:AlternateContent xmlns:mc="http://schemas.openxmlformats.org/markup-compatibility/2006">
      <mc:Choice Requires="x14">
        <control shapeId="1079" r:id="rId54" name="cmdAnadeRegistro">
          <controlPr defaultSize="0" autoLine="0" r:id="rId55">
            <anchor>
              <from>
                <xdr:col>2</xdr:col>
                <xdr:colOff>247650</xdr:colOff>
                <xdr:row>0</xdr:row>
                <xdr:rowOff>28575</xdr:rowOff>
              </from>
              <to>
                <xdr:col>2</xdr:col>
                <xdr:colOff>438150</xdr:colOff>
                <xdr:row>0</xdr:row>
                <xdr:rowOff>266700</xdr:rowOff>
              </to>
            </anchor>
          </controlPr>
        </control>
      </mc:Choice>
      <mc:Fallback>
        <control shapeId="1079" r:id="rId54" name="cmdAnadeRegistro"/>
      </mc:Fallback>
    </mc:AlternateContent>
  </controls>
  <tableParts count="1">
    <tablePart r:id="rId5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D4"/>
  <sheetViews>
    <sheetView topLeftCell="B1" workbookViewId="0">
      <selection activeCell="F1" sqref="F1"/>
    </sheetView>
  </sheetViews>
  <sheetFormatPr baseColWidth="10" defaultRowHeight="15" x14ac:dyDescent="0.25"/>
  <cols>
    <col min="1" max="1" width="43" customWidth="1"/>
  </cols>
  <sheetData>
    <row r="1" spans="1:4" x14ac:dyDescent="0.25">
      <c r="A1" t="s">
        <v>1654</v>
      </c>
      <c r="B1">
        <f>IF(COUNTBLANK(TABLATRANSFERENCIA[DE FECHA])&gt;0,1,0)</f>
        <v>0</v>
      </c>
      <c r="D1" t="str">
        <f>IF(error1,"Vacíos en fecha de inicio",IF(error2,"Error de Pedido Mínimo de Grupo",IF(error3,"Registros con código vacío","")))</f>
        <v/>
      </c>
    </row>
    <row r="2" spans="1:4" x14ac:dyDescent="0.25">
      <c r="A2" t="s">
        <v>1655</v>
      </c>
      <c r="B2">
        <f>IF(SUM(TABLATRANSFERENCIA[Error Pedid Min Grupo])&gt;0,1,0)</f>
        <v>0</v>
      </c>
    </row>
    <row r="3" spans="1:4" x14ac:dyDescent="0.25">
      <c r="A3" t="s">
        <v>1657</v>
      </c>
      <c r="B3">
        <f>IF(COUNTBLANK(TABLATRANSFERENCIA[CODIGO])&gt;0,1,0)</f>
        <v>0</v>
      </c>
    </row>
    <row r="4" spans="1:4" x14ac:dyDescent="0.25">
      <c r="A4" t="s">
        <v>1656</v>
      </c>
      <c r="B4">
        <f>IF(COUNTBLANK(TABLATRANSFERENCIA[A FECHA])&gt;0,1,0)</f>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X2"/>
  <sheetViews>
    <sheetView topLeftCell="BI1" workbookViewId="0">
      <selection activeCell="BX2" sqref="BX2"/>
    </sheetView>
  </sheetViews>
  <sheetFormatPr baseColWidth="10" defaultRowHeight="15" x14ac:dyDescent="0.25"/>
  <sheetData>
    <row r="1" spans="1:76" ht="60" x14ac:dyDescent="0.25">
      <c r="A1" s="60" t="s">
        <v>26</v>
      </c>
      <c r="B1" s="47" t="s">
        <v>851</v>
      </c>
      <c r="C1" s="47" t="s">
        <v>909</v>
      </c>
      <c r="D1" s="47" t="s">
        <v>1020</v>
      </c>
      <c r="E1" s="47" t="s">
        <v>892</v>
      </c>
      <c r="F1" s="47" t="s">
        <v>903</v>
      </c>
      <c r="G1" s="47" t="s">
        <v>891</v>
      </c>
      <c r="H1" s="47" t="s">
        <v>884</v>
      </c>
      <c r="I1" s="47" t="s">
        <v>885</v>
      </c>
      <c r="J1" s="47" t="s">
        <v>886</v>
      </c>
      <c r="K1" s="47" t="s">
        <v>887</v>
      </c>
      <c r="L1" s="47" t="s">
        <v>888</v>
      </c>
      <c r="M1" s="47" t="s">
        <v>889</v>
      </c>
      <c r="N1" s="47" t="s">
        <v>890</v>
      </c>
      <c r="O1" s="42" t="s">
        <v>1038</v>
      </c>
      <c r="P1" s="42" t="s">
        <v>18</v>
      </c>
      <c r="Q1" s="42" t="s">
        <v>19</v>
      </c>
      <c r="R1" s="42" t="s">
        <v>10</v>
      </c>
      <c r="S1" s="42" t="s">
        <v>980</v>
      </c>
      <c r="T1" s="42" t="s">
        <v>37</v>
      </c>
      <c r="U1" s="42" t="s">
        <v>38</v>
      </c>
      <c r="V1" s="42" t="s">
        <v>844</v>
      </c>
      <c r="W1" s="42" t="s">
        <v>908</v>
      </c>
      <c r="X1" s="42" t="s">
        <v>1027</v>
      </c>
      <c r="Y1" s="42" t="s">
        <v>1028</v>
      </c>
      <c r="Z1" s="44" t="s">
        <v>8</v>
      </c>
      <c r="AA1" s="44" t="s">
        <v>1148</v>
      </c>
      <c r="AB1" s="44" t="s">
        <v>904</v>
      </c>
      <c r="AC1" s="44" t="s">
        <v>9</v>
      </c>
      <c r="AD1" s="44" t="s">
        <v>977</v>
      </c>
      <c r="AE1" s="44" t="s">
        <v>907</v>
      </c>
      <c r="AF1" s="44" t="s">
        <v>916</v>
      </c>
      <c r="AG1" s="44" t="s">
        <v>917</v>
      </c>
      <c r="AH1" s="44" t="s">
        <v>918</v>
      </c>
      <c r="AI1" s="44" t="s">
        <v>905</v>
      </c>
      <c r="AJ1" s="44" t="s">
        <v>906</v>
      </c>
      <c r="AK1" s="44" t="s">
        <v>913</v>
      </c>
      <c r="AL1" s="44" t="s">
        <v>973</v>
      </c>
      <c r="AM1" s="44" t="s">
        <v>978</v>
      </c>
      <c r="AN1" s="44" t="s">
        <v>910</v>
      </c>
      <c r="AO1" s="44" t="s">
        <v>911</v>
      </c>
      <c r="AP1" s="44" t="s">
        <v>914</v>
      </c>
      <c r="AQ1" s="43" t="s">
        <v>912</v>
      </c>
      <c r="AR1" s="44" t="s">
        <v>974</v>
      </c>
      <c r="AS1" s="44" t="s">
        <v>975</v>
      </c>
      <c r="AT1" s="44" t="s">
        <v>976</v>
      </c>
      <c r="AU1" s="44" t="s">
        <v>979</v>
      </c>
      <c r="AV1" s="43" t="s">
        <v>1039</v>
      </c>
      <c r="AW1" s="43" t="s">
        <v>1040</v>
      </c>
      <c r="AX1" s="51" t="s">
        <v>1370</v>
      </c>
      <c r="AY1" s="51" t="s">
        <v>1371</v>
      </c>
      <c r="AZ1" s="51" t="s">
        <v>1372</v>
      </c>
      <c r="BA1" s="51" t="s">
        <v>1373</v>
      </c>
      <c r="BB1" s="51" t="s">
        <v>1374</v>
      </c>
      <c r="BC1" s="51" t="s">
        <v>1375</v>
      </c>
      <c r="BD1" s="43" t="s">
        <v>11</v>
      </c>
      <c r="BE1" s="43" t="s">
        <v>17</v>
      </c>
      <c r="BF1" s="57" t="s">
        <v>1044</v>
      </c>
      <c r="BG1" s="56" t="s">
        <v>1045</v>
      </c>
      <c r="BH1" s="56" t="s">
        <v>1046</v>
      </c>
      <c r="BI1" s="56" t="s">
        <v>1047</v>
      </c>
      <c r="BJ1" s="56" t="s">
        <v>1048</v>
      </c>
      <c r="BK1" s="56" t="s">
        <v>1049</v>
      </c>
      <c r="BL1" s="43" t="s">
        <v>1050</v>
      </c>
      <c r="BM1" s="44" t="s">
        <v>919</v>
      </c>
      <c r="BN1" s="43" t="s">
        <v>13</v>
      </c>
      <c r="BO1" s="43" t="s">
        <v>14</v>
      </c>
      <c r="BP1" s="39" t="s">
        <v>15</v>
      </c>
      <c r="BQ1" s="38" t="s">
        <v>20</v>
      </c>
      <c r="BR1" s="38" t="s">
        <v>21</v>
      </c>
      <c r="BS1" s="38" t="s">
        <v>22</v>
      </c>
      <c r="BT1" s="41" t="s">
        <v>915</v>
      </c>
      <c r="BU1" s="41" t="s">
        <v>1032</v>
      </c>
      <c r="BV1" s="41" t="s">
        <v>1033</v>
      </c>
      <c r="BW1" s="41" t="s">
        <v>1034</v>
      </c>
      <c r="BX1" s="41" t="s">
        <v>1663</v>
      </c>
    </row>
    <row r="2" spans="1:76" x14ac:dyDescent="0.25">
      <c r="A2" s="53" t="s">
        <v>1369</v>
      </c>
      <c r="B2" s="58"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5" t="str">
        <f ca="1">IFERROR(INDEX(OFFSET(INDIRECT("v_buffer_hist_hoy!$A$1"),1,MATCH("buh_roi_pasado",INDIRECT("v_buffer_hist_hoy!$1:$1"),0)-1,100000,1),MATCH(CLEAN(TABLATRANSFERENCIA[[#This Row],[CODIGO]]),OFFSET(INDIRECT("v_buffer_hist_hoy!$A$1"),1,MATCH("buh_codigo",INDIRECT("v_buffer_hist_hoy!$1:$1"),0)-1,100000,1),0)),"")</f>
        <v/>
      </c>
      <c r="S2" s="45" t="str">
        <f ca="1">IFERROR(INDEX(OFFSET(INDIRECT("v_buffer_hist_hoy!$A$1"),1,MATCH("buh_roi_proyectado",INDIRECT("v_buffer_hist_hoy!$1:$1"),0)-1,100000,1),MATCH(CLEAN(TABLATRANSFERENCIA[[#This Row],[CODIGO]]),OFFSET(INDIRECT("v_buffer_hist_hoy!$A$1"),1,MATCH("buh_codigo",INDIRECT("v_buffer_hist_hoy!$1:$1"),0)-1,100000,1),0)),"")</f>
        <v/>
      </c>
      <c r="T2" s="45" t="str">
        <f ca="1">IFERROR(INDEX(OFFSET(INDIRECT("v_buffer_hist_hoy!$A$1"),1,MATCH("buh_velocity",INDIRECT("v_buffer_hist_hoy!$1:$1"),0)-1,100000,1),MATCH(CLEAN(TABLATRANSFERENCIA[[#This Row],[CODIGO]]),OFFSET(INDIRECT("v_buffer_hist_hoy!$A$1"),1,MATCH("buh_codigo",INDIRECT("v_buffer_hist_hoy!$1:$1"),0)-1,100000,1),0)),"")</f>
        <v/>
      </c>
      <c r="U2" s="45" t="str">
        <f ca="1">IFERROR(INDEX(OFFSET(INDIRECT("v_buffer_hist_hoy!$A$1"),1,MATCH("buh_nivel_servicio",INDIRECT("v_buffer_hist_hoy!$1:$1"),0)-1,100000,1),MATCH(CLEAN(TABLATRANSFERENCIA[[#This Row],[CODIGO]]),OFFSET(INDIRECT("v_buffer_hist_hoy!$A$1"),1,MATCH("buh_codigo",INDIRECT("v_buffer_hist_hoy!$1:$1"),0)-1,100000,1),0)),"")</f>
        <v/>
      </c>
      <c r="V2" s="48" t="str">
        <f ca="1">IFERROR(INDEX(OFFSET(INDIRECT("v_buffer_hist_hoy!$A$1"),1,MATCH("pro_nombre",INDIRECT("v_buffer_hist_hoy!$1:$1"),0)-1,100000,1),MATCH(CLEAN(TABLATRANSFERENCIA[[#This Row],[CODIGO]]),OFFSET(INDIRECT("v_buffer_hist_hoy!$A$1"),1,MATCH("buh_codigo",INDIRECT("v_buffer_hist_hoy!$1:$1"),0)-1,100000,1),0)),"")</f>
        <v/>
      </c>
      <c r="W2" s="48" t="str">
        <f ca="1">IFERROR(INDEX(OFFSET(INDIRECT("v_buffer_hist_hoy!$A$1"),1,MATCH("pre_nombre",INDIRECT("v_buffer_hist_hoy!$1:$1"),0)-1,100000,1),MATCH(CLEAN(TABLATRANSFERENCIA[[#This Row],[CODIGO]]),OFFSET(INDIRECT("v_buffer_hist_hoy!$A$1"),1,MATCH("buh_codigo",INDIRECT("v_buffer_hist_hoy!$1:$1"),0)-1,100000,1),0)),"")</f>
        <v/>
      </c>
      <c r="X2" s="50" t="str">
        <f ca="1">IFERROR(INDEX(OFFSET(INDIRECT("v_buffer_hist_hoy!$A$1"),1,MATCH("buh_tiempo_suministro",INDIRECT("v_buffer_hist_hoy!$1:$1"),0)-1,100000,1),MATCH(CLEAN(TABLATRANSFERENCIA[[#This Row],[CODIGO]]),OFFSET(INDIRECT("v_buffer_hist_hoy!$A$1"),1,MATCH("buh_codigo",INDIRECT("v_buffer_hist_hoy!$1:$1"),0)-1,100000,1),0)),"")</f>
        <v/>
      </c>
      <c r="Y2" s="50" t="str">
        <f ca="1">IFERROR(INDEX(OFFSET(INDIRECT("v_buffer_hist_hoy!$A$1"),1,MATCH("buh_frecuencia_reposicion",INDIRECT("v_buffer_hist_hoy!$1:$1"),0)-1,100000,1),MATCH(CLEAN(TABLATRANSFERENCIA[[#This Row],[CODIGO]]),OFFSET(INDIRECT("v_buffer_hist_hoy!$A$1"),1,MATCH("buh_codigo",INDIRECT("v_buffer_hist_hoy!$1:$1"),0)-1,100000,1),0)),"")</f>
        <v/>
      </c>
      <c r="Z2" s="50" t="str">
        <f ca="1">IFERROR(INDEX(OFFSET(INDIRECT("v_buffer_hist_hoy!$A$1"),1,MATCH("buh_buffer_actual",INDIRECT("v_buffer_hist_hoy!$1:$1"),0)-1,100000,1),MATCH(CLEAN(TABLATRANSFERENCIA[[#This Row],[CODIGO]]),OFFSET(INDIRECT("v_buffer_hist_hoy!$A$1"),1,MATCH("buh_codigo",INDIRECT("v_buffer_hist_hoy!$1:$1"),0)-1,100000,1),0)),"")</f>
        <v/>
      </c>
      <c r="AA2" s="50"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5" t="str">
        <f ca="1">IFERROR(INDEX(OFFSET(INDIRECT("v_buffer_hist_hoy!$A$1"),1,MATCH("buh_ultima_transferencia_ini",INDIRECT("v_buffer_hist_hoy!$1:$1"),0)-1,100000,1),MATCH(CLEAN(TABLATRANSFERENCIA[[#This Row],[CODIGO]]),OFFSET(INDIRECT("v_buffer_hist_hoy!$A$1"),1,MATCH("buh_codigo",INDIRECT("v_buffer_hist_hoy!$1:$1"),0)-1,100000,1),0)),"")</f>
        <v/>
      </c>
      <c r="AW2" s="55"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49">
        <v>3</v>
      </c>
      <c r="BE2" s="54">
        <v>3</v>
      </c>
      <c r="BF2" s="50"/>
      <c r="BG2" s="50">
        <f>IF(RIGHT(XXYY[[#Headers],[Emb1]],1)*1&lt;=XXYY[[#This Row],[EMBARQUES]],IF(ISBLANK(XXYY[[#This Row],[EMBARQUES]]),XXYY[[#This Row],[REQUERIM]],ROUND(XXYY[[#This Row],[REQUERIM]]/XXYY[[#This Row],[EMBARQUES]],0)),XXYY[[#This Row],[REQUERIM]])</f>
        <v>3</v>
      </c>
      <c r="BH2" s="50">
        <f>IF(RIGHT(XXYY[[#Headers],[Emb2]],1)*1&lt;XXYY[[#This Row],[EMBARQUES]],ROUND(XXYY[[#This Row],[REQUERIM]]/XXYY[[#This Row],[EMBARQUES]],0),IF(RIGHT(XXYY[[#Headers],[Emb2]],1)*1=XXYY[[#This Row],[EMBARQUES]],XXYY[[#This Row],[REQUERIM]]-SUM(XXYY[[#This Row],[Emb1]]),0))</f>
        <v>0</v>
      </c>
      <c r="BI2" s="50">
        <f>IF(RIGHT(XXYY[[#Headers],[Emb3]],1)*1&lt;XXYY[[#This Row],[EMBARQUES]],ROUND(XXYY[[#This Row],[REQUERIM]]/XXYY[[#This Row],[EMBARQUES]],0),IF(RIGHT(XXYY[[#Headers],[Emb3]],1)*1=XXYY[[#This Row],[EMBARQUES]],XXYY[[#This Row],[REQUERIM]]-SUM(XXYY[[#This Row],[Emb1]:[Emb2]]),0))</f>
        <v>0</v>
      </c>
      <c r="BJ2" s="50">
        <f>IF(RIGHT(XXYY[[#Headers],[Emb4]],1)*1&lt;XXYY[[#This Row],[EMBARQUES]],ROUND(XXYY[[#This Row],[REQUERIM]]/XXYY[[#This Row],[EMBARQUES]],0),IF(RIGHT(XXYY[[#Headers],[Emb4]],1)*1=XXYY[[#This Row],[EMBARQUES]],XXYY[[#This Row],[REQUERIM]]-SUM(XXYY[[#This Row],[Emb1]:[Emb3]]),0))</f>
        <v>0</v>
      </c>
      <c r="BK2" s="50">
        <f>IF(RIGHT(XXYY[[#Headers],[Emb5]],1)*1&lt;XXYY[[#This Row],[EMBARQUES]],ROUND(XXYY[[#This Row],[REQUERIM]]/XXYY[[#This Row],[EMBARQUES]],0),IF(RIGHT(XXYY[[#Headers],[Emb5]],1)*1=XXYY[[#This Row],[EMBARQUES]],XXYY[[#This Row],[REQUERIM]]-SUM(XXYY[[#This Row],[Emb1]:[Emb4]]),0))</f>
        <v>0</v>
      </c>
      <c r="BL2" s="50"/>
      <c r="BM2" s="45">
        <f ca="1">IFERROR(XXYY[[#This Row],[REQUERIM]]/XXYY[[#This Row],[PEDIDO PROMEDIO]],0)</f>
        <v>0</v>
      </c>
      <c r="BN2" s="50"/>
      <c r="BO2" s="59"/>
      <c r="BP2" s="3">
        <f>IF(XXYY[[#This Row],[RECIBIDO]]&lt;&gt;"",0,IF(XXYY[[#This Row],[DESPACHO]]&lt;&gt;"",XXYY[[#This Row],[DESPACHO]],XXYY[[#This Row],[REQUERIM]]))</f>
        <v>3</v>
      </c>
      <c r="BQ2" s="49"/>
      <c r="BR2" s="49"/>
      <c r="BS2" s="49" t="str">
        <f>"N"</f>
        <v>N</v>
      </c>
      <c r="BT2" s="50">
        <f t="array" aca="1" ref="BT2" ca="1">IF(SUM(--(XXYY[[#This Row],[CODIGO GENERICO]]=XXYY[CODIGO GENERICO])*XXYY[REQUERIM])&lt;XXYY[[#This Row],[PEDIDO MIN GRUPO]],1,0)</f>
        <v>1</v>
      </c>
      <c r="BU2" s="50"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50" t="str">
        <f ca="1">IFERROR(INDEX(OFFSET(INDIRECT("v_buffer_hist_hoy!$A$1"),1,MATCH("buh_zona_amarilla",INDIRECT("v_buffer_hist_hoy!$1:$1"),0)-1,100000,1),MATCH(CLEAN(TABLATRANSFERENCIA[[#This Row],[CODIGO]]),OFFSET(INDIRECT("v_buffer_hist_hoy!$A$1"),1,MATCH("buh_codigo",INDIRECT("v_buffer_hist_hoy!$1:$1"),0)-1,100000,1),0)),"")</f>
        <v/>
      </c>
      <c r="BW2" s="50" t="str">
        <f ca="1">IFERROR(INDEX(OFFSET(INDIRECT("v_buffer_hist_hoy!$A$1"),1,MATCH("buh_zona_roja",INDIRECT("v_buffer_hist_hoy!$1:$1"),0)-1,100000,1),MATCH(CLEAN(TABLATRANSFERENCIA[[#This Row],[CODIGO]]),OFFSET(INDIRECT("v_buffer_hist_hoy!$A$1"),1,MATCH("buh_codigo",INDIRECT("v_buffer_hist_hoy!$1:$1"),0)-1,100000,1),0)),"")</f>
        <v/>
      </c>
      <c r="BX2" s="50" t="str">
        <f ca="1">IFERROR(INDEX(OFFSET(INDIRECT("v_buffer_hist_hoy!$A$1"),1,MATCH("buh_pedido_calculado",INDIRECT("v_buffer_hist_hoy!$1:$1"),0)-1,100000,1),MATCH(CLEAN(TABLATRANSFERENCIA[[#This Row],[CODIGO]]),OFFSET(INDIRECT("v_buffer_hist_hoy!$A$1"),1,MATCH("buh_codigo",INDIRECT("v_buffer_hist_hoy!$1:$1"),0)-1,100000,1),0)),"")</f>
        <v/>
      </c>
    </row>
  </sheetData>
  <conditionalFormatting sqref="BN2:BO2">
    <cfRule type="expression" dxfId="17" priority="15">
      <formula>ISBLANK(BN2)</formula>
    </cfRule>
  </conditionalFormatting>
  <conditionalFormatting sqref="AK2 AB2">
    <cfRule type="expression" dxfId="16" priority="9">
      <formula>AD2="G"</formula>
    </cfRule>
    <cfRule type="expression" dxfId="15" priority="10">
      <formula>AD2="L"</formula>
    </cfRule>
    <cfRule type="expression" dxfId="14" priority="11">
      <formula>AD2="V"</formula>
    </cfRule>
    <cfRule type="expression" dxfId="13" priority="12">
      <formula>AD2="A"</formula>
    </cfRule>
    <cfRule type="expression" dxfId="12" priority="13">
      <formula>AD2="N"</formula>
    </cfRule>
    <cfRule type="expression" dxfId="11" priority="14">
      <formula>AD2="R"</formula>
    </cfRule>
  </conditionalFormatting>
  <conditionalFormatting sqref="BR2">
    <cfRule type="expression" dxfId="10" priority="16">
      <formula>AND(ISNUMBER($BO2),$BN2&lt;&gt;$BO2)</formula>
    </cfRule>
  </conditionalFormatting>
  <conditionalFormatting sqref="AO2">
    <cfRule type="expression" dxfId="9" priority="8">
      <formula>$BT2=1</formula>
    </cfRule>
  </conditionalFormatting>
  <conditionalFormatting sqref="BD2">
    <cfRule type="expression" dxfId="8" priority="2">
      <formula>$BU2="N"</formula>
    </cfRule>
    <cfRule type="expression" dxfId="7" priority="3">
      <formula>$BU2="R"</formula>
    </cfRule>
    <cfRule type="expression" dxfId="6" priority="4">
      <formula>$BU2="A"</formula>
    </cfRule>
    <cfRule type="expression" dxfId="5" priority="5">
      <formula>$BU2="L"</formula>
    </cfRule>
    <cfRule type="expression" dxfId="4" priority="6">
      <formula>$BU2="V"</formula>
    </cfRule>
    <cfRule type="expression" dxfId="3" priority="7">
      <formula>$BU2="G"</formula>
    </cfRule>
  </conditionalFormatting>
  <conditionalFormatting sqref="BQ2">
    <cfRule type="expression" dxfId="2" priority="17">
      <formula>AND(ISNUMBER($BN2),$BD2&lt;&gt;$BN2)</formula>
    </cfRule>
  </conditionalFormatting>
  <conditionalFormatting sqref="AV2">
    <cfRule type="expression" dxfId="1"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5"/>
  <sheetViews>
    <sheetView workbookViewId="0">
      <selection activeCell="A5" sqref="A5"/>
    </sheetView>
  </sheetViews>
  <sheetFormatPr baseColWidth="10" defaultRowHeight="15" x14ac:dyDescent="0.25"/>
  <sheetData>
    <row r="1" spans="1:1" x14ac:dyDescent="0.25">
      <c r="A1" t="s">
        <v>1557</v>
      </c>
    </row>
    <row r="3" spans="1:1" x14ac:dyDescent="0.25">
      <c r="A3">
        <v>-1</v>
      </c>
    </row>
    <row r="5" spans="1:1" x14ac:dyDescent="0.25">
      <c r="A5" t="s">
        <v>1667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881</v>
      </c>
      <c r="Q1" t="s">
        <v>969</v>
      </c>
      <c r="R1" t="s">
        <v>970</v>
      </c>
      <c r="T1" t="s">
        <v>969</v>
      </c>
      <c r="U1" t="s">
        <v>970</v>
      </c>
      <c r="V1" t="s">
        <v>971</v>
      </c>
      <c r="W1" t="s">
        <v>972</v>
      </c>
    </row>
    <row r="2" spans="1:23" x14ac:dyDescent="0.25">
      <c r="E2" s="3"/>
      <c r="L2" s="40"/>
      <c r="M2" s="40"/>
      <c r="N2" s="40"/>
      <c r="Q2" t="s">
        <v>1024</v>
      </c>
      <c r="R2" t="s">
        <v>1147</v>
      </c>
      <c r="T2" t="s">
        <v>1024</v>
      </c>
      <c r="U2" t="s">
        <v>1147</v>
      </c>
      <c r="V2" t="s">
        <v>1151</v>
      </c>
      <c r="W2" t="s">
        <v>1152</v>
      </c>
    </row>
    <row r="3" spans="1:23" x14ac:dyDescent="0.25">
      <c r="Q3" t="s">
        <v>1149</v>
      </c>
      <c r="R3" t="s">
        <v>1150</v>
      </c>
      <c r="T3" t="s">
        <v>1024</v>
      </c>
      <c r="U3" t="s">
        <v>1147</v>
      </c>
      <c r="V3" t="s">
        <v>1153</v>
      </c>
      <c r="W3" t="s">
        <v>1154</v>
      </c>
    </row>
    <row r="4" spans="1:23" x14ac:dyDescent="0.25">
      <c r="T4" t="s">
        <v>1024</v>
      </c>
      <c r="U4" t="s">
        <v>1147</v>
      </c>
      <c r="V4" t="s">
        <v>1155</v>
      </c>
      <c r="W4" t="s">
        <v>1156</v>
      </c>
    </row>
    <row r="5" spans="1:23" x14ac:dyDescent="0.25">
      <c r="T5" t="s">
        <v>1024</v>
      </c>
      <c r="U5" t="s">
        <v>1147</v>
      </c>
      <c r="V5" t="s">
        <v>1157</v>
      </c>
      <c r="W5" t="s">
        <v>1158</v>
      </c>
    </row>
    <row r="6" spans="1:23" x14ac:dyDescent="0.25">
      <c r="T6" t="s">
        <v>1024</v>
      </c>
      <c r="U6" t="s">
        <v>1147</v>
      </c>
      <c r="V6" t="s">
        <v>1159</v>
      </c>
      <c r="W6" t="s">
        <v>1160</v>
      </c>
    </row>
    <row r="7" spans="1:23" x14ac:dyDescent="0.25">
      <c r="T7" t="s">
        <v>1024</v>
      </c>
      <c r="U7" t="s">
        <v>1147</v>
      </c>
      <c r="V7" t="s">
        <v>1161</v>
      </c>
      <c r="W7" t="s">
        <v>1162</v>
      </c>
    </row>
    <row r="8" spans="1:23" x14ac:dyDescent="0.25">
      <c r="D8" s="40"/>
      <c r="T8" t="s">
        <v>1024</v>
      </c>
      <c r="U8" t="s">
        <v>1147</v>
      </c>
      <c r="V8" t="s">
        <v>1163</v>
      </c>
      <c r="W8" t="s">
        <v>1164</v>
      </c>
    </row>
    <row r="9" spans="1:23" x14ac:dyDescent="0.25">
      <c r="T9" t="s">
        <v>1024</v>
      </c>
      <c r="U9" t="s">
        <v>1147</v>
      </c>
      <c r="V9" t="s">
        <v>1165</v>
      </c>
      <c r="W9" t="s">
        <v>1166</v>
      </c>
    </row>
    <row r="10" spans="1:23" x14ac:dyDescent="0.25">
      <c r="T10" t="s">
        <v>1024</v>
      </c>
      <c r="U10" t="s">
        <v>1147</v>
      </c>
      <c r="V10" t="s">
        <v>1167</v>
      </c>
      <c r="W10" t="s">
        <v>1168</v>
      </c>
    </row>
    <row r="11" spans="1:23" x14ac:dyDescent="0.25">
      <c r="T11" t="s">
        <v>1024</v>
      </c>
      <c r="U11" t="s">
        <v>1147</v>
      </c>
      <c r="V11" t="s">
        <v>1169</v>
      </c>
      <c r="W11" t="s">
        <v>1170</v>
      </c>
    </row>
    <row r="12" spans="1:23" x14ac:dyDescent="0.25">
      <c r="T12" t="s">
        <v>1024</v>
      </c>
      <c r="U12" t="s">
        <v>1147</v>
      </c>
      <c r="V12" t="s">
        <v>1171</v>
      </c>
      <c r="W12" t="s">
        <v>1172</v>
      </c>
    </row>
    <row r="13" spans="1:23" x14ac:dyDescent="0.25">
      <c r="T13" t="s">
        <v>1024</v>
      </c>
      <c r="U13" t="s">
        <v>1147</v>
      </c>
      <c r="V13" t="s">
        <v>1173</v>
      </c>
      <c r="W13" t="s">
        <v>1174</v>
      </c>
    </row>
    <row r="14" spans="1:23" x14ac:dyDescent="0.25">
      <c r="T14" t="s">
        <v>1024</v>
      </c>
      <c r="U14" t="s">
        <v>1147</v>
      </c>
      <c r="V14" t="s">
        <v>1175</v>
      </c>
      <c r="W14" t="s">
        <v>1176</v>
      </c>
    </row>
    <row r="15" spans="1:23" x14ac:dyDescent="0.25">
      <c r="T15" t="s">
        <v>1024</v>
      </c>
      <c r="U15" t="s">
        <v>1147</v>
      </c>
      <c r="V15" t="s">
        <v>1177</v>
      </c>
      <c r="W15" t="s">
        <v>1178</v>
      </c>
    </row>
    <row r="16" spans="1:23" x14ac:dyDescent="0.25">
      <c r="T16" t="s">
        <v>1024</v>
      </c>
      <c r="U16" t="s">
        <v>1147</v>
      </c>
      <c r="V16" t="s">
        <v>1179</v>
      </c>
      <c r="W16" t="s">
        <v>1180</v>
      </c>
    </row>
    <row r="17" spans="6:23" x14ac:dyDescent="0.25">
      <c r="T17" t="s">
        <v>1024</v>
      </c>
      <c r="U17" t="s">
        <v>1147</v>
      </c>
      <c r="V17" t="s">
        <v>1181</v>
      </c>
      <c r="W17" t="s">
        <v>1182</v>
      </c>
    </row>
    <row r="18" spans="6:23" x14ac:dyDescent="0.25">
      <c r="T18" t="s">
        <v>1024</v>
      </c>
      <c r="U18" t="s">
        <v>1147</v>
      </c>
      <c r="V18" t="s">
        <v>1183</v>
      </c>
      <c r="W18" t="s">
        <v>1184</v>
      </c>
    </row>
    <row r="19" spans="6:23" x14ac:dyDescent="0.25">
      <c r="T19" t="s">
        <v>1024</v>
      </c>
      <c r="U19" t="s">
        <v>1147</v>
      </c>
      <c r="V19" t="s">
        <v>1185</v>
      </c>
      <c r="W19" t="s">
        <v>1186</v>
      </c>
    </row>
    <row r="20" spans="6:23" x14ac:dyDescent="0.25">
      <c r="T20" t="s">
        <v>1024</v>
      </c>
      <c r="U20" t="s">
        <v>1147</v>
      </c>
      <c r="V20" t="s">
        <v>1187</v>
      </c>
      <c r="W20" t="s">
        <v>1188</v>
      </c>
    </row>
    <row r="21" spans="6:23" x14ac:dyDescent="0.25">
      <c r="T21" t="s">
        <v>1024</v>
      </c>
      <c r="U21" t="s">
        <v>1147</v>
      </c>
      <c r="V21" t="s">
        <v>1189</v>
      </c>
      <c r="W21" t="s">
        <v>1190</v>
      </c>
    </row>
    <row r="22" spans="6:23" x14ac:dyDescent="0.25">
      <c r="T22" t="s">
        <v>1024</v>
      </c>
      <c r="U22" t="s">
        <v>1147</v>
      </c>
      <c r="V22" t="s">
        <v>1191</v>
      </c>
      <c r="W22" t="s">
        <v>1192</v>
      </c>
    </row>
    <row r="23" spans="6:23" x14ac:dyDescent="0.25">
      <c r="T23" t="s">
        <v>1024</v>
      </c>
      <c r="U23" t="s">
        <v>1147</v>
      </c>
      <c r="V23" t="s">
        <v>1193</v>
      </c>
      <c r="W23" t="s">
        <v>1194</v>
      </c>
    </row>
    <row r="24" spans="6:23" x14ac:dyDescent="0.25">
      <c r="T24" t="s">
        <v>1024</v>
      </c>
      <c r="U24" t="s">
        <v>1147</v>
      </c>
      <c r="V24" t="s">
        <v>1195</v>
      </c>
      <c r="W24" t="s">
        <v>1196</v>
      </c>
    </row>
    <row r="25" spans="6:23" x14ac:dyDescent="0.25">
      <c r="F25" s="40"/>
      <c r="T25" t="s">
        <v>1024</v>
      </c>
      <c r="U25" t="s">
        <v>1147</v>
      </c>
      <c r="V25" t="s">
        <v>1197</v>
      </c>
      <c r="W25" t="s">
        <v>1198</v>
      </c>
    </row>
    <row r="26" spans="6:23" x14ac:dyDescent="0.25">
      <c r="T26" t="s">
        <v>1024</v>
      </c>
      <c r="U26" t="s">
        <v>1147</v>
      </c>
      <c r="V26" t="s">
        <v>1199</v>
      </c>
      <c r="W26" t="s">
        <v>1200</v>
      </c>
    </row>
    <row r="27" spans="6:23" x14ac:dyDescent="0.25">
      <c r="T27" t="s">
        <v>1024</v>
      </c>
      <c r="U27" t="s">
        <v>1147</v>
      </c>
      <c r="V27" t="s">
        <v>1201</v>
      </c>
      <c r="W27" t="s">
        <v>1202</v>
      </c>
    </row>
    <row r="28" spans="6:23" x14ac:dyDescent="0.25">
      <c r="T28" t="s">
        <v>1024</v>
      </c>
      <c r="U28" t="s">
        <v>1147</v>
      </c>
      <c r="V28" t="s">
        <v>1203</v>
      </c>
      <c r="W28" t="s">
        <v>1204</v>
      </c>
    </row>
    <row r="29" spans="6:23" x14ac:dyDescent="0.25">
      <c r="T29" t="s">
        <v>1024</v>
      </c>
      <c r="U29" t="s">
        <v>1147</v>
      </c>
      <c r="V29" t="s">
        <v>1205</v>
      </c>
      <c r="W29" t="s">
        <v>612</v>
      </c>
    </row>
    <row r="30" spans="6:23" x14ac:dyDescent="0.25">
      <c r="T30" t="s">
        <v>1024</v>
      </c>
      <c r="U30" t="s">
        <v>1147</v>
      </c>
      <c r="V30" t="s">
        <v>1206</v>
      </c>
      <c r="W30" t="s">
        <v>1207</v>
      </c>
    </row>
    <row r="31" spans="6:23" x14ac:dyDescent="0.25">
      <c r="T31" t="s">
        <v>1024</v>
      </c>
      <c r="U31" t="s">
        <v>1147</v>
      </c>
      <c r="V31" t="s">
        <v>1208</v>
      </c>
      <c r="W31" t="s">
        <v>1209</v>
      </c>
    </row>
    <row r="32" spans="6:23" x14ac:dyDescent="0.25">
      <c r="T32" t="s">
        <v>1024</v>
      </c>
      <c r="U32" t="s">
        <v>1147</v>
      </c>
      <c r="V32" t="s">
        <v>1210</v>
      </c>
      <c r="W32" t="s">
        <v>1211</v>
      </c>
    </row>
    <row r="33" spans="20:23" x14ac:dyDescent="0.25">
      <c r="T33" t="s">
        <v>1024</v>
      </c>
      <c r="U33" t="s">
        <v>1147</v>
      </c>
      <c r="V33" t="s">
        <v>1212</v>
      </c>
      <c r="W33" t="s">
        <v>1213</v>
      </c>
    </row>
    <row r="34" spans="20:23" x14ac:dyDescent="0.25">
      <c r="T34" t="s">
        <v>1024</v>
      </c>
      <c r="U34" t="s">
        <v>1147</v>
      </c>
      <c r="V34" t="s">
        <v>1214</v>
      </c>
      <c r="W34" t="s">
        <v>1215</v>
      </c>
    </row>
    <row r="35" spans="20:23" x14ac:dyDescent="0.25">
      <c r="T35" t="s">
        <v>1024</v>
      </c>
      <c r="U35" t="s">
        <v>1147</v>
      </c>
      <c r="V35" t="s">
        <v>1216</v>
      </c>
      <c r="W35" t="s">
        <v>1217</v>
      </c>
    </row>
    <row r="36" spans="20:23" x14ac:dyDescent="0.25">
      <c r="T36" t="s">
        <v>1024</v>
      </c>
      <c r="U36" t="s">
        <v>1147</v>
      </c>
      <c r="V36" t="s">
        <v>1218</v>
      </c>
      <c r="W36" t="s">
        <v>1219</v>
      </c>
    </row>
    <row r="37" spans="20:23" x14ac:dyDescent="0.25">
      <c r="T37" t="s">
        <v>1024</v>
      </c>
      <c r="U37" t="s">
        <v>1147</v>
      </c>
      <c r="V37" t="s">
        <v>1220</v>
      </c>
      <c r="W37" t="s">
        <v>1221</v>
      </c>
    </row>
    <row r="38" spans="20:23" x14ac:dyDescent="0.25">
      <c r="T38" t="s">
        <v>1024</v>
      </c>
      <c r="U38" t="s">
        <v>1147</v>
      </c>
      <c r="V38" t="s">
        <v>1222</v>
      </c>
      <c r="W38" t="s">
        <v>1223</v>
      </c>
    </row>
    <row r="39" spans="20:23" x14ac:dyDescent="0.25">
      <c r="T39" t="s">
        <v>1024</v>
      </c>
      <c r="U39" t="s">
        <v>1147</v>
      </c>
      <c r="V39" t="s">
        <v>1224</v>
      </c>
      <c r="W39" t="s">
        <v>1225</v>
      </c>
    </row>
    <row r="40" spans="20:23" x14ac:dyDescent="0.25">
      <c r="T40" t="s">
        <v>1024</v>
      </c>
      <c r="U40" t="s">
        <v>1147</v>
      </c>
      <c r="V40" t="s">
        <v>1226</v>
      </c>
      <c r="W40" t="s">
        <v>1227</v>
      </c>
    </row>
    <row r="41" spans="20:23" x14ac:dyDescent="0.25">
      <c r="T41" t="s">
        <v>1024</v>
      </c>
      <c r="U41" t="s">
        <v>1147</v>
      </c>
      <c r="V41" t="s">
        <v>1228</v>
      </c>
      <c r="W41" t="s">
        <v>1229</v>
      </c>
    </row>
    <row r="42" spans="20:23" x14ac:dyDescent="0.25">
      <c r="T42" t="s">
        <v>1024</v>
      </c>
      <c r="U42" t="s">
        <v>1147</v>
      </c>
      <c r="V42" t="s">
        <v>1230</v>
      </c>
      <c r="W42" t="s">
        <v>1231</v>
      </c>
    </row>
    <row r="43" spans="20:23" x14ac:dyDescent="0.25">
      <c r="T43" t="s">
        <v>1024</v>
      </c>
      <c r="U43" t="s">
        <v>1147</v>
      </c>
      <c r="V43" t="s">
        <v>1232</v>
      </c>
      <c r="W43" t="s">
        <v>1233</v>
      </c>
    </row>
    <row r="44" spans="20:23" x14ac:dyDescent="0.25">
      <c r="T44" t="s">
        <v>1024</v>
      </c>
      <c r="U44" t="s">
        <v>1147</v>
      </c>
      <c r="V44" t="s">
        <v>1234</v>
      </c>
      <c r="W44" t="s">
        <v>1235</v>
      </c>
    </row>
    <row r="45" spans="20:23" x14ac:dyDescent="0.25">
      <c r="T45" t="s">
        <v>1024</v>
      </c>
      <c r="U45" t="s">
        <v>1147</v>
      </c>
      <c r="V45" t="s">
        <v>1236</v>
      </c>
      <c r="W45" t="s">
        <v>1237</v>
      </c>
    </row>
    <row r="46" spans="20:23" x14ac:dyDescent="0.25">
      <c r="T46" t="s">
        <v>1024</v>
      </c>
      <c r="U46" t="s">
        <v>1147</v>
      </c>
      <c r="V46" t="s">
        <v>1238</v>
      </c>
      <c r="W46" t="s">
        <v>1239</v>
      </c>
    </row>
    <row r="47" spans="20:23" x14ac:dyDescent="0.25">
      <c r="T47" t="s">
        <v>1024</v>
      </c>
      <c r="U47" t="s">
        <v>1147</v>
      </c>
      <c r="V47" t="s">
        <v>1240</v>
      </c>
      <c r="W47" t="s">
        <v>1241</v>
      </c>
    </row>
    <row r="48" spans="20:23" x14ac:dyDescent="0.25">
      <c r="T48" t="s">
        <v>1024</v>
      </c>
      <c r="U48" t="s">
        <v>1147</v>
      </c>
      <c r="V48" t="s">
        <v>1242</v>
      </c>
      <c r="W48" t="s">
        <v>1243</v>
      </c>
    </row>
    <row r="49" spans="20:23" x14ac:dyDescent="0.25">
      <c r="T49" t="s">
        <v>1024</v>
      </c>
      <c r="U49" t="s">
        <v>1147</v>
      </c>
      <c r="V49" t="s">
        <v>1244</v>
      </c>
      <c r="W49" t="s">
        <v>1245</v>
      </c>
    </row>
    <row r="50" spans="20:23" x14ac:dyDescent="0.25">
      <c r="T50" t="s">
        <v>1024</v>
      </c>
      <c r="U50" t="s">
        <v>1147</v>
      </c>
      <c r="V50" t="s">
        <v>1246</v>
      </c>
      <c r="W50" t="s">
        <v>1247</v>
      </c>
    </row>
    <row r="51" spans="20:23" x14ac:dyDescent="0.25">
      <c r="T51" t="s">
        <v>1024</v>
      </c>
      <c r="U51" t="s">
        <v>1147</v>
      </c>
      <c r="V51" t="s">
        <v>1248</v>
      </c>
      <c r="W51" t="s">
        <v>1249</v>
      </c>
    </row>
    <row r="52" spans="20:23" x14ac:dyDescent="0.25">
      <c r="T52" t="s">
        <v>1024</v>
      </c>
      <c r="U52" t="s">
        <v>1147</v>
      </c>
      <c r="V52" t="s">
        <v>1250</v>
      </c>
      <c r="W52" t="s">
        <v>1251</v>
      </c>
    </row>
    <row r="53" spans="20:23" x14ac:dyDescent="0.25">
      <c r="T53" t="s">
        <v>1024</v>
      </c>
      <c r="U53" t="s">
        <v>1147</v>
      </c>
      <c r="V53" t="s">
        <v>1252</v>
      </c>
      <c r="W53" t="s">
        <v>1253</v>
      </c>
    </row>
    <row r="54" spans="20:23" x14ac:dyDescent="0.25">
      <c r="T54" t="s">
        <v>1024</v>
      </c>
      <c r="U54" t="s">
        <v>1147</v>
      </c>
      <c r="V54" t="s">
        <v>1254</v>
      </c>
      <c r="W54" t="s">
        <v>1255</v>
      </c>
    </row>
    <row r="55" spans="20:23" x14ac:dyDescent="0.25">
      <c r="T55" t="s">
        <v>1024</v>
      </c>
      <c r="U55" t="s">
        <v>1147</v>
      </c>
      <c r="V55" t="s">
        <v>1256</v>
      </c>
      <c r="W55" t="s">
        <v>1257</v>
      </c>
    </row>
    <row r="56" spans="20:23" x14ac:dyDescent="0.25">
      <c r="T56" t="s">
        <v>1024</v>
      </c>
      <c r="U56" t="s">
        <v>1147</v>
      </c>
      <c r="V56" t="s">
        <v>1258</v>
      </c>
      <c r="W56" t="s">
        <v>1259</v>
      </c>
    </row>
    <row r="57" spans="20:23" x14ac:dyDescent="0.25">
      <c r="T57" t="s">
        <v>1024</v>
      </c>
      <c r="U57" t="s">
        <v>1147</v>
      </c>
      <c r="V57" t="s">
        <v>1260</v>
      </c>
      <c r="W57" t="s">
        <v>1261</v>
      </c>
    </row>
    <row r="58" spans="20:23" x14ac:dyDescent="0.25">
      <c r="T58" t="s">
        <v>1024</v>
      </c>
      <c r="U58" t="s">
        <v>1147</v>
      </c>
      <c r="V58" t="s">
        <v>1262</v>
      </c>
      <c r="W58" t="s">
        <v>1263</v>
      </c>
    </row>
    <row r="59" spans="20:23" x14ac:dyDescent="0.25">
      <c r="T59" t="s">
        <v>1024</v>
      </c>
      <c r="U59" t="s">
        <v>1147</v>
      </c>
      <c r="V59" t="s">
        <v>1264</v>
      </c>
      <c r="W59" t="s">
        <v>1265</v>
      </c>
    </row>
    <row r="60" spans="20:23" x14ac:dyDescent="0.25">
      <c r="T60" t="s">
        <v>1024</v>
      </c>
      <c r="U60" t="s">
        <v>1147</v>
      </c>
      <c r="V60" t="s">
        <v>1266</v>
      </c>
      <c r="W60" t="s">
        <v>1267</v>
      </c>
    </row>
    <row r="61" spans="20:23" x14ac:dyDescent="0.25">
      <c r="T61" t="s">
        <v>1024</v>
      </c>
      <c r="U61" t="s">
        <v>1147</v>
      </c>
      <c r="V61" t="s">
        <v>1268</v>
      </c>
      <c r="W61" t="s">
        <v>1269</v>
      </c>
    </row>
    <row r="62" spans="20:23" x14ac:dyDescent="0.25">
      <c r="T62" t="s">
        <v>1024</v>
      </c>
      <c r="U62" t="s">
        <v>1147</v>
      </c>
      <c r="V62" t="s">
        <v>1270</v>
      </c>
      <c r="W62" t="s">
        <v>1271</v>
      </c>
    </row>
    <row r="63" spans="20:23" x14ac:dyDescent="0.25">
      <c r="T63" t="s">
        <v>1024</v>
      </c>
      <c r="U63" t="s">
        <v>1147</v>
      </c>
      <c r="V63" t="s">
        <v>1272</v>
      </c>
      <c r="W63" t="s">
        <v>1273</v>
      </c>
    </row>
    <row r="64" spans="20:23" x14ac:dyDescent="0.25">
      <c r="T64" t="s">
        <v>1024</v>
      </c>
      <c r="U64" t="s">
        <v>1147</v>
      </c>
      <c r="V64" t="s">
        <v>1274</v>
      </c>
      <c r="W64" t="s">
        <v>1275</v>
      </c>
    </row>
    <row r="65" spans="20:23" x14ac:dyDescent="0.25">
      <c r="T65" t="s">
        <v>1024</v>
      </c>
      <c r="U65" t="s">
        <v>1147</v>
      </c>
      <c r="V65" t="s">
        <v>1276</v>
      </c>
      <c r="W65" t="s">
        <v>1277</v>
      </c>
    </row>
    <row r="66" spans="20:23" x14ac:dyDescent="0.25">
      <c r="T66" t="s">
        <v>1024</v>
      </c>
      <c r="U66" t="s">
        <v>1147</v>
      </c>
      <c r="V66" t="s">
        <v>1278</v>
      </c>
      <c r="W66" t="s">
        <v>1279</v>
      </c>
    </row>
    <row r="67" spans="20:23" x14ac:dyDescent="0.25">
      <c r="T67" t="s">
        <v>1024</v>
      </c>
      <c r="U67" t="s">
        <v>1147</v>
      </c>
      <c r="V67" t="s">
        <v>1280</v>
      </c>
      <c r="W67" t="s">
        <v>1281</v>
      </c>
    </row>
    <row r="68" spans="20:23" x14ac:dyDescent="0.25">
      <c r="T68" t="s">
        <v>1024</v>
      </c>
      <c r="U68" t="s">
        <v>1147</v>
      </c>
      <c r="V68" t="s">
        <v>1282</v>
      </c>
      <c r="W68" t="s">
        <v>1283</v>
      </c>
    </row>
    <row r="69" spans="20:23" x14ac:dyDescent="0.25">
      <c r="T69" t="s">
        <v>1024</v>
      </c>
      <c r="U69" t="s">
        <v>1147</v>
      </c>
      <c r="V69" t="s">
        <v>1284</v>
      </c>
      <c r="W69" t="s">
        <v>1285</v>
      </c>
    </row>
    <row r="70" spans="20:23" x14ac:dyDescent="0.25">
      <c r="T70" t="s">
        <v>1024</v>
      </c>
      <c r="U70" t="s">
        <v>1147</v>
      </c>
      <c r="V70" t="s">
        <v>1286</v>
      </c>
      <c r="W70" t="s">
        <v>1287</v>
      </c>
    </row>
    <row r="71" spans="20:23" x14ac:dyDescent="0.25">
      <c r="T71" t="s">
        <v>1024</v>
      </c>
      <c r="U71" t="s">
        <v>1147</v>
      </c>
      <c r="V71" t="s">
        <v>1288</v>
      </c>
      <c r="W71" t="s">
        <v>1289</v>
      </c>
    </row>
    <row r="72" spans="20:23" x14ac:dyDescent="0.25">
      <c r="T72" t="s">
        <v>1024</v>
      </c>
      <c r="U72" t="s">
        <v>1147</v>
      </c>
      <c r="V72" t="s">
        <v>1290</v>
      </c>
      <c r="W72" t="s">
        <v>1291</v>
      </c>
    </row>
    <row r="73" spans="20:23" x14ac:dyDescent="0.25">
      <c r="T73" t="s">
        <v>1024</v>
      </c>
      <c r="U73" t="s">
        <v>1147</v>
      </c>
      <c r="V73" t="s">
        <v>1292</v>
      </c>
      <c r="W73" t="s">
        <v>1293</v>
      </c>
    </row>
    <row r="74" spans="20:23" x14ac:dyDescent="0.25">
      <c r="T74" t="s">
        <v>1024</v>
      </c>
      <c r="U74" t="s">
        <v>1147</v>
      </c>
      <c r="V74" t="s">
        <v>1294</v>
      </c>
      <c r="W74" t="s">
        <v>1295</v>
      </c>
    </row>
    <row r="75" spans="20:23" x14ac:dyDescent="0.25">
      <c r="T75" t="s">
        <v>1024</v>
      </c>
      <c r="U75" t="s">
        <v>1147</v>
      </c>
      <c r="V75" t="s">
        <v>1296</v>
      </c>
      <c r="W75" t="s">
        <v>1297</v>
      </c>
    </row>
    <row r="76" spans="20:23" x14ac:dyDescent="0.25">
      <c r="T76" t="s">
        <v>1024</v>
      </c>
      <c r="U76" t="s">
        <v>1147</v>
      </c>
      <c r="V76" t="s">
        <v>1298</v>
      </c>
      <c r="W76" t="s">
        <v>1299</v>
      </c>
    </row>
    <row r="77" spans="20:23" x14ac:dyDescent="0.25">
      <c r="T77" t="s">
        <v>1024</v>
      </c>
      <c r="U77" t="s">
        <v>1147</v>
      </c>
      <c r="V77" t="s">
        <v>1300</v>
      </c>
      <c r="W77" t="s">
        <v>1301</v>
      </c>
    </row>
    <row r="78" spans="20:23" x14ac:dyDescent="0.25">
      <c r="T78" t="s">
        <v>1024</v>
      </c>
      <c r="U78" t="s">
        <v>1147</v>
      </c>
      <c r="V78" t="s">
        <v>1302</v>
      </c>
      <c r="W78" t="s">
        <v>1303</v>
      </c>
    </row>
    <row r="79" spans="20:23" x14ac:dyDescent="0.25">
      <c r="T79" t="s">
        <v>1024</v>
      </c>
      <c r="U79" t="s">
        <v>1147</v>
      </c>
      <c r="V79" t="s">
        <v>1304</v>
      </c>
      <c r="W79" t="s">
        <v>1305</v>
      </c>
    </row>
    <row r="80" spans="20:23" x14ac:dyDescent="0.25">
      <c r="T80" t="s">
        <v>1024</v>
      </c>
      <c r="U80" t="s">
        <v>1147</v>
      </c>
      <c r="V80" t="s">
        <v>1306</v>
      </c>
      <c r="W80" t="s">
        <v>1307</v>
      </c>
    </row>
    <row r="81" spans="20:23" x14ac:dyDescent="0.25">
      <c r="T81" t="s">
        <v>1024</v>
      </c>
      <c r="U81" t="s">
        <v>1147</v>
      </c>
      <c r="V81" t="s">
        <v>1308</v>
      </c>
      <c r="W81" t="s">
        <v>1309</v>
      </c>
    </row>
    <row r="82" spans="20:23" x14ac:dyDescent="0.25">
      <c r="T82" t="s">
        <v>1024</v>
      </c>
      <c r="U82" t="s">
        <v>1147</v>
      </c>
      <c r="V82" t="s">
        <v>1310</v>
      </c>
      <c r="W82" t="s">
        <v>1311</v>
      </c>
    </row>
    <row r="83" spans="20:23" x14ac:dyDescent="0.25">
      <c r="T83" t="s">
        <v>1024</v>
      </c>
      <c r="U83" t="s">
        <v>1147</v>
      </c>
      <c r="V83" t="s">
        <v>1312</v>
      </c>
      <c r="W83" t="s">
        <v>1313</v>
      </c>
    </row>
    <row r="84" spans="20:23" x14ac:dyDescent="0.25">
      <c r="T84" t="s">
        <v>1024</v>
      </c>
      <c r="U84" t="s">
        <v>1147</v>
      </c>
      <c r="V84" t="s">
        <v>1314</v>
      </c>
      <c r="W84" t="s">
        <v>1315</v>
      </c>
    </row>
    <row r="85" spans="20:23" x14ac:dyDescent="0.25">
      <c r="T85" t="s">
        <v>1024</v>
      </c>
      <c r="U85" t="s">
        <v>1147</v>
      </c>
      <c r="V85" t="s">
        <v>1316</v>
      </c>
      <c r="W85" t="s">
        <v>1317</v>
      </c>
    </row>
    <row r="86" spans="20:23" x14ac:dyDescent="0.25">
      <c r="T86" t="s">
        <v>1024</v>
      </c>
      <c r="U86" t="s">
        <v>1147</v>
      </c>
      <c r="V86" t="s">
        <v>1318</v>
      </c>
      <c r="W86" t="s">
        <v>1319</v>
      </c>
    </row>
    <row r="87" spans="20:23" x14ac:dyDescent="0.25">
      <c r="T87" t="s">
        <v>1024</v>
      </c>
      <c r="U87" t="s">
        <v>1147</v>
      </c>
      <c r="V87" t="s">
        <v>1320</v>
      </c>
      <c r="W87" t="s">
        <v>1321</v>
      </c>
    </row>
    <row r="88" spans="20:23" x14ac:dyDescent="0.25">
      <c r="T88" t="s">
        <v>1024</v>
      </c>
      <c r="U88" t="s">
        <v>1147</v>
      </c>
      <c r="V88" t="s">
        <v>1322</v>
      </c>
      <c r="W88" t="s">
        <v>1323</v>
      </c>
    </row>
    <row r="89" spans="20:23" x14ac:dyDescent="0.25">
      <c r="T89" t="s">
        <v>1024</v>
      </c>
      <c r="U89" t="s">
        <v>1147</v>
      </c>
      <c r="V89" t="s">
        <v>1324</v>
      </c>
      <c r="W89" t="s">
        <v>1325</v>
      </c>
    </row>
    <row r="90" spans="20:23" x14ac:dyDescent="0.25">
      <c r="T90" t="s">
        <v>1024</v>
      </c>
      <c r="U90" t="s">
        <v>1147</v>
      </c>
      <c r="V90" t="s">
        <v>1326</v>
      </c>
      <c r="W90" t="s">
        <v>1327</v>
      </c>
    </row>
    <row r="91" spans="20:23" x14ac:dyDescent="0.25">
      <c r="T91" t="s">
        <v>1024</v>
      </c>
      <c r="U91" t="s">
        <v>1147</v>
      </c>
      <c r="V91" t="s">
        <v>1146</v>
      </c>
      <c r="W91" t="s">
        <v>1146</v>
      </c>
    </row>
    <row r="92" spans="20:23" x14ac:dyDescent="0.25">
      <c r="T92" t="s">
        <v>1149</v>
      </c>
      <c r="U92" t="s">
        <v>1150</v>
      </c>
      <c r="V92" t="s">
        <v>1328</v>
      </c>
      <c r="W92" t="s">
        <v>1329</v>
      </c>
    </row>
    <row r="93" spans="20:23" x14ac:dyDescent="0.25">
      <c r="T93" t="s">
        <v>1149</v>
      </c>
      <c r="U93" t="s">
        <v>1150</v>
      </c>
      <c r="V93" t="s">
        <v>1330</v>
      </c>
      <c r="W93" t="s">
        <v>1331</v>
      </c>
    </row>
    <row r="94" spans="20:23" x14ac:dyDescent="0.25">
      <c r="T94" t="s">
        <v>1149</v>
      </c>
      <c r="U94" t="s">
        <v>1150</v>
      </c>
      <c r="V94" t="s">
        <v>1332</v>
      </c>
      <c r="W94" t="s">
        <v>1333</v>
      </c>
    </row>
    <row r="95" spans="20:23" x14ac:dyDescent="0.25">
      <c r="T95" t="s">
        <v>1149</v>
      </c>
      <c r="U95" t="s">
        <v>1150</v>
      </c>
      <c r="V95" t="s">
        <v>1334</v>
      </c>
      <c r="W95" t="s">
        <v>1335</v>
      </c>
    </row>
    <row r="96" spans="20:23" x14ac:dyDescent="0.25">
      <c r="T96" t="s">
        <v>1149</v>
      </c>
      <c r="U96" t="s">
        <v>1150</v>
      </c>
      <c r="V96" t="s">
        <v>1336</v>
      </c>
      <c r="W96" t="s">
        <v>1337</v>
      </c>
    </row>
    <row r="97" spans="20:23" x14ac:dyDescent="0.25">
      <c r="T97" t="s">
        <v>1149</v>
      </c>
      <c r="U97" t="s">
        <v>1150</v>
      </c>
      <c r="V97" t="s">
        <v>1338</v>
      </c>
      <c r="W97" t="s">
        <v>1339</v>
      </c>
    </row>
    <row r="98" spans="20:23" x14ac:dyDescent="0.25">
      <c r="T98" t="s">
        <v>1149</v>
      </c>
      <c r="U98" t="s">
        <v>1150</v>
      </c>
      <c r="V98" t="s">
        <v>1340</v>
      </c>
      <c r="W98" t="s">
        <v>1341</v>
      </c>
    </row>
    <row r="99" spans="20:23" x14ac:dyDescent="0.25">
      <c r="T99" t="s">
        <v>1149</v>
      </c>
      <c r="U99" t="s">
        <v>1150</v>
      </c>
      <c r="V99" t="s">
        <v>1342</v>
      </c>
      <c r="W99" t="s">
        <v>1343</v>
      </c>
    </row>
    <row r="100" spans="20:23" x14ac:dyDescent="0.25">
      <c r="T100" t="s">
        <v>1149</v>
      </c>
      <c r="U100" t="s">
        <v>1150</v>
      </c>
      <c r="V100" t="s">
        <v>1344</v>
      </c>
      <c r="W100" t="s">
        <v>1345</v>
      </c>
    </row>
    <row r="101" spans="20:23" x14ac:dyDescent="0.25">
      <c r="T101" t="s">
        <v>1149</v>
      </c>
      <c r="U101" t="s">
        <v>1150</v>
      </c>
      <c r="V101" t="s">
        <v>1346</v>
      </c>
      <c r="W101" t="s">
        <v>1347</v>
      </c>
    </row>
    <row r="102" spans="20:23" x14ac:dyDescent="0.25">
      <c r="T102" t="s">
        <v>1149</v>
      </c>
      <c r="U102" t="s">
        <v>1150</v>
      </c>
      <c r="V102" t="s">
        <v>1348</v>
      </c>
      <c r="W102" t="s">
        <v>1349</v>
      </c>
    </row>
    <row r="103" spans="20:23" x14ac:dyDescent="0.25">
      <c r="T103" t="s">
        <v>1149</v>
      </c>
      <c r="U103" t="s">
        <v>1150</v>
      </c>
      <c r="V103" t="s">
        <v>1350</v>
      </c>
      <c r="W103" t="s">
        <v>1351</v>
      </c>
    </row>
    <row r="104" spans="20:23" x14ac:dyDescent="0.25">
      <c r="T104" t="s">
        <v>1149</v>
      </c>
      <c r="U104" t="s">
        <v>1150</v>
      </c>
      <c r="V104" t="s">
        <v>1352</v>
      </c>
      <c r="W104" t="s">
        <v>1353</v>
      </c>
    </row>
    <row r="105" spans="20:23" x14ac:dyDescent="0.25">
      <c r="T105" t="s">
        <v>1149</v>
      </c>
      <c r="U105" t="s">
        <v>1150</v>
      </c>
      <c r="V105" t="s">
        <v>1354</v>
      </c>
      <c r="W105" t="s">
        <v>1355</v>
      </c>
    </row>
    <row r="106" spans="20:23" x14ac:dyDescent="0.25">
      <c r="T106" t="s">
        <v>1149</v>
      </c>
      <c r="U106" t="s">
        <v>1150</v>
      </c>
      <c r="V106" t="s">
        <v>1356</v>
      </c>
      <c r="W106" t="s">
        <v>1357</v>
      </c>
    </row>
    <row r="107" spans="20:23" x14ac:dyDescent="0.25">
      <c r="T107" t="s">
        <v>1149</v>
      </c>
      <c r="U107" t="s">
        <v>1150</v>
      </c>
      <c r="V107" t="s">
        <v>1358</v>
      </c>
      <c r="W107" t="s">
        <v>1359</v>
      </c>
    </row>
    <row r="108" spans="20:23" x14ac:dyDescent="0.25">
      <c r="T108" t="s">
        <v>1149</v>
      </c>
      <c r="U108" t="s">
        <v>1150</v>
      </c>
      <c r="V108" t="s">
        <v>1360</v>
      </c>
      <c r="W108" t="s">
        <v>1361</v>
      </c>
    </row>
    <row r="109" spans="20:23" x14ac:dyDescent="0.25">
      <c r="T109" t="s">
        <v>1149</v>
      </c>
      <c r="U109" t="s">
        <v>1150</v>
      </c>
      <c r="V109" t="s">
        <v>1362</v>
      </c>
      <c r="W109" t="s">
        <v>1363</v>
      </c>
    </row>
    <row r="110" spans="20:23" x14ac:dyDescent="0.25">
      <c r="T110" t="s">
        <v>1149</v>
      </c>
      <c r="U110" t="s">
        <v>1150</v>
      </c>
      <c r="V110" t="s">
        <v>1364</v>
      </c>
      <c r="W110" t="s">
        <v>1365</v>
      </c>
    </row>
    <row r="111" spans="20:23" x14ac:dyDescent="0.25">
      <c r="T111" t="s">
        <v>1149</v>
      </c>
      <c r="U111" t="s">
        <v>1150</v>
      </c>
      <c r="V111" t="s">
        <v>1366</v>
      </c>
      <c r="W111" t="s">
        <v>1367</v>
      </c>
    </row>
  </sheetData>
  <pageMargins left="0.7" right="0.7" top="0.75" bottom="0.75" header="0.3" footer="0.3"/>
  <pageSetup orientation="portrait" r:id="rId1"/>
  <tableParts count="5">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24-4-2017</v>
      </c>
    </row>
    <row r="2" spans="1:1" x14ac:dyDescent="0.25">
      <c r="A2" t="str">
        <f ca="1">CELL("nombrearchivo",A1)</f>
        <v>D:\Documents RAMCAS\RAM CAS\MEJORA CONTINUA\CONTROL DE BUFFERS\TRANSFERENCIAS\[PATRON TRANSFERENCIAS.xlsm]DATOS</v>
      </c>
    </row>
    <row r="3" spans="1:1" x14ac:dyDescent="0.25">
      <c r="A3" t="str">
        <f ca="1">LEFT(SUBSTITUTE(SUBSTITUTE(A2,"[",""),"]",""),FIND("xlsm",SUBSTITUTE(SUBSTITUTE(A2,"[",""),"]",""),1)+3)</f>
        <v>D:\Documents RAMCAS\RAM CAS\MEJORA CONTINUA\CONTROL DE BUFFERS\TRANSFERENCIAS\PATRON TRANSFERENCIAS.xlsm</v>
      </c>
    </row>
    <row r="6" spans="1:1" x14ac:dyDescent="0.25">
      <c r="A6" t="s">
        <v>30</v>
      </c>
    </row>
    <row r="7" spans="1:1" x14ac:dyDescent="0.25">
      <c r="A7" t="s">
        <v>1568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844</v>
      </c>
    </row>
    <row r="2" spans="1:21" x14ac:dyDescent="0.25">
      <c r="A2" t="s">
        <v>854</v>
      </c>
      <c r="B2" t="s">
        <v>855</v>
      </c>
      <c r="C2" t="s">
        <v>856</v>
      </c>
      <c r="D2" t="s">
        <v>852</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857</v>
      </c>
      <c r="C3" t="s">
        <v>858</v>
      </c>
      <c r="D3" t="s">
        <v>852</v>
      </c>
      <c r="E3">
        <v>10</v>
      </c>
      <c r="F3">
        <v>229.81200000000001</v>
      </c>
      <c r="G3">
        <v>464</v>
      </c>
      <c r="H3">
        <v>20</v>
      </c>
      <c r="I3">
        <v>0.9</v>
      </c>
      <c r="J3">
        <v>0.73</v>
      </c>
      <c r="K3">
        <v>0</v>
      </c>
      <c r="L3">
        <v>0.46969699999999998</v>
      </c>
      <c r="M3">
        <v>7</v>
      </c>
      <c r="N3">
        <v>7</v>
      </c>
      <c r="O3">
        <v>7</v>
      </c>
      <c r="P3">
        <v>7</v>
      </c>
      <c r="Q3">
        <v>0</v>
      </c>
      <c r="T3" t="s">
        <v>838</v>
      </c>
    </row>
    <row r="4" spans="1:21" x14ac:dyDescent="0.25">
      <c r="A4" t="s">
        <v>859</v>
      </c>
      <c r="B4" t="s">
        <v>860</v>
      </c>
      <c r="C4" t="s">
        <v>858</v>
      </c>
      <c r="D4" t="s">
        <v>852</v>
      </c>
      <c r="E4">
        <v>8</v>
      </c>
      <c r="F4">
        <v>378.37759999999997</v>
      </c>
      <c r="G4">
        <v>780</v>
      </c>
      <c r="H4">
        <v>15</v>
      </c>
      <c r="I4">
        <v>0.87</v>
      </c>
      <c r="J4">
        <v>0.33</v>
      </c>
      <c r="K4">
        <v>0</v>
      </c>
      <c r="L4">
        <v>1</v>
      </c>
      <c r="M4">
        <v>5</v>
      </c>
      <c r="N4">
        <v>5</v>
      </c>
      <c r="O4">
        <v>5</v>
      </c>
      <c r="P4">
        <v>5</v>
      </c>
      <c r="Q4">
        <v>0</v>
      </c>
      <c r="T4" t="s">
        <v>838</v>
      </c>
    </row>
    <row r="5" spans="1:21" x14ac:dyDescent="0.25">
      <c r="A5" t="s">
        <v>39</v>
      </c>
      <c r="B5" t="s">
        <v>861</v>
      </c>
      <c r="C5" t="s">
        <v>856</v>
      </c>
      <c r="D5" t="s">
        <v>852</v>
      </c>
      <c r="E5">
        <v>290</v>
      </c>
      <c r="F5">
        <v>324.18680000000001</v>
      </c>
      <c r="G5">
        <v>795</v>
      </c>
      <c r="H5">
        <v>650</v>
      </c>
      <c r="I5">
        <v>0.78</v>
      </c>
      <c r="J5">
        <v>1.27</v>
      </c>
      <c r="K5">
        <v>0</v>
      </c>
      <c r="L5">
        <v>0.46803099999999997</v>
      </c>
      <c r="M5">
        <v>207</v>
      </c>
      <c r="N5">
        <v>207</v>
      </c>
      <c r="O5">
        <v>207</v>
      </c>
      <c r="P5">
        <v>207</v>
      </c>
      <c r="Q5">
        <v>0</v>
      </c>
      <c r="T5" t="s">
        <v>838</v>
      </c>
    </row>
    <row r="6" spans="1:21" x14ac:dyDescent="0.25">
      <c r="A6" t="s">
        <v>862</v>
      </c>
      <c r="B6" t="s">
        <v>863</v>
      </c>
      <c r="C6" t="s">
        <v>864</v>
      </c>
      <c r="D6" t="s">
        <v>852</v>
      </c>
      <c r="E6">
        <v>37</v>
      </c>
      <c r="F6">
        <v>372.49869999999999</v>
      </c>
      <c r="G6">
        <v>624</v>
      </c>
      <c r="H6">
        <v>80</v>
      </c>
      <c r="I6">
        <v>0.76</v>
      </c>
      <c r="J6">
        <v>0.19</v>
      </c>
      <c r="K6">
        <v>0</v>
      </c>
      <c r="L6">
        <v>0.52694600000000003</v>
      </c>
      <c r="M6">
        <v>31</v>
      </c>
      <c r="N6">
        <v>31</v>
      </c>
      <c r="O6">
        <v>31</v>
      </c>
      <c r="P6">
        <v>31</v>
      </c>
      <c r="Q6">
        <v>0</v>
      </c>
      <c r="T6" t="s">
        <v>838</v>
      </c>
    </row>
    <row r="7" spans="1:21" x14ac:dyDescent="0.25">
      <c r="A7" t="s">
        <v>865</v>
      </c>
      <c r="B7" t="s">
        <v>866</v>
      </c>
      <c r="C7" t="s">
        <v>853</v>
      </c>
      <c r="D7" t="s">
        <v>852</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867</v>
      </c>
      <c r="C8" t="s">
        <v>868</v>
      </c>
      <c r="D8" t="s">
        <v>852</v>
      </c>
      <c r="E8">
        <v>48</v>
      </c>
      <c r="F8">
        <v>379.2577</v>
      </c>
      <c r="G8">
        <v>774</v>
      </c>
      <c r="H8">
        <v>105</v>
      </c>
      <c r="I8">
        <v>0.7</v>
      </c>
      <c r="J8">
        <v>0.83</v>
      </c>
      <c r="K8">
        <v>0</v>
      </c>
      <c r="L8">
        <v>0.31236900000000001</v>
      </c>
      <c r="M8">
        <v>6</v>
      </c>
      <c r="N8">
        <v>6</v>
      </c>
      <c r="O8">
        <v>6</v>
      </c>
      <c r="P8">
        <v>6</v>
      </c>
      <c r="Q8">
        <v>0</v>
      </c>
      <c r="T8" t="s">
        <v>838</v>
      </c>
    </row>
    <row r="9" spans="1:21" x14ac:dyDescent="0.25">
      <c r="A9" t="s">
        <v>869</v>
      </c>
      <c r="B9" t="s">
        <v>870</v>
      </c>
      <c r="C9" t="s">
        <v>871</v>
      </c>
      <c r="D9" t="s">
        <v>852</v>
      </c>
      <c r="E9">
        <v>2</v>
      </c>
      <c r="F9">
        <v>2.16</v>
      </c>
      <c r="G9">
        <v>4.13</v>
      </c>
      <c r="H9">
        <v>3</v>
      </c>
      <c r="I9">
        <v>0.67</v>
      </c>
      <c r="J9">
        <v>0.51</v>
      </c>
      <c r="K9">
        <v>0</v>
      </c>
      <c r="L9">
        <v>1</v>
      </c>
      <c r="M9">
        <v>2</v>
      </c>
      <c r="N9">
        <v>2</v>
      </c>
      <c r="O9">
        <v>2</v>
      </c>
      <c r="P9">
        <v>2</v>
      </c>
      <c r="Q9">
        <v>0</v>
      </c>
      <c r="T9" t="s">
        <v>838</v>
      </c>
    </row>
    <row r="10" spans="1:21" x14ac:dyDescent="0.25">
      <c r="A10" t="s">
        <v>872</v>
      </c>
      <c r="B10" t="s">
        <v>873</v>
      </c>
      <c r="C10" t="s">
        <v>853</v>
      </c>
      <c r="D10" t="s">
        <v>852</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874</v>
      </c>
      <c r="C11" t="s">
        <v>875</v>
      </c>
      <c r="D11" t="s">
        <v>852</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876</v>
      </c>
      <c r="B12" t="s">
        <v>877</v>
      </c>
      <c r="C12" t="s">
        <v>878</v>
      </c>
      <c r="D12" t="s">
        <v>852</v>
      </c>
      <c r="E12">
        <v>2</v>
      </c>
      <c r="F12">
        <v>20.21</v>
      </c>
      <c r="G12">
        <v>117</v>
      </c>
      <c r="H12">
        <v>2</v>
      </c>
      <c r="I12">
        <v>0.5</v>
      </c>
      <c r="J12">
        <v>0.86</v>
      </c>
      <c r="K12">
        <v>0</v>
      </c>
      <c r="L12">
        <v>1</v>
      </c>
      <c r="M12">
        <v>1</v>
      </c>
      <c r="N12">
        <v>1</v>
      </c>
      <c r="O12">
        <v>1</v>
      </c>
      <c r="P12">
        <v>1</v>
      </c>
      <c r="Q12">
        <v>0</v>
      </c>
      <c r="T12" t="s">
        <v>838</v>
      </c>
    </row>
    <row r="13" spans="1:21" x14ac:dyDescent="0.25">
      <c r="A13" t="s">
        <v>879</v>
      </c>
      <c r="B13" t="s">
        <v>880</v>
      </c>
      <c r="C13" t="s">
        <v>856</v>
      </c>
      <c r="D13" t="s">
        <v>852</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1557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849</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849</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849</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847</v>
      </c>
      <c r="B742" t="s">
        <v>620</v>
      </c>
    </row>
    <row r="743" spans="1:2" x14ac:dyDescent="0.25">
      <c r="A743" t="s">
        <v>846</v>
      </c>
      <c r="B743" t="s">
        <v>612</v>
      </c>
    </row>
    <row r="744" spans="1:2" x14ac:dyDescent="0.25">
      <c r="A744" t="s">
        <v>845</v>
      </c>
      <c r="B744" t="s">
        <v>618</v>
      </c>
    </row>
    <row r="745" spans="1:2" x14ac:dyDescent="0.25">
      <c r="A745" t="s">
        <v>848</v>
      </c>
      <c r="B745" t="s">
        <v>616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882</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883</v>
      </c>
    </row>
    <row r="4" spans="1:4" x14ac:dyDescent="0.25">
      <c r="A4" t="s">
        <v>968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A6" sqref="A6:D22"/>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841</v>
      </c>
      <c r="B1" s="1"/>
      <c r="C1" s="1"/>
    </row>
    <row r="2" spans="1:4" x14ac:dyDescent="0.25">
      <c r="A2" t="s">
        <v>842</v>
      </c>
      <c r="B2" t="s">
        <v>1568</v>
      </c>
    </row>
    <row r="3" spans="1:4" x14ac:dyDescent="0.25">
      <c r="A3" t="s">
        <v>843</v>
      </c>
      <c r="B3" s="12">
        <f ca="1">TODAY()</f>
        <v>42886</v>
      </c>
    </row>
    <row r="5" spans="1:4" x14ac:dyDescent="0.25">
      <c r="A5" s="2" t="s">
        <v>839</v>
      </c>
      <c r="B5" s="14" t="s">
        <v>840</v>
      </c>
      <c r="C5" s="2" t="s">
        <v>28</v>
      </c>
      <c r="D5" s="2" t="s">
        <v>850</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76200</xdr:colOff>
                <xdr:row>0</xdr:row>
                <xdr:rowOff>19050</xdr:rowOff>
              </from>
              <to>
                <xdr:col>4</xdr:col>
                <xdr:colOff>47625</xdr:colOff>
                <xdr:row>1</xdr:row>
                <xdr:rowOff>85725</xdr:rowOff>
              </to>
            </anchor>
          </controlPr>
        </control>
      </mc:Choice>
      <mc:Fallback>
        <control shapeId="3073" r:id="rId4" name="cmdVolver"/>
      </mc:Fallback>
    </mc:AlternateContent>
    <mc:AlternateContent xmlns:mc="http://schemas.openxmlformats.org/markup-compatibility/2006">
      <mc:Choice Requires="x14">
        <control shapeId="3075" r:id="rId6" name="cmdImprimir">
          <controlPr defaultSize="0" print="0" disabled="1" autoLine="0" r:id="rId7">
            <anchor>
              <from>
                <xdr:col>3</xdr:col>
                <xdr:colOff>76200</xdr:colOff>
                <xdr:row>1</xdr:row>
                <xdr:rowOff>76200</xdr:rowOff>
              </from>
              <to>
                <xdr:col>4</xdr:col>
                <xdr:colOff>47625</xdr:colOff>
                <xdr:row>2</xdr:row>
                <xdr:rowOff>152400</xdr:rowOff>
              </to>
            </anchor>
          </controlPr>
        </control>
      </mc:Choice>
      <mc:Fallback>
        <control shapeId="3075" r:id="rId6" name="cmdImprimir"/>
      </mc:Fallback>
    </mc:AlternateContent>
  </controls>
  <tableParts count="1">
    <tablePart r:id="rId8"/>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26</v>
      </c>
      <c r="B1" s="15" t="s">
        <v>851</v>
      </c>
    </row>
    <row r="2" spans="1:2" x14ac:dyDescent="0.25">
      <c r="A2" s="16" t="str">
        <f>"=**"</f>
        <v>=**</v>
      </c>
      <c r="B2" s="15"/>
    </row>
    <row r="3" spans="1:2" x14ac:dyDescent="0.25">
      <c r="A3" s="15"/>
      <c r="B3" s="16" t="str">
        <f>"=**"</f>
        <v>=**</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1017</v>
      </c>
      <c r="B1" t="s">
        <v>920</v>
      </c>
      <c r="C1" t="s">
        <v>921</v>
      </c>
      <c r="D1" t="s">
        <v>922</v>
      </c>
      <c r="E1" t="s">
        <v>923</v>
      </c>
      <c r="F1" t="s">
        <v>924</v>
      </c>
      <c r="G1" t="s">
        <v>925</v>
      </c>
      <c r="H1" t="s">
        <v>926</v>
      </c>
      <c r="I1" t="s">
        <v>927</v>
      </c>
      <c r="J1" t="s">
        <v>928</v>
      </c>
      <c r="K1" t="s">
        <v>929</v>
      </c>
      <c r="L1" t="s">
        <v>930</v>
      </c>
      <c r="M1" t="s">
        <v>931</v>
      </c>
      <c r="N1" t="s">
        <v>932</v>
      </c>
      <c r="O1" t="s">
        <v>933</v>
      </c>
      <c r="P1" t="s">
        <v>934</v>
      </c>
      <c r="Q1" t="s">
        <v>935</v>
      </c>
      <c r="R1" t="s">
        <v>936</v>
      </c>
      <c r="S1" t="s">
        <v>937</v>
      </c>
      <c r="T1" t="s">
        <v>938</v>
      </c>
      <c r="U1" t="s">
        <v>939</v>
      </c>
      <c r="V1" t="s">
        <v>940</v>
      </c>
      <c r="W1" t="s">
        <v>941</v>
      </c>
      <c r="X1" t="s">
        <v>942</v>
      </c>
      <c r="Y1" t="s">
        <v>943</v>
      </c>
      <c r="Z1" t="s">
        <v>944</v>
      </c>
      <c r="AA1" t="s">
        <v>945</v>
      </c>
      <c r="AB1" t="s">
        <v>946</v>
      </c>
      <c r="AC1" t="s">
        <v>947</v>
      </c>
      <c r="AD1" t="s">
        <v>948</v>
      </c>
      <c r="AE1" t="s">
        <v>949</v>
      </c>
      <c r="AF1" t="s">
        <v>950</v>
      </c>
      <c r="AG1" t="s">
        <v>951</v>
      </c>
      <c r="AH1" t="s">
        <v>952</v>
      </c>
      <c r="AI1" t="s">
        <v>953</v>
      </c>
      <c r="AJ1" t="s">
        <v>954</v>
      </c>
      <c r="AK1" t="s">
        <v>955</v>
      </c>
      <c r="AL1" t="s">
        <v>956</v>
      </c>
      <c r="AM1" t="s">
        <v>957</v>
      </c>
      <c r="AN1" t="s">
        <v>958</v>
      </c>
      <c r="AO1" t="s">
        <v>959</v>
      </c>
      <c r="AP1" t="s">
        <v>960</v>
      </c>
      <c r="AQ1" t="s">
        <v>961</v>
      </c>
      <c r="AR1" t="s">
        <v>967</v>
      </c>
      <c r="AS1" t="s">
        <v>981</v>
      </c>
      <c r="AT1" t="s">
        <v>982</v>
      </c>
      <c r="AU1" t="s">
        <v>983</v>
      </c>
      <c r="AV1" t="s">
        <v>984</v>
      </c>
      <c r="AW1" t="s">
        <v>985</v>
      </c>
      <c r="AX1" t="s">
        <v>986</v>
      </c>
      <c r="AY1" t="s">
        <v>987</v>
      </c>
      <c r="AZ1" t="s">
        <v>988</v>
      </c>
      <c r="BA1" t="s">
        <v>989</v>
      </c>
      <c r="BB1" t="s">
        <v>990</v>
      </c>
      <c r="BC1" t="s">
        <v>991</v>
      </c>
      <c r="BD1" t="s">
        <v>992</v>
      </c>
      <c r="BE1" t="s">
        <v>993</v>
      </c>
      <c r="BF1" t="s">
        <v>994</v>
      </c>
      <c r="BG1" t="s">
        <v>995</v>
      </c>
      <c r="BH1" t="s">
        <v>996</v>
      </c>
      <c r="BI1" t="s">
        <v>997</v>
      </c>
      <c r="BJ1" t="s">
        <v>998</v>
      </c>
      <c r="BK1" t="s">
        <v>999</v>
      </c>
      <c r="BL1" t="s">
        <v>1000</v>
      </c>
      <c r="BM1" t="s">
        <v>1001</v>
      </c>
      <c r="BN1" t="s">
        <v>1002</v>
      </c>
      <c r="BO1" t="s">
        <v>1003</v>
      </c>
      <c r="BP1" t="s">
        <v>1004</v>
      </c>
      <c r="BQ1" t="s">
        <v>1005</v>
      </c>
      <c r="BR1" t="s">
        <v>1006</v>
      </c>
      <c r="BS1" t="s">
        <v>1007</v>
      </c>
      <c r="BT1" t="s">
        <v>1008</v>
      </c>
      <c r="BU1" t="s">
        <v>1009</v>
      </c>
      <c r="BV1" t="s">
        <v>1010</v>
      </c>
      <c r="BW1" t="s">
        <v>1011</v>
      </c>
      <c r="BX1" t="s">
        <v>1012</v>
      </c>
      <c r="BY1" t="s">
        <v>1013</v>
      </c>
      <c r="BZ1" t="s">
        <v>1014</v>
      </c>
      <c r="CA1" t="s">
        <v>1029</v>
      </c>
      <c r="CB1" t="s">
        <v>1030</v>
      </c>
      <c r="CC1" t="s">
        <v>1031</v>
      </c>
      <c r="CD1" t="s">
        <v>1041</v>
      </c>
      <c r="CE1" t="s">
        <v>1042</v>
      </c>
      <c r="CF1" t="s">
        <v>1043</v>
      </c>
      <c r="CG1" t="s">
        <v>893</v>
      </c>
      <c r="CH1" t="s">
        <v>970</v>
      </c>
      <c r="CI1" t="s">
        <v>972</v>
      </c>
      <c r="CJ1" t="s">
        <v>1018</v>
      </c>
      <c r="CK1" t="s">
        <v>894</v>
      </c>
      <c r="CL1" t="s">
        <v>895</v>
      </c>
      <c r="CM1" t="s">
        <v>896</v>
      </c>
      <c r="CN1" t="s">
        <v>897</v>
      </c>
      <c r="CO1" t="s">
        <v>898</v>
      </c>
      <c r="CP1" t="s">
        <v>899</v>
      </c>
      <c r="CQ1" t="s">
        <v>900</v>
      </c>
      <c r="CR1" t="s">
        <v>901</v>
      </c>
      <c r="CS1" t="s">
        <v>902</v>
      </c>
      <c r="CT1" t="s">
        <v>962</v>
      </c>
      <c r="CU1" t="s">
        <v>963</v>
      </c>
      <c r="CV1" t="s">
        <v>964</v>
      </c>
      <c r="CW1" t="s">
        <v>965</v>
      </c>
      <c r="CX1" t="s">
        <v>966</v>
      </c>
      <c r="CY1" t="s">
        <v>1015</v>
      </c>
      <c r="CZ1" t="s">
        <v>1016</v>
      </c>
      <c r="DA1" t="s">
        <v>1019</v>
      </c>
      <c r="DB1" t="s">
        <v>1021</v>
      </c>
      <c r="DC1" t="s">
        <v>1022</v>
      </c>
      <c r="DD1" t="s">
        <v>1023</v>
      </c>
      <c r="DE1" t="s">
        <v>1025</v>
      </c>
      <c r="DF1" t="s">
        <v>1026</v>
      </c>
    </row>
    <row r="2" spans="1:110" x14ac:dyDescent="0.25">
      <c r="AN2" s="46"/>
      <c r="AP2" s="46"/>
      <c r="BP2" s="46"/>
      <c r="BQ2" s="46"/>
      <c r="CA2" s="46"/>
      <c r="CB2" s="46"/>
      <c r="CC2" s="46"/>
      <c r="CD2" s="55"/>
      <c r="CE2" s="55"/>
      <c r="CF2" s="55"/>
      <c r="CH2" s="46"/>
      <c r="CI2" s="46"/>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111"/>
  <sheetViews>
    <sheetView topLeftCell="Y1" workbookViewId="0"/>
  </sheetViews>
  <sheetFormatPr baseColWidth="10" defaultRowHeight="15" x14ac:dyDescent="0.25"/>
  <sheetData>
    <row r="1" spans="1:110" x14ac:dyDescent="0.25">
      <c r="A1" t="s">
        <v>1051</v>
      </c>
      <c r="B1" t="s">
        <v>1052</v>
      </c>
      <c r="C1" t="s">
        <v>1053</v>
      </c>
      <c r="D1" t="s">
        <v>1054</v>
      </c>
      <c r="E1" t="s">
        <v>1055</v>
      </c>
      <c r="F1" t="s">
        <v>1056</v>
      </c>
      <c r="G1" t="s">
        <v>1057</v>
      </c>
      <c r="H1" t="s">
        <v>1058</v>
      </c>
      <c r="I1" t="s">
        <v>1059</v>
      </c>
      <c r="J1" t="s">
        <v>1060</v>
      </c>
      <c r="K1" t="s">
        <v>1061</v>
      </c>
      <c r="L1" t="s">
        <v>1062</v>
      </c>
      <c r="M1" t="s">
        <v>1063</v>
      </c>
      <c r="N1" t="s">
        <v>1064</v>
      </c>
      <c r="O1" t="s">
        <v>1065</v>
      </c>
      <c r="P1" t="s">
        <v>1066</v>
      </c>
      <c r="Q1" t="s">
        <v>1067</v>
      </c>
      <c r="R1" t="s">
        <v>1068</v>
      </c>
      <c r="S1" t="s">
        <v>1069</v>
      </c>
      <c r="T1" t="s">
        <v>1070</v>
      </c>
      <c r="U1" t="s">
        <v>1071</v>
      </c>
      <c r="V1" t="s">
        <v>1072</v>
      </c>
      <c r="W1" t="s">
        <v>1073</v>
      </c>
      <c r="X1" t="s">
        <v>1074</v>
      </c>
      <c r="Y1" t="s">
        <v>1075</v>
      </c>
      <c r="Z1" t="s">
        <v>1076</v>
      </c>
      <c r="AA1" t="s">
        <v>1077</v>
      </c>
      <c r="AB1" t="s">
        <v>1078</v>
      </c>
      <c r="AC1" t="s">
        <v>1079</v>
      </c>
      <c r="AD1" t="s">
        <v>1080</v>
      </c>
      <c r="AE1" t="s">
        <v>1081</v>
      </c>
      <c r="AF1" t="s">
        <v>1082</v>
      </c>
      <c r="AG1" t="s">
        <v>1083</v>
      </c>
      <c r="AH1" t="s">
        <v>1084</v>
      </c>
      <c r="AI1" t="s">
        <v>1085</v>
      </c>
      <c r="AJ1" t="s">
        <v>1086</v>
      </c>
      <c r="AK1" t="s">
        <v>1087</v>
      </c>
      <c r="AL1" t="s">
        <v>1088</v>
      </c>
      <c r="AM1" t="s">
        <v>1089</v>
      </c>
      <c r="AN1" t="s">
        <v>1090</v>
      </c>
      <c r="AO1" t="s">
        <v>1091</v>
      </c>
      <c r="AP1" t="s">
        <v>1143</v>
      </c>
      <c r="AQ1" t="s">
        <v>1092</v>
      </c>
      <c r="AR1" t="s">
        <v>1093</v>
      </c>
      <c r="AS1" t="s">
        <v>1144</v>
      </c>
      <c r="AT1" t="s">
        <v>1094</v>
      </c>
      <c r="AU1" t="s">
        <v>1095</v>
      </c>
      <c r="AV1" t="s">
        <v>1096</v>
      </c>
      <c r="AW1" t="s">
        <v>1097</v>
      </c>
      <c r="AX1" t="s">
        <v>1098</v>
      </c>
      <c r="AY1" t="s">
        <v>1099</v>
      </c>
      <c r="AZ1" t="s">
        <v>1100</v>
      </c>
      <c r="BA1" t="s">
        <v>1101</v>
      </c>
      <c r="BB1" t="s">
        <v>1102</v>
      </c>
      <c r="BC1" t="s">
        <v>1103</v>
      </c>
      <c r="BD1" t="s">
        <v>1104</v>
      </c>
      <c r="BE1" t="s">
        <v>1105</v>
      </c>
      <c r="BF1" t="s">
        <v>1106</v>
      </c>
      <c r="BG1" t="s">
        <v>1107</v>
      </c>
      <c r="BH1" t="s">
        <v>1108</v>
      </c>
      <c r="BI1" t="s">
        <v>1109</v>
      </c>
      <c r="BJ1" t="s">
        <v>1110</v>
      </c>
      <c r="BK1" t="s">
        <v>1111</v>
      </c>
      <c r="BL1" t="s">
        <v>1112</v>
      </c>
      <c r="BM1" t="s">
        <v>1113</v>
      </c>
      <c r="BN1" t="s">
        <v>1114</v>
      </c>
      <c r="BO1" t="s">
        <v>1115</v>
      </c>
      <c r="BP1" t="s">
        <v>1116</v>
      </c>
      <c r="BQ1" t="s">
        <v>1145</v>
      </c>
      <c r="BR1" t="s">
        <v>1117</v>
      </c>
      <c r="BS1" t="s">
        <v>1118</v>
      </c>
      <c r="BT1" t="s">
        <v>1119</v>
      </c>
      <c r="BU1" t="s">
        <v>1120</v>
      </c>
      <c r="BV1" t="s">
        <v>1121</v>
      </c>
      <c r="BW1" t="s">
        <v>1122</v>
      </c>
      <c r="BX1" t="s">
        <v>1123</v>
      </c>
      <c r="BY1" t="s">
        <v>1124</v>
      </c>
      <c r="BZ1" t="s">
        <v>1125</v>
      </c>
      <c r="CA1" t="s">
        <v>1126</v>
      </c>
      <c r="CB1" t="s">
        <v>1127</v>
      </c>
      <c r="CC1" t="s">
        <v>1128</v>
      </c>
      <c r="CD1" t="s">
        <v>1129</v>
      </c>
      <c r="CE1" t="s">
        <v>1130</v>
      </c>
      <c r="CF1" t="s">
        <v>1131</v>
      </c>
      <c r="CG1" t="s">
        <v>1132</v>
      </c>
      <c r="CH1" t="s">
        <v>1133</v>
      </c>
      <c r="CI1" t="s">
        <v>1134</v>
      </c>
      <c r="CJ1" t="s">
        <v>1135</v>
      </c>
      <c r="CK1" t="s">
        <v>1136</v>
      </c>
      <c r="CL1" t="s">
        <v>1137</v>
      </c>
      <c r="CM1" t="s">
        <v>1138</v>
      </c>
      <c r="CN1" t="s">
        <v>1139</v>
      </c>
      <c r="CO1" t="s">
        <v>1140</v>
      </c>
      <c r="CP1" t="s">
        <v>1141</v>
      </c>
      <c r="CQ1" t="s">
        <v>970</v>
      </c>
      <c r="CR1" t="s">
        <v>972</v>
      </c>
      <c r="CS1" t="s">
        <v>1142</v>
      </c>
      <c r="CT1" t="s">
        <v>1018</v>
      </c>
      <c r="CU1" t="s">
        <v>1019</v>
      </c>
      <c r="CV1" t="s">
        <v>1021</v>
      </c>
      <c r="CW1" t="s">
        <v>893</v>
      </c>
      <c r="CX1" t="s">
        <v>894</v>
      </c>
      <c r="CY1" t="s">
        <v>895</v>
      </c>
      <c r="CZ1" t="s">
        <v>896</v>
      </c>
      <c r="DA1" t="s">
        <v>897</v>
      </c>
      <c r="DB1" t="s">
        <v>898</v>
      </c>
      <c r="DC1" t="s">
        <v>899</v>
      </c>
      <c r="DD1" t="s">
        <v>900</v>
      </c>
      <c r="DE1" t="s">
        <v>901</v>
      </c>
      <c r="DF1" t="s">
        <v>902</v>
      </c>
    </row>
    <row r="2" spans="1:110" x14ac:dyDescent="0.25">
      <c r="A2" t="s">
        <v>1664</v>
      </c>
      <c r="B2">
        <v>2</v>
      </c>
      <c r="C2" s="55">
        <v>42874</v>
      </c>
      <c r="D2" t="s">
        <v>1658</v>
      </c>
      <c r="E2" t="s">
        <v>1964</v>
      </c>
      <c r="G2" t="s">
        <v>1659</v>
      </c>
      <c r="H2" t="s">
        <v>1659</v>
      </c>
      <c r="I2" t="s">
        <v>1659</v>
      </c>
      <c r="J2" t="s">
        <v>1659</v>
      </c>
      <c r="K2" t="s">
        <v>1659</v>
      </c>
      <c r="L2">
        <v>36.659999999999997</v>
      </c>
      <c r="M2">
        <v>0</v>
      </c>
      <c r="N2">
        <v>0</v>
      </c>
      <c r="O2" s="55"/>
      <c r="P2" s="55"/>
      <c r="Q2">
        <v>13730</v>
      </c>
      <c r="R2">
        <v>15</v>
      </c>
      <c r="S2">
        <v>7</v>
      </c>
      <c r="T2">
        <v>3</v>
      </c>
      <c r="U2">
        <v>4</v>
      </c>
      <c r="V2">
        <v>1</v>
      </c>
      <c r="W2" t="s">
        <v>1686</v>
      </c>
      <c r="X2" t="s">
        <v>1965</v>
      </c>
      <c r="AA2">
        <v>0</v>
      </c>
      <c r="AB2">
        <v>0</v>
      </c>
      <c r="AC2">
        <v>0</v>
      </c>
      <c r="AD2">
        <v>0</v>
      </c>
      <c r="AE2">
        <v>0</v>
      </c>
      <c r="AF2">
        <v>0</v>
      </c>
      <c r="AG2">
        <v>0</v>
      </c>
      <c r="AJ2" s="55">
        <v>42666</v>
      </c>
      <c r="AK2" s="55"/>
      <c r="AL2" s="55"/>
      <c r="AO2">
        <v>1</v>
      </c>
      <c r="AP2" t="s">
        <v>1660</v>
      </c>
      <c r="AR2">
        <v>4</v>
      </c>
      <c r="AS2" t="s">
        <v>1661</v>
      </c>
      <c r="AT2">
        <v>1</v>
      </c>
      <c r="AV2">
        <v>12</v>
      </c>
      <c r="AW2">
        <v>8</v>
      </c>
      <c r="AX2">
        <v>4</v>
      </c>
      <c r="AY2" t="s">
        <v>1689</v>
      </c>
      <c r="AZ2" t="s">
        <v>1670</v>
      </c>
      <c r="BA2">
        <v>4</v>
      </c>
      <c r="BD2">
        <v>1000000000</v>
      </c>
      <c r="BE2">
        <v>8</v>
      </c>
      <c r="BF2">
        <v>0.33</v>
      </c>
      <c r="BG2">
        <v>7</v>
      </c>
      <c r="BH2">
        <v>0</v>
      </c>
      <c r="BI2">
        <v>0</v>
      </c>
      <c r="BJ2">
        <v>0</v>
      </c>
      <c r="BK2">
        <v>0</v>
      </c>
      <c r="BL2">
        <v>0</v>
      </c>
      <c r="BM2">
        <v>15</v>
      </c>
      <c r="BN2">
        <v>-0.25</v>
      </c>
      <c r="BR2">
        <v>0</v>
      </c>
      <c r="BS2">
        <v>7</v>
      </c>
      <c r="BX2">
        <v>0</v>
      </c>
      <c r="BY2">
        <v>0</v>
      </c>
      <c r="BZ2">
        <v>0</v>
      </c>
      <c r="CA2">
        <v>-6.86</v>
      </c>
      <c r="CC2">
        <v>1.75</v>
      </c>
      <c r="CD2" s="55">
        <v>42842</v>
      </c>
      <c r="CE2" s="55"/>
      <c r="CF2" s="55">
        <v>42842</v>
      </c>
      <c r="CG2" s="55">
        <v>42891</v>
      </c>
      <c r="CH2" s="55">
        <v>42873</v>
      </c>
      <c r="CI2" s="55">
        <v>42901</v>
      </c>
      <c r="CJ2">
        <v>0</v>
      </c>
      <c r="CK2">
        <v>0</v>
      </c>
      <c r="CL2">
        <v>0</v>
      </c>
      <c r="CM2">
        <v>0</v>
      </c>
      <c r="CN2">
        <v>0.7</v>
      </c>
      <c r="CO2">
        <v>0</v>
      </c>
      <c r="CP2">
        <v>0</v>
      </c>
      <c r="CQ2" t="s">
        <v>1664</v>
      </c>
      <c r="CR2" t="s">
        <v>1368</v>
      </c>
      <c r="CS2" t="s">
        <v>1665</v>
      </c>
      <c r="CT2" t="s">
        <v>1959</v>
      </c>
      <c r="CU2" t="s">
        <v>1966</v>
      </c>
      <c r="CV2" t="s">
        <v>1967</v>
      </c>
      <c r="DB2" t="s">
        <v>1968</v>
      </c>
      <c r="DE2" t="s">
        <v>1959</v>
      </c>
    </row>
    <row r="3" spans="1:110" x14ac:dyDescent="0.25">
      <c r="A3" t="s">
        <v>1664</v>
      </c>
      <c r="B3">
        <v>2</v>
      </c>
      <c r="C3" s="55">
        <v>42874</v>
      </c>
      <c r="D3" t="s">
        <v>1658</v>
      </c>
      <c r="E3" t="s">
        <v>1960</v>
      </c>
      <c r="G3" t="s">
        <v>1659</v>
      </c>
      <c r="H3" t="s">
        <v>1659</v>
      </c>
      <c r="I3" t="s">
        <v>1659</v>
      </c>
      <c r="J3" t="s">
        <v>1659</v>
      </c>
      <c r="K3" t="s">
        <v>1659</v>
      </c>
      <c r="L3">
        <v>38.049999999999997</v>
      </c>
      <c r="M3">
        <v>0</v>
      </c>
      <c r="N3">
        <v>0</v>
      </c>
      <c r="O3" s="55"/>
      <c r="P3" s="55"/>
      <c r="Q3">
        <v>13730</v>
      </c>
      <c r="R3">
        <v>15</v>
      </c>
      <c r="S3">
        <v>7</v>
      </c>
      <c r="T3">
        <v>3</v>
      </c>
      <c r="U3">
        <v>4</v>
      </c>
      <c r="V3">
        <v>1</v>
      </c>
      <c r="W3" t="s">
        <v>1686</v>
      </c>
      <c r="X3" t="s">
        <v>1965</v>
      </c>
      <c r="AA3">
        <v>0</v>
      </c>
      <c r="AB3">
        <v>0</v>
      </c>
      <c r="AC3">
        <v>0</v>
      </c>
      <c r="AD3">
        <v>0</v>
      </c>
      <c r="AE3">
        <v>0</v>
      </c>
      <c r="AF3">
        <v>27</v>
      </c>
      <c r="AG3">
        <v>0</v>
      </c>
      <c r="AJ3" s="55">
        <v>42666</v>
      </c>
      <c r="AK3" s="55"/>
      <c r="AL3" s="55"/>
      <c r="AO3">
        <v>1</v>
      </c>
      <c r="AP3" t="s">
        <v>1660</v>
      </c>
      <c r="AR3">
        <v>4</v>
      </c>
      <c r="AS3" t="s">
        <v>1661</v>
      </c>
      <c r="AT3">
        <v>1</v>
      </c>
      <c r="AV3">
        <v>48</v>
      </c>
      <c r="AW3">
        <v>32</v>
      </c>
      <c r="AX3">
        <v>16</v>
      </c>
      <c r="AY3" t="s">
        <v>838</v>
      </c>
      <c r="AZ3" t="s">
        <v>838</v>
      </c>
      <c r="BA3">
        <v>4</v>
      </c>
      <c r="BD3">
        <v>1000000000</v>
      </c>
      <c r="BE3">
        <v>0</v>
      </c>
      <c r="BF3">
        <v>1</v>
      </c>
      <c r="BG3">
        <v>0</v>
      </c>
      <c r="BH3">
        <v>0</v>
      </c>
      <c r="BI3">
        <v>0</v>
      </c>
      <c r="BJ3">
        <v>0</v>
      </c>
      <c r="BK3">
        <v>0</v>
      </c>
      <c r="BL3">
        <v>0</v>
      </c>
      <c r="BM3">
        <v>0</v>
      </c>
      <c r="BN3">
        <v>1</v>
      </c>
      <c r="BR3">
        <v>48</v>
      </c>
      <c r="BS3">
        <v>27</v>
      </c>
      <c r="BX3">
        <v>-608.79999999999995</v>
      </c>
      <c r="BY3">
        <v>0</v>
      </c>
      <c r="BZ3">
        <v>0</v>
      </c>
      <c r="CA3">
        <v>-6.86</v>
      </c>
      <c r="CC3">
        <v>1</v>
      </c>
      <c r="CD3" s="55">
        <v>42842</v>
      </c>
      <c r="CE3" s="55"/>
      <c r="CF3" s="55">
        <v>42842</v>
      </c>
      <c r="CG3" s="55">
        <v>42891</v>
      </c>
      <c r="CH3" s="55">
        <v>42842</v>
      </c>
      <c r="CI3" s="55">
        <v>42874</v>
      </c>
      <c r="CJ3">
        <v>1</v>
      </c>
      <c r="CK3">
        <v>0</v>
      </c>
      <c r="CL3">
        <v>0.7</v>
      </c>
      <c r="CM3">
        <v>0</v>
      </c>
      <c r="CN3">
        <v>0</v>
      </c>
      <c r="CO3">
        <v>0</v>
      </c>
      <c r="CP3">
        <v>0</v>
      </c>
      <c r="CQ3" t="s">
        <v>1664</v>
      </c>
      <c r="CR3" t="s">
        <v>1368</v>
      </c>
      <c r="CS3" t="s">
        <v>1665</v>
      </c>
      <c r="CT3" t="s">
        <v>1959</v>
      </c>
      <c r="CU3" t="s">
        <v>1966</v>
      </c>
      <c r="CV3" t="s">
        <v>1969</v>
      </c>
      <c r="DB3" t="s">
        <v>1970</v>
      </c>
      <c r="DE3" t="s">
        <v>1959</v>
      </c>
    </row>
    <row r="4" spans="1:110" x14ac:dyDescent="0.25">
      <c r="A4" t="s">
        <v>1664</v>
      </c>
      <c r="B4">
        <v>2</v>
      </c>
      <c r="C4" s="55">
        <v>42874</v>
      </c>
      <c r="D4" t="s">
        <v>1658</v>
      </c>
      <c r="E4" t="s">
        <v>1971</v>
      </c>
      <c r="G4" t="s">
        <v>1659</v>
      </c>
      <c r="H4" t="s">
        <v>1659</v>
      </c>
      <c r="I4" t="s">
        <v>1659</v>
      </c>
      <c r="J4" t="s">
        <v>1659</v>
      </c>
      <c r="K4" t="s">
        <v>1659</v>
      </c>
      <c r="L4">
        <v>30.15</v>
      </c>
      <c r="M4">
        <v>0</v>
      </c>
      <c r="N4">
        <v>0</v>
      </c>
      <c r="O4" s="55"/>
      <c r="P4" s="55"/>
      <c r="Q4">
        <v>13730</v>
      </c>
      <c r="R4">
        <v>15</v>
      </c>
      <c r="S4">
        <v>7</v>
      </c>
      <c r="T4">
        <v>3</v>
      </c>
      <c r="U4">
        <v>4</v>
      </c>
      <c r="V4">
        <v>1</v>
      </c>
      <c r="X4" t="s">
        <v>1972</v>
      </c>
      <c r="AA4">
        <v>0</v>
      </c>
      <c r="AB4">
        <v>0</v>
      </c>
      <c r="AC4">
        <v>0</v>
      </c>
      <c r="AD4">
        <v>0</v>
      </c>
      <c r="AE4">
        <v>0</v>
      </c>
      <c r="AF4">
        <v>0</v>
      </c>
      <c r="AG4">
        <v>0</v>
      </c>
      <c r="AJ4" s="55">
        <v>42666</v>
      </c>
      <c r="AK4" s="55"/>
      <c r="AL4" s="55"/>
      <c r="AO4">
        <v>1</v>
      </c>
      <c r="AP4" t="s">
        <v>1660</v>
      </c>
      <c r="AR4">
        <v>4</v>
      </c>
      <c r="AS4" t="s">
        <v>1661</v>
      </c>
      <c r="AT4">
        <v>1</v>
      </c>
      <c r="AV4">
        <v>0</v>
      </c>
      <c r="AW4">
        <v>0</v>
      </c>
      <c r="AX4">
        <v>0</v>
      </c>
      <c r="AY4" t="s">
        <v>1662</v>
      </c>
      <c r="AZ4" t="s">
        <v>1662</v>
      </c>
      <c r="BA4">
        <v>4</v>
      </c>
      <c r="BD4">
        <v>1000000000</v>
      </c>
      <c r="BE4">
        <v>0</v>
      </c>
      <c r="BF4">
        <v>0</v>
      </c>
      <c r="BG4">
        <v>0</v>
      </c>
      <c r="BH4">
        <v>0</v>
      </c>
      <c r="BI4">
        <v>0</v>
      </c>
      <c r="BJ4">
        <v>0</v>
      </c>
      <c r="BK4">
        <v>0</v>
      </c>
      <c r="BL4">
        <v>0</v>
      </c>
      <c r="BM4">
        <v>0</v>
      </c>
      <c r="BN4">
        <v>0</v>
      </c>
      <c r="BR4">
        <v>0</v>
      </c>
      <c r="BS4">
        <v>0</v>
      </c>
      <c r="BX4">
        <v>0</v>
      </c>
      <c r="BY4">
        <v>0</v>
      </c>
      <c r="BZ4">
        <v>0</v>
      </c>
      <c r="CA4">
        <v>0</v>
      </c>
      <c r="CC4">
        <v>0</v>
      </c>
      <c r="CD4" s="55">
        <v>42814</v>
      </c>
      <c r="CE4" s="55"/>
      <c r="CF4" s="55">
        <v>42825</v>
      </c>
      <c r="CG4" s="55">
        <v>42874</v>
      </c>
      <c r="CH4" s="55">
        <v>0</v>
      </c>
      <c r="CI4" s="55">
        <v>0</v>
      </c>
      <c r="CJ4">
        <v>1</v>
      </c>
      <c r="CK4">
        <v>0</v>
      </c>
      <c r="CL4">
        <v>0.96</v>
      </c>
      <c r="CM4">
        <v>0</v>
      </c>
      <c r="CN4">
        <v>0</v>
      </c>
      <c r="CO4">
        <v>0</v>
      </c>
      <c r="CP4">
        <v>0</v>
      </c>
      <c r="CQ4" t="s">
        <v>1664</v>
      </c>
      <c r="CR4" t="s">
        <v>1368</v>
      </c>
      <c r="CS4" t="s">
        <v>1665</v>
      </c>
      <c r="CT4" t="s">
        <v>1959</v>
      </c>
      <c r="CU4" t="s">
        <v>1966</v>
      </c>
      <c r="CV4" t="s">
        <v>1973</v>
      </c>
      <c r="DB4" t="s">
        <v>1970</v>
      </c>
      <c r="DE4" t="s">
        <v>1959</v>
      </c>
    </row>
    <row r="5" spans="1:110" x14ac:dyDescent="0.25">
      <c r="A5" t="s">
        <v>1664</v>
      </c>
      <c r="B5">
        <v>2</v>
      </c>
      <c r="C5" s="55">
        <v>42874</v>
      </c>
      <c r="D5" t="s">
        <v>1658</v>
      </c>
      <c r="E5" t="s">
        <v>1559</v>
      </c>
      <c r="G5" t="s">
        <v>1659</v>
      </c>
      <c r="H5" t="s">
        <v>1659</v>
      </c>
      <c r="I5" t="s">
        <v>1659</v>
      </c>
      <c r="J5" t="s">
        <v>1659</v>
      </c>
      <c r="K5" t="s">
        <v>1659</v>
      </c>
      <c r="L5">
        <v>29.43</v>
      </c>
      <c r="M5">
        <v>58.87</v>
      </c>
      <c r="N5">
        <v>0</v>
      </c>
      <c r="O5" s="55"/>
      <c r="P5" s="55"/>
      <c r="Q5">
        <v>13730</v>
      </c>
      <c r="R5">
        <v>15</v>
      </c>
      <c r="S5">
        <v>7</v>
      </c>
      <c r="T5">
        <v>3</v>
      </c>
      <c r="U5">
        <v>4</v>
      </c>
      <c r="V5">
        <v>1</v>
      </c>
      <c r="W5" t="s">
        <v>1671</v>
      </c>
      <c r="X5" t="s">
        <v>1972</v>
      </c>
      <c r="AA5">
        <v>8.1199999999999992</v>
      </c>
      <c r="AB5">
        <v>86</v>
      </c>
      <c r="AC5">
        <v>3.29</v>
      </c>
      <c r="AD5">
        <v>3.88</v>
      </c>
      <c r="AE5">
        <v>0.03</v>
      </c>
      <c r="AF5">
        <v>0</v>
      </c>
      <c r="AG5">
        <v>0</v>
      </c>
      <c r="AJ5" s="55">
        <v>42666</v>
      </c>
      <c r="AK5" s="55"/>
      <c r="AL5" s="55">
        <v>42796</v>
      </c>
      <c r="AO5">
        <v>1</v>
      </c>
      <c r="AP5" t="s">
        <v>1660</v>
      </c>
      <c r="AR5">
        <v>4</v>
      </c>
      <c r="AS5" t="s">
        <v>1661</v>
      </c>
      <c r="AT5">
        <v>1</v>
      </c>
      <c r="AV5">
        <v>107</v>
      </c>
      <c r="AW5">
        <v>71</v>
      </c>
      <c r="AX5">
        <v>35</v>
      </c>
      <c r="AY5" t="s">
        <v>1689</v>
      </c>
      <c r="AZ5" t="s">
        <v>1670</v>
      </c>
      <c r="BA5">
        <v>80</v>
      </c>
      <c r="BD5">
        <v>1000000000</v>
      </c>
      <c r="BE5">
        <v>66</v>
      </c>
      <c r="BF5">
        <v>0.38</v>
      </c>
      <c r="BG5">
        <v>60</v>
      </c>
      <c r="BH5">
        <v>0</v>
      </c>
      <c r="BI5">
        <v>0</v>
      </c>
      <c r="BJ5">
        <v>0</v>
      </c>
      <c r="BK5">
        <v>0</v>
      </c>
      <c r="BL5">
        <v>0</v>
      </c>
      <c r="BM5">
        <v>126</v>
      </c>
      <c r="BN5">
        <v>-0.18</v>
      </c>
      <c r="BR5">
        <v>0</v>
      </c>
      <c r="BS5">
        <v>61</v>
      </c>
      <c r="BX5">
        <v>0</v>
      </c>
      <c r="BY5">
        <v>0</v>
      </c>
      <c r="BZ5">
        <v>0</v>
      </c>
      <c r="CA5">
        <v>6.86</v>
      </c>
      <c r="CC5">
        <v>1.5</v>
      </c>
      <c r="CD5" s="55">
        <v>42814</v>
      </c>
      <c r="CE5" s="55"/>
      <c r="CF5" s="55">
        <v>42825</v>
      </c>
      <c r="CG5" s="55">
        <v>42874</v>
      </c>
      <c r="CH5" s="55">
        <v>42873</v>
      </c>
      <c r="CI5" s="55">
        <v>42901</v>
      </c>
      <c r="CJ5">
        <v>0.19</v>
      </c>
      <c r="CK5">
        <v>0</v>
      </c>
      <c r="CL5">
        <v>0</v>
      </c>
      <c r="CM5">
        <v>0</v>
      </c>
      <c r="CN5">
        <v>0.23</v>
      </c>
      <c r="CO5">
        <v>0.48</v>
      </c>
      <c r="CP5">
        <v>0.25</v>
      </c>
      <c r="CQ5" t="s">
        <v>1664</v>
      </c>
      <c r="CR5" t="s">
        <v>1368</v>
      </c>
      <c r="CS5" t="s">
        <v>1665</v>
      </c>
      <c r="CT5" t="s">
        <v>1959</v>
      </c>
      <c r="CU5" t="s">
        <v>1966</v>
      </c>
      <c r="CV5" t="s">
        <v>1974</v>
      </c>
      <c r="DB5" t="s">
        <v>1968</v>
      </c>
      <c r="DE5" t="s">
        <v>1959</v>
      </c>
    </row>
    <row r="6" spans="1:110" x14ac:dyDescent="0.25">
      <c r="A6" t="s">
        <v>1664</v>
      </c>
      <c r="B6">
        <v>2</v>
      </c>
      <c r="C6" s="55">
        <v>42874</v>
      </c>
      <c r="D6" t="s">
        <v>1658</v>
      </c>
      <c r="E6" t="s">
        <v>1560</v>
      </c>
      <c r="G6" t="s">
        <v>1659</v>
      </c>
      <c r="H6" t="s">
        <v>1659</v>
      </c>
      <c r="I6" t="s">
        <v>1659</v>
      </c>
      <c r="J6" t="s">
        <v>1659</v>
      </c>
      <c r="K6" t="s">
        <v>1659</v>
      </c>
      <c r="L6">
        <v>36.840000000000003</v>
      </c>
      <c r="M6">
        <v>76.91</v>
      </c>
      <c r="N6">
        <v>0</v>
      </c>
      <c r="O6" s="55"/>
      <c r="P6" s="55"/>
      <c r="Q6">
        <v>13730</v>
      </c>
      <c r="R6">
        <v>15</v>
      </c>
      <c r="S6">
        <v>7</v>
      </c>
      <c r="T6">
        <v>3</v>
      </c>
      <c r="U6">
        <v>4</v>
      </c>
      <c r="V6">
        <v>1</v>
      </c>
      <c r="X6" t="s">
        <v>1690</v>
      </c>
      <c r="AA6">
        <v>1.66</v>
      </c>
      <c r="AB6">
        <v>18</v>
      </c>
      <c r="AC6">
        <v>0</v>
      </c>
      <c r="AD6">
        <v>6.93</v>
      </c>
      <c r="AE6">
        <v>0.15</v>
      </c>
      <c r="AF6">
        <v>0</v>
      </c>
      <c r="AG6">
        <v>0</v>
      </c>
      <c r="AJ6" s="55">
        <v>42666</v>
      </c>
      <c r="AK6" s="55"/>
      <c r="AL6" s="55"/>
      <c r="AO6">
        <v>1</v>
      </c>
      <c r="AP6" t="s">
        <v>1660</v>
      </c>
      <c r="AR6">
        <v>4</v>
      </c>
      <c r="AS6" t="s">
        <v>1661</v>
      </c>
      <c r="AT6">
        <v>1</v>
      </c>
      <c r="AV6">
        <v>0</v>
      </c>
      <c r="AW6">
        <v>0</v>
      </c>
      <c r="AX6">
        <v>0</v>
      </c>
      <c r="AY6" t="s">
        <v>1662</v>
      </c>
      <c r="AZ6" t="s">
        <v>1662</v>
      </c>
      <c r="BA6">
        <v>28</v>
      </c>
      <c r="BD6">
        <v>1000000000</v>
      </c>
      <c r="BE6">
        <v>46</v>
      </c>
      <c r="BF6">
        <v>0</v>
      </c>
      <c r="BG6">
        <v>0</v>
      </c>
      <c r="BH6">
        <v>0</v>
      </c>
      <c r="BI6">
        <v>0</v>
      </c>
      <c r="BJ6">
        <v>0</v>
      </c>
      <c r="BK6">
        <v>0</v>
      </c>
      <c r="BL6">
        <v>0</v>
      </c>
      <c r="BM6">
        <v>46</v>
      </c>
      <c r="BN6">
        <v>0</v>
      </c>
      <c r="BR6">
        <v>0</v>
      </c>
      <c r="BS6">
        <v>0</v>
      </c>
      <c r="BX6">
        <v>0</v>
      </c>
      <c r="BY6">
        <v>0</v>
      </c>
      <c r="BZ6">
        <v>0</v>
      </c>
      <c r="CA6">
        <v>0</v>
      </c>
      <c r="CC6">
        <v>0</v>
      </c>
      <c r="CD6" s="55">
        <v>42816</v>
      </c>
      <c r="CE6" s="55"/>
      <c r="CF6" s="55">
        <v>42825</v>
      </c>
      <c r="CG6" s="55">
        <v>42874</v>
      </c>
      <c r="CH6" s="55">
        <v>0</v>
      </c>
      <c r="CI6" s="55">
        <v>0</v>
      </c>
      <c r="CJ6">
        <v>0.13</v>
      </c>
      <c r="CK6">
        <v>0</v>
      </c>
      <c r="CL6">
        <v>0</v>
      </c>
      <c r="CM6">
        <v>0</v>
      </c>
      <c r="CN6">
        <v>0</v>
      </c>
      <c r="CO6">
        <v>0</v>
      </c>
      <c r="CP6">
        <v>0.96</v>
      </c>
      <c r="CQ6" t="s">
        <v>1664</v>
      </c>
      <c r="CR6" t="s">
        <v>1368</v>
      </c>
      <c r="CS6" t="s">
        <v>1665</v>
      </c>
      <c r="CT6" t="s">
        <v>1959</v>
      </c>
      <c r="CU6" t="s">
        <v>1966</v>
      </c>
      <c r="CV6" t="s">
        <v>1975</v>
      </c>
      <c r="DB6" t="s">
        <v>1976</v>
      </c>
      <c r="DE6" t="s">
        <v>1959</v>
      </c>
    </row>
    <row r="7" spans="1:110" x14ac:dyDescent="0.25">
      <c r="A7" t="s">
        <v>1664</v>
      </c>
      <c r="B7">
        <v>2</v>
      </c>
      <c r="C7" s="55">
        <v>42874</v>
      </c>
      <c r="D7" t="s">
        <v>1658</v>
      </c>
      <c r="E7" t="s">
        <v>1701</v>
      </c>
      <c r="G7" t="s">
        <v>1659</v>
      </c>
      <c r="H7" t="s">
        <v>1659</v>
      </c>
      <c r="I7" t="s">
        <v>1659</v>
      </c>
      <c r="J7" t="s">
        <v>1659</v>
      </c>
      <c r="K7" t="s">
        <v>1659</v>
      </c>
      <c r="L7">
        <v>32.840000000000003</v>
      </c>
      <c r="M7">
        <v>0</v>
      </c>
      <c r="N7">
        <v>0</v>
      </c>
      <c r="O7" s="55"/>
      <c r="P7" s="55"/>
      <c r="Q7">
        <v>13730</v>
      </c>
      <c r="R7">
        <v>15</v>
      </c>
      <c r="S7">
        <v>7</v>
      </c>
      <c r="T7">
        <v>3</v>
      </c>
      <c r="U7">
        <v>4</v>
      </c>
      <c r="V7">
        <v>1</v>
      </c>
      <c r="X7" t="s">
        <v>1977</v>
      </c>
      <c r="Z7" t="s">
        <v>1669</v>
      </c>
      <c r="AA7">
        <v>5.59</v>
      </c>
      <c r="AB7">
        <v>59</v>
      </c>
      <c r="AC7">
        <v>0.18</v>
      </c>
      <c r="AD7">
        <v>0.31</v>
      </c>
      <c r="AE7">
        <v>0.04</v>
      </c>
      <c r="AF7">
        <v>0</v>
      </c>
      <c r="AG7">
        <v>0</v>
      </c>
      <c r="AJ7" s="55">
        <v>42845</v>
      </c>
      <c r="AK7" s="55"/>
      <c r="AL7" s="55"/>
      <c r="AO7">
        <v>1</v>
      </c>
      <c r="AP7" t="s">
        <v>1660</v>
      </c>
      <c r="AR7">
        <v>4</v>
      </c>
      <c r="AS7" t="s">
        <v>1661</v>
      </c>
      <c r="AT7">
        <v>1</v>
      </c>
      <c r="AV7">
        <v>4</v>
      </c>
      <c r="AW7">
        <v>3</v>
      </c>
      <c r="AX7">
        <v>1</v>
      </c>
      <c r="AY7" t="s">
        <v>1670</v>
      </c>
      <c r="AZ7" t="s">
        <v>1670</v>
      </c>
      <c r="BA7">
        <v>0</v>
      </c>
      <c r="BD7">
        <v>1000000000</v>
      </c>
      <c r="BE7">
        <v>7</v>
      </c>
      <c r="BF7">
        <v>-0.75</v>
      </c>
      <c r="BG7">
        <v>0</v>
      </c>
      <c r="BH7">
        <v>0</v>
      </c>
      <c r="BI7">
        <v>0</v>
      </c>
      <c r="BJ7">
        <v>0</v>
      </c>
      <c r="BK7">
        <v>0</v>
      </c>
      <c r="BL7">
        <v>0</v>
      </c>
      <c r="BM7">
        <v>7</v>
      </c>
      <c r="BN7">
        <v>-0.75</v>
      </c>
      <c r="BR7">
        <v>0</v>
      </c>
      <c r="BS7">
        <v>2</v>
      </c>
      <c r="BX7">
        <v>0</v>
      </c>
      <c r="BY7">
        <v>98.52</v>
      </c>
      <c r="BZ7">
        <v>0</v>
      </c>
      <c r="CA7">
        <v>-6.86</v>
      </c>
      <c r="CC7">
        <v>0</v>
      </c>
      <c r="CD7" s="55">
        <v>42772</v>
      </c>
      <c r="CE7" s="55"/>
      <c r="CF7" s="55">
        <v>42825</v>
      </c>
      <c r="CG7" s="55">
        <v>42874</v>
      </c>
      <c r="CH7" s="55">
        <v>0</v>
      </c>
      <c r="CI7" s="55">
        <v>0</v>
      </c>
      <c r="CJ7">
        <v>0</v>
      </c>
      <c r="CK7">
        <v>0</v>
      </c>
      <c r="CL7">
        <v>0</v>
      </c>
      <c r="CM7">
        <v>0</v>
      </c>
      <c r="CN7">
        <v>0</v>
      </c>
      <c r="CO7">
        <v>0</v>
      </c>
      <c r="CP7">
        <v>0.96</v>
      </c>
      <c r="CQ7" t="s">
        <v>1664</v>
      </c>
      <c r="CR7" t="s">
        <v>1368</v>
      </c>
      <c r="CS7" t="s">
        <v>1665</v>
      </c>
      <c r="CT7" t="s">
        <v>1959</v>
      </c>
      <c r="CU7" t="s">
        <v>1966</v>
      </c>
      <c r="CV7" t="s">
        <v>1978</v>
      </c>
      <c r="DB7" t="s">
        <v>1979</v>
      </c>
      <c r="DE7" t="s">
        <v>1959</v>
      </c>
    </row>
    <row r="8" spans="1:110" x14ac:dyDescent="0.25">
      <c r="A8" t="s">
        <v>1664</v>
      </c>
      <c r="B8">
        <v>2</v>
      </c>
      <c r="C8" s="55">
        <v>42874</v>
      </c>
      <c r="D8" t="s">
        <v>1658</v>
      </c>
      <c r="E8" t="s">
        <v>1980</v>
      </c>
      <c r="G8" t="s">
        <v>1659</v>
      </c>
      <c r="H8" t="s">
        <v>1659</v>
      </c>
      <c r="I8" t="s">
        <v>1659</v>
      </c>
      <c r="J8" t="s">
        <v>1659</v>
      </c>
      <c r="K8" t="s">
        <v>1659</v>
      </c>
      <c r="L8">
        <v>0</v>
      </c>
      <c r="M8">
        <v>0</v>
      </c>
      <c r="N8">
        <v>0</v>
      </c>
      <c r="O8" s="55"/>
      <c r="P8" s="55"/>
      <c r="Q8">
        <v>13730</v>
      </c>
      <c r="R8">
        <v>15</v>
      </c>
      <c r="S8">
        <v>7</v>
      </c>
      <c r="T8">
        <v>3</v>
      </c>
      <c r="U8">
        <v>4</v>
      </c>
      <c r="V8">
        <v>1</v>
      </c>
      <c r="X8" t="s">
        <v>1981</v>
      </c>
      <c r="AA8">
        <v>0</v>
      </c>
      <c r="AB8">
        <v>0</v>
      </c>
      <c r="AC8">
        <v>0</v>
      </c>
      <c r="AD8">
        <v>0</v>
      </c>
      <c r="AE8">
        <v>0</v>
      </c>
      <c r="AF8">
        <v>0</v>
      </c>
      <c r="AG8">
        <v>0</v>
      </c>
      <c r="AJ8" s="55">
        <v>42666</v>
      </c>
      <c r="AK8" s="55"/>
      <c r="AL8" s="55"/>
      <c r="AO8">
        <v>1</v>
      </c>
      <c r="AP8" t="s">
        <v>1660</v>
      </c>
      <c r="AR8">
        <v>4</v>
      </c>
      <c r="AS8" t="s">
        <v>1661</v>
      </c>
      <c r="AT8">
        <v>1</v>
      </c>
      <c r="AV8">
        <v>0</v>
      </c>
      <c r="AW8">
        <v>0</v>
      </c>
      <c r="AX8">
        <v>0</v>
      </c>
      <c r="AY8" t="s">
        <v>1662</v>
      </c>
      <c r="AZ8" t="s">
        <v>1662</v>
      </c>
      <c r="BA8">
        <v>4</v>
      </c>
      <c r="BD8">
        <v>1000000000</v>
      </c>
      <c r="BE8">
        <v>0</v>
      </c>
      <c r="BF8">
        <v>0</v>
      </c>
      <c r="BG8">
        <v>0</v>
      </c>
      <c r="BH8">
        <v>0</v>
      </c>
      <c r="BI8">
        <v>0</v>
      </c>
      <c r="BJ8">
        <v>0</v>
      </c>
      <c r="BK8">
        <v>0</v>
      </c>
      <c r="BL8">
        <v>0</v>
      </c>
      <c r="BM8">
        <v>0</v>
      </c>
      <c r="BN8">
        <v>0</v>
      </c>
      <c r="BR8">
        <v>0</v>
      </c>
      <c r="BS8">
        <v>0</v>
      </c>
      <c r="BX8">
        <v>0</v>
      </c>
      <c r="BY8">
        <v>0</v>
      </c>
      <c r="BZ8">
        <v>0</v>
      </c>
      <c r="CA8">
        <v>0</v>
      </c>
      <c r="CC8">
        <v>0</v>
      </c>
      <c r="CD8" s="55">
        <v>42815</v>
      </c>
      <c r="CE8" s="55"/>
      <c r="CF8" s="55">
        <v>42825</v>
      </c>
      <c r="CG8" s="55">
        <v>42874</v>
      </c>
      <c r="CH8" s="55">
        <v>0</v>
      </c>
      <c r="CI8" s="55">
        <v>0</v>
      </c>
      <c r="CJ8">
        <v>1</v>
      </c>
      <c r="CK8">
        <v>0</v>
      </c>
      <c r="CL8">
        <v>0.96</v>
      </c>
      <c r="CM8">
        <v>0</v>
      </c>
      <c r="CN8">
        <v>0</v>
      </c>
      <c r="CO8">
        <v>0</v>
      </c>
      <c r="CP8">
        <v>0</v>
      </c>
      <c r="CQ8" t="s">
        <v>1664</v>
      </c>
      <c r="CR8" t="s">
        <v>1368</v>
      </c>
      <c r="CS8" t="s">
        <v>1665</v>
      </c>
      <c r="CT8" t="s">
        <v>1959</v>
      </c>
      <c r="CU8" t="s">
        <v>1966</v>
      </c>
      <c r="CV8" t="s">
        <v>1982</v>
      </c>
      <c r="DB8" t="s">
        <v>1983</v>
      </c>
      <c r="DE8" t="s">
        <v>1959</v>
      </c>
    </row>
    <row r="9" spans="1:110" x14ac:dyDescent="0.25">
      <c r="A9" t="s">
        <v>1664</v>
      </c>
      <c r="B9">
        <v>2</v>
      </c>
      <c r="C9" s="55">
        <v>42874</v>
      </c>
      <c r="D9" t="s">
        <v>1658</v>
      </c>
      <c r="E9" t="s">
        <v>1984</v>
      </c>
      <c r="G9" t="s">
        <v>1659</v>
      </c>
      <c r="H9" t="s">
        <v>1659</v>
      </c>
      <c r="I9" t="s">
        <v>1659</v>
      </c>
      <c r="J9" t="s">
        <v>1659</v>
      </c>
      <c r="K9" t="s">
        <v>1659</v>
      </c>
      <c r="L9">
        <v>37.799999999999997</v>
      </c>
      <c r="M9">
        <v>0</v>
      </c>
      <c r="N9">
        <v>0</v>
      </c>
      <c r="O9" s="55"/>
      <c r="P9" s="55"/>
      <c r="Q9">
        <v>13730</v>
      </c>
      <c r="R9">
        <v>15</v>
      </c>
      <c r="S9">
        <v>7</v>
      </c>
      <c r="T9">
        <v>3</v>
      </c>
      <c r="U9">
        <v>4</v>
      </c>
      <c r="V9">
        <v>1</v>
      </c>
      <c r="X9" t="s">
        <v>1690</v>
      </c>
      <c r="AA9">
        <v>0</v>
      </c>
      <c r="AB9">
        <v>0</v>
      </c>
      <c r="AC9">
        <v>0</v>
      </c>
      <c r="AD9">
        <v>0</v>
      </c>
      <c r="AE9">
        <v>0</v>
      </c>
      <c r="AF9">
        <v>0</v>
      </c>
      <c r="AG9">
        <v>0</v>
      </c>
      <c r="AJ9" s="55">
        <v>42666</v>
      </c>
      <c r="AK9" s="55"/>
      <c r="AL9" s="55"/>
      <c r="AO9">
        <v>1</v>
      </c>
      <c r="AP9" t="s">
        <v>1660</v>
      </c>
      <c r="AR9">
        <v>4</v>
      </c>
      <c r="AS9" t="s">
        <v>1661</v>
      </c>
      <c r="AT9">
        <v>1</v>
      </c>
      <c r="AV9">
        <v>0</v>
      </c>
      <c r="AW9">
        <v>0</v>
      </c>
      <c r="AX9">
        <v>0</v>
      </c>
      <c r="AY9" t="s">
        <v>1662</v>
      </c>
      <c r="AZ9" t="s">
        <v>1662</v>
      </c>
      <c r="BA9">
        <v>4</v>
      </c>
      <c r="BD9">
        <v>1000000000</v>
      </c>
      <c r="BE9">
        <v>6</v>
      </c>
      <c r="BF9">
        <v>0</v>
      </c>
      <c r="BG9">
        <v>0</v>
      </c>
      <c r="BH9">
        <v>0</v>
      </c>
      <c r="BI9">
        <v>0</v>
      </c>
      <c r="BJ9">
        <v>0</v>
      </c>
      <c r="BK9">
        <v>0</v>
      </c>
      <c r="BL9">
        <v>0</v>
      </c>
      <c r="BM9">
        <v>6</v>
      </c>
      <c r="BN9">
        <v>0</v>
      </c>
      <c r="BR9">
        <v>0</v>
      </c>
      <c r="BS9">
        <v>0</v>
      </c>
      <c r="BX9">
        <v>0</v>
      </c>
      <c r="BY9">
        <v>0</v>
      </c>
      <c r="BZ9">
        <v>0</v>
      </c>
      <c r="CA9">
        <v>0</v>
      </c>
      <c r="CC9">
        <v>0</v>
      </c>
      <c r="CD9" s="55">
        <v>42816</v>
      </c>
      <c r="CE9" s="55"/>
      <c r="CF9" s="55">
        <v>42825</v>
      </c>
      <c r="CG9" s="55">
        <v>42874</v>
      </c>
      <c r="CH9" s="55">
        <v>0</v>
      </c>
      <c r="CI9" s="55">
        <v>0</v>
      </c>
      <c r="CJ9">
        <v>0</v>
      </c>
      <c r="CK9">
        <v>0</v>
      </c>
      <c r="CL9">
        <v>0</v>
      </c>
      <c r="CM9">
        <v>0</v>
      </c>
      <c r="CN9">
        <v>0</v>
      </c>
      <c r="CO9">
        <v>0</v>
      </c>
      <c r="CP9">
        <v>0.96</v>
      </c>
      <c r="CQ9" t="s">
        <v>1664</v>
      </c>
      <c r="CR9" t="s">
        <v>1368</v>
      </c>
      <c r="CS9" t="s">
        <v>1665</v>
      </c>
      <c r="CT9" t="s">
        <v>1959</v>
      </c>
      <c r="CU9" t="s">
        <v>1966</v>
      </c>
      <c r="CV9" t="s">
        <v>1985</v>
      </c>
      <c r="DB9" t="s">
        <v>1986</v>
      </c>
      <c r="DE9" t="s">
        <v>1959</v>
      </c>
    </row>
    <row r="10" spans="1:110" x14ac:dyDescent="0.25">
      <c r="A10" t="s">
        <v>1664</v>
      </c>
      <c r="B10">
        <v>2</v>
      </c>
      <c r="C10" s="55">
        <v>42874</v>
      </c>
      <c r="D10" t="s">
        <v>1658</v>
      </c>
      <c r="E10" t="s">
        <v>1702</v>
      </c>
      <c r="G10" t="s">
        <v>1659</v>
      </c>
      <c r="H10" t="s">
        <v>1659</v>
      </c>
      <c r="I10" t="s">
        <v>1659</v>
      </c>
      <c r="J10" t="s">
        <v>1659</v>
      </c>
      <c r="K10" t="s">
        <v>1659</v>
      </c>
      <c r="L10">
        <v>34.21</v>
      </c>
      <c r="M10">
        <v>95.2</v>
      </c>
      <c r="N10">
        <v>0</v>
      </c>
      <c r="O10" s="55"/>
      <c r="P10" s="55"/>
      <c r="Q10">
        <v>13730</v>
      </c>
      <c r="R10">
        <v>15</v>
      </c>
      <c r="S10">
        <v>7</v>
      </c>
      <c r="T10">
        <v>3</v>
      </c>
      <c r="U10">
        <v>4</v>
      </c>
      <c r="V10">
        <v>1</v>
      </c>
      <c r="W10" t="s">
        <v>1686</v>
      </c>
      <c r="X10" t="s">
        <v>1977</v>
      </c>
      <c r="Y10">
        <v>3</v>
      </c>
      <c r="Z10" t="s">
        <v>1669</v>
      </c>
      <c r="AA10">
        <v>1.45</v>
      </c>
      <c r="AB10">
        <v>16</v>
      </c>
      <c r="AC10">
        <v>0.69</v>
      </c>
      <c r="AD10">
        <v>0.52</v>
      </c>
      <c r="AE10">
        <v>0.17</v>
      </c>
      <c r="AF10">
        <v>0</v>
      </c>
      <c r="AG10">
        <v>0</v>
      </c>
      <c r="AJ10" s="55">
        <v>42845</v>
      </c>
      <c r="AK10" s="55"/>
      <c r="AL10" s="55">
        <v>42872</v>
      </c>
      <c r="AO10">
        <v>1</v>
      </c>
      <c r="AP10" t="s">
        <v>1660</v>
      </c>
      <c r="AR10">
        <v>4</v>
      </c>
      <c r="AS10" t="s">
        <v>1661</v>
      </c>
      <c r="AT10">
        <v>1</v>
      </c>
      <c r="AV10">
        <v>4</v>
      </c>
      <c r="AW10">
        <v>3</v>
      </c>
      <c r="AX10">
        <v>1</v>
      </c>
      <c r="AY10" t="s">
        <v>1689</v>
      </c>
      <c r="AZ10" t="s">
        <v>1689</v>
      </c>
      <c r="BA10">
        <v>0</v>
      </c>
      <c r="BD10">
        <v>1000000000</v>
      </c>
      <c r="BE10">
        <v>3</v>
      </c>
      <c r="BF10">
        <v>0.25</v>
      </c>
      <c r="BG10">
        <v>0</v>
      </c>
      <c r="BH10">
        <v>0</v>
      </c>
      <c r="BI10">
        <v>0</v>
      </c>
      <c r="BJ10">
        <v>0</v>
      </c>
      <c r="BK10">
        <v>0</v>
      </c>
      <c r="BL10">
        <v>0</v>
      </c>
      <c r="BM10">
        <v>3</v>
      </c>
      <c r="BN10">
        <v>0.25</v>
      </c>
      <c r="BR10">
        <v>0</v>
      </c>
      <c r="BS10">
        <v>2</v>
      </c>
      <c r="BX10">
        <v>0</v>
      </c>
      <c r="BY10">
        <v>0</v>
      </c>
      <c r="BZ10">
        <v>0</v>
      </c>
      <c r="CA10">
        <v>12.22</v>
      </c>
      <c r="CC10">
        <v>0</v>
      </c>
      <c r="CD10" s="55">
        <v>42772</v>
      </c>
      <c r="CE10" s="55"/>
      <c r="CF10" s="55">
        <v>42825</v>
      </c>
      <c r="CG10" s="55">
        <v>42874</v>
      </c>
      <c r="CH10" s="55">
        <v>0</v>
      </c>
      <c r="CI10" s="55">
        <v>0</v>
      </c>
      <c r="CJ10">
        <v>0</v>
      </c>
      <c r="CK10">
        <v>0</v>
      </c>
      <c r="CL10">
        <v>0</v>
      </c>
      <c r="CM10">
        <v>0</v>
      </c>
      <c r="CN10">
        <v>0.96</v>
      </c>
      <c r="CO10">
        <v>0</v>
      </c>
      <c r="CP10">
        <v>0</v>
      </c>
      <c r="CQ10" t="s">
        <v>1664</v>
      </c>
      <c r="CR10" t="s">
        <v>1368</v>
      </c>
      <c r="CS10" t="s">
        <v>1665</v>
      </c>
      <c r="CT10" t="s">
        <v>1959</v>
      </c>
      <c r="CU10" t="s">
        <v>1966</v>
      </c>
      <c r="CV10" t="s">
        <v>1987</v>
      </c>
      <c r="DB10" t="s">
        <v>1979</v>
      </c>
      <c r="DE10" t="s">
        <v>1959</v>
      </c>
    </row>
    <row r="11" spans="1:110" x14ac:dyDescent="0.25">
      <c r="A11" t="s">
        <v>1664</v>
      </c>
      <c r="B11">
        <v>2</v>
      </c>
      <c r="C11" s="55">
        <v>42874</v>
      </c>
      <c r="D11" t="s">
        <v>1658</v>
      </c>
      <c r="E11" t="s">
        <v>1988</v>
      </c>
      <c r="G11" t="s">
        <v>1659</v>
      </c>
      <c r="H11" t="s">
        <v>1659</v>
      </c>
      <c r="I11" t="s">
        <v>1659</v>
      </c>
      <c r="J11" t="s">
        <v>1659</v>
      </c>
      <c r="K11" t="s">
        <v>1659</v>
      </c>
      <c r="L11">
        <v>19.13</v>
      </c>
      <c r="M11">
        <v>54.69</v>
      </c>
      <c r="N11">
        <v>0</v>
      </c>
      <c r="O11" s="55"/>
      <c r="P11" s="55"/>
      <c r="Q11">
        <v>13730</v>
      </c>
      <c r="R11">
        <v>15</v>
      </c>
      <c r="S11">
        <v>7</v>
      </c>
      <c r="T11">
        <v>3</v>
      </c>
      <c r="U11">
        <v>4</v>
      </c>
      <c r="V11">
        <v>1</v>
      </c>
      <c r="X11" t="s">
        <v>1690</v>
      </c>
      <c r="AA11">
        <v>0</v>
      </c>
      <c r="AB11">
        <v>0</v>
      </c>
      <c r="AC11">
        <v>0</v>
      </c>
      <c r="AD11">
        <v>0</v>
      </c>
      <c r="AE11">
        <v>0</v>
      </c>
      <c r="AF11">
        <v>0</v>
      </c>
      <c r="AG11">
        <v>0</v>
      </c>
      <c r="AJ11" s="55">
        <v>42796</v>
      </c>
      <c r="AK11" s="55">
        <v>42796</v>
      </c>
      <c r="AL11" s="55"/>
      <c r="AO11">
        <v>1</v>
      </c>
      <c r="AP11" t="s">
        <v>1660</v>
      </c>
      <c r="AR11">
        <v>4</v>
      </c>
      <c r="AS11" t="s">
        <v>1661</v>
      </c>
      <c r="AT11">
        <v>1</v>
      </c>
      <c r="AV11">
        <v>0</v>
      </c>
      <c r="AW11">
        <v>0</v>
      </c>
      <c r="AX11">
        <v>0</v>
      </c>
      <c r="AY11" t="s">
        <v>1662</v>
      </c>
      <c r="AZ11" t="s">
        <v>1662</v>
      </c>
      <c r="BA11">
        <v>4</v>
      </c>
      <c r="BD11">
        <v>1000000000</v>
      </c>
      <c r="BE11">
        <v>4</v>
      </c>
      <c r="BF11">
        <v>0</v>
      </c>
      <c r="BG11">
        <v>0</v>
      </c>
      <c r="BH11">
        <v>0</v>
      </c>
      <c r="BI11">
        <v>0</v>
      </c>
      <c r="BJ11">
        <v>0</v>
      </c>
      <c r="BK11">
        <v>0</v>
      </c>
      <c r="BL11">
        <v>0</v>
      </c>
      <c r="BM11">
        <v>4</v>
      </c>
      <c r="BN11">
        <v>0</v>
      </c>
      <c r="BR11">
        <v>0</v>
      </c>
      <c r="BS11">
        <v>0</v>
      </c>
      <c r="BX11">
        <v>0</v>
      </c>
      <c r="BY11">
        <v>0</v>
      </c>
      <c r="BZ11">
        <v>0</v>
      </c>
      <c r="CA11">
        <v>0</v>
      </c>
      <c r="CC11">
        <v>0</v>
      </c>
      <c r="CD11" s="55">
        <v>42816</v>
      </c>
      <c r="CE11" s="55"/>
      <c r="CF11" s="55">
        <v>42825</v>
      </c>
      <c r="CG11" s="55">
        <v>42874</v>
      </c>
      <c r="CH11" s="55">
        <v>0</v>
      </c>
      <c r="CI11" s="55">
        <v>0</v>
      </c>
      <c r="CJ11">
        <v>0</v>
      </c>
      <c r="CK11">
        <v>0</v>
      </c>
      <c r="CL11">
        <v>0</v>
      </c>
      <c r="CM11">
        <v>0</v>
      </c>
      <c r="CN11">
        <v>0</v>
      </c>
      <c r="CO11">
        <v>0</v>
      </c>
      <c r="CP11">
        <v>0.96</v>
      </c>
      <c r="CQ11" t="s">
        <v>1664</v>
      </c>
      <c r="CR11" t="s">
        <v>1368</v>
      </c>
      <c r="CS11" t="s">
        <v>1665</v>
      </c>
      <c r="CT11" t="s">
        <v>1959</v>
      </c>
      <c r="CU11" t="s">
        <v>1966</v>
      </c>
      <c r="CV11" t="s">
        <v>1989</v>
      </c>
      <c r="DB11" t="s">
        <v>1986</v>
      </c>
      <c r="DE11" t="s">
        <v>1959</v>
      </c>
    </row>
    <row r="12" spans="1:110" x14ac:dyDescent="0.25">
      <c r="A12" t="s">
        <v>1664</v>
      </c>
      <c r="B12">
        <v>2</v>
      </c>
      <c r="C12" s="55">
        <v>42874</v>
      </c>
      <c r="D12" t="s">
        <v>1658</v>
      </c>
      <c r="E12" t="s">
        <v>1961</v>
      </c>
      <c r="G12" t="s">
        <v>1659</v>
      </c>
      <c r="H12" t="s">
        <v>1659</v>
      </c>
      <c r="I12" t="s">
        <v>1659</v>
      </c>
      <c r="J12" t="s">
        <v>1659</v>
      </c>
      <c r="K12" t="s">
        <v>1659</v>
      </c>
      <c r="L12">
        <v>22.62</v>
      </c>
      <c r="M12">
        <v>68.45</v>
      </c>
      <c r="N12">
        <v>0</v>
      </c>
      <c r="O12" s="55"/>
      <c r="P12" s="55"/>
      <c r="Q12">
        <v>13730</v>
      </c>
      <c r="R12">
        <v>15</v>
      </c>
      <c r="S12">
        <v>7</v>
      </c>
      <c r="T12">
        <v>3</v>
      </c>
      <c r="U12">
        <v>4</v>
      </c>
      <c r="V12">
        <v>1</v>
      </c>
      <c r="W12" t="s">
        <v>1686</v>
      </c>
      <c r="X12" t="s">
        <v>1965</v>
      </c>
      <c r="AA12">
        <v>0</v>
      </c>
      <c r="AB12">
        <v>0</v>
      </c>
      <c r="AC12">
        <v>0</v>
      </c>
      <c r="AD12">
        <v>0</v>
      </c>
      <c r="AE12">
        <v>0</v>
      </c>
      <c r="AF12">
        <v>0</v>
      </c>
      <c r="AG12">
        <v>0</v>
      </c>
      <c r="AJ12" s="55">
        <v>42666</v>
      </c>
      <c r="AK12" s="55"/>
      <c r="AL12" s="55"/>
      <c r="AO12">
        <v>1</v>
      </c>
      <c r="AP12" t="s">
        <v>1660</v>
      </c>
      <c r="AR12">
        <v>4</v>
      </c>
      <c r="AS12" t="s">
        <v>1661</v>
      </c>
      <c r="AT12">
        <v>1</v>
      </c>
      <c r="AV12">
        <v>12</v>
      </c>
      <c r="AW12">
        <v>8</v>
      </c>
      <c r="AX12">
        <v>4</v>
      </c>
      <c r="AY12" t="s">
        <v>1689</v>
      </c>
      <c r="AZ12" t="s">
        <v>1689</v>
      </c>
      <c r="BA12">
        <v>4</v>
      </c>
      <c r="BD12">
        <v>1000000000</v>
      </c>
      <c r="BE12">
        <v>7</v>
      </c>
      <c r="BF12">
        <v>0.42</v>
      </c>
      <c r="BG12">
        <v>0</v>
      </c>
      <c r="BH12">
        <v>0</v>
      </c>
      <c r="BI12">
        <v>0</v>
      </c>
      <c r="BJ12">
        <v>0</v>
      </c>
      <c r="BK12">
        <v>0</v>
      </c>
      <c r="BL12">
        <v>0</v>
      </c>
      <c r="BM12">
        <v>7</v>
      </c>
      <c r="BN12">
        <v>0.42</v>
      </c>
      <c r="BR12">
        <v>4</v>
      </c>
      <c r="BS12">
        <v>7</v>
      </c>
      <c r="BX12">
        <v>0</v>
      </c>
      <c r="BY12">
        <v>0</v>
      </c>
      <c r="BZ12">
        <v>0</v>
      </c>
      <c r="CA12">
        <v>13.89</v>
      </c>
      <c r="CC12">
        <v>1</v>
      </c>
      <c r="CD12" s="55">
        <v>42842</v>
      </c>
      <c r="CE12" s="55"/>
      <c r="CF12" s="55">
        <v>42842</v>
      </c>
      <c r="CG12" s="55">
        <v>42891</v>
      </c>
      <c r="CH12" s="55">
        <v>42842</v>
      </c>
      <c r="CI12" s="55">
        <v>42874</v>
      </c>
      <c r="CJ12">
        <v>0</v>
      </c>
      <c r="CK12">
        <v>0</v>
      </c>
      <c r="CL12">
        <v>0</v>
      </c>
      <c r="CM12">
        <v>0</v>
      </c>
      <c r="CN12">
        <v>0.7</v>
      </c>
      <c r="CO12">
        <v>0</v>
      </c>
      <c r="CP12">
        <v>0</v>
      </c>
      <c r="CQ12" t="s">
        <v>1664</v>
      </c>
      <c r="CR12" t="s">
        <v>1368</v>
      </c>
      <c r="CS12" t="s">
        <v>1665</v>
      </c>
      <c r="CT12" t="s">
        <v>1959</v>
      </c>
      <c r="CU12" t="s">
        <v>1966</v>
      </c>
      <c r="CV12" t="s">
        <v>1990</v>
      </c>
      <c r="DB12" t="s">
        <v>1986</v>
      </c>
      <c r="DE12" t="s">
        <v>1959</v>
      </c>
    </row>
    <row r="13" spans="1:110" x14ac:dyDescent="0.25">
      <c r="A13" t="s">
        <v>1664</v>
      </c>
      <c r="B13">
        <v>2</v>
      </c>
      <c r="C13" s="55">
        <v>42874</v>
      </c>
      <c r="D13" t="s">
        <v>1658</v>
      </c>
      <c r="E13" t="s">
        <v>1991</v>
      </c>
      <c r="G13" t="s">
        <v>1659</v>
      </c>
      <c r="H13" t="s">
        <v>1659</v>
      </c>
      <c r="I13" t="s">
        <v>1659</v>
      </c>
      <c r="J13" t="s">
        <v>1659</v>
      </c>
      <c r="K13" t="s">
        <v>1659</v>
      </c>
      <c r="L13">
        <v>0</v>
      </c>
      <c r="M13">
        <v>0</v>
      </c>
      <c r="N13">
        <v>0</v>
      </c>
      <c r="O13" s="55"/>
      <c r="P13" s="55"/>
      <c r="Q13">
        <v>13730</v>
      </c>
      <c r="R13">
        <v>15</v>
      </c>
      <c r="S13">
        <v>7</v>
      </c>
      <c r="T13">
        <v>3</v>
      </c>
      <c r="U13">
        <v>4</v>
      </c>
      <c r="V13">
        <v>1</v>
      </c>
      <c r="X13" t="s">
        <v>1981</v>
      </c>
      <c r="AA13">
        <v>0</v>
      </c>
      <c r="AB13">
        <v>0</v>
      </c>
      <c r="AC13">
        <v>0</v>
      </c>
      <c r="AD13">
        <v>0</v>
      </c>
      <c r="AE13">
        <v>0</v>
      </c>
      <c r="AF13">
        <v>0</v>
      </c>
      <c r="AG13">
        <v>0</v>
      </c>
      <c r="AJ13" s="55">
        <v>42666</v>
      </c>
      <c r="AK13" s="55"/>
      <c r="AL13" s="55"/>
      <c r="AO13">
        <v>1</v>
      </c>
      <c r="AP13" t="s">
        <v>1660</v>
      </c>
      <c r="AR13">
        <v>4</v>
      </c>
      <c r="AS13" t="s">
        <v>1661</v>
      </c>
      <c r="AT13">
        <v>1</v>
      </c>
      <c r="AV13">
        <v>0</v>
      </c>
      <c r="AW13">
        <v>0</v>
      </c>
      <c r="AX13">
        <v>0</v>
      </c>
      <c r="AY13" t="s">
        <v>1662</v>
      </c>
      <c r="AZ13" t="s">
        <v>1662</v>
      </c>
      <c r="BA13">
        <v>4</v>
      </c>
      <c r="BD13">
        <v>1000000000</v>
      </c>
      <c r="BE13">
        <v>0</v>
      </c>
      <c r="BF13">
        <v>0</v>
      </c>
      <c r="BG13">
        <v>0</v>
      </c>
      <c r="BH13">
        <v>0</v>
      </c>
      <c r="BI13">
        <v>0</v>
      </c>
      <c r="BJ13">
        <v>0</v>
      </c>
      <c r="BK13">
        <v>0</v>
      </c>
      <c r="BL13">
        <v>0</v>
      </c>
      <c r="BM13">
        <v>0</v>
      </c>
      <c r="BN13">
        <v>0</v>
      </c>
      <c r="BR13">
        <v>0</v>
      </c>
      <c r="BS13">
        <v>0</v>
      </c>
      <c r="BX13">
        <v>0</v>
      </c>
      <c r="BY13">
        <v>0</v>
      </c>
      <c r="BZ13">
        <v>0</v>
      </c>
      <c r="CA13">
        <v>0</v>
      </c>
      <c r="CC13">
        <v>0</v>
      </c>
      <c r="CD13" s="55">
        <v>42815</v>
      </c>
      <c r="CE13" s="55"/>
      <c r="CF13" s="55">
        <v>42825</v>
      </c>
      <c r="CG13" s="55">
        <v>42874</v>
      </c>
      <c r="CH13" s="55">
        <v>0</v>
      </c>
      <c r="CI13" s="55">
        <v>0</v>
      </c>
      <c r="CJ13">
        <v>1</v>
      </c>
      <c r="CK13">
        <v>0</v>
      </c>
      <c r="CL13">
        <v>0.96</v>
      </c>
      <c r="CM13">
        <v>0</v>
      </c>
      <c r="CN13">
        <v>0</v>
      </c>
      <c r="CO13">
        <v>0</v>
      </c>
      <c r="CP13">
        <v>0</v>
      </c>
      <c r="CQ13" t="s">
        <v>1664</v>
      </c>
      <c r="CR13" t="s">
        <v>1368</v>
      </c>
      <c r="CS13" t="s">
        <v>1665</v>
      </c>
      <c r="CT13" t="s">
        <v>1959</v>
      </c>
      <c r="CU13" t="s">
        <v>1966</v>
      </c>
      <c r="CV13" t="s">
        <v>1990</v>
      </c>
      <c r="DB13" t="s">
        <v>1986</v>
      </c>
      <c r="DE13" t="s">
        <v>1959</v>
      </c>
    </row>
    <row r="14" spans="1:110" x14ac:dyDescent="0.25">
      <c r="A14" t="s">
        <v>1664</v>
      </c>
      <c r="B14">
        <v>2</v>
      </c>
      <c r="C14" s="55">
        <v>42874</v>
      </c>
      <c r="D14" t="s">
        <v>1658</v>
      </c>
      <c r="E14" t="s">
        <v>1992</v>
      </c>
      <c r="G14" t="s">
        <v>1659</v>
      </c>
      <c r="H14" t="s">
        <v>1659</v>
      </c>
      <c r="I14" t="s">
        <v>1659</v>
      </c>
      <c r="J14" t="s">
        <v>1659</v>
      </c>
      <c r="K14" t="s">
        <v>1659</v>
      </c>
      <c r="L14">
        <v>26.79</v>
      </c>
      <c r="M14">
        <v>0</v>
      </c>
      <c r="N14">
        <v>0</v>
      </c>
      <c r="O14" s="55"/>
      <c r="P14" s="55"/>
      <c r="Q14">
        <v>13730</v>
      </c>
      <c r="R14">
        <v>15</v>
      </c>
      <c r="S14">
        <v>7</v>
      </c>
      <c r="T14">
        <v>3</v>
      </c>
      <c r="U14">
        <v>4</v>
      </c>
      <c r="V14">
        <v>1</v>
      </c>
      <c r="X14" t="s">
        <v>1690</v>
      </c>
      <c r="AA14">
        <v>0</v>
      </c>
      <c r="AB14">
        <v>0</v>
      </c>
      <c r="AC14">
        <v>0</v>
      </c>
      <c r="AD14">
        <v>0</v>
      </c>
      <c r="AE14">
        <v>0</v>
      </c>
      <c r="AF14">
        <v>0</v>
      </c>
      <c r="AG14">
        <v>0</v>
      </c>
      <c r="AJ14" s="55">
        <v>42666</v>
      </c>
      <c r="AK14" s="55"/>
      <c r="AL14" s="55"/>
      <c r="AO14">
        <v>1</v>
      </c>
      <c r="AP14" t="s">
        <v>1660</v>
      </c>
      <c r="AR14">
        <v>4</v>
      </c>
      <c r="AS14" t="s">
        <v>1661</v>
      </c>
      <c r="AT14">
        <v>1</v>
      </c>
      <c r="AV14">
        <v>0</v>
      </c>
      <c r="AW14">
        <v>0</v>
      </c>
      <c r="AX14">
        <v>0</v>
      </c>
      <c r="AY14" t="s">
        <v>1662</v>
      </c>
      <c r="AZ14" t="s">
        <v>1662</v>
      </c>
      <c r="BA14">
        <v>2</v>
      </c>
      <c r="BD14">
        <v>1000000000</v>
      </c>
      <c r="BE14">
        <v>4</v>
      </c>
      <c r="BF14">
        <v>0</v>
      </c>
      <c r="BG14">
        <v>0</v>
      </c>
      <c r="BH14">
        <v>0</v>
      </c>
      <c r="BI14">
        <v>0</v>
      </c>
      <c r="BJ14">
        <v>0</v>
      </c>
      <c r="BK14">
        <v>0</v>
      </c>
      <c r="BL14">
        <v>0</v>
      </c>
      <c r="BM14">
        <v>4</v>
      </c>
      <c r="BN14">
        <v>0</v>
      </c>
      <c r="BR14">
        <v>0</v>
      </c>
      <c r="BS14">
        <v>0</v>
      </c>
      <c r="BX14">
        <v>0</v>
      </c>
      <c r="BY14">
        <v>0</v>
      </c>
      <c r="BZ14">
        <v>0</v>
      </c>
      <c r="CA14">
        <v>0</v>
      </c>
      <c r="CC14">
        <v>0</v>
      </c>
      <c r="CD14" s="55">
        <v>42816</v>
      </c>
      <c r="CE14" s="55"/>
      <c r="CF14" s="55">
        <v>42825</v>
      </c>
      <c r="CG14" s="55">
        <v>42874</v>
      </c>
      <c r="CH14" s="55">
        <v>0</v>
      </c>
      <c r="CI14" s="55">
        <v>0</v>
      </c>
      <c r="CJ14">
        <v>0</v>
      </c>
      <c r="CK14">
        <v>0</v>
      </c>
      <c r="CL14">
        <v>0</v>
      </c>
      <c r="CM14">
        <v>0</v>
      </c>
      <c r="CN14">
        <v>0</v>
      </c>
      <c r="CO14">
        <v>0</v>
      </c>
      <c r="CP14">
        <v>0.96</v>
      </c>
      <c r="CQ14" t="s">
        <v>1664</v>
      </c>
      <c r="CR14" t="s">
        <v>1368</v>
      </c>
      <c r="CS14" t="s">
        <v>1665</v>
      </c>
      <c r="CT14" t="s">
        <v>1959</v>
      </c>
      <c r="CU14" t="s">
        <v>1966</v>
      </c>
      <c r="CV14" t="s">
        <v>1985</v>
      </c>
      <c r="DB14" t="s">
        <v>1986</v>
      </c>
      <c r="DE14" t="s">
        <v>1959</v>
      </c>
    </row>
    <row r="15" spans="1:110" x14ac:dyDescent="0.25">
      <c r="A15" t="s">
        <v>1664</v>
      </c>
      <c r="B15">
        <v>2</v>
      </c>
      <c r="C15" s="55">
        <v>42874</v>
      </c>
      <c r="D15" t="s">
        <v>1658</v>
      </c>
      <c r="E15" t="s">
        <v>1993</v>
      </c>
      <c r="G15" t="s">
        <v>1659</v>
      </c>
      <c r="H15" t="s">
        <v>1659</v>
      </c>
      <c r="I15" t="s">
        <v>1659</v>
      </c>
      <c r="J15" t="s">
        <v>1659</v>
      </c>
      <c r="K15" t="s">
        <v>1659</v>
      </c>
      <c r="L15">
        <v>46.02</v>
      </c>
      <c r="M15">
        <v>167.81</v>
      </c>
      <c r="N15">
        <v>0</v>
      </c>
      <c r="O15" s="55"/>
      <c r="P15" s="55"/>
      <c r="Q15">
        <v>13730</v>
      </c>
      <c r="R15">
        <v>15</v>
      </c>
      <c r="S15">
        <v>7</v>
      </c>
      <c r="T15">
        <v>3</v>
      </c>
      <c r="U15">
        <v>4</v>
      </c>
      <c r="V15">
        <v>1</v>
      </c>
      <c r="X15" t="s">
        <v>1977</v>
      </c>
      <c r="AA15">
        <v>0</v>
      </c>
      <c r="AB15">
        <v>0</v>
      </c>
      <c r="AC15">
        <v>0</v>
      </c>
      <c r="AD15">
        <v>0</v>
      </c>
      <c r="AE15">
        <v>0</v>
      </c>
      <c r="AF15">
        <v>0</v>
      </c>
      <c r="AG15">
        <v>0</v>
      </c>
      <c r="AJ15" s="55">
        <v>42666</v>
      </c>
      <c r="AK15" s="55"/>
      <c r="AL15" s="55"/>
      <c r="AO15">
        <v>1</v>
      </c>
      <c r="AP15" t="s">
        <v>1660</v>
      </c>
      <c r="AR15">
        <v>4</v>
      </c>
      <c r="AS15" t="s">
        <v>1661</v>
      </c>
      <c r="AT15">
        <v>1</v>
      </c>
      <c r="AV15">
        <v>4</v>
      </c>
      <c r="AW15">
        <v>3</v>
      </c>
      <c r="AX15">
        <v>1</v>
      </c>
      <c r="AY15" t="s">
        <v>1670</v>
      </c>
      <c r="AZ15" t="s">
        <v>1670</v>
      </c>
      <c r="BA15">
        <v>0</v>
      </c>
      <c r="BD15">
        <v>1000000000</v>
      </c>
      <c r="BE15">
        <v>15</v>
      </c>
      <c r="BF15">
        <v>-2.75</v>
      </c>
      <c r="BG15">
        <v>0</v>
      </c>
      <c r="BH15">
        <v>0</v>
      </c>
      <c r="BI15">
        <v>0</v>
      </c>
      <c r="BJ15">
        <v>0</v>
      </c>
      <c r="BK15">
        <v>0</v>
      </c>
      <c r="BL15">
        <v>0</v>
      </c>
      <c r="BM15">
        <v>15</v>
      </c>
      <c r="BN15">
        <v>-2.75</v>
      </c>
      <c r="BR15">
        <v>0</v>
      </c>
      <c r="BS15">
        <v>2</v>
      </c>
      <c r="BX15">
        <v>0</v>
      </c>
      <c r="BY15">
        <v>506.22</v>
      </c>
      <c r="BZ15">
        <v>0</v>
      </c>
      <c r="CA15">
        <v>18.149999999999999</v>
      </c>
      <c r="CC15">
        <v>0</v>
      </c>
      <c r="CD15" s="55">
        <v>42772</v>
      </c>
      <c r="CE15" s="55"/>
      <c r="CF15" s="55">
        <v>42825</v>
      </c>
      <c r="CG15" s="55">
        <v>42874</v>
      </c>
      <c r="CH15" s="55">
        <v>0</v>
      </c>
      <c r="CI15" s="55">
        <v>0</v>
      </c>
      <c r="CJ15">
        <v>0</v>
      </c>
      <c r="CK15">
        <v>0</v>
      </c>
      <c r="CL15">
        <v>0</v>
      </c>
      <c r="CM15">
        <v>0</v>
      </c>
      <c r="CN15">
        <v>0</v>
      </c>
      <c r="CO15">
        <v>0</v>
      </c>
      <c r="CP15">
        <v>0.96</v>
      </c>
      <c r="CQ15" t="s">
        <v>1664</v>
      </c>
      <c r="CR15" t="s">
        <v>1368</v>
      </c>
      <c r="CS15" t="s">
        <v>1665</v>
      </c>
      <c r="CT15" t="s">
        <v>1959</v>
      </c>
      <c r="CU15" t="s">
        <v>1966</v>
      </c>
      <c r="CV15" t="s">
        <v>1994</v>
      </c>
      <c r="DB15" t="s">
        <v>1995</v>
      </c>
      <c r="DE15" t="s">
        <v>1959</v>
      </c>
    </row>
    <row r="16" spans="1:110" x14ac:dyDescent="0.25">
      <c r="A16" t="s">
        <v>1664</v>
      </c>
      <c r="B16">
        <v>2</v>
      </c>
      <c r="C16" s="55">
        <v>42874</v>
      </c>
      <c r="D16" t="s">
        <v>1658</v>
      </c>
      <c r="E16" t="s">
        <v>1996</v>
      </c>
      <c r="G16" t="s">
        <v>1659</v>
      </c>
      <c r="H16" t="s">
        <v>1659</v>
      </c>
      <c r="I16" t="s">
        <v>1659</v>
      </c>
      <c r="J16" t="s">
        <v>1659</v>
      </c>
      <c r="K16" t="s">
        <v>1659</v>
      </c>
      <c r="L16">
        <v>34.979999999999997</v>
      </c>
      <c r="M16">
        <v>74.98</v>
      </c>
      <c r="N16">
        <v>0</v>
      </c>
      <c r="O16" s="55"/>
      <c r="P16" s="55"/>
      <c r="Q16">
        <v>13730</v>
      </c>
      <c r="R16">
        <v>15</v>
      </c>
      <c r="S16">
        <v>7</v>
      </c>
      <c r="T16">
        <v>3</v>
      </c>
      <c r="U16">
        <v>4</v>
      </c>
      <c r="V16">
        <v>1</v>
      </c>
      <c r="X16" t="s">
        <v>1690</v>
      </c>
      <c r="AA16">
        <v>0</v>
      </c>
      <c r="AB16">
        <v>0</v>
      </c>
      <c r="AC16">
        <v>0</v>
      </c>
      <c r="AD16">
        <v>0</v>
      </c>
      <c r="AE16">
        <v>0</v>
      </c>
      <c r="AF16">
        <v>0</v>
      </c>
      <c r="AG16">
        <v>0</v>
      </c>
      <c r="AJ16" s="55">
        <v>42666</v>
      </c>
      <c r="AK16" s="55"/>
      <c r="AL16" s="55"/>
      <c r="AO16">
        <v>1</v>
      </c>
      <c r="AP16" t="s">
        <v>1660</v>
      </c>
      <c r="AR16">
        <v>10</v>
      </c>
      <c r="AS16" t="s">
        <v>1661</v>
      </c>
      <c r="AT16">
        <v>1</v>
      </c>
      <c r="AV16">
        <v>0</v>
      </c>
      <c r="AW16">
        <v>0</v>
      </c>
      <c r="AX16">
        <v>0</v>
      </c>
      <c r="AY16" t="s">
        <v>1662</v>
      </c>
      <c r="AZ16" t="s">
        <v>1662</v>
      </c>
      <c r="BA16">
        <v>10</v>
      </c>
      <c r="BD16">
        <v>1000000000</v>
      </c>
      <c r="BE16">
        <v>7</v>
      </c>
      <c r="BF16">
        <v>0</v>
      </c>
      <c r="BG16">
        <v>0</v>
      </c>
      <c r="BH16">
        <v>0</v>
      </c>
      <c r="BI16">
        <v>0</v>
      </c>
      <c r="BJ16">
        <v>0</v>
      </c>
      <c r="BK16">
        <v>0</v>
      </c>
      <c r="BL16">
        <v>0</v>
      </c>
      <c r="BM16">
        <v>7</v>
      </c>
      <c r="BN16">
        <v>0</v>
      </c>
      <c r="BR16">
        <v>0</v>
      </c>
      <c r="BS16">
        <v>0</v>
      </c>
      <c r="BX16">
        <v>0</v>
      </c>
      <c r="BY16">
        <v>0</v>
      </c>
      <c r="BZ16">
        <v>0</v>
      </c>
      <c r="CA16">
        <v>0</v>
      </c>
      <c r="CC16">
        <v>0</v>
      </c>
      <c r="CD16" s="55">
        <v>42816</v>
      </c>
      <c r="CE16" s="55"/>
      <c r="CF16" s="55">
        <v>42825</v>
      </c>
      <c r="CG16" s="55">
        <v>42874</v>
      </c>
      <c r="CH16" s="55">
        <v>0</v>
      </c>
      <c r="CI16" s="55">
        <v>0</v>
      </c>
      <c r="CJ16">
        <v>0</v>
      </c>
      <c r="CK16">
        <v>0</v>
      </c>
      <c r="CL16">
        <v>0</v>
      </c>
      <c r="CM16">
        <v>0</v>
      </c>
      <c r="CN16">
        <v>0</v>
      </c>
      <c r="CO16">
        <v>0</v>
      </c>
      <c r="CP16">
        <v>0.96</v>
      </c>
      <c r="CQ16" t="s">
        <v>1664</v>
      </c>
      <c r="CR16" t="s">
        <v>1368</v>
      </c>
      <c r="CS16" t="s">
        <v>1665</v>
      </c>
      <c r="CT16" t="s">
        <v>1959</v>
      </c>
      <c r="CU16" t="s">
        <v>1966</v>
      </c>
      <c r="CV16" t="s">
        <v>1997</v>
      </c>
      <c r="DB16" t="s">
        <v>1998</v>
      </c>
      <c r="DE16" t="s">
        <v>1959</v>
      </c>
    </row>
    <row r="17" spans="1:109" x14ac:dyDescent="0.25">
      <c r="A17" t="s">
        <v>1664</v>
      </c>
      <c r="B17">
        <v>2</v>
      </c>
      <c r="C17" s="55">
        <v>42874</v>
      </c>
      <c r="D17" t="s">
        <v>1658</v>
      </c>
      <c r="E17" t="s">
        <v>1999</v>
      </c>
      <c r="G17" t="s">
        <v>1659</v>
      </c>
      <c r="H17" t="s">
        <v>1659</v>
      </c>
      <c r="I17" t="s">
        <v>1659</v>
      </c>
      <c r="J17" t="s">
        <v>1659</v>
      </c>
      <c r="K17" t="s">
        <v>1659</v>
      </c>
      <c r="L17">
        <v>29.86</v>
      </c>
      <c r="M17">
        <v>113.52</v>
      </c>
      <c r="N17">
        <v>0</v>
      </c>
      <c r="O17" s="55"/>
      <c r="P17" s="55"/>
      <c r="Q17">
        <v>13730</v>
      </c>
      <c r="R17">
        <v>15</v>
      </c>
      <c r="S17">
        <v>7</v>
      </c>
      <c r="T17">
        <v>3</v>
      </c>
      <c r="U17">
        <v>4</v>
      </c>
      <c r="V17">
        <v>1</v>
      </c>
      <c r="X17" t="s">
        <v>1977</v>
      </c>
      <c r="AA17">
        <v>0</v>
      </c>
      <c r="AB17">
        <v>0</v>
      </c>
      <c r="AC17">
        <v>0</v>
      </c>
      <c r="AD17">
        <v>0</v>
      </c>
      <c r="AE17">
        <v>0</v>
      </c>
      <c r="AF17">
        <v>0</v>
      </c>
      <c r="AG17">
        <v>0</v>
      </c>
      <c r="AJ17" s="55">
        <v>42666</v>
      </c>
      <c r="AK17" s="55"/>
      <c r="AL17" s="55"/>
      <c r="AO17">
        <v>1</v>
      </c>
      <c r="AP17" t="s">
        <v>1660</v>
      </c>
      <c r="AR17">
        <v>4</v>
      </c>
      <c r="AS17" t="s">
        <v>1661</v>
      </c>
      <c r="AT17">
        <v>1</v>
      </c>
      <c r="AV17">
        <v>4</v>
      </c>
      <c r="AW17">
        <v>3</v>
      </c>
      <c r="AX17">
        <v>1</v>
      </c>
      <c r="AY17" t="s">
        <v>1670</v>
      </c>
      <c r="AZ17" t="s">
        <v>1670</v>
      </c>
      <c r="BA17">
        <v>0</v>
      </c>
      <c r="BD17">
        <v>1000000000</v>
      </c>
      <c r="BE17">
        <v>22</v>
      </c>
      <c r="BF17">
        <v>-4.5</v>
      </c>
      <c r="BG17">
        <v>0</v>
      </c>
      <c r="BH17">
        <v>0</v>
      </c>
      <c r="BI17">
        <v>0</v>
      </c>
      <c r="BJ17">
        <v>0</v>
      </c>
      <c r="BK17">
        <v>0</v>
      </c>
      <c r="BL17">
        <v>0</v>
      </c>
      <c r="BM17">
        <v>22</v>
      </c>
      <c r="BN17">
        <v>-4.5</v>
      </c>
      <c r="BR17">
        <v>0</v>
      </c>
      <c r="BS17">
        <v>2</v>
      </c>
      <c r="BX17">
        <v>0</v>
      </c>
      <c r="BY17">
        <v>537.48</v>
      </c>
      <c r="BZ17">
        <v>0</v>
      </c>
      <c r="CA17">
        <v>19.21</v>
      </c>
      <c r="CC17">
        <v>0</v>
      </c>
      <c r="CD17" s="55">
        <v>42772</v>
      </c>
      <c r="CE17" s="55"/>
      <c r="CF17" s="55">
        <v>42825</v>
      </c>
      <c r="CG17" s="55">
        <v>42874</v>
      </c>
      <c r="CH17" s="55">
        <v>0</v>
      </c>
      <c r="CI17" s="55">
        <v>0</v>
      </c>
      <c r="CJ17">
        <v>0</v>
      </c>
      <c r="CK17">
        <v>0</v>
      </c>
      <c r="CL17">
        <v>0</v>
      </c>
      <c r="CM17">
        <v>0</v>
      </c>
      <c r="CN17">
        <v>0</v>
      </c>
      <c r="CO17">
        <v>0</v>
      </c>
      <c r="CP17">
        <v>0.96</v>
      </c>
      <c r="CQ17" t="s">
        <v>1664</v>
      </c>
      <c r="CR17" t="s">
        <v>1368</v>
      </c>
      <c r="CS17" t="s">
        <v>1665</v>
      </c>
      <c r="CT17" t="s">
        <v>1959</v>
      </c>
      <c r="CU17" t="s">
        <v>1966</v>
      </c>
      <c r="CV17" t="s">
        <v>2000</v>
      </c>
      <c r="DB17" t="s">
        <v>2001</v>
      </c>
      <c r="DE17" t="s">
        <v>1959</v>
      </c>
    </row>
    <row r="18" spans="1:109" x14ac:dyDescent="0.25">
      <c r="A18" t="s">
        <v>1664</v>
      </c>
      <c r="B18">
        <v>2</v>
      </c>
      <c r="C18" s="55">
        <v>42874</v>
      </c>
      <c r="D18" t="s">
        <v>1658</v>
      </c>
      <c r="E18" t="s">
        <v>2002</v>
      </c>
      <c r="G18" t="s">
        <v>1659</v>
      </c>
      <c r="H18" t="s">
        <v>1659</v>
      </c>
      <c r="I18" t="s">
        <v>1659</v>
      </c>
      <c r="J18" t="s">
        <v>1659</v>
      </c>
      <c r="K18" t="s">
        <v>1659</v>
      </c>
      <c r="L18">
        <v>31.36</v>
      </c>
      <c r="M18">
        <v>122.6</v>
      </c>
      <c r="N18">
        <v>0</v>
      </c>
      <c r="O18" s="55"/>
      <c r="P18" s="55"/>
      <c r="Q18">
        <v>13730</v>
      </c>
      <c r="R18">
        <v>15</v>
      </c>
      <c r="S18">
        <v>7</v>
      </c>
      <c r="T18">
        <v>3</v>
      </c>
      <c r="U18">
        <v>4</v>
      </c>
      <c r="V18">
        <v>1</v>
      </c>
      <c r="X18" t="s">
        <v>1977</v>
      </c>
      <c r="AA18">
        <v>0</v>
      </c>
      <c r="AB18">
        <v>0</v>
      </c>
      <c r="AC18">
        <v>0</v>
      </c>
      <c r="AD18">
        <v>0</v>
      </c>
      <c r="AE18">
        <v>0</v>
      </c>
      <c r="AF18">
        <v>0</v>
      </c>
      <c r="AG18">
        <v>0</v>
      </c>
      <c r="AJ18" s="55">
        <v>42666</v>
      </c>
      <c r="AK18" s="55"/>
      <c r="AL18" s="55"/>
      <c r="AO18">
        <v>1</v>
      </c>
      <c r="AP18" t="s">
        <v>1660</v>
      </c>
      <c r="AR18">
        <v>4</v>
      </c>
      <c r="AS18" t="s">
        <v>1661</v>
      </c>
      <c r="AT18">
        <v>1</v>
      </c>
      <c r="AV18">
        <v>4</v>
      </c>
      <c r="AW18">
        <v>3</v>
      </c>
      <c r="AX18">
        <v>1</v>
      </c>
      <c r="AY18" t="s">
        <v>1670</v>
      </c>
      <c r="AZ18" t="s">
        <v>1670</v>
      </c>
      <c r="BA18">
        <v>0</v>
      </c>
      <c r="BD18">
        <v>1000000000</v>
      </c>
      <c r="BE18">
        <v>8</v>
      </c>
      <c r="BF18">
        <v>-1</v>
      </c>
      <c r="BG18">
        <v>0</v>
      </c>
      <c r="BH18">
        <v>0</v>
      </c>
      <c r="BI18">
        <v>0</v>
      </c>
      <c r="BJ18">
        <v>0</v>
      </c>
      <c r="BK18">
        <v>0</v>
      </c>
      <c r="BL18">
        <v>0</v>
      </c>
      <c r="BM18">
        <v>8</v>
      </c>
      <c r="BN18">
        <v>-1</v>
      </c>
      <c r="BR18">
        <v>0</v>
      </c>
      <c r="BS18">
        <v>2</v>
      </c>
      <c r="BX18">
        <v>0</v>
      </c>
      <c r="BY18">
        <v>125.44</v>
      </c>
      <c r="BZ18">
        <v>0</v>
      </c>
      <c r="CA18">
        <v>19.95</v>
      </c>
      <c r="CC18">
        <v>0</v>
      </c>
      <c r="CD18" s="55">
        <v>42772</v>
      </c>
      <c r="CE18" s="55"/>
      <c r="CF18" s="55">
        <v>42825</v>
      </c>
      <c r="CG18" s="55">
        <v>42874</v>
      </c>
      <c r="CH18" s="55">
        <v>0</v>
      </c>
      <c r="CI18" s="55">
        <v>0</v>
      </c>
      <c r="CJ18">
        <v>0</v>
      </c>
      <c r="CK18">
        <v>0</v>
      </c>
      <c r="CL18">
        <v>0</v>
      </c>
      <c r="CM18">
        <v>0</v>
      </c>
      <c r="CN18">
        <v>0</v>
      </c>
      <c r="CO18">
        <v>0</v>
      </c>
      <c r="CP18">
        <v>0.96</v>
      </c>
      <c r="CQ18" t="s">
        <v>1664</v>
      </c>
      <c r="CR18" t="s">
        <v>1368</v>
      </c>
      <c r="CS18" t="s">
        <v>1665</v>
      </c>
      <c r="CT18" t="s">
        <v>1959</v>
      </c>
      <c r="CU18" t="s">
        <v>1966</v>
      </c>
      <c r="CV18" t="s">
        <v>2003</v>
      </c>
      <c r="DB18" t="s">
        <v>2004</v>
      </c>
      <c r="DE18" t="s">
        <v>1959</v>
      </c>
    </row>
    <row r="19" spans="1:109" x14ac:dyDescent="0.25">
      <c r="A19" t="s">
        <v>1664</v>
      </c>
      <c r="B19">
        <v>2</v>
      </c>
      <c r="C19" s="55">
        <v>42874</v>
      </c>
      <c r="D19" t="s">
        <v>1658</v>
      </c>
      <c r="E19" t="s">
        <v>2005</v>
      </c>
      <c r="G19" t="s">
        <v>1659</v>
      </c>
      <c r="H19" t="s">
        <v>1659</v>
      </c>
      <c r="I19" t="s">
        <v>1659</v>
      </c>
      <c r="J19" t="s">
        <v>1659</v>
      </c>
      <c r="K19" t="s">
        <v>1659</v>
      </c>
      <c r="L19">
        <v>0</v>
      </c>
      <c r="M19">
        <v>1842.75</v>
      </c>
      <c r="N19">
        <v>0</v>
      </c>
      <c r="O19" s="55"/>
      <c r="P19" s="55"/>
      <c r="Q19">
        <v>13730</v>
      </c>
      <c r="R19">
        <v>15</v>
      </c>
      <c r="S19">
        <v>7</v>
      </c>
      <c r="T19">
        <v>3</v>
      </c>
      <c r="U19">
        <v>4</v>
      </c>
      <c r="V19">
        <v>1</v>
      </c>
      <c r="X19" t="s">
        <v>1981</v>
      </c>
      <c r="AA19">
        <v>0</v>
      </c>
      <c r="AB19">
        <v>0</v>
      </c>
      <c r="AC19">
        <v>0</v>
      </c>
      <c r="AD19">
        <v>0</v>
      </c>
      <c r="AE19">
        <v>0</v>
      </c>
      <c r="AF19">
        <v>0</v>
      </c>
      <c r="AG19">
        <v>0</v>
      </c>
      <c r="AJ19" s="55">
        <v>42666</v>
      </c>
      <c r="AK19" s="55"/>
      <c r="AL19" s="55"/>
      <c r="AO19">
        <v>1</v>
      </c>
      <c r="AP19" t="s">
        <v>1660</v>
      </c>
      <c r="AR19">
        <v>1</v>
      </c>
      <c r="AS19" t="s">
        <v>1661</v>
      </c>
      <c r="AT19">
        <v>1</v>
      </c>
      <c r="AV19">
        <v>0</v>
      </c>
      <c r="AW19">
        <v>0</v>
      </c>
      <c r="AX19">
        <v>0</v>
      </c>
      <c r="AY19" t="s">
        <v>1662</v>
      </c>
      <c r="AZ19" t="s">
        <v>1662</v>
      </c>
      <c r="BA19">
        <v>1</v>
      </c>
      <c r="BD19">
        <v>1000000000</v>
      </c>
      <c r="BE19">
        <v>0</v>
      </c>
      <c r="BF19">
        <v>0</v>
      </c>
      <c r="BG19">
        <v>0</v>
      </c>
      <c r="BH19">
        <v>0</v>
      </c>
      <c r="BI19">
        <v>0</v>
      </c>
      <c r="BJ19">
        <v>0</v>
      </c>
      <c r="BK19">
        <v>0</v>
      </c>
      <c r="BL19">
        <v>0</v>
      </c>
      <c r="BM19">
        <v>0</v>
      </c>
      <c r="BN19">
        <v>0</v>
      </c>
      <c r="BR19">
        <v>0</v>
      </c>
      <c r="BS19">
        <v>0</v>
      </c>
      <c r="BX19">
        <v>0</v>
      </c>
      <c r="BY19">
        <v>0</v>
      </c>
      <c r="BZ19">
        <v>0</v>
      </c>
      <c r="CA19">
        <v>0</v>
      </c>
      <c r="CC19">
        <v>0</v>
      </c>
      <c r="CD19" s="55">
        <v>42815</v>
      </c>
      <c r="CE19" s="55"/>
      <c r="CF19" s="55">
        <v>42825</v>
      </c>
      <c r="CG19" s="55">
        <v>42874</v>
      </c>
      <c r="CH19" s="55">
        <v>0</v>
      </c>
      <c r="CI19" s="55">
        <v>0</v>
      </c>
      <c r="CJ19">
        <v>1</v>
      </c>
      <c r="CK19">
        <v>0</v>
      </c>
      <c r="CL19">
        <v>0.96</v>
      </c>
      <c r="CM19">
        <v>0</v>
      </c>
      <c r="CN19">
        <v>0</v>
      </c>
      <c r="CO19">
        <v>0</v>
      </c>
      <c r="CP19">
        <v>0</v>
      </c>
      <c r="CQ19" t="s">
        <v>1664</v>
      </c>
      <c r="CR19" t="s">
        <v>1368</v>
      </c>
      <c r="CS19" t="s">
        <v>1665</v>
      </c>
      <c r="CT19" t="s">
        <v>1959</v>
      </c>
      <c r="CU19" t="s">
        <v>1966</v>
      </c>
      <c r="CV19" t="s">
        <v>2006</v>
      </c>
      <c r="DB19" t="s">
        <v>2007</v>
      </c>
      <c r="DE19" t="s">
        <v>1959</v>
      </c>
    </row>
    <row r="20" spans="1:109" x14ac:dyDescent="0.25">
      <c r="A20" t="s">
        <v>1664</v>
      </c>
      <c r="B20">
        <v>2</v>
      </c>
      <c r="C20" s="55">
        <v>42874</v>
      </c>
      <c r="D20" t="s">
        <v>1658</v>
      </c>
      <c r="E20" t="s">
        <v>2008</v>
      </c>
      <c r="G20" t="s">
        <v>1659</v>
      </c>
      <c r="H20" t="s">
        <v>1659</v>
      </c>
      <c r="I20" t="s">
        <v>1659</v>
      </c>
      <c r="J20" t="s">
        <v>1659</v>
      </c>
      <c r="K20" t="s">
        <v>1659</v>
      </c>
      <c r="L20">
        <v>0</v>
      </c>
      <c r="M20">
        <v>1228.22</v>
      </c>
      <c r="N20">
        <v>0</v>
      </c>
      <c r="O20" s="55"/>
      <c r="P20" s="55"/>
      <c r="Q20">
        <v>13730</v>
      </c>
      <c r="R20">
        <v>15</v>
      </c>
      <c r="S20">
        <v>7</v>
      </c>
      <c r="T20">
        <v>3</v>
      </c>
      <c r="U20">
        <v>4</v>
      </c>
      <c r="V20">
        <v>1</v>
      </c>
      <c r="X20" t="s">
        <v>1981</v>
      </c>
      <c r="AA20">
        <v>0</v>
      </c>
      <c r="AB20">
        <v>0</v>
      </c>
      <c r="AC20">
        <v>0</v>
      </c>
      <c r="AD20">
        <v>0</v>
      </c>
      <c r="AE20">
        <v>0</v>
      </c>
      <c r="AF20">
        <v>0</v>
      </c>
      <c r="AG20">
        <v>0</v>
      </c>
      <c r="AJ20" s="55">
        <v>42666</v>
      </c>
      <c r="AK20" s="55"/>
      <c r="AL20" s="55"/>
      <c r="AO20">
        <v>1</v>
      </c>
      <c r="AP20" t="s">
        <v>1660</v>
      </c>
      <c r="AR20">
        <v>1</v>
      </c>
      <c r="AS20" t="s">
        <v>1661</v>
      </c>
      <c r="AT20">
        <v>1</v>
      </c>
      <c r="AV20">
        <v>0</v>
      </c>
      <c r="AW20">
        <v>0</v>
      </c>
      <c r="AX20">
        <v>0</v>
      </c>
      <c r="AY20" t="s">
        <v>1662</v>
      </c>
      <c r="AZ20" t="s">
        <v>1662</v>
      </c>
      <c r="BA20">
        <v>1</v>
      </c>
      <c r="BD20">
        <v>1000000000</v>
      </c>
      <c r="BE20">
        <v>0</v>
      </c>
      <c r="BF20">
        <v>0</v>
      </c>
      <c r="BG20">
        <v>0</v>
      </c>
      <c r="BH20">
        <v>0</v>
      </c>
      <c r="BI20">
        <v>0</v>
      </c>
      <c r="BJ20">
        <v>0</v>
      </c>
      <c r="BK20">
        <v>0</v>
      </c>
      <c r="BL20">
        <v>0</v>
      </c>
      <c r="BM20">
        <v>0</v>
      </c>
      <c r="BN20">
        <v>0</v>
      </c>
      <c r="BR20">
        <v>0</v>
      </c>
      <c r="BS20">
        <v>0</v>
      </c>
      <c r="BX20">
        <v>0</v>
      </c>
      <c r="BY20">
        <v>0</v>
      </c>
      <c r="BZ20">
        <v>0</v>
      </c>
      <c r="CA20">
        <v>0</v>
      </c>
      <c r="CC20">
        <v>0</v>
      </c>
      <c r="CD20" s="55">
        <v>42815</v>
      </c>
      <c r="CE20" s="55"/>
      <c r="CF20" s="55">
        <v>42825</v>
      </c>
      <c r="CG20" s="55">
        <v>42874</v>
      </c>
      <c r="CH20" s="55">
        <v>0</v>
      </c>
      <c r="CI20" s="55">
        <v>0</v>
      </c>
      <c r="CJ20">
        <v>1</v>
      </c>
      <c r="CK20">
        <v>0</v>
      </c>
      <c r="CL20">
        <v>0.96</v>
      </c>
      <c r="CM20">
        <v>0</v>
      </c>
      <c r="CN20">
        <v>0</v>
      </c>
      <c r="CO20">
        <v>0</v>
      </c>
      <c r="CP20">
        <v>0</v>
      </c>
      <c r="CQ20" t="s">
        <v>1664</v>
      </c>
      <c r="CR20" t="s">
        <v>1368</v>
      </c>
      <c r="CS20" t="s">
        <v>1665</v>
      </c>
      <c r="CT20" t="s">
        <v>1959</v>
      </c>
      <c r="CU20" t="s">
        <v>1966</v>
      </c>
      <c r="CV20" t="s">
        <v>2009</v>
      </c>
      <c r="DB20" t="s">
        <v>2007</v>
      </c>
      <c r="DE20" t="s">
        <v>1959</v>
      </c>
    </row>
    <row r="21" spans="1:109" x14ac:dyDescent="0.25">
      <c r="A21" t="s">
        <v>1664</v>
      </c>
      <c r="B21">
        <v>2</v>
      </c>
      <c r="C21" s="55">
        <v>42874</v>
      </c>
      <c r="D21" t="s">
        <v>1658</v>
      </c>
      <c r="E21" t="s">
        <v>1703</v>
      </c>
      <c r="G21" t="s">
        <v>1659</v>
      </c>
      <c r="H21" t="s">
        <v>1659</v>
      </c>
      <c r="I21" t="s">
        <v>1659</v>
      </c>
      <c r="J21" t="s">
        <v>1659</v>
      </c>
      <c r="K21" t="s">
        <v>1659</v>
      </c>
      <c r="L21">
        <v>16.63</v>
      </c>
      <c r="M21">
        <v>34.96</v>
      </c>
      <c r="N21">
        <v>0</v>
      </c>
      <c r="O21" s="55"/>
      <c r="P21" s="55"/>
      <c r="Q21">
        <v>13730</v>
      </c>
      <c r="R21">
        <v>15</v>
      </c>
      <c r="S21">
        <v>7</v>
      </c>
      <c r="T21">
        <v>3</v>
      </c>
      <c r="U21">
        <v>4</v>
      </c>
      <c r="V21">
        <v>1</v>
      </c>
      <c r="X21" t="s">
        <v>1690</v>
      </c>
      <c r="Z21" t="s">
        <v>1669</v>
      </c>
      <c r="AA21">
        <v>0.08</v>
      </c>
      <c r="AB21">
        <v>1</v>
      </c>
      <c r="AC21">
        <v>12.5</v>
      </c>
      <c r="AD21">
        <v>15.63</v>
      </c>
      <c r="AE21">
        <v>3.13</v>
      </c>
      <c r="AF21">
        <v>0</v>
      </c>
      <c r="AG21">
        <v>0</v>
      </c>
      <c r="AJ21" s="55">
        <v>42872</v>
      </c>
      <c r="AK21" s="55">
        <v>42796</v>
      </c>
      <c r="AL21" s="55">
        <v>42796</v>
      </c>
      <c r="AO21">
        <v>1</v>
      </c>
      <c r="AP21" t="s">
        <v>1660</v>
      </c>
      <c r="AR21">
        <v>6</v>
      </c>
      <c r="AS21" t="s">
        <v>1661</v>
      </c>
      <c r="AT21">
        <v>1</v>
      </c>
      <c r="AV21">
        <v>4</v>
      </c>
      <c r="AW21">
        <v>3</v>
      </c>
      <c r="AX21">
        <v>1</v>
      </c>
      <c r="AY21" t="s">
        <v>1670</v>
      </c>
      <c r="AZ21" t="s">
        <v>1670</v>
      </c>
      <c r="BA21">
        <v>5</v>
      </c>
      <c r="BD21">
        <v>1000000000</v>
      </c>
      <c r="BE21">
        <v>5</v>
      </c>
      <c r="BF21">
        <v>-0.25</v>
      </c>
      <c r="BG21">
        <v>0</v>
      </c>
      <c r="BH21">
        <v>0</v>
      </c>
      <c r="BI21">
        <v>0</v>
      </c>
      <c r="BJ21">
        <v>0</v>
      </c>
      <c r="BK21">
        <v>0</v>
      </c>
      <c r="BL21">
        <v>0</v>
      </c>
      <c r="BM21">
        <v>5</v>
      </c>
      <c r="BN21">
        <v>-0.25</v>
      </c>
      <c r="BR21">
        <v>0</v>
      </c>
      <c r="BS21">
        <v>2</v>
      </c>
      <c r="BX21">
        <v>0</v>
      </c>
      <c r="BY21">
        <v>16.63</v>
      </c>
      <c r="BZ21">
        <v>0</v>
      </c>
      <c r="CA21">
        <v>7.56</v>
      </c>
      <c r="CC21">
        <v>0</v>
      </c>
      <c r="CD21" s="55">
        <v>42816</v>
      </c>
      <c r="CE21" s="55"/>
      <c r="CF21" s="55">
        <v>42825</v>
      </c>
      <c r="CG21" s="55">
        <v>42874</v>
      </c>
      <c r="CH21" s="55">
        <v>0</v>
      </c>
      <c r="CI21" s="55">
        <v>0</v>
      </c>
      <c r="CJ21">
        <v>0.22</v>
      </c>
      <c r="CK21">
        <v>0</v>
      </c>
      <c r="CL21">
        <v>0</v>
      </c>
      <c r="CM21">
        <v>0</v>
      </c>
      <c r="CN21">
        <v>0</v>
      </c>
      <c r="CO21">
        <v>0</v>
      </c>
      <c r="CP21">
        <v>0.96</v>
      </c>
      <c r="CQ21" t="s">
        <v>1664</v>
      </c>
      <c r="CR21" t="s">
        <v>1368</v>
      </c>
      <c r="CS21" t="s">
        <v>1665</v>
      </c>
      <c r="CT21" t="s">
        <v>1959</v>
      </c>
      <c r="CU21" t="s">
        <v>1966</v>
      </c>
      <c r="CV21" t="s">
        <v>2010</v>
      </c>
      <c r="DB21" t="s">
        <v>2011</v>
      </c>
      <c r="DE21" t="s">
        <v>1959</v>
      </c>
    </row>
    <row r="22" spans="1:109" x14ac:dyDescent="0.25">
      <c r="A22" t="s">
        <v>1664</v>
      </c>
      <c r="B22">
        <v>2</v>
      </c>
      <c r="C22" s="55">
        <v>42874</v>
      </c>
      <c r="D22" t="s">
        <v>1658</v>
      </c>
      <c r="E22" t="s">
        <v>2012</v>
      </c>
      <c r="G22" t="s">
        <v>1659</v>
      </c>
      <c r="H22" t="s">
        <v>1659</v>
      </c>
      <c r="I22" t="s">
        <v>1659</v>
      </c>
      <c r="J22" t="s">
        <v>1659</v>
      </c>
      <c r="K22" t="s">
        <v>1659</v>
      </c>
      <c r="L22">
        <v>1268.8499999999999</v>
      </c>
      <c r="M22">
        <v>3178.12</v>
      </c>
      <c r="N22">
        <v>0</v>
      </c>
      <c r="O22" s="55"/>
      <c r="P22" s="55"/>
      <c r="Q22">
        <v>13730</v>
      </c>
      <c r="R22">
        <v>15</v>
      </c>
      <c r="S22">
        <v>7</v>
      </c>
      <c r="T22">
        <v>3</v>
      </c>
      <c r="U22">
        <v>4</v>
      </c>
      <c r="V22">
        <v>1</v>
      </c>
      <c r="X22" t="s">
        <v>1981</v>
      </c>
      <c r="AA22">
        <v>0</v>
      </c>
      <c r="AB22">
        <v>0</v>
      </c>
      <c r="AC22">
        <v>0</v>
      </c>
      <c r="AD22">
        <v>0</v>
      </c>
      <c r="AE22">
        <v>0</v>
      </c>
      <c r="AF22">
        <v>0</v>
      </c>
      <c r="AG22">
        <v>0</v>
      </c>
      <c r="AJ22" s="55">
        <v>42666</v>
      </c>
      <c r="AK22" s="55"/>
      <c r="AL22" s="55"/>
      <c r="AO22">
        <v>1</v>
      </c>
      <c r="AP22" t="s">
        <v>1660</v>
      </c>
      <c r="AR22">
        <v>1</v>
      </c>
      <c r="AS22" t="s">
        <v>1661</v>
      </c>
      <c r="AT22">
        <v>1</v>
      </c>
      <c r="AV22">
        <v>0</v>
      </c>
      <c r="AW22">
        <v>0</v>
      </c>
      <c r="AX22">
        <v>0</v>
      </c>
      <c r="AY22" t="s">
        <v>1662</v>
      </c>
      <c r="AZ22" t="s">
        <v>1662</v>
      </c>
      <c r="BA22">
        <v>1</v>
      </c>
      <c r="BD22">
        <v>1000000000</v>
      </c>
      <c r="BE22">
        <v>0</v>
      </c>
      <c r="BF22">
        <v>0</v>
      </c>
      <c r="BG22">
        <v>0</v>
      </c>
      <c r="BH22">
        <v>0</v>
      </c>
      <c r="BI22">
        <v>0</v>
      </c>
      <c r="BJ22">
        <v>0</v>
      </c>
      <c r="BK22">
        <v>0</v>
      </c>
      <c r="BL22">
        <v>0</v>
      </c>
      <c r="BM22">
        <v>0</v>
      </c>
      <c r="BN22">
        <v>0</v>
      </c>
      <c r="BR22">
        <v>0</v>
      </c>
      <c r="BS22">
        <v>0</v>
      </c>
      <c r="BX22">
        <v>0</v>
      </c>
      <c r="BY22">
        <v>0</v>
      </c>
      <c r="BZ22">
        <v>0</v>
      </c>
      <c r="CA22">
        <v>0</v>
      </c>
      <c r="CC22">
        <v>0</v>
      </c>
      <c r="CD22" s="55">
        <v>42815</v>
      </c>
      <c r="CE22" s="55"/>
      <c r="CF22" s="55">
        <v>42825</v>
      </c>
      <c r="CG22" s="55">
        <v>42874</v>
      </c>
      <c r="CH22" s="55">
        <v>0</v>
      </c>
      <c r="CI22" s="55">
        <v>0</v>
      </c>
      <c r="CJ22">
        <v>1</v>
      </c>
      <c r="CK22">
        <v>0</v>
      </c>
      <c r="CL22">
        <v>0.96</v>
      </c>
      <c r="CM22">
        <v>0</v>
      </c>
      <c r="CN22">
        <v>0</v>
      </c>
      <c r="CO22">
        <v>0</v>
      </c>
      <c r="CP22">
        <v>0</v>
      </c>
      <c r="CQ22" t="s">
        <v>1664</v>
      </c>
      <c r="CR22" t="s">
        <v>1368</v>
      </c>
      <c r="CS22" t="s">
        <v>1665</v>
      </c>
      <c r="CT22" t="s">
        <v>1959</v>
      </c>
      <c r="CU22" t="s">
        <v>1966</v>
      </c>
      <c r="CV22" t="s">
        <v>2013</v>
      </c>
      <c r="DB22" t="s">
        <v>2007</v>
      </c>
      <c r="DE22" t="s">
        <v>1959</v>
      </c>
    </row>
    <row r="23" spans="1:109" x14ac:dyDescent="0.25">
      <c r="A23" t="s">
        <v>1664</v>
      </c>
      <c r="B23">
        <v>2</v>
      </c>
      <c r="C23" s="55">
        <v>42874</v>
      </c>
      <c r="D23" t="s">
        <v>1658</v>
      </c>
      <c r="E23" t="s">
        <v>2014</v>
      </c>
      <c r="G23" t="s">
        <v>1659</v>
      </c>
      <c r="H23" t="s">
        <v>1659</v>
      </c>
      <c r="I23" t="s">
        <v>1659</v>
      </c>
      <c r="J23" t="s">
        <v>1659</v>
      </c>
      <c r="K23" t="s">
        <v>1659</v>
      </c>
      <c r="L23">
        <v>0</v>
      </c>
      <c r="M23">
        <v>0</v>
      </c>
      <c r="N23">
        <v>0</v>
      </c>
      <c r="O23" s="55"/>
      <c r="P23" s="55"/>
      <c r="Q23">
        <v>13730</v>
      </c>
      <c r="R23">
        <v>15</v>
      </c>
      <c r="S23">
        <v>7</v>
      </c>
      <c r="T23">
        <v>3</v>
      </c>
      <c r="U23">
        <v>4</v>
      </c>
      <c r="V23">
        <v>1</v>
      </c>
      <c r="X23" t="s">
        <v>1981</v>
      </c>
      <c r="AA23">
        <v>0</v>
      </c>
      <c r="AB23">
        <v>0</v>
      </c>
      <c r="AC23">
        <v>0</v>
      </c>
      <c r="AD23">
        <v>0</v>
      </c>
      <c r="AE23">
        <v>0</v>
      </c>
      <c r="AF23">
        <v>0</v>
      </c>
      <c r="AG23">
        <v>0</v>
      </c>
      <c r="AJ23" s="55">
        <v>42666</v>
      </c>
      <c r="AK23" s="55"/>
      <c r="AL23" s="55"/>
      <c r="AO23">
        <v>1</v>
      </c>
      <c r="AP23" t="s">
        <v>1660</v>
      </c>
      <c r="AR23">
        <v>1</v>
      </c>
      <c r="AS23" t="s">
        <v>1661</v>
      </c>
      <c r="AT23">
        <v>1</v>
      </c>
      <c r="AV23">
        <v>0</v>
      </c>
      <c r="AW23">
        <v>0</v>
      </c>
      <c r="AX23">
        <v>0</v>
      </c>
      <c r="AY23" t="s">
        <v>1662</v>
      </c>
      <c r="AZ23" t="s">
        <v>1662</v>
      </c>
      <c r="BA23">
        <v>1</v>
      </c>
      <c r="BD23">
        <v>1000000000</v>
      </c>
      <c r="BE23">
        <v>0</v>
      </c>
      <c r="BF23">
        <v>0</v>
      </c>
      <c r="BG23">
        <v>0</v>
      </c>
      <c r="BH23">
        <v>0</v>
      </c>
      <c r="BI23">
        <v>0</v>
      </c>
      <c r="BJ23">
        <v>0</v>
      </c>
      <c r="BK23">
        <v>0</v>
      </c>
      <c r="BL23">
        <v>0</v>
      </c>
      <c r="BM23">
        <v>0</v>
      </c>
      <c r="BN23">
        <v>0</v>
      </c>
      <c r="BR23">
        <v>0</v>
      </c>
      <c r="BS23">
        <v>0</v>
      </c>
      <c r="BX23">
        <v>0</v>
      </c>
      <c r="BY23">
        <v>0</v>
      </c>
      <c r="BZ23">
        <v>0</v>
      </c>
      <c r="CA23">
        <v>0</v>
      </c>
      <c r="CC23">
        <v>0</v>
      </c>
      <c r="CD23" s="55">
        <v>42815</v>
      </c>
      <c r="CE23" s="55"/>
      <c r="CF23" s="55">
        <v>42825</v>
      </c>
      <c r="CG23" s="55">
        <v>42874</v>
      </c>
      <c r="CH23" s="55">
        <v>0</v>
      </c>
      <c r="CI23" s="55">
        <v>0</v>
      </c>
      <c r="CJ23">
        <v>1</v>
      </c>
      <c r="CK23">
        <v>0</v>
      </c>
      <c r="CL23">
        <v>0.96</v>
      </c>
      <c r="CM23">
        <v>0</v>
      </c>
      <c r="CN23">
        <v>0</v>
      </c>
      <c r="CO23">
        <v>0</v>
      </c>
      <c r="CP23">
        <v>0</v>
      </c>
      <c r="CQ23" t="s">
        <v>1664</v>
      </c>
      <c r="CR23" t="s">
        <v>1368</v>
      </c>
      <c r="CS23" t="s">
        <v>1665</v>
      </c>
      <c r="CT23" t="s">
        <v>1959</v>
      </c>
      <c r="CU23" t="s">
        <v>1966</v>
      </c>
      <c r="CV23" t="s">
        <v>2015</v>
      </c>
      <c r="DB23" t="s">
        <v>2007</v>
      </c>
      <c r="DE23" t="s">
        <v>1959</v>
      </c>
    </row>
    <row r="24" spans="1:109" x14ac:dyDescent="0.25">
      <c r="A24" t="s">
        <v>1664</v>
      </c>
      <c r="B24">
        <v>2</v>
      </c>
      <c r="C24" s="55">
        <v>42874</v>
      </c>
      <c r="D24" t="s">
        <v>1658</v>
      </c>
      <c r="E24" t="s">
        <v>1574</v>
      </c>
      <c r="G24" t="s">
        <v>1659</v>
      </c>
      <c r="H24" t="s">
        <v>1659</v>
      </c>
      <c r="I24" t="s">
        <v>1659</v>
      </c>
      <c r="J24" t="s">
        <v>1659</v>
      </c>
      <c r="K24" t="s">
        <v>1659</v>
      </c>
      <c r="L24">
        <v>7.26</v>
      </c>
      <c r="M24">
        <v>13.58</v>
      </c>
      <c r="N24">
        <v>0</v>
      </c>
      <c r="O24" s="55"/>
      <c r="P24" s="55"/>
      <c r="Q24">
        <v>13730</v>
      </c>
      <c r="R24">
        <v>15</v>
      </c>
      <c r="S24">
        <v>7</v>
      </c>
      <c r="T24">
        <v>3</v>
      </c>
      <c r="U24">
        <v>4</v>
      </c>
      <c r="V24">
        <v>1</v>
      </c>
      <c r="W24" t="s">
        <v>1671</v>
      </c>
      <c r="X24" t="s">
        <v>2016</v>
      </c>
      <c r="Y24">
        <v>140</v>
      </c>
      <c r="Z24" t="s">
        <v>1669</v>
      </c>
      <c r="AA24">
        <v>4.0199999999999996</v>
      </c>
      <c r="AB24">
        <v>43</v>
      </c>
      <c r="AC24">
        <v>12.44</v>
      </c>
      <c r="AD24">
        <v>11.94</v>
      </c>
      <c r="AE24">
        <v>0.06</v>
      </c>
      <c r="AF24">
        <v>0</v>
      </c>
      <c r="AG24">
        <v>0</v>
      </c>
      <c r="AJ24" s="55">
        <v>42845</v>
      </c>
      <c r="AK24" s="55">
        <v>42796</v>
      </c>
      <c r="AL24" s="55"/>
      <c r="AO24">
        <v>1</v>
      </c>
      <c r="AP24" t="s">
        <v>1660</v>
      </c>
      <c r="AR24">
        <v>10</v>
      </c>
      <c r="AS24" t="s">
        <v>1661</v>
      </c>
      <c r="AT24">
        <v>1</v>
      </c>
      <c r="AV24">
        <v>200</v>
      </c>
      <c r="AW24">
        <v>133</v>
      </c>
      <c r="AX24">
        <v>66</v>
      </c>
      <c r="AY24" t="s">
        <v>1672</v>
      </c>
      <c r="AZ24" t="s">
        <v>1672</v>
      </c>
      <c r="BA24">
        <v>0</v>
      </c>
      <c r="BD24">
        <v>1000000000</v>
      </c>
      <c r="BE24">
        <v>172</v>
      </c>
      <c r="BF24">
        <v>0.14000000000000001</v>
      </c>
      <c r="BG24">
        <v>20</v>
      </c>
      <c r="BH24">
        <v>0</v>
      </c>
      <c r="BI24">
        <v>0</v>
      </c>
      <c r="BJ24">
        <v>0</v>
      </c>
      <c r="BK24">
        <v>0</v>
      </c>
      <c r="BL24">
        <v>0</v>
      </c>
      <c r="BM24">
        <v>192</v>
      </c>
      <c r="BN24">
        <v>0.04</v>
      </c>
      <c r="BR24">
        <v>10</v>
      </c>
      <c r="BS24">
        <v>114</v>
      </c>
      <c r="BX24">
        <v>0</v>
      </c>
      <c r="BY24">
        <v>0</v>
      </c>
      <c r="BZ24">
        <v>0</v>
      </c>
      <c r="CA24">
        <v>5.97</v>
      </c>
      <c r="CC24">
        <v>1</v>
      </c>
      <c r="CD24" s="55">
        <v>42709</v>
      </c>
      <c r="CE24" s="55"/>
      <c r="CF24" s="55">
        <v>42825</v>
      </c>
      <c r="CG24" s="55">
        <v>42874</v>
      </c>
      <c r="CH24" s="55">
        <v>42873</v>
      </c>
      <c r="CI24" s="55">
        <v>42901</v>
      </c>
      <c r="CJ24">
        <v>7.0000000000000007E-2</v>
      </c>
      <c r="CK24">
        <v>0</v>
      </c>
      <c r="CL24">
        <v>0</v>
      </c>
      <c r="CM24">
        <v>0</v>
      </c>
      <c r="CN24">
        <v>0</v>
      </c>
      <c r="CO24">
        <v>0.81</v>
      </c>
      <c r="CP24">
        <v>0.15</v>
      </c>
      <c r="CQ24" t="s">
        <v>1664</v>
      </c>
      <c r="CR24" t="s">
        <v>1368</v>
      </c>
      <c r="CS24" t="s">
        <v>1665</v>
      </c>
      <c r="CT24" t="s">
        <v>1959</v>
      </c>
      <c r="CU24" t="s">
        <v>1966</v>
      </c>
      <c r="CV24" t="s">
        <v>2017</v>
      </c>
      <c r="DB24" t="s">
        <v>2018</v>
      </c>
      <c r="DE24" t="s">
        <v>1959</v>
      </c>
    </row>
    <row r="25" spans="1:109" x14ac:dyDescent="0.25">
      <c r="A25" t="s">
        <v>1664</v>
      </c>
      <c r="B25">
        <v>2</v>
      </c>
      <c r="C25" s="55">
        <v>42874</v>
      </c>
      <c r="D25" t="s">
        <v>1658</v>
      </c>
      <c r="E25" t="s">
        <v>1962</v>
      </c>
      <c r="G25" t="s">
        <v>1659</v>
      </c>
      <c r="H25" t="s">
        <v>1659</v>
      </c>
      <c r="I25" t="s">
        <v>1659</v>
      </c>
      <c r="J25" t="s">
        <v>1659</v>
      </c>
      <c r="K25" t="s">
        <v>1659</v>
      </c>
      <c r="L25">
        <v>10.47</v>
      </c>
      <c r="M25">
        <v>15.61</v>
      </c>
      <c r="N25">
        <v>0</v>
      </c>
      <c r="O25" s="55"/>
      <c r="P25" s="55"/>
      <c r="Q25">
        <v>13730</v>
      </c>
      <c r="R25">
        <v>15</v>
      </c>
      <c r="S25">
        <v>7</v>
      </c>
      <c r="T25">
        <v>3</v>
      </c>
      <c r="U25">
        <v>4</v>
      </c>
      <c r="V25">
        <v>1</v>
      </c>
      <c r="W25" t="s">
        <v>1686</v>
      </c>
      <c r="X25" t="s">
        <v>1690</v>
      </c>
      <c r="Y25">
        <v>8</v>
      </c>
      <c r="AA25">
        <v>0</v>
      </c>
      <c r="AB25">
        <v>0</v>
      </c>
      <c r="AC25">
        <v>0</v>
      </c>
      <c r="AD25">
        <v>0</v>
      </c>
      <c r="AE25">
        <v>0</v>
      </c>
      <c r="AF25">
        <v>0</v>
      </c>
      <c r="AG25">
        <v>0</v>
      </c>
      <c r="AJ25" s="55">
        <v>42666</v>
      </c>
      <c r="AK25" s="55"/>
      <c r="AL25" s="55">
        <v>42845</v>
      </c>
      <c r="AO25">
        <v>1</v>
      </c>
      <c r="AP25" t="s">
        <v>1660</v>
      </c>
      <c r="AR25">
        <v>10</v>
      </c>
      <c r="AS25" t="s">
        <v>1661</v>
      </c>
      <c r="AT25">
        <v>1</v>
      </c>
      <c r="AV25">
        <v>10</v>
      </c>
      <c r="AW25">
        <v>7</v>
      </c>
      <c r="AX25">
        <v>3</v>
      </c>
      <c r="AY25" t="s">
        <v>1689</v>
      </c>
      <c r="AZ25" t="s">
        <v>1689</v>
      </c>
      <c r="BA25">
        <v>20</v>
      </c>
      <c r="BD25">
        <v>1000000000</v>
      </c>
      <c r="BE25">
        <v>4</v>
      </c>
      <c r="BF25">
        <v>0.6</v>
      </c>
      <c r="BG25">
        <v>0</v>
      </c>
      <c r="BH25">
        <v>0</v>
      </c>
      <c r="BI25">
        <v>0</v>
      </c>
      <c r="BJ25">
        <v>0</v>
      </c>
      <c r="BK25">
        <v>0</v>
      </c>
      <c r="BL25">
        <v>0</v>
      </c>
      <c r="BM25">
        <v>4</v>
      </c>
      <c r="BN25">
        <v>0.6</v>
      </c>
      <c r="BR25">
        <v>10</v>
      </c>
      <c r="BS25">
        <v>6</v>
      </c>
      <c r="BX25">
        <v>0</v>
      </c>
      <c r="BY25">
        <v>0</v>
      </c>
      <c r="BZ25">
        <v>0</v>
      </c>
      <c r="CA25">
        <v>3.37</v>
      </c>
      <c r="CC25">
        <v>1</v>
      </c>
      <c r="CD25" s="55">
        <v>42816</v>
      </c>
      <c r="CE25" s="55"/>
      <c r="CF25" s="55">
        <v>42825</v>
      </c>
      <c r="CG25" s="55">
        <v>42874</v>
      </c>
      <c r="CH25" s="55">
        <v>42842</v>
      </c>
      <c r="CI25" s="55">
        <v>42874</v>
      </c>
      <c r="CJ25">
        <v>0.4</v>
      </c>
      <c r="CK25">
        <v>0</v>
      </c>
      <c r="CL25">
        <v>0</v>
      </c>
      <c r="CM25">
        <v>0</v>
      </c>
      <c r="CN25">
        <v>0.85</v>
      </c>
      <c r="CO25">
        <v>0.1</v>
      </c>
      <c r="CP25">
        <v>0</v>
      </c>
      <c r="CQ25" t="s">
        <v>1664</v>
      </c>
      <c r="CR25" t="s">
        <v>1368</v>
      </c>
      <c r="CS25" t="s">
        <v>1665</v>
      </c>
      <c r="CT25" t="s">
        <v>1959</v>
      </c>
      <c r="CU25" t="s">
        <v>1966</v>
      </c>
      <c r="CV25" t="s">
        <v>2019</v>
      </c>
      <c r="DB25" t="s">
        <v>2018</v>
      </c>
      <c r="DE25" t="s">
        <v>1959</v>
      </c>
    </row>
    <row r="26" spans="1:109" x14ac:dyDescent="0.25">
      <c r="A26" t="s">
        <v>1664</v>
      </c>
      <c r="B26">
        <v>2</v>
      </c>
      <c r="C26" s="55">
        <v>42874</v>
      </c>
      <c r="D26" t="s">
        <v>1658</v>
      </c>
      <c r="E26" t="s">
        <v>1575</v>
      </c>
      <c r="G26" t="s">
        <v>1659</v>
      </c>
      <c r="H26" t="s">
        <v>1659</v>
      </c>
      <c r="I26" t="s">
        <v>1659</v>
      </c>
      <c r="J26" t="s">
        <v>1659</v>
      </c>
      <c r="K26" t="s">
        <v>1659</v>
      </c>
      <c r="L26">
        <v>9.91</v>
      </c>
      <c r="M26">
        <v>18.45</v>
      </c>
      <c r="N26">
        <v>0</v>
      </c>
      <c r="O26" s="55"/>
      <c r="P26" s="55"/>
      <c r="Q26">
        <v>13730</v>
      </c>
      <c r="R26">
        <v>15</v>
      </c>
      <c r="S26">
        <v>7</v>
      </c>
      <c r="T26">
        <v>3</v>
      </c>
      <c r="U26">
        <v>4</v>
      </c>
      <c r="V26">
        <v>1</v>
      </c>
      <c r="X26" t="s">
        <v>1977</v>
      </c>
      <c r="Z26" t="s">
        <v>1669</v>
      </c>
      <c r="AA26">
        <v>0.04</v>
      </c>
      <c r="AB26">
        <v>1</v>
      </c>
      <c r="AC26">
        <v>62.5</v>
      </c>
      <c r="AD26">
        <v>68.75</v>
      </c>
      <c r="AE26">
        <v>6.25</v>
      </c>
      <c r="AF26">
        <v>0</v>
      </c>
      <c r="AG26">
        <v>0</v>
      </c>
      <c r="AJ26" s="55">
        <v>42845</v>
      </c>
      <c r="AK26" s="55">
        <v>42796</v>
      </c>
      <c r="AL26" s="55"/>
      <c r="AO26">
        <v>1</v>
      </c>
      <c r="AP26" t="s">
        <v>1660</v>
      </c>
      <c r="AR26">
        <v>10</v>
      </c>
      <c r="AS26" t="s">
        <v>1661</v>
      </c>
      <c r="AT26">
        <v>1</v>
      </c>
      <c r="AV26">
        <v>10</v>
      </c>
      <c r="AW26">
        <v>7</v>
      </c>
      <c r="AX26">
        <v>3</v>
      </c>
      <c r="AY26" t="s">
        <v>1670</v>
      </c>
      <c r="AZ26" t="s">
        <v>1670</v>
      </c>
      <c r="BA26">
        <v>20</v>
      </c>
      <c r="BD26">
        <v>1000000000</v>
      </c>
      <c r="BE26">
        <v>11</v>
      </c>
      <c r="BF26">
        <v>-0.1</v>
      </c>
      <c r="BG26">
        <v>0</v>
      </c>
      <c r="BH26">
        <v>0</v>
      </c>
      <c r="BI26">
        <v>0</v>
      </c>
      <c r="BJ26">
        <v>0</v>
      </c>
      <c r="BK26">
        <v>0</v>
      </c>
      <c r="BL26">
        <v>0</v>
      </c>
      <c r="BM26">
        <v>11</v>
      </c>
      <c r="BN26">
        <v>-0.1</v>
      </c>
      <c r="BR26">
        <v>0</v>
      </c>
      <c r="BS26">
        <v>6</v>
      </c>
      <c r="BX26">
        <v>0</v>
      </c>
      <c r="BY26">
        <v>9.91</v>
      </c>
      <c r="BZ26">
        <v>0</v>
      </c>
      <c r="CA26">
        <v>5.91</v>
      </c>
      <c r="CC26">
        <v>0</v>
      </c>
      <c r="CD26" s="55">
        <v>42772</v>
      </c>
      <c r="CE26" s="55"/>
      <c r="CF26" s="55">
        <v>42825</v>
      </c>
      <c r="CG26" s="55">
        <v>42874</v>
      </c>
      <c r="CH26" s="55">
        <v>0</v>
      </c>
      <c r="CI26" s="55">
        <v>0</v>
      </c>
      <c r="CJ26">
        <v>0</v>
      </c>
      <c r="CK26">
        <v>0</v>
      </c>
      <c r="CL26">
        <v>0</v>
      </c>
      <c r="CM26">
        <v>0</v>
      </c>
      <c r="CN26">
        <v>0</v>
      </c>
      <c r="CO26">
        <v>0</v>
      </c>
      <c r="CP26">
        <v>0.96</v>
      </c>
      <c r="CQ26" t="s">
        <v>1664</v>
      </c>
      <c r="CR26" t="s">
        <v>1368</v>
      </c>
      <c r="CS26" t="s">
        <v>1665</v>
      </c>
      <c r="CT26" t="s">
        <v>1959</v>
      </c>
      <c r="CU26" t="s">
        <v>1966</v>
      </c>
      <c r="CV26" t="s">
        <v>2020</v>
      </c>
      <c r="DB26" t="s">
        <v>2018</v>
      </c>
      <c r="DE26" t="s">
        <v>1959</v>
      </c>
    </row>
    <row r="27" spans="1:109" x14ac:dyDescent="0.25">
      <c r="A27" t="s">
        <v>1664</v>
      </c>
      <c r="B27">
        <v>2</v>
      </c>
      <c r="C27" s="55">
        <v>42874</v>
      </c>
      <c r="D27" t="s">
        <v>1658</v>
      </c>
      <c r="E27" t="s">
        <v>2021</v>
      </c>
      <c r="G27" t="s">
        <v>1659</v>
      </c>
      <c r="H27" t="s">
        <v>1659</v>
      </c>
      <c r="I27" t="s">
        <v>1659</v>
      </c>
      <c r="J27" t="s">
        <v>1659</v>
      </c>
      <c r="K27" t="s">
        <v>1659</v>
      </c>
      <c r="L27">
        <v>9.61</v>
      </c>
      <c r="M27">
        <v>26.33</v>
      </c>
      <c r="N27">
        <v>0</v>
      </c>
      <c r="O27" s="55"/>
      <c r="P27" s="55"/>
      <c r="Q27">
        <v>13730</v>
      </c>
      <c r="R27">
        <v>15</v>
      </c>
      <c r="S27">
        <v>7</v>
      </c>
      <c r="T27">
        <v>3</v>
      </c>
      <c r="U27">
        <v>4</v>
      </c>
      <c r="V27">
        <v>1</v>
      </c>
      <c r="X27" t="s">
        <v>1690</v>
      </c>
      <c r="AA27">
        <v>0</v>
      </c>
      <c r="AB27">
        <v>0</v>
      </c>
      <c r="AC27">
        <v>0</v>
      </c>
      <c r="AD27">
        <v>0</v>
      </c>
      <c r="AE27">
        <v>0</v>
      </c>
      <c r="AF27">
        <v>0</v>
      </c>
      <c r="AG27">
        <v>0</v>
      </c>
      <c r="AJ27" s="55">
        <v>42666</v>
      </c>
      <c r="AK27" s="55"/>
      <c r="AL27" s="55"/>
      <c r="AO27">
        <v>1</v>
      </c>
      <c r="AP27" t="s">
        <v>1660</v>
      </c>
      <c r="AR27">
        <v>50</v>
      </c>
      <c r="AS27" t="s">
        <v>1661</v>
      </c>
      <c r="AT27">
        <v>1</v>
      </c>
      <c r="AV27">
        <v>0</v>
      </c>
      <c r="AW27">
        <v>0</v>
      </c>
      <c r="AX27">
        <v>0</v>
      </c>
      <c r="AY27" t="s">
        <v>1662</v>
      </c>
      <c r="AZ27" t="s">
        <v>1662</v>
      </c>
      <c r="BA27">
        <v>35</v>
      </c>
      <c r="BD27">
        <v>1000000000</v>
      </c>
      <c r="BE27">
        <v>36</v>
      </c>
      <c r="BF27">
        <v>0</v>
      </c>
      <c r="BG27">
        <v>0</v>
      </c>
      <c r="BH27">
        <v>0</v>
      </c>
      <c r="BI27">
        <v>0</v>
      </c>
      <c r="BJ27">
        <v>0</v>
      </c>
      <c r="BK27">
        <v>0</v>
      </c>
      <c r="BL27">
        <v>0</v>
      </c>
      <c r="BM27">
        <v>36</v>
      </c>
      <c r="BN27">
        <v>0</v>
      </c>
      <c r="BR27">
        <v>0</v>
      </c>
      <c r="BS27">
        <v>0</v>
      </c>
      <c r="BX27">
        <v>0</v>
      </c>
      <c r="BY27">
        <v>0</v>
      </c>
      <c r="BZ27">
        <v>0</v>
      </c>
      <c r="CA27">
        <v>0</v>
      </c>
      <c r="CC27">
        <v>0</v>
      </c>
      <c r="CD27" s="55">
        <v>42816</v>
      </c>
      <c r="CE27" s="55"/>
      <c r="CF27" s="55">
        <v>42825</v>
      </c>
      <c r="CG27" s="55">
        <v>42874</v>
      </c>
      <c r="CH27" s="55">
        <v>0</v>
      </c>
      <c r="CI27" s="55">
        <v>0</v>
      </c>
      <c r="CJ27">
        <v>0</v>
      </c>
      <c r="CK27">
        <v>0</v>
      </c>
      <c r="CL27">
        <v>0</v>
      </c>
      <c r="CM27">
        <v>0</v>
      </c>
      <c r="CN27">
        <v>0</v>
      </c>
      <c r="CO27">
        <v>0</v>
      </c>
      <c r="CP27">
        <v>0.96</v>
      </c>
      <c r="CQ27" t="s">
        <v>1664</v>
      </c>
      <c r="CR27" t="s">
        <v>1368</v>
      </c>
      <c r="CS27" t="s">
        <v>1665</v>
      </c>
      <c r="CT27" t="s">
        <v>1959</v>
      </c>
      <c r="CU27" t="s">
        <v>1966</v>
      </c>
      <c r="CV27" t="s">
        <v>2022</v>
      </c>
      <c r="DB27" t="s">
        <v>2023</v>
      </c>
      <c r="DE27" t="s">
        <v>1959</v>
      </c>
    </row>
    <row r="28" spans="1:109" x14ac:dyDescent="0.25">
      <c r="A28" t="s">
        <v>1664</v>
      </c>
      <c r="B28">
        <v>2</v>
      </c>
      <c r="C28" s="55">
        <v>42874</v>
      </c>
      <c r="D28" t="s">
        <v>1658</v>
      </c>
      <c r="E28" t="s">
        <v>2024</v>
      </c>
      <c r="G28" t="s">
        <v>1659</v>
      </c>
      <c r="H28" t="s">
        <v>1659</v>
      </c>
      <c r="I28" t="s">
        <v>1659</v>
      </c>
      <c r="J28" t="s">
        <v>1659</v>
      </c>
      <c r="K28" t="s">
        <v>1659</v>
      </c>
      <c r="L28">
        <v>11.93</v>
      </c>
      <c r="M28">
        <v>34.24</v>
      </c>
      <c r="N28">
        <v>0</v>
      </c>
      <c r="O28" s="55"/>
      <c r="P28" s="55"/>
      <c r="Q28">
        <v>13730</v>
      </c>
      <c r="R28">
        <v>15</v>
      </c>
      <c r="S28">
        <v>7</v>
      </c>
      <c r="T28">
        <v>3</v>
      </c>
      <c r="U28">
        <v>4</v>
      </c>
      <c r="V28">
        <v>1</v>
      </c>
      <c r="X28" t="s">
        <v>1977</v>
      </c>
      <c r="AA28">
        <v>0</v>
      </c>
      <c r="AB28">
        <v>0</v>
      </c>
      <c r="AC28">
        <v>0</v>
      </c>
      <c r="AD28">
        <v>0</v>
      </c>
      <c r="AE28">
        <v>0</v>
      </c>
      <c r="AF28">
        <v>0</v>
      </c>
      <c r="AG28">
        <v>0</v>
      </c>
      <c r="AJ28" s="55">
        <v>42666</v>
      </c>
      <c r="AK28" s="55"/>
      <c r="AL28" s="55"/>
      <c r="AO28">
        <v>1</v>
      </c>
      <c r="AP28" t="s">
        <v>1660</v>
      </c>
      <c r="AR28">
        <v>10</v>
      </c>
      <c r="AS28" t="s">
        <v>1661</v>
      </c>
      <c r="AT28">
        <v>1</v>
      </c>
      <c r="AV28">
        <v>10</v>
      </c>
      <c r="AW28">
        <v>7</v>
      </c>
      <c r="AX28">
        <v>3</v>
      </c>
      <c r="AY28" t="s">
        <v>1670</v>
      </c>
      <c r="AZ28" t="s">
        <v>1670</v>
      </c>
      <c r="BA28">
        <v>0</v>
      </c>
      <c r="BD28">
        <v>1000000000</v>
      </c>
      <c r="BE28">
        <v>19</v>
      </c>
      <c r="BF28">
        <v>-0.9</v>
      </c>
      <c r="BG28">
        <v>0</v>
      </c>
      <c r="BH28">
        <v>0</v>
      </c>
      <c r="BI28">
        <v>0</v>
      </c>
      <c r="BJ28">
        <v>0</v>
      </c>
      <c r="BK28">
        <v>0</v>
      </c>
      <c r="BL28">
        <v>0</v>
      </c>
      <c r="BM28">
        <v>19</v>
      </c>
      <c r="BN28">
        <v>-0.9</v>
      </c>
      <c r="BR28">
        <v>0</v>
      </c>
      <c r="BS28">
        <v>6</v>
      </c>
      <c r="BX28">
        <v>0</v>
      </c>
      <c r="BY28">
        <v>107.37</v>
      </c>
      <c r="BZ28">
        <v>0</v>
      </c>
      <c r="CA28">
        <v>12.82</v>
      </c>
      <c r="CC28">
        <v>0</v>
      </c>
      <c r="CD28" s="55">
        <v>42772</v>
      </c>
      <c r="CE28" s="55"/>
      <c r="CF28" s="55">
        <v>42825</v>
      </c>
      <c r="CG28" s="55">
        <v>42874</v>
      </c>
      <c r="CH28" s="55">
        <v>0</v>
      </c>
      <c r="CI28" s="55">
        <v>0</v>
      </c>
      <c r="CJ28">
        <v>0</v>
      </c>
      <c r="CK28">
        <v>0</v>
      </c>
      <c r="CL28">
        <v>0</v>
      </c>
      <c r="CM28">
        <v>0</v>
      </c>
      <c r="CN28">
        <v>0</v>
      </c>
      <c r="CO28">
        <v>0</v>
      </c>
      <c r="CP28">
        <v>0.96</v>
      </c>
      <c r="CQ28" t="s">
        <v>1664</v>
      </c>
      <c r="CR28" t="s">
        <v>1368</v>
      </c>
      <c r="CS28" t="s">
        <v>1665</v>
      </c>
      <c r="CT28" t="s">
        <v>1959</v>
      </c>
      <c r="CU28" t="s">
        <v>1966</v>
      </c>
      <c r="CV28" t="s">
        <v>2025</v>
      </c>
      <c r="DB28" t="s">
        <v>2023</v>
      </c>
      <c r="DE28" t="s">
        <v>1959</v>
      </c>
    </row>
    <row r="29" spans="1:109" x14ac:dyDescent="0.25">
      <c r="A29" t="s">
        <v>1664</v>
      </c>
      <c r="B29">
        <v>2</v>
      </c>
      <c r="C29" s="55">
        <v>42874</v>
      </c>
      <c r="D29" t="s">
        <v>1658</v>
      </c>
      <c r="E29" t="s">
        <v>2026</v>
      </c>
      <c r="G29" t="s">
        <v>1659</v>
      </c>
      <c r="H29" t="s">
        <v>1659</v>
      </c>
      <c r="I29" t="s">
        <v>1659</v>
      </c>
      <c r="J29" t="s">
        <v>1659</v>
      </c>
      <c r="K29" t="s">
        <v>1659</v>
      </c>
      <c r="L29">
        <v>7.69</v>
      </c>
      <c r="M29">
        <v>21.06</v>
      </c>
      <c r="N29">
        <v>0</v>
      </c>
      <c r="O29" s="55"/>
      <c r="P29" s="55"/>
      <c r="Q29">
        <v>13730</v>
      </c>
      <c r="R29">
        <v>15</v>
      </c>
      <c r="S29">
        <v>7</v>
      </c>
      <c r="T29">
        <v>3</v>
      </c>
      <c r="U29">
        <v>4</v>
      </c>
      <c r="V29">
        <v>1</v>
      </c>
      <c r="X29" t="s">
        <v>1690</v>
      </c>
      <c r="AA29">
        <v>0</v>
      </c>
      <c r="AB29">
        <v>0</v>
      </c>
      <c r="AC29">
        <v>0</v>
      </c>
      <c r="AD29">
        <v>0</v>
      </c>
      <c r="AE29">
        <v>0</v>
      </c>
      <c r="AF29">
        <v>0</v>
      </c>
      <c r="AG29">
        <v>0</v>
      </c>
      <c r="AJ29" s="55">
        <v>42666</v>
      </c>
      <c r="AK29" s="55"/>
      <c r="AL29" s="55"/>
      <c r="AO29">
        <v>1</v>
      </c>
      <c r="AP29" t="s">
        <v>1660</v>
      </c>
      <c r="AR29">
        <v>36</v>
      </c>
      <c r="AS29" t="s">
        <v>1661</v>
      </c>
      <c r="AT29">
        <v>1</v>
      </c>
      <c r="AV29">
        <v>0</v>
      </c>
      <c r="AW29">
        <v>0</v>
      </c>
      <c r="AX29">
        <v>0</v>
      </c>
      <c r="AY29" t="s">
        <v>1662</v>
      </c>
      <c r="AZ29" t="s">
        <v>1662</v>
      </c>
      <c r="BA29">
        <v>36</v>
      </c>
      <c r="BD29">
        <v>1000000000</v>
      </c>
      <c r="BE29">
        <v>24</v>
      </c>
      <c r="BF29">
        <v>0</v>
      </c>
      <c r="BG29">
        <v>0</v>
      </c>
      <c r="BH29">
        <v>0</v>
      </c>
      <c r="BI29">
        <v>0</v>
      </c>
      <c r="BJ29">
        <v>0</v>
      </c>
      <c r="BK29">
        <v>0</v>
      </c>
      <c r="BL29">
        <v>0</v>
      </c>
      <c r="BM29">
        <v>24</v>
      </c>
      <c r="BN29">
        <v>0</v>
      </c>
      <c r="BR29">
        <v>0</v>
      </c>
      <c r="BS29">
        <v>0</v>
      </c>
      <c r="BX29">
        <v>0</v>
      </c>
      <c r="BY29">
        <v>0</v>
      </c>
      <c r="BZ29">
        <v>0</v>
      </c>
      <c r="CA29">
        <v>0</v>
      </c>
      <c r="CC29">
        <v>0</v>
      </c>
      <c r="CD29" s="55">
        <v>42816</v>
      </c>
      <c r="CE29" s="55"/>
      <c r="CF29" s="55">
        <v>42825</v>
      </c>
      <c r="CG29" s="55">
        <v>42874</v>
      </c>
      <c r="CH29" s="55">
        <v>0</v>
      </c>
      <c r="CI29" s="55">
        <v>0</v>
      </c>
      <c r="CJ29">
        <v>0</v>
      </c>
      <c r="CK29">
        <v>0</v>
      </c>
      <c r="CL29">
        <v>0</v>
      </c>
      <c r="CM29">
        <v>0</v>
      </c>
      <c r="CN29">
        <v>0</v>
      </c>
      <c r="CO29">
        <v>0</v>
      </c>
      <c r="CP29">
        <v>0.96</v>
      </c>
      <c r="CQ29" t="s">
        <v>1664</v>
      </c>
      <c r="CR29" t="s">
        <v>1368</v>
      </c>
      <c r="CS29" t="s">
        <v>1665</v>
      </c>
      <c r="CT29" t="s">
        <v>1959</v>
      </c>
      <c r="CU29" t="s">
        <v>1966</v>
      </c>
      <c r="CV29" t="s">
        <v>2027</v>
      </c>
      <c r="DB29" t="s">
        <v>2007</v>
      </c>
      <c r="DE29" t="s">
        <v>1959</v>
      </c>
    </row>
    <row r="30" spans="1:109" x14ac:dyDescent="0.25">
      <c r="A30" t="s">
        <v>1664</v>
      </c>
      <c r="B30">
        <v>2</v>
      </c>
      <c r="C30" s="55">
        <v>42874</v>
      </c>
      <c r="D30" t="s">
        <v>1658</v>
      </c>
      <c r="E30" t="s">
        <v>2028</v>
      </c>
      <c r="G30" t="s">
        <v>1659</v>
      </c>
      <c r="H30" t="s">
        <v>1659</v>
      </c>
      <c r="I30" t="s">
        <v>1659</v>
      </c>
      <c r="J30" t="s">
        <v>1659</v>
      </c>
      <c r="K30" t="s">
        <v>1659</v>
      </c>
      <c r="L30">
        <v>6.34</v>
      </c>
      <c r="M30">
        <v>0</v>
      </c>
      <c r="N30">
        <v>0</v>
      </c>
      <c r="O30" s="55"/>
      <c r="P30" s="55"/>
      <c r="Q30">
        <v>13730</v>
      </c>
      <c r="R30">
        <v>15</v>
      </c>
      <c r="S30">
        <v>7</v>
      </c>
      <c r="T30">
        <v>3</v>
      </c>
      <c r="U30">
        <v>4</v>
      </c>
      <c r="V30">
        <v>1</v>
      </c>
      <c r="X30" t="s">
        <v>1690</v>
      </c>
      <c r="AA30">
        <v>0</v>
      </c>
      <c r="AB30">
        <v>0</v>
      </c>
      <c r="AC30">
        <v>0</v>
      </c>
      <c r="AD30">
        <v>0</v>
      </c>
      <c r="AE30">
        <v>0</v>
      </c>
      <c r="AF30">
        <v>0</v>
      </c>
      <c r="AG30">
        <v>0</v>
      </c>
      <c r="AJ30" s="55">
        <v>42666</v>
      </c>
      <c r="AK30" s="55"/>
      <c r="AL30" s="55"/>
      <c r="AO30">
        <v>1</v>
      </c>
      <c r="AP30" t="s">
        <v>1660</v>
      </c>
      <c r="AR30">
        <v>20</v>
      </c>
      <c r="AS30" t="s">
        <v>1661</v>
      </c>
      <c r="AT30">
        <v>1</v>
      </c>
      <c r="AV30">
        <v>0</v>
      </c>
      <c r="AW30">
        <v>0</v>
      </c>
      <c r="AX30">
        <v>0</v>
      </c>
      <c r="AY30" t="s">
        <v>1662</v>
      </c>
      <c r="AZ30" t="s">
        <v>1662</v>
      </c>
      <c r="BA30">
        <v>14</v>
      </c>
      <c r="BD30">
        <v>1000000000</v>
      </c>
      <c r="BE30">
        <v>19</v>
      </c>
      <c r="BF30">
        <v>0</v>
      </c>
      <c r="BG30">
        <v>0</v>
      </c>
      <c r="BH30">
        <v>0</v>
      </c>
      <c r="BI30">
        <v>0</v>
      </c>
      <c r="BJ30">
        <v>0</v>
      </c>
      <c r="BK30">
        <v>0</v>
      </c>
      <c r="BL30">
        <v>0</v>
      </c>
      <c r="BM30">
        <v>19</v>
      </c>
      <c r="BN30">
        <v>0</v>
      </c>
      <c r="BR30">
        <v>0</v>
      </c>
      <c r="BS30">
        <v>0</v>
      </c>
      <c r="BX30">
        <v>0</v>
      </c>
      <c r="BY30">
        <v>0</v>
      </c>
      <c r="BZ30">
        <v>0</v>
      </c>
      <c r="CA30">
        <v>0</v>
      </c>
      <c r="CC30">
        <v>0</v>
      </c>
      <c r="CD30" s="55">
        <v>42816</v>
      </c>
      <c r="CE30" s="55"/>
      <c r="CF30" s="55">
        <v>42825</v>
      </c>
      <c r="CG30" s="55">
        <v>42874</v>
      </c>
      <c r="CH30" s="55">
        <v>0</v>
      </c>
      <c r="CI30" s="55">
        <v>0</v>
      </c>
      <c r="CJ30">
        <v>0</v>
      </c>
      <c r="CK30">
        <v>0</v>
      </c>
      <c r="CL30">
        <v>0</v>
      </c>
      <c r="CM30">
        <v>0</v>
      </c>
      <c r="CN30">
        <v>0</v>
      </c>
      <c r="CO30">
        <v>0</v>
      </c>
      <c r="CP30">
        <v>0.96</v>
      </c>
      <c r="CQ30" t="s">
        <v>1664</v>
      </c>
      <c r="CR30" t="s">
        <v>1368</v>
      </c>
      <c r="CS30" t="s">
        <v>1665</v>
      </c>
      <c r="CT30" t="s">
        <v>1959</v>
      </c>
      <c r="CU30" t="s">
        <v>1966</v>
      </c>
      <c r="CV30" t="s">
        <v>2029</v>
      </c>
      <c r="DB30" t="s">
        <v>2007</v>
      </c>
      <c r="DE30" t="s">
        <v>1959</v>
      </c>
    </row>
    <row r="31" spans="1:109" x14ac:dyDescent="0.25">
      <c r="A31" t="s">
        <v>1664</v>
      </c>
      <c r="B31">
        <v>2</v>
      </c>
      <c r="C31" s="55">
        <v>42874</v>
      </c>
      <c r="D31" t="s">
        <v>1658</v>
      </c>
      <c r="E31" t="s">
        <v>2030</v>
      </c>
      <c r="G31" t="s">
        <v>1659</v>
      </c>
      <c r="H31" t="s">
        <v>1659</v>
      </c>
      <c r="I31" t="s">
        <v>1659</v>
      </c>
      <c r="J31" t="s">
        <v>1659</v>
      </c>
      <c r="K31" t="s">
        <v>1659</v>
      </c>
      <c r="L31">
        <v>50.04</v>
      </c>
      <c r="M31">
        <v>157.94999999999999</v>
      </c>
      <c r="N31">
        <v>0</v>
      </c>
      <c r="O31" s="55"/>
      <c r="P31" s="55"/>
      <c r="Q31">
        <v>13730</v>
      </c>
      <c r="R31">
        <v>15</v>
      </c>
      <c r="S31">
        <v>7</v>
      </c>
      <c r="T31">
        <v>3</v>
      </c>
      <c r="U31">
        <v>4</v>
      </c>
      <c r="V31">
        <v>1</v>
      </c>
      <c r="X31" t="s">
        <v>1690</v>
      </c>
      <c r="AA31">
        <v>0</v>
      </c>
      <c r="AB31">
        <v>0</v>
      </c>
      <c r="AC31">
        <v>0</v>
      </c>
      <c r="AD31">
        <v>0</v>
      </c>
      <c r="AE31">
        <v>0</v>
      </c>
      <c r="AF31">
        <v>0</v>
      </c>
      <c r="AG31">
        <v>0</v>
      </c>
      <c r="AJ31" s="55">
        <v>42666</v>
      </c>
      <c r="AK31" s="55"/>
      <c r="AL31" s="55"/>
      <c r="AO31">
        <v>1</v>
      </c>
      <c r="AP31" t="s">
        <v>1660</v>
      </c>
      <c r="AR31">
        <v>15</v>
      </c>
      <c r="AS31" t="s">
        <v>1661</v>
      </c>
      <c r="AT31">
        <v>1</v>
      </c>
      <c r="AV31">
        <v>0</v>
      </c>
      <c r="AW31">
        <v>0</v>
      </c>
      <c r="AX31">
        <v>0</v>
      </c>
      <c r="AY31" t="s">
        <v>1662</v>
      </c>
      <c r="AZ31" t="s">
        <v>1662</v>
      </c>
      <c r="BA31">
        <v>15</v>
      </c>
      <c r="BD31">
        <v>1000000000</v>
      </c>
      <c r="BE31">
        <v>34</v>
      </c>
      <c r="BF31">
        <v>0</v>
      </c>
      <c r="BG31">
        <v>0</v>
      </c>
      <c r="BH31">
        <v>0</v>
      </c>
      <c r="BI31">
        <v>0</v>
      </c>
      <c r="BJ31">
        <v>0</v>
      </c>
      <c r="BK31">
        <v>0</v>
      </c>
      <c r="BL31">
        <v>0</v>
      </c>
      <c r="BM31">
        <v>34</v>
      </c>
      <c r="BN31">
        <v>0</v>
      </c>
      <c r="BR31">
        <v>0</v>
      </c>
      <c r="BS31">
        <v>0</v>
      </c>
      <c r="BX31">
        <v>0</v>
      </c>
      <c r="BY31">
        <v>0</v>
      </c>
      <c r="BZ31">
        <v>0</v>
      </c>
      <c r="CA31">
        <v>0</v>
      </c>
      <c r="CC31">
        <v>0</v>
      </c>
      <c r="CD31" s="55">
        <v>42816</v>
      </c>
      <c r="CE31" s="55"/>
      <c r="CF31" s="55">
        <v>42825</v>
      </c>
      <c r="CG31" s="55">
        <v>42874</v>
      </c>
      <c r="CH31" s="55">
        <v>0</v>
      </c>
      <c r="CI31" s="55">
        <v>0</v>
      </c>
      <c r="CJ31">
        <v>0</v>
      </c>
      <c r="CK31">
        <v>0</v>
      </c>
      <c r="CL31">
        <v>0</v>
      </c>
      <c r="CM31">
        <v>0</v>
      </c>
      <c r="CN31">
        <v>0</v>
      </c>
      <c r="CO31">
        <v>0</v>
      </c>
      <c r="CP31">
        <v>0.96</v>
      </c>
      <c r="CQ31" t="s">
        <v>1664</v>
      </c>
      <c r="CR31" t="s">
        <v>1368</v>
      </c>
      <c r="CS31" t="s">
        <v>1665</v>
      </c>
      <c r="CT31" t="s">
        <v>1959</v>
      </c>
      <c r="CU31" t="s">
        <v>1966</v>
      </c>
      <c r="CV31" t="s">
        <v>2031</v>
      </c>
      <c r="DB31" t="s">
        <v>2032</v>
      </c>
      <c r="DE31" t="s">
        <v>1959</v>
      </c>
    </row>
    <row r="32" spans="1:109" x14ac:dyDescent="0.25">
      <c r="A32" t="s">
        <v>1664</v>
      </c>
      <c r="B32">
        <v>2</v>
      </c>
      <c r="C32" s="55">
        <v>42874</v>
      </c>
      <c r="D32" t="s">
        <v>1658</v>
      </c>
      <c r="E32" t="s">
        <v>1577</v>
      </c>
      <c r="G32" t="s">
        <v>1659</v>
      </c>
      <c r="H32" t="s">
        <v>1659</v>
      </c>
      <c r="I32" t="s">
        <v>1659</v>
      </c>
      <c r="J32" t="s">
        <v>1659</v>
      </c>
      <c r="K32" t="s">
        <v>1659</v>
      </c>
      <c r="L32">
        <v>0</v>
      </c>
      <c r="M32">
        <v>168.48</v>
      </c>
      <c r="N32">
        <v>0</v>
      </c>
      <c r="O32" s="55"/>
      <c r="P32" s="55"/>
      <c r="Q32">
        <v>13730</v>
      </c>
      <c r="R32">
        <v>15</v>
      </c>
      <c r="S32">
        <v>7</v>
      </c>
      <c r="T32">
        <v>3</v>
      </c>
      <c r="U32">
        <v>4</v>
      </c>
      <c r="V32">
        <v>1</v>
      </c>
      <c r="X32" t="s">
        <v>1981</v>
      </c>
      <c r="AA32">
        <v>0</v>
      </c>
      <c r="AB32">
        <v>0</v>
      </c>
      <c r="AC32">
        <v>0</v>
      </c>
      <c r="AD32">
        <v>0</v>
      </c>
      <c r="AE32">
        <v>0</v>
      </c>
      <c r="AF32">
        <v>0</v>
      </c>
      <c r="AG32">
        <v>0</v>
      </c>
      <c r="AJ32" s="55">
        <v>42666</v>
      </c>
      <c r="AK32" s="55"/>
      <c r="AL32" s="55"/>
      <c r="AO32">
        <v>1</v>
      </c>
      <c r="AP32" t="s">
        <v>1660</v>
      </c>
      <c r="AR32">
        <v>15</v>
      </c>
      <c r="AS32" t="s">
        <v>1661</v>
      </c>
      <c r="AT32">
        <v>1</v>
      </c>
      <c r="AV32">
        <v>0</v>
      </c>
      <c r="AW32">
        <v>0</v>
      </c>
      <c r="AX32">
        <v>0</v>
      </c>
      <c r="AY32" t="s">
        <v>1662</v>
      </c>
      <c r="AZ32" t="s">
        <v>1662</v>
      </c>
      <c r="BA32">
        <v>15</v>
      </c>
      <c r="BD32">
        <v>1000000000</v>
      </c>
      <c r="BE32">
        <v>0</v>
      </c>
      <c r="BF32">
        <v>0</v>
      </c>
      <c r="BG32">
        <v>0</v>
      </c>
      <c r="BH32">
        <v>0</v>
      </c>
      <c r="BI32">
        <v>0</v>
      </c>
      <c r="BJ32">
        <v>0</v>
      </c>
      <c r="BK32">
        <v>0</v>
      </c>
      <c r="BL32">
        <v>0</v>
      </c>
      <c r="BM32">
        <v>0</v>
      </c>
      <c r="BN32">
        <v>0</v>
      </c>
      <c r="BR32">
        <v>0</v>
      </c>
      <c r="BS32">
        <v>0</v>
      </c>
      <c r="BX32">
        <v>0</v>
      </c>
      <c r="BY32">
        <v>0</v>
      </c>
      <c r="BZ32">
        <v>0</v>
      </c>
      <c r="CA32">
        <v>0</v>
      </c>
      <c r="CC32">
        <v>0</v>
      </c>
      <c r="CD32" s="55">
        <v>42815</v>
      </c>
      <c r="CE32" s="55"/>
      <c r="CF32" s="55">
        <v>42825</v>
      </c>
      <c r="CG32" s="55">
        <v>42874</v>
      </c>
      <c r="CH32" s="55">
        <v>0</v>
      </c>
      <c r="CI32" s="55">
        <v>0</v>
      </c>
      <c r="CJ32">
        <v>1</v>
      </c>
      <c r="CK32">
        <v>0</v>
      </c>
      <c r="CL32">
        <v>0.96</v>
      </c>
      <c r="CM32">
        <v>0</v>
      </c>
      <c r="CN32">
        <v>0</v>
      </c>
      <c r="CO32">
        <v>0</v>
      </c>
      <c r="CP32">
        <v>0</v>
      </c>
      <c r="CQ32" t="s">
        <v>1664</v>
      </c>
      <c r="CR32" t="s">
        <v>1368</v>
      </c>
      <c r="CS32" t="s">
        <v>1665</v>
      </c>
      <c r="CT32" t="s">
        <v>1959</v>
      </c>
      <c r="CU32" t="s">
        <v>1966</v>
      </c>
      <c r="CV32" t="s">
        <v>2033</v>
      </c>
      <c r="DB32" t="s">
        <v>2032</v>
      </c>
      <c r="DE32" t="s">
        <v>1959</v>
      </c>
    </row>
    <row r="33" spans="1:109" x14ac:dyDescent="0.25">
      <c r="A33" t="s">
        <v>1664</v>
      </c>
      <c r="B33">
        <v>2</v>
      </c>
      <c r="C33" s="55">
        <v>42874</v>
      </c>
      <c r="D33" t="s">
        <v>1658</v>
      </c>
      <c r="E33" t="s">
        <v>2034</v>
      </c>
      <c r="G33" t="s">
        <v>1659</v>
      </c>
      <c r="H33" t="s">
        <v>1659</v>
      </c>
      <c r="I33" t="s">
        <v>1659</v>
      </c>
      <c r="J33" t="s">
        <v>1659</v>
      </c>
      <c r="K33" t="s">
        <v>1659</v>
      </c>
      <c r="L33">
        <v>47.61</v>
      </c>
      <c r="M33">
        <v>103.66</v>
      </c>
      <c r="N33">
        <v>0</v>
      </c>
      <c r="O33" s="55"/>
      <c r="P33" s="55"/>
      <c r="Q33">
        <v>13730</v>
      </c>
      <c r="R33">
        <v>15</v>
      </c>
      <c r="S33">
        <v>7</v>
      </c>
      <c r="T33">
        <v>3</v>
      </c>
      <c r="U33">
        <v>4</v>
      </c>
      <c r="V33">
        <v>1</v>
      </c>
      <c r="X33" t="s">
        <v>1977</v>
      </c>
      <c r="AA33">
        <v>0</v>
      </c>
      <c r="AB33">
        <v>0</v>
      </c>
      <c r="AC33">
        <v>0</v>
      </c>
      <c r="AD33">
        <v>0</v>
      </c>
      <c r="AE33">
        <v>0</v>
      </c>
      <c r="AF33">
        <v>0</v>
      </c>
      <c r="AG33">
        <v>0</v>
      </c>
      <c r="AJ33" s="55">
        <v>42845</v>
      </c>
      <c r="AK33" s="55"/>
      <c r="AL33" s="55"/>
      <c r="AO33">
        <v>1</v>
      </c>
      <c r="AP33" t="s">
        <v>1660</v>
      </c>
      <c r="AR33">
        <v>6</v>
      </c>
      <c r="AS33" t="s">
        <v>1661</v>
      </c>
      <c r="AT33">
        <v>1</v>
      </c>
      <c r="AV33">
        <v>6</v>
      </c>
      <c r="AW33">
        <v>4</v>
      </c>
      <c r="AX33">
        <v>2</v>
      </c>
      <c r="AY33" t="s">
        <v>1670</v>
      </c>
      <c r="AZ33" t="s">
        <v>1670</v>
      </c>
      <c r="BA33">
        <v>0</v>
      </c>
      <c r="BD33">
        <v>1000000000</v>
      </c>
      <c r="BE33">
        <v>10</v>
      </c>
      <c r="BF33">
        <v>-0.67</v>
      </c>
      <c r="BG33">
        <v>0</v>
      </c>
      <c r="BH33">
        <v>0</v>
      </c>
      <c r="BI33">
        <v>0</v>
      </c>
      <c r="BJ33">
        <v>0</v>
      </c>
      <c r="BK33">
        <v>0</v>
      </c>
      <c r="BL33">
        <v>0</v>
      </c>
      <c r="BM33">
        <v>10</v>
      </c>
      <c r="BN33">
        <v>-0.67</v>
      </c>
      <c r="BR33">
        <v>0</v>
      </c>
      <c r="BS33">
        <v>3</v>
      </c>
      <c r="BX33">
        <v>0</v>
      </c>
      <c r="BY33">
        <v>190.44</v>
      </c>
      <c r="BZ33">
        <v>0</v>
      </c>
      <c r="CA33">
        <v>8.07</v>
      </c>
      <c r="CC33">
        <v>0</v>
      </c>
      <c r="CD33" s="55">
        <v>42772</v>
      </c>
      <c r="CE33" s="55"/>
      <c r="CF33" s="55">
        <v>42825</v>
      </c>
      <c r="CG33" s="55">
        <v>42874</v>
      </c>
      <c r="CH33" s="55">
        <v>0</v>
      </c>
      <c r="CI33" s="55">
        <v>0</v>
      </c>
      <c r="CJ33">
        <v>0</v>
      </c>
      <c r="CK33">
        <v>0</v>
      </c>
      <c r="CL33">
        <v>0</v>
      </c>
      <c r="CM33">
        <v>0</v>
      </c>
      <c r="CN33">
        <v>0</v>
      </c>
      <c r="CO33">
        <v>0</v>
      </c>
      <c r="CP33">
        <v>0.96</v>
      </c>
      <c r="CQ33" t="s">
        <v>1664</v>
      </c>
      <c r="CR33" t="s">
        <v>1368</v>
      </c>
      <c r="CS33" t="s">
        <v>1665</v>
      </c>
      <c r="CT33" t="s">
        <v>1959</v>
      </c>
      <c r="CU33" t="s">
        <v>1966</v>
      </c>
      <c r="CV33" t="s">
        <v>2035</v>
      </c>
      <c r="DB33" t="s">
        <v>2036</v>
      </c>
      <c r="DE33" t="s">
        <v>1959</v>
      </c>
    </row>
    <row r="34" spans="1:109" x14ac:dyDescent="0.25">
      <c r="A34" t="s">
        <v>1664</v>
      </c>
      <c r="B34">
        <v>2</v>
      </c>
      <c r="C34" s="55">
        <v>42874</v>
      </c>
      <c r="D34" t="s">
        <v>1658</v>
      </c>
      <c r="E34" t="s">
        <v>2037</v>
      </c>
      <c r="G34" t="s">
        <v>1659</v>
      </c>
      <c r="H34" t="s">
        <v>1659</v>
      </c>
      <c r="I34" t="s">
        <v>1659</v>
      </c>
      <c r="J34" t="s">
        <v>1659</v>
      </c>
      <c r="K34" t="s">
        <v>1659</v>
      </c>
      <c r="L34">
        <v>49.75</v>
      </c>
      <c r="M34">
        <v>103.66</v>
      </c>
      <c r="N34">
        <v>0</v>
      </c>
      <c r="O34" s="55"/>
      <c r="P34" s="55"/>
      <c r="Q34">
        <v>13730</v>
      </c>
      <c r="R34">
        <v>15</v>
      </c>
      <c r="S34">
        <v>7</v>
      </c>
      <c r="T34">
        <v>3</v>
      </c>
      <c r="U34">
        <v>4</v>
      </c>
      <c r="V34">
        <v>1</v>
      </c>
      <c r="X34" t="s">
        <v>1977</v>
      </c>
      <c r="AA34">
        <v>0</v>
      </c>
      <c r="AB34">
        <v>0</v>
      </c>
      <c r="AC34">
        <v>0</v>
      </c>
      <c r="AD34">
        <v>0</v>
      </c>
      <c r="AE34">
        <v>0</v>
      </c>
      <c r="AF34">
        <v>0</v>
      </c>
      <c r="AG34">
        <v>0</v>
      </c>
      <c r="AJ34" s="55">
        <v>42845</v>
      </c>
      <c r="AK34" s="55">
        <v>42796</v>
      </c>
      <c r="AL34" s="55">
        <v>42796</v>
      </c>
      <c r="AO34">
        <v>1</v>
      </c>
      <c r="AP34" t="s">
        <v>1660</v>
      </c>
      <c r="AR34">
        <v>6</v>
      </c>
      <c r="AS34" t="s">
        <v>1661</v>
      </c>
      <c r="AT34">
        <v>1</v>
      </c>
      <c r="AV34">
        <v>12</v>
      </c>
      <c r="AW34">
        <v>8</v>
      </c>
      <c r="AX34">
        <v>4</v>
      </c>
      <c r="AY34" t="s">
        <v>1670</v>
      </c>
      <c r="AZ34" t="s">
        <v>1670</v>
      </c>
      <c r="BA34">
        <v>20</v>
      </c>
      <c r="BD34">
        <v>1000000000</v>
      </c>
      <c r="BE34">
        <v>30</v>
      </c>
      <c r="BF34">
        <v>-1.5</v>
      </c>
      <c r="BG34">
        <v>0</v>
      </c>
      <c r="BH34">
        <v>0</v>
      </c>
      <c r="BI34">
        <v>0</v>
      </c>
      <c r="BJ34">
        <v>0</v>
      </c>
      <c r="BK34">
        <v>0</v>
      </c>
      <c r="BL34">
        <v>0</v>
      </c>
      <c r="BM34">
        <v>30</v>
      </c>
      <c r="BN34">
        <v>-1.5</v>
      </c>
      <c r="BR34">
        <v>0</v>
      </c>
      <c r="BS34">
        <v>7</v>
      </c>
      <c r="BX34">
        <v>0</v>
      </c>
      <c r="BY34">
        <v>895.5</v>
      </c>
      <c r="BZ34">
        <v>0</v>
      </c>
      <c r="CA34">
        <v>7.43</v>
      </c>
      <c r="CC34">
        <v>0</v>
      </c>
      <c r="CD34" s="55">
        <v>42772</v>
      </c>
      <c r="CE34" s="55"/>
      <c r="CF34" s="55">
        <v>42825</v>
      </c>
      <c r="CG34" s="55">
        <v>42874</v>
      </c>
      <c r="CH34" s="55">
        <v>0</v>
      </c>
      <c r="CI34" s="55">
        <v>0</v>
      </c>
      <c r="CJ34">
        <v>0</v>
      </c>
      <c r="CK34">
        <v>0</v>
      </c>
      <c r="CL34">
        <v>0</v>
      </c>
      <c r="CM34">
        <v>0</v>
      </c>
      <c r="CN34">
        <v>0</v>
      </c>
      <c r="CO34">
        <v>0</v>
      </c>
      <c r="CP34">
        <v>0.96</v>
      </c>
      <c r="CQ34" t="s">
        <v>1664</v>
      </c>
      <c r="CR34" t="s">
        <v>1368</v>
      </c>
      <c r="CS34" t="s">
        <v>1665</v>
      </c>
      <c r="CT34" t="s">
        <v>1959</v>
      </c>
      <c r="CU34" t="s">
        <v>1966</v>
      </c>
      <c r="CV34" t="s">
        <v>2035</v>
      </c>
      <c r="DB34" t="s">
        <v>2036</v>
      </c>
      <c r="DE34" t="s">
        <v>1959</v>
      </c>
    </row>
    <row r="35" spans="1:109" x14ac:dyDescent="0.25">
      <c r="A35" t="s">
        <v>1664</v>
      </c>
      <c r="B35">
        <v>2</v>
      </c>
      <c r="C35" s="55">
        <v>42874</v>
      </c>
      <c r="D35" t="s">
        <v>1658</v>
      </c>
      <c r="E35" t="s">
        <v>2038</v>
      </c>
      <c r="G35" t="s">
        <v>1659</v>
      </c>
      <c r="H35" t="s">
        <v>1659</v>
      </c>
      <c r="I35" t="s">
        <v>1659</v>
      </c>
      <c r="J35" t="s">
        <v>1659</v>
      </c>
      <c r="K35" t="s">
        <v>1659</v>
      </c>
      <c r="L35">
        <v>61.37</v>
      </c>
      <c r="M35">
        <v>120.35</v>
      </c>
      <c r="N35">
        <v>0</v>
      </c>
      <c r="O35" s="55"/>
      <c r="P35" s="55"/>
      <c r="Q35">
        <v>13730</v>
      </c>
      <c r="R35">
        <v>15</v>
      </c>
      <c r="S35">
        <v>7</v>
      </c>
      <c r="T35">
        <v>3</v>
      </c>
      <c r="U35">
        <v>4</v>
      </c>
      <c r="V35">
        <v>1</v>
      </c>
      <c r="X35" t="s">
        <v>1977</v>
      </c>
      <c r="AA35">
        <v>0</v>
      </c>
      <c r="AB35">
        <v>0</v>
      </c>
      <c r="AC35">
        <v>0</v>
      </c>
      <c r="AD35">
        <v>0</v>
      </c>
      <c r="AE35">
        <v>0</v>
      </c>
      <c r="AF35">
        <v>0</v>
      </c>
      <c r="AG35">
        <v>0</v>
      </c>
      <c r="AJ35" s="55">
        <v>42796</v>
      </c>
      <c r="AK35" s="55">
        <v>42796</v>
      </c>
      <c r="AL35" s="55">
        <v>42796</v>
      </c>
      <c r="AO35">
        <v>1</v>
      </c>
      <c r="AP35" t="s">
        <v>1660</v>
      </c>
      <c r="AR35">
        <v>6</v>
      </c>
      <c r="AS35" t="s">
        <v>1661</v>
      </c>
      <c r="AT35">
        <v>1</v>
      </c>
      <c r="AV35">
        <v>12</v>
      </c>
      <c r="AW35">
        <v>8</v>
      </c>
      <c r="AX35">
        <v>4</v>
      </c>
      <c r="AY35" t="s">
        <v>1670</v>
      </c>
      <c r="AZ35" t="s">
        <v>1670</v>
      </c>
      <c r="BA35">
        <v>20</v>
      </c>
      <c r="BD35">
        <v>1000000000</v>
      </c>
      <c r="BE35">
        <v>13</v>
      </c>
      <c r="BF35">
        <v>-0.08</v>
      </c>
      <c r="BG35">
        <v>0</v>
      </c>
      <c r="BH35">
        <v>0</v>
      </c>
      <c r="BI35">
        <v>0</v>
      </c>
      <c r="BJ35">
        <v>0</v>
      </c>
      <c r="BK35">
        <v>0</v>
      </c>
      <c r="BL35">
        <v>0</v>
      </c>
      <c r="BM35">
        <v>13</v>
      </c>
      <c r="BN35">
        <v>-0.08</v>
      </c>
      <c r="BR35">
        <v>0</v>
      </c>
      <c r="BS35">
        <v>7</v>
      </c>
      <c r="BX35">
        <v>0</v>
      </c>
      <c r="BY35">
        <v>61.37</v>
      </c>
      <c r="BZ35">
        <v>0</v>
      </c>
      <c r="CA35">
        <v>6.59</v>
      </c>
      <c r="CC35">
        <v>0</v>
      </c>
      <c r="CD35" s="55">
        <v>42772</v>
      </c>
      <c r="CE35" s="55"/>
      <c r="CF35" s="55">
        <v>42825</v>
      </c>
      <c r="CG35" s="55">
        <v>42874</v>
      </c>
      <c r="CH35" s="55">
        <v>0</v>
      </c>
      <c r="CI35" s="55">
        <v>0</v>
      </c>
      <c r="CJ35">
        <v>0</v>
      </c>
      <c r="CK35">
        <v>0</v>
      </c>
      <c r="CL35">
        <v>0</v>
      </c>
      <c r="CM35">
        <v>0</v>
      </c>
      <c r="CN35">
        <v>0</v>
      </c>
      <c r="CO35">
        <v>0</v>
      </c>
      <c r="CP35">
        <v>0.96</v>
      </c>
      <c r="CQ35" t="s">
        <v>1664</v>
      </c>
      <c r="CR35" t="s">
        <v>1368</v>
      </c>
      <c r="CS35" t="s">
        <v>1665</v>
      </c>
      <c r="CT35" t="s">
        <v>1959</v>
      </c>
      <c r="CU35" t="s">
        <v>1966</v>
      </c>
      <c r="CV35" t="s">
        <v>2039</v>
      </c>
      <c r="DB35" t="s">
        <v>2036</v>
      </c>
      <c r="DE35" t="s">
        <v>1959</v>
      </c>
    </row>
    <row r="36" spans="1:109" x14ac:dyDescent="0.25">
      <c r="A36" t="s">
        <v>1664</v>
      </c>
      <c r="B36">
        <v>2</v>
      </c>
      <c r="C36" s="55">
        <v>42874</v>
      </c>
      <c r="D36" t="s">
        <v>1658</v>
      </c>
      <c r="E36" t="s">
        <v>1716</v>
      </c>
      <c r="G36" t="s">
        <v>1659</v>
      </c>
      <c r="H36" t="s">
        <v>1659</v>
      </c>
      <c r="I36" t="s">
        <v>1659</v>
      </c>
      <c r="J36" t="s">
        <v>1659</v>
      </c>
      <c r="K36" t="s">
        <v>1659</v>
      </c>
      <c r="L36">
        <v>56.6</v>
      </c>
      <c r="M36">
        <v>120.35</v>
      </c>
      <c r="N36">
        <v>0</v>
      </c>
      <c r="O36" s="55"/>
      <c r="P36" s="55"/>
      <c r="Q36">
        <v>13730</v>
      </c>
      <c r="R36">
        <v>15</v>
      </c>
      <c r="S36">
        <v>7</v>
      </c>
      <c r="T36">
        <v>3</v>
      </c>
      <c r="U36">
        <v>4</v>
      </c>
      <c r="V36">
        <v>1</v>
      </c>
      <c r="X36" t="s">
        <v>1977</v>
      </c>
      <c r="Z36" t="s">
        <v>1669</v>
      </c>
      <c r="AA36">
        <v>0.12</v>
      </c>
      <c r="AB36">
        <v>2</v>
      </c>
      <c r="AC36">
        <v>25</v>
      </c>
      <c r="AD36">
        <v>31.25</v>
      </c>
      <c r="AE36">
        <v>2.08</v>
      </c>
      <c r="AF36">
        <v>0</v>
      </c>
      <c r="AG36">
        <v>0</v>
      </c>
      <c r="AJ36" s="55">
        <v>42845</v>
      </c>
      <c r="AK36" s="55">
        <v>42796</v>
      </c>
      <c r="AL36" s="55">
        <v>42796</v>
      </c>
      <c r="AO36">
        <v>1</v>
      </c>
      <c r="AP36" t="s">
        <v>1660</v>
      </c>
      <c r="AR36">
        <v>6</v>
      </c>
      <c r="AS36" t="s">
        <v>1661</v>
      </c>
      <c r="AT36">
        <v>1</v>
      </c>
      <c r="AV36">
        <v>12</v>
      </c>
      <c r="AW36">
        <v>8</v>
      </c>
      <c r="AX36">
        <v>4</v>
      </c>
      <c r="AY36" t="s">
        <v>1670</v>
      </c>
      <c r="AZ36" t="s">
        <v>1670</v>
      </c>
      <c r="BA36">
        <v>20</v>
      </c>
      <c r="BD36">
        <v>1000000000</v>
      </c>
      <c r="BE36">
        <v>15</v>
      </c>
      <c r="BF36">
        <v>-0.25</v>
      </c>
      <c r="BG36">
        <v>0</v>
      </c>
      <c r="BH36">
        <v>0</v>
      </c>
      <c r="BI36">
        <v>0</v>
      </c>
      <c r="BJ36">
        <v>0</v>
      </c>
      <c r="BK36">
        <v>0</v>
      </c>
      <c r="BL36">
        <v>0</v>
      </c>
      <c r="BM36">
        <v>15</v>
      </c>
      <c r="BN36">
        <v>-0.25</v>
      </c>
      <c r="BR36">
        <v>0</v>
      </c>
      <c r="BS36">
        <v>7</v>
      </c>
      <c r="BX36">
        <v>0</v>
      </c>
      <c r="BY36">
        <v>169.8</v>
      </c>
      <c r="BZ36">
        <v>0</v>
      </c>
      <c r="CA36">
        <v>7.72</v>
      </c>
      <c r="CC36">
        <v>0</v>
      </c>
      <c r="CD36" s="55">
        <v>42772</v>
      </c>
      <c r="CE36" s="55"/>
      <c r="CF36" s="55">
        <v>42825</v>
      </c>
      <c r="CG36" s="55">
        <v>42874</v>
      </c>
      <c r="CH36" s="55">
        <v>0</v>
      </c>
      <c r="CI36" s="55">
        <v>0</v>
      </c>
      <c r="CJ36">
        <v>0</v>
      </c>
      <c r="CK36">
        <v>0</v>
      </c>
      <c r="CL36">
        <v>0</v>
      </c>
      <c r="CM36">
        <v>0</v>
      </c>
      <c r="CN36">
        <v>0</v>
      </c>
      <c r="CO36">
        <v>0</v>
      </c>
      <c r="CP36">
        <v>0.96</v>
      </c>
      <c r="CQ36" t="s">
        <v>1664</v>
      </c>
      <c r="CR36" t="s">
        <v>1368</v>
      </c>
      <c r="CS36" t="s">
        <v>1665</v>
      </c>
      <c r="CT36" t="s">
        <v>1959</v>
      </c>
      <c r="CU36" t="s">
        <v>1966</v>
      </c>
      <c r="CV36" t="s">
        <v>2039</v>
      </c>
      <c r="DB36" t="s">
        <v>2036</v>
      </c>
      <c r="DE36" t="s">
        <v>1959</v>
      </c>
    </row>
    <row r="37" spans="1:109" x14ac:dyDescent="0.25">
      <c r="A37" t="s">
        <v>1664</v>
      </c>
      <c r="B37">
        <v>2</v>
      </c>
      <c r="C37" s="55">
        <v>42874</v>
      </c>
      <c r="D37" t="s">
        <v>1658</v>
      </c>
      <c r="E37" t="s">
        <v>2040</v>
      </c>
      <c r="G37" t="s">
        <v>1659</v>
      </c>
      <c r="H37" t="s">
        <v>1659</v>
      </c>
      <c r="I37" t="s">
        <v>1659</v>
      </c>
      <c r="J37" t="s">
        <v>1659</v>
      </c>
      <c r="K37" t="s">
        <v>1659</v>
      </c>
      <c r="L37">
        <v>0</v>
      </c>
      <c r="M37">
        <v>18.440000000000001</v>
      </c>
      <c r="N37">
        <v>0</v>
      </c>
      <c r="O37" s="55"/>
      <c r="P37" s="55"/>
      <c r="Q37">
        <v>13730</v>
      </c>
      <c r="R37">
        <v>15</v>
      </c>
      <c r="S37">
        <v>7</v>
      </c>
      <c r="T37">
        <v>3</v>
      </c>
      <c r="U37">
        <v>4</v>
      </c>
      <c r="V37">
        <v>1</v>
      </c>
      <c r="X37" t="s">
        <v>1981</v>
      </c>
      <c r="AA37">
        <v>0</v>
      </c>
      <c r="AB37">
        <v>0</v>
      </c>
      <c r="AC37">
        <v>0</v>
      </c>
      <c r="AD37">
        <v>0</v>
      </c>
      <c r="AE37">
        <v>0</v>
      </c>
      <c r="AF37">
        <v>0</v>
      </c>
      <c r="AG37">
        <v>0</v>
      </c>
      <c r="AJ37" s="55">
        <v>42666</v>
      </c>
      <c r="AK37" s="55"/>
      <c r="AL37" s="55"/>
      <c r="AO37">
        <v>1</v>
      </c>
      <c r="AP37" t="s">
        <v>1660</v>
      </c>
      <c r="AR37">
        <v>10</v>
      </c>
      <c r="AS37" t="s">
        <v>1661</v>
      </c>
      <c r="AT37">
        <v>1</v>
      </c>
      <c r="AV37">
        <v>0</v>
      </c>
      <c r="AW37">
        <v>0</v>
      </c>
      <c r="AX37">
        <v>0</v>
      </c>
      <c r="AY37" t="s">
        <v>1662</v>
      </c>
      <c r="AZ37" t="s">
        <v>1662</v>
      </c>
      <c r="BA37">
        <v>10</v>
      </c>
      <c r="BD37">
        <v>1000000000</v>
      </c>
      <c r="BE37">
        <v>0</v>
      </c>
      <c r="BF37">
        <v>0</v>
      </c>
      <c r="BG37">
        <v>0</v>
      </c>
      <c r="BH37">
        <v>0</v>
      </c>
      <c r="BI37">
        <v>0</v>
      </c>
      <c r="BJ37">
        <v>0</v>
      </c>
      <c r="BK37">
        <v>0</v>
      </c>
      <c r="BL37">
        <v>0</v>
      </c>
      <c r="BM37">
        <v>0</v>
      </c>
      <c r="BN37">
        <v>0</v>
      </c>
      <c r="BR37">
        <v>0</v>
      </c>
      <c r="BS37">
        <v>0</v>
      </c>
      <c r="BX37">
        <v>0</v>
      </c>
      <c r="BY37">
        <v>0</v>
      </c>
      <c r="BZ37">
        <v>0</v>
      </c>
      <c r="CA37">
        <v>0</v>
      </c>
      <c r="CC37">
        <v>0</v>
      </c>
      <c r="CD37" s="55">
        <v>42815</v>
      </c>
      <c r="CE37" s="55"/>
      <c r="CF37" s="55">
        <v>42825</v>
      </c>
      <c r="CG37" s="55">
        <v>42874</v>
      </c>
      <c r="CH37" s="55">
        <v>0</v>
      </c>
      <c r="CI37" s="55">
        <v>0</v>
      </c>
      <c r="CJ37">
        <v>1</v>
      </c>
      <c r="CK37">
        <v>0</v>
      </c>
      <c r="CL37">
        <v>0.96</v>
      </c>
      <c r="CM37">
        <v>0</v>
      </c>
      <c r="CN37">
        <v>0</v>
      </c>
      <c r="CO37">
        <v>0</v>
      </c>
      <c r="CP37">
        <v>0</v>
      </c>
      <c r="CQ37" t="s">
        <v>1664</v>
      </c>
      <c r="CR37" t="s">
        <v>1368</v>
      </c>
      <c r="CS37" t="s">
        <v>1665</v>
      </c>
      <c r="CT37" t="s">
        <v>1959</v>
      </c>
      <c r="CU37" t="s">
        <v>1966</v>
      </c>
      <c r="CV37" t="s">
        <v>2041</v>
      </c>
      <c r="DB37" t="s">
        <v>2042</v>
      </c>
      <c r="DE37" t="s">
        <v>1959</v>
      </c>
    </row>
    <row r="38" spans="1:109" x14ac:dyDescent="0.25">
      <c r="A38" t="s">
        <v>1664</v>
      </c>
      <c r="B38">
        <v>2</v>
      </c>
      <c r="C38" s="55">
        <v>42874</v>
      </c>
      <c r="D38" t="s">
        <v>1658</v>
      </c>
      <c r="E38" t="s">
        <v>2043</v>
      </c>
      <c r="G38" t="s">
        <v>1659</v>
      </c>
      <c r="H38" t="s">
        <v>1659</v>
      </c>
      <c r="I38" t="s">
        <v>1659</v>
      </c>
      <c r="J38" t="s">
        <v>1659</v>
      </c>
      <c r="K38" t="s">
        <v>1659</v>
      </c>
      <c r="L38">
        <v>0</v>
      </c>
      <c r="M38">
        <v>18.440000000000001</v>
      </c>
      <c r="N38">
        <v>0</v>
      </c>
      <c r="O38" s="55"/>
      <c r="P38" s="55"/>
      <c r="Q38">
        <v>13730</v>
      </c>
      <c r="R38">
        <v>15</v>
      </c>
      <c r="S38">
        <v>7</v>
      </c>
      <c r="T38">
        <v>3</v>
      </c>
      <c r="U38">
        <v>4</v>
      </c>
      <c r="V38">
        <v>1</v>
      </c>
      <c r="X38" t="s">
        <v>1981</v>
      </c>
      <c r="AA38">
        <v>0</v>
      </c>
      <c r="AB38">
        <v>0</v>
      </c>
      <c r="AC38">
        <v>0</v>
      </c>
      <c r="AD38">
        <v>0</v>
      </c>
      <c r="AE38">
        <v>0</v>
      </c>
      <c r="AF38">
        <v>0</v>
      </c>
      <c r="AG38">
        <v>0</v>
      </c>
      <c r="AJ38" s="55">
        <v>42666</v>
      </c>
      <c r="AK38" s="55"/>
      <c r="AL38" s="55"/>
      <c r="AO38">
        <v>1</v>
      </c>
      <c r="AP38" t="s">
        <v>1660</v>
      </c>
      <c r="AR38">
        <v>10</v>
      </c>
      <c r="AS38" t="s">
        <v>1661</v>
      </c>
      <c r="AT38">
        <v>1</v>
      </c>
      <c r="AV38">
        <v>0</v>
      </c>
      <c r="AW38">
        <v>0</v>
      </c>
      <c r="AX38">
        <v>0</v>
      </c>
      <c r="AY38" t="s">
        <v>1662</v>
      </c>
      <c r="AZ38" t="s">
        <v>1662</v>
      </c>
      <c r="BA38">
        <v>10</v>
      </c>
      <c r="BD38">
        <v>1000000000</v>
      </c>
      <c r="BE38">
        <v>0</v>
      </c>
      <c r="BF38">
        <v>0</v>
      </c>
      <c r="BG38">
        <v>0</v>
      </c>
      <c r="BH38">
        <v>0</v>
      </c>
      <c r="BI38">
        <v>0</v>
      </c>
      <c r="BJ38">
        <v>0</v>
      </c>
      <c r="BK38">
        <v>0</v>
      </c>
      <c r="BL38">
        <v>0</v>
      </c>
      <c r="BM38">
        <v>0</v>
      </c>
      <c r="BN38">
        <v>0</v>
      </c>
      <c r="BR38">
        <v>0</v>
      </c>
      <c r="BS38">
        <v>0</v>
      </c>
      <c r="BX38">
        <v>0</v>
      </c>
      <c r="BY38">
        <v>0</v>
      </c>
      <c r="BZ38">
        <v>0</v>
      </c>
      <c r="CA38">
        <v>0</v>
      </c>
      <c r="CC38">
        <v>0</v>
      </c>
      <c r="CD38" s="55">
        <v>42815</v>
      </c>
      <c r="CE38" s="55"/>
      <c r="CF38" s="55">
        <v>42825</v>
      </c>
      <c r="CG38" s="55">
        <v>42874</v>
      </c>
      <c r="CH38" s="55">
        <v>0</v>
      </c>
      <c r="CI38" s="55">
        <v>0</v>
      </c>
      <c r="CJ38">
        <v>1</v>
      </c>
      <c r="CK38">
        <v>0</v>
      </c>
      <c r="CL38">
        <v>0.96</v>
      </c>
      <c r="CM38">
        <v>0</v>
      </c>
      <c r="CN38">
        <v>0</v>
      </c>
      <c r="CO38">
        <v>0</v>
      </c>
      <c r="CP38">
        <v>0</v>
      </c>
      <c r="CQ38" t="s">
        <v>1664</v>
      </c>
      <c r="CR38" t="s">
        <v>1368</v>
      </c>
      <c r="CS38" t="s">
        <v>1665</v>
      </c>
      <c r="CT38" t="s">
        <v>1959</v>
      </c>
      <c r="CU38" t="s">
        <v>1966</v>
      </c>
      <c r="CV38" t="s">
        <v>2044</v>
      </c>
      <c r="DB38" t="s">
        <v>2042</v>
      </c>
      <c r="DE38" t="s">
        <v>1959</v>
      </c>
    </row>
    <row r="39" spans="1:109" x14ac:dyDescent="0.25">
      <c r="A39" t="s">
        <v>1664</v>
      </c>
      <c r="B39">
        <v>2</v>
      </c>
      <c r="C39" s="55">
        <v>42874</v>
      </c>
      <c r="D39" t="s">
        <v>1658</v>
      </c>
      <c r="E39" t="s">
        <v>1721</v>
      </c>
      <c r="G39" t="s">
        <v>1659</v>
      </c>
      <c r="H39" t="s">
        <v>1659</v>
      </c>
      <c r="I39" t="s">
        <v>1659</v>
      </c>
      <c r="J39" t="s">
        <v>1659</v>
      </c>
      <c r="K39" t="s">
        <v>1659</v>
      </c>
      <c r="L39">
        <v>4.99</v>
      </c>
      <c r="M39">
        <v>18.440000000000001</v>
      </c>
      <c r="N39">
        <v>0</v>
      </c>
      <c r="O39" s="55"/>
      <c r="P39" s="55"/>
      <c r="Q39">
        <v>13730</v>
      </c>
      <c r="R39">
        <v>15</v>
      </c>
      <c r="S39">
        <v>7</v>
      </c>
      <c r="T39">
        <v>3</v>
      </c>
      <c r="U39">
        <v>4</v>
      </c>
      <c r="V39">
        <v>1</v>
      </c>
      <c r="X39" t="s">
        <v>1690</v>
      </c>
      <c r="AA39">
        <v>12.47</v>
      </c>
      <c r="AB39">
        <v>131</v>
      </c>
      <c r="AC39">
        <v>0</v>
      </c>
      <c r="AD39">
        <v>0.36</v>
      </c>
      <c r="AE39">
        <v>0.02</v>
      </c>
      <c r="AF39">
        <v>0</v>
      </c>
      <c r="AG39">
        <v>0</v>
      </c>
      <c r="AJ39" s="55">
        <v>42845</v>
      </c>
      <c r="AK39" s="55"/>
      <c r="AL39" s="55"/>
      <c r="AO39">
        <v>1</v>
      </c>
      <c r="AP39" t="s">
        <v>1660</v>
      </c>
      <c r="AR39">
        <v>10</v>
      </c>
      <c r="AS39" t="s">
        <v>1661</v>
      </c>
      <c r="AT39">
        <v>1</v>
      </c>
      <c r="AV39">
        <v>0</v>
      </c>
      <c r="AW39">
        <v>0</v>
      </c>
      <c r="AX39">
        <v>0</v>
      </c>
      <c r="AY39" t="s">
        <v>1662</v>
      </c>
      <c r="AZ39" t="s">
        <v>1662</v>
      </c>
      <c r="BA39">
        <v>15</v>
      </c>
      <c r="BD39">
        <v>1000000000</v>
      </c>
      <c r="BE39">
        <v>18</v>
      </c>
      <c r="BF39">
        <v>0</v>
      </c>
      <c r="BG39">
        <v>0</v>
      </c>
      <c r="BH39">
        <v>0</v>
      </c>
      <c r="BI39">
        <v>0</v>
      </c>
      <c r="BJ39">
        <v>0</v>
      </c>
      <c r="BK39">
        <v>0</v>
      </c>
      <c r="BL39">
        <v>0</v>
      </c>
      <c r="BM39">
        <v>18</v>
      </c>
      <c r="BN39">
        <v>0</v>
      </c>
      <c r="BR39">
        <v>0</v>
      </c>
      <c r="BS39">
        <v>0</v>
      </c>
      <c r="BX39">
        <v>0</v>
      </c>
      <c r="BY39">
        <v>0</v>
      </c>
      <c r="BZ39">
        <v>0</v>
      </c>
      <c r="CA39">
        <v>0</v>
      </c>
      <c r="CC39">
        <v>0</v>
      </c>
      <c r="CD39" s="55">
        <v>42816</v>
      </c>
      <c r="CE39" s="55"/>
      <c r="CF39" s="55">
        <v>42825</v>
      </c>
      <c r="CG39" s="55">
        <v>42874</v>
      </c>
      <c r="CH39" s="55">
        <v>0</v>
      </c>
      <c r="CI39" s="55">
        <v>0</v>
      </c>
      <c r="CJ39">
        <v>0</v>
      </c>
      <c r="CK39">
        <v>0</v>
      </c>
      <c r="CL39">
        <v>0</v>
      </c>
      <c r="CM39">
        <v>0</v>
      </c>
      <c r="CN39">
        <v>0</v>
      </c>
      <c r="CO39">
        <v>0</v>
      </c>
      <c r="CP39">
        <v>0.96</v>
      </c>
      <c r="CQ39" t="s">
        <v>1664</v>
      </c>
      <c r="CR39" t="s">
        <v>1368</v>
      </c>
      <c r="CS39" t="s">
        <v>1665</v>
      </c>
      <c r="CT39" t="s">
        <v>1959</v>
      </c>
      <c r="CU39" t="s">
        <v>1966</v>
      </c>
      <c r="CV39" t="s">
        <v>2045</v>
      </c>
      <c r="DB39" t="s">
        <v>2042</v>
      </c>
      <c r="DE39" t="s">
        <v>1959</v>
      </c>
    </row>
    <row r="40" spans="1:109" x14ac:dyDescent="0.25">
      <c r="A40" t="s">
        <v>1664</v>
      </c>
      <c r="B40">
        <v>2</v>
      </c>
      <c r="C40" s="55">
        <v>42874</v>
      </c>
      <c r="D40" t="s">
        <v>1658</v>
      </c>
      <c r="E40" t="s">
        <v>1584</v>
      </c>
      <c r="G40" t="s">
        <v>1659</v>
      </c>
      <c r="H40" t="s">
        <v>1659</v>
      </c>
      <c r="I40" t="s">
        <v>1659</v>
      </c>
      <c r="J40" t="s">
        <v>1659</v>
      </c>
      <c r="K40" t="s">
        <v>1659</v>
      </c>
      <c r="L40">
        <v>5.14</v>
      </c>
      <c r="M40">
        <v>13.11</v>
      </c>
      <c r="N40">
        <v>0</v>
      </c>
      <c r="O40" s="55"/>
      <c r="P40" s="55"/>
      <c r="Q40">
        <v>13730</v>
      </c>
      <c r="R40">
        <v>15</v>
      </c>
      <c r="S40">
        <v>7</v>
      </c>
      <c r="T40">
        <v>3</v>
      </c>
      <c r="U40">
        <v>4</v>
      </c>
      <c r="V40">
        <v>1</v>
      </c>
      <c r="W40" t="s">
        <v>1686</v>
      </c>
      <c r="X40" t="s">
        <v>1965</v>
      </c>
      <c r="AA40">
        <v>11.6</v>
      </c>
      <c r="AB40">
        <v>122</v>
      </c>
      <c r="AC40">
        <v>1.72</v>
      </c>
      <c r="AD40">
        <v>1.06</v>
      </c>
      <c r="AE40">
        <v>0.02</v>
      </c>
      <c r="AF40">
        <v>0</v>
      </c>
      <c r="AG40">
        <v>0</v>
      </c>
      <c r="AJ40" s="55">
        <v>42845</v>
      </c>
      <c r="AK40" s="55"/>
      <c r="AL40" s="55"/>
      <c r="AO40">
        <v>1</v>
      </c>
      <c r="AP40" t="s">
        <v>1660</v>
      </c>
      <c r="AR40">
        <v>10</v>
      </c>
      <c r="AS40" t="s">
        <v>1661</v>
      </c>
      <c r="AT40">
        <v>1</v>
      </c>
      <c r="AV40">
        <v>80</v>
      </c>
      <c r="AW40">
        <v>53</v>
      </c>
      <c r="AX40">
        <v>26</v>
      </c>
      <c r="AY40" t="s">
        <v>2046</v>
      </c>
      <c r="AZ40" t="s">
        <v>1689</v>
      </c>
      <c r="BA40">
        <v>40</v>
      </c>
      <c r="BD40">
        <v>1000000000</v>
      </c>
      <c r="BE40">
        <v>9</v>
      </c>
      <c r="BF40">
        <v>0.89</v>
      </c>
      <c r="BG40">
        <v>40</v>
      </c>
      <c r="BH40">
        <v>0</v>
      </c>
      <c r="BI40">
        <v>0</v>
      </c>
      <c r="BJ40">
        <v>0</v>
      </c>
      <c r="BK40">
        <v>0</v>
      </c>
      <c r="BL40">
        <v>0</v>
      </c>
      <c r="BM40">
        <v>49</v>
      </c>
      <c r="BN40">
        <v>0.39</v>
      </c>
      <c r="BR40">
        <v>30</v>
      </c>
      <c r="BS40">
        <v>46</v>
      </c>
      <c r="BX40">
        <v>135.49</v>
      </c>
      <c r="BY40">
        <v>0</v>
      </c>
      <c r="BZ40">
        <v>0</v>
      </c>
      <c r="CA40">
        <v>10.63</v>
      </c>
      <c r="CC40">
        <v>1.1399999999999999</v>
      </c>
      <c r="CD40" s="55">
        <v>42842</v>
      </c>
      <c r="CE40" s="55"/>
      <c r="CF40" s="55">
        <v>42842</v>
      </c>
      <c r="CG40" s="55">
        <v>42891</v>
      </c>
      <c r="CH40" s="55">
        <v>42873</v>
      </c>
      <c r="CI40" s="55">
        <v>42901</v>
      </c>
      <c r="CJ40">
        <v>0.53</v>
      </c>
      <c r="CK40">
        <v>0</v>
      </c>
      <c r="CL40">
        <v>0</v>
      </c>
      <c r="CM40">
        <v>0.26</v>
      </c>
      <c r="CN40">
        <v>0.44</v>
      </c>
      <c r="CO40">
        <v>0</v>
      </c>
      <c r="CP40">
        <v>0</v>
      </c>
      <c r="CQ40" t="s">
        <v>1664</v>
      </c>
      <c r="CR40" t="s">
        <v>1368</v>
      </c>
      <c r="CS40" t="s">
        <v>1665</v>
      </c>
      <c r="CT40" t="s">
        <v>1959</v>
      </c>
      <c r="CU40" t="s">
        <v>1966</v>
      </c>
      <c r="CV40" t="s">
        <v>2047</v>
      </c>
      <c r="DB40" t="s">
        <v>2042</v>
      </c>
      <c r="DE40" t="s">
        <v>1959</v>
      </c>
    </row>
    <row r="41" spans="1:109" x14ac:dyDescent="0.25">
      <c r="A41" t="s">
        <v>1664</v>
      </c>
      <c r="B41">
        <v>2</v>
      </c>
      <c r="C41" s="55">
        <v>42874</v>
      </c>
      <c r="D41" t="s">
        <v>1658</v>
      </c>
      <c r="E41" t="s">
        <v>1585</v>
      </c>
      <c r="G41" t="s">
        <v>1659</v>
      </c>
      <c r="H41" t="s">
        <v>1659</v>
      </c>
      <c r="I41" t="s">
        <v>1659</v>
      </c>
      <c r="J41" t="s">
        <v>1659</v>
      </c>
      <c r="K41" t="s">
        <v>1659</v>
      </c>
      <c r="L41">
        <v>6.3</v>
      </c>
      <c r="M41">
        <v>13.11</v>
      </c>
      <c r="N41">
        <v>0</v>
      </c>
      <c r="O41" s="55"/>
      <c r="P41" s="55"/>
      <c r="Q41">
        <v>13730</v>
      </c>
      <c r="R41">
        <v>15</v>
      </c>
      <c r="S41">
        <v>7</v>
      </c>
      <c r="T41">
        <v>3</v>
      </c>
      <c r="U41">
        <v>4</v>
      </c>
      <c r="V41">
        <v>1</v>
      </c>
      <c r="W41" t="s">
        <v>1686</v>
      </c>
      <c r="X41" t="s">
        <v>1972</v>
      </c>
      <c r="Y41">
        <v>42</v>
      </c>
      <c r="AA41">
        <v>1.7</v>
      </c>
      <c r="AB41">
        <v>18</v>
      </c>
      <c r="AC41">
        <v>8.82</v>
      </c>
      <c r="AD41">
        <v>8.3800000000000008</v>
      </c>
      <c r="AE41">
        <v>0.15</v>
      </c>
      <c r="AF41">
        <v>0</v>
      </c>
      <c r="AG41">
        <v>0</v>
      </c>
      <c r="AJ41" s="55">
        <v>42845</v>
      </c>
      <c r="AK41" s="55">
        <v>42796</v>
      </c>
      <c r="AL41" s="55"/>
      <c r="AO41">
        <v>1</v>
      </c>
      <c r="AP41" t="s">
        <v>1660</v>
      </c>
      <c r="AR41">
        <v>10</v>
      </c>
      <c r="AS41" t="s">
        <v>1661</v>
      </c>
      <c r="AT41">
        <v>1</v>
      </c>
      <c r="AV41">
        <v>60</v>
      </c>
      <c r="AW41">
        <v>40</v>
      </c>
      <c r="AX41">
        <v>20</v>
      </c>
      <c r="AY41" t="s">
        <v>1672</v>
      </c>
      <c r="AZ41" t="s">
        <v>1672</v>
      </c>
      <c r="BA41">
        <v>80</v>
      </c>
      <c r="BD41">
        <v>1000000000</v>
      </c>
      <c r="BE41">
        <v>57</v>
      </c>
      <c r="BF41">
        <v>0.05</v>
      </c>
      <c r="BG41">
        <v>0</v>
      </c>
      <c r="BH41">
        <v>0</v>
      </c>
      <c r="BI41">
        <v>0</v>
      </c>
      <c r="BJ41">
        <v>0</v>
      </c>
      <c r="BK41">
        <v>0</v>
      </c>
      <c r="BL41">
        <v>0</v>
      </c>
      <c r="BM41">
        <v>57</v>
      </c>
      <c r="BN41">
        <v>0.05</v>
      </c>
      <c r="BR41">
        <v>0</v>
      </c>
      <c r="BS41">
        <v>34</v>
      </c>
      <c r="BX41">
        <v>0</v>
      </c>
      <c r="BY41">
        <v>0</v>
      </c>
      <c r="BZ41">
        <v>0</v>
      </c>
      <c r="CA41">
        <v>7.41</v>
      </c>
      <c r="CC41">
        <v>0</v>
      </c>
      <c r="CD41" s="55">
        <v>42814</v>
      </c>
      <c r="CE41" s="55"/>
      <c r="CF41" s="55">
        <v>42825</v>
      </c>
      <c r="CG41" s="55">
        <v>42874</v>
      </c>
      <c r="CH41" s="55">
        <v>0</v>
      </c>
      <c r="CI41" s="55">
        <v>0</v>
      </c>
      <c r="CJ41">
        <v>0</v>
      </c>
      <c r="CK41">
        <v>0</v>
      </c>
      <c r="CL41">
        <v>0</v>
      </c>
      <c r="CM41">
        <v>0</v>
      </c>
      <c r="CN41">
        <v>0</v>
      </c>
      <c r="CO41">
        <v>0.96</v>
      </c>
      <c r="CP41">
        <v>0</v>
      </c>
      <c r="CQ41" t="s">
        <v>1664</v>
      </c>
      <c r="CR41" t="s">
        <v>1368</v>
      </c>
      <c r="CS41" t="s">
        <v>1665</v>
      </c>
      <c r="CT41" t="s">
        <v>1959</v>
      </c>
      <c r="CU41" t="s">
        <v>1966</v>
      </c>
      <c r="CV41" t="s">
        <v>2047</v>
      </c>
      <c r="DB41" t="s">
        <v>2042</v>
      </c>
      <c r="DE41" t="s">
        <v>1959</v>
      </c>
    </row>
    <row r="42" spans="1:109" x14ac:dyDescent="0.25">
      <c r="A42" t="s">
        <v>1664</v>
      </c>
      <c r="B42">
        <v>2</v>
      </c>
      <c r="C42" s="55">
        <v>42874</v>
      </c>
      <c r="D42" t="s">
        <v>1658</v>
      </c>
      <c r="E42" t="s">
        <v>2048</v>
      </c>
      <c r="G42" t="s">
        <v>1659</v>
      </c>
      <c r="H42" t="s">
        <v>1659</v>
      </c>
      <c r="I42" t="s">
        <v>1659</v>
      </c>
      <c r="J42" t="s">
        <v>1659</v>
      </c>
      <c r="K42" t="s">
        <v>1659</v>
      </c>
      <c r="L42">
        <v>0</v>
      </c>
      <c r="M42">
        <v>6.59</v>
      </c>
      <c r="N42">
        <v>0</v>
      </c>
      <c r="O42" s="55"/>
      <c r="P42" s="55"/>
      <c r="Q42">
        <v>13730</v>
      </c>
      <c r="R42">
        <v>15</v>
      </c>
      <c r="S42">
        <v>7</v>
      </c>
      <c r="T42">
        <v>3</v>
      </c>
      <c r="U42">
        <v>4</v>
      </c>
      <c r="V42">
        <v>1</v>
      </c>
      <c r="X42" t="s">
        <v>1981</v>
      </c>
      <c r="AA42">
        <v>0</v>
      </c>
      <c r="AB42">
        <v>0</v>
      </c>
      <c r="AC42">
        <v>0</v>
      </c>
      <c r="AD42">
        <v>0</v>
      </c>
      <c r="AE42">
        <v>0</v>
      </c>
      <c r="AF42">
        <v>0</v>
      </c>
      <c r="AG42">
        <v>0</v>
      </c>
      <c r="AJ42" s="55">
        <v>42666</v>
      </c>
      <c r="AK42" s="55"/>
      <c r="AL42" s="55"/>
      <c r="AO42">
        <v>1</v>
      </c>
      <c r="AP42" t="s">
        <v>1660</v>
      </c>
      <c r="AR42">
        <v>25</v>
      </c>
      <c r="AS42" t="s">
        <v>1661</v>
      </c>
      <c r="AT42">
        <v>1</v>
      </c>
      <c r="AV42">
        <v>0</v>
      </c>
      <c r="AW42">
        <v>0</v>
      </c>
      <c r="AX42">
        <v>0</v>
      </c>
      <c r="AY42" t="s">
        <v>1662</v>
      </c>
      <c r="AZ42" t="s">
        <v>1662</v>
      </c>
      <c r="BA42">
        <v>25</v>
      </c>
      <c r="BD42">
        <v>1000000000</v>
      </c>
      <c r="BE42">
        <v>0</v>
      </c>
      <c r="BF42">
        <v>0</v>
      </c>
      <c r="BG42">
        <v>0</v>
      </c>
      <c r="BH42">
        <v>0</v>
      </c>
      <c r="BI42">
        <v>0</v>
      </c>
      <c r="BJ42">
        <v>0</v>
      </c>
      <c r="BK42">
        <v>0</v>
      </c>
      <c r="BL42">
        <v>0</v>
      </c>
      <c r="BM42">
        <v>0</v>
      </c>
      <c r="BN42">
        <v>0</v>
      </c>
      <c r="BR42">
        <v>0</v>
      </c>
      <c r="BS42">
        <v>0</v>
      </c>
      <c r="BX42">
        <v>0</v>
      </c>
      <c r="BY42">
        <v>0</v>
      </c>
      <c r="BZ42">
        <v>0</v>
      </c>
      <c r="CA42">
        <v>0</v>
      </c>
      <c r="CC42">
        <v>0</v>
      </c>
      <c r="CD42" s="55">
        <v>42815</v>
      </c>
      <c r="CE42" s="55"/>
      <c r="CF42" s="55">
        <v>42825</v>
      </c>
      <c r="CG42" s="55">
        <v>42874</v>
      </c>
      <c r="CH42" s="55">
        <v>0</v>
      </c>
      <c r="CI42" s="55">
        <v>0</v>
      </c>
      <c r="CJ42">
        <v>1</v>
      </c>
      <c r="CK42">
        <v>0</v>
      </c>
      <c r="CL42">
        <v>0.96</v>
      </c>
      <c r="CM42">
        <v>0</v>
      </c>
      <c r="CN42">
        <v>0</v>
      </c>
      <c r="CO42">
        <v>0</v>
      </c>
      <c r="CP42">
        <v>0</v>
      </c>
      <c r="CQ42" t="s">
        <v>1664</v>
      </c>
      <c r="CR42" t="s">
        <v>1368</v>
      </c>
      <c r="CS42" t="s">
        <v>1665</v>
      </c>
      <c r="CT42" t="s">
        <v>1959</v>
      </c>
      <c r="CU42" t="s">
        <v>1966</v>
      </c>
      <c r="CV42" t="s">
        <v>2049</v>
      </c>
      <c r="DB42" t="s">
        <v>2050</v>
      </c>
      <c r="DE42" t="s">
        <v>1959</v>
      </c>
    </row>
    <row r="43" spans="1:109" x14ac:dyDescent="0.25">
      <c r="A43" t="s">
        <v>1664</v>
      </c>
      <c r="B43">
        <v>2</v>
      </c>
      <c r="C43" s="55">
        <v>42874</v>
      </c>
      <c r="D43" t="s">
        <v>1658</v>
      </c>
      <c r="E43" t="s">
        <v>2051</v>
      </c>
      <c r="G43" t="s">
        <v>1659</v>
      </c>
      <c r="H43" t="s">
        <v>1659</v>
      </c>
      <c r="I43" t="s">
        <v>1659</v>
      </c>
      <c r="J43" t="s">
        <v>1659</v>
      </c>
      <c r="K43" t="s">
        <v>1659</v>
      </c>
      <c r="L43">
        <v>0</v>
      </c>
      <c r="M43">
        <v>6.59</v>
      </c>
      <c r="N43">
        <v>0</v>
      </c>
      <c r="O43" s="55"/>
      <c r="P43" s="55"/>
      <c r="Q43">
        <v>13730</v>
      </c>
      <c r="R43">
        <v>15</v>
      </c>
      <c r="S43">
        <v>7</v>
      </c>
      <c r="T43">
        <v>3</v>
      </c>
      <c r="U43">
        <v>4</v>
      </c>
      <c r="V43">
        <v>1</v>
      </c>
      <c r="X43" t="s">
        <v>1981</v>
      </c>
      <c r="AA43">
        <v>0</v>
      </c>
      <c r="AB43">
        <v>0</v>
      </c>
      <c r="AC43">
        <v>0</v>
      </c>
      <c r="AD43">
        <v>0</v>
      </c>
      <c r="AE43">
        <v>0</v>
      </c>
      <c r="AF43">
        <v>0</v>
      </c>
      <c r="AG43">
        <v>0</v>
      </c>
      <c r="AJ43" s="55">
        <v>42666</v>
      </c>
      <c r="AK43" s="55"/>
      <c r="AL43" s="55"/>
      <c r="AO43">
        <v>1</v>
      </c>
      <c r="AP43" t="s">
        <v>1660</v>
      </c>
      <c r="AR43">
        <v>25</v>
      </c>
      <c r="AS43" t="s">
        <v>1661</v>
      </c>
      <c r="AT43">
        <v>1</v>
      </c>
      <c r="AV43">
        <v>0</v>
      </c>
      <c r="AW43">
        <v>0</v>
      </c>
      <c r="AX43">
        <v>0</v>
      </c>
      <c r="AY43" t="s">
        <v>1662</v>
      </c>
      <c r="AZ43" t="s">
        <v>1662</v>
      </c>
      <c r="BA43">
        <v>25</v>
      </c>
      <c r="BD43">
        <v>1000000000</v>
      </c>
      <c r="BE43">
        <v>0</v>
      </c>
      <c r="BF43">
        <v>0</v>
      </c>
      <c r="BG43">
        <v>0</v>
      </c>
      <c r="BH43">
        <v>0</v>
      </c>
      <c r="BI43">
        <v>0</v>
      </c>
      <c r="BJ43">
        <v>0</v>
      </c>
      <c r="BK43">
        <v>0</v>
      </c>
      <c r="BL43">
        <v>0</v>
      </c>
      <c r="BM43">
        <v>0</v>
      </c>
      <c r="BN43">
        <v>0</v>
      </c>
      <c r="BR43">
        <v>0</v>
      </c>
      <c r="BS43">
        <v>0</v>
      </c>
      <c r="BX43">
        <v>0</v>
      </c>
      <c r="BY43">
        <v>0</v>
      </c>
      <c r="BZ43">
        <v>0</v>
      </c>
      <c r="CA43">
        <v>0</v>
      </c>
      <c r="CC43">
        <v>0</v>
      </c>
      <c r="CD43" s="55">
        <v>42815</v>
      </c>
      <c r="CE43" s="55"/>
      <c r="CF43" s="55">
        <v>42825</v>
      </c>
      <c r="CG43" s="55">
        <v>42874</v>
      </c>
      <c r="CH43" s="55">
        <v>0</v>
      </c>
      <c r="CI43" s="55">
        <v>0</v>
      </c>
      <c r="CJ43">
        <v>1</v>
      </c>
      <c r="CK43">
        <v>0</v>
      </c>
      <c r="CL43">
        <v>0.96</v>
      </c>
      <c r="CM43">
        <v>0</v>
      </c>
      <c r="CN43">
        <v>0</v>
      </c>
      <c r="CO43">
        <v>0</v>
      </c>
      <c r="CP43">
        <v>0</v>
      </c>
      <c r="CQ43" t="s">
        <v>1664</v>
      </c>
      <c r="CR43" t="s">
        <v>1368</v>
      </c>
      <c r="CS43" t="s">
        <v>1665</v>
      </c>
      <c r="CT43" t="s">
        <v>1959</v>
      </c>
      <c r="CU43" t="s">
        <v>1966</v>
      </c>
      <c r="CV43" t="s">
        <v>2052</v>
      </c>
      <c r="DB43" t="s">
        <v>2050</v>
      </c>
      <c r="DE43" t="s">
        <v>1959</v>
      </c>
    </row>
    <row r="44" spans="1:109" x14ac:dyDescent="0.25">
      <c r="A44" t="s">
        <v>1664</v>
      </c>
      <c r="B44">
        <v>2</v>
      </c>
      <c r="C44" s="55">
        <v>42874</v>
      </c>
      <c r="D44" t="s">
        <v>1658</v>
      </c>
      <c r="E44" t="s">
        <v>2053</v>
      </c>
      <c r="G44" t="s">
        <v>1659</v>
      </c>
      <c r="H44" t="s">
        <v>1659</v>
      </c>
      <c r="I44" t="s">
        <v>1659</v>
      </c>
      <c r="J44" t="s">
        <v>1659</v>
      </c>
      <c r="K44" t="s">
        <v>1659</v>
      </c>
      <c r="L44">
        <v>4.92</v>
      </c>
      <c r="M44">
        <v>13.18</v>
      </c>
      <c r="N44">
        <v>0</v>
      </c>
      <c r="O44" s="55"/>
      <c r="P44" s="55"/>
      <c r="Q44">
        <v>13730</v>
      </c>
      <c r="R44">
        <v>15</v>
      </c>
      <c r="S44">
        <v>7</v>
      </c>
      <c r="T44">
        <v>3</v>
      </c>
      <c r="U44">
        <v>4</v>
      </c>
      <c r="V44">
        <v>1</v>
      </c>
      <c r="X44" t="s">
        <v>1690</v>
      </c>
      <c r="AA44">
        <v>0</v>
      </c>
      <c r="AB44">
        <v>0</v>
      </c>
      <c r="AC44">
        <v>0</v>
      </c>
      <c r="AD44">
        <v>0</v>
      </c>
      <c r="AE44">
        <v>0</v>
      </c>
      <c r="AF44">
        <v>0</v>
      </c>
      <c r="AG44">
        <v>0</v>
      </c>
      <c r="AJ44" s="55">
        <v>42666</v>
      </c>
      <c r="AK44" s="55"/>
      <c r="AL44" s="55"/>
      <c r="AO44">
        <v>1</v>
      </c>
      <c r="AP44" t="s">
        <v>1660</v>
      </c>
      <c r="AR44">
        <v>25</v>
      </c>
      <c r="AS44" t="s">
        <v>1661</v>
      </c>
      <c r="AT44">
        <v>1</v>
      </c>
      <c r="AV44">
        <v>0</v>
      </c>
      <c r="AW44">
        <v>0</v>
      </c>
      <c r="AX44">
        <v>0</v>
      </c>
      <c r="AY44" t="s">
        <v>1662</v>
      </c>
      <c r="AZ44" t="s">
        <v>1662</v>
      </c>
      <c r="BA44">
        <v>25</v>
      </c>
      <c r="BD44">
        <v>1000000000</v>
      </c>
      <c r="BE44">
        <v>40</v>
      </c>
      <c r="BF44">
        <v>0</v>
      </c>
      <c r="BG44">
        <v>0</v>
      </c>
      <c r="BH44">
        <v>0</v>
      </c>
      <c r="BI44">
        <v>0</v>
      </c>
      <c r="BJ44">
        <v>0</v>
      </c>
      <c r="BK44">
        <v>0</v>
      </c>
      <c r="BL44">
        <v>0</v>
      </c>
      <c r="BM44">
        <v>40</v>
      </c>
      <c r="BN44">
        <v>0</v>
      </c>
      <c r="BR44">
        <v>0</v>
      </c>
      <c r="BS44">
        <v>0</v>
      </c>
      <c r="BX44">
        <v>0</v>
      </c>
      <c r="BY44">
        <v>0</v>
      </c>
      <c r="BZ44">
        <v>0</v>
      </c>
      <c r="CA44">
        <v>0</v>
      </c>
      <c r="CC44">
        <v>0</v>
      </c>
      <c r="CD44" s="55">
        <v>42816</v>
      </c>
      <c r="CE44" s="55"/>
      <c r="CF44" s="55">
        <v>42825</v>
      </c>
      <c r="CG44" s="55">
        <v>42874</v>
      </c>
      <c r="CH44" s="55">
        <v>0</v>
      </c>
      <c r="CI44" s="55">
        <v>0</v>
      </c>
      <c r="CJ44">
        <v>0</v>
      </c>
      <c r="CK44">
        <v>0</v>
      </c>
      <c r="CL44">
        <v>0</v>
      </c>
      <c r="CM44">
        <v>0</v>
      </c>
      <c r="CN44">
        <v>0</v>
      </c>
      <c r="CO44">
        <v>0</v>
      </c>
      <c r="CP44">
        <v>0.96</v>
      </c>
      <c r="CQ44" t="s">
        <v>1664</v>
      </c>
      <c r="CR44" t="s">
        <v>1368</v>
      </c>
      <c r="CS44" t="s">
        <v>1665</v>
      </c>
      <c r="CT44" t="s">
        <v>1959</v>
      </c>
      <c r="CU44" t="s">
        <v>1966</v>
      </c>
      <c r="CV44" t="s">
        <v>2054</v>
      </c>
      <c r="DB44" t="s">
        <v>2055</v>
      </c>
      <c r="DE44" t="s">
        <v>1959</v>
      </c>
    </row>
    <row r="45" spans="1:109" x14ac:dyDescent="0.25">
      <c r="A45" t="s">
        <v>1664</v>
      </c>
      <c r="B45">
        <v>2</v>
      </c>
      <c r="C45" s="55">
        <v>42874</v>
      </c>
      <c r="D45" t="s">
        <v>1658</v>
      </c>
      <c r="E45" t="s">
        <v>2056</v>
      </c>
      <c r="G45" t="s">
        <v>1659</v>
      </c>
      <c r="H45" t="s">
        <v>1659</v>
      </c>
      <c r="I45" t="s">
        <v>1659</v>
      </c>
      <c r="J45" t="s">
        <v>1659</v>
      </c>
      <c r="K45" t="s">
        <v>1659</v>
      </c>
      <c r="L45">
        <v>0</v>
      </c>
      <c r="M45">
        <v>18.440000000000001</v>
      </c>
      <c r="N45">
        <v>0</v>
      </c>
      <c r="O45" s="55"/>
      <c r="P45" s="55"/>
      <c r="Q45">
        <v>13730</v>
      </c>
      <c r="R45">
        <v>15</v>
      </c>
      <c r="S45">
        <v>7</v>
      </c>
      <c r="T45">
        <v>3</v>
      </c>
      <c r="U45">
        <v>4</v>
      </c>
      <c r="V45">
        <v>1</v>
      </c>
      <c r="X45" t="s">
        <v>1981</v>
      </c>
      <c r="AA45">
        <v>0</v>
      </c>
      <c r="AB45">
        <v>0</v>
      </c>
      <c r="AC45">
        <v>0</v>
      </c>
      <c r="AD45">
        <v>0</v>
      </c>
      <c r="AE45">
        <v>0</v>
      </c>
      <c r="AF45">
        <v>0</v>
      </c>
      <c r="AG45">
        <v>0</v>
      </c>
      <c r="AJ45" s="55">
        <v>42666</v>
      </c>
      <c r="AK45" s="55"/>
      <c r="AL45" s="55"/>
      <c r="AO45">
        <v>1</v>
      </c>
      <c r="AP45" t="s">
        <v>1660</v>
      </c>
      <c r="AR45">
        <v>20</v>
      </c>
      <c r="AS45" t="s">
        <v>1661</v>
      </c>
      <c r="AT45">
        <v>1</v>
      </c>
      <c r="AV45">
        <v>0</v>
      </c>
      <c r="AW45">
        <v>0</v>
      </c>
      <c r="AX45">
        <v>0</v>
      </c>
      <c r="AY45" t="s">
        <v>1662</v>
      </c>
      <c r="AZ45" t="s">
        <v>1662</v>
      </c>
      <c r="BA45">
        <v>20</v>
      </c>
      <c r="BD45">
        <v>1000000000</v>
      </c>
      <c r="BE45">
        <v>0</v>
      </c>
      <c r="BF45">
        <v>0</v>
      </c>
      <c r="BG45">
        <v>0</v>
      </c>
      <c r="BH45">
        <v>0</v>
      </c>
      <c r="BI45">
        <v>0</v>
      </c>
      <c r="BJ45">
        <v>0</v>
      </c>
      <c r="BK45">
        <v>0</v>
      </c>
      <c r="BL45">
        <v>0</v>
      </c>
      <c r="BM45">
        <v>0</v>
      </c>
      <c r="BN45">
        <v>0</v>
      </c>
      <c r="BR45">
        <v>0</v>
      </c>
      <c r="BS45">
        <v>0</v>
      </c>
      <c r="BX45">
        <v>0</v>
      </c>
      <c r="BY45">
        <v>0</v>
      </c>
      <c r="BZ45">
        <v>0</v>
      </c>
      <c r="CA45">
        <v>0</v>
      </c>
      <c r="CC45">
        <v>0</v>
      </c>
      <c r="CD45" s="55">
        <v>42815</v>
      </c>
      <c r="CE45" s="55"/>
      <c r="CF45" s="55">
        <v>42825</v>
      </c>
      <c r="CG45" s="55">
        <v>42874</v>
      </c>
      <c r="CH45" s="55">
        <v>0</v>
      </c>
      <c r="CI45" s="55">
        <v>0</v>
      </c>
      <c r="CJ45">
        <v>1</v>
      </c>
      <c r="CK45">
        <v>0</v>
      </c>
      <c r="CL45">
        <v>0.96</v>
      </c>
      <c r="CM45">
        <v>0</v>
      </c>
      <c r="CN45">
        <v>0</v>
      </c>
      <c r="CO45">
        <v>0</v>
      </c>
      <c r="CP45">
        <v>0</v>
      </c>
      <c r="CQ45" t="s">
        <v>1664</v>
      </c>
      <c r="CR45" t="s">
        <v>1368</v>
      </c>
      <c r="CS45" t="s">
        <v>1665</v>
      </c>
      <c r="CT45" t="s">
        <v>1959</v>
      </c>
      <c r="CU45" t="s">
        <v>1966</v>
      </c>
      <c r="CV45" t="s">
        <v>2057</v>
      </c>
      <c r="DB45" t="s">
        <v>2058</v>
      </c>
      <c r="DE45" t="s">
        <v>1959</v>
      </c>
    </row>
    <row r="46" spans="1:109" x14ac:dyDescent="0.25">
      <c r="A46" t="s">
        <v>1664</v>
      </c>
      <c r="B46">
        <v>2</v>
      </c>
      <c r="C46" s="55">
        <v>42874</v>
      </c>
      <c r="D46" t="s">
        <v>1658</v>
      </c>
      <c r="E46" t="s">
        <v>2059</v>
      </c>
      <c r="G46" t="s">
        <v>1659</v>
      </c>
      <c r="H46" t="s">
        <v>1659</v>
      </c>
      <c r="I46" t="s">
        <v>1659</v>
      </c>
      <c r="J46" t="s">
        <v>1659</v>
      </c>
      <c r="K46" t="s">
        <v>1659</v>
      </c>
      <c r="L46">
        <v>0</v>
      </c>
      <c r="M46">
        <v>18.440000000000001</v>
      </c>
      <c r="N46">
        <v>0</v>
      </c>
      <c r="O46" s="55"/>
      <c r="P46" s="55"/>
      <c r="Q46">
        <v>13730</v>
      </c>
      <c r="R46">
        <v>15</v>
      </c>
      <c r="S46">
        <v>7</v>
      </c>
      <c r="T46">
        <v>3</v>
      </c>
      <c r="U46">
        <v>4</v>
      </c>
      <c r="V46">
        <v>1</v>
      </c>
      <c r="X46" t="s">
        <v>1981</v>
      </c>
      <c r="AA46">
        <v>0</v>
      </c>
      <c r="AB46">
        <v>0</v>
      </c>
      <c r="AC46">
        <v>0</v>
      </c>
      <c r="AD46">
        <v>0</v>
      </c>
      <c r="AE46">
        <v>0</v>
      </c>
      <c r="AF46">
        <v>0</v>
      </c>
      <c r="AG46">
        <v>0</v>
      </c>
      <c r="AJ46" s="55">
        <v>42666</v>
      </c>
      <c r="AK46" s="55"/>
      <c r="AL46" s="55"/>
      <c r="AO46">
        <v>1</v>
      </c>
      <c r="AP46" t="s">
        <v>1660</v>
      </c>
      <c r="AR46">
        <v>20</v>
      </c>
      <c r="AS46" t="s">
        <v>1661</v>
      </c>
      <c r="AT46">
        <v>1</v>
      </c>
      <c r="AV46">
        <v>0</v>
      </c>
      <c r="AW46">
        <v>0</v>
      </c>
      <c r="AX46">
        <v>0</v>
      </c>
      <c r="AY46" t="s">
        <v>1662</v>
      </c>
      <c r="AZ46" t="s">
        <v>1662</v>
      </c>
      <c r="BA46">
        <v>20</v>
      </c>
      <c r="BD46">
        <v>1000000000</v>
      </c>
      <c r="BE46">
        <v>0</v>
      </c>
      <c r="BF46">
        <v>0</v>
      </c>
      <c r="BG46">
        <v>0</v>
      </c>
      <c r="BH46">
        <v>0</v>
      </c>
      <c r="BI46">
        <v>0</v>
      </c>
      <c r="BJ46">
        <v>0</v>
      </c>
      <c r="BK46">
        <v>0</v>
      </c>
      <c r="BL46">
        <v>0</v>
      </c>
      <c r="BM46">
        <v>0</v>
      </c>
      <c r="BN46">
        <v>0</v>
      </c>
      <c r="BR46">
        <v>0</v>
      </c>
      <c r="BS46">
        <v>0</v>
      </c>
      <c r="BX46">
        <v>0</v>
      </c>
      <c r="BY46">
        <v>0</v>
      </c>
      <c r="BZ46">
        <v>0</v>
      </c>
      <c r="CA46">
        <v>0</v>
      </c>
      <c r="CC46">
        <v>0</v>
      </c>
      <c r="CD46" s="55">
        <v>42815</v>
      </c>
      <c r="CE46" s="55"/>
      <c r="CF46" s="55">
        <v>42825</v>
      </c>
      <c r="CG46" s="55">
        <v>42874</v>
      </c>
      <c r="CH46" s="55">
        <v>0</v>
      </c>
      <c r="CI46" s="55">
        <v>0</v>
      </c>
      <c r="CJ46">
        <v>1</v>
      </c>
      <c r="CK46">
        <v>0</v>
      </c>
      <c r="CL46">
        <v>0.96</v>
      </c>
      <c r="CM46">
        <v>0</v>
      </c>
      <c r="CN46">
        <v>0</v>
      </c>
      <c r="CO46">
        <v>0</v>
      </c>
      <c r="CP46">
        <v>0</v>
      </c>
      <c r="CQ46" t="s">
        <v>1664</v>
      </c>
      <c r="CR46" t="s">
        <v>1368</v>
      </c>
      <c r="CS46" t="s">
        <v>1665</v>
      </c>
      <c r="CT46" t="s">
        <v>1959</v>
      </c>
      <c r="CU46" t="s">
        <v>1966</v>
      </c>
      <c r="CV46" t="s">
        <v>2060</v>
      </c>
      <c r="DB46" t="s">
        <v>2058</v>
      </c>
      <c r="DE46" t="s">
        <v>1959</v>
      </c>
    </row>
    <row r="47" spans="1:109" x14ac:dyDescent="0.25">
      <c r="A47" t="s">
        <v>1664</v>
      </c>
      <c r="B47">
        <v>2</v>
      </c>
      <c r="C47" s="55">
        <v>42874</v>
      </c>
      <c r="D47" t="s">
        <v>1658</v>
      </c>
      <c r="E47" t="s">
        <v>2061</v>
      </c>
      <c r="G47" t="s">
        <v>1659</v>
      </c>
      <c r="H47" t="s">
        <v>1659</v>
      </c>
      <c r="I47" t="s">
        <v>1659</v>
      </c>
      <c r="J47" t="s">
        <v>1659</v>
      </c>
      <c r="K47" t="s">
        <v>1659</v>
      </c>
      <c r="L47">
        <v>0</v>
      </c>
      <c r="M47">
        <v>18.440000000000001</v>
      </c>
      <c r="N47">
        <v>0</v>
      </c>
      <c r="O47" s="55"/>
      <c r="P47" s="55"/>
      <c r="Q47">
        <v>13730</v>
      </c>
      <c r="R47">
        <v>15</v>
      </c>
      <c r="S47">
        <v>7</v>
      </c>
      <c r="T47">
        <v>3</v>
      </c>
      <c r="U47">
        <v>4</v>
      </c>
      <c r="V47">
        <v>1</v>
      </c>
      <c r="X47" t="s">
        <v>1981</v>
      </c>
      <c r="AA47">
        <v>0</v>
      </c>
      <c r="AB47">
        <v>0</v>
      </c>
      <c r="AC47">
        <v>0</v>
      </c>
      <c r="AD47">
        <v>0</v>
      </c>
      <c r="AE47">
        <v>0</v>
      </c>
      <c r="AF47">
        <v>0</v>
      </c>
      <c r="AG47">
        <v>0</v>
      </c>
      <c r="AJ47" s="55">
        <v>42666</v>
      </c>
      <c r="AK47" s="55"/>
      <c r="AL47" s="55"/>
      <c r="AO47">
        <v>1</v>
      </c>
      <c r="AP47" t="s">
        <v>1660</v>
      </c>
      <c r="AR47">
        <v>20</v>
      </c>
      <c r="AS47" t="s">
        <v>1661</v>
      </c>
      <c r="AT47">
        <v>1</v>
      </c>
      <c r="AV47">
        <v>0</v>
      </c>
      <c r="AW47">
        <v>0</v>
      </c>
      <c r="AX47">
        <v>0</v>
      </c>
      <c r="AY47" t="s">
        <v>1662</v>
      </c>
      <c r="AZ47" t="s">
        <v>1662</v>
      </c>
      <c r="BA47">
        <v>20</v>
      </c>
      <c r="BD47">
        <v>1000000000</v>
      </c>
      <c r="BE47">
        <v>0</v>
      </c>
      <c r="BF47">
        <v>0</v>
      </c>
      <c r="BG47">
        <v>0</v>
      </c>
      <c r="BH47">
        <v>0</v>
      </c>
      <c r="BI47">
        <v>0</v>
      </c>
      <c r="BJ47">
        <v>0</v>
      </c>
      <c r="BK47">
        <v>0</v>
      </c>
      <c r="BL47">
        <v>0</v>
      </c>
      <c r="BM47">
        <v>0</v>
      </c>
      <c r="BN47">
        <v>0</v>
      </c>
      <c r="BR47">
        <v>0</v>
      </c>
      <c r="BS47">
        <v>0</v>
      </c>
      <c r="BX47">
        <v>0</v>
      </c>
      <c r="BY47">
        <v>0</v>
      </c>
      <c r="BZ47">
        <v>0</v>
      </c>
      <c r="CA47">
        <v>0</v>
      </c>
      <c r="CC47">
        <v>0</v>
      </c>
      <c r="CD47" s="55">
        <v>42815</v>
      </c>
      <c r="CE47" s="55"/>
      <c r="CF47" s="55">
        <v>42825</v>
      </c>
      <c r="CG47" s="55">
        <v>42874</v>
      </c>
      <c r="CH47" s="55">
        <v>0</v>
      </c>
      <c r="CI47" s="55">
        <v>0</v>
      </c>
      <c r="CJ47">
        <v>1</v>
      </c>
      <c r="CK47">
        <v>0</v>
      </c>
      <c r="CL47">
        <v>0.96</v>
      </c>
      <c r="CM47">
        <v>0</v>
      </c>
      <c r="CN47">
        <v>0</v>
      </c>
      <c r="CO47">
        <v>0</v>
      </c>
      <c r="CP47">
        <v>0</v>
      </c>
      <c r="CQ47" t="s">
        <v>1664</v>
      </c>
      <c r="CR47" t="s">
        <v>1368</v>
      </c>
      <c r="CS47" t="s">
        <v>1665</v>
      </c>
      <c r="CT47" t="s">
        <v>1959</v>
      </c>
      <c r="CU47" t="s">
        <v>1966</v>
      </c>
      <c r="CV47" t="s">
        <v>2062</v>
      </c>
      <c r="DB47" t="s">
        <v>2058</v>
      </c>
      <c r="DE47" t="s">
        <v>1959</v>
      </c>
    </row>
    <row r="48" spans="1:109" x14ac:dyDescent="0.25">
      <c r="A48" t="s">
        <v>1664</v>
      </c>
      <c r="B48">
        <v>2</v>
      </c>
      <c r="C48" s="55">
        <v>42874</v>
      </c>
      <c r="D48" t="s">
        <v>1658</v>
      </c>
      <c r="E48" t="s">
        <v>2063</v>
      </c>
      <c r="G48" t="s">
        <v>1659</v>
      </c>
      <c r="H48" t="s">
        <v>1659</v>
      </c>
      <c r="I48" t="s">
        <v>1659</v>
      </c>
      <c r="J48" t="s">
        <v>1659</v>
      </c>
      <c r="K48" t="s">
        <v>1659</v>
      </c>
      <c r="L48">
        <v>0</v>
      </c>
      <c r="M48">
        <v>18.440000000000001</v>
      </c>
      <c r="N48">
        <v>0</v>
      </c>
      <c r="O48" s="55"/>
      <c r="P48" s="55"/>
      <c r="Q48">
        <v>13730</v>
      </c>
      <c r="R48">
        <v>15</v>
      </c>
      <c r="S48">
        <v>7</v>
      </c>
      <c r="T48">
        <v>3</v>
      </c>
      <c r="U48">
        <v>4</v>
      </c>
      <c r="V48">
        <v>1</v>
      </c>
      <c r="X48" t="s">
        <v>1981</v>
      </c>
      <c r="AA48">
        <v>0</v>
      </c>
      <c r="AB48">
        <v>0</v>
      </c>
      <c r="AC48">
        <v>0</v>
      </c>
      <c r="AD48">
        <v>0</v>
      </c>
      <c r="AE48">
        <v>0</v>
      </c>
      <c r="AF48">
        <v>0</v>
      </c>
      <c r="AG48">
        <v>0</v>
      </c>
      <c r="AJ48" s="55">
        <v>42666</v>
      </c>
      <c r="AK48" s="55"/>
      <c r="AL48" s="55"/>
      <c r="AO48">
        <v>1</v>
      </c>
      <c r="AP48" t="s">
        <v>1660</v>
      </c>
      <c r="AR48">
        <v>20</v>
      </c>
      <c r="AS48" t="s">
        <v>1661</v>
      </c>
      <c r="AT48">
        <v>1</v>
      </c>
      <c r="AV48">
        <v>0</v>
      </c>
      <c r="AW48">
        <v>0</v>
      </c>
      <c r="AX48">
        <v>0</v>
      </c>
      <c r="AY48" t="s">
        <v>1662</v>
      </c>
      <c r="AZ48" t="s">
        <v>1662</v>
      </c>
      <c r="BA48">
        <v>20</v>
      </c>
      <c r="BD48">
        <v>1000000000</v>
      </c>
      <c r="BE48">
        <v>0</v>
      </c>
      <c r="BF48">
        <v>0</v>
      </c>
      <c r="BG48">
        <v>0</v>
      </c>
      <c r="BH48">
        <v>0</v>
      </c>
      <c r="BI48">
        <v>0</v>
      </c>
      <c r="BJ48">
        <v>0</v>
      </c>
      <c r="BK48">
        <v>0</v>
      </c>
      <c r="BL48">
        <v>0</v>
      </c>
      <c r="BM48">
        <v>0</v>
      </c>
      <c r="BN48">
        <v>0</v>
      </c>
      <c r="BR48">
        <v>0</v>
      </c>
      <c r="BS48">
        <v>0</v>
      </c>
      <c r="BX48">
        <v>0</v>
      </c>
      <c r="BY48">
        <v>0</v>
      </c>
      <c r="BZ48">
        <v>0</v>
      </c>
      <c r="CA48">
        <v>0</v>
      </c>
      <c r="CC48">
        <v>0</v>
      </c>
      <c r="CD48" s="55">
        <v>42815</v>
      </c>
      <c r="CE48" s="55"/>
      <c r="CF48" s="55">
        <v>42825</v>
      </c>
      <c r="CG48" s="55">
        <v>42874</v>
      </c>
      <c r="CH48" s="55">
        <v>0</v>
      </c>
      <c r="CI48" s="55">
        <v>0</v>
      </c>
      <c r="CJ48">
        <v>1</v>
      </c>
      <c r="CK48">
        <v>0</v>
      </c>
      <c r="CL48">
        <v>0.96</v>
      </c>
      <c r="CM48">
        <v>0</v>
      </c>
      <c r="CN48">
        <v>0</v>
      </c>
      <c r="CO48">
        <v>0</v>
      </c>
      <c r="CP48">
        <v>0</v>
      </c>
      <c r="CQ48" t="s">
        <v>1664</v>
      </c>
      <c r="CR48" t="s">
        <v>1368</v>
      </c>
      <c r="CS48" t="s">
        <v>1665</v>
      </c>
      <c r="CT48" t="s">
        <v>1959</v>
      </c>
      <c r="CU48" t="s">
        <v>1966</v>
      </c>
      <c r="CV48" t="s">
        <v>2064</v>
      </c>
      <c r="DB48" t="s">
        <v>2058</v>
      </c>
      <c r="DE48" t="s">
        <v>1959</v>
      </c>
    </row>
    <row r="49" spans="1:109" x14ac:dyDescent="0.25">
      <c r="A49" t="s">
        <v>1664</v>
      </c>
      <c r="B49">
        <v>2</v>
      </c>
      <c r="C49" s="55">
        <v>42874</v>
      </c>
      <c r="D49" t="s">
        <v>1658</v>
      </c>
      <c r="E49" t="s">
        <v>2065</v>
      </c>
      <c r="G49" t="s">
        <v>1659</v>
      </c>
      <c r="H49" t="s">
        <v>1659</v>
      </c>
      <c r="I49" t="s">
        <v>1659</v>
      </c>
      <c r="J49" t="s">
        <v>1659</v>
      </c>
      <c r="K49" t="s">
        <v>1659</v>
      </c>
      <c r="L49">
        <v>0</v>
      </c>
      <c r="M49">
        <v>18.440000000000001</v>
      </c>
      <c r="N49">
        <v>0</v>
      </c>
      <c r="O49" s="55"/>
      <c r="P49" s="55"/>
      <c r="Q49">
        <v>13730</v>
      </c>
      <c r="R49">
        <v>15</v>
      </c>
      <c r="S49">
        <v>7</v>
      </c>
      <c r="T49">
        <v>3</v>
      </c>
      <c r="U49">
        <v>4</v>
      </c>
      <c r="V49">
        <v>1</v>
      </c>
      <c r="X49" t="s">
        <v>1981</v>
      </c>
      <c r="AA49">
        <v>0</v>
      </c>
      <c r="AB49">
        <v>0</v>
      </c>
      <c r="AC49">
        <v>0</v>
      </c>
      <c r="AD49">
        <v>0</v>
      </c>
      <c r="AE49">
        <v>0</v>
      </c>
      <c r="AF49">
        <v>0</v>
      </c>
      <c r="AG49">
        <v>0</v>
      </c>
      <c r="AJ49" s="55">
        <v>42666</v>
      </c>
      <c r="AK49" s="55"/>
      <c r="AL49" s="55">
        <v>42796</v>
      </c>
      <c r="AO49">
        <v>1</v>
      </c>
      <c r="AP49" t="s">
        <v>1660</v>
      </c>
      <c r="AR49">
        <v>20</v>
      </c>
      <c r="AS49" t="s">
        <v>1661</v>
      </c>
      <c r="AT49">
        <v>1</v>
      </c>
      <c r="AV49">
        <v>0</v>
      </c>
      <c r="AW49">
        <v>0</v>
      </c>
      <c r="AX49">
        <v>0</v>
      </c>
      <c r="AY49" t="s">
        <v>1662</v>
      </c>
      <c r="AZ49" t="s">
        <v>1662</v>
      </c>
      <c r="BA49">
        <v>30</v>
      </c>
      <c r="BD49">
        <v>1000000000</v>
      </c>
      <c r="BE49">
        <v>0</v>
      </c>
      <c r="BF49">
        <v>0</v>
      </c>
      <c r="BG49">
        <v>0</v>
      </c>
      <c r="BH49">
        <v>0</v>
      </c>
      <c r="BI49">
        <v>0</v>
      </c>
      <c r="BJ49">
        <v>0</v>
      </c>
      <c r="BK49">
        <v>0</v>
      </c>
      <c r="BL49">
        <v>0</v>
      </c>
      <c r="BM49">
        <v>0</v>
      </c>
      <c r="BN49">
        <v>0</v>
      </c>
      <c r="BR49">
        <v>0</v>
      </c>
      <c r="BS49">
        <v>0</v>
      </c>
      <c r="BX49">
        <v>0</v>
      </c>
      <c r="BY49">
        <v>0</v>
      </c>
      <c r="BZ49">
        <v>0</v>
      </c>
      <c r="CA49">
        <v>0</v>
      </c>
      <c r="CC49">
        <v>0</v>
      </c>
      <c r="CD49" s="55">
        <v>42815</v>
      </c>
      <c r="CE49" s="55"/>
      <c r="CF49" s="55">
        <v>42825</v>
      </c>
      <c r="CG49" s="55">
        <v>42874</v>
      </c>
      <c r="CH49" s="55">
        <v>0</v>
      </c>
      <c r="CI49" s="55">
        <v>0</v>
      </c>
      <c r="CJ49">
        <v>1</v>
      </c>
      <c r="CK49">
        <v>0</v>
      </c>
      <c r="CL49">
        <v>0.96</v>
      </c>
      <c r="CM49">
        <v>0</v>
      </c>
      <c r="CN49">
        <v>0</v>
      </c>
      <c r="CO49">
        <v>0</v>
      </c>
      <c r="CP49">
        <v>0</v>
      </c>
      <c r="CQ49" t="s">
        <v>1664</v>
      </c>
      <c r="CR49" t="s">
        <v>1368</v>
      </c>
      <c r="CS49" t="s">
        <v>1665</v>
      </c>
      <c r="CT49" t="s">
        <v>1959</v>
      </c>
      <c r="CU49" t="s">
        <v>1966</v>
      </c>
      <c r="CV49" t="s">
        <v>2066</v>
      </c>
      <c r="DB49" t="s">
        <v>2058</v>
      </c>
      <c r="DE49" t="s">
        <v>1959</v>
      </c>
    </row>
    <row r="50" spans="1:109" x14ac:dyDescent="0.25">
      <c r="A50" t="s">
        <v>1664</v>
      </c>
      <c r="B50">
        <v>2</v>
      </c>
      <c r="C50" s="55">
        <v>42874</v>
      </c>
      <c r="D50" t="s">
        <v>1658</v>
      </c>
      <c r="E50" t="s">
        <v>1732</v>
      </c>
      <c r="G50" t="s">
        <v>1659</v>
      </c>
      <c r="H50" t="s">
        <v>1659</v>
      </c>
      <c r="I50" t="s">
        <v>1659</v>
      </c>
      <c r="J50" t="s">
        <v>1659</v>
      </c>
      <c r="K50" t="s">
        <v>1659</v>
      </c>
      <c r="L50">
        <v>6.39</v>
      </c>
      <c r="M50">
        <v>15.46</v>
      </c>
      <c r="N50">
        <v>0</v>
      </c>
      <c r="O50" s="55"/>
      <c r="P50" s="55"/>
      <c r="Q50">
        <v>13730</v>
      </c>
      <c r="R50">
        <v>15</v>
      </c>
      <c r="S50">
        <v>7</v>
      </c>
      <c r="T50">
        <v>3</v>
      </c>
      <c r="U50">
        <v>4</v>
      </c>
      <c r="V50">
        <v>1</v>
      </c>
      <c r="X50" t="s">
        <v>2016</v>
      </c>
      <c r="Z50" t="s">
        <v>1669</v>
      </c>
      <c r="AA50">
        <v>0.04</v>
      </c>
      <c r="AB50">
        <v>1</v>
      </c>
      <c r="AC50">
        <v>125</v>
      </c>
      <c r="AD50">
        <v>137.5</v>
      </c>
      <c r="AE50">
        <v>6.25</v>
      </c>
      <c r="AF50">
        <v>0</v>
      </c>
      <c r="AG50">
        <v>0</v>
      </c>
      <c r="AJ50" s="55">
        <v>42872</v>
      </c>
      <c r="AK50" s="55"/>
      <c r="AL50" s="55"/>
      <c r="AO50">
        <v>1</v>
      </c>
      <c r="AP50" t="s">
        <v>1660</v>
      </c>
      <c r="AR50">
        <v>20</v>
      </c>
      <c r="AS50" t="s">
        <v>1661</v>
      </c>
      <c r="AT50">
        <v>1</v>
      </c>
      <c r="AV50">
        <v>20</v>
      </c>
      <c r="AW50">
        <v>13</v>
      </c>
      <c r="AX50">
        <v>7</v>
      </c>
      <c r="AY50" t="s">
        <v>1670</v>
      </c>
      <c r="AZ50" t="s">
        <v>1670</v>
      </c>
      <c r="BA50">
        <v>0</v>
      </c>
      <c r="BD50">
        <v>1000000000</v>
      </c>
      <c r="BE50">
        <v>22</v>
      </c>
      <c r="BF50">
        <v>-0.1</v>
      </c>
      <c r="BG50">
        <v>0</v>
      </c>
      <c r="BH50">
        <v>0</v>
      </c>
      <c r="BI50">
        <v>0</v>
      </c>
      <c r="BJ50">
        <v>0</v>
      </c>
      <c r="BK50">
        <v>0</v>
      </c>
      <c r="BL50">
        <v>0</v>
      </c>
      <c r="BM50">
        <v>22</v>
      </c>
      <c r="BN50">
        <v>-0.1</v>
      </c>
      <c r="BR50">
        <v>0</v>
      </c>
      <c r="BS50">
        <v>11</v>
      </c>
      <c r="BX50">
        <v>0</v>
      </c>
      <c r="BY50">
        <v>12.78</v>
      </c>
      <c r="BZ50">
        <v>0</v>
      </c>
      <c r="CA50">
        <v>9.73</v>
      </c>
      <c r="CC50">
        <v>0</v>
      </c>
      <c r="CD50" s="55">
        <v>42709</v>
      </c>
      <c r="CE50" s="55"/>
      <c r="CF50" s="55">
        <v>42825</v>
      </c>
      <c r="CG50" s="55">
        <v>42874</v>
      </c>
      <c r="CH50" s="55">
        <v>0</v>
      </c>
      <c r="CI50" s="55">
        <v>0</v>
      </c>
      <c r="CJ50">
        <v>0</v>
      </c>
      <c r="CK50">
        <v>0</v>
      </c>
      <c r="CL50">
        <v>0</v>
      </c>
      <c r="CM50">
        <v>0</v>
      </c>
      <c r="CN50">
        <v>0</v>
      </c>
      <c r="CO50">
        <v>0</v>
      </c>
      <c r="CP50">
        <v>0.96</v>
      </c>
      <c r="CQ50" t="s">
        <v>1664</v>
      </c>
      <c r="CR50" t="s">
        <v>1368</v>
      </c>
      <c r="CS50" t="s">
        <v>1665</v>
      </c>
      <c r="CT50" t="s">
        <v>1959</v>
      </c>
      <c r="CU50" t="s">
        <v>1966</v>
      </c>
      <c r="CV50" t="s">
        <v>2067</v>
      </c>
      <c r="DB50" t="s">
        <v>2058</v>
      </c>
      <c r="DE50" t="s">
        <v>1959</v>
      </c>
    </row>
    <row r="51" spans="1:109" x14ac:dyDescent="0.25">
      <c r="A51" t="s">
        <v>1664</v>
      </c>
      <c r="B51">
        <v>2</v>
      </c>
      <c r="C51" s="55">
        <v>42874</v>
      </c>
      <c r="D51" t="s">
        <v>1658</v>
      </c>
      <c r="E51" t="s">
        <v>2068</v>
      </c>
      <c r="G51" t="s">
        <v>1659</v>
      </c>
      <c r="H51" t="s">
        <v>1659</v>
      </c>
      <c r="I51" t="s">
        <v>1659</v>
      </c>
      <c r="J51" t="s">
        <v>1659</v>
      </c>
      <c r="K51" t="s">
        <v>1659</v>
      </c>
      <c r="L51">
        <v>5.58</v>
      </c>
      <c r="M51">
        <v>18.440000000000001</v>
      </c>
      <c r="N51">
        <v>0</v>
      </c>
      <c r="O51" s="55"/>
      <c r="P51" s="55"/>
      <c r="Q51">
        <v>13730</v>
      </c>
      <c r="R51">
        <v>15</v>
      </c>
      <c r="S51">
        <v>7</v>
      </c>
      <c r="T51">
        <v>3</v>
      </c>
      <c r="U51">
        <v>4</v>
      </c>
      <c r="V51">
        <v>1</v>
      </c>
      <c r="X51" t="s">
        <v>1690</v>
      </c>
      <c r="AA51">
        <v>0</v>
      </c>
      <c r="AB51">
        <v>0</v>
      </c>
      <c r="AC51">
        <v>0</v>
      </c>
      <c r="AD51">
        <v>0</v>
      </c>
      <c r="AE51">
        <v>0</v>
      </c>
      <c r="AF51">
        <v>0</v>
      </c>
      <c r="AG51">
        <v>0</v>
      </c>
      <c r="AJ51" s="55">
        <v>42666</v>
      </c>
      <c r="AK51" s="55"/>
      <c r="AL51" s="55"/>
      <c r="AO51">
        <v>1</v>
      </c>
      <c r="AP51" t="s">
        <v>1660</v>
      </c>
      <c r="AR51">
        <v>20</v>
      </c>
      <c r="AS51" t="s">
        <v>1661</v>
      </c>
      <c r="AT51">
        <v>1</v>
      </c>
      <c r="AV51">
        <v>0</v>
      </c>
      <c r="AW51">
        <v>0</v>
      </c>
      <c r="AX51">
        <v>0</v>
      </c>
      <c r="AY51" t="s">
        <v>1662</v>
      </c>
      <c r="AZ51" t="s">
        <v>1662</v>
      </c>
      <c r="BA51">
        <v>20</v>
      </c>
      <c r="BD51">
        <v>1000000000</v>
      </c>
      <c r="BE51">
        <v>25</v>
      </c>
      <c r="BF51">
        <v>0</v>
      </c>
      <c r="BG51">
        <v>0</v>
      </c>
      <c r="BH51">
        <v>0</v>
      </c>
      <c r="BI51">
        <v>0</v>
      </c>
      <c r="BJ51">
        <v>0</v>
      </c>
      <c r="BK51">
        <v>0</v>
      </c>
      <c r="BL51">
        <v>0</v>
      </c>
      <c r="BM51">
        <v>25</v>
      </c>
      <c r="BN51">
        <v>0</v>
      </c>
      <c r="BR51">
        <v>0</v>
      </c>
      <c r="BS51">
        <v>0</v>
      </c>
      <c r="BX51">
        <v>0</v>
      </c>
      <c r="BY51">
        <v>0</v>
      </c>
      <c r="BZ51">
        <v>0</v>
      </c>
      <c r="CA51">
        <v>0</v>
      </c>
      <c r="CC51">
        <v>0</v>
      </c>
      <c r="CD51" s="55">
        <v>42816</v>
      </c>
      <c r="CE51" s="55"/>
      <c r="CF51" s="55">
        <v>42825</v>
      </c>
      <c r="CG51" s="55">
        <v>42874</v>
      </c>
      <c r="CH51" s="55">
        <v>0</v>
      </c>
      <c r="CI51" s="55">
        <v>0</v>
      </c>
      <c r="CJ51">
        <v>0</v>
      </c>
      <c r="CK51">
        <v>0</v>
      </c>
      <c r="CL51">
        <v>0</v>
      </c>
      <c r="CM51">
        <v>0</v>
      </c>
      <c r="CN51">
        <v>0</v>
      </c>
      <c r="CO51">
        <v>0</v>
      </c>
      <c r="CP51">
        <v>0.96</v>
      </c>
      <c r="CQ51" t="s">
        <v>1664</v>
      </c>
      <c r="CR51" t="s">
        <v>1368</v>
      </c>
      <c r="CS51" t="s">
        <v>1665</v>
      </c>
      <c r="CT51" t="s">
        <v>1959</v>
      </c>
      <c r="CU51" t="s">
        <v>1966</v>
      </c>
      <c r="CV51" t="s">
        <v>2069</v>
      </c>
      <c r="DB51" t="s">
        <v>2058</v>
      </c>
      <c r="DE51" t="s">
        <v>1959</v>
      </c>
    </row>
    <row r="52" spans="1:109" x14ac:dyDescent="0.25">
      <c r="A52" t="s">
        <v>1664</v>
      </c>
      <c r="B52">
        <v>2</v>
      </c>
      <c r="C52" s="55">
        <v>42874</v>
      </c>
      <c r="D52" t="s">
        <v>1658</v>
      </c>
      <c r="E52" t="s">
        <v>1593</v>
      </c>
      <c r="G52" t="s">
        <v>1659</v>
      </c>
      <c r="H52" t="s">
        <v>1659</v>
      </c>
      <c r="I52" t="s">
        <v>1659</v>
      </c>
      <c r="J52" t="s">
        <v>1659</v>
      </c>
      <c r="K52" t="s">
        <v>1659</v>
      </c>
      <c r="L52">
        <v>6.26</v>
      </c>
      <c r="M52">
        <v>15.46</v>
      </c>
      <c r="N52">
        <v>0</v>
      </c>
      <c r="O52" s="55"/>
      <c r="P52" s="55"/>
      <c r="Q52">
        <v>13730</v>
      </c>
      <c r="R52">
        <v>15</v>
      </c>
      <c r="S52">
        <v>7</v>
      </c>
      <c r="T52">
        <v>3</v>
      </c>
      <c r="U52">
        <v>4</v>
      </c>
      <c r="V52">
        <v>1</v>
      </c>
      <c r="W52" t="s">
        <v>1686</v>
      </c>
      <c r="X52" t="s">
        <v>1981</v>
      </c>
      <c r="AA52">
        <v>3.48</v>
      </c>
      <c r="AB52">
        <v>37</v>
      </c>
      <c r="AC52">
        <v>4.3099999999999996</v>
      </c>
      <c r="AD52">
        <v>1.36</v>
      </c>
      <c r="AE52">
        <v>7.0000000000000007E-2</v>
      </c>
      <c r="AF52">
        <v>0</v>
      </c>
      <c r="AG52">
        <v>0</v>
      </c>
      <c r="AJ52" s="55">
        <v>42666</v>
      </c>
      <c r="AK52" s="55"/>
      <c r="AL52" s="55"/>
      <c r="AO52">
        <v>1</v>
      </c>
      <c r="AP52" t="s">
        <v>1660</v>
      </c>
      <c r="AR52">
        <v>20</v>
      </c>
      <c r="AS52" t="s">
        <v>1661</v>
      </c>
      <c r="AT52">
        <v>1</v>
      </c>
      <c r="AV52">
        <v>60</v>
      </c>
      <c r="AW52">
        <v>40</v>
      </c>
      <c r="AX52">
        <v>20</v>
      </c>
      <c r="AY52" t="s">
        <v>2046</v>
      </c>
      <c r="AZ52" t="s">
        <v>2046</v>
      </c>
      <c r="BA52">
        <v>50</v>
      </c>
      <c r="BD52">
        <v>1000000000</v>
      </c>
      <c r="BE52">
        <v>19</v>
      </c>
      <c r="BF52">
        <v>0.68</v>
      </c>
      <c r="BG52">
        <v>0</v>
      </c>
      <c r="BH52">
        <v>0</v>
      </c>
      <c r="BI52">
        <v>0</v>
      </c>
      <c r="BJ52">
        <v>0</v>
      </c>
      <c r="BK52">
        <v>0</v>
      </c>
      <c r="BL52">
        <v>0</v>
      </c>
      <c r="BM52">
        <v>19</v>
      </c>
      <c r="BN52">
        <v>0.68</v>
      </c>
      <c r="BR52">
        <v>40</v>
      </c>
      <c r="BS52">
        <v>34</v>
      </c>
      <c r="BX52">
        <v>9.1999999999999993</v>
      </c>
      <c r="BY52">
        <v>0</v>
      </c>
      <c r="BZ52">
        <v>0</v>
      </c>
      <c r="CA52">
        <v>10.08</v>
      </c>
      <c r="CC52">
        <v>1</v>
      </c>
      <c r="CD52" s="55">
        <v>42815</v>
      </c>
      <c r="CE52" s="55"/>
      <c r="CF52" s="55">
        <v>42825</v>
      </c>
      <c r="CG52" s="55">
        <v>42874</v>
      </c>
      <c r="CH52" s="55">
        <v>42842</v>
      </c>
      <c r="CI52" s="55">
        <v>42874</v>
      </c>
      <c r="CJ52">
        <v>0.02</v>
      </c>
      <c r="CK52">
        <v>0</v>
      </c>
      <c r="CL52">
        <v>0</v>
      </c>
      <c r="CM52">
        <v>0.96</v>
      </c>
      <c r="CN52">
        <v>0</v>
      </c>
      <c r="CO52">
        <v>0</v>
      </c>
      <c r="CP52">
        <v>0</v>
      </c>
      <c r="CQ52" t="s">
        <v>1664</v>
      </c>
      <c r="CR52" t="s">
        <v>1368</v>
      </c>
      <c r="CS52" t="s">
        <v>1665</v>
      </c>
      <c r="CT52" t="s">
        <v>1959</v>
      </c>
      <c r="CU52" t="s">
        <v>1966</v>
      </c>
      <c r="CV52" t="s">
        <v>2070</v>
      </c>
      <c r="DB52" t="s">
        <v>2058</v>
      </c>
      <c r="DE52" t="s">
        <v>1959</v>
      </c>
    </row>
    <row r="53" spans="1:109" x14ac:dyDescent="0.25">
      <c r="A53" t="s">
        <v>1664</v>
      </c>
      <c r="B53">
        <v>2</v>
      </c>
      <c r="C53" s="55">
        <v>42874</v>
      </c>
      <c r="D53" t="s">
        <v>1658</v>
      </c>
      <c r="E53" t="s">
        <v>1594</v>
      </c>
      <c r="G53" t="s">
        <v>1659</v>
      </c>
      <c r="H53" t="s">
        <v>1659</v>
      </c>
      <c r="I53" t="s">
        <v>1659</v>
      </c>
      <c r="J53" t="s">
        <v>1659</v>
      </c>
      <c r="K53" t="s">
        <v>1659</v>
      </c>
      <c r="L53">
        <v>6.26</v>
      </c>
      <c r="M53">
        <v>15.46</v>
      </c>
      <c r="N53">
        <v>0</v>
      </c>
      <c r="O53" s="55"/>
      <c r="P53" s="55"/>
      <c r="Q53">
        <v>13730</v>
      </c>
      <c r="R53">
        <v>15</v>
      </c>
      <c r="S53">
        <v>7</v>
      </c>
      <c r="T53">
        <v>3</v>
      </c>
      <c r="U53">
        <v>4</v>
      </c>
      <c r="V53">
        <v>1</v>
      </c>
      <c r="W53" t="s">
        <v>1671</v>
      </c>
      <c r="X53" t="s">
        <v>1981</v>
      </c>
      <c r="Y53">
        <v>80</v>
      </c>
      <c r="AA53">
        <v>4.76</v>
      </c>
      <c r="AB53">
        <v>50</v>
      </c>
      <c r="AC53">
        <v>3.15</v>
      </c>
      <c r="AD53">
        <v>1.31</v>
      </c>
      <c r="AE53">
        <v>0.05</v>
      </c>
      <c r="AF53">
        <v>0</v>
      </c>
      <c r="AG53">
        <v>0</v>
      </c>
      <c r="AJ53" s="55">
        <v>42666</v>
      </c>
      <c r="AK53" s="55"/>
      <c r="AL53" s="55">
        <v>42796</v>
      </c>
      <c r="AO53">
        <v>1</v>
      </c>
      <c r="AP53" t="s">
        <v>1660</v>
      </c>
      <c r="AR53">
        <v>20</v>
      </c>
      <c r="AS53" t="s">
        <v>1661</v>
      </c>
      <c r="AT53">
        <v>1</v>
      </c>
      <c r="AV53">
        <v>60</v>
      </c>
      <c r="AW53">
        <v>40</v>
      </c>
      <c r="AX53">
        <v>20</v>
      </c>
      <c r="AY53" t="s">
        <v>2046</v>
      </c>
      <c r="AZ53" t="s">
        <v>1689</v>
      </c>
      <c r="BA53">
        <v>40</v>
      </c>
      <c r="BD53">
        <v>1000000000</v>
      </c>
      <c r="BE53">
        <v>5</v>
      </c>
      <c r="BF53">
        <v>0.92</v>
      </c>
      <c r="BG53">
        <v>20</v>
      </c>
      <c r="BH53">
        <v>0</v>
      </c>
      <c r="BI53">
        <v>0</v>
      </c>
      <c r="BJ53">
        <v>0</v>
      </c>
      <c r="BK53">
        <v>0</v>
      </c>
      <c r="BL53">
        <v>0</v>
      </c>
      <c r="BM53">
        <v>25</v>
      </c>
      <c r="BN53">
        <v>0.57999999999999996</v>
      </c>
      <c r="BR53">
        <v>40</v>
      </c>
      <c r="BS53">
        <v>34</v>
      </c>
      <c r="BX53">
        <v>138</v>
      </c>
      <c r="BY53">
        <v>0</v>
      </c>
      <c r="BZ53">
        <v>0</v>
      </c>
      <c r="CA53">
        <v>10.08</v>
      </c>
      <c r="CC53">
        <v>1</v>
      </c>
      <c r="CD53" s="55">
        <v>42815</v>
      </c>
      <c r="CE53" s="55"/>
      <c r="CF53" s="55">
        <v>42825</v>
      </c>
      <c r="CG53" s="55">
        <v>42874</v>
      </c>
      <c r="CH53" s="55">
        <v>42873</v>
      </c>
      <c r="CI53" s="55">
        <v>42901</v>
      </c>
      <c r="CJ53">
        <v>0.54</v>
      </c>
      <c r="CK53">
        <v>295</v>
      </c>
      <c r="CL53">
        <v>0</v>
      </c>
      <c r="CM53">
        <v>0.94</v>
      </c>
      <c r="CN53">
        <v>0</v>
      </c>
      <c r="CO53">
        <v>0.02</v>
      </c>
      <c r="CP53">
        <v>0</v>
      </c>
      <c r="CQ53" t="s">
        <v>1664</v>
      </c>
      <c r="CR53" t="s">
        <v>1368</v>
      </c>
      <c r="CS53" t="s">
        <v>1665</v>
      </c>
      <c r="CT53" t="s">
        <v>1959</v>
      </c>
      <c r="CU53" t="s">
        <v>1966</v>
      </c>
      <c r="CV53" t="s">
        <v>2071</v>
      </c>
      <c r="DB53" t="s">
        <v>2058</v>
      </c>
      <c r="DE53" t="s">
        <v>1959</v>
      </c>
    </row>
    <row r="54" spans="1:109" x14ac:dyDescent="0.25">
      <c r="A54" t="s">
        <v>1664</v>
      </c>
      <c r="B54">
        <v>2</v>
      </c>
      <c r="C54" s="55">
        <v>42874</v>
      </c>
      <c r="D54" t="s">
        <v>1658</v>
      </c>
      <c r="E54" t="s">
        <v>2072</v>
      </c>
      <c r="G54" t="s">
        <v>1659</v>
      </c>
      <c r="H54" t="s">
        <v>1659</v>
      </c>
      <c r="I54" t="s">
        <v>1659</v>
      </c>
      <c r="J54" t="s">
        <v>1659</v>
      </c>
      <c r="K54" t="s">
        <v>1659</v>
      </c>
      <c r="L54">
        <v>0</v>
      </c>
      <c r="M54">
        <v>13.18</v>
      </c>
      <c r="N54">
        <v>0</v>
      </c>
      <c r="O54" s="55"/>
      <c r="P54" s="55"/>
      <c r="Q54">
        <v>13730</v>
      </c>
      <c r="R54">
        <v>15</v>
      </c>
      <c r="S54">
        <v>7</v>
      </c>
      <c r="T54">
        <v>3</v>
      </c>
      <c r="U54">
        <v>4</v>
      </c>
      <c r="V54">
        <v>1</v>
      </c>
      <c r="X54" t="s">
        <v>1981</v>
      </c>
      <c r="AA54">
        <v>0</v>
      </c>
      <c r="AB54">
        <v>0</v>
      </c>
      <c r="AC54">
        <v>0</v>
      </c>
      <c r="AD54">
        <v>0</v>
      </c>
      <c r="AE54">
        <v>0</v>
      </c>
      <c r="AF54">
        <v>0</v>
      </c>
      <c r="AG54">
        <v>0</v>
      </c>
      <c r="AJ54" s="55">
        <v>42666</v>
      </c>
      <c r="AK54" s="55"/>
      <c r="AL54" s="55"/>
      <c r="AO54">
        <v>1</v>
      </c>
      <c r="AP54" t="s">
        <v>1660</v>
      </c>
      <c r="AR54">
        <v>20</v>
      </c>
      <c r="AS54" t="s">
        <v>1661</v>
      </c>
      <c r="AT54">
        <v>1</v>
      </c>
      <c r="AV54">
        <v>0</v>
      </c>
      <c r="AW54">
        <v>0</v>
      </c>
      <c r="AX54">
        <v>0</v>
      </c>
      <c r="AY54" t="s">
        <v>1662</v>
      </c>
      <c r="AZ54" t="s">
        <v>1662</v>
      </c>
      <c r="BA54">
        <v>20</v>
      </c>
      <c r="BD54">
        <v>1000000000</v>
      </c>
      <c r="BE54">
        <v>0</v>
      </c>
      <c r="BF54">
        <v>0</v>
      </c>
      <c r="BG54">
        <v>0</v>
      </c>
      <c r="BH54">
        <v>0</v>
      </c>
      <c r="BI54">
        <v>0</v>
      </c>
      <c r="BJ54">
        <v>0</v>
      </c>
      <c r="BK54">
        <v>0</v>
      </c>
      <c r="BL54">
        <v>0</v>
      </c>
      <c r="BM54">
        <v>0</v>
      </c>
      <c r="BN54">
        <v>0</v>
      </c>
      <c r="BR54">
        <v>0</v>
      </c>
      <c r="BS54">
        <v>0</v>
      </c>
      <c r="BX54">
        <v>0</v>
      </c>
      <c r="BY54">
        <v>0</v>
      </c>
      <c r="BZ54">
        <v>0</v>
      </c>
      <c r="CA54">
        <v>0</v>
      </c>
      <c r="CC54">
        <v>0</v>
      </c>
      <c r="CD54" s="55">
        <v>42815</v>
      </c>
      <c r="CE54" s="55"/>
      <c r="CF54" s="55">
        <v>42825</v>
      </c>
      <c r="CG54" s="55">
        <v>42874</v>
      </c>
      <c r="CH54" s="55">
        <v>0</v>
      </c>
      <c r="CI54" s="55">
        <v>0</v>
      </c>
      <c r="CJ54">
        <v>1</v>
      </c>
      <c r="CK54">
        <v>0</v>
      </c>
      <c r="CL54">
        <v>0.96</v>
      </c>
      <c r="CM54">
        <v>0</v>
      </c>
      <c r="CN54">
        <v>0</v>
      </c>
      <c r="CO54">
        <v>0</v>
      </c>
      <c r="CP54">
        <v>0</v>
      </c>
      <c r="CQ54" t="s">
        <v>1664</v>
      </c>
      <c r="CR54" t="s">
        <v>1368</v>
      </c>
      <c r="CS54" t="s">
        <v>1665</v>
      </c>
      <c r="CT54" t="s">
        <v>1959</v>
      </c>
      <c r="CU54" t="s">
        <v>1966</v>
      </c>
      <c r="CV54" t="s">
        <v>2073</v>
      </c>
      <c r="DB54" t="s">
        <v>2074</v>
      </c>
      <c r="DE54" t="s">
        <v>1959</v>
      </c>
    </row>
    <row r="55" spans="1:109" x14ac:dyDescent="0.25">
      <c r="A55" t="s">
        <v>1664</v>
      </c>
      <c r="B55">
        <v>2</v>
      </c>
      <c r="C55" s="55">
        <v>42874</v>
      </c>
      <c r="D55" t="s">
        <v>1658</v>
      </c>
      <c r="E55" t="s">
        <v>2075</v>
      </c>
      <c r="G55" t="s">
        <v>1659</v>
      </c>
      <c r="H55" t="s">
        <v>1659</v>
      </c>
      <c r="I55" t="s">
        <v>1659</v>
      </c>
      <c r="J55" t="s">
        <v>1659</v>
      </c>
      <c r="K55" t="s">
        <v>1659</v>
      </c>
      <c r="L55">
        <v>0</v>
      </c>
      <c r="M55">
        <v>13.18</v>
      </c>
      <c r="N55">
        <v>0</v>
      </c>
      <c r="O55" s="55"/>
      <c r="P55" s="55"/>
      <c r="Q55">
        <v>13730</v>
      </c>
      <c r="R55">
        <v>15</v>
      </c>
      <c r="S55">
        <v>7</v>
      </c>
      <c r="T55">
        <v>3</v>
      </c>
      <c r="U55">
        <v>4</v>
      </c>
      <c r="V55">
        <v>1</v>
      </c>
      <c r="X55" t="s">
        <v>1981</v>
      </c>
      <c r="AA55">
        <v>0</v>
      </c>
      <c r="AB55">
        <v>0</v>
      </c>
      <c r="AC55">
        <v>0</v>
      </c>
      <c r="AD55">
        <v>0</v>
      </c>
      <c r="AE55">
        <v>0</v>
      </c>
      <c r="AF55">
        <v>0</v>
      </c>
      <c r="AG55">
        <v>0</v>
      </c>
      <c r="AJ55" s="55">
        <v>42666</v>
      </c>
      <c r="AK55" s="55"/>
      <c r="AL55" s="55"/>
      <c r="AO55">
        <v>1</v>
      </c>
      <c r="AP55" t="s">
        <v>1660</v>
      </c>
      <c r="AR55">
        <v>20</v>
      </c>
      <c r="AS55" t="s">
        <v>1661</v>
      </c>
      <c r="AT55">
        <v>1</v>
      </c>
      <c r="AV55">
        <v>0</v>
      </c>
      <c r="AW55">
        <v>0</v>
      </c>
      <c r="AX55">
        <v>0</v>
      </c>
      <c r="AY55" t="s">
        <v>1662</v>
      </c>
      <c r="AZ55" t="s">
        <v>1662</v>
      </c>
      <c r="BA55">
        <v>20</v>
      </c>
      <c r="BD55">
        <v>1000000000</v>
      </c>
      <c r="BE55">
        <v>0</v>
      </c>
      <c r="BF55">
        <v>0</v>
      </c>
      <c r="BG55">
        <v>0</v>
      </c>
      <c r="BH55">
        <v>0</v>
      </c>
      <c r="BI55">
        <v>0</v>
      </c>
      <c r="BJ55">
        <v>0</v>
      </c>
      <c r="BK55">
        <v>0</v>
      </c>
      <c r="BL55">
        <v>0</v>
      </c>
      <c r="BM55">
        <v>0</v>
      </c>
      <c r="BN55">
        <v>0</v>
      </c>
      <c r="BR55">
        <v>0</v>
      </c>
      <c r="BS55">
        <v>0</v>
      </c>
      <c r="BX55">
        <v>0</v>
      </c>
      <c r="BY55">
        <v>0</v>
      </c>
      <c r="BZ55">
        <v>0</v>
      </c>
      <c r="CA55">
        <v>0</v>
      </c>
      <c r="CC55">
        <v>0</v>
      </c>
      <c r="CD55" s="55">
        <v>42815</v>
      </c>
      <c r="CE55" s="55"/>
      <c r="CF55" s="55">
        <v>42825</v>
      </c>
      <c r="CG55" s="55">
        <v>42874</v>
      </c>
      <c r="CH55" s="55">
        <v>0</v>
      </c>
      <c r="CI55" s="55">
        <v>0</v>
      </c>
      <c r="CJ55">
        <v>1</v>
      </c>
      <c r="CK55">
        <v>0</v>
      </c>
      <c r="CL55">
        <v>0.96</v>
      </c>
      <c r="CM55">
        <v>0</v>
      </c>
      <c r="CN55">
        <v>0</v>
      </c>
      <c r="CO55">
        <v>0</v>
      </c>
      <c r="CP55">
        <v>0</v>
      </c>
      <c r="CQ55" t="s">
        <v>1664</v>
      </c>
      <c r="CR55" t="s">
        <v>1368</v>
      </c>
      <c r="CS55" t="s">
        <v>1665</v>
      </c>
      <c r="CT55" t="s">
        <v>1959</v>
      </c>
      <c r="CU55" t="s">
        <v>1966</v>
      </c>
      <c r="CV55" t="s">
        <v>2076</v>
      </c>
      <c r="DB55" t="s">
        <v>2074</v>
      </c>
      <c r="DE55" t="s">
        <v>1959</v>
      </c>
    </row>
    <row r="56" spans="1:109" x14ac:dyDescent="0.25">
      <c r="A56" t="s">
        <v>1664</v>
      </c>
      <c r="B56">
        <v>2</v>
      </c>
      <c r="C56" s="55">
        <v>42874</v>
      </c>
      <c r="D56" t="s">
        <v>1658</v>
      </c>
      <c r="E56" t="s">
        <v>2077</v>
      </c>
      <c r="G56" t="s">
        <v>1659</v>
      </c>
      <c r="H56" t="s">
        <v>1659</v>
      </c>
      <c r="I56" t="s">
        <v>1659</v>
      </c>
      <c r="J56" t="s">
        <v>1659</v>
      </c>
      <c r="K56" t="s">
        <v>1659</v>
      </c>
      <c r="L56">
        <v>0</v>
      </c>
      <c r="M56">
        <v>13.18</v>
      </c>
      <c r="N56">
        <v>0</v>
      </c>
      <c r="O56" s="55"/>
      <c r="P56" s="55"/>
      <c r="Q56">
        <v>13730</v>
      </c>
      <c r="R56">
        <v>15</v>
      </c>
      <c r="S56">
        <v>7</v>
      </c>
      <c r="T56">
        <v>3</v>
      </c>
      <c r="U56">
        <v>4</v>
      </c>
      <c r="V56">
        <v>1</v>
      </c>
      <c r="X56" t="s">
        <v>1981</v>
      </c>
      <c r="AA56">
        <v>0</v>
      </c>
      <c r="AB56">
        <v>0</v>
      </c>
      <c r="AC56">
        <v>0</v>
      </c>
      <c r="AD56">
        <v>0</v>
      </c>
      <c r="AE56">
        <v>0</v>
      </c>
      <c r="AF56">
        <v>0</v>
      </c>
      <c r="AG56">
        <v>0</v>
      </c>
      <c r="AJ56" s="55">
        <v>42666</v>
      </c>
      <c r="AK56" s="55"/>
      <c r="AL56" s="55"/>
      <c r="AO56">
        <v>1</v>
      </c>
      <c r="AP56" t="s">
        <v>1660</v>
      </c>
      <c r="AR56">
        <v>20</v>
      </c>
      <c r="AS56" t="s">
        <v>1661</v>
      </c>
      <c r="AT56">
        <v>1</v>
      </c>
      <c r="AV56">
        <v>0</v>
      </c>
      <c r="AW56">
        <v>0</v>
      </c>
      <c r="AX56">
        <v>0</v>
      </c>
      <c r="AY56" t="s">
        <v>1662</v>
      </c>
      <c r="AZ56" t="s">
        <v>1662</v>
      </c>
      <c r="BA56">
        <v>20</v>
      </c>
      <c r="BD56">
        <v>1000000000</v>
      </c>
      <c r="BE56">
        <v>0</v>
      </c>
      <c r="BF56">
        <v>0</v>
      </c>
      <c r="BG56">
        <v>0</v>
      </c>
      <c r="BH56">
        <v>0</v>
      </c>
      <c r="BI56">
        <v>0</v>
      </c>
      <c r="BJ56">
        <v>0</v>
      </c>
      <c r="BK56">
        <v>0</v>
      </c>
      <c r="BL56">
        <v>0</v>
      </c>
      <c r="BM56">
        <v>0</v>
      </c>
      <c r="BN56">
        <v>0</v>
      </c>
      <c r="BR56">
        <v>0</v>
      </c>
      <c r="BS56">
        <v>0</v>
      </c>
      <c r="BX56">
        <v>0</v>
      </c>
      <c r="BY56">
        <v>0</v>
      </c>
      <c r="BZ56">
        <v>0</v>
      </c>
      <c r="CA56">
        <v>0</v>
      </c>
      <c r="CC56">
        <v>0</v>
      </c>
      <c r="CD56" s="55">
        <v>42815</v>
      </c>
      <c r="CE56" s="55"/>
      <c r="CF56" s="55">
        <v>42825</v>
      </c>
      <c r="CG56" s="55">
        <v>42874</v>
      </c>
      <c r="CH56" s="55">
        <v>0</v>
      </c>
      <c r="CI56" s="55">
        <v>0</v>
      </c>
      <c r="CJ56">
        <v>1</v>
      </c>
      <c r="CK56">
        <v>0</v>
      </c>
      <c r="CL56">
        <v>0.96</v>
      </c>
      <c r="CM56">
        <v>0</v>
      </c>
      <c r="CN56">
        <v>0</v>
      </c>
      <c r="CO56">
        <v>0</v>
      </c>
      <c r="CP56">
        <v>0</v>
      </c>
      <c r="CQ56" t="s">
        <v>1664</v>
      </c>
      <c r="CR56" t="s">
        <v>1368</v>
      </c>
      <c r="CS56" t="s">
        <v>1665</v>
      </c>
      <c r="CT56" t="s">
        <v>1959</v>
      </c>
      <c r="CU56" t="s">
        <v>1966</v>
      </c>
      <c r="CV56" t="s">
        <v>2078</v>
      </c>
      <c r="DB56" t="s">
        <v>2074</v>
      </c>
      <c r="DE56" t="s">
        <v>1959</v>
      </c>
    </row>
    <row r="57" spans="1:109" x14ac:dyDescent="0.25">
      <c r="A57" t="s">
        <v>1664</v>
      </c>
      <c r="B57">
        <v>2</v>
      </c>
      <c r="C57" s="55">
        <v>42874</v>
      </c>
      <c r="D57" t="s">
        <v>1658</v>
      </c>
      <c r="E57" t="s">
        <v>1963</v>
      </c>
      <c r="G57" t="s">
        <v>1659</v>
      </c>
      <c r="H57" t="s">
        <v>1659</v>
      </c>
      <c r="I57" t="s">
        <v>1659</v>
      </c>
      <c r="J57" t="s">
        <v>1659</v>
      </c>
      <c r="K57" t="s">
        <v>1659</v>
      </c>
      <c r="L57">
        <v>0</v>
      </c>
      <c r="M57">
        <v>13.18</v>
      </c>
      <c r="N57">
        <v>0</v>
      </c>
      <c r="O57" s="55"/>
      <c r="P57" s="55"/>
      <c r="Q57">
        <v>13730</v>
      </c>
      <c r="R57">
        <v>15</v>
      </c>
      <c r="S57">
        <v>7</v>
      </c>
      <c r="T57">
        <v>3</v>
      </c>
      <c r="U57">
        <v>4</v>
      </c>
      <c r="V57">
        <v>1</v>
      </c>
      <c r="W57" t="s">
        <v>1686</v>
      </c>
      <c r="X57" t="s">
        <v>1981</v>
      </c>
      <c r="AA57">
        <v>0</v>
      </c>
      <c r="AB57">
        <v>0</v>
      </c>
      <c r="AC57">
        <v>0</v>
      </c>
      <c r="AD57">
        <v>0</v>
      </c>
      <c r="AE57">
        <v>0</v>
      </c>
      <c r="AF57">
        <v>27</v>
      </c>
      <c r="AG57">
        <v>0</v>
      </c>
      <c r="AJ57" s="55">
        <v>42666</v>
      </c>
      <c r="AK57" s="55"/>
      <c r="AL57" s="55"/>
      <c r="AO57">
        <v>1</v>
      </c>
      <c r="AP57" t="s">
        <v>1660</v>
      </c>
      <c r="AR57">
        <v>20</v>
      </c>
      <c r="AS57" t="s">
        <v>1661</v>
      </c>
      <c r="AT57">
        <v>1</v>
      </c>
      <c r="AV57">
        <v>20</v>
      </c>
      <c r="AW57">
        <v>13</v>
      </c>
      <c r="AX57">
        <v>7</v>
      </c>
      <c r="AY57" t="s">
        <v>838</v>
      </c>
      <c r="AZ57" t="s">
        <v>838</v>
      </c>
      <c r="BA57">
        <v>20</v>
      </c>
      <c r="BD57">
        <v>1000000000</v>
      </c>
      <c r="BE57">
        <v>0</v>
      </c>
      <c r="BF57">
        <v>1</v>
      </c>
      <c r="BG57">
        <v>0</v>
      </c>
      <c r="BH57">
        <v>0</v>
      </c>
      <c r="BI57">
        <v>0</v>
      </c>
      <c r="BJ57">
        <v>0</v>
      </c>
      <c r="BK57">
        <v>0</v>
      </c>
      <c r="BL57">
        <v>0</v>
      </c>
      <c r="BM57">
        <v>0</v>
      </c>
      <c r="BN57">
        <v>1</v>
      </c>
      <c r="BR57">
        <v>20</v>
      </c>
      <c r="BS57">
        <v>11</v>
      </c>
      <c r="BX57">
        <v>92.26</v>
      </c>
      <c r="BY57">
        <v>0</v>
      </c>
      <c r="BZ57">
        <v>0</v>
      </c>
      <c r="CA57">
        <v>0</v>
      </c>
      <c r="CC57">
        <v>1</v>
      </c>
      <c r="CD57" s="55">
        <v>42815</v>
      </c>
      <c r="CE57" s="55"/>
      <c r="CF57" s="55">
        <v>42825</v>
      </c>
      <c r="CG57" s="55">
        <v>42874</v>
      </c>
      <c r="CH57" s="55">
        <v>42842</v>
      </c>
      <c r="CI57" s="55">
        <v>42874</v>
      </c>
      <c r="CJ57">
        <v>1</v>
      </c>
      <c r="CK57">
        <v>0</v>
      </c>
      <c r="CL57">
        <v>0.96</v>
      </c>
      <c r="CM57">
        <v>0</v>
      </c>
      <c r="CN57">
        <v>0</v>
      </c>
      <c r="CO57">
        <v>0</v>
      </c>
      <c r="CP57">
        <v>0</v>
      </c>
      <c r="CQ57" t="s">
        <v>1664</v>
      </c>
      <c r="CR57" t="s">
        <v>1368</v>
      </c>
      <c r="CS57" t="s">
        <v>1665</v>
      </c>
      <c r="CT57" t="s">
        <v>1959</v>
      </c>
      <c r="CU57" t="s">
        <v>1966</v>
      </c>
      <c r="CV57" t="s">
        <v>2079</v>
      </c>
      <c r="DB57" t="s">
        <v>2074</v>
      </c>
      <c r="DE57" t="s">
        <v>1959</v>
      </c>
    </row>
    <row r="58" spans="1:109" x14ac:dyDescent="0.25">
      <c r="A58" t="s">
        <v>1664</v>
      </c>
      <c r="B58">
        <v>2</v>
      </c>
      <c r="C58" s="55">
        <v>42874</v>
      </c>
      <c r="D58" t="s">
        <v>1658</v>
      </c>
      <c r="E58" t="s">
        <v>2080</v>
      </c>
      <c r="G58" t="s">
        <v>1659</v>
      </c>
      <c r="H58" t="s">
        <v>1659</v>
      </c>
      <c r="I58" t="s">
        <v>1659</v>
      </c>
      <c r="J58" t="s">
        <v>1659</v>
      </c>
      <c r="K58" t="s">
        <v>1659</v>
      </c>
      <c r="L58">
        <v>0</v>
      </c>
      <c r="M58">
        <v>13.18</v>
      </c>
      <c r="N58">
        <v>0</v>
      </c>
      <c r="O58" s="55"/>
      <c r="P58" s="55"/>
      <c r="Q58">
        <v>13730</v>
      </c>
      <c r="R58">
        <v>15</v>
      </c>
      <c r="S58">
        <v>7</v>
      </c>
      <c r="T58">
        <v>3</v>
      </c>
      <c r="U58">
        <v>4</v>
      </c>
      <c r="V58">
        <v>1</v>
      </c>
      <c r="X58" t="s">
        <v>1981</v>
      </c>
      <c r="AA58">
        <v>0</v>
      </c>
      <c r="AB58">
        <v>0</v>
      </c>
      <c r="AC58">
        <v>0</v>
      </c>
      <c r="AD58">
        <v>0</v>
      </c>
      <c r="AE58">
        <v>0</v>
      </c>
      <c r="AF58">
        <v>0</v>
      </c>
      <c r="AG58">
        <v>0</v>
      </c>
      <c r="AJ58" s="55">
        <v>42666</v>
      </c>
      <c r="AK58" s="55"/>
      <c r="AL58" s="55"/>
      <c r="AO58">
        <v>1</v>
      </c>
      <c r="AP58" t="s">
        <v>1660</v>
      </c>
      <c r="AR58">
        <v>20</v>
      </c>
      <c r="AS58" t="s">
        <v>1661</v>
      </c>
      <c r="AT58">
        <v>1</v>
      </c>
      <c r="AV58">
        <v>0</v>
      </c>
      <c r="AW58">
        <v>0</v>
      </c>
      <c r="AX58">
        <v>0</v>
      </c>
      <c r="AY58" t="s">
        <v>1662</v>
      </c>
      <c r="AZ58" t="s">
        <v>1662</v>
      </c>
      <c r="BA58">
        <v>20</v>
      </c>
      <c r="BD58">
        <v>1000000000</v>
      </c>
      <c r="BE58">
        <v>0</v>
      </c>
      <c r="BF58">
        <v>0</v>
      </c>
      <c r="BG58">
        <v>0</v>
      </c>
      <c r="BH58">
        <v>0</v>
      </c>
      <c r="BI58">
        <v>0</v>
      </c>
      <c r="BJ58">
        <v>0</v>
      </c>
      <c r="BK58">
        <v>0</v>
      </c>
      <c r="BL58">
        <v>0</v>
      </c>
      <c r="BM58">
        <v>0</v>
      </c>
      <c r="BN58">
        <v>0</v>
      </c>
      <c r="BR58">
        <v>0</v>
      </c>
      <c r="BS58">
        <v>0</v>
      </c>
      <c r="BX58">
        <v>0</v>
      </c>
      <c r="BY58">
        <v>0</v>
      </c>
      <c r="BZ58">
        <v>0</v>
      </c>
      <c r="CA58">
        <v>0</v>
      </c>
      <c r="CC58">
        <v>0</v>
      </c>
      <c r="CD58" s="55">
        <v>42815</v>
      </c>
      <c r="CE58" s="55"/>
      <c r="CF58" s="55">
        <v>42825</v>
      </c>
      <c r="CG58" s="55">
        <v>42874</v>
      </c>
      <c r="CH58" s="55">
        <v>0</v>
      </c>
      <c r="CI58" s="55">
        <v>0</v>
      </c>
      <c r="CJ58">
        <v>1</v>
      </c>
      <c r="CK58">
        <v>0</v>
      </c>
      <c r="CL58">
        <v>0.96</v>
      </c>
      <c r="CM58">
        <v>0</v>
      </c>
      <c r="CN58">
        <v>0</v>
      </c>
      <c r="CO58">
        <v>0</v>
      </c>
      <c r="CP58">
        <v>0</v>
      </c>
      <c r="CQ58" t="s">
        <v>1664</v>
      </c>
      <c r="CR58" t="s">
        <v>1368</v>
      </c>
      <c r="CS58" t="s">
        <v>1665</v>
      </c>
      <c r="CT58" t="s">
        <v>1959</v>
      </c>
      <c r="CU58" t="s">
        <v>1966</v>
      </c>
      <c r="CV58" t="s">
        <v>2081</v>
      </c>
      <c r="DB58" t="s">
        <v>2074</v>
      </c>
      <c r="DE58" t="s">
        <v>1959</v>
      </c>
    </row>
    <row r="59" spans="1:109" x14ac:dyDescent="0.25">
      <c r="A59" t="s">
        <v>1664</v>
      </c>
      <c r="B59">
        <v>2</v>
      </c>
      <c r="C59" s="55">
        <v>42874</v>
      </c>
      <c r="D59" t="s">
        <v>1658</v>
      </c>
      <c r="E59" t="s">
        <v>1733</v>
      </c>
      <c r="G59" t="s">
        <v>1659</v>
      </c>
      <c r="H59" t="s">
        <v>1659</v>
      </c>
      <c r="I59" t="s">
        <v>1659</v>
      </c>
      <c r="J59" t="s">
        <v>1659</v>
      </c>
      <c r="K59" t="s">
        <v>1659</v>
      </c>
      <c r="L59">
        <v>4.07</v>
      </c>
      <c r="M59">
        <v>13.18</v>
      </c>
      <c r="N59">
        <v>0</v>
      </c>
      <c r="O59" s="55"/>
      <c r="P59" s="55"/>
      <c r="Q59">
        <v>13730</v>
      </c>
      <c r="R59">
        <v>15</v>
      </c>
      <c r="S59">
        <v>7</v>
      </c>
      <c r="T59">
        <v>3</v>
      </c>
      <c r="U59">
        <v>4</v>
      </c>
      <c r="V59">
        <v>1</v>
      </c>
      <c r="X59" t="s">
        <v>1981</v>
      </c>
      <c r="AA59">
        <v>0.21</v>
      </c>
      <c r="AB59">
        <v>3</v>
      </c>
      <c r="AC59">
        <v>0</v>
      </c>
      <c r="AD59">
        <v>30.95</v>
      </c>
      <c r="AE59">
        <v>1.19</v>
      </c>
      <c r="AF59">
        <v>0</v>
      </c>
      <c r="AG59">
        <v>0</v>
      </c>
      <c r="AJ59" s="55">
        <v>42845</v>
      </c>
      <c r="AK59" s="55"/>
      <c r="AL59" s="55"/>
      <c r="AO59">
        <v>1</v>
      </c>
      <c r="AP59" t="s">
        <v>1660</v>
      </c>
      <c r="AR59">
        <v>20</v>
      </c>
      <c r="AS59" t="s">
        <v>1661</v>
      </c>
      <c r="AT59">
        <v>1</v>
      </c>
      <c r="AV59">
        <v>0</v>
      </c>
      <c r="AW59">
        <v>0</v>
      </c>
      <c r="AX59">
        <v>0</v>
      </c>
      <c r="AY59" t="s">
        <v>1662</v>
      </c>
      <c r="AZ59" t="s">
        <v>1662</v>
      </c>
      <c r="BA59">
        <v>20</v>
      </c>
      <c r="BD59">
        <v>1000000000</v>
      </c>
      <c r="BE59">
        <v>26</v>
      </c>
      <c r="BF59">
        <v>0</v>
      </c>
      <c r="BG59">
        <v>0</v>
      </c>
      <c r="BH59">
        <v>0</v>
      </c>
      <c r="BI59">
        <v>0</v>
      </c>
      <c r="BJ59">
        <v>0</v>
      </c>
      <c r="BK59">
        <v>0</v>
      </c>
      <c r="BL59">
        <v>0</v>
      </c>
      <c r="BM59">
        <v>26</v>
      </c>
      <c r="BN59">
        <v>0</v>
      </c>
      <c r="BR59">
        <v>0</v>
      </c>
      <c r="BS59">
        <v>0</v>
      </c>
      <c r="BX59">
        <v>0</v>
      </c>
      <c r="BY59">
        <v>0</v>
      </c>
      <c r="BZ59">
        <v>0</v>
      </c>
      <c r="CA59">
        <v>0</v>
      </c>
      <c r="CC59">
        <v>0</v>
      </c>
      <c r="CD59" s="55">
        <v>42815</v>
      </c>
      <c r="CE59" s="55"/>
      <c r="CF59" s="55">
        <v>42825</v>
      </c>
      <c r="CG59" s="55">
        <v>42874</v>
      </c>
      <c r="CH59" s="55">
        <v>0</v>
      </c>
      <c r="CI59" s="55">
        <v>0</v>
      </c>
      <c r="CJ59">
        <v>0.01</v>
      </c>
      <c r="CK59">
        <v>0</v>
      </c>
      <c r="CL59">
        <v>0</v>
      </c>
      <c r="CM59">
        <v>0</v>
      </c>
      <c r="CN59">
        <v>0</v>
      </c>
      <c r="CO59">
        <v>0</v>
      </c>
      <c r="CP59">
        <v>0.96</v>
      </c>
      <c r="CQ59" t="s">
        <v>1664</v>
      </c>
      <c r="CR59" t="s">
        <v>1368</v>
      </c>
      <c r="CS59" t="s">
        <v>1665</v>
      </c>
      <c r="CT59" t="s">
        <v>1959</v>
      </c>
      <c r="CU59" t="s">
        <v>1966</v>
      </c>
      <c r="CV59" t="s">
        <v>2082</v>
      </c>
      <c r="DB59" t="s">
        <v>2074</v>
      </c>
      <c r="DE59" t="s">
        <v>1959</v>
      </c>
    </row>
    <row r="60" spans="1:109" x14ac:dyDescent="0.25">
      <c r="A60" t="s">
        <v>1664</v>
      </c>
      <c r="B60">
        <v>2</v>
      </c>
      <c r="C60" s="55">
        <v>42874</v>
      </c>
      <c r="D60" t="s">
        <v>1658</v>
      </c>
      <c r="E60" t="s">
        <v>2083</v>
      </c>
      <c r="G60" t="s">
        <v>1659</v>
      </c>
      <c r="H60" t="s">
        <v>1659</v>
      </c>
      <c r="I60" t="s">
        <v>1659</v>
      </c>
      <c r="J60" t="s">
        <v>1659</v>
      </c>
      <c r="K60" t="s">
        <v>1659</v>
      </c>
      <c r="L60">
        <v>0</v>
      </c>
      <c r="M60">
        <v>13.18</v>
      </c>
      <c r="N60">
        <v>0</v>
      </c>
      <c r="O60" s="55"/>
      <c r="P60" s="55"/>
      <c r="Q60">
        <v>13730</v>
      </c>
      <c r="R60">
        <v>15</v>
      </c>
      <c r="S60">
        <v>7</v>
      </c>
      <c r="T60">
        <v>3</v>
      </c>
      <c r="U60">
        <v>4</v>
      </c>
      <c r="V60">
        <v>1</v>
      </c>
      <c r="X60" t="s">
        <v>1981</v>
      </c>
      <c r="AA60">
        <v>0</v>
      </c>
      <c r="AB60">
        <v>0</v>
      </c>
      <c r="AC60">
        <v>0</v>
      </c>
      <c r="AD60">
        <v>0</v>
      </c>
      <c r="AE60">
        <v>0</v>
      </c>
      <c r="AF60">
        <v>0</v>
      </c>
      <c r="AG60">
        <v>0</v>
      </c>
      <c r="AJ60" s="55">
        <v>42666</v>
      </c>
      <c r="AK60" s="55"/>
      <c r="AL60" s="55"/>
      <c r="AO60">
        <v>1</v>
      </c>
      <c r="AP60" t="s">
        <v>1660</v>
      </c>
      <c r="AR60">
        <v>20</v>
      </c>
      <c r="AS60" t="s">
        <v>1661</v>
      </c>
      <c r="AT60">
        <v>1</v>
      </c>
      <c r="AV60">
        <v>0</v>
      </c>
      <c r="AW60">
        <v>0</v>
      </c>
      <c r="AX60">
        <v>0</v>
      </c>
      <c r="AY60" t="s">
        <v>1662</v>
      </c>
      <c r="AZ60" t="s">
        <v>1662</v>
      </c>
      <c r="BA60">
        <v>20</v>
      </c>
      <c r="BD60">
        <v>1000000000</v>
      </c>
      <c r="BE60">
        <v>0</v>
      </c>
      <c r="BF60">
        <v>0</v>
      </c>
      <c r="BG60">
        <v>0</v>
      </c>
      <c r="BH60">
        <v>0</v>
      </c>
      <c r="BI60">
        <v>0</v>
      </c>
      <c r="BJ60">
        <v>0</v>
      </c>
      <c r="BK60">
        <v>0</v>
      </c>
      <c r="BL60">
        <v>0</v>
      </c>
      <c r="BM60">
        <v>0</v>
      </c>
      <c r="BN60">
        <v>0</v>
      </c>
      <c r="BR60">
        <v>0</v>
      </c>
      <c r="BS60">
        <v>0</v>
      </c>
      <c r="BX60">
        <v>0</v>
      </c>
      <c r="BY60">
        <v>0</v>
      </c>
      <c r="BZ60">
        <v>0</v>
      </c>
      <c r="CA60">
        <v>0</v>
      </c>
      <c r="CC60">
        <v>0</v>
      </c>
      <c r="CD60" s="55">
        <v>42815</v>
      </c>
      <c r="CE60" s="55"/>
      <c r="CF60" s="55">
        <v>42825</v>
      </c>
      <c r="CG60" s="55">
        <v>42874</v>
      </c>
      <c r="CH60" s="55">
        <v>0</v>
      </c>
      <c r="CI60" s="55">
        <v>0</v>
      </c>
      <c r="CJ60">
        <v>1</v>
      </c>
      <c r="CK60">
        <v>0</v>
      </c>
      <c r="CL60">
        <v>0.96</v>
      </c>
      <c r="CM60">
        <v>0</v>
      </c>
      <c r="CN60">
        <v>0</v>
      </c>
      <c r="CO60">
        <v>0</v>
      </c>
      <c r="CP60">
        <v>0</v>
      </c>
      <c r="CQ60" t="s">
        <v>1664</v>
      </c>
      <c r="CR60" t="s">
        <v>1368</v>
      </c>
      <c r="CS60" t="s">
        <v>1665</v>
      </c>
      <c r="CT60" t="s">
        <v>1959</v>
      </c>
      <c r="CU60" t="s">
        <v>1966</v>
      </c>
      <c r="CV60" t="s">
        <v>2084</v>
      </c>
      <c r="DB60" t="s">
        <v>2074</v>
      </c>
      <c r="DE60" t="s">
        <v>1959</v>
      </c>
    </row>
    <row r="61" spans="1:109" x14ac:dyDescent="0.25">
      <c r="A61" t="s">
        <v>1664</v>
      </c>
      <c r="B61">
        <v>2</v>
      </c>
      <c r="C61" s="55">
        <v>42874</v>
      </c>
      <c r="D61" t="s">
        <v>1658</v>
      </c>
      <c r="E61" t="s">
        <v>2085</v>
      </c>
      <c r="G61" t="s">
        <v>1659</v>
      </c>
      <c r="H61" t="s">
        <v>1659</v>
      </c>
      <c r="I61" t="s">
        <v>1659</v>
      </c>
      <c r="J61" t="s">
        <v>1659</v>
      </c>
      <c r="K61" t="s">
        <v>1659</v>
      </c>
      <c r="L61">
        <v>0</v>
      </c>
      <c r="M61">
        <v>13.18</v>
      </c>
      <c r="N61">
        <v>0</v>
      </c>
      <c r="O61" s="55"/>
      <c r="P61" s="55"/>
      <c r="Q61">
        <v>13730</v>
      </c>
      <c r="R61">
        <v>15</v>
      </c>
      <c r="S61">
        <v>7</v>
      </c>
      <c r="T61">
        <v>3</v>
      </c>
      <c r="U61">
        <v>4</v>
      </c>
      <c r="V61">
        <v>1</v>
      </c>
      <c r="X61" t="s">
        <v>1981</v>
      </c>
      <c r="AA61">
        <v>0</v>
      </c>
      <c r="AB61">
        <v>0</v>
      </c>
      <c r="AC61">
        <v>0</v>
      </c>
      <c r="AD61">
        <v>0</v>
      </c>
      <c r="AE61">
        <v>0</v>
      </c>
      <c r="AF61">
        <v>0</v>
      </c>
      <c r="AG61">
        <v>0</v>
      </c>
      <c r="AJ61" s="55">
        <v>42666</v>
      </c>
      <c r="AK61" s="55"/>
      <c r="AL61" s="55"/>
      <c r="AO61">
        <v>1</v>
      </c>
      <c r="AP61" t="s">
        <v>1660</v>
      </c>
      <c r="AR61">
        <v>20</v>
      </c>
      <c r="AS61" t="s">
        <v>1661</v>
      </c>
      <c r="AT61">
        <v>1</v>
      </c>
      <c r="AV61">
        <v>0</v>
      </c>
      <c r="AW61">
        <v>0</v>
      </c>
      <c r="AX61">
        <v>0</v>
      </c>
      <c r="AY61" t="s">
        <v>1662</v>
      </c>
      <c r="AZ61" t="s">
        <v>1662</v>
      </c>
      <c r="BA61">
        <v>20</v>
      </c>
      <c r="BD61">
        <v>1000000000</v>
      </c>
      <c r="BE61">
        <v>0</v>
      </c>
      <c r="BF61">
        <v>0</v>
      </c>
      <c r="BG61">
        <v>0</v>
      </c>
      <c r="BH61">
        <v>0</v>
      </c>
      <c r="BI61">
        <v>0</v>
      </c>
      <c r="BJ61">
        <v>0</v>
      </c>
      <c r="BK61">
        <v>0</v>
      </c>
      <c r="BL61">
        <v>0</v>
      </c>
      <c r="BM61">
        <v>0</v>
      </c>
      <c r="BN61">
        <v>0</v>
      </c>
      <c r="BR61">
        <v>0</v>
      </c>
      <c r="BS61">
        <v>0</v>
      </c>
      <c r="BX61">
        <v>0</v>
      </c>
      <c r="BY61">
        <v>0</v>
      </c>
      <c r="BZ61">
        <v>0</v>
      </c>
      <c r="CA61">
        <v>0</v>
      </c>
      <c r="CC61">
        <v>0</v>
      </c>
      <c r="CD61" s="55">
        <v>42815</v>
      </c>
      <c r="CE61" s="55"/>
      <c r="CF61" s="55">
        <v>42825</v>
      </c>
      <c r="CG61" s="55">
        <v>42874</v>
      </c>
      <c r="CH61" s="55">
        <v>0</v>
      </c>
      <c r="CI61" s="55">
        <v>0</v>
      </c>
      <c r="CJ61">
        <v>1</v>
      </c>
      <c r="CK61">
        <v>0</v>
      </c>
      <c r="CL61">
        <v>0.96</v>
      </c>
      <c r="CM61">
        <v>0</v>
      </c>
      <c r="CN61">
        <v>0</v>
      </c>
      <c r="CO61">
        <v>0</v>
      </c>
      <c r="CP61">
        <v>0</v>
      </c>
      <c r="CQ61" t="s">
        <v>1664</v>
      </c>
      <c r="CR61" t="s">
        <v>1368</v>
      </c>
      <c r="CS61" t="s">
        <v>1665</v>
      </c>
      <c r="CT61" t="s">
        <v>1959</v>
      </c>
      <c r="CU61" t="s">
        <v>1966</v>
      </c>
      <c r="CV61" t="s">
        <v>2086</v>
      </c>
      <c r="DB61" t="s">
        <v>2074</v>
      </c>
      <c r="DE61" t="s">
        <v>1959</v>
      </c>
    </row>
    <row r="62" spans="1:109" x14ac:dyDescent="0.25">
      <c r="A62" t="s">
        <v>1664</v>
      </c>
      <c r="B62">
        <v>2</v>
      </c>
      <c r="C62" s="55">
        <v>42874</v>
      </c>
      <c r="D62" t="s">
        <v>1658</v>
      </c>
      <c r="E62" t="s">
        <v>2087</v>
      </c>
      <c r="G62" t="s">
        <v>1659</v>
      </c>
      <c r="H62" t="s">
        <v>1659</v>
      </c>
      <c r="I62" t="s">
        <v>1659</v>
      </c>
      <c r="J62" t="s">
        <v>1659</v>
      </c>
      <c r="K62" t="s">
        <v>1659</v>
      </c>
      <c r="L62">
        <v>0</v>
      </c>
      <c r="M62">
        <v>10.02</v>
      </c>
      <c r="N62">
        <v>0</v>
      </c>
      <c r="O62" s="55"/>
      <c r="P62" s="55"/>
      <c r="Q62">
        <v>13730</v>
      </c>
      <c r="R62">
        <v>15</v>
      </c>
      <c r="S62">
        <v>7</v>
      </c>
      <c r="T62">
        <v>3</v>
      </c>
      <c r="U62">
        <v>4</v>
      </c>
      <c r="V62">
        <v>1</v>
      </c>
      <c r="X62" t="s">
        <v>1981</v>
      </c>
      <c r="AA62">
        <v>0</v>
      </c>
      <c r="AB62">
        <v>0</v>
      </c>
      <c r="AC62">
        <v>0</v>
      </c>
      <c r="AD62">
        <v>0</v>
      </c>
      <c r="AE62">
        <v>0</v>
      </c>
      <c r="AF62">
        <v>0</v>
      </c>
      <c r="AG62">
        <v>0</v>
      </c>
      <c r="AJ62" s="55">
        <v>42666</v>
      </c>
      <c r="AK62" s="55"/>
      <c r="AL62" s="55"/>
      <c r="AO62">
        <v>1</v>
      </c>
      <c r="AP62" t="s">
        <v>1660</v>
      </c>
      <c r="AR62">
        <v>20</v>
      </c>
      <c r="AS62" t="s">
        <v>1661</v>
      </c>
      <c r="AT62">
        <v>1</v>
      </c>
      <c r="AV62">
        <v>0</v>
      </c>
      <c r="AW62">
        <v>0</v>
      </c>
      <c r="AX62">
        <v>0</v>
      </c>
      <c r="AY62" t="s">
        <v>1662</v>
      </c>
      <c r="AZ62" t="s">
        <v>1662</v>
      </c>
      <c r="BA62">
        <v>20</v>
      </c>
      <c r="BD62">
        <v>1000000000</v>
      </c>
      <c r="BE62">
        <v>0</v>
      </c>
      <c r="BF62">
        <v>0</v>
      </c>
      <c r="BG62">
        <v>0</v>
      </c>
      <c r="BH62">
        <v>0</v>
      </c>
      <c r="BI62">
        <v>0</v>
      </c>
      <c r="BJ62">
        <v>0</v>
      </c>
      <c r="BK62">
        <v>0</v>
      </c>
      <c r="BL62">
        <v>0</v>
      </c>
      <c r="BM62">
        <v>0</v>
      </c>
      <c r="BN62">
        <v>0</v>
      </c>
      <c r="BR62">
        <v>0</v>
      </c>
      <c r="BS62">
        <v>0</v>
      </c>
      <c r="BX62">
        <v>0</v>
      </c>
      <c r="BY62">
        <v>0</v>
      </c>
      <c r="BZ62">
        <v>0</v>
      </c>
      <c r="CA62">
        <v>0</v>
      </c>
      <c r="CC62">
        <v>0</v>
      </c>
      <c r="CD62" s="55">
        <v>42815</v>
      </c>
      <c r="CE62" s="55"/>
      <c r="CF62" s="55">
        <v>42825</v>
      </c>
      <c r="CG62" s="55">
        <v>42874</v>
      </c>
      <c r="CH62" s="55">
        <v>0</v>
      </c>
      <c r="CI62" s="55">
        <v>0</v>
      </c>
      <c r="CJ62">
        <v>1</v>
      </c>
      <c r="CK62">
        <v>0</v>
      </c>
      <c r="CL62">
        <v>0.96</v>
      </c>
      <c r="CM62">
        <v>0</v>
      </c>
      <c r="CN62">
        <v>0</v>
      </c>
      <c r="CO62">
        <v>0</v>
      </c>
      <c r="CP62">
        <v>0</v>
      </c>
      <c r="CQ62" t="s">
        <v>1664</v>
      </c>
      <c r="CR62" t="s">
        <v>1368</v>
      </c>
      <c r="CS62" t="s">
        <v>1665</v>
      </c>
      <c r="CT62" t="s">
        <v>1959</v>
      </c>
      <c r="CU62" t="s">
        <v>1966</v>
      </c>
      <c r="CV62" t="s">
        <v>2088</v>
      </c>
      <c r="DB62" t="s">
        <v>2089</v>
      </c>
      <c r="DE62" t="s">
        <v>1959</v>
      </c>
    </row>
    <row r="63" spans="1:109" x14ac:dyDescent="0.25">
      <c r="A63" t="s">
        <v>1664</v>
      </c>
      <c r="B63">
        <v>2</v>
      </c>
      <c r="C63" s="55">
        <v>42874</v>
      </c>
      <c r="D63" t="s">
        <v>1658</v>
      </c>
      <c r="E63" t="s">
        <v>2090</v>
      </c>
      <c r="G63" t="s">
        <v>1659</v>
      </c>
      <c r="H63" t="s">
        <v>1659</v>
      </c>
      <c r="I63" t="s">
        <v>1659</v>
      </c>
      <c r="J63" t="s">
        <v>1659</v>
      </c>
      <c r="K63" t="s">
        <v>1659</v>
      </c>
      <c r="L63">
        <v>0</v>
      </c>
      <c r="M63">
        <v>10.02</v>
      </c>
      <c r="N63">
        <v>0</v>
      </c>
      <c r="O63" s="55"/>
      <c r="P63" s="55"/>
      <c r="Q63">
        <v>13730</v>
      </c>
      <c r="R63">
        <v>15</v>
      </c>
      <c r="S63">
        <v>7</v>
      </c>
      <c r="T63">
        <v>3</v>
      </c>
      <c r="U63">
        <v>4</v>
      </c>
      <c r="V63">
        <v>1</v>
      </c>
      <c r="X63" t="s">
        <v>1981</v>
      </c>
      <c r="AA63">
        <v>0</v>
      </c>
      <c r="AB63">
        <v>0</v>
      </c>
      <c r="AC63">
        <v>0</v>
      </c>
      <c r="AD63">
        <v>0</v>
      </c>
      <c r="AE63">
        <v>0</v>
      </c>
      <c r="AF63">
        <v>0</v>
      </c>
      <c r="AG63">
        <v>0</v>
      </c>
      <c r="AJ63" s="55">
        <v>42666</v>
      </c>
      <c r="AK63" s="55"/>
      <c r="AL63" s="55"/>
      <c r="AO63">
        <v>1</v>
      </c>
      <c r="AP63" t="s">
        <v>1660</v>
      </c>
      <c r="AR63">
        <v>20</v>
      </c>
      <c r="AS63" t="s">
        <v>1661</v>
      </c>
      <c r="AT63">
        <v>1</v>
      </c>
      <c r="AV63">
        <v>0</v>
      </c>
      <c r="AW63">
        <v>0</v>
      </c>
      <c r="AX63">
        <v>0</v>
      </c>
      <c r="AY63" t="s">
        <v>1662</v>
      </c>
      <c r="AZ63" t="s">
        <v>1662</v>
      </c>
      <c r="BA63">
        <v>20</v>
      </c>
      <c r="BD63">
        <v>1000000000</v>
      </c>
      <c r="BE63">
        <v>0</v>
      </c>
      <c r="BF63">
        <v>0</v>
      </c>
      <c r="BG63">
        <v>0</v>
      </c>
      <c r="BH63">
        <v>0</v>
      </c>
      <c r="BI63">
        <v>0</v>
      </c>
      <c r="BJ63">
        <v>0</v>
      </c>
      <c r="BK63">
        <v>0</v>
      </c>
      <c r="BL63">
        <v>0</v>
      </c>
      <c r="BM63">
        <v>0</v>
      </c>
      <c r="BN63">
        <v>0</v>
      </c>
      <c r="BR63">
        <v>0</v>
      </c>
      <c r="BS63">
        <v>0</v>
      </c>
      <c r="BX63">
        <v>0</v>
      </c>
      <c r="BY63">
        <v>0</v>
      </c>
      <c r="BZ63">
        <v>0</v>
      </c>
      <c r="CA63">
        <v>0</v>
      </c>
      <c r="CC63">
        <v>0</v>
      </c>
      <c r="CD63" s="55">
        <v>42815</v>
      </c>
      <c r="CE63" s="55"/>
      <c r="CF63" s="55">
        <v>42825</v>
      </c>
      <c r="CG63" s="55">
        <v>42874</v>
      </c>
      <c r="CH63" s="55">
        <v>0</v>
      </c>
      <c r="CI63" s="55">
        <v>0</v>
      </c>
      <c r="CJ63">
        <v>1</v>
      </c>
      <c r="CK63">
        <v>0</v>
      </c>
      <c r="CL63">
        <v>0.96</v>
      </c>
      <c r="CM63">
        <v>0</v>
      </c>
      <c r="CN63">
        <v>0</v>
      </c>
      <c r="CO63">
        <v>0</v>
      </c>
      <c r="CP63">
        <v>0</v>
      </c>
      <c r="CQ63" t="s">
        <v>1664</v>
      </c>
      <c r="CR63" t="s">
        <v>1368</v>
      </c>
      <c r="CS63" t="s">
        <v>1665</v>
      </c>
      <c r="CT63" t="s">
        <v>1959</v>
      </c>
      <c r="CU63" t="s">
        <v>1966</v>
      </c>
      <c r="CV63" t="s">
        <v>2091</v>
      </c>
      <c r="DB63" t="s">
        <v>2089</v>
      </c>
      <c r="DE63" t="s">
        <v>1959</v>
      </c>
    </row>
    <row r="64" spans="1:109" x14ac:dyDescent="0.25">
      <c r="A64" t="s">
        <v>1664</v>
      </c>
      <c r="B64">
        <v>2</v>
      </c>
      <c r="C64" s="55">
        <v>42874</v>
      </c>
      <c r="D64" t="s">
        <v>1658</v>
      </c>
      <c r="E64" t="s">
        <v>2092</v>
      </c>
      <c r="G64" t="s">
        <v>1659</v>
      </c>
      <c r="H64" t="s">
        <v>1659</v>
      </c>
      <c r="I64" t="s">
        <v>1659</v>
      </c>
      <c r="J64" t="s">
        <v>1659</v>
      </c>
      <c r="K64" t="s">
        <v>1659</v>
      </c>
      <c r="L64">
        <v>0</v>
      </c>
      <c r="M64">
        <v>0</v>
      </c>
      <c r="N64">
        <v>0</v>
      </c>
      <c r="O64" s="55"/>
      <c r="P64" s="55"/>
      <c r="Q64">
        <v>13730</v>
      </c>
      <c r="R64">
        <v>15</v>
      </c>
      <c r="S64">
        <v>7</v>
      </c>
      <c r="T64">
        <v>3</v>
      </c>
      <c r="U64">
        <v>4</v>
      </c>
      <c r="V64">
        <v>1</v>
      </c>
      <c r="X64" t="s">
        <v>1981</v>
      </c>
      <c r="AA64">
        <v>0</v>
      </c>
      <c r="AB64">
        <v>0</v>
      </c>
      <c r="AC64">
        <v>0</v>
      </c>
      <c r="AD64">
        <v>0</v>
      </c>
      <c r="AE64">
        <v>0</v>
      </c>
      <c r="AF64">
        <v>0</v>
      </c>
      <c r="AG64">
        <v>0</v>
      </c>
      <c r="AJ64" s="55">
        <v>42666</v>
      </c>
      <c r="AK64" s="55"/>
      <c r="AL64" s="55"/>
      <c r="AO64">
        <v>1</v>
      </c>
      <c r="AP64" t="s">
        <v>1660</v>
      </c>
      <c r="AR64">
        <v>20</v>
      </c>
      <c r="AS64" t="s">
        <v>1661</v>
      </c>
      <c r="AT64">
        <v>1</v>
      </c>
      <c r="AV64">
        <v>0</v>
      </c>
      <c r="AW64">
        <v>0</v>
      </c>
      <c r="AX64">
        <v>0</v>
      </c>
      <c r="AY64" t="s">
        <v>1662</v>
      </c>
      <c r="AZ64" t="s">
        <v>1662</v>
      </c>
      <c r="BA64">
        <v>20</v>
      </c>
      <c r="BD64">
        <v>1000000000</v>
      </c>
      <c r="BE64">
        <v>0</v>
      </c>
      <c r="BF64">
        <v>0</v>
      </c>
      <c r="BG64">
        <v>0</v>
      </c>
      <c r="BH64">
        <v>0</v>
      </c>
      <c r="BI64">
        <v>0</v>
      </c>
      <c r="BJ64">
        <v>0</v>
      </c>
      <c r="BK64">
        <v>0</v>
      </c>
      <c r="BL64">
        <v>0</v>
      </c>
      <c r="BM64">
        <v>0</v>
      </c>
      <c r="BN64">
        <v>0</v>
      </c>
      <c r="BR64">
        <v>0</v>
      </c>
      <c r="BS64">
        <v>0</v>
      </c>
      <c r="BX64">
        <v>0</v>
      </c>
      <c r="BY64">
        <v>0</v>
      </c>
      <c r="BZ64">
        <v>0</v>
      </c>
      <c r="CA64">
        <v>0</v>
      </c>
      <c r="CC64">
        <v>0</v>
      </c>
      <c r="CD64" s="55">
        <v>42815</v>
      </c>
      <c r="CE64" s="55"/>
      <c r="CF64" s="55">
        <v>42825</v>
      </c>
      <c r="CG64" s="55">
        <v>42874</v>
      </c>
      <c r="CH64" s="55">
        <v>0</v>
      </c>
      <c r="CI64" s="55">
        <v>0</v>
      </c>
      <c r="CJ64">
        <v>1</v>
      </c>
      <c r="CK64">
        <v>0</v>
      </c>
      <c r="CL64">
        <v>0.96</v>
      </c>
      <c r="CM64">
        <v>0</v>
      </c>
      <c r="CN64">
        <v>0</v>
      </c>
      <c r="CO64">
        <v>0</v>
      </c>
      <c r="CP64">
        <v>0</v>
      </c>
      <c r="CQ64" t="s">
        <v>1664</v>
      </c>
      <c r="CR64" t="s">
        <v>1368</v>
      </c>
      <c r="CS64" t="s">
        <v>1665</v>
      </c>
      <c r="CT64" t="s">
        <v>1959</v>
      </c>
      <c r="CU64" t="s">
        <v>1966</v>
      </c>
      <c r="CV64" t="s">
        <v>2093</v>
      </c>
      <c r="DB64" t="s">
        <v>2089</v>
      </c>
      <c r="DE64" t="s">
        <v>1959</v>
      </c>
    </row>
    <row r="65" spans="1:109" x14ac:dyDescent="0.25">
      <c r="A65" t="s">
        <v>1664</v>
      </c>
      <c r="B65">
        <v>2</v>
      </c>
      <c r="C65" s="55">
        <v>42874</v>
      </c>
      <c r="D65" t="s">
        <v>1658</v>
      </c>
      <c r="E65" t="s">
        <v>2094</v>
      </c>
      <c r="G65" t="s">
        <v>1659</v>
      </c>
      <c r="H65" t="s">
        <v>1659</v>
      </c>
      <c r="I65" t="s">
        <v>1659</v>
      </c>
      <c r="J65" t="s">
        <v>1659</v>
      </c>
      <c r="K65" t="s">
        <v>1659</v>
      </c>
      <c r="L65">
        <v>3.26</v>
      </c>
      <c r="M65">
        <v>9.39</v>
      </c>
      <c r="N65">
        <v>0</v>
      </c>
      <c r="O65" s="55"/>
      <c r="P65" s="55"/>
      <c r="Q65">
        <v>13730</v>
      </c>
      <c r="R65">
        <v>15</v>
      </c>
      <c r="S65">
        <v>7</v>
      </c>
      <c r="T65">
        <v>3</v>
      </c>
      <c r="U65">
        <v>4</v>
      </c>
      <c r="V65">
        <v>1</v>
      </c>
      <c r="X65" t="s">
        <v>1981</v>
      </c>
      <c r="AA65">
        <v>0</v>
      </c>
      <c r="AB65">
        <v>0</v>
      </c>
      <c r="AC65">
        <v>0</v>
      </c>
      <c r="AD65">
        <v>0</v>
      </c>
      <c r="AE65">
        <v>0</v>
      </c>
      <c r="AF65">
        <v>0</v>
      </c>
      <c r="AG65">
        <v>0</v>
      </c>
      <c r="AJ65" s="55">
        <v>42666</v>
      </c>
      <c r="AK65" s="55"/>
      <c r="AL65" s="55"/>
      <c r="AO65">
        <v>1</v>
      </c>
      <c r="AP65" t="s">
        <v>1660</v>
      </c>
      <c r="AR65">
        <v>20</v>
      </c>
      <c r="AS65" t="s">
        <v>1661</v>
      </c>
      <c r="AT65">
        <v>1</v>
      </c>
      <c r="AV65">
        <v>0</v>
      </c>
      <c r="AW65">
        <v>0</v>
      </c>
      <c r="AX65">
        <v>0</v>
      </c>
      <c r="AY65" t="s">
        <v>1662</v>
      </c>
      <c r="AZ65" t="s">
        <v>1662</v>
      </c>
      <c r="BA65">
        <v>20</v>
      </c>
      <c r="BD65">
        <v>1000000000</v>
      </c>
      <c r="BE65">
        <v>57</v>
      </c>
      <c r="BF65">
        <v>0</v>
      </c>
      <c r="BG65">
        <v>0</v>
      </c>
      <c r="BH65">
        <v>0</v>
      </c>
      <c r="BI65">
        <v>0</v>
      </c>
      <c r="BJ65">
        <v>0</v>
      </c>
      <c r="BK65">
        <v>0</v>
      </c>
      <c r="BL65">
        <v>0</v>
      </c>
      <c r="BM65">
        <v>57</v>
      </c>
      <c r="BN65">
        <v>0</v>
      </c>
      <c r="BR65">
        <v>0</v>
      </c>
      <c r="BS65">
        <v>0</v>
      </c>
      <c r="BX65">
        <v>0</v>
      </c>
      <c r="BY65">
        <v>0</v>
      </c>
      <c r="BZ65">
        <v>0</v>
      </c>
      <c r="CA65">
        <v>0</v>
      </c>
      <c r="CC65">
        <v>0</v>
      </c>
      <c r="CD65" s="55">
        <v>42815</v>
      </c>
      <c r="CE65" s="55"/>
      <c r="CF65" s="55">
        <v>42825</v>
      </c>
      <c r="CG65" s="55">
        <v>42874</v>
      </c>
      <c r="CH65" s="55">
        <v>0</v>
      </c>
      <c r="CI65" s="55">
        <v>0</v>
      </c>
      <c r="CJ65">
        <v>0.01</v>
      </c>
      <c r="CK65">
        <v>0</v>
      </c>
      <c r="CL65">
        <v>0</v>
      </c>
      <c r="CM65">
        <v>0</v>
      </c>
      <c r="CN65">
        <v>0</v>
      </c>
      <c r="CO65">
        <v>0</v>
      </c>
      <c r="CP65">
        <v>0.96</v>
      </c>
      <c r="CQ65" t="s">
        <v>1664</v>
      </c>
      <c r="CR65" t="s">
        <v>1368</v>
      </c>
      <c r="CS65" t="s">
        <v>1665</v>
      </c>
      <c r="CT65" t="s">
        <v>1959</v>
      </c>
      <c r="CU65" t="s">
        <v>1966</v>
      </c>
      <c r="CV65" t="s">
        <v>2095</v>
      </c>
      <c r="DB65" t="s">
        <v>2089</v>
      </c>
      <c r="DE65" t="s">
        <v>1959</v>
      </c>
    </row>
    <row r="66" spans="1:109" x14ac:dyDescent="0.25">
      <c r="A66" t="s">
        <v>1664</v>
      </c>
      <c r="B66">
        <v>2</v>
      </c>
      <c r="C66" s="55">
        <v>42874</v>
      </c>
      <c r="D66" t="s">
        <v>1658</v>
      </c>
      <c r="E66" t="s">
        <v>2096</v>
      </c>
      <c r="G66" t="s">
        <v>1659</v>
      </c>
      <c r="H66" t="s">
        <v>1659</v>
      </c>
      <c r="I66" t="s">
        <v>1659</v>
      </c>
      <c r="J66" t="s">
        <v>1659</v>
      </c>
      <c r="K66" t="s">
        <v>1659</v>
      </c>
      <c r="L66">
        <v>0</v>
      </c>
      <c r="M66">
        <v>10.02</v>
      </c>
      <c r="N66">
        <v>0</v>
      </c>
      <c r="O66" s="55"/>
      <c r="P66" s="55"/>
      <c r="Q66">
        <v>13730</v>
      </c>
      <c r="R66">
        <v>15</v>
      </c>
      <c r="S66">
        <v>7</v>
      </c>
      <c r="T66">
        <v>3</v>
      </c>
      <c r="U66">
        <v>4</v>
      </c>
      <c r="V66">
        <v>1</v>
      </c>
      <c r="X66" t="s">
        <v>1981</v>
      </c>
      <c r="AA66">
        <v>0</v>
      </c>
      <c r="AB66">
        <v>0</v>
      </c>
      <c r="AC66">
        <v>0</v>
      </c>
      <c r="AD66">
        <v>0</v>
      </c>
      <c r="AE66">
        <v>0</v>
      </c>
      <c r="AF66">
        <v>0</v>
      </c>
      <c r="AG66">
        <v>0</v>
      </c>
      <c r="AJ66" s="55">
        <v>42666</v>
      </c>
      <c r="AK66" s="55"/>
      <c r="AL66" s="55"/>
      <c r="AO66">
        <v>1</v>
      </c>
      <c r="AP66" t="s">
        <v>1660</v>
      </c>
      <c r="AR66">
        <v>20</v>
      </c>
      <c r="AS66" t="s">
        <v>1661</v>
      </c>
      <c r="AT66">
        <v>1</v>
      </c>
      <c r="AV66">
        <v>0</v>
      </c>
      <c r="AW66">
        <v>0</v>
      </c>
      <c r="AX66">
        <v>0</v>
      </c>
      <c r="AY66" t="s">
        <v>1662</v>
      </c>
      <c r="AZ66" t="s">
        <v>1662</v>
      </c>
      <c r="BA66">
        <v>20</v>
      </c>
      <c r="BD66">
        <v>1000000000</v>
      </c>
      <c r="BE66">
        <v>0</v>
      </c>
      <c r="BF66">
        <v>0</v>
      </c>
      <c r="BG66">
        <v>0</v>
      </c>
      <c r="BH66">
        <v>0</v>
      </c>
      <c r="BI66">
        <v>0</v>
      </c>
      <c r="BJ66">
        <v>0</v>
      </c>
      <c r="BK66">
        <v>0</v>
      </c>
      <c r="BL66">
        <v>0</v>
      </c>
      <c r="BM66">
        <v>0</v>
      </c>
      <c r="BN66">
        <v>0</v>
      </c>
      <c r="BR66">
        <v>0</v>
      </c>
      <c r="BS66">
        <v>0</v>
      </c>
      <c r="BX66">
        <v>0</v>
      </c>
      <c r="BY66">
        <v>0</v>
      </c>
      <c r="BZ66">
        <v>0</v>
      </c>
      <c r="CA66">
        <v>0</v>
      </c>
      <c r="CC66">
        <v>0</v>
      </c>
      <c r="CD66" s="55">
        <v>42815</v>
      </c>
      <c r="CE66" s="55"/>
      <c r="CF66" s="55">
        <v>42825</v>
      </c>
      <c r="CG66" s="55">
        <v>42874</v>
      </c>
      <c r="CH66" s="55">
        <v>0</v>
      </c>
      <c r="CI66" s="55">
        <v>0</v>
      </c>
      <c r="CJ66">
        <v>1</v>
      </c>
      <c r="CK66">
        <v>0</v>
      </c>
      <c r="CL66">
        <v>0.96</v>
      </c>
      <c r="CM66">
        <v>0</v>
      </c>
      <c r="CN66">
        <v>0</v>
      </c>
      <c r="CO66">
        <v>0</v>
      </c>
      <c r="CP66">
        <v>0</v>
      </c>
      <c r="CQ66" t="s">
        <v>1664</v>
      </c>
      <c r="CR66" t="s">
        <v>1368</v>
      </c>
      <c r="CS66" t="s">
        <v>1665</v>
      </c>
      <c r="CT66" t="s">
        <v>1959</v>
      </c>
      <c r="CU66" t="s">
        <v>1966</v>
      </c>
      <c r="CV66" t="s">
        <v>2097</v>
      </c>
      <c r="DB66" t="s">
        <v>2089</v>
      </c>
      <c r="DE66" t="s">
        <v>1959</v>
      </c>
    </row>
    <row r="67" spans="1:109" x14ac:dyDescent="0.25">
      <c r="A67" t="s">
        <v>1664</v>
      </c>
      <c r="B67">
        <v>2</v>
      </c>
      <c r="C67" s="55">
        <v>42874</v>
      </c>
      <c r="D67" t="s">
        <v>1658</v>
      </c>
      <c r="E67" t="s">
        <v>2098</v>
      </c>
      <c r="G67" t="s">
        <v>1659</v>
      </c>
      <c r="H67" t="s">
        <v>1659</v>
      </c>
      <c r="I67" t="s">
        <v>1659</v>
      </c>
      <c r="J67" t="s">
        <v>1659</v>
      </c>
      <c r="K67" t="s">
        <v>1659</v>
      </c>
      <c r="L67">
        <v>3.51</v>
      </c>
      <c r="M67">
        <v>8.98</v>
      </c>
      <c r="N67">
        <v>0</v>
      </c>
      <c r="O67" s="55"/>
      <c r="P67" s="55"/>
      <c r="Q67">
        <v>13730</v>
      </c>
      <c r="R67">
        <v>15</v>
      </c>
      <c r="S67">
        <v>7</v>
      </c>
      <c r="T67">
        <v>3</v>
      </c>
      <c r="U67">
        <v>4</v>
      </c>
      <c r="V67">
        <v>1</v>
      </c>
      <c r="X67" t="s">
        <v>1981</v>
      </c>
      <c r="AA67">
        <v>0</v>
      </c>
      <c r="AB67">
        <v>0</v>
      </c>
      <c r="AC67">
        <v>0</v>
      </c>
      <c r="AD67">
        <v>0</v>
      </c>
      <c r="AE67">
        <v>0</v>
      </c>
      <c r="AF67">
        <v>0</v>
      </c>
      <c r="AG67">
        <v>0</v>
      </c>
      <c r="AJ67" s="55">
        <v>42796</v>
      </c>
      <c r="AK67" s="55">
        <v>42796</v>
      </c>
      <c r="AL67" s="55">
        <v>42796</v>
      </c>
      <c r="AO67">
        <v>1</v>
      </c>
      <c r="AP67" t="s">
        <v>1660</v>
      </c>
      <c r="AR67">
        <v>20</v>
      </c>
      <c r="AS67" t="s">
        <v>1661</v>
      </c>
      <c r="AT67">
        <v>1</v>
      </c>
      <c r="AV67">
        <v>0</v>
      </c>
      <c r="AW67">
        <v>0</v>
      </c>
      <c r="AX67">
        <v>0</v>
      </c>
      <c r="AY67" t="s">
        <v>1662</v>
      </c>
      <c r="AZ67" t="s">
        <v>1662</v>
      </c>
      <c r="BA67">
        <v>30</v>
      </c>
      <c r="BD67">
        <v>1000000000</v>
      </c>
      <c r="BE67">
        <v>7</v>
      </c>
      <c r="BF67">
        <v>0</v>
      </c>
      <c r="BG67">
        <v>0</v>
      </c>
      <c r="BH67">
        <v>0</v>
      </c>
      <c r="BI67">
        <v>0</v>
      </c>
      <c r="BJ67">
        <v>0</v>
      </c>
      <c r="BK67">
        <v>0</v>
      </c>
      <c r="BL67">
        <v>0</v>
      </c>
      <c r="BM67">
        <v>7</v>
      </c>
      <c r="BN67">
        <v>0</v>
      </c>
      <c r="BR67">
        <v>0</v>
      </c>
      <c r="BS67">
        <v>0</v>
      </c>
      <c r="BX67">
        <v>0</v>
      </c>
      <c r="BY67">
        <v>0</v>
      </c>
      <c r="BZ67">
        <v>0</v>
      </c>
      <c r="CA67">
        <v>0</v>
      </c>
      <c r="CC67">
        <v>0</v>
      </c>
      <c r="CD67" s="55">
        <v>42815</v>
      </c>
      <c r="CE67" s="55"/>
      <c r="CF67" s="55">
        <v>42825</v>
      </c>
      <c r="CG67" s="55">
        <v>42874</v>
      </c>
      <c r="CH67" s="55">
        <v>0</v>
      </c>
      <c r="CI67" s="55">
        <v>0</v>
      </c>
      <c r="CJ67">
        <v>0</v>
      </c>
      <c r="CK67">
        <v>0</v>
      </c>
      <c r="CL67">
        <v>0</v>
      </c>
      <c r="CM67">
        <v>0</v>
      </c>
      <c r="CN67">
        <v>0</v>
      </c>
      <c r="CO67">
        <v>0</v>
      </c>
      <c r="CP67">
        <v>0.96</v>
      </c>
      <c r="CQ67" t="s">
        <v>1664</v>
      </c>
      <c r="CR67" t="s">
        <v>1368</v>
      </c>
      <c r="CS67" t="s">
        <v>1665</v>
      </c>
      <c r="CT67" t="s">
        <v>1959</v>
      </c>
      <c r="CU67" t="s">
        <v>1966</v>
      </c>
      <c r="CV67" t="s">
        <v>2099</v>
      </c>
      <c r="DB67" t="s">
        <v>2089</v>
      </c>
      <c r="DE67" t="s">
        <v>1959</v>
      </c>
    </row>
    <row r="68" spans="1:109" x14ac:dyDescent="0.25">
      <c r="A68" t="s">
        <v>1664</v>
      </c>
      <c r="B68">
        <v>2</v>
      </c>
      <c r="C68" s="55">
        <v>42874</v>
      </c>
      <c r="D68" t="s">
        <v>1658</v>
      </c>
      <c r="E68" t="s">
        <v>2100</v>
      </c>
      <c r="G68" t="s">
        <v>1659</v>
      </c>
      <c r="H68" t="s">
        <v>1659</v>
      </c>
      <c r="I68" t="s">
        <v>1659</v>
      </c>
      <c r="J68" t="s">
        <v>1659</v>
      </c>
      <c r="K68" t="s">
        <v>1659</v>
      </c>
      <c r="L68">
        <v>3.65</v>
      </c>
      <c r="M68">
        <v>9.39</v>
      </c>
      <c r="N68">
        <v>0</v>
      </c>
      <c r="O68" s="55"/>
      <c r="P68" s="55"/>
      <c r="Q68">
        <v>13730</v>
      </c>
      <c r="R68">
        <v>15</v>
      </c>
      <c r="S68">
        <v>7</v>
      </c>
      <c r="T68">
        <v>3</v>
      </c>
      <c r="U68">
        <v>4</v>
      </c>
      <c r="V68">
        <v>1</v>
      </c>
      <c r="X68" t="s">
        <v>1981</v>
      </c>
      <c r="AA68">
        <v>0</v>
      </c>
      <c r="AB68">
        <v>0</v>
      </c>
      <c r="AC68">
        <v>0</v>
      </c>
      <c r="AD68">
        <v>0</v>
      </c>
      <c r="AE68">
        <v>0</v>
      </c>
      <c r="AF68">
        <v>0</v>
      </c>
      <c r="AG68">
        <v>0</v>
      </c>
      <c r="AJ68" s="55">
        <v>42666</v>
      </c>
      <c r="AK68" s="55"/>
      <c r="AL68" s="55"/>
      <c r="AO68">
        <v>1</v>
      </c>
      <c r="AP68" t="s">
        <v>1660</v>
      </c>
      <c r="AR68">
        <v>20</v>
      </c>
      <c r="AS68" t="s">
        <v>1661</v>
      </c>
      <c r="AT68">
        <v>1</v>
      </c>
      <c r="AV68">
        <v>0</v>
      </c>
      <c r="AW68">
        <v>0</v>
      </c>
      <c r="AX68">
        <v>0</v>
      </c>
      <c r="AY68" t="s">
        <v>1662</v>
      </c>
      <c r="AZ68" t="s">
        <v>1662</v>
      </c>
      <c r="BA68">
        <v>20</v>
      </c>
      <c r="BD68">
        <v>1000000000</v>
      </c>
      <c r="BE68">
        <v>1</v>
      </c>
      <c r="BF68">
        <v>0</v>
      </c>
      <c r="BG68">
        <v>0</v>
      </c>
      <c r="BH68">
        <v>0</v>
      </c>
      <c r="BI68">
        <v>0</v>
      </c>
      <c r="BJ68">
        <v>0</v>
      </c>
      <c r="BK68">
        <v>0</v>
      </c>
      <c r="BL68">
        <v>0</v>
      </c>
      <c r="BM68">
        <v>1</v>
      </c>
      <c r="BN68">
        <v>0</v>
      </c>
      <c r="BR68">
        <v>0</v>
      </c>
      <c r="BS68">
        <v>0</v>
      </c>
      <c r="BX68">
        <v>0</v>
      </c>
      <c r="BY68">
        <v>0</v>
      </c>
      <c r="BZ68">
        <v>0</v>
      </c>
      <c r="CA68">
        <v>0</v>
      </c>
      <c r="CC68">
        <v>0</v>
      </c>
      <c r="CD68" s="55">
        <v>42815</v>
      </c>
      <c r="CE68" s="55"/>
      <c r="CF68" s="55">
        <v>42825</v>
      </c>
      <c r="CG68" s="55">
        <v>42874</v>
      </c>
      <c r="CH68" s="55">
        <v>0</v>
      </c>
      <c r="CI68" s="55">
        <v>0</v>
      </c>
      <c r="CJ68">
        <v>0</v>
      </c>
      <c r="CK68">
        <v>0</v>
      </c>
      <c r="CL68">
        <v>0</v>
      </c>
      <c r="CM68">
        <v>0</v>
      </c>
      <c r="CN68">
        <v>0</v>
      </c>
      <c r="CO68">
        <v>0</v>
      </c>
      <c r="CP68">
        <v>0.96</v>
      </c>
      <c r="CQ68" t="s">
        <v>1664</v>
      </c>
      <c r="CR68" t="s">
        <v>1368</v>
      </c>
      <c r="CS68" t="s">
        <v>1665</v>
      </c>
      <c r="CT68" t="s">
        <v>1959</v>
      </c>
      <c r="CU68" t="s">
        <v>1966</v>
      </c>
      <c r="CV68" t="s">
        <v>2101</v>
      </c>
      <c r="DB68" t="s">
        <v>2089</v>
      </c>
      <c r="DE68" t="s">
        <v>1959</v>
      </c>
    </row>
    <row r="69" spans="1:109" x14ac:dyDescent="0.25">
      <c r="A69" t="s">
        <v>1664</v>
      </c>
      <c r="B69">
        <v>2</v>
      </c>
      <c r="C69" s="55">
        <v>42874</v>
      </c>
      <c r="D69" t="s">
        <v>1658</v>
      </c>
      <c r="E69" t="s">
        <v>2102</v>
      </c>
      <c r="G69" t="s">
        <v>1659</v>
      </c>
      <c r="H69" t="s">
        <v>1659</v>
      </c>
      <c r="I69" t="s">
        <v>1659</v>
      </c>
      <c r="J69" t="s">
        <v>1659</v>
      </c>
      <c r="K69" t="s">
        <v>1659</v>
      </c>
      <c r="L69">
        <v>0</v>
      </c>
      <c r="M69">
        <v>10.02</v>
      </c>
      <c r="N69">
        <v>0</v>
      </c>
      <c r="O69" s="55"/>
      <c r="P69" s="55"/>
      <c r="Q69">
        <v>13730</v>
      </c>
      <c r="R69">
        <v>15</v>
      </c>
      <c r="S69">
        <v>7</v>
      </c>
      <c r="T69">
        <v>3</v>
      </c>
      <c r="U69">
        <v>4</v>
      </c>
      <c r="V69">
        <v>1</v>
      </c>
      <c r="X69" t="s">
        <v>1981</v>
      </c>
      <c r="AA69">
        <v>0</v>
      </c>
      <c r="AB69">
        <v>0</v>
      </c>
      <c r="AC69">
        <v>0</v>
      </c>
      <c r="AD69">
        <v>0</v>
      </c>
      <c r="AE69">
        <v>0</v>
      </c>
      <c r="AF69">
        <v>0</v>
      </c>
      <c r="AG69">
        <v>0</v>
      </c>
      <c r="AJ69" s="55">
        <v>42666</v>
      </c>
      <c r="AK69" s="55"/>
      <c r="AL69" s="55"/>
      <c r="AO69">
        <v>1</v>
      </c>
      <c r="AP69" t="s">
        <v>1660</v>
      </c>
      <c r="AR69">
        <v>20</v>
      </c>
      <c r="AS69" t="s">
        <v>1661</v>
      </c>
      <c r="AT69">
        <v>1</v>
      </c>
      <c r="AV69">
        <v>0</v>
      </c>
      <c r="AW69">
        <v>0</v>
      </c>
      <c r="AX69">
        <v>0</v>
      </c>
      <c r="AY69" t="s">
        <v>1662</v>
      </c>
      <c r="AZ69" t="s">
        <v>1662</v>
      </c>
      <c r="BA69">
        <v>20</v>
      </c>
      <c r="BD69">
        <v>1000000000</v>
      </c>
      <c r="BE69">
        <v>0</v>
      </c>
      <c r="BF69">
        <v>0</v>
      </c>
      <c r="BG69">
        <v>0</v>
      </c>
      <c r="BH69">
        <v>0</v>
      </c>
      <c r="BI69">
        <v>0</v>
      </c>
      <c r="BJ69">
        <v>0</v>
      </c>
      <c r="BK69">
        <v>0</v>
      </c>
      <c r="BL69">
        <v>0</v>
      </c>
      <c r="BM69">
        <v>0</v>
      </c>
      <c r="BN69">
        <v>0</v>
      </c>
      <c r="BR69">
        <v>0</v>
      </c>
      <c r="BS69">
        <v>0</v>
      </c>
      <c r="BX69">
        <v>0</v>
      </c>
      <c r="BY69">
        <v>0</v>
      </c>
      <c r="BZ69">
        <v>0</v>
      </c>
      <c r="CA69">
        <v>0</v>
      </c>
      <c r="CC69">
        <v>0</v>
      </c>
      <c r="CD69" s="55">
        <v>42815</v>
      </c>
      <c r="CE69" s="55"/>
      <c r="CF69" s="55">
        <v>42825</v>
      </c>
      <c r="CG69" s="55">
        <v>42874</v>
      </c>
      <c r="CH69" s="55">
        <v>0</v>
      </c>
      <c r="CI69" s="55">
        <v>0</v>
      </c>
      <c r="CJ69">
        <v>1</v>
      </c>
      <c r="CK69">
        <v>0</v>
      </c>
      <c r="CL69">
        <v>0.96</v>
      </c>
      <c r="CM69">
        <v>0</v>
      </c>
      <c r="CN69">
        <v>0</v>
      </c>
      <c r="CO69">
        <v>0</v>
      </c>
      <c r="CP69">
        <v>0</v>
      </c>
      <c r="CQ69" t="s">
        <v>1664</v>
      </c>
      <c r="CR69" t="s">
        <v>1368</v>
      </c>
      <c r="CS69" t="s">
        <v>1665</v>
      </c>
      <c r="CT69" t="s">
        <v>1959</v>
      </c>
      <c r="CU69" t="s">
        <v>1966</v>
      </c>
      <c r="CV69" t="s">
        <v>2103</v>
      </c>
      <c r="DB69" t="s">
        <v>2089</v>
      </c>
      <c r="DE69" t="s">
        <v>1959</v>
      </c>
    </row>
    <row r="70" spans="1:109" x14ac:dyDescent="0.25">
      <c r="A70" t="s">
        <v>1664</v>
      </c>
      <c r="B70">
        <v>2</v>
      </c>
      <c r="C70" s="55">
        <v>42874</v>
      </c>
      <c r="D70" t="s">
        <v>1658</v>
      </c>
      <c r="E70" t="s">
        <v>2104</v>
      </c>
      <c r="G70" t="s">
        <v>1659</v>
      </c>
      <c r="H70" t="s">
        <v>1659</v>
      </c>
      <c r="I70" t="s">
        <v>1659</v>
      </c>
      <c r="J70" t="s">
        <v>1659</v>
      </c>
      <c r="K70" t="s">
        <v>1659</v>
      </c>
      <c r="L70">
        <v>0</v>
      </c>
      <c r="M70">
        <v>18.440000000000001</v>
      </c>
      <c r="N70">
        <v>0</v>
      </c>
      <c r="O70" s="55"/>
      <c r="P70" s="55"/>
      <c r="Q70">
        <v>13730</v>
      </c>
      <c r="R70">
        <v>15</v>
      </c>
      <c r="S70">
        <v>7</v>
      </c>
      <c r="T70">
        <v>3</v>
      </c>
      <c r="U70">
        <v>4</v>
      </c>
      <c r="V70">
        <v>1</v>
      </c>
      <c r="X70" t="s">
        <v>1981</v>
      </c>
      <c r="AA70">
        <v>0</v>
      </c>
      <c r="AB70">
        <v>0</v>
      </c>
      <c r="AC70">
        <v>0</v>
      </c>
      <c r="AD70">
        <v>0</v>
      </c>
      <c r="AE70">
        <v>0</v>
      </c>
      <c r="AF70">
        <v>0</v>
      </c>
      <c r="AG70">
        <v>0</v>
      </c>
      <c r="AJ70" s="55">
        <v>42666</v>
      </c>
      <c r="AK70" s="55"/>
      <c r="AL70" s="55"/>
      <c r="AO70">
        <v>1</v>
      </c>
      <c r="AP70" t="s">
        <v>1660</v>
      </c>
      <c r="AR70">
        <v>10</v>
      </c>
      <c r="AS70" t="s">
        <v>1661</v>
      </c>
      <c r="AT70">
        <v>1</v>
      </c>
      <c r="AV70">
        <v>0</v>
      </c>
      <c r="AW70">
        <v>0</v>
      </c>
      <c r="AX70">
        <v>0</v>
      </c>
      <c r="AY70" t="s">
        <v>1662</v>
      </c>
      <c r="AZ70" t="s">
        <v>1662</v>
      </c>
      <c r="BA70">
        <v>10</v>
      </c>
      <c r="BD70">
        <v>1000000000</v>
      </c>
      <c r="BE70">
        <v>0</v>
      </c>
      <c r="BF70">
        <v>0</v>
      </c>
      <c r="BG70">
        <v>0</v>
      </c>
      <c r="BH70">
        <v>0</v>
      </c>
      <c r="BI70">
        <v>0</v>
      </c>
      <c r="BJ70">
        <v>0</v>
      </c>
      <c r="BK70">
        <v>0</v>
      </c>
      <c r="BL70">
        <v>0</v>
      </c>
      <c r="BM70">
        <v>0</v>
      </c>
      <c r="BN70">
        <v>0</v>
      </c>
      <c r="BR70">
        <v>0</v>
      </c>
      <c r="BS70">
        <v>0</v>
      </c>
      <c r="BX70">
        <v>0</v>
      </c>
      <c r="BY70">
        <v>0</v>
      </c>
      <c r="BZ70">
        <v>0</v>
      </c>
      <c r="CA70">
        <v>0</v>
      </c>
      <c r="CC70">
        <v>0</v>
      </c>
      <c r="CD70" s="55">
        <v>42815</v>
      </c>
      <c r="CE70" s="55"/>
      <c r="CF70" s="55">
        <v>42825</v>
      </c>
      <c r="CG70" s="55">
        <v>42874</v>
      </c>
      <c r="CH70" s="55">
        <v>0</v>
      </c>
      <c r="CI70" s="55">
        <v>0</v>
      </c>
      <c r="CJ70">
        <v>1</v>
      </c>
      <c r="CK70">
        <v>0</v>
      </c>
      <c r="CL70">
        <v>0.96</v>
      </c>
      <c r="CM70">
        <v>0</v>
      </c>
      <c r="CN70">
        <v>0</v>
      </c>
      <c r="CO70">
        <v>0</v>
      </c>
      <c r="CP70">
        <v>0</v>
      </c>
      <c r="CQ70" t="s">
        <v>1664</v>
      </c>
      <c r="CR70" t="s">
        <v>1368</v>
      </c>
      <c r="CS70" t="s">
        <v>1665</v>
      </c>
      <c r="CT70" t="s">
        <v>1959</v>
      </c>
      <c r="CU70" t="s">
        <v>1966</v>
      </c>
      <c r="CV70" t="s">
        <v>2105</v>
      </c>
      <c r="DB70" t="s">
        <v>2106</v>
      </c>
      <c r="DE70" t="s">
        <v>1959</v>
      </c>
    </row>
    <row r="71" spans="1:109" x14ac:dyDescent="0.25">
      <c r="A71" t="s">
        <v>1664</v>
      </c>
      <c r="B71">
        <v>2</v>
      </c>
      <c r="C71" s="55">
        <v>42874</v>
      </c>
      <c r="D71" t="s">
        <v>1658</v>
      </c>
      <c r="E71" t="s">
        <v>2107</v>
      </c>
      <c r="G71" t="s">
        <v>1659</v>
      </c>
      <c r="H71" t="s">
        <v>1659</v>
      </c>
      <c r="I71" t="s">
        <v>1659</v>
      </c>
      <c r="J71" t="s">
        <v>1659</v>
      </c>
      <c r="K71" t="s">
        <v>1659</v>
      </c>
      <c r="L71">
        <v>0</v>
      </c>
      <c r="M71">
        <v>18.440000000000001</v>
      </c>
      <c r="N71">
        <v>0</v>
      </c>
      <c r="O71" s="55"/>
      <c r="P71" s="55"/>
      <c r="Q71">
        <v>13730</v>
      </c>
      <c r="R71">
        <v>15</v>
      </c>
      <c r="S71">
        <v>7</v>
      </c>
      <c r="T71">
        <v>3</v>
      </c>
      <c r="U71">
        <v>4</v>
      </c>
      <c r="V71">
        <v>1</v>
      </c>
      <c r="X71" t="s">
        <v>1981</v>
      </c>
      <c r="AA71">
        <v>0</v>
      </c>
      <c r="AB71">
        <v>0</v>
      </c>
      <c r="AC71">
        <v>0</v>
      </c>
      <c r="AD71">
        <v>0</v>
      </c>
      <c r="AE71">
        <v>0</v>
      </c>
      <c r="AF71">
        <v>0</v>
      </c>
      <c r="AG71">
        <v>0</v>
      </c>
      <c r="AJ71" s="55">
        <v>42666</v>
      </c>
      <c r="AK71" s="55"/>
      <c r="AL71" s="55"/>
      <c r="AO71">
        <v>1</v>
      </c>
      <c r="AP71" t="s">
        <v>1660</v>
      </c>
      <c r="AR71">
        <v>10</v>
      </c>
      <c r="AS71" t="s">
        <v>1661</v>
      </c>
      <c r="AT71">
        <v>1</v>
      </c>
      <c r="AV71">
        <v>0</v>
      </c>
      <c r="AW71">
        <v>0</v>
      </c>
      <c r="AX71">
        <v>0</v>
      </c>
      <c r="AY71" t="s">
        <v>1662</v>
      </c>
      <c r="AZ71" t="s">
        <v>1662</v>
      </c>
      <c r="BA71">
        <v>10</v>
      </c>
      <c r="BD71">
        <v>1000000000</v>
      </c>
      <c r="BE71">
        <v>0</v>
      </c>
      <c r="BF71">
        <v>0</v>
      </c>
      <c r="BG71">
        <v>0</v>
      </c>
      <c r="BH71">
        <v>0</v>
      </c>
      <c r="BI71">
        <v>0</v>
      </c>
      <c r="BJ71">
        <v>0</v>
      </c>
      <c r="BK71">
        <v>0</v>
      </c>
      <c r="BL71">
        <v>0</v>
      </c>
      <c r="BM71">
        <v>0</v>
      </c>
      <c r="BN71">
        <v>0</v>
      </c>
      <c r="BR71">
        <v>0</v>
      </c>
      <c r="BS71">
        <v>0</v>
      </c>
      <c r="BX71">
        <v>0</v>
      </c>
      <c r="BY71">
        <v>0</v>
      </c>
      <c r="BZ71">
        <v>0</v>
      </c>
      <c r="CA71">
        <v>0</v>
      </c>
      <c r="CC71">
        <v>0</v>
      </c>
      <c r="CD71" s="55">
        <v>42815</v>
      </c>
      <c r="CE71" s="55"/>
      <c r="CF71" s="55">
        <v>42825</v>
      </c>
      <c r="CG71" s="55">
        <v>42874</v>
      </c>
      <c r="CH71" s="55">
        <v>0</v>
      </c>
      <c r="CI71" s="55">
        <v>0</v>
      </c>
      <c r="CJ71">
        <v>1</v>
      </c>
      <c r="CK71">
        <v>0</v>
      </c>
      <c r="CL71">
        <v>0.96</v>
      </c>
      <c r="CM71">
        <v>0</v>
      </c>
      <c r="CN71">
        <v>0</v>
      </c>
      <c r="CO71">
        <v>0</v>
      </c>
      <c r="CP71">
        <v>0</v>
      </c>
      <c r="CQ71" t="s">
        <v>1664</v>
      </c>
      <c r="CR71" t="s">
        <v>1368</v>
      </c>
      <c r="CS71" t="s">
        <v>1665</v>
      </c>
      <c r="CT71" t="s">
        <v>1959</v>
      </c>
      <c r="CU71" t="s">
        <v>1966</v>
      </c>
      <c r="CV71" t="s">
        <v>2108</v>
      </c>
      <c r="DB71" t="s">
        <v>2106</v>
      </c>
      <c r="DE71" t="s">
        <v>1959</v>
      </c>
    </row>
    <row r="72" spans="1:109" x14ac:dyDescent="0.25">
      <c r="A72" t="s">
        <v>1664</v>
      </c>
      <c r="B72">
        <v>2</v>
      </c>
      <c r="C72" s="55">
        <v>42874</v>
      </c>
      <c r="D72" t="s">
        <v>1658</v>
      </c>
      <c r="E72" t="s">
        <v>2109</v>
      </c>
      <c r="G72" t="s">
        <v>1659</v>
      </c>
      <c r="H72" t="s">
        <v>1659</v>
      </c>
      <c r="I72" t="s">
        <v>1659</v>
      </c>
      <c r="J72" t="s">
        <v>1659</v>
      </c>
      <c r="K72" t="s">
        <v>1659</v>
      </c>
      <c r="L72">
        <v>0</v>
      </c>
      <c r="M72">
        <v>0</v>
      </c>
      <c r="N72">
        <v>0</v>
      </c>
      <c r="O72" s="55"/>
      <c r="P72" s="55"/>
      <c r="Q72">
        <v>13730</v>
      </c>
      <c r="R72">
        <v>15</v>
      </c>
      <c r="S72">
        <v>7</v>
      </c>
      <c r="T72">
        <v>3</v>
      </c>
      <c r="U72">
        <v>4</v>
      </c>
      <c r="V72">
        <v>1</v>
      </c>
      <c r="X72" t="s">
        <v>1981</v>
      </c>
      <c r="AA72">
        <v>0</v>
      </c>
      <c r="AB72">
        <v>0</v>
      </c>
      <c r="AC72">
        <v>0</v>
      </c>
      <c r="AD72">
        <v>0</v>
      </c>
      <c r="AE72">
        <v>0</v>
      </c>
      <c r="AF72">
        <v>0</v>
      </c>
      <c r="AG72">
        <v>0</v>
      </c>
      <c r="AJ72" s="55">
        <v>42666</v>
      </c>
      <c r="AK72" s="55"/>
      <c r="AL72" s="55"/>
      <c r="AO72">
        <v>1</v>
      </c>
      <c r="AP72" t="s">
        <v>1660</v>
      </c>
      <c r="AR72">
        <v>10</v>
      </c>
      <c r="AS72" t="s">
        <v>1661</v>
      </c>
      <c r="AT72">
        <v>1</v>
      </c>
      <c r="AV72">
        <v>0</v>
      </c>
      <c r="AW72">
        <v>0</v>
      </c>
      <c r="AX72">
        <v>0</v>
      </c>
      <c r="AY72" t="s">
        <v>1662</v>
      </c>
      <c r="AZ72" t="s">
        <v>1662</v>
      </c>
      <c r="BA72">
        <v>10</v>
      </c>
      <c r="BD72">
        <v>1000000000</v>
      </c>
      <c r="BE72">
        <v>0</v>
      </c>
      <c r="BF72">
        <v>0</v>
      </c>
      <c r="BG72">
        <v>0</v>
      </c>
      <c r="BH72">
        <v>0</v>
      </c>
      <c r="BI72">
        <v>0</v>
      </c>
      <c r="BJ72">
        <v>0</v>
      </c>
      <c r="BK72">
        <v>0</v>
      </c>
      <c r="BL72">
        <v>0</v>
      </c>
      <c r="BM72">
        <v>0</v>
      </c>
      <c r="BN72">
        <v>0</v>
      </c>
      <c r="BR72">
        <v>0</v>
      </c>
      <c r="BS72">
        <v>0</v>
      </c>
      <c r="BX72">
        <v>0</v>
      </c>
      <c r="BY72">
        <v>0</v>
      </c>
      <c r="BZ72">
        <v>0</v>
      </c>
      <c r="CA72">
        <v>0</v>
      </c>
      <c r="CC72">
        <v>0</v>
      </c>
      <c r="CD72" s="55">
        <v>42815</v>
      </c>
      <c r="CE72" s="55"/>
      <c r="CF72" s="55">
        <v>42825</v>
      </c>
      <c r="CG72" s="55">
        <v>42874</v>
      </c>
      <c r="CH72" s="55">
        <v>0</v>
      </c>
      <c r="CI72" s="55">
        <v>0</v>
      </c>
      <c r="CJ72">
        <v>1</v>
      </c>
      <c r="CK72">
        <v>0</v>
      </c>
      <c r="CL72">
        <v>0.96</v>
      </c>
      <c r="CM72">
        <v>0</v>
      </c>
      <c r="CN72">
        <v>0</v>
      </c>
      <c r="CO72">
        <v>0</v>
      </c>
      <c r="CP72">
        <v>0</v>
      </c>
      <c r="CQ72" t="s">
        <v>1664</v>
      </c>
      <c r="CR72" t="s">
        <v>1368</v>
      </c>
      <c r="CS72" t="s">
        <v>1665</v>
      </c>
      <c r="CT72" t="s">
        <v>1959</v>
      </c>
      <c r="CU72" t="s">
        <v>1966</v>
      </c>
      <c r="CV72" t="s">
        <v>2110</v>
      </c>
      <c r="DB72" t="s">
        <v>2106</v>
      </c>
      <c r="DE72" t="s">
        <v>1959</v>
      </c>
    </row>
    <row r="73" spans="1:109" x14ac:dyDescent="0.25">
      <c r="A73" t="s">
        <v>1664</v>
      </c>
      <c r="B73">
        <v>2</v>
      </c>
      <c r="C73" s="55">
        <v>42874</v>
      </c>
      <c r="D73" t="s">
        <v>1658</v>
      </c>
      <c r="E73" t="s">
        <v>2111</v>
      </c>
      <c r="G73" t="s">
        <v>1659</v>
      </c>
      <c r="H73" t="s">
        <v>1659</v>
      </c>
      <c r="I73" t="s">
        <v>1659</v>
      </c>
      <c r="J73" t="s">
        <v>1659</v>
      </c>
      <c r="K73" t="s">
        <v>1659</v>
      </c>
      <c r="L73">
        <v>0</v>
      </c>
      <c r="M73">
        <v>18.440000000000001</v>
      </c>
      <c r="N73">
        <v>0</v>
      </c>
      <c r="O73" s="55"/>
      <c r="P73" s="55"/>
      <c r="Q73">
        <v>13730</v>
      </c>
      <c r="R73">
        <v>15</v>
      </c>
      <c r="S73">
        <v>7</v>
      </c>
      <c r="T73">
        <v>3</v>
      </c>
      <c r="U73">
        <v>4</v>
      </c>
      <c r="V73">
        <v>1</v>
      </c>
      <c r="X73" t="s">
        <v>1981</v>
      </c>
      <c r="AA73">
        <v>0</v>
      </c>
      <c r="AB73">
        <v>0</v>
      </c>
      <c r="AC73">
        <v>0</v>
      </c>
      <c r="AD73">
        <v>0</v>
      </c>
      <c r="AE73">
        <v>0</v>
      </c>
      <c r="AF73">
        <v>0</v>
      </c>
      <c r="AG73">
        <v>0</v>
      </c>
      <c r="AJ73" s="55">
        <v>42666</v>
      </c>
      <c r="AK73" s="55"/>
      <c r="AL73" s="55"/>
      <c r="AO73">
        <v>1</v>
      </c>
      <c r="AP73" t="s">
        <v>1660</v>
      </c>
      <c r="AR73">
        <v>10</v>
      </c>
      <c r="AS73" t="s">
        <v>1661</v>
      </c>
      <c r="AT73">
        <v>1</v>
      </c>
      <c r="AV73">
        <v>0</v>
      </c>
      <c r="AW73">
        <v>0</v>
      </c>
      <c r="AX73">
        <v>0</v>
      </c>
      <c r="AY73" t="s">
        <v>1662</v>
      </c>
      <c r="AZ73" t="s">
        <v>1662</v>
      </c>
      <c r="BA73">
        <v>10</v>
      </c>
      <c r="BD73">
        <v>1000000000</v>
      </c>
      <c r="BE73">
        <v>0</v>
      </c>
      <c r="BF73">
        <v>0</v>
      </c>
      <c r="BG73">
        <v>0</v>
      </c>
      <c r="BH73">
        <v>0</v>
      </c>
      <c r="BI73">
        <v>0</v>
      </c>
      <c r="BJ73">
        <v>0</v>
      </c>
      <c r="BK73">
        <v>0</v>
      </c>
      <c r="BL73">
        <v>0</v>
      </c>
      <c r="BM73">
        <v>0</v>
      </c>
      <c r="BN73">
        <v>0</v>
      </c>
      <c r="BR73">
        <v>0</v>
      </c>
      <c r="BS73">
        <v>0</v>
      </c>
      <c r="BX73">
        <v>0</v>
      </c>
      <c r="BY73">
        <v>0</v>
      </c>
      <c r="BZ73">
        <v>0</v>
      </c>
      <c r="CA73">
        <v>0</v>
      </c>
      <c r="CC73">
        <v>0</v>
      </c>
      <c r="CD73" s="55">
        <v>42815</v>
      </c>
      <c r="CE73" s="55"/>
      <c r="CF73" s="55">
        <v>42825</v>
      </c>
      <c r="CG73" s="55">
        <v>42874</v>
      </c>
      <c r="CH73" s="55">
        <v>0</v>
      </c>
      <c r="CI73" s="55">
        <v>0</v>
      </c>
      <c r="CJ73">
        <v>1</v>
      </c>
      <c r="CK73">
        <v>0</v>
      </c>
      <c r="CL73">
        <v>0.96</v>
      </c>
      <c r="CM73">
        <v>0</v>
      </c>
      <c r="CN73">
        <v>0</v>
      </c>
      <c r="CO73">
        <v>0</v>
      </c>
      <c r="CP73">
        <v>0</v>
      </c>
      <c r="CQ73" t="s">
        <v>1664</v>
      </c>
      <c r="CR73" t="s">
        <v>1368</v>
      </c>
      <c r="CS73" t="s">
        <v>1665</v>
      </c>
      <c r="CT73" t="s">
        <v>1959</v>
      </c>
      <c r="CU73" t="s">
        <v>1966</v>
      </c>
      <c r="CV73" t="s">
        <v>2041</v>
      </c>
      <c r="DB73" t="s">
        <v>2106</v>
      </c>
      <c r="DE73" t="s">
        <v>1959</v>
      </c>
    </row>
    <row r="74" spans="1:109" x14ac:dyDescent="0.25">
      <c r="A74" t="s">
        <v>1664</v>
      </c>
      <c r="B74">
        <v>2</v>
      </c>
      <c r="C74" s="55">
        <v>42874</v>
      </c>
      <c r="D74" t="s">
        <v>1658</v>
      </c>
      <c r="E74" t="s">
        <v>2112</v>
      </c>
      <c r="G74" t="s">
        <v>1659</v>
      </c>
      <c r="H74" t="s">
        <v>1659</v>
      </c>
      <c r="I74" t="s">
        <v>1659</v>
      </c>
      <c r="J74" t="s">
        <v>1659</v>
      </c>
      <c r="K74" t="s">
        <v>1659</v>
      </c>
      <c r="L74">
        <v>0</v>
      </c>
      <c r="M74">
        <v>18.440000000000001</v>
      </c>
      <c r="N74">
        <v>0</v>
      </c>
      <c r="O74" s="55"/>
      <c r="P74" s="55"/>
      <c r="Q74">
        <v>13730</v>
      </c>
      <c r="R74">
        <v>15</v>
      </c>
      <c r="S74">
        <v>7</v>
      </c>
      <c r="T74">
        <v>3</v>
      </c>
      <c r="U74">
        <v>4</v>
      </c>
      <c r="V74">
        <v>1</v>
      </c>
      <c r="X74" t="s">
        <v>1981</v>
      </c>
      <c r="AA74">
        <v>0</v>
      </c>
      <c r="AB74">
        <v>0</v>
      </c>
      <c r="AC74">
        <v>0</v>
      </c>
      <c r="AD74">
        <v>0</v>
      </c>
      <c r="AE74">
        <v>0</v>
      </c>
      <c r="AF74">
        <v>0</v>
      </c>
      <c r="AG74">
        <v>0</v>
      </c>
      <c r="AJ74" s="55">
        <v>42666</v>
      </c>
      <c r="AK74" s="55"/>
      <c r="AL74" s="55"/>
      <c r="AO74">
        <v>1</v>
      </c>
      <c r="AP74" t="s">
        <v>1660</v>
      </c>
      <c r="AR74">
        <v>10</v>
      </c>
      <c r="AS74" t="s">
        <v>1661</v>
      </c>
      <c r="AT74">
        <v>1</v>
      </c>
      <c r="AV74">
        <v>0</v>
      </c>
      <c r="AW74">
        <v>0</v>
      </c>
      <c r="AX74">
        <v>0</v>
      </c>
      <c r="AY74" t="s">
        <v>1662</v>
      </c>
      <c r="AZ74" t="s">
        <v>1662</v>
      </c>
      <c r="BA74">
        <v>10</v>
      </c>
      <c r="BD74">
        <v>1000000000</v>
      </c>
      <c r="BE74">
        <v>0</v>
      </c>
      <c r="BF74">
        <v>0</v>
      </c>
      <c r="BG74">
        <v>0</v>
      </c>
      <c r="BH74">
        <v>0</v>
      </c>
      <c r="BI74">
        <v>0</v>
      </c>
      <c r="BJ74">
        <v>0</v>
      </c>
      <c r="BK74">
        <v>0</v>
      </c>
      <c r="BL74">
        <v>0</v>
      </c>
      <c r="BM74">
        <v>0</v>
      </c>
      <c r="BN74">
        <v>0</v>
      </c>
      <c r="BR74">
        <v>0</v>
      </c>
      <c r="BS74">
        <v>0</v>
      </c>
      <c r="BX74">
        <v>0</v>
      </c>
      <c r="BY74">
        <v>0</v>
      </c>
      <c r="BZ74">
        <v>0</v>
      </c>
      <c r="CA74">
        <v>0</v>
      </c>
      <c r="CC74">
        <v>0</v>
      </c>
      <c r="CD74" s="55">
        <v>42815</v>
      </c>
      <c r="CE74" s="55"/>
      <c r="CF74" s="55">
        <v>42825</v>
      </c>
      <c r="CG74" s="55">
        <v>42874</v>
      </c>
      <c r="CH74" s="55">
        <v>0</v>
      </c>
      <c r="CI74" s="55">
        <v>0</v>
      </c>
      <c r="CJ74">
        <v>1</v>
      </c>
      <c r="CK74">
        <v>0</v>
      </c>
      <c r="CL74">
        <v>0.96</v>
      </c>
      <c r="CM74">
        <v>0</v>
      </c>
      <c r="CN74">
        <v>0</v>
      </c>
      <c r="CO74">
        <v>0</v>
      </c>
      <c r="CP74">
        <v>0</v>
      </c>
      <c r="CQ74" t="s">
        <v>1664</v>
      </c>
      <c r="CR74" t="s">
        <v>1368</v>
      </c>
      <c r="CS74" t="s">
        <v>1665</v>
      </c>
      <c r="CT74" t="s">
        <v>1959</v>
      </c>
      <c r="CU74" t="s">
        <v>1966</v>
      </c>
      <c r="CV74" t="s">
        <v>2113</v>
      </c>
      <c r="DB74" t="s">
        <v>2106</v>
      </c>
      <c r="DE74" t="s">
        <v>1959</v>
      </c>
    </row>
    <row r="75" spans="1:109" x14ac:dyDescent="0.25">
      <c r="A75" t="s">
        <v>1664</v>
      </c>
      <c r="B75">
        <v>2</v>
      </c>
      <c r="C75" s="55">
        <v>42874</v>
      </c>
      <c r="D75" t="s">
        <v>1658</v>
      </c>
      <c r="E75" t="s">
        <v>2114</v>
      </c>
      <c r="G75" t="s">
        <v>1659</v>
      </c>
      <c r="H75" t="s">
        <v>1659</v>
      </c>
      <c r="I75" t="s">
        <v>1659</v>
      </c>
      <c r="J75" t="s">
        <v>1659</v>
      </c>
      <c r="K75" t="s">
        <v>1659</v>
      </c>
      <c r="L75">
        <v>0</v>
      </c>
      <c r="M75">
        <v>18.440000000000001</v>
      </c>
      <c r="N75">
        <v>0</v>
      </c>
      <c r="O75" s="55"/>
      <c r="P75" s="55"/>
      <c r="Q75">
        <v>13730</v>
      </c>
      <c r="R75">
        <v>15</v>
      </c>
      <c r="S75">
        <v>7</v>
      </c>
      <c r="T75">
        <v>3</v>
      </c>
      <c r="U75">
        <v>4</v>
      </c>
      <c r="V75">
        <v>1</v>
      </c>
      <c r="X75" t="s">
        <v>1981</v>
      </c>
      <c r="AA75">
        <v>0</v>
      </c>
      <c r="AB75">
        <v>0</v>
      </c>
      <c r="AC75">
        <v>0</v>
      </c>
      <c r="AD75">
        <v>0</v>
      </c>
      <c r="AE75">
        <v>0</v>
      </c>
      <c r="AF75">
        <v>0</v>
      </c>
      <c r="AG75">
        <v>0</v>
      </c>
      <c r="AJ75" s="55">
        <v>42666</v>
      </c>
      <c r="AK75" s="55"/>
      <c r="AL75" s="55"/>
      <c r="AO75">
        <v>1</v>
      </c>
      <c r="AP75" t="s">
        <v>1660</v>
      </c>
      <c r="AR75">
        <v>10</v>
      </c>
      <c r="AS75" t="s">
        <v>1661</v>
      </c>
      <c r="AT75">
        <v>1</v>
      </c>
      <c r="AV75">
        <v>0</v>
      </c>
      <c r="AW75">
        <v>0</v>
      </c>
      <c r="AX75">
        <v>0</v>
      </c>
      <c r="AY75" t="s">
        <v>1662</v>
      </c>
      <c r="AZ75" t="s">
        <v>1662</v>
      </c>
      <c r="BA75">
        <v>10</v>
      </c>
      <c r="BD75">
        <v>1000000000</v>
      </c>
      <c r="BE75">
        <v>0</v>
      </c>
      <c r="BF75">
        <v>0</v>
      </c>
      <c r="BG75">
        <v>0</v>
      </c>
      <c r="BH75">
        <v>0</v>
      </c>
      <c r="BI75">
        <v>0</v>
      </c>
      <c r="BJ75">
        <v>0</v>
      </c>
      <c r="BK75">
        <v>0</v>
      </c>
      <c r="BL75">
        <v>0</v>
      </c>
      <c r="BM75">
        <v>0</v>
      </c>
      <c r="BN75">
        <v>0</v>
      </c>
      <c r="BR75">
        <v>0</v>
      </c>
      <c r="BS75">
        <v>0</v>
      </c>
      <c r="BX75">
        <v>0</v>
      </c>
      <c r="BY75">
        <v>0</v>
      </c>
      <c r="BZ75">
        <v>0</v>
      </c>
      <c r="CA75">
        <v>0</v>
      </c>
      <c r="CC75">
        <v>0</v>
      </c>
      <c r="CD75" s="55">
        <v>42815</v>
      </c>
      <c r="CE75" s="55"/>
      <c r="CF75" s="55">
        <v>42825</v>
      </c>
      <c r="CG75" s="55">
        <v>42874</v>
      </c>
      <c r="CH75" s="55">
        <v>0</v>
      </c>
      <c r="CI75" s="55">
        <v>0</v>
      </c>
      <c r="CJ75">
        <v>1</v>
      </c>
      <c r="CK75">
        <v>0</v>
      </c>
      <c r="CL75">
        <v>0.96</v>
      </c>
      <c r="CM75">
        <v>0</v>
      </c>
      <c r="CN75">
        <v>0</v>
      </c>
      <c r="CO75">
        <v>0</v>
      </c>
      <c r="CP75">
        <v>0</v>
      </c>
      <c r="CQ75" t="s">
        <v>1664</v>
      </c>
      <c r="CR75" t="s">
        <v>1368</v>
      </c>
      <c r="CS75" t="s">
        <v>1665</v>
      </c>
      <c r="CT75" t="s">
        <v>1959</v>
      </c>
      <c r="CU75" t="s">
        <v>1966</v>
      </c>
      <c r="CV75" t="s">
        <v>2044</v>
      </c>
      <c r="DB75" t="s">
        <v>2106</v>
      </c>
      <c r="DE75" t="s">
        <v>1959</v>
      </c>
    </row>
    <row r="76" spans="1:109" x14ac:dyDescent="0.25">
      <c r="A76" t="s">
        <v>1664</v>
      </c>
      <c r="B76">
        <v>2</v>
      </c>
      <c r="C76" s="55">
        <v>42874</v>
      </c>
      <c r="D76" t="s">
        <v>1658</v>
      </c>
      <c r="E76" t="s">
        <v>2115</v>
      </c>
      <c r="G76" t="s">
        <v>1659</v>
      </c>
      <c r="H76" t="s">
        <v>1659</v>
      </c>
      <c r="I76" t="s">
        <v>1659</v>
      </c>
      <c r="J76" t="s">
        <v>1659</v>
      </c>
      <c r="K76" t="s">
        <v>1659</v>
      </c>
      <c r="L76">
        <v>0</v>
      </c>
      <c r="M76">
        <v>18.440000000000001</v>
      </c>
      <c r="N76">
        <v>0</v>
      </c>
      <c r="O76" s="55"/>
      <c r="P76" s="55"/>
      <c r="Q76">
        <v>13730</v>
      </c>
      <c r="R76">
        <v>15</v>
      </c>
      <c r="S76">
        <v>7</v>
      </c>
      <c r="T76">
        <v>3</v>
      </c>
      <c r="U76">
        <v>4</v>
      </c>
      <c r="V76">
        <v>1</v>
      </c>
      <c r="X76" t="s">
        <v>1981</v>
      </c>
      <c r="AA76">
        <v>0</v>
      </c>
      <c r="AB76">
        <v>0</v>
      </c>
      <c r="AC76">
        <v>0</v>
      </c>
      <c r="AD76">
        <v>0</v>
      </c>
      <c r="AE76">
        <v>0</v>
      </c>
      <c r="AF76">
        <v>0</v>
      </c>
      <c r="AG76">
        <v>0</v>
      </c>
      <c r="AJ76" s="55">
        <v>42666</v>
      </c>
      <c r="AK76" s="55"/>
      <c r="AL76" s="55"/>
      <c r="AO76">
        <v>1</v>
      </c>
      <c r="AP76" t="s">
        <v>1660</v>
      </c>
      <c r="AR76">
        <v>10</v>
      </c>
      <c r="AS76" t="s">
        <v>1661</v>
      </c>
      <c r="AT76">
        <v>1</v>
      </c>
      <c r="AV76">
        <v>0</v>
      </c>
      <c r="AW76">
        <v>0</v>
      </c>
      <c r="AX76">
        <v>0</v>
      </c>
      <c r="AY76" t="s">
        <v>1662</v>
      </c>
      <c r="AZ76" t="s">
        <v>1662</v>
      </c>
      <c r="BA76">
        <v>10</v>
      </c>
      <c r="BD76">
        <v>1000000000</v>
      </c>
      <c r="BE76">
        <v>0</v>
      </c>
      <c r="BF76">
        <v>0</v>
      </c>
      <c r="BG76">
        <v>0</v>
      </c>
      <c r="BH76">
        <v>0</v>
      </c>
      <c r="BI76">
        <v>0</v>
      </c>
      <c r="BJ76">
        <v>0</v>
      </c>
      <c r="BK76">
        <v>0</v>
      </c>
      <c r="BL76">
        <v>0</v>
      </c>
      <c r="BM76">
        <v>0</v>
      </c>
      <c r="BN76">
        <v>0</v>
      </c>
      <c r="BR76">
        <v>0</v>
      </c>
      <c r="BS76">
        <v>0</v>
      </c>
      <c r="BX76">
        <v>0</v>
      </c>
      <c r="BY76">
        <v>0</v>
      </c>
      <c r="BZ76">
        <v>0</v>
      </c>
      <c r="CA76">
        <v>0</v>
      </c>
      <c r="CC76">
        <v>0</v>
      </c>
      <c r="CD76" s="55">
        <v>42815</v>
      </c>
      <c r="CE76" s="55"/>
      <c r="CF76" s="55">
        <v>42825</v>
      </c>
      <c r="CG76" s="55">
        <v>42874</v>
      </c>
      <c r="CH76" s="55">
        <v>0</v>
      </c>
      <c r="CI76" s="55">
        <v>0</v>
      </c>
      <c r="CJ76">
        <v>1</v>
      </c>
      <c r="CK76">
        <v>0</v>
      </c>
      <c r="CL76">
        <v>0.96</v>
      </c>
      <c r="CM76">
        <v>0</v>
      </c>
      <c r="CN76">
        <v>0</v>
      </c>
      <c r="CO76">
        <v>0</v>
      </c>
      <c r="CP76">
        <v>0</v>
      </c>
      <c r="CQ76" t="s">
        <v>1664</v>
      </c>
      <c r="CR76" t="s">
        <v>1368</v>
      </c>
      <c r="CS76" t="s">
        <v>1665</v>
      </c>
      <c r="CT76" t="s">
        <v>1959</v>
      </c>
      <c r="CU76" t="s">
        <v>1966</v>
      </c>
      <c r="CV76" t="s">
        <v>2045</v>
      </c>
      <c r="DB76" t="s">
        <v>2106</v>
      </c>
      <c r="DE76" t="s">
        <v>1959</v>
      </c>
    </row>
    <row r="77" spans="1:109" x14ac:dyDescent="0.25">
      <c r="A77" t="s">
        <v>1664</v>
      </c>
      <c r="B77">
        <v>2</v>
      </c>
      <c r="C77" s="55">
        <v>42874</v>
      </c>
      <c r="D77" t="s">
        <v>1658</v>
      </c>
      <c r="E77" t="s">
        <v>2116</v>
      </c>
      <c r="G77" t="s">
        <v>1659</v>
      </c>
      <c r="H77" t="s">
        <v>1659</v>
      </c>
      <c r="I77" t="s">
        <v>1659</v>
      </c>
      <c r="J77" t="s">
        <v>1659</v>
      </c>
      <c r="K77" t="s">
        <v>1659</v>
      </c>
      <c r="L77">
        <v>5.05</v>
      </c>
      <c r="M77">
        <v>14.34</v>
      </c>
      <c r="N77">
        <v>0</v>
      </c>
      <c r="O77" s="55"/>
      <c r="P77" s="55"/>
      <c r="Q77">
        <v>13730</v>
      </c>
      <c r="R77">
        <v>15</v>
      </c>
      <c r="S77">
        <v>7</v>
      </c>
      <c r="T77">
        <v>3</v>
      </c>
      <c r="U77">
        <v>4</v>
      </c>
      <c r="V77">
        <v>1</v>
      </c>
      <c r="X77" t="s">
        <v>1981</v>
      </c>
      <c r="AA77">
        <v>0</v>
      </c>
      <c r="AB77">
        <v>0</v>
      </c>
      <c r="AC77">
        <v>0</v>
      </c>
      <c r="AD77">
        <v>0</v>
      </c>
      <c r="AE77">
        <v>0</v>
      </c>
      <c r="AF77">
        <v>0</v>
      </c>
      <c r="AG77">
        <v>0</v>
      </c>
      <c r="AJ77" s="55">
        <v>42796</v>
      </c>
      <c r="AK77" s="55">
        <v>42796</v>
      </c>
      <c r="AL77" s="55">
        <v>42796</v>
      </c>
      <c r="AO77">
        <v>1</v>
      </c>
      <c r="AP77" t="s">
        <v>1660</v>
      </c>
      <c r="AR77">
        <v>10</v>
      </c>
      <c r="AS77" t="s">
        <v>1661</v>
      </c>
      <c r="AT77">
        <v>1</v>
      </c>
      <c r="AV77">
        <v>0</v>
      </c>
      <c r="AW77">
        <v>0</v>
      </c>
      <c r="AX77">
        <v>0</v>
      </c>
      <c r="AY77" t="s">
        <v>1662</v>
      </c>
      <c r="AZ77" t="s">
        <v>1662</v>
      </c>
      <c r="BA77">
        <v>16</v>
      </c>
      <c r="BD77">
        <v>1000000000</v>
      </c>
      <c r="BE77">
        <v>11</v>
      </c>
      <c r="BF77">
        <v>0</v>
      </c>
      <c r="BG77">
        <v>0</v>
      </c>
      <c r="BH77">
        <v>0</v>
      </c>
      <c r="BI77">
        <v>0</v>
      </c>
      <c r="BJ77">
        <v>0</v>
      </c>
      <c r="BK77">
        <v>0</v>
      </c>
      <c r="BL77">
        <v>0</v>
      </c>
      <c r="BM77">
        <v>11</v>
      </c>
      <c r="BN77">
        <v>0</v>
      </c>
      <c r="BR77">
        <v>0</v>
      </c>
      <c r="BS77">
        <v>0</v>
      </c>
      <c r="BX77">
        <v>0</v>
      </c>
      <c r="BY77">
        <v>0</v>
      </c>
      <c r="BZ77">
        <v>0</v>
      </c>
      <c r="CA77">
        <v>0</v>
      </c>
      <c r="CC77">
        <v>0</v>
      </c>
      <c r="CD77" s="55">
        <v>42815</v>
      </c>
      <c r="CE77" s="55"/>
      <c r="CF77" s="55">
        <v>42825</v>
      </c>
      <c r="CG77" s="55">
        <v>42874</v>
      </c>
      <c r="CH77" s="55">
        <v>0</v>
      </c>
      <c r="CI77" s="55">
        <v>0</v>
      </c>
      <c r="CJ77">
        <v>0</v>
      </c>
      <c r="CK77">
        <v>0</v>
      </c>
      <c r="CL77">
        <v>0</v>
      </c>
      <c r="CM77">
        <v>0</v>
      </c>
      <c r="CN77">
        <v>0</v>
      </c>
      <c r="CO77">
        <v>0</v>
      </c>
      <c r="CP77">
        <v>0.96</v>
      </c>
      <c r="CQ77" t="s">
        <v>1664</v>
      </c>
      <c r="CR77" t="s">
        <v>1368</v>
      </c>
      <c r="CS77" t="s">
        <v>1665</v>
      </c>
      <c r="CT77" t="s">
        <v>1959</v>
      </c>
      <c r="CU77" t="s">
        <v>1966</v>
      </c>
      <c r="CV77" t="s">
        <v>2117</v>
      </c>
      <c r="DB77" t="s">
        <v>2106</v>
      </c>
      <c r="DE77" t="s">
        <v>1959</v>
      </c>
    </row>
    <row r="78" spans="1:109" x14ac:dyDescent="0.25">
      <c r="A78" t="s">
        <v>1664</v>
      </c>
      <c r="B78">
        <v>2</v>
      </c>
      <c r="C78" s="55">
        <v>42874</v>
      </c>
      <c r="D78" t="s">
        <v>1658</v>
      </c>
      <c r="E78" t="s">
        <v>2118</v>
      </c>
      <c r="G78" t="s">
        <v>1659</v>
      </c>
      <c r="H78" t="s">
        <v>1659</v>
      </c>
      <c r="I78" t="s">
        <v>1659</v>
      </c>
      <c r="J78" t="s">
        <v>1659</v>
      </c>
      <c r="K78" t="s">
        <v>1659</v>
      </c>
      <c r="L78">
        <v>6.73</v>
      </c>
      <c r="M78">
        <v>14.34</v>
      </c>
      <c r="N78">
        <v>0</v>
      </c>
      <c r="O78" s="55"/>
      <c r="P78" s="55"/>
      <c r="Q78">
        <v>13730</v>
      </c>
      <c r="R78">
        <v>15</v>
      </c>
      <c r="S78">
        <v>7</v>
      </c>
      <c r="T78">
        <v>3</v>
      </c>
      <c r="U78">
        <v>4</v>
      </c>
      <c r="V78">
        <v>1</v>
      </c>
      <c r="X78" t="s">
        <v>1981</v>
      </c>
      <c r="AA78">
        <v>0</v>
      </c>
      <c r="AB78">
        <v>0</v>
      </c>
      <c r="AC78">
        <v>0</v>
      </c>
      <c r="AD78">
        <v>0</v>
      </c>
      <c r="AE78">
        <v>0</v>
      </c>
      <c r="AF78">
        <v>0</v>
      </c>
      <c r="AG78">
        <v>0</v>
      </c>
      <c r="AJ78" s="55">
        <v>42666</v>
      </c>
      <c r="AK78" s="55"/>
      <c r="AL78" s="55"/>
      <c r="AO78">
        <v>1</v>
      </c>
      <c r="AP78" t="s">
        <v>1660</v>
      </c>
      <c r="AR78">
        <v>10</v>
      </c>
      <c r="AS78" t="s">
        <v>1661</v>
      </c>
      <c r="AT78">
        <v>1</v>
      </c>
      <c r="AV78">
        <v>0</v>
      </c>
      <c r="AW78">
        <v>0</v>
      </c>
      <c r="AX78">
        <v>0</v>
      </c>
      <c r="AY78" t="s">
        <v>1662</v>
      </c>
      <c r="AZ78" t="s">
        <v>1662</v>
      </c>
      <c r="BA78">
        <v>10</v>
      </c>
      <c r="BD78">
        <v>1000000000</v>
      </c>
      <c r="BE78">
        <v>11</v>
      </c>
      <c r="BF78">
        <v>0</v>
      </c>
      <c r="BG78">
        <v>0</v>
      </c>
      <c r="BH78">
        <v>0</v>
      </c>
      <c r="BI78">
        <v>0</v>
      </c>
      <c r="BJ78">
        <v>0</v>
      </c>
      <c r="BK78">
        <v>0</v>
      </c>
      <c r="BL78">
        <v>0</v>
      </c>
      <c r="BM78">
        <v>11</v>
      </c>
      <c r="BN78">
        <v>0</v>
      </c>
      <c r="BR78">
        <v>0</v>
      </c>
      <c r="BS78">
        <v>0</v>
      </c>
      <c r="BX78">
        <v>0</v>
      </c>
      <c r="BY78">
        <v>0</v>
      </c>
      <c r="BZ78">
        <v>0</v>
      </c>
      <c r="CA78">
        <v>0</v>
      </c>
      <c r="CC78">
        <v>0</v>
      </c>
      <c r="CD78" s="55">
        <v>42815</v>
      </c>
      <c r="CE78" s="55"/>
      <c r="CF78" s="55">
        <v>42825</v>
      </c>
      <c r="CG78" s="55">
        <v>42874</v>
      </c>
      <c r="CH78" s="55">
        <v>0</v>
      </c>
      <c r="CI78" s="55">
        <v>0</v>
      </c>
      <c r="CJ78">
        <v>0.03</v>
      </c>
      <c r="CK78">
        <v>0</v>
      </c>
      <c r="CL78">
        <v>0</v>
      </c>
      <c r="CM78">
        <v>0</v>
      </c>
      <c r="CN78">
        <v>0</v>
      </c>
      <c r="CO78">
        <v>0</v>
      </c>
      <c r="CP78">
        <v>0.96</v>
      </c>
      <c r="CQ78" t="s">
        <v>1664</v>
      </c>
      <c r="CR78" t="s">
        <v>1368</v>
      </c>
      <c r="CS78" t="s">
        <v>1665</v>
      </c>
      <c r="CT78" t="s">
        <v>1959</v>
      </c>
      <c r="CU78" t="s">
        <v>1966</v>
      </c>
      <c r="CV78" t="s">
        <v>2119</v>
      </c>
      <c r="DB78" t="s">
        <v>2106</v>
      </c>
      <c r="DE78" t="s">
        <v>1959</v>
      </c>
    </row>
    <row r="79" spans="1:109" x14ac:dyDescent="0.25">
      <c r="A79" t="s">
        <v>1664</v>
      </c>
      <c r="B79">
        <v>2</v>
      </c>
      <c r="C79" s="55">
        <v>42874</v>
      </c>
      <c r="D79" t="s">
        <v>1658</v>
      </c>
      <c r="E79" t="s">
        <v>2120</v>
      </c>
      <c r="G79" t="s">
        <v>1659</v>
      </c>
      <c r="H79" t="s">
        <v>1659</v>
      </c>
      <c r="I79" t="s">
        <v>1659</v>
      </c>
      <c r="J79" t="s">
        <v>1659</v>
      </c>
      <c r="K79" t="s">
        <v>1659</v>
      </c>
      <c r="L79">
        <v>0</v>
      </c>
      <c r="M79">
        <v>28.97</v>
      </c>
      <c r="N79">
        <v>0</v>
      </c>
      <c r="O79" s="55"/>
      <c r="P79" s="55"/>
      <c r="Q79">
        <v>13730</v>
      </c>
      <c r="R79">
        <v>15</v>
      </c>
      <c r="S79">
        <v>7</v>
      </c>
      <c r="T79">
        <v>3</v>
      </c>
      <c r="U79">
        <v>4</v>
      </c>
      <c r="V79">
        <v>1</v>
      </c>
      <c r="X79" t="s">
        <v>1981</v>
      </c>
      <c r="AA79">
        <v>0</v>
      </c>
      <c r="AB79">
        <v>0</v>
      </c>
      <c r="AC79">
        <v>0</v>
      </c>
      <c r="AD79">
        <v>0</v>
      </c>
      <c r="AE79">
        <v>0</v>
      </c>
      <c r="AF79">
        <v>0</v>
      </c>
      <c r="AG79">
        <v>0</v>
      </c>
      <c r="AJ79" s="55">
        <v>42666</v>
      </c>
      <c r="AK79" s="55"/>
      <c r="AL79" s="55"/>
      <c r="AO79">
        <v>1</v>
      </c>
      <c r="AP79" t="s">
        <v>1660</v>
      </c>
      <c r="AR79">
        <v>20</v>
      </c>
      <c r="AS79" t="s">
        <v>1661</v>
      </c>
      <c r="AT79">
        <v>1</v>
      </c>
      <c r="AV79">
        <v>0</v>
      </c>
      <c r="AW79">
        <v>0</v>
      </c>
      <c r="AX79">
        <v>0</v>
      </c>
      <c r="AY79" t="s">
        <v>1662</v>
      </c>
      <c r="AZ79" t="s">
        <v>1662</v>
      </c>
      <c r="BA79">
        <v>20</v>
      </c>
      <c r="BD79">
        <v>1000000000</v>
      </c>
      <c r="BE79">
        <v>0</v>
      </c>
      <c r="BF79">
        <v>0</v>
      </c>
      <c r="BG79">
        <v>0</v>
      </c>
      <c r="BH79">
        <v>0</v>
      </c>
      <c r="BI79">
        <v>0</v>
      </c>
      <c r="BJ79">
        <v>0</v>
      </c>
      <c r="BK79">
        <v>0</v>
      </c>
      <c r="BL79">
        <v>0</v>
      </c>
      <c r="BM79">
        <v>0</v>
      </c>
      <c r="BN79">
        <v>0</v>
      </c>
      <c r="BR79">
        <v>0</v>
      </c>
      <c r="BS79">
        <v>0</v>
      </c>
      <c r="BX79">
        <v>0</v>
      </c>
      <c r="BY79">
        <v>0</v>
      </c>
      <c r="BZ79">
        <v>0</v>
      </c>
      <c r="CA79">
        <v>0</v>
      </c>
      <c r="CC79">
        <v>0</v>
      </c>
      <c r="CD79" s="55">
        <v>42815</v>
      </c>
      <c r="CE79" s="55"/>
      <c r="CF79" s="55">
        <v>42825</v>
      </c>
      <c r="CG79" s="55">
        <v>42874</v>
      </c>
      <c r="CH79" s="55">
        <v>0</v>
      </c>
      <c r="CI79" s="55">
        <v>0</v>
      </c>
      <c r="CJ79">
        <v>1</v>
      </c>
      <c r="CK79">
        <v>0</v>
      </c>
      <c r="CL79">
        <v>0.96</v>
      </c>
      <c r="CM79">
        <v>0</v>
      </c>
      <c r="CN79">
        <v>0</v>
      </c>
      <c r="CO79">
        <v>0</v>
      </c>
      <c r="CP79">
        <v>0</v>
      </c>
      <c r="CQ79" t="s">
        <v>1664</v>
      </c>
      <c r="CR79" t="s">
        <v>1368</v>
      </c>
      <c r="CS79" t="s">
        <v>1665</v>
      </c>
      <c r="CT79" t="s">
        <v>1959</v>
      </c>
      <c r="CU79" t="s">
        <v>1966</v>
      </c>
      <c r="CV79" t="s">
        <v>2121</v>
      </c>
      <c r="DB79" t="s">
        <v>2122</v>
      </c>
      <c r="DE79" t="s">
        <v>1959</v>
      </c>
    </row>
    <row r="80" spans="1:109" x14ac:dyDescent="0.25">
      <c r="A80" t="s">
        <v>1664</v>
      </c>
      <c r="B80">
        <v>2</v>
      </c>
      <c r="C80" s="55">
        <v>42874</v>
      </c>
      <c r="D80" t="s">
        <v>1658</v>
      </c>
      <c r="E80" t="s">
        <v>2123</v>
      </c>
      <c r="G80" t="s">
        <v>1659</v>
      </c>
      <c r="H80" t="s">
        <v>1659</v>
      </c>
      <c r="I80" t="s">
        <v>1659</v>
      </c>
      <c r="J80" t="s">
        <v>1659</v>
      </c>
      <c r="K80" t="s">
        <v>1659</v>
      </c>
      <c r="L80">
        <v>0</v>
      </c>
      <c r="M80">
        <v>28.97</v>
      </c>
      <c r="N80">
        <v>0</v>
      </c>
      <c r="O80" s="55"/>
      <c r="P80" s="55"/>
      <c r="Q80">
        <v>13730</v>
      </c>
      <c r="R80">
        <v>15</v>
      </c>
      <c r="S80">
        <v>7</v>
      </c>
      <c r="T80">
        <v>3</v>
      </c>
      <c r="U80">
        <v>4</v>
      </c>
      <c r="V80">
        <v>1</v>
      </c>
      <c r="X80" t="s">
        <v>1981</v>
      </c>
      <c r="AA80">
        <v>0</v>
      </c>
      <c r="AB80">
        <v>0</v>
      </c>
      <c r="AC80">
        <v>0</v>
      </c>
      <c r="AD80">
        <v>0</v>
      </c>
      <c r="AE80">
        <v>0</v>
      </c>
      <c r="AF80">
        <v>0</v>
      </c>
      <c r="AG80">
        <v>0</v>
      </c>
      <c r="AJ80" s="55">
        <v>42666</v>
      </c>
      <c r="AK80" s="55"/>
      <c r="AL80" s="55"/>
      <c r="AO80">
        <v>1</v>
      </c>
      <c r="AP80" t="s">
        <v>1660</v>
      </c>
      <c r="AR80">
        <v>20</v>
      </c>
      <c r="AS80" t="s">
        <v>1661</v>
      </c>
      <c r="AT80">
        <v>1</v>
      </c>
      <c r="AV80">
        <v>0</v>
      </c>
      <c r="AW80">
        <v>0</v>
      </c>
      <c r="AX80">
        <v>0</v>
      </c>
      <c r="AY80" t="s">
        <v>1662</v>
      </c>
      <c r="AZ80" t="s">
        <v>1662</v>
      </c>
      <c r="BA80">
        <v>20</v>
      </c>
      <c r="BD80">
        <v>1000000000</v>
      </c>
      <c r="BE80">
        <v>0</v>
      </c>
      <c r="BF80">
        <v>0</v>
      </c>
      <c r="BG80">
        <v>0</v>
      </c>
      <c r="BH80">
        <v>0</v>
      </c>
      <c r="BI80">
        <v>0</v>
      </c>
      <c r="BJ80">
        <v>0</v>
      </c>
      <c r="BK80">
        <v>0</v>
      </c>
      <c r="BL80">
        <v>0</v>
      </c>
      <c r="BM80">
        <v>0</v>
      </c>
      <c r="BN80">
        <v>0</v>
      </c>
      <c r="BR80">
        <v>0</v>
      </c>
      <c r="BS80">
        <v>0</v>
      </c>
      <c r="BX80">
        <v>0</v>
      </c>
      <c r="BY80">
        <v>0</v>
      </c>
      <c r="BZ80">
        <v>0</v>
      </c>
      <c r="CA80">
        <v>0</v>
      </c>
      <c r="CC80">
        <v>0</v>
      </c>
      <c r="CD80" s="55">
        <v>42815</v>
      </c>
      <c r="CE80" s="55"/>
      <c r="CF80" s="55">
        <v>42825</v>
      </c>
      <c r="CG80" s="55">
        <v>42874</v>
      </c>
      <c r="CH80" s="55">
        <v>0</v>
      </c>
      <c r="CI80" s="55">
        <v>0</v>
      </c>
      <c r="CJ80">
        <v>1</v>
      </c>
      <c r="CK80">
        <v>0</v>
      </c>
      <c r="CL80">
        <v>0.96</v>
      </c>
      <c r="CM80">
        <v>0</v>
      </c>
      <c r="CN80">
        <v>0</v>
      </c>
      <c r="CO80">
        <v>0</v>
      </c>
      <c r="CP80">
        <v>0</v>
      </c>
      <c r="CQ80" t="s">
        <v>1664</v>
      </c>
      <c r="CR80" t="s">
        <v>1368</v>
      </c>
      <c r="CS80" t="s">
        <v>1665</v>
      </c>
      <c r="CT80" t="s">
        <v>1959</v>
      </c>
      <c r="CU80" t="s">
        <v>1966</v>
      </c>
      <c r="CV80" t="s">
        <v>2124</v>
      </c>
      <c r="DB80" t="s">
        <v>2122</v>
      </c>
      <c r="DE80" t="s">
        <v>1959</v>
      </c>
    </row>
    <row r="81" spans="1:109" x14ac:dyDescent="0.25">
      <c r="A81" t="s">
        <v>1664</v>
      </c>
      <c r="B81">
        <v>2</v>
      </c>
      <c r="C81" s="55">
        <v>42874</v>
      </c>
      <c r="D81" t="s">
        <v>1658</v>
      </c>
      <c r="E81" t="s">
        <v>2125</v>
      </c>
      <c r="G81" t="s">
        <v>1659</v>
      </c>
      <c r="H81" t="s">
        <v>1659</v>
      </c>
      <c r="I81" t="s">
        <v>1659</v>
      </c>
      <c r="J81" t="s">
        <v>1659</v>
      </c>
      <c r="K81" t="s">
        <v>1659</v>
      </c>
      <c r="L81">
        <v>0</v>
      </c>
      <c r="M81">
        <v>28.97</v>
      </c>
      <c r="N81">
        <v>0</v>
      </c>
      <c r="O81" s="55"/>
      <c r="P81" s="55"/>
      <c r="Q81">
        <v>13730</v>
      </c>
      <c r="R81">
        <v>15</v>
      </c>
      <c r="S81">
        <v>7</v>
      </c>
      <c r="T81">
        <v>3</v>
      </c>
      <c r="U81">
        <v>4</v>
      </c>
      <c r="V81">
        <v>1</v>
      </c>
      <c r="X81" t="s">
        <v>1981</v>
      </c>
      <c r="AA81">
        <v>0</v>
      </c>
      <c r="AB81">
        <v>0</v>
      </c>
      <c r="AC81">
        <v>0</v>
      </c>
      <c r="AD81">
        <v>0</v>
      </c>
      <c r="AE81">
        <v>0</v>
      </c>
      <c r="AF81">
        <v>0</v>
      </c>
      <c r="AG81">
        <v>0</v>
      </c>
      <c r="AJ81" s="55">
        <v>42666</v>
      </c>
      <c r="AK81" s="55"/>
      <c r="AL81" s="55"/>
      <c r="AO81">
        <v>1</v>
      </c>
      <c r="AP81" t="s">
        <v>1660</v>
      </c>
      <c r="AR81">
        <v>20</v>
      </c>
      <c r="AS81" t="s">
        <v>1661</v>
      </c>
      <c r="AT81">
        <v>1</v>
      </c>
      <c r="AV81">
        <v>0</v>
      </c>
      <c r="AW81">
        <v>0</v>
      </c>
      <c r="AX81">
        <v>0</v>
      </c>
      <c r="AY81" t="s">
        <v>1662</v>
      </c>
      <c r="AZ81" t="s">
        <v>1662</v>
      </c>
      <c r="BA81">
        <v>20</v>
      </c>
      <c r="BD81">
        <v>1000000000</v>
      </c>
      <c r="BE81">
        <v>0</v>
      </c>
      <c r="BF81">
        <v>0</v>
      </c>
      <c r="BG81">
        <v>0</v>
      </c>
      <c r="BH81">
        <v>0</v>
      </c>
      <c r="BI81">
        <v>0</v>
      </c>
      <c r="BJ81">
        <v>0</v>
      </c>
      <c r="BK81">
        <v>0</v>
      </c>
      <c r="BL81">
        <v>0</v>
      </c>
      <c r="BM81">
        <v>0</v>
      </c>
      <c r="BN81">
        <v>0</v>
      </c>
      <c r="BR81">
        <v>0</v>
      </c>
      <c r="BS81">
        <v>0</v>
      </c>
      <c r="BX81">
        <v>0</v>
      </c>
      <c r="BY81">
        <v>0</v>
      </c>
      <c r="BZ81">
        <v>0</v>
      </c>
      <c r="CA81">
        <v>0</v>
      </c>
      <c r="CC81">
        <v>0</v>
      </c>
      <c r="CD81" s="55">
        <v>42815</v>
      </c>
      <c r="CE81" s="55"/>
      <c r="CF81" s="55">
        <v>42825</v>
      </c>
      <c r="CG81" s="55">
        <v>42874</v>
      </c>
      <c r="CH81" s="55">
        <v>0</v>
      </c>
      <c r="CI81" s="55">
        <v>0</v>
      </c>
      <c r="CJ81">
        <v>1</v>
      </c>
      <c r="CK81">
        <v>0</v>
      </c>
      <c r="CL81">
        <v>0.96</v>
      </c>
      <c r="CM81">
        <v>0</v>
      </c>
      <c r="CN81">
        <v>0</v>
      </c>
      <c r="CO81">
        <v>0</v>
      </c>
      <c r="CP81">
        <v>0</v>
      </c>
      <c r="CQ81" t="s">
        <v>1664</v>
      </c>
      <c r="CR81" t="s">
        <v>1368</v>
      </c>
      <c r="CS81" t="s">
        <v>1665</v>
      </c>
      <c r="CT81" t="s">
        <v>1959</v>
      </c>
      <c r="CU81" t="s">
        <v>1966</v>
      </c>
      <c r="CV81" t="s">
        <v>2126</v>
      </c>
      <c r="DB81" t="s">
        <v>2122</v>
      </c>
      <c r="DE81" t="s">
        <v>1959</v>
      </c>
    </row>
    <row r="82" spans="1:109" x14ac:dyDescent="0.25">
      <c r="A82" t="s">
        <v>1664</v>
      </c>
      <c r="B82">
        <v>2</v>
      </c>
      <c r="C82" s="55">
        <v>42874</v>
      </c>
      <c r="D82" t="s">
        <v>1658</v>
      </c>
      <c r="E82" t="s">
        <v>1596</v>
      </c>
      <c r="G82" t="s">
        <v>1659</v>
      </c>
      <c r="H82" t="s">
        <v>1659</v>
      </c>
      <c r="I82" t="s">
        <v>1659</v>
      </c>
      <c r="J82" t="s">
        <v>1659</v>
      </c>
      <c r="K82" t="s">
        <v>1659</v>
      </c>
      <c r="L82">
        <v>9</v>
      </c>
      <c r="M82">
        <v>28.97</v>
      </c>
      <c r="N82">
        <v>0</v>
      </c>
      <c r="O82" s="55"/>
      <c r="P82" s="55"/>
      <c r="Q82">
        <v>13730</v>
      </c>
      <c r="R82">
        <v>15</v>
      </c>
      <c r="S82">
        <v>7</v>
      </c>
      <c r="T82">
        <v>3</v>
      </c>
      <c r="U82">
        <v>4</v>
      </c>
      <c r="V82">
        <v>1</v>
      </c>
      <c r="X82" t="s">
        <v>1981</v>
      </c>
      <c r="AA82">
        <v>1.2</v>
      </c>
      <c r="AB82">
        <v>13</v>
      </c>
      <c r="AC82">
        <v>0</v>
      </c>
      <c r="AD82">
        <v>0</v>
      </c>
      <c r="AE82">
        <v>0.21</v>
      </c>
      <c r="AF82">
        <v>0</v>
      </c>
      <c r="AG82">
        <v>0</v>
      </c>
      <c r="AJ82" s="55">
        <v>42666</v>
      </c>
      <c r="AK82" s="55"/>
      <c r="AL82" s="55">
        <v>42796</v>
      </c>
      <c r="AO82">
        <v>1</v>
      </c>
      <c r="AP82" t="s">
        <v>1660</v>
      </c>
      <c r="AR82">
        <v>20</v>
      </c>
      <c r="AS82" t="s">
        <v>1661</v>
      </c>
      <c r="AT82">
        <v>1</v>
      </c>
      <c r="AV82">
        <v>0</v>
      </c>
      <c r="AW82">
        <v>0</v>
      </c>
      <c r="AX82">
        <v>0</v>
      </c>
      <c r="AY82" t="s">
        <v>1662</v>
      </c>
      <c r="AZ82" t="s">
        <v>1662</v>
      </c>
      <c r="BA82">
        <v>32</v>
      </c>
      <c r="BD82">
        <v>1000000000</v>
      </c>
      <c r="BE82">
        <v>0</v>
      </c>
      <c r="BF82">
        <v>0</v>
      </c>
      <c r="BG82">
        <v>0</v>
      </c>
      <c r="BH82">
        <v>0</v>
      </c>
      <c r="BI82">
        <v>0</v>
      </c>
      <c r="BJ82">
        <v>0</v>
      </c>
      <c r="BK82">
        <v>0</v>
      </c>
      <c r="BL82">
        <v>0</v>
      </c>
      <c r="BM82">
        <v>0</v>
      </c>
      <c r="BN82">
        <v>0</v>
      </c>
      <c r="BR82">
        <v>0</v>
      </c>
      <c r="BS82">
        <v>0</v>
      </c>
      <c r="BX82">
        <v>0</v>
      </c>
      <c r="BY82">
        <v>0</v>
      </c>
      <c r="BZ82">
        <v>0</v>
      </c>
      <c r="CA82">
        <v>0</v>
      </c>
      <c r="CC82">
        <v>0</v>
      </c>
      <c r="CD82" s="55">
        <v>42815</v>
      </c>
      <c r="CE82" s="55"/>
      <c r="CF82" s="55">
        <v>42825</v>
      </c>
      <c r="CG82" s="55">
        <v>42874</v>
      </c>
      <c r="CH82" s="55">
        <v>0</v>
      </c>
      <c r="CI82" s="55">
        <v>0</v>
      </c>
      <c r="CJ82">
        <v>1.45</v>
      </c>
      <c r="CK82">
        <v>0</v>
      </c>
      <c r="CL82">
        <v>0.15</v>
      </c>
      <c r="CM82">
        <v>0</v>
      </c>
      <c r="CN82">
        <v>0</v>
      </c>
      <c r="CO82">
        <v>0</v>
      </c>
      <c r="CP82">
        <v>0.81</v>
      </c>
      <c r="CQ82" t="s">
        <v>1664</v>
      </c>
      <c r="CR82" t="s">
        <v>1368</v>
      </c>
      <c r="CS82" t="s">
        <v>1665</v>
      </c>
      <c r="CT82" t="s">
        <v>1959</v>
      </c>
      <c r="CU82" t="s">
        <v>1966</v>
      </c>
      <c r="CV82" t="s">
        <v>2127</v>
      </c>
      <c r="DB82" t="s">
        <v>2122</v>
      </c>
      <c r="DE82" t="s">
        <v>1959</v>
      </c>
    </row>
    <row r="83" spans="1:109" x14ac:dyDescent="0.25">
      <c r="A83" t="s">
        <v>1664</v>
      </c>
      <c r="B83">
        <v>2</v>
      </c>
      <c r="C83" s="55">
        <v>42874</v>
      </c>
      <c r="D83" t="s">
        <v>1658</v>
      </c>
      <c r="E83" t="s">
        <v>2128</v>
      </c>
      <c r="G83" t="s">
        <v>1659</v>
      </c>
      <c r="H83" t="s">
        <v>1659</v>
      </c>
      <c r="I83" t="s">
        <v>1659</v>
      </c>
      <c r="J83" t="s">
        <v>1659</v>
      </c>
      <c r="K83" t="s">
        <v>1659</v>
      </c>
      <c r="L83">
        <v>0</v>
      </c>
      <c r="M83">
        <v>28.97</v>
      </c>
      <c r="N83">
        <v>0</v>
      </c>
      <c r="O83" s="55"/>
      <c r="P83" s="55"/>
      <c r="Q83">
        <v>13730</v>
      </c>
      <c r="R83">
        <v>15</v>
      </c>
      <c r="S83">
        <v>7</v>
      </c>
      <c r="T83">
        <v>3</v>
      </c>
      <c r="U83">
        <v>4</v>
      </c>
      <c r="V83">
        <v>1</v>
      </c>
      <c r="X83" t="s">
        <v>1981</v>
      </c>
      <c r="AA83">
        <v>0</v>
      </c>
      <c r="AB83">
        <v>0</v>
      </c>
      <c r="AC83">
        <v>0</v>
      </c>
      <c r="AD83">
        <v>0</v>
      </c>
      <c r="AE83">
        <v>0</v>
      </c>
      <c r="AF83">
        <v>0</v>
      </c>
      <c r="AG83">
        <v>0</v>
      </c>
      <c r="AJ83" s="55">
        <v>42666</v>
      </c>
      <c r="AK83" s="55"/>
      <c r="AL83" s="55"/>
      <c r="AO83">
        <v>1</v>
      </c>
      <c r="AP83" t="s">
        <v>1660</v>
      </c>
      <c r="AR83">
        <v>20</v>
      </c>
      <c r="AS83" t="s">
        <v>1661</v>
      </c>
      <c r="AT83">
        <v>1</v>
      </c>
      <c r="AV83">
        <v>0</v>
      </c>
      <c r="AW83">
        <v>0</v>
      </c>
      <c r="AX83">
        <v>0</v>
      </c>
      <c r="AY83" t="s">
        <v>1662</v>
      </c>
      <c r="AZ83" t="s">
        <v>1662</v>
      </c>
      <c r="BA83">
        <v>20</v>
      </c>
      <c r="BD83">
        <v>1000000000</v>
      </c>
      <c r="BE83">
        <v>0</v>
      </c>
      <c r="BF83">
        <v>0</v>
      </c>
      <c r="BG83">
        <v>0</v>
      </c>
      <c r="BH83">
        <v>0</v>
      </c>
      <c r="BI83">
        <v>0</v>
      </c>
      <c r="BJ83">
        <v>0</v>
      </c>
      <c r="BK83">
        <v>0</v>
      </c>
      <c r="BL83">
        <v>0</v>
      </c>
      <c r="BM83">
        <v>0</v>
      </c>
      <c r="BN83">
        <v>0</v>
      </c>
      <c r="BR83">
        <v>0</v>
      </c>
      <c r="BS83">
        <v>0</v>
      </c>
      <c r="BX83">
        <v>0</v>
      </c>
      <c r="BY83">
        <v>0</v>
      </c>
      <c r="BZ83">
        <v>0</v>
      </c>
      <c r="CA83">
        <v>0</v>
      </c>
      <c r="CC83">
        <v>0</v>
      </c>
      <c r="CD83" s="55">
        <v>42815</v>
      </c>
      <c r="CE83" s="55"/>
      <c r="CF83" s="55">
        <v>42825</v>
      </c>
      <c r="CG83" s="55">
        <v>42874</v>
      </c>
      <c r="CH83" s="55">
        <v>0</v>
      </c>
      <c r="CI83" s="55">
        <v>0</v>
      </c>
      <c r="CJ83">
        <v>1</v>
      </c>
      <c r="CK83">
        <v>0</v>
      </c>
      <c r="CL83">
        <v>0.96</v>
      </c>
      <c r="CM83">
        <v>0</v>
      </c>
      <c r="CN83">
        <v>0</v>
      </c>
      <c r="CO83">
        <v>0</v>
      </c>
      <c r="CP83">
        <v>0</v>
      </c>
      <c r="CQ83" t="s">
        <v>1664</v>
      </c>
      <c r="CR83" t="s">
        <v>1368</v>
      </c>
      <c r="CS83" t="s">
        <v>1665</v>
      </c>
      <c r="CT83" t="s">
        <v>1959</v>
      </c>
      <c r="CU83" t="s">
        <v>1966</v>
      </c>
      <c r="CV83" t="s">
        <v>2129</v>
      </c>
      <c r="DB83" t="s">
        <v>2122</v>
      </c>
      <c r="DE83" t="s">
        <v>1959</v>
      </c>
    </row>
    <row r="84" spans="1:109" x14ac:dyDescent="0.25">
      <c r="A84" t="s">
        <v>1664</v>
      </c>
      <c r="B84">
        <v>2</v>
      </c>
      <c r="C84" s="55">
        <v>42874</v>
      </c>
      <c r="D84" t="s">
        <v>1658</v>
      </c>
      <c r="E84" t="s">
        <v>2130</v>
      </c>
      <c r="G84" t="s">
        <v>1659</v>
      </c>
      <c r="H84" t="s">
        <v>1659</v>
      </c>
      <c r="I84" t="s">
        <v>1659</v>
      </c>
      <c r="J84" t="s">
        <v>1659</v>
      </c>
      <c r="K84" t="s">
        <v>1659</v>
      </c>
      <c r="L84">
        <v>0</v>
      </c>
      <c r="M84">
        <v>0</v>
      </c>
      <c r="N84">
        <v>0</v>
      </c>
      <c r="O84" s="55"/>
      <c r="P84" s="55"/>
      <c r="Q84">
        <v>13730</v>
      </c>
      <c r="R84">
        <v>15</v>
      </c>
      <c r="S84">
        <v>7</v>
      </c>
      <c r="T84">
        <v>3</v>
      </c>
      <c r="U84">
        <v>4</v>
      </c>
      <c r="V84">
        <v>1</v>
      </c>
      <c r="X84" t="s">
        <v>1981</v>
      </c>
      <c r="AA84">
        <v>0</v>
      </c>
      <c r="AB84">
        <v>0</v>
      </c>
      <c r="AC84">
        <v>0</v>
      </c>
      <c r="AD84">
        <v>0</v>
      </c>
      <c r="AE84">
        <v>0</v>
      </c>
      <c r="AF84">
        <v>0</v>
      </c>
      <c r="AG84">
        <v>0</v>
      </c>
      <c r="AJ84" s="55"/>
      <c r="AK84" s="55"/>
      <c r="AL84" s="55"/>
      <c r="AO84">
        <v>1</v>
      </c>
      <c r="AP84" t="s">
        <v>1660</v>
      </c>
      <c r="AR84">
        <v>20</v>
      </c>
      <c r="AS84" t="s">
        <v>1661</v>
      </c>
      <c r="AT84">
        <v>1</v>
      </c>
      <c r="AV84">
        <v>0</v>
      </c>
      <c r="AW84">
        <v>0</v>
      </c>
      <c r="AX84">
        <v>0</v>
      </c>
      <c r="AY84" t="s">
        <v>1662</v>
      </c>
      <c r="AZ84" t="s">
        <v>1662</v>
      </c>
      <c r="BA84">
        <v>20</v>
      </c>
      <c r="BD84">
        <v>1000000000</v>
      </c>
      <c r="BE84">
        <v>0</v>
      </c>
      <c r="BF84">
        <v>0</v>
      </c>
      <c r="BG84">
        <v>0</v>
      </c>
      <c r="BH84">
        <v>0</v>
      </c>
      <c r="BI84">
        <v>0</v>
      </c>
      <c r="BJ84">
        <v>0</v>
      </c>
      <c r="BK84">
        <v>0</v>
      </c>
      <c r="BL84">
        <v>0</v>
      </c>
      <c r="BM84">
        <v>0</v>
      </c>
      <c r="BN84">
        <v>0</v>
      </c>
      <c r="BR84">
        <v>0</v>
      </c>
      <c r="BS84">
        <v>0</v>
      </c>
      <c r="BX84">
        <v>0</v>
      </c>
      <c r="BY84">
        <v>0</v>
      </c>
      <c r="BZ84">
        <v>0</v>
      </c>
      <c r="CA84">
        <v>0</v>
      </c>
      <c r="CC84">
        <v>0</v>
      </c>
      <c r="CD84" s="55">
        <v>42815</v>
      </c>
      <c r="CE84" s="55"/>
      <c r="CF84" s="55">
        <v>42825</v>
      </c>
      <c r="CG84" s="55">
        <v>42874</v>
      </c>
      <c r="CH84" s="55">
        <v>0</v>
      </c>
      <c r="CI84" s="55">
        <v>0</v>
      </c>
      <c r="CJ84">
        <v>1</v>
      </c>
      <c r="CK84">
        <v>0</v>
      </c>
      <c r="CL84">
        <v>0.96</v>
      </c>
      <c r="CM84">
        <v>0</v>
      </c>
      <c r="CN84">
        <v>0</v>
      </c>
      <c r="CO84">
        <v>0</v>
      </c>
      <c r="CP84">
        <v>0</v>
      </c>
      <c r="CQ84" t="s">
        <v>1664</v>
      </c>
      <c r="CR84" t="s">
        <v>1368</v>
      </c>
      <c r="CS84" t="s">
        <v>1665</v>
      </c>
      <c r="CT84" t="s">
        <v>1959</v>
      </c>
      <c r="CU84" t="s">
        <v>1966</v>
      </c>
      <c r="CV84" t="s">
        <v>2131</v>
      </c>
      <c r="DB84" t="s">
        <v>2132</v>
      </c>
      <c r="DE84" t="s">
        <v>1959</v>
      </c>
    </row>
    <row r="85" spans="1:109" x14ac:dyDescent="0.25">
      <c r="A85" t="s">
        <v>1664</v>
      </c>
      <c r="B85">
        <v>2</v>
      </c>
      <c r="C85" s="55">
        <v>42874</v>
      </c>
      <c r="D85" t="s">
        <v>1658</v>
      </c>
      <c r="E85" t="s">
        <v>2133</v>
      </c>
      <c r="G85" t="s">
        <v>1659</v>
      </c>
      <c r="H85" t="s">
        <v>1659</v>
      </c>
      <c r="I85" t="s">
        <v>1659</v>
      </c>
      <c r="J85" t="s">
        <v>1659</v>
      </c>
      <c r="K85" t="s">
        <v>1659</v>
      </c>
      <c r="L85">
        <v>0</v>
      </c>
      <c r="M85">
        <v>0</v>
      </c>
      <c r="N85">
        <v>0</v>
      </c>
      <c r="O85" s="55"/>
      <c r="P85" s="55"/>
      <c r="Q85">
        <v>13730</v>
      </c>
      <c r="R85">
        <v>15</v>
      </c>
      <c r="S85">
        <v>7</v>
      </c>
      <c r="T85">
        <v>3</v>
      </c>
      <c r="U85">
        <v>4</v>
      </c>
      <c r="V85">
        <v>1</v>
      </c>
      <c r="X85" t="s">
        <v>1981</v>
      </c>
      <c r="AA85">
        <v>0</v>
      </c>
      <c r="AB85">
        <v>0</v>
      </c>
      <c r="AC85">
        <v>0</v>
      </c>
      <c r="AD85">
        <v>0</v>
      </c>
      <c r="AE85">
        <v>0</v>
      </c>
      <c r="AF85">
        <v>0</v>
      </c>
      <c r="AG85">
        <v>0</v>
      </c>
      <c r="AJ85" s="55"/>
      <c r="AK85" s="55"/>
      <c r="AL85" s="55"/>
      <c r="AO85">
        <v>1</v>
      </c>
      <c r="AP85" t="s">
        <v>1660</v>
      </c>
      <c r="AR85">
        <v>20</v>
      </c>
      <c r="AS85" t="s">
        <v>1661</v>
      </c>
      <c r="AT85">
        <v>1</v>
      </c>
      <c r="AV85">
        <v>0</v>
      </c>
      <c r="AW85">
        <v>0</v>
      </c>
      <c r="AX85">
        <v>0</v>
      </c>
      <c r="AY85" t="s">
        <v>1662</v>
      </c>
      <c r="AZ85" t="s">
        <v>1662</v>
      </c>
      <c r="BA85">
        <v>20</v>
      </c>
      <c r="BD85">
        <v>1000000000</v>
      </c>
      <c r="BE85">
        <v>0</v>
      </c>
      <c r="BF85">
        <v>0</v>
      </c>
      <c r="BG85">
        <v>0</v>
      </c>
      <c r="BH85">
        <v>0</v>
      </c>
      <c r="BI85">
        <v>0</v>
      </c>
      <c r="BJ85">
        <v>0</v>
      </c>
      <c r="BK85">
        <v>0</v>
      </c>
      <c r="BL85">
        <v>0</v>
      </c>
      <c r="BM85">
        <v>0</v>
      </c>
      <c r="BN85">
        <v>0</v>
      </c>
      <c r="BR85">
        <v>0</v>
      </c>
      <c r="BS85">
        <v>0</v>
      </c>
      <c r="BX85">
        <v>0</v>
      </c>
      <c r="BY85">
        <v>0</v>
      </c>
      <c r="BZ85">
        <v>0</v>
      </c>
      <c r="CA85">
        <v>0</v>
      </c>
      <c r="CC85">
        <v>0</v>
      </c>
      <c r="CD85" s="55">
        <v>42815</v>
      </c>
      <c r="CE85" s="55"/>
      <c r="CF85" s="55">
        <v>42825</v>
      </c>
      <c r="CG85" s="55">
        <v>42874</v>
      </c>
      <c r="CH85" s="55">
        <v>0</v>
      </c>
      <c r="CI85" s="55">
        <v>0</v>
      </c>
      <c r="CJ85">
        <v>1</v>
      </c>
      <c r="CK85">
        <v>0</v>
      </c>
      <c r="CL85">
        <v>0.96</v>
      </c>
      <c r="CM85">
        <v>0</v>
      </c>
      <c r="CN85">
        <v>0</v>
      </c>
      <c r="CO85">
        <v>0</v>
      </c>
      <c r="CP85">
        <v>0</v>
      </c>
      <c r="CQ85" t="s">
        <v>1664</v>
      </c>
      <c r="CR85" t="s">
        <v>1368</v>
      </c>
      <c r="CS85" t="s">
        <v>1665</v>
      </c>
      <c r="CT85" t="s">
        <v>1959</v>
      </c>
      <c r="CU85" t="s">
        <v>1966</v>
      </c>
      <c r="CV85" t="s">
        <v>2131</v>
      </c>
      <c r="DB85" t="s">
        <v>2132</v>
      </c>
      <c r="DE85" t="s">
        <v>1959</v>
      </c>
    </row>
    <row r="86" spans="1:109" x14ac:dyDescent="0.25">
      <c r="A86" t="s">
        <v>1664</v>
      </c>
      <c r="B86">
        <v>2</v>
      </c>
      <c r="C86" s="55">
        <v>42874</v>
      </c>
      <c r="D86" t="s">
        <v>1658</v>
      </c>
      <c r="E86" t="s">
        <v>2134</v>
      </c>
      <c r="G86" t="s">
        <v>1659</v>
      </c>
      <c r="H86" t="s">
        <v>1659</v>
      </c>
      <c r="I86" t="s">
        <v>1659</v>
      </c>
      <c r="J86" t="s">
        <v>1659</v>
      </c>
      <c r="K86" t="s">
        <v>1659</v>
      </c>
      <c r="L86">
        <v>4.96</v>
      </c>
      <c r="M86">
        <v>9.3000000000000007</v>
      </c>
      <c r="N86">
        <v>0</v>
      </c>
      <c r="O86" s="55"/>
      <c r="P86" s="55"/>
      <c r="Q86">
        <v>13730</v>
      </c>
      <c r="R86">
        <v>15</v>
      </c>
      <c r="S86">
        <v>7</v>
      </c>
      <c r="T86">
        <v>3</v>
      </c>
      <c r="U86">
        <v>4</v>
      </c>
      <c r="V86">
        <v>1</v>
      </c>
      <c r="X86" t="s">
        <v>1690</v>
      </c>
      <c r="AA86">
        <v>0</v>
      </c>
      <c r="AB86">
        <v>0</v>
      </c>
      <c r="AC86">
        <v>0</v>
      </c>
      <c r="AD86">
        <v>0</v>
      </c>
      <c r="AE86">
        <v>0</v>
      </c>
      <c r="AF86">
        <v>0</v>
      </c>
      <c r="AG86">
        <v>0</v>
      </c>
      <c r="AJ86" s="55"/>
      <c r="AK86" s="55"/>
      <c r="AL86" s="55"/>
      <c r="AO86">
        <v>1</v>
      </c>
      <c r="AP86" t="s">
        <v>1660</v>
      </c>
      <c r="AR86">
        <v>20</v>
      </c>
      <c r="AS86" t="s">
        <v>1661</v>
      </c>
      <c r="AT86">
        <v>1</v>
      </c>
      <c r="AV86">
        <v>0</v>
      </c>
      <c r="AW86">
        <v>0</v>
      </c>
      <c r="AX86">
        <v>0</v>
      </c>
      <c r="AY86" t="s">
        <v>1662</v>
      </c>
      <c r="AZ86" t="s">
        <v>1662</v>
      </c>
      <c r="BA86">
        <v>20</v>
      </c>
      <c r="BD86">
        <v>1000000000</v>
      </c>
      <c r="BE86">
        <v>37</v>
      </c>
      <c r="BF86">
        <v>0</v>
      </c>
      <c r="BG86">
        <v>0</v>
      </c>
      <c r="BH86">
        <v>0</v>
      </c>
      <c r="BI86">
        <v>0</v>
      </c>
      <c r="BJ86">
        <v>0</v>
      </c>
      <c r="BK86">
        <v>0</v>
      </c>
      <c r="BL86">
        <v>0</v>
      </c>
      <c r="BM86">
        <v>37</v>
      </c>
      <c r="BN86">
        <v>0</v>
      </c>
      <c r="BR86">
        <v>0</v>
      </c>
      <c r="BS86">
        <v>0</v>
      </c>
      <c r="BX86">
        <v>0</v>
      </c>
      <c r="BY86">
        <v>0</v>
      </c>
      <c r="BZ86">
        <v>0</v>
      </c>
      <c r="CA86">
        <v>0</v>
      </c>
      <c r="CC86">
        <v>0</v>
      </c>
      <c r="CD86" s="55">
        <v>42816</v>
      </c>
      <c r="CE86" s="55"/>
      <c r="CF86" s="55">
        <v>42825</v>
      </c>
      <c r="CG86" s="55">
        <v>42874</v>
      </c>
      <c r="CH86" s="55">
        <v>0</v>
      </c>
      <c r="CI86" s="55">
        <v>0</v>
      </c>
      <c r="CJ86">
        <v>0.02</v>
      </c>
      <c r="CK86">
        <v>0</v>
      </c>
      <c r="CL86">
        <v>0</v>
      </c>
      <c r="CM86">
        <v>0</v>
      </c>
      <c r="CN86">
        <v>0</v>
      </c>
      <c r="CO86">
        <v>0</v>
      </c>
      <c r="CP86">
        <v>0.96</v>
      </c>
      <c r="CQ86" t="s">
        <v>1664</v>
      </c>
      <c r="CR86" t="s">
        <v>1368</v>
      </c>
      <c r="CS86" t="s">
        <v>1665</v>
      </c>
      <c r="CT86" t="s">
        <v>1959</v>
      </c>
      <c r="CU86" t="s">
        <v>1966</v>
      </c>
      <c r="CV86" t="s">
        <v>2131</v>
      </c>
      <c r="DB86" t="s">
        <v>2132</v>
      </c>
      <c r="DE86" t="s">
        <v>1959</v>
      </c>
    </row>
    <row r="87" spans="1:109" x14ac:dyDescent="0.25">
      <c r="A87" t="s">
        <v>1664</v>
      </c>
      <c r="B87">
        <v>2</v>
      </c>
      <c r="C87" s="55">
        <v>42874</v>
      </c>
      <c r="D87" t="s">
        <v>1658</v>
      </c>
      <c r="E87" t="s">
        <v>2135</v>
      </c>
      <c r="G87" t="s">
        <v>1659</v>
      </c>
      <c r="H87" t="s">
        <v>1659</v>
      </c>
      <c r="I87" t="s">
        <v>1659</v>
      </c>
      <c r="J87" t="s">
        <v>1659</v>
      </c>
      <c r="K87" t="s">
        <v>1659</v>
      </c>
      <c r="L87">
        <v>6.33</v>
      </c>
      <c r="M87">
        <v>11.87</v>
      </c>
      <c r="N87">
        <v>0</v>
      </c>
      <c r="O87" s="55"/>
      <c r="P87" s="55"/>
      <c r="Q87">
        <v>13730</v>
      </c>
      <c r="R87">
        <v>15</v>
      </c>
      <c r="S87">
        <v>7</v>
      </c>
      <c r="T87">
        <v>3</v>
      </c>
      <c r="U87">
        <v>4</v>
      </c>
      <c r="V87">
        <v>1</v>
      </c>
      <c r="X87" t="s">
        <v>1690</v>
      </c>
      <c r="AA87">
        <v>0</v>
      </c>
      <c r="AB87">
        <v>0</v>
      </c>
      <c r="AC87">
        <v>0</v>
      </c>
      <c r="AD87">
        <v>0</v>
      </c>
      <c r="AE87">
        <v>0</v>
      </c>
      <c r="AF87">
        <v>0</v>
      </c>
      <c r="AG87">
        <v>0</v>
      </c>
      <c r="AJ87" s="55"/>
      <c r="AK87" s="55"/>
      <c r="AL87" s="55"/>
      <c r="AO87">
        <v>1</v>
      </c>
      <c r="AP87" t="s">
        <v>1660</v>
      </c>
      <c r="AR87">
        <v>20</v>
      </c>
      <c r="AS87" t="s">
        <v>1661</v>
      </c>
      <c r="AT87">
        <v>1</v>
      </c>
      <c r="AV87">
        <v>0</v>
      </c>
      <c r="AW87">
        <v>0</v>
      </c>
      <c r="AX87">
        <v>0</v>
      </c>
      <c r="AY87" t="s">
        <v>1662</v>
      </c>
      <c r="AZ87" t="s">
        <v>1662</v>
      </c>
      <c r="BA87">
        <v>20</v>
      </c>
      <c r="BD87">
        <v>1000000000</v>
      </c>
      <c r="BE87">
        <v>54</v>
      </c>
      <c r="BF87">
        <v>0</v>
      </c>
      <c r="BG87">
        <v>0</v>
      </c>
      <c r="BH87">
        <v>0</v>
      </c>
      <c r="BI87">
        <v>0</v>
      </c>
      <c r="BJ87">
        <v>0</v>
      </c>
      <c r="BK87">
        <v>0</v>
      </c>
      <c r="BL87">
        <v>0</v>
      </c>
      <c r="BM87">
        <v>54</v>
      </c>
      <c r="BN87">
        <v>0</v>
      </c>
      <c r="BR87">
        <v>0</v>
      </c>
      <c r="BS87">
        <v>0</v>
      </c>
      <c r="BX87">
        <v>0</v>
      </c>
      <c r="BY87">
        <v>0</v>
      </c>
      <c r="BZ87">
        <v>0</v>
      </c>
      <c r="CA87">
        <v>0</v>
      </c>
      <c r="CC87">
        <v>0</v>
      </c>
      <c r="CD87" s="55">
        <v>42816</v>
      </c>
      <c r="CE87" s="55"/>
      <c r="CF87" s="55">
        <v>42825</v>
      </c>
      <c r="CG87" s="55">
        <v>42874</v>
      </c>
      <c r="CH87" s="55">
        <v>0</v>
      </c>
      <c r="CI87" s="55">
        <v>0</v>
      </c>
      <c r="CJ87">
        <v>0.01</v>
      </c>
      <c r="CK87">
        <v>0</v>
      </c>
      <c r="CL87">
        <v>0</v>
      </c>
      <c r="CM87">
        <v>0</v>
      </c>
      <c r="CN87">
        <v>0</v>
      </c>
      <c r="CO87">
        <v>0</v>
      </c>
      <c r="CP87">
        <v>0.96</v>
      </c>
      <c r="CQ87" t="s">
        <v>1664</v>
      </c>
      <c r="CR87" t="s">
        <v>1368</v>
      </c>
      <c r="CS87" t="s">
        <v>1665</v>
      </c>
      <c r="CT87" t="s">
        <v>1959</v>
      </c>
      <c r="CU87" t="s">
        <v>1966</v>
      </c>
      <c r="CV87" t="s">
        <v>2131</v>
      </c>
      <c r="DB87" t="s">
        <v>2132</v>
      </c>
      <c r="DE87" t="s">
        <v>1959</v>
      </c>
    </row>
    <row r="88" spans="1:109" x14ac:dyDescent="0.25">
      <c r="A88" t="s">
        <v>1664</v>
      </c>
      <c r="B88">
        <v>2</v>
      </c>
      <c r="C88" s="55">
        <v>42874</v>
      </c>
      <c r="D88" t="s">
        <v>1658</v>
      </c>
      <c r="E88" t="s">
        <v>2136</v>
      </c>
      <c r="G88" t="s">
        <v>1659</v>
      </c>
      <c r="H88" t="s">
        <v>1659</v>
      </c>
      <c r="I88" t="s">
        <v>1659</v>
      </c>
      <c r="J88" t="s">
        <v>1659</v>
      </c>
      <c r="K88" t="s">
        <v>1659</v>
      </c>
      <c r="L88">
        <v>0</v>
      </c>
      <c r="M88">
        <v>0</v>
      </c>
      <c r="N88">
        <v>0</v>
      </c>
      <c r="O88" s="55"/>
      <c r="P88" s="55"/>
      <c r="Q88">
        <v>13730</v>
      </c>
      <c r="R88">
        <v>15</v>
      </c>
      <c r="S88">
        <v>7</v>
      </c>
      <c r="T88">
        <v>3</v>
      </c>
      <c r="U88">
        <v>4</v>
      </c>
      <c r="V88">
        <v>1</v>
      </c>
      <c r="X88" t="s">
        <v>1981</v>
      </c>
      <c r="AA88">
        <v>0</v>
      </c>
      <c r="AB88">
        <v>0</v>
      </c>
      <c r="AC88">
        <v>0</v>
      </c>
      <c r="AD88">
        <v>0</v>
      </c>
      <c r="AE88">
        <v>0</v>
      </c>
      <c r="AF88">
        <v>0</v>
      </c>
      <c r="AG88">
        <v>0</v>
      </c>
      <c r="AJ88" s="55"/>
      <c r="AK88" s="55"/>
      <c r="AL88" s="55"/>
      <c r="AO88">
        <v>1</v>
      </c>
      <c r="AP88" t="s">
        <v>1660</v>
      </c>
      <c r="AR88">
        <v>20</v>
      </c>
      <c r="AS88" t="s">
        <v>1661</v>
      </c>
      <c r="AT88">
        <v>1</v>
      </c>
      <c r="AV88">
        <v>0</v>
      </c>
      <c r="AW88">
        <v>0</v>
      </c>
      <c r="AX88">
        <v>0</v>
      </c>
      <c r="AY88" t="s">
        <v>1662</v>
      </c>
      <c r="AZ88" t="s">
        <v>1662</v>
      </c>
      <c r="BA88">
        <v>20</v>
      </c>
      <c r="BD88">
        <v>1000000000</v>
      </c>
      <c r="BE88">
        <v>0</v>
      </c>
      <c r="BF88">
        <v>0</v>
      </c>
      <c r="BG88">
        <v>0</v>
      </c>
      <c r="BH88">
        <v>0</v>
      </c>
      <c r="BI88">
        <v>0</v>
      </c>
      <c r="BJ88">
        <v>0</v>
      </c>
      <c r="BK88">
        <v>0</v>
      </c>
      <c r="BL88">
        <v>0</v>
      </c>
      <c r="BM88">
        <v>0</v>
      </c>
      <c r="BN88">
        <v>0</v>
      </c>
      <c r="BR88">
        <v>0</v>
      </c>
      <c r="BS88">
        <v>0</v>
      </c>
      <c r="BX88">
        <v>0</v>
      </c>
      <c r="BY88">
        <v>0</v>
      </c>
      <c r="BZ88">
        <v>0</v>
      </c>
      <c r="CA88">
        <v>0</v>
      </c>
      <c r="CC88">
        <v>0</v>
      </c>
      <c r="CD88" s="55">
        <v>42815</v>
      </c>
      <c r="CE88" s="55"/>
      <c r="CF88" s="55">
        <v>42825</v>
      </c>
      <c r="CG88" s="55">
        <v>42874</v>
      </c>
      <c r="CH88" s="55">
        <v>0</v>
      </c>
      <c r="CI88" s="55">
        <v>0</v>
      </c>
      <c r="CJ88">
        <v>1</v>
      </c>
      <c r="CK88">
        <v>0</v>
      </c>
      <c r="CL88">
        <v>0.96</v>
      </c>
      <c r="CM88">
        <v>0</v>
      </c>
      <c r="CN88">
        <v>0</v>
      </c>
      <c r="CO88">
        <v>0</v>
      </c>
      <c r="CP88">
        <v>0</v>
      </c>
      <c r="CQ88" t="s">
        <v>1664</v>
      </c>
      <c r="CR88" t="s">
        <v>1368</v>
      </c>
      <c r="CS88" t="s">
        <v>1665</v>
      </c>
      <c r="CT88" t="s">
        <v>1959</v>
      </c>
      <c r="CU88" t="s">
        <v>1966</v>
      </c>
      <c r="CV88" t="s">
        <v>2131</v>
      </c>
      <c r="DB88" t="s">
        <v>2132</v>
      </c>
      <c r="DE88" t="s">
        <v>1959</v>
      </c>
    </row>
    <row r="89" spans="1:109" x14ac:dyDescent="0.25">
      <c r="A89" t="s">
        <v>1664</v>
      </c>
      <c r="B89">
        <v>2</v>
      </c>
      <c r="C89" s="55">
        <v>42874</v>
      </c>
      <c r="D89" t="s">
        <v>1658</v>
      </c>
      <c r="E89" t="s">
        <v>2137</v>
      </c>
      <c r="G89" t="s">
        <v>1659</v>
      </c>
      <c r="H89" t="s">
        <v>1659</v>
      </c>
      <c r="I89" t="s">
        <v>1659</v>
      </c>
      <c r="J89" t="s">
        <v>1659</v>
      </c>
      <c r="K89" t="s">
        <v>1659</v>
      </c>
      <c r="L89">
        <v>0</v>
      </c>
      <c r="M89">
        <v>0</v>
      </c>
      <c r="N89">
        <v>0</v>
      </c>
      <c r="O89" s="55"/>
      <c r="P89" s="55"/>
      <c r="Q89">
        <v>13730</v>
      </c>
      <c r="R89">
        <v>15</v>
      </c>
      <c r="S89">
        <v>7</v>
      </c>
      <c r="T89">
        <v>3</v>
      </c>
      <c r="U89">
        <v>4</v>
      </c>
      <c r="V89">
        <v>1</v>
      </c>
      <c r="X89" t="s">
        <v>1981</v>
      </c>
      <c r="AA89">
        <v>0</v>
      </c>
      <c r="AB89">
        <v>0</v>
      </c>
      <c r="AC89">
        <v>0</v>
      </c>
      <c r="AD89">
        <v>0</v>
      </c>
      <c r="AE89">
        <v>0</v>
      </c>
      <c r="AF89">
        <v>0</v>
      </c>
      <c r="AG89">
        <v>0</v>
      </c>
      <c r="AJ89" s="55"/>
      <c r="AK89" s="55"/>
      <c r="AL89" s="55"/>
      <c r="AO89">
        <v>1</v>
      </c>
      <c r="AP89" t="s">
        <v>1660</v>
      </c>
      <c r="AR89">
        <v>20</v>
      </c>
      <c r="AS89" t="s">
        <v>1661</v>
      </c>
      <c r="AT89">
        <v>1</v>
      </c>
      <c r="AV89">
        <v>0</v>
      </c>
      <c r="AW89">
        <v>0</v>
      </c>
      <c r="AX89">
        <v>0</v>
      </c>
      <c r="AY89" t="s">
        <v>1662</v>
      </c>
      <c r="AZ89" t="s">
        <v>1662</v>
      </c>
      <c r="BA89">
        <v>20</v>
      </c>
      <c r="BD89">
        <v>1000000000</v>
      </c>
      <c r="BE89">
        <v>0</v>
      </c>
      <c r="BF89">
        <v>0</v>
      </c>
      <c r="BG89">
        <v>0</v>
      </c>
      <c r="BH89">
        <v>0</v>
      </c>
      <c r="BI89">
        <v>0</v>
      </c>
      <c r="BJ89">
        <v>0</v>
      </c>
      <c r="BK89">
        <v>0</v>
      </c>
      <c r="BL89">
        <v>0</v>
      </c>
      <c r="BM89">
        <v>0</v>
      </c>
      <c r="BN89">
        <v>0</v>
      </c>
      <c r="BR89">
        <v>0</v>
      </c>
      <c r="BS89">
        <v>0</v>
      </c>
      <c r="BX89">
        <v>0</v>
      </c>
      <c r="BY89">
        <v>0</v>
      </c>
      <c r="BZ89">
        <v>0</v>
      </c>
      <c r="CA89">
        <v>0</v>
      </c>
      <c r="CC89">
        <v>0</v>
      </c>
      <c r="CD89" s="55">
        <v>42815</v>
      </c>
      <c r="CE89" s="55"/>
      <c r="CF89" s="55">
        <v>42825</v>
      </c>
      <c r="CG89" s="55">
        <v>42874</v>
      </c>
      <c r="CH89" s="55">
        <v>0</v>
      </c>
      <c r="CI89" s="55">
        <v>0</v>
      </c>
      <c r="CJ89">
        <v>1</v>
      </c>
      <c r="CK89">
        <v>0</v>
      </c>
      <c r="CL89">
        <v>0.96</v>
      </c>
      <c r="CM89">
        <v>0</v>
      </c>
      <c r="CN89">
        <v>0</v>
      </c>
      <c r="CO89">
        <v>0</v>
      </c>
      <c r="CP89">
        <v>0</v>
      </c>
      <c r="CQ89" t="s">
        <v>1664</v>
      </c>
      <c r="CR89" t="s">
        <v>1368</v>
      </c>
      <c r="CS89" t="s">
        <v>1665</v>
      </c>
      <c r="CT89" t="s">
        <v>1959</v>
      </c>
      <c r="CU89" t="s">
        <v>1966</v>
      </c>
      <c r="CV89" t="s">
        <v>2131</v>
      </c>
      <c r="DB89" t="s">
        <v>2132</v>
      </c>
      <c r="DE89" t="s">
        <v>1959</v>
      </c>
    </row>
    <row r="90" spans="1:109" x14ac:dyDescent="0.25">
      <c r="A90" t="s">
        <v>1664</v>
      </c>
      <c r="B90">
        <v>2</v>
      </c>
      <c r="C90" s="55">
        <v>42874</v>
      </c>
      <c r="D90" t="s">
        <v>1658</v>
      </c>
      <c r="E90" t="s">
        <v>2138</v>
      </c>
      <c r="G90" t="s">
        <v>1659</v>
      </c>
      <c r="H90" t="s">
        <v>1659</v>
      </c>
      <c r="I90" t="s">
        <v>1659</v>
      </c>
      <c r="J90" t="s">
        <v>1659</v>
      </c>
      <c r="K90" t="s">
        <v>1659</v>
      </c>
      <c r="L90">
        <v>0</v>
      </c>
      <c r="M90">
        <v>0</v>
      </c>
      <c r="N90">
        <v>0</v>
      </c>
      <c r="O90" s="55"/>
      <c r="P90" s="55"/>
      <c r="Q90">
        <v>13730</v>
      </c>
      <c r="R90">
        <v>15</v>
      </c>
      <c r="S90">
        <v>7</v>
      </c>
      <c r="T90">
        <v>3</v>
      </c>
      <c r="U90">
        <v>4</v>
      </c>
      <c r="V90">
        <v>1</v>
      </c>
      <c r="X90" t="s">
        <v>1981</v>
      </c>
      <c r="AA90">
        <v>0</v>
      </c>
      <c r="AB90">
        <v>0</v>
      </c>
      <c r="AC90">
        <v>0</v>
      </c>
      <c r="AD90">
        <v>0</v>
      </c>
      <c r="AE90">
        <v>0</v>
      </c>
      <c r="AF90">
        <v>0</v>
      </c>
      <c r="AG90">
        <v>0</v>
      </c>
      <c r="AJ90" s="55"/>
      <c r="AK90" s="55"/>
      <c r="AL90" s="55"/>
      <c r="AO90">
        <v>1</v>
      </c>
      <c r="AP90" t="s">
        <v>1660</v>
      </c>
      <c r="AR90">
        <v>20</v>
      </c>
      <c r="AS90" t="s">
        <v>1661</v>
      </c>
      <c r="AT90">
        <v>1</v>
      </c>
      <c r="AV90">
        <v>0</v>
      </c>
      <c r="AW90">
        <v>0</v>
      </c>
      <c r="AX90">
        <v>0</v>
      </c>
      <c r="AY90" t="s">
        <v>1662</v>
      </c>
      <c r="AZ90" t="s">
        <v>1662</v>
      </c>
      <c r="BA90">
        <v>20</v>
      </c>
      <c r="BD90">
        <v>1000000000</v>
      </c>
      <c r="BE90">
        <v>0</v>
      </c>
      <c r="BF90">
        <v>0</v>
      </c>
      <c r="BG90">
        <v>0</v>
      </c>
      <c r="BH90">
        <v>0</v>
      </c>
      <c r="BI90">
        <v>0</v>
      </c>
      <c r="BJ90">
        <v>0</v>
      </c>
      <c r="BK90">
        <v>0</v>
      </c>
      <c r="BL90">
        <v>0</v>
      </c>
      <c r="BM90">
        <v>0</v>
      </c>
      <c r="BN90">
        <v>0</v>
      </c>
      <c r="BR90">
        <v>0</v>
      </c>
      <c r="BS90">
        <v>0</v>
      </c>
      <c r="BX90">
        <v>0</v>
      </c>
      <c r="BY90">
        <v>0</v>
      </c>
      <c r="BZ90">
        <v>0</v>
      </c>
      <c r="CA90">
        <v>0</v>
      </c>
      <c r="CC90">
        <v>0</v>
      </c>
      <c r="CD90" s="55">
        <v>42815</v>
      </c>
      <c r="CE90" s="55"/>
      <c r="CF90" s="55">
        <v>42825</v>
      </c>
      <c r="CG90" s="55">
        <v>42874</v>
      </c>
      <c r="CH90" s="55">
        <v>0</v>
      </c>
      <c r="CI90" s="55">
        <v>0</v>
      </c>
      <c r="CJ90">
        <v>1</v>
      </c>
      <c r="CK90">
        <v>0</v>
      </c>
      <c r="CL90">
        <v>0.96</v>
      </c>
      <c r="CM90">
        <v>0</v>
      </c>
      <c r="CN90">
        <v>0</v>
      </c>
      <c r="CO90">
        <v>0</v>
      </c>
      <c r="CP90">
        <v>0</v>
      </c>
      <c r="CQ90" t="s">
        <v>1664</v>
      </c>
      <c r="CR90" t="s">
        <v>1368</v>
      </c>
      <c r="CS90" t="s">
        <v>1665</v>
      </c>
      <c r="CT90" t="s">
        <v>1959</v>
      </c>
      <c r="CU90" t="s">
        <v>1966</v>
      </c>
      <c r="CV90" t="s">
        <v>2139</v>
      </c>
      <c r="DB90" t="s">
        <v>2132</v>
      </c>
      <c r="DE90" t="s">
        <v>1959</v>
      </c>
    </row>
    <row r="91" spans="1:109" x14ac:dyDescent="0.25">
      <c r="A91" t="s">
        <v>1664</v>
      </c>
      <c r="B91">
        <v>2</v>
      </c>
      <c r="C91" s="55">
        <v>42874</v>
      </c>
      <c r="D91" t="s">
        <v>1658</v>
      </c>
      <c r="E91" t="s">
        <v>2140</v>
      </c>
      <c r="G91" t="s">
        <v>1659</v>
      </c>
      <c r="H91" t="s">
        <v>1659</v>
      </c>
      <c r="I91" t="s">
        <v>1659</v>
      </c>
      <c r="J91" t="s">
        <v>1659</v>
      </c>
      <c r="K91" t="s">
        <v>1659</v>
      </c>
      <c r="L91">
        <v>0</v>
      </c>
      <c r="M91">
        <v>0</v>
      </c>
      <c r="N91">
        <v>0</v>
      </c>
      <c r="O91" s="55"/>
      <c r="P91" s="55"/>
      <c r="Q91">
        <v>13730</v>
      </c>
      <c r="R91">
        <v>15</v>
      </c>
      <c r="S91">
        <v>7</v>
      </c>
      <c r="T91">
        <v>3</v>
      </c>
      <c r="U91">
        <v>4</v>
      </c>
      <c r="V91">
        <v>1</v>
      </c>
      <c r="X91" t="s">
        <v>1981</v>
      </c>
      <c r="AA91">
        <v>0</v>
      </c>
      <c r="AB91">
        <v>0</v>
      </c>
      <c r="AC91">
        <v>0</v>
      </c>
      <c r="AD91">
        <v>0</v>
      </c>
      <c r="AE91">
        <v>0</v>
      </c>
      <c r="AF91">
        <v>0</v>
      </c>
      <c r="AG91">
        <v>0</v>
      </c>
      <c r="AJ91" s="55"/>
      <c r="AK91" s="55"/>
      <c r="AL91" s="55"/>
      <c r="AO91">
        <v>1</v>
      </c>
      <c r="AP91" t="s">
        <v>1660</v>
      </c>
      <c r="AR91">
        <v>20</v>
      </c>
      <c r="AS91" t="s">
        <v>1661</v>
      </c>
      <c r="AT91">
        <v>1</v>
      </c>
      <c r="AV91">
        <v>0</v>
      </c>
      <c r="AW91">
        <v>0</v>
      </c>
      <c r="AX91">
        <v>0</v>
      </c>
      <c r="AY91" t="s">
        <v>1662</v>
      </c>
      <c r="AZ91" t="s">
        <v>1662</v>
      </c>
      <c r="BA91">
        <v>20</v>
      </c>
      <c r="BD91">
        <v>1000000000</v>
      </c>
      <c r="BE91">
        <v>0</v>
      </c>
      <c r="BF91">
        <v>0</v>
      </c>
      <c r="BG91">
        <v>0</v>
      </c>
      <c r="BH91">
        <v>0</v>
      </c>
      <c r="BI91">
        <v>0</v>
      </c>
      <c r="BJ91">
        <v>0</v>
      </c>
      <c r="BK91">
        <v>0</v>
      </c>
      <c r="BL91">
        <v>0</v>
      </c>
      <c r="BM91">
        <v>0</v>
      </c>
      <c r="BN91">
        <v>0</v>
      </c>
      <c r="BR91">
        <v>0</v>
      </c>
      <c r="BS91">
        <v>0</v>
      </c>
      <c r="BX91">
        <v>0</v>
      </c>
      <c r="BY91">
        <v>0</v>
      </c>
      <c r="BZ91">
        <v>0</v>
      </c>
      <c r="CA91">
        <v>0</v>
      </c>
      <c r="CC91">
        <v>0</v>
      </c>
      <c r="CD91" s="55">
        <v>42815</v>
      </c>
      <c r="CE91" s="55"/>
      <c r="CF91" s="55">
        <v>42825</v>
      </c>
      <c r="CG91" s="55">
        <v>42874</v>
      </c>
      <c r="CH91" s="55">
        <v>0</v>
      </c>
      <c r="CI91" s="55">
        <v>0</v>
      </c>
      <c r="CJ91">
        <v>1</v>
      </c>
      <c r="CK91">
        <v>0</v>
      </c>
      <c r="CL91">
        <v>0.96</v>
      </c>
      <c r="CM91">
        <v>0</v>
      </c>
      <c r="CN91">
        <v>0</v>
      </c>
      <c r="CO91">
        <v>0</v>
      </c>
      <c r="CP91">
        <v>0</v>
      </c>
      <c r="CQ91" t="s">
        <v>1664</v>
      </c>
      <c r="CR91" t="s">
        <v>1368</v>
      </c>
      <c r="CS91" t="s">
        <v>1665</v>
      </c>
      <c r="CT91" t="s">
        <v>1959</v>
      </c>
      <c r="CU91" t="s">
        <v>1966</v>
      </c>
      <c r="CV91" t="s">
        <v>2139</v>
      </c>
      <c r="DB91" t="s">
        <v>2132</v>
      </c>
      <c r="DE91" t="s">
        <v>1959</v>
      </c>
    </row>
    <row r="92" spans="1:109" x14ac:dyDescent="0.25">
      <c r="A92" t="s">
        <v>1664</v>
      </c>
      <c r="B92">
        <v>2</v>
      </c>
      <c r="C92" s="55">
        <v>42874</v>
      </c>
      <c r="D92" t="s">
        <v>1658</v>
      </c>
      <c r="E92" t="s">
        <v>2141</v>
      </c>
      <c r="G92" t="s">
        <v>1659</v>
      </c>
      <c r="H92" t="s">
        <v>1659</v>
      </c>
      <c r="I92" t="s">
        <v>1659</v>
      </c>
      <c r="J92" t="s">
        <v>1659</v>
      </c>
      <c r="K92" t="s">
        <v>1659</v>
      </c>
      <c r="L92">
        <v>0</v>
      </c>
      <c r="M92">
        <v>0</v>
      </c>
      <c r="N92">
        <v>0</v>
      </c>
      <c r="O92" s="55"/>
      <c r="P92" s="55"/>
      <c r="Q92">
        <v>13730</v>
      </c>
      <c r="R92">
        <v>15</v>
      </c>
      <c r="S92">
        <v>7</v>
      </c>
      <c r="T92">
        <v>3</v>
      </c>
      <c r="U92">
        <v>4</v>
      </c>
      <c r="V92">
        <v>1</v>
      </c>
      <c r="X92" t="s">
        <v>1981</v>
      </c>
      <c r="AA92">
        <v>0</v>
      </c>
      <c r="AB92">
        <v>0</v>
      </c>
      <c r="AC92">
        <v>0</v>
      </c>
      <c r="AD92">
        <v>0</v>
      </c>
      <c r="AE92">
        <v>0</v>
      </c>
      <c r="AF92">
        <v>0</v>
      </c>
      <c r="AG92">
        <v>0</v>
      </c>
      <c r="AJ92" s="55"/>
      <c r="AK92" s="55"/>
      <c r="AL92" s="55"/>
      <c r="AO92">
        <v>1</v>
      </c>
      <c r="AP92" t="s">
        <v>1660</v>
      </c>
      <c r="AR92">
        <v>20</v>
      </c>
      <c r="AS92" t="s">
        <v>1661</v>
      </c>
      <c r="AT92">
        <v>1</v>
      </c>
      <c r="AV92">
        <v>0</v>
      </c>
      <c r="AW92">
        <v>0</v>
      </c>
      <c r="AX92">
        <v>0</v>
      </c>
      <c r="AY92" t="s">
        <v>1662</v>
      </c>
      <c r="AZ92" t="s">
        <v>1662</v>
      </c>
      <c r="BA92">
        <v>20</v>
      </c>
      <c r="BD92">
        <v>1000000000</v>
      </c>
      <c r="BE92">
        <v>0</v>
      </c>
      <c r="BF92">
        <v>0</v>
      </c>
      <c r="BG92">
        <v>0</v>
      </c>
      <c r="BH92">
        <v>0</v>
      </c>
      <c r="BI92">
        <v>0</v>
      </c>
      <c r="BJ92">
        <v>0</v>
      </c>
      <c r="BK92">
        <v>0</v>
      </c>
      <c r="BL92">
        <v>0</v>
      </c>
      <c r="BM92">
        <v>0</v>
      </c>
      <c r="BN92">
        <v>0</v>
      </c>
      <c r="BR92">
        <v>0</v>
      </c>
      <c r="BS92">
        <v>0</v>
      </c>
      <c r="BX92">
        <v>0</v>
      </c>
      <c r="BY92">
        <v>0</v>
      </c>
      <c r="BZ92">
        <v>0</v>
      </c>
      <c r="CA92">
        <v>0</v>
      </c>
      <c r="CC92">
        <v>0</v>
      </c>
      <c r="CD92" s="55">
        <v>42815</v>
      </c>
      <c r="CE92" s="55"/>
      <c r="CF92" s="55">
        <v>42825</v>
      </c>
      <c r="CG92" s="55">
        <v>42874</v>
      </c>
      <c r="CH92" s="55">
        <v>0</v>
      </c>
      <c r="CI92" s="55">
        <v>0</v>
      </c>
      <c r="CJ92">
        <v>1</v>
      </c>
      <c r="CK92">
        <v>0</v>
      </c>
      <c r="CL92">
        <v>0.96</v>
      </c>
      <c r="CM92">
        <v>0</v>
      </c>
      <c r="CN92">
        <v>0</v>
      </c>
      <c r="CO92">
        <v>0</v>
      </c>
      <c r="CP92">
        <v>0</v>
      </c>
      <c r="CQ92" t="s">
        <v>1664</v>
      </c>
      <c r="CR92" t="s">
        <v>1368</v>
      </c>
      <c r="CS92" t="s">
        <v>1665</v>
      </c>
      <c r="CT92" t="s">
        <v>1959</v>
      </c>
      <c r="CU92" t="s">
        <v>1966</v>
      </c>
      <c r="CV92" t="s">
        <v>2139</v>
      </c>
      <c r="DB92" t="s">
        <v>2132</v>
      </c>
      <c r="DE92" t="s">
        <v>1959</v>
      </c>
    </row>
    <row r="93" spans="1:109" x14ac:dyDescent="0.25">
      <c r="A93" t="s">
        <v>1664</v>
      </c>
      <c r="B93">
        <v>2</v>
      </c>
      <c r="C93" s="55">
        <v>42874</v>
      </c>
      <c r="D93" t="s">
        <v>1658</v>
      </c>
      <c r="E93" t="s">
        <v>2142</v>
      </c>
      <c r="G93" t="s">
        <v>1659</v>
      </c>
      <c r="H93" t="s">
        <v>1659</v>
      </c>
      <c r="I93" t="s">
        <v>1659</v>
      </c>
      <c r="J93" t="s">
        <v>1659</v>
      </c>
      <c r="K93" t="s">
        <v>1659</v>
      </c>
      <c r="L93">
        <v>6.99</v>
      </c>
      <c r="M93">
        <v>12.02</v>
      </c>
      <c r="N93">
        <v>0</v>
      </c>
      <c r="O93" s="55"/>
      <c r="P93" s="55"/>
      <c r="Q93">
        <v>13730</v>
      </c>
      <c r="R93">
        <v>15</v>
      </c>
      <c r="S93">
        <v>7</v>
      </c>
      <c r="T93">
        <v>3</v>
      </c>
      <c r="U93">
        <v>4</v>
      </c>
      <c r="V93">
        <v>1</v>
      </c>
      <c r="X93" t="s">
        <v>1690</v>
      </c>
      <c r="AA93">
        <v>0</v>
      </c>
      <c r="AB93">
        <v>0</v>
      </c>
      <c r="AC93">
        <v>0</v>
      </c>
      <c r="AD93">
        <v>0</v>
      </c>
      <c r="AE93">
        <v>0</v>
      </c>
      <c r="AF93">
        <v>0</v>
      </c>
      <c r="AG93">
        <v>0</v>
      </c>
      <c r="AJ93" s="55"/>
      <c r="AK93" s="55"/>
      <c r="AL93" s="55"/>
      <c r="AO93">
        <v>1</v>
      </c>
      <c r="AP93" t="s">
        <v>1660</v>
      </c>
      <c r="AR93">
        <v>20</v>
      </c>
      <c r="AS93" t="s">
        <v>1661</v>
      </c>
      <c r="AT93">
        <v>1</v>
      </c>
      <c r="AV93">
        <v>0</v>
      </c>
      <c r="AW93">
        <v>0</v>
      </c>
      <c r="AX93">
        <v>0</v>
      </c>
      <c r="AY93" t="s">
        <v>1662</v>
      </c>
      <c r="AZ93" t="s">
        <v>1662</v>
      </c>
      <c r="BA93">
        <v>14</v>
      </c>
      <c r="BD93">
        <v>1000000000</v>
      </c>
      <c r="BE93">
        <v>37</v>
      </c>
      <c r="BF93">
        <v>0</v>
      </c>
      <c r="BG93">
        <v>0</v>
      </c>
      <c r="BH93">
        <v>0</v>
      </c>
      <c r="BI93">
        <v>0</v>
      </c>
      <c r="BJ93">
        <v>0</v>
      </c>
      <c r="BK93">
        <v>0</v>
      </c>
      <c r="BL93">
        <v>0</v>
      </c>
      <c r="BM93">
        <v>37</v>
      </c>
      <c r="BN93">
        <v>0</v>
      </c>
      <c r="BR93">
        <v>0</v>
      </c>
      <c r="BS93">
        <v>0</v>
      </c>
      <c r="BX93">
        <v>0</v>
      </c>
      <c r="BY93">
        <v>0</v>
      </c>
      <c r="BZ93">
        <v>0</v>
      </c>
      <c r="CA93">
        <v>0</v>
      </c>
      <c r="CC93">
        <v>0</v>
      </c>
      <c r="CD93" s="55">
        <v>42816</v>
      </c>
      <c r="CE93" s="55"/>
      <c r="CF93" s="55">
        <v>42825</v>
      </c>
      <c r="CG93" s="55">
        <v>42874</v>
      </c>
      <c r="CH93" s="55">
        <v>0</v>
      </c>
      <c r="CI93" s="55">
        <v>0</v>
      </c>
      <c r="CJ93">
        <v>0.01</v>
      </c>
      <c r="CK93">
        <v>0</v>
      </c>
      <c r="CL93">
        <v>0</v>
      </c>
      <c r="CM93">
        <v>0</v>
      </c>
      <c r="CN93">
        <v>0</v>
      </c>
      <c r="CO93">
        <v>0</v>
      </c>
      <c r="CP93">
        <v>0.96</v>
      </c>
      <c r="CQ93" t="s">
        <v>1664</v>
      </c>
      <c r="CR93" t="s">
        <v>1368</v>
      </c>
      <c r="CS93" t="s">
        <v>1665</v>
      </c>
      <c r="CT93" t="s">
        <v>1959</v>
      </c>
      <c r="CU93" t="s">
        <v>1966</v>
      </c>
      <c r="CV93" t="s">
        <v>2143</v>
      </c>
      <c r="DB93" t="s">
        <v>2132</v>
      </c>
      <c r="DE93" t="s">
        <v>1959</v>
      </c>
    </row>
    <row r="94" spans="1:109" x14ac:dyDescent="0.25">
      <c r="A94" t="s">
        <v>1664</v>
      </c>
      <c r="B94">
        <v>2</v>
      </c>
      <c r="C94" s="55">
        <v>42874</v>
      </c>
      <c r="D94" t="s">
        <v>1658</v>
      </c>
      <c r="E94" t="s">
        <v>2144</v>
      </c>
      <c r="G94" t="s">
        <v>1659</v>
      </c>
      <c r="H94" t="s">
        <v>1659</v>
      </c>
      <c r="I94" t="s">
        <v>1659</v>
      </c>
      <c r="J94" t="s">
        <v>1659</v>
      </c>
      <c r="K94" t="s">
        <v>1659</v>
      </c>
      <c r="L94">
        <v>0</v>
      </c>
      <c r="M94">
        <v>0</v>
      </c>
      <c r="N94">
        <v>0</v>
      </c>
      <c r="O94" s="55"/>
      <c r="P94" s="55"/>
      <c r="Q94">
        <v>13730</v>
      </c>
      <c r="R94">
        <v>15</v>
      </c>
      <c r="S94">
        <v>7</v>
      </c>
      <c r="T94">
        <v>3</v>
      </c>
      <c r="U94">
        <v>4</v>
      </c>
      <c r="V94">
        <v>1</v>
      </c>
      <c r="X94" t="s">
        <v>1981</v>
      </c>
      <c r="AA94">
        <v>0</v>
      </c>
      <c r="AB94">
        <v>0</v>
      </c>
      <c r="AC94">
        <v>0</v>
      </c>
      <c r="AD94">
        <v>0</v>
      </c>
      <c r="AE94">
        <v>0</v>
      </c>
      <c r="AF94">
        <v>0</v>
      </c>
      <c r="AG94">
        <v>0</v>
      </c>
      <c r="AJ94" s="55"/>
      <c r="AK94" s="55"/>
      <c r="AL94" s="55"/>
      <c r="AO94">
        <v>1</v>
      </c>
      <c r="AP94" t="s">
        <v>1660</v>
      </c>
      <c r="AR94">
        <v>20</v>
      </c>
      <c r="AS94" t="s">
        <v>1661</v>
      </c>
      <c r="AT94">
        <v>1</v>
      </c>
      <c r="AV94">
        <v>0</v>
      </c>
      <c r="AW94">
        <v>0</v>
      </c>
      <c r="AX94">
        <v>0</v>
      </c>
      <c r="AY94" t="s">
        <v>1662</v>
      </c>
      <c r="AZ94" t="s">
        <v>1662</v>
      </c>
      <c r="BA94">
        <v>20</v>
      </c>
      <c r="BD94">
        <v>1000000000</v>
      </c>
      <c r="BE94">
        <v>0</v>
      </c>
      <c r="BF94">
        <v>0</v>
      </c>
      <c r="BG94">
        <v>0</v>
      </c>
      <c r="BH94">
        <v>0</v>
      </c>
      <c r="BI94">
        <v>0</v>
      </c>
      <c r="BJ94">
        <v>0</v>
      </c>
      <c r="BK94">
        <v>0</v>
      </c>
      <c r="BL94">
        <v>0</v>
      </c>
      <c r="BM94">
        <v>0</v>
      </c>
      <c r="BN94">
        <v>0</v>
      </c>
      <c r="BR94">
        <v>0</v>
      </c>
      <c r="BS94">
        <v>0</v>
      </c>
      <c r="BX94">
        <v>0</v>
      </c>
      <c r="BY94">
        <v>0</v>
      </c>
      <c r="BZ94">
        <v>0</v>
      </c>
      <c r="CA94">
        <v>0</v>
      </c>
      <c r="CC94">
        <v>0</v>
      </c>
      <c r="CD94" s="55">
        <v>42815</v>
      </c>
      <c r="CE94" s="55"/>
      <c r="CF94" s="55">
        <v>42825</v>
      </c>
      <c r="CG94" s="55">
        <v>42874</v>
      </c>
      <c r="CH94" s="55">
        <v>0</v>
      </c>
      <c r="CI94" s="55">
        <v>0</v>
      </c>
      <c r="CJ94">
        <v>1</v>
      </c>
      <c r="CK94">
        <v>0</v>
      </c>
      <c r="CL94">
        <v>0.96</v>
      </c>
      <c r="CM94">
        <v>0</v>
      </c>
      <c r="CN94">
        <v>0</v>
      </c>
      <c r="CO94">
        <v>0</v>
      </c>
      <c r="CP94">
        <v>0</v>
      </c>
      <c r="CQ94" t="s">
        <v>1664</v>
      </c>
      <c r="CR94" t="s">
        <v>1368</v>
      </c>
      <c r="CS94" t="s">
        <v>1665</v>
      </c>
      <c r="CT94" t="s">
        <v>1959</v>
      </c>
      <c r="CU94" t="s">
        <v>1966</v>
      </c>
      <c r="CV94" t="s">
        <v>2139</v>
      </c>
      <c r="DB94" t="s">
        <v>2132</v>
      </c>
      <c r="DE94" t="s">
        <v>1959</v>
      </c>
    </row>
    <row r="95" spans="1:109" x14ac:dyDescent="0.25">
      <c r="A95" t="s">
        <v>1664</v>
      </c>
      <c r="B95">
        <v>2</v>
      </c>
      <c r="C95" s="55">
        <v>42874</v>
      </c>
      <c r="D95" t="s">
        <v>1658</v>
      </c>
      <c r="E95" t="s">
        <v>2145</v>
      </c>
      <c r="G95" t="s">
        <v>1659</v>
      </c>
      <c r="H95" t="s">
        <v>1659</v>
      </c>
      <c r="I95" t="s">
        <v>1659</v>
      </c>
      <c r="J95" t="s">
        <v>1659</v>
      </c>
      <c r="K95" t="s">
        <v>1659</v>
      </c>
      <c r="L95">
        <v>6.4</v>
      </c>
      <c r="M95">
        <v>12.02</v>
      </c>
      <c r="N95">
        <v>0</v>
      </c>
      <c r="O95" s="55"/>
      <c r="P95" s="55"/>
      <c r="Q95">
        <v>13730</v>
      </c>
      <c r="R95">
        <v>15</v>
      </c>
      <c r="S95">
        <v>7</v>
      </c>
      <c r="T95">
        <v>3</v>
      </c>
      <c r="U95">
        <v>4</v>
      </c>
      <c r="V95">
        <v>1</v>
      </c>
      <c r="X95" t="s">
        <v>1690</v>
      </c>
      <c r="AA95">
        <v>0</v>
      </c>
      <c r="AB95">
        <v>0</v>
      </c>
      <c r="AC95">
        <v>0</v>
      </c>
      <c r="AD95">
        <v>0</v>
      </c>
      <c r="AE95">
        <v>0</v>
      </c>
      <c r="AF95">
        <v>0</v>
      </c>
      <c r="AG95">
        <v>0</v>
      </c>
      <c r="AJ95" s="55"/>
      <c r="AK95" s="55"/>
      <c r="AL95" s="55"/>
      <c r="AO95">
        <v>1</v>
      </c>
      <c r="AP95" t="s">
        <v>1660</v>
      </c>
      <c r="AR95">
        <v>20</v>
      </c>
      <c r="AS95" t="s">
        <v>1661</v>
      </c>
      <c r="AT95">
        <v>1</v>
      </c>
      <c r="AV95">
        <v>0</v>
      </c>
      <c r="AW95">
        <v>0</v>
      </c>
      <c r="AX95">
        <v>0</v>
      </c>
      <c r="AY95" t="s">
        <v>1662</v>
      </c>
      <c r="AZ95" t="s">
        <v>1662</v>
      </c>
      <c r="BA95">
        <v>20</v>
      </c>
      <c r="BD95">
        <v>1000000000</v>
      </c>
      <c r="BE95">
        <v>37</v>
      </c>
      <c r="BF95">
        <v>0</v>
      </c>
      <c r="BG95">
        <v>0</v>
      </c>
      <c r="BH95">
        <v>0</v>
      </c>
      <c r="BI95">
        <v>0</v>
      </c>
      <c r="BJ95">
        <v>0</v>
      </c>
      <c r="BK95">
        <v>0</v>
      </c>
      <c r="BL95">
        <v>0</v>
      </c>
      <c r="BM95">
        <v>37</v>
      </c>
      <c r="BN95">
        <v>0</v>
      </c>
      <c r="BR95">
        <v>0</v>
      </c>
      <c r="BS95">
        <v>0</v>
      </c>
      <c r="BX95">
        <v>0</v>
      </c>
      <c r="BY95">
        <v>0</v>
      </c>
      <c r="BZ95">
        <v>0</v>
      </c>
      <c r="CA95">
        <v>0</v>
      </c>
      <c r="CC95">
        <v>0</v>
      </c>
      <c r="CD95" s="55">
        <v>42816</v>
      </c>
      <c r="CE95" s="55"/>
      <c r="CF95" s="55">
        <v>42825</v>
      </c>
      <c r="CG95" s="55">
        <v>42874</v>
      </c>
      <c r="CH95" s="55">
        <v>0</v>
      </c>
      <c r="CI95" s="55">
        <v>0</v>
      </c>
      <c r="CJ95">
        <v>0.01</v>
      </c>
      <c r="CK95">
        <v>0</v>
      </c>
      <c r="CL95">
        <v>0</v>
      </c>
      <c r="CM95">
        <v>0</v>
      </c>
      <c r="CN95">
        <v>0</v>
      </c>
      <c r="CO95">
        <v>0</v>
      </c>
      <c r="CP95">
        <v>0.96</v>
      </c>
      <c r="CQ95" t="s">
        <v>1664</v>
      </c>
      <c r="CR95" t="s">
        <v>1368</v>
      </c>
      <c r="CS95" t="s">
        <v>1665</v>
      </c>
      <c r="CT95" t="s">
        <v>1959</v>
      </c>
      <c r="CU95" t="s">
        <v>1966</v>
      </c>
      <c r="CV95" t="s">
        <v>2143</v>
      </c>
      <c r="DB95" t="s">
        <v>2132</v>
      </c>
      <c r="DE95" t="s">
        <v>1959</v>
      </c>
    </row>
    <row r="96" spans="1:109" x14ac:dyDescent="0.25">
      <c r="A96" t="s">
        <v>1664</v>
      </c>
      <c r="B96">
        <v>2</v>
      </c>
      <c r="C96" s="55">
        <v>42874</v>
      </c>
      <c r="D96" t="s">
        <v>1658</v>
      </c>
      <c r="E96" t="s">
        <v>2146</v>
      </c>
      <c r="G96" t="s">
        <v>1659</v>
      </c>
      <c r="H96" t="s">
        <v>1659</v>
      </c>
      <c r="I96" t="s">
        <v>1659</v>
      </c>
      <c r="J96" t="s">
        <v>1659</v>
      </c>
      <c r="K96" t="s">
        <v>1659</v>
      </c>
      <c r="L96">
        <v>0</v>
      </c>
      <c r="M96">
        <v>0</v>
      </c>
      <c r="N96">
        <v>0</v>
      </c>
      <c r="O96" s="55"/>
      <c r="P96" s="55"/>
      <c r="Q96">
        <v>13730</v>
      </c>
      <c r="R96">
        <v>15</v>
      </c>
      <c r="S96">
        <v>7</v>
      </c>
      <c r="T96">
        <v>3</v>
      </c>
      <c r="U96">
        <v>4</v>
      </c>
      <c r="V96">
        <v>1</v>
      </c>
      <c r="X96" t="s">
        <v>1981</v>
      </c>
      <c r="AA96">
        <v>0</v>
      </c>
      <c r="AB96">
        <v>0</v>
      </c>
      <c r="AC96">
        <v>0</v>
      </c>
      <c r="AD96">
        <v>0</v>
      </c>
      <c r="AE96">
        <v>0</v>
      </c>
      <c r="AF96">
        <v>0</v>
      </c>
      <c r="AG96">
        <v>0</v>
      </c>
      <c r="AJ96" s="55"/>
      <c r="AK96" s="55"/>
      <c r="AL96" s="55"/>
      <c r="AO96">
        <v>1</v>
      </c>
      <c r="AP96" t="s">
        <v>1660</v>
      </c>
      <c r="AR96">
        <v>20</v>
      </c>
      <c r="AS96" t="s">
        <v>1661</v>
      </c>
      <c r="AT96">
        <v>1</v>
      </c>
      <c r="AV96">
        <v>0</v>
      </c>
      <c r="AW96">
        <v>0</v>
      </c>
      <c r="AX96">
        <v>0</v>
      </c>
      <c r="AY96" t="s">
        <v>1662</v>
      </c>
      <c r="AZ96" t="s">
        <v>1662</v>
      </c>
      <c r="BA96">
        <v>20</v>
      </c>
      <c r="BD96">
        <v>1000000000</v>
      </c>
      <c r="BE96">
        <v>0</v>
      </c>
      <c r="BF96">
        <v>0</v>
      </c>
      <c r="BG96">
        <v>0</v>
      </c>
      <c r="BH96">
        <v>0</v>
      </c>
      <c r="BI96">
        <v>0</v>
      </c>
      <c r="BJ96">
        <v>0</v>
      </c>
      <c r="BK96">
        <v>0</v>
      </c>
      <c r="BL96">
        <v>0</v>
      </c>
      <c r="BM96">
        <v>0</v>
      </c>
      <c r="BN96">
        <v>0</v>
      </c>
      <c r="BR96">
        <v>0</v>
      </c>
      <c r="BS96">
        <v>0</v>
      </c>
      <c r="BX96">
        <v>0</v>
      </c>
      <c r="BY96">
        <v>0</v>
      </c>
      <c r="BZ96">
        <v>0</v>
      </c>
      <c r="CA96">
        <v>0</v>
      </c>
      <c r="CC96">
        <v>0</v>
      </c>
      <c r="CD96" s="55">
        <v>42815</v>
      </c>
      <c r="CE96" s="55"/>
      <c r="CF96" s="55">
        <v>42825</v>
      </c>
      <c r="CG96" s="55">
        <v>42874</v>
      </c>
      <c r="CH96" s="55">
        <v>0</v>
      </c>
      <c r="CI96" s="55">
        <v>0</v>
      </c>
      <c r="CJ96">
        <v>1</v>
      </c>
      <c r="CK96">
        <v>0</v>
      </c>
      <c r="CL96">
        <v>0.96</v>
      </c>
      <c r="CM96">
        <v>0</v>
      </c>
      <c r="CN96">
        <v>0</v>
      </c>
      <c r="CO96">
        <v>0</v>
      </c>
      <c r="CP96">
        <v>0</v>
      </c>
      <c r="CQ96" t="s">
        <v>1664</v>
      </c>
      <c r="CR96" t="s">
        <v>1368</v>
      </c>
      <c r="CS96" t="s">
        <v>1665</v>
      </c>
      <c r="CT96" t="s">
        <v>1959</v>
      </c>
      <c r="CU96" t="s">
        <v>1966</v>
      </c>
      <c r="CV96" t="s">
        <v>2139</v>
      </c>
      <c r="DB96" t="s">
        <v>2132</v>
      </c>
      <c r="DE96" t="s">
        <v>1959</v>
      </c>
    </row>
    <row r="97" spans="1:109" x14ac:dyDescent="0.25">
      <c r="A97" t="s">
        <v>1664</v>
      </c>
      <c r="B97">
        <v>2</v>
      </c>
      <c r="C97" s="55">
        <v>42874</v>
      </c>
      <c r="D97" t="s">
        <v>1658</v>
      </c>
      <c r="E97" t="s">
        <v>2147</v>
      </c>
      <c r="G97" t="s">
        <v>1659</v>
      </c>
      <c r="H97" t="s">
        <v>1659</v>
      </c>
      <c r="I97" t="s">
        <v>1659</v>
      </c>
      <c r="J97" t="s">
        <v>1659</v>
      </c>
      <c r="K97" t="s">
        <v>1659</v>
      </c>
      <c r="L97">
        <v>0</v>
      </c>
      <c r="M97">
        <v>0</v>
      </c>
      <c r="N97">
        <v>0</v>
      </c>
      <c r="O97" s="55"/>
      <c r="P97" s="55"/>
      <c r="Q97">
        <v>13730</v>
      </c>
      <c r="R97">
        <v>15</v>
      </c>
      <c r="S97">
        <v>7</v>
      </c>
      <c r="T97">
        <v>3</v>
      </c>
      <c r="U97">
        <v>4</v>
      </c>
      <c r="V97">
        <v>1</v>
      </c>
      <c r="X97" t="s">
        <v>1981</v>
      </c>
      <c r="AA97">
        <v>0</v>
      </c>
      <c r="AB97">
        <v>0</v>
      </c>
      <c r="AC97">
        <v>0</v>
      </c>
      <c r="AD97">
        <v>0</v>
      </c>
      <c r="AE97">
        <v>0</v>
      </c>
      <c r="AF97">
        <v>0</v>
      </c>
      <c r="AG97">
        <v>0</v>
      </c>
      <c r="AJ97" s="55"/>
      <c r="AK97" s="55"/>
      <c r="AL97" s="55"/>
      <c r="AO97">
        <v>1</v>
      </c>
      <c r="AP97" t="s">
        <v>1660</v>
      </c>
      <c r="AR97">
        <v>20</v>
      </c>
      <c r="AS97" t="s">
        <v>1661</v>
      </c>
      <c r="AT97">
        <v>1</v>
      </c>
      <c r="AV97">
        <v>0</v>
      </c>
      <c r="AW97">
        <v>0</v>
      </c>
      <c r="AX97">
        <v>0</v>
      </c>
      <c r="AY97" t="s">
        <v>1662</v>
      </c>
      <c r="AZ97" t="s">
        <v>1662</v>
      </c>
      <c r="BA97">
        <v>20</v>
      </c>
      <c r="BD97">
        <v>1000000000</v>
      </c>
      <c r="BE97">
        <v>0</v>
      </c>
      <c r="BF97">
        <v>0</v>
      </c>
      <c r="BG97">
        <v>0</v>
      </c>
      <c r="BH97">
        <v>0</v>
      </c>
      <c r="BI97">
        <v>0</v>
      </c>
      <c r="BJ97">
        <v>0</v>
      </c>
      <c r="BK97">
        <v>0</v>
      </c>
      <c r="BL97">
        <v>0</v>
      </c>
      <c r="BM97">
        <v>0</v>
      </c>
      <c r="BN97">
        <v>0</v>
      </c>
      <c r="BR97">
        <v>0</v>
      </c>
      <c r="BS97">
        <v>0</v>
      </c>
      <c r="BX97">
        <v>0</v>
      </c>
      <c r="BY97">
        <v>0</v>
      </c>
      <c r="BZ97">
        <v>0</v>
      </c>
      <c r="CA97">
        <v>0</v>
      </c>
      <c r="CC97">
        <v>0</v>
      </c>
      <c r="CD97" s="55">
        <v>42815</v>
      </c>
      <c r="CE97" s="55"/>
      <c r="CF97" s="55">
        <v>42825</v>
      </c>
      <c r="CG97" s="55">
        <v>42874</v>
      </c>
      <c r="CH97" s="55">
        <v>0</v>
      </c>
      <c r="CI97" s="55">
        <v>0</v>
      </c>
      <c r="CJ97">
        <v>1</v>
      </c>
      <c r="CK97">
        <v>0</v>
      </c>
      <c r="CL97">
        <v>0.96</v>
      </c>
      <c r="CM97">
        <v>0</v>
      </c>
      <c r="CN97">
        <v>0</v>
      </c>
      <c r="CO97">
        <v>0</v>
      </c>
      <c r="CP97">
        <v>0</v>
      </c>
      <c r="CQ97" t="s">
        <v>1664</v>
      </c>
      <c r="CR97" t="s">
        <v>1368</v>
      </c>
      <c r="CS97" t="s">
        <v>1665</v>
      </c>
      <c r="CT97" t="s">
        <v>1959</v>
      </c>
      <c r="CU97" t="s">
        <v>1966</v>
      </c>
      <c r="CV97" t="s">
        <v>2139</v>
      </c>
      <c r="DB97" t="s">
        <v>2132</v>
      </c>
      <c r="DE97" t="s">
        <v>1959</v>
      </c>
    </row>
    <row r="98" spans="1:109" x14ac:dyDescent="0.25">
      <c r="A98" t="s">
        <v>1664</v>
      </c>
      <c r="B98">
        <v>2</v>
      </c>
      <c r="C98" s="55">
        <v>42874</v>
      </c>
      <c r="D98" t="s">
        <v>1658</v>
      </c>
      <c r="E98" t="s">
        <v>2148</v>
      </c>
      <c r="G98" t="s">
        <v>1659</v>
      </c>
      <c r="H98" t="s">
        <v>1659</v>
      </c>
      <c r="I98" t="s">
        <v>1659</v>
      </c>
      <c r="J98" t="s">
        <v>1659</v>
      </c>
      <c r="K98" t="s">
        <v>1659</v>
      </c>
      <c r="L98">
        <v>19.059999999999999</v>
      </c>
      <c r="M98">
        <v>37.71</v>
      </c>
      <c r="N98">
        <v>0</v>
      </c>
      <c r="O98" s="55"/>
      <c r="P98" s="55"/>
      <c r="Q98">
        <v>13730</v>
      </c>
      <c r="R98">
        <v>15</v>
      </c>
      <c r="S98">
        <v>7</v>
      </c>
      <c r="T98">
        <v>3</v>
      </c>
      <c r="U98">
        <v>4</v>
      </c>
      <c r="V98">
        <v>1</v>
      </c>
      <c r="X98" t="s">
        <v>1690</v>
      </c>
      <c r="AA98">
        <v>0</v>
      </c>
      <c r="AB98">
        <v>0</v>
      </c>
      <c r="AC98">
        <v>0</v>
      </c>
      <c r="AD98">
        <v>0</v>
      </c>
      <c r="AE98">
        <v>0</v>
      </c>
      <c r="AF98">
        <v>0</v>
      </c>
      <c r="AG98">
        <v>0</v>
      </c>
      <c r="AJ98" s="55"/>
      <c r="AK98" s="55"/>
      <c r="AL98" s="55"/>
      <c r="AO98">
        <v>1</v>
      </c>
      <c r="AP98" t="s">
        <v>1660</v>
      </c>
      <c r="AR98">
        <v>10</v>
      </c>
      <c r="AS98" t="s">
        <v>1661</v>
      </c>
      <c r="AT98">
        <v>1</v>
      </c>
      <c r="AV98">
        <v>0</v>
      </c>
      <c r="AW98">
        <v>0</v>
      </c>
      <c r="AX98">
        <v>0</v>
      </c>
      <c r="AY98" t="s">
        <v>1662</v>
      </c>
      <c r="AZ98" t="s">
        <v>1662</v>
      </c>
      <c r="BA98">
        <v>7</v>
      </c>
      <c r="BD98">
        <v>1000000000</v>
      </c>
      <c r="BE98">
        <v>10</v>
      </c>
      <c r="BF98">
        <v>0</v>
      </c>
      <c r="BG98">
        <v>0</v>
      </c>
      <c r="BH98">
        <v>0</v>
      </c>
      <c r="BI98">
        <v>0</v>
      </c>
      <c r="BJ98">
        <v>0</v>
      </c>
      <c r="BK98">
        <v>0</v>
      </c>
      <c r="BL98">
        <v>0</v>
      </c>
      <c r="BM98">
        <v>10</v>
      </c>
      <c r="BN98">
        <v>0</v>
      </c>
      <c r="BR98">
        <v>0</v>
      </c>
      <c r="BS98">
        <v>0</v>
      </c>
      <c r="BX98">
        <v>0</v>
      </c>
      <c r="BY98">
        <v>0</v>
      </c>
      <c r="BZ98">
        <v>0</v>
      </c>
      <c r="CA98">
        <v>0</v>
      </c>
      <c r="CC98">
        <v>0</v>
      </c>
      <c r="CD98" s="55">
        <v>42816</v>
      </c>
      <c r="CE98" s="55"/>
      <c r="CF98" s="55">
        <v>42825</v>
      </c>
      <c r="CG98" s="55">
        <v>42874</v>
      </c>
      <c r="CH98" s="55">
        <v>0</v>
      </c>
      <c r="CI98" s="55">
        <v>0</v>
      </c>
      <c r="CJ98">
        <v>0</v>
      </c>
      <c r="CK98">
        <v>0</v>
      </c>
      <c r="CL98">
        <v>0</v>
      </c>
      <c r="CM98">
        <v>0</v>
      </c>
      <c r="CN98">
        <v>0</v>
      </c>
      <c r="CO98">
        <v>0</v>
      </c>
      <c r="CP98">
        <v>0.96</v>
      </c>
      <c r="CQ98" t="s">
        <v>1664</v>
      </c>
      <c r="CR98" t="s">
        <v>1368</v>
      </c>
      <c r="CS98" t="s">
        <v>1665</v>
      </c>
      <c r="CT98" t="s">
        <v>1959</v>
      </c>
      <c r="CU98" t="s">
        <v>1966</v>
      </c>
      <c r="CV98" t="s">
        <v>2149</v>
      </c>
      <c r="DB98" t="s">
        <v>2150</v>
      </c>
      <c r="DE98" t="s">
        <v>1959</v>
      </c>
    </row>
    <row r="99" spans="1:109" x14ac:dyDescent="0.25">
      <c r="A99" t="s">
        <v>1664</v>
      </c>
      <c r="B99">
        <v>2</v>
      </c>
      <c r="C99" s="55">
        <v>42874</v>
      </c>
      <c r="D99" t="s">
        <v>1658</v>
      </c>
      <c r="E99" t="s">
        <v>1598</v>
      </c>
      <c r="G99" t="s">
        <v>1659</v>
      </c>
      <c r="H99" t="s">
        <v>1659</v>
      </c>
      <c r="I99" t="s">
        <v>1659</v>
      </c>
      <c r="J99" t="s">
        <v>1659</v>
      </c>
      <c r="K99" t="s">
        <v>1659</v>
      </c>
      <c r="L99">
        <v>19.13</v>
      </c>
      <c r="M99">
        <v>37.71</v>
      </c>
      <c r="N99">
        <v>0</v>
      </c>
      <c r="O99" s="55"/>
      <c r="P99" s="55"/>
      <c r="Q99">
        <v>13730</v>
      </c>
      <c r="R99">
        <v>15</v>
      </c>
      <c r="S99">
        <v>7</v>
      </c>
      <c r="T99">
        <v>3</v>
      </c>
      <c r="U99">
        <v>4</v>
      </c>
      <c r="V99">
        <v>1</v>
      </c>
      <c r="W99" t="s">
        <v>1671</v>
      </c>
      <c r="X99" t="s">
        <v>1981</v>
      </c>
      <c r="AA99">
        <v>1.95</v>
      </c>
      <c r="AB99">
        <v>21</v>
      </c>
      <c r="AC99">
        <v>5.77</v>
      </c>
      <c r="AD99">
        <v>4.3600000000000003</v>
      </c>
      <c r="AE99">
        <v>0.13</v>
      </c>
      <c r="AF99">
        <v>0</v>
      </c>
      <c r="AG99">
        <v>0</v>
      </c>
      <c r="AJ99" s="55">
        <v>42845</v>
      </c>
      <c r="AK99" s="55">
        <v>42796</v>
      </c>
      <c r="AL99" s="55"/>
      <c r="AO99">
        <v>1</v>
      </c>
      <c r="AP99" t="s">
        <v>1660</v>
      </c>
      <c r="AR99">
        <v>10</v>
      </c>
      <c r="AS99" t="s">
        <v>1661</v>
      </c>
      <c r="AT99">
        <v>1</v>
      </c>
      <c r="AV99">
        <v>45</v>
      </c>
      <c r="AW99">
        <v>30</v>
      </c>
      <c r="AX99">
        <v>15</v>
      </c>
      <c r="AY99" t="s">
        <v>2046</v>
      </c>
      <c r="AZ99" t="s">
        <v>1672</v>
      </c>
      <c r="BA99">
        <v>42</v>
      </c>
      <c r="BD99">
        <v>1000000000</v>
      </c>
      <c r="BE99">
        <v>14</v>
      </c>
      <c r="BF99">
        <v>0.69</v>
      </c>
      <c r="BG99">
        <v>20</v>
      </c>
      <c r="BH99">
        <v>0</v>
      </c>
      <c r="BI99">
        <v>0</v>
      </c>
      <c r="BJ99">
        <v>0</v>
      </c>
      <c r="BK99">
        <v>0</v>
      </c>
      <c r="BL99">
        <v>0</v>
      </c>
      <c r="BM99">
        <v>34</v>
      </c>
      <c r="BN99">
        <v>0.24</v>
      </c>
      <c r="BR99">
        <v>10</v>
      </c>
      <c r="BS99">
        <v>26</v>
      </c>
      <c r="BX99">
        <v>18.579999999999998</v>
      </c>
      <c r="BY99">
        <v>0</v>
      </c>
      <c r="BZ99">
        <v>0</v>
      </c>
      <c r="CA99">
        <v>6.66</v>
      </c>
      <c r="CC99">
        <v>1</v>
      </c>
      <c r="CD99" s="55">
        <v>42815</v>
      </c>
      <c r="CE99" s="55"/>
      <c r="CF99" s="55">
        <v>42825</v>
      </c>
      <c r="CG99" s="55">
        <v>42874</v>
      </c>
      <c r="CH99" s="55">
        <v>42873</v>
      </c>
      <c r="CI99" s="55">
        <v>42901</v>
      </c>
      <c r="CJ99">
        <v>0.5</v>
      </c>
      <c r="CK99">
        <v>27</v>
      </c>
      <c r="CL99">
        <v>0</v>
      </c>
      <c r="CM99">
        <v>0.56000000000000005</v>
      </c>
      <c r="CN99">
        <v>0</v>
      </c>
      <c r="CO99">
        <v>0.4</v>
      </c>
      <c r="CP99">
        <v>0</v>
      </c>
      <c r="CQ99" t="s">
        <v>1664</v>
      </c>
      <c r="CR99" t="s">
        <v>1368</v>
      </c>
      <c r="CS99" t="s">
        <v>1665</v>
      </c>
      <c r="CT99" t="s">
        <v>1959</v>
      </c>
      <c r="CU99" t="s">
        <v>1966</v>
      </c>
      <c r="CV99" t="s">
        <v>2151</v>
      </c>
      <c r="DB99" t="s">
        <v>2150</v>
      </c>
      <c r="DE99" t="s">
        <v>1959</v>
      </c>
    </row>
    <row r="100" spans="1:109" x14ac:dyDescent="0.25">
      <c r="A100" t="s">
        <v>1664</v>
      </c>
      <c r="B100">
        <v>2</v>
      </c>
      <c r="C100" s="55">
        <v>42874</v>
      </c>
      <c r="D100" t="s">
        <v>1658</v>
      </c>
      <c r="E100" t="s">
        <v>2152</v>
      </c>
      <c r="G100" t="s">
        <v>1659</v>
      </c>
      <c r="H100" t="s">
        <v>1659</v>
      </c>
      <c r="I100" t="s">
        <v>1659</v>
      </c>
      <c r="J100" t="s">
        <v>1659</v>
      </c>
      <c r="K100" t="s">
        <v>1659</v>
      </c>
      <c r="L100">
        <v>21.12</v>
      </c>
      <c r="M100">
        <v>37.71</v>
      </c>
      <c r="N100">
        <v>0</v>
      </c>
      <c r="O100" s="55"/>
      <c r="P100" s="55"/>
      <c r="Q100">
        <v>13730</v>
      </c>
      <c r="R100">
        <v>15</v>
      </c>
      <c r="S100">
        <v>7</v>
      </c>
      <c r="T100">
        <v>3</v>
      </c>
      <c r="U100">
        <v>4</v>
      </c>
      <c r="V100">
        <v>1</v>
      </c>
      <c r="X100" t="s">
        <v>1981</v>
      </c>
      <c r="AA100">
        <v>0</v>
      </c>
      <c r="AB100">
        <v>0</v>
      </c>
      <c r="AC100">
        <v>0</v>
      </c>
      <c r="AD100">
        <v>0</v>
      </c>
      <c r="AE100">
        <v>0</v>
      </c>
      <c r="AF100">
        <v>0</v>
      </c>
      <c r="AG100">
        <v>0</v>
      </c>
      <c r="AJ100" s="55"/>
      <c r="AK100" s="55"/>
      <c r="AL100" s="55"/>
      <c r="AO100">
        <v>1</v>
      </c>
      <c r="AP100" t="s">
        <v>1660</v>
      </c>
      <c r="AR100">
        <v>10</v>
      </c>
      <c r="AS100" t="s">
        <v>1661</v>
      </c>
      <c r="AT100">
        <v>1</v>
      </c>
      <c r="AV100">
        <v>10</v>
      </c>
      <c r="AW100">
        <v>7</v>
      </c>
      <c r="AX100">
        <v>3</v>
      </c>
      <c r="AY100" t="s">
        <v>1670</v>
      </c>
      <c r="AZ100" t="s">
        <v>1670</v>
      </c>
      <c r="BA100">
        <v>10</v>
      </c>
      <c r="BD100">
        <v>1000000000</v>
      </c>
      <c r="BE100">
        <v>12</v>
      </c>
      <c r="BF100">
        <v>-0.2</v>
      </c>
      <c r="BG100">
        <v>0</v>
      </c>
      <c r="BH100">
        <v>0</v>
      </c>
      <c r="BI100">
        <v>0</v>
      </c>
      <c r="BJ100">
        <v>0</v>
      </c>
      <c r="BK100">
        <v>0</v>
      </c>
      <c r="BL100">
        <v>0</v>
      </c>
      <c r="BM100">
        <v>12</v>
      </c>
      <c r="BN100">
        <v>-0.2</v>
      </c>
      <c r="BR100">
        <v>0</v>
      </c>
      <c r="BS100">
        <v>6</v>
      </c>
      <c r="BX100">
        <v>0</v>
      </c>
      <c r="BY100">
        <v>42.24</v>
      </c>
      <c r="BZ100">
        <v>0</v>
      </c>
      <c r="CA100">
        <v>5.39</v>
      </c>
      <c r="CC100">
        <v>0</v>
      </c>
      <c r="CD100" s="55">
        <v>42815</v>
      </c>
      <c r="CE100" s="55"/>
      <c r="CF100" s="55">
        <v>42825</v>
      </c>
      <c r="CG100" s="55">
        <v>42874</v>
      </c>
      <c r="CH100" s="55">
        <v>0</v>
      </c>
      <c r="CI100" s="55">
        <v>0</v>
      </c>
      <c r="CJ100">
        <v>0</v>
      </c>
      <c r="CK100">
        <v>0</v>
      </c>
      <c r="CL100">
        <v>0</v>
      </c>
      <c r="CM100">
        <v>0</v>
      </c>
      <c r="CN100">
        <v>0</v>
      </c>
      <c r="CO100">
        <v>0</v>
      </c>
      <c r="CP100">
        <v>0.96</v>
      </c>
      <c r="CQ100" t="s">
        <v>1664</v>
      </c>
      <c r="CR100" t="s">
        <v>1368</v>
      </c>
      <c r="CS100" t="s">
        <v>1665</v>
      </c>
      <c r="CT100" t="s">
        <v>1959</v>
      </c>
      <c r="CU100" t="s">
        <v>1966</v>
      </c>
      <c r="CV100" t="s">
        <v>2153</v>
      </c>
      <c r="DB100" t="s">
        <v>2150</v>
      </c>
      <c r="DE100" t="s">
        <v>1959</v>
      </c>
    </row>
    <row r="101" spans="1:109" x14ac:dyDescent="0.25">
      <c r="A101" t="s">
        <v>1664</v>
      </c>
      <c r="B101">
        <v>2</v>
      </c>
      <c r="C101" s="55">
        <v>42874</v>
      </c>
      <c r="D101" t="s">
        <v>1658</v>
      </c>
      <c r="E101" t="s">
        <v>2154</v>
      </c>
      <c r="G101" t="s">
        <v>1659</v>
      </c>
      <c r="H101" t="s">
        <v>1659</v>
      </c>
      <c r="I101" t="s">
        <v>1659</v>
      </c>
      <c r="J101" t="s">
        <v>1659</v>
      </c>
      <c r="K101" t="s">
        <v>1659</v>
      </c>
      <c r="L101">
        <v>21.93</v>
      </c>
      <c r="M101">
        <v>37.71</v>
      </c>
      <c r="N101">
        <v>0</v>
      </c>
      <c r="O101" s="55"/>
      <c r="P101" s="55"/>
      <c r="Q101">
        <v>13730</v>
      </c>
      <c r="R101">
        <v>15</v>
      </c>
      <c r="S101">
        <v>7</v>
      </c>
      <c r="T101">
        <v>3</v>
      </c>
      <c r="U101">
        <v>4</v>
      </c>
      <c r="V101">
        <v>1</v>
      </c>
      <c r="W101" t="s">
        <v>1686</v>
      </c>
      <c r="X101" t="s">
        <v>1981</v>
      </c>
      <c r="Y101">
        <v>14</v>
      </c>
      <c r="AA101">
        <v>0</v>
      </c>
      <c r="AB101">
        <v>0</v>
      </c>
      <c r="AC101">
        <v>0</v>
      </c>
      <c r="AD101">
        <v>0</v>
      </c>
      <c r="AE101">
        <v>0</v>
      </c>
      <c r="AF101">
        <v>0</v>
      </c>
      <c r="AG101">
        <v>0</v>
      </c>
      <c r="AJ101" s="55"/>
      <c r="AK101" s="55"/>
      <c r="AL101" s="55"/>
      <c r="AO101">
        <v>1</v>
      </c>
      <c r="AP101" t="s">
        <v>1660</v>
      </c>
      <c r="AR101">
        <v>10</v>
      </c>
      <c r="AS101" t="s">
        <v>1661</v>
      </c>
      <c r="AT101">
        <v>1</v>
      </c>
      <c r="AV101">
        <v>20</v>
      </c>
      <c r="AW101">
        <v>13</v>
      </c>
      <c r="AX101">
        <v>7</v>
      </c>
      <c r="AY101" t="s">
        <v>1672</v>
      </c>
      <c r="AZ101" t="s">
        <v>1672</v>
      </c>
      <c r="BA101">
        <v>20</v>
      </c>
      <c r="BD101">
        <v>1000000000</v>
      </c>
      <c r="BE101">
        <v>18</v>
      </c>
      <c r="BF101">
        <v>0.1</v>
      </c>
      <c r="BG101">
        <v>0</v>
      </c>
      <c r="BH101">
        <v>0</v>
      </c>
      <c r="BI101">
        <v>0</v>
      </c>
      <c r="BJ101">
        <v>0</v>
      </c>
      <c r="BK101">
        <v>0</v>
      </c>
      <c r="BL101">
        <v>0</v>
      </c>
      <c r="BM101">
        <v>18</v>
      </c>
      <c r="BN101">
        <v>0.1</v>
      </c>
      <c r="BR101">
        <v>0</v>
      </c>
      <c r="BS101">
        <v>11</v>
      </c>
      <c r="BX101">
        <v>0</v>
      </c>
      <c r="BY101">
        <v>0</v>
      </c>
      <c r="BZ101">
        <v>0</v>
      </c>
      <c r="CA101">
        <v>4.93</v>
      </c>
      <c r="CC101">
        <v>0</v>
      </c>
      <c r="CD101" s="55">
        <v>42815</v>
      </c>
      <c r="CE101" s="55"/>
      <c r="CF101" s="55">
        <v>42825</v>
      </c>
      <c r="CG101" s="55">
        <v>42874</v>
      </c>
      <c r="CH101" s="55">
        <v>0</v>
      </c>
      <c r="CI101" s="55">
        <v>0</v>
      </c>
      <c r="CJ101">
        <v>0.02</v>
      </c>
      <c r="CK101">
        <v>0</v>
      </c>
      <c r="CL101">
        <v>0</v>
      </c>
      <c r="CM101">
        <v>0</v>
      </c>
      <c r="CN101">
        <v>0</v>
      </c>
      <c r="CO101">
        <v>0.96</v>
      </c>
      <c r="CP101">
        <v>0</v>
      </c>
      <c r="CQ101" t="s">
        <v>1664</v>
      </c>
      <c r="CR101" t="s">
        <v>1368</v>
      </c>
      <c r="CS101" t="s">
        <v>1665</v>
      </c>
      <c r="CT101" t="s">
        <v>1959</v>
      </c>
      <c r="CU101" t="s">
        <v>1966</v>
      </c>
      <c r="CV101" t="s">
        <v>2155</v>
      </c>
      <c r="DB101" t="s">
        <v>2150</v>
      </c>
      <c r="DE101" t="s">
        <v>1959</v>
      </c>
    </row>
    <row r="102" spans="1:109" x14ac:dyDescent="0.25">
      <c r="A102" t="s">
        <v>1664</v>
      </c>
      <c r="B102">
        <v>2</v>
      </c>
      <c r="C102" s="55">
        <v>42874</v>
      </c>
      <c r="D102" t="s">
        <v>1658</v>
      </c>
      <c r="E102" t="s">
        <v>2156</v>
      </c>
      <c r="G102" t="s">
        <v>1659</v>
      </c>
      <c r="H102" t="s">
        <v>1659</v>
      </c>
      <c r="I102" t="s">
        <v>1659</v>
      </c>
      <c r="J102" t="s">
        <v>1659</v>
      </c>
      <c r="K102" t="s">
        <v>1659</v>
      </c>
      <c r="L102">
        <v>0</v>
      </c>
      <c r="M102">
        <v>0</v>
      </c>
      <c r="N102">
        <v>0</v>
      </c>
      <c r="O102" s="55"/>
      <c r="P102" s="55"/>
      <c r="Q102">
        <v>13730</v>
      </c>
      <c r="R102">
        <v>15</v>
      </c>
      <c r="S102">
        <v>7</v>
      </c>
      <c r="T102">
        <v>3</v>
      </c>
      <c r="U102">
        <v>4</v>
      </c>
      <c r="V102">
        <v>1</v>
      </c>
      <c r="X102" t="s">
        <v>1981</v>
      </c>
      <c r="AA102">
        <v>0</v>
      </c>
      <c r="AB102">
        <v>0</v>
      </c>
      <c r="AC102">
        <v>0</v>
      </c>
      <c r="AD102">
        <v>0</v>
      </c>
      <c r="AE102">
        <v>0</v>
      </c>
      <c r="AF102">
        <v>0</v>
      </c>
      <c r="AG102">
        <v>0</v>
      </c>
      <c r="AJ102" s="55"/>
      <c r="AK102" s="55"/>
      <c r="AL102" s="55"/>
      <c r="AO102">
        <v>1</v>
      </c>
      <c r="AP102" t="s">
        <v>1660</v>
      </c>
      <c r="AR102">
        <v>10</v>
      </c>
      <c r="AS102" t="s">
        <v>1661</v>
      </c>
      <c r="AT102">
        <v>1</v>
      </c>
      <c r="AV102">
        <v>0</v>
      </c>
      <c r="AW102">
        <v>0</v>
      </c>
      <c r="AX102">
        <v>0</v>
      </c>
      <c r="AY102" t="s">
        <v>1662</v>
      </c>
      <c r="AZ102" t="s">
        <v>1662</v>
      </c>
      <c r="BA102">
        <v>10</v>
      </c>
      <c r="BD102">
        <v>1000000000</v>
      </c>
      <c r="BE102">
        <v>0</v>
      </c>
      <c r="BF102">
        <v>0</v>
      </c>
      <c r="BG102">
        <v>0</v>
      </c>
      <c r="BH102">
        <v>0</v>
      </c>
      <c r="BI102">
        <v>0</v>
      </c>
      <c r="BJ102">
        <v>0</v>
      </c>
      <c r="BK102">
        <v>0</v>
      </c>
      <c r="BL102">
        <v>0</v>
      </c>
      <c r="BM102">
        <v>0</v>
      </c>
      <c r="BN102">
        <v>0</v>
      </c>
      <c r="BR102">
        <v>0</v>
      </c>
      <c r="BS102">
        <v>0</v>
      </c>
      <c r="BX102">
        <v>0</v>
      </c>
      <c r="BY102">
        <v>0</v>
      </c>
      <c r="BZ102">
        <v>0</v>
      </c>
      <c r="CA102">
        <v>0</v>
      </c>
      <c r="CC102">
        <v>0</v>
      </c>
      <c r="CD102" s="55">
        <v>42815</v>
      </c>
      <c r="CE102" s="55"/>
      <c r="CF102" s="55">
        <v>42825</v>
      </c>
      <c r="CG102" s="55">
        <v>42874</v>
      </c>
      <c r="CH102" s="55">
        <v>0</v>
      </c>
      <c r="CI102" s="55">
        <v>0</v>
      </c>
      <c r="CJ102">
        <v>1</v>
      </c>
      <c r="CK102">
        <v>0</v>
      </c>
      <c r="CL102">
        <v>0.96</v>
      </c>
      <c r="CM102">
        <v>0</v>
      </c>
      <c r="CN102">
        <v>0</v>
      </c>
      <c r="CO102">
        <v>0</v>
      </c>
      <c r="CP102">
        <v>0</v>
      </c>
      <c r="CQ102" t="s">
        <v>1664</v>
      </c>
      <c r="CR102" t="s">
        <v>1368</v>
      </c>
      <c r="CS102" t="s">
        <v>1665</v>
      </c>
      <c r="CT102" t="s">
        <v>1959</v>
      </c>
      <c r="CU102" t="s">
        <v>1966</v>
      </c>
      <c r="CV102" t="s">
        <v>2157</v>
      </c>
      <c r="DB102" t="s">
        <v>2150</v>
      </c>
      <c r="DE102" t="s">
        <v>1959</v>
      </c>
    </row>
    <row r="103" spans="1:109" x14ac:dyDescent="0.25">
      <c r="A103" t="s">
        <v>1664</v>
      </c>
      <c r="B103">
        <v>2</v>
      </c>
      <c r="C103" s="55">
        <v>42874</v>
      </c>
      <c r="D103" t="s">
        <v>1658</v>
      </c>
      <c r="E103" t="s">
        <v>2158</v>
      </c>
      <c r="G103" t="s">
        <v>1659</v>
      </c>
      <c r="H103" t="s">
        <v>1659</v>
      </c>
      <c r="I103" t="s">
        <v>1659</v>
      </c>
      <c r="J103" t="s">
        <v>1659</v>
      </c>
      <c r="K103" t="s">
        <v>1659</v>
      </c>
      <c r="L103">
        <v>0</v>
      </c>
      <c r="M103">
        <v>0</v>
      </c>
      <c r="N103">
        <v>0</v>
      </c>
      <c r="O103" s="55"/>
      <c r="P103" s="55"/>
      <c r="Q103">
        <v>13730</v>
      </c>
      <c r="R103">
        <v>15</v>
      </c>
      <c r="S103">
        <v>7</v>
      </c>
      <c r="T103">
        <v>3</v>
      </c>
      <c r="U103">
        <v>4</v>
      </c>
      <c r="V103">
        <v>1</v>
      </c>
      <c r="X103" t="s">
        <v>1981</v>
      </c>
      <c r="AA103">
        <v>0</v>
      </c>
      <c r="AB103">
        <v>0</v>
      </c>
      <c r="AC103">
        <v>0</v>
      </c>
      <c r="AD103">
        <v>0</v>
      </c>
      <c r="AE103">
        <v>0</v>
      </c>
      <c r="AF103">
        <v>0</v>
      </c>
      <c r="AG103">
        <v>0</v>
      </c>
      <c r="AJ103" s="55"/>
      <c r="AK103" s="55"/>
      <c r="AL103" s="55"/>
      <c r="AO103">
        <v>1</v>
      </c>
      <c r="AP103" t="s">
        <v>1660</v>
      </c>
      <c r="AR103">
        <v>10</v>
      </c>
      <c r="AS103" t="s">
        <v>1661</v>
      </c>
      <c r="AT103">
        <v>1</v>
      </c>
      <c r="AV103">
        <v>0</v>
      </c>
      <c r="AW103">
        <v>0</v>
      </c>
      <c r="AX103">
        <v>0</v>
      </c>
      <c r="AY103" t="s">
        <v>1662</v>
      </c>
      <c r="AZ103" t="s">
        <v>1662</v>
      </c>
      <c r="BA103">
        <v>10</v>
      </c>
      <c r="BD103">
        <v>1000000000</v>
      </c>
      <c r="BE103">
        <v>0</v>
      </c>
      <c r="BF103">
        <v>0</v>
      </c>
      <c r="BG103">
        <v>1600</v>
      </c>
      <c r="BH103">
        <v>0</v>
      </c>
      <c r="BI103">
        <v>0</v>
      </c>
      <c r="BJ103">
        <v>0</v>
      </c>
      <c r="BK103">
        <v>1600</v>
      </c>
      <c r="BL103">
        <v>0</v>
      </c>
      <c r="BM103">
        <v>0</v>
      </c>
      <c r="BN103">
        <v>0</v>
      </c>
      <c r="BR103">
        <v>0</v>
      </c>
      <c r="BS103">
        <v>0</v>
      </c>
      <c r="BX103">
        <v>0</v>
      </c>
      <c r="BY103">
        <v>0</v>
      </c>
      <c r="BZ103">
        <v>0</v>
      </c>
      <c r="CA103">
        <v>0</v>
      </c>
      <c r="CC103">
        <v>1</v>
      </c>
      <c r="CD103" s="55">
        <v>42815</v>
      </c>
      <c r="CE103" s="55"/>
      <c r="CF103" s="55">
        <v>42825</v>
      </c>
      <c r="CG103" s="55">
        <v>42874</v>
      </c>
      <c r="CH103" s="55">
        <v>42873</v>
      </c>
      <c r="CI103" s="55">
        <v>42901</v>
      </c>
      <c r="CJ103">
        <v>1</v>
      </c>
      <c r="CK103">
        <v>0</v>
      </c>
      <c r="CL103">
        <v>0.96</v>
      </c>
      <c r="CM103">
        <v>0</v>
      </c>
      <c r="CN103">
        <v>0</v>
      </c>
      <c r="CO103">
        <v>0</v>
      </c>
      <c r="CP103">
        <v>0</v>
      </c>
      <c r="CQ103" t="s">
        <v>1664</v>
      </c>
      <c r="CR103" t="s">
        <v>1368</v>
      </c>
      <c r="CS103" t="s">
        <v>1665</v>
      </c>
      <c r="CT103" t="s">
        <v>1959</v>
      </c>
      <c r="CU103" t="s">
        <v>1966</v>
      </c>
      <c r="CV103" t="s">
        <v>2159</v>
      </c>
      <c r="DB103" t="s">
        <v>2150</v>
      </c>
      <c r="DE103" t="s">
        <v>1959</v>
      </c>
    </row>
    <row r="104" spans="1:109" x14ac:dyDescent="0.25">
      <c r="A104" t="s">
        <v>1664</v>
      </c>
      <c r="B104">
        <v>2</v>
      </c>
      <c r="C104" s="55">
        <v>42874</v>
      </c>
      <c r="D104" t="s">
        <v>1658</v>
      </c>
      <c r="E104" t="s">
        <v>2160</v>
      </c>
      <c r="G104" t="s">
        <v>1659</v>
      </c>
      <c r="H104" t="s">
        <v>1659</v>
      </c>
      <c r="I104" t="s">
        <v>1659</v>
      </c>
      <c r="J104" t="s">
        <v>1659</v>
      </c>
      <c r="K104" t="s">
        <v>1659</v>
      </c>
      <c r="L104">
        <v>17.63</v>
      </c>
      <c r="M104">
        <v>0</v>
      </c>
      <c r="N104">
        <v>0</v>
      </c>
      <c r="O104" s="55"/>
      <c r="P104" s="55"/>
      <c r="Q104">
        <v>13730</v>
      </c>
      <c r="R104">
        <v>15</v>
      </c>
      <c r="S104">
        <v>7</v>
      </c>
      <c r="T104">
        <v>3</v>
      </c>
      <c r="U104">
        <v>4</v>
      </c>
      <c r="V104">
        <v>1</v>
      </c>
      <c r="X104" t="s">
        <v>1690</v>
      </c>
      <c r="AA104">
        <v>0</v>
      </c>
      <c r="AB104">
        <v>0</v>
      </c>
      <c r="AC104">
        <v>0</v>
      </c>
      <c r="AD104">
        <v>0</v>
      </c>
      <c r="AE104">
        <v>0</v>
      </c>
      <c r="AF104">
        <v>0</v>
      </c>
      <c r="AG104">
        <v>0</v>
      </c>
      <c r="AJ104" s="55">
        <v>42666</v>
      </c>
      <c r="AK104" s="55"/>
      <c r="AL104" s="55"/>
      <c r="AO104">
        <v>1</v>
      </c>
      <c r="AP104" t="s">
        <v>1660</v>
      </c>
      <c r="AR104">
        <v>10</v>
      </c>
      <c r="AS104" t="s">
        <v>1661</v>
      </c>
      <c r="AT104">
        <v>1</v>
      </c>
      <c r="AV104">
        <v>0</v>
      </c>
      <c r="AW104">
        <v>0</v>
      </c>
      <c r="AX104">
        <v>0</v>
      </c>
      <c r="AY104" t="s">
        <v>1662</v>
      </c>
      <c r="AZ104" t="s">
        <v>1662</v>
      </c>
      <c r="BA104">
        <v>10</v>
      </c>
      <c r="BD104">
        <v>1000000000</v>
      </c>
      <c r="BE104">
        <v>20</v>
      </c>
      <c r="BF104">
        <v>0</v>
      </c>
      <c r="BG104">
        <v>0</v>
      </c>
      <c r="BH104">
        <v>0</v>
      </c>
      <c r="BI104">
        <v>0</v>
      </c>
      <c r="BJ104">
        <v>0</v>
      </c>
      <c r="BK104">
        <v>0</v>
      </c>
      <c r="BL104">
        <v>0</v>
      </c>
      <c r="BM104">
        <v>20</v>
      </c>
      <c r="BN104">
        <v>0</v>
      </c>
      <c r="BR104">
        <v>0</v>
      </c>
      <c r="BS104">
        <v>0</v>
      </c>
      <c r="BX104">
        <v>0</v>
      </c>
      <c r="BY104">
        <v>0</v>
      </c>
      <c r="BZ104">
        <v>0</v>
      </c>
      <c r="CA104">
        <v>0</v>
      </c>
      <c r="CC104">
        <v>0</v>
      </c>
      <c r="CD104" s="55">
        <v>42816</v>
      </c>
      <c r="CE104" s="55"/>
      <c r="CF104" s="55">
        <v>42825</v>
      </c>
      <c r="CG104" s="55">
        <v>42874</v>
      </c>
      <c r="CH104" s="55">
        <v>0</v>
      </c>
      <c r="CI104" s="55">
        <v>0</v>
      </c>
      <c r="CJ104">
        <v>0.02</v>
      </c>
      <c r="CK104">
        <v>0</v>
      </c>
      <c r="CL104">
        <v>0</v>
      </c>
      <c r="CM104">
        <v>0</v>
      </c>
      <c r="CN104">
        <v>0</v>
      </c>
      <c r="CO104">
        <v>0</v>
      </c>
      <c r="CP104">
        <v>0.96</v>
      </c>
      <c r="CQ104" t="s">
        <v>1664</v>
      </c>
      <c r="CR104" t="s">
        <v>1368</v>
      </c>
      <c r="CS104" t="s">
        <v>1665</v>
      </c>
      <c r="CT104" t="s">
        <v>1959</v>
      </c>
      <c r="CU104" t="s">
        <v>1966</v>
      </c>
      <c r="CV104" t="s">
        <v>2161</v>
      </c>
      <c r="DB104" t="s">
        <v>2036</v>
      </c>
      <c r="DE104" t="s">
        <v>1959</v>
      </c>
    </row>
    <row r="105" spans="1:109" x14ac:dyDescent="0.25">
      <c r="A105" t="s">
        <v>1664</v>
      </c>
      <c r="B105">
        <v>2</v>
      </c>
      <c r="C105" s="55">
        <v>42874</v>
      </c>
      <c r="D105" t="s">
        <v>1658</v>
      </c>
      <c r="E105" t="s">
        <v>2162</v>
      </c>
      <c r="G105" t="s">
        <v>1659</v>
      </c>
      <c r="H105" t="s">
        <v>1659</v>
      </c>
      <c r="I105" t="s">
        <v>1659</v>
      </c>
      <c r="J105" t="s">
        <v>1659</v>
      </c>
      <c r="K105" t="s">
        <v>1659</v>
      </c>
      <c r="L105">
        <v>0</v>
      </c>
      <c r="M105">
        <v>0</v>
      </c>
      <c r="N105">
        <v>0</v>
      </c>
      <c r="O105" s="55"/>
      <c r="P105" s="55"/>
      <c r="Q105">
        <v>13730</v>
      </c>
      <c r="R105">
        <v>15</v>
      </c>
      <c r="S105">
        <v>7</v>
      </c>
      <c r="T105">
        <v>3</v>
      </c>
      <c r="U105">
        <v>4</v>
      </c>
      <c r="V105">
        <v>1</v>
      </c>
      <c r="X105" t="s">
        <v>1981</v>
      </c>
      <c r="AA105">
        <v>0</v>
      </c>
      <c r="AB105">
        <v>0</v>
      </c>
      <c r="AC105">
        <v>0</v>
      </c>
      <c r="AD105">
        <v>0</v>
      </c>
      <c r="AE105">
        <v>0</v>
      </c>
      <c r="AF105">
        <v>0</v>
      </c>
      <c r="AG105">
        <v>0</v>
      </c>
      <c r="AJ105" s="55"/>
      <c r="AK105" s="55"/>
      <c r="AL105" s="55"/>
      <c r="AO105">
        <v>1</v>
      </c>
      <c r="AP105" t="s">
        <v>1660</v>
      </c>
      <c r="AR105">
        <v>10</v>
      </c>
      <c r="AS105" t="s">
        <v>1661</v>
      </c>
      <c r="AT105">
        <v>1</v>
      </c>
      <c r="AV105">
        <v>0</v>
      </c>
      <c r="AW105">
        <v>0</v>
      </c>
      <c r="AX105">
        <v>0</v>
      </c>
      <c r="AY105" t="s">
        <v>1662</v>
      </c>
      <c r="AZ105" t="s">
        <v>1662</v>
      </c>
      <c r="BA105">
        <v>10</v>
      </c>
      <c r="BD105">
        <v>1000000000</v>
      </c>
      <c r="BE105">
        <v>0</v>
      </c>
      <c r="BF105">
        <v>0</v>
      </c>
      <c r="BG105">
        <v>0</v>
      </c>
      <c r="BH105">
        <v>0</v>
      </c>
      <c r="BI105">
        <v>0</v>
      </c>
      <c r="BJ105">
        <v>0</v>
      </c>
      <c r="BK105">
        <v>0</v>
      </c>
      <c r="BL105">
        <v>0</v>
      </c>
      <c r="BM105">
        <v>0</v>
      </c>
      <c r="BN105">
        <v>0</v>
      </c>
      <c r="BR105">
        <v>0</v>
      </c>
      <c r="BS105">
        <v>0</v>
      </c>
      <c r="BX105">
        <v>0</v>
      </c>
      <c r="BY105">
        <v>0</v>
      </c>
      <c r="BZ105">
        <v>0</v>
      </c>
      <c r="CA105">
        <v>0</v>
      </c>
      <c r="CC105">
        <v>0</v>
      </c>
      <c r="CD105" s="55">
        <v>42815</v>
      </c>
      <c r="CE105" s="55"/>
      <c r="CF105" s="55">
        <v>42825</v>
      </c>
      <c r="CG105" s="55">
        <v>42874</v>
      </c>
      <c r="CH105" s="55">
        <v>0</v>
      </c>
      <c r="CI105" s="55">
        <v>0</v>
      </c>
      <c r="CJ105">
        <v>1</v>
      </c>
      <c r="CK105">
        <v>0</v>
      </c>
      <c r="CL105">
        <v>0.96</v>
      </c>
      <c r="CM105">
        <v>0</v>
      </c>
      <c r="CN105">
        <v>0</v>
      </c>
      <c r="CO105">
        <v>0</v>
      </c>
      <c r="CP105">
        <v>0</v>
      </c>
      <c r="CQ105" t="s">
        <v>1664</v>
      </c>
      <c r="CR105" t="s">
        <v>1368</v>
      </c>
      <c r="CS105" t="s">
        <v>1665</v>
      </c>
      <c r="CT105" t="s">
        <v>1959</v>
      </c>
      <c r="CU105" t="s">
        <v>1966</v>
      </c>
      <c r="CV105" t="s">
        <v>2163</v>
      </c>
      <c r="DB105" t="s">
        <v>2150</v>
      </c>
      <c r="DE105" t="s">
        <v>1959</v>
      </c>
    </row>
    <row r="106" spans="1:109" x14ac:dyDescent="0.25">
      <c r="A106" t="s">
        <v>1664</v>
      </c>
      <c r="B106">
        <v>2</v>
      </c>
      <c r="C106" s="55">
        <v>42874</v>
      </c>
      <c r="D106" t="s">
        <v>1658</v>
      </c>
      <c r="E106" t="s">
        <v>2164</v>
      </c>
      <c r="G106" t="s">
        <v>1659</v>
      </c>
      <c r="H106" t="s">
        <v>1659</v>
      </c>
      <c r="I106" t="s">
        <v>1659</v>
      </c>
      <c r="J106" t="s">
        <v>1659</v>
      </c>
      <c r="K106" t="s">
        <v>1659</v>
      </c>
      <c r="L106">
        <v>0</v>
      </c>
      <c r="M106">
        <v>0</v>
      </c>
      <c r="N106">
        <v>0</v>
      </c>
      <c r="O106" s="55"/>
      <c r="P106" s="55"/>
      <c r="Q106">
        <v>13730</v>
      </c>
      <c r="R106">
        <v>15</v>
      </c>
      <c r="S106">
        <v>7</v>
      </c>
      <c r="T106">
        <v>3</v>
      </c>
      <c r="U106">
        <v>4</v>
      </c>
      <c r="V106">
        <v>1</v>
      </c>
      <c r="X106" t="s">
        <v>1981</v>
      </c>
      <c r="AA106">
        <v>0</v>
      </c>
      <c r="AB106">
        <v>0</v>
      </c>
      <c r="AC106">
        <v>0</v>
      </c>
      <c r="AD106">
        <v>0</v>
      </c>
      <c r="AE106">
        <v>0</v>
      </c>
      <c r="AF106">
        <v>0</v>
      </c>
      <c r="AG106">
        <v>0</v>
      </c>
      <c r="AJ106" s="55"/>
      <c r="AK106" s="55"/>
      <c r="AL106" s="55"/>
      <c r="AO106">
        <v>1</v>
      </c>
      <c r="AP106" t="s">
        <v>1660</v>
      </c>
      <c r="AR106">
        <v>10</v>
      </c>
      <c r="AS106" t="s">
        <v>1661</v>
      </c>
      <c r="AT106">
        <v>1</v>
      </c>
      <c r="AV106">
        <v>0</v>
      </c>
      <c r="AW106">
        <v>0</v>
      </c>
      <c r="AX106">
        <v>0</v>
      </c>
      <c r="AY106" t="s">
        <v>1662</v>
      </c>
      <c r="AZ106" t="s">
        <v>1662</v>
      </c>
      <c r="BA106">
        <v>10</v>
      </c>
      <c r="BD106">
        <v>1000000000</v>
      </c>
      <c r="BE106">
        <v>0</v>
      </c>
      <c r="BF106">
        <v>0</v>
      </c>
      <c r="BG106">
        <v>0</v>
      </c>
      <c r="BH106">
        <v>0</v>
      </c>
      <c r="BI106">
        <v>0</v>
      </c>
      <c r="BJ106">
        <v>0</v>
      </c>
      <c r="BK106">
        <v>0</v>
      </c>
      <c r="BL106">
        <v>0</v>
      </c>
      <c r="BM106">
        <v>0</v>
      </c>
      <c r="BN106">
        <v>0</v>
      </c>
      <c r="BR106">
        <v>0</v>
      </c>
      <c r="BS106">
        <v>0</v>
      </c>
      <c r="BX106">
        <v>0</v>
      </c>
      <c r="BY106">
        <v>0</v>
      </c>
      <c r="BZ106">
        <v>0</v>
      </c>
      <c r="CA106">
        <v>0</v>
      </c>
      <c r="CC106">
        <v>0</v>
      </c>
      <c r="CD106" s="55">
        <v>42815</v>
      </c>
      <c r="CE106" s="55"/>
      <c r="CF106" s="55">
        <v>42825</v>
      </c>
      <c r="CG106" s="55">
        <v>42874</v>
      </c>
      <c r="CH106" s="55">
        <v>0</v>
      </c>
      <c r="CI106" s="55">
        <v>0</v>
      </c>
      <c r="CJ106">
        <v>1</v>
      </c>
      <c r="CK106">
        <v>0</v>
      </c>
      <c r="CL106">
        <v>0.96</v>
      </c>
      <c r="CM106">
        <v>0</v>
      </c>
      <c r="CN106">
        <v>0</v>
      </c>
      <c r="CO106">
        <v>0</v>
      </c>
      <c r="CP106">
        <v>0</v>
      </c>
      <c r="CQ106" t="s">
        <v>1664</v>
      </c>
      <c r="CR106" t="s">
        <v>1368</v>
      </c>
      <c r="CS106" t="s">
        <v>1665</v>
      </c>
      <c r="CT106" t="s">
        <v>1959</v>
      </c>
      <c r="CU106" t="s">
        <v>1966</v>
      </c>
      <c r="CV106" t="s">
        <v>2165</v>
      </c>
      <c r="DB106" t="s">
        <v>2150</v>
      </c>
      <c r="DE106" t="s">
        <v>1959</v>
      </c>
    </row>
    <row r="107" spans="1:109" x14ac:dyDescent="0.25">
      <c r="A107" t="s">
        <v>1664</v>
      </c>
      <c r="B107">
        <v>2</v>
      </c>
      <c r="C107" s="55">
        <v>42874</v>
      </c>
      <c r="D107" t="s">
        <v>1658</v>
      </c>
      <c r="E107" t="s">
        <v>2166</v>
      </c>
      <c r="G107" t="s">
        <v>1659</v>
      </c>
      <c r="H107" t="s">
        <v>1659</v>
      </c>
      <c r="I107" t="s">
        <v>1659</v>
      </c>
      <c r="J107" t="s">
        <v>1659</v>
      </c>
      <c r="K107" t="s">
        <v>1659</v>
      </c>
      <c r="L107">
        <v>0</v>
      </c>
      <c r="M107">
        <v>0</v>
      </c>
      <c r="N107">
        <v>0</v>
      </c>
      <c r="O107" s="55"/>
      <c r="P107" s="55"/>
      <c r="Q107">
        <v>13730</v>
      </c>
      <c r="R107">
        <v>15</v>
      </c>
      <c r="S107">
        <v>7</v>
      </c>
      <c r="T107">
        <v>3</v>
      </c>
      <c r="U107">
        <v>4</v>
      </c>
      <c r="V107">
        <v>1</v>
      </c>
      <c r="X107" t="s">
        <v>1981</v>
      </c>
      <c r="AA107">
        <v>0</v>
      </c>
      <c r="AB107">
        <v>0</v>
      </c>
      <c r="AC107">
        <v>0</v>
      </c>
      <c r="AD107">
        <v>0</v>
      </c>
      <c r="AE107">
        <v>0</v>
      </c>
      <c r="AF107">
        <v>0</v>
      </c>
      <c r="AG107">
        <v>0</v>
      </c>
      <c r="AJ107" s="55"/>
      <c r="AK107" s="55"/>
      <c r="AL107" s="55"/>
      <c r="AO107">
        <v>1</v>
      </c>
      <c r="AP107" t="s">
        <v>1660</v>
      </c>
      <c r="AR107">
        <v>10</v>
      </c>
      <c r="AS107" t="s">
        <v>1661</v>
      </c>
      <c r="AT107">
        <v>1</v>
      </c>
      <c r="AV107">
        <v>0</v>
      </c>
      <c r="AW107">
        <v>0</v>
      </c>
      <c r="AX107">
        <v>0</v>
      </c>
      <c r="AY107" t="s">
        <v>1662</v>
      </c>
      <c r="AZ107" t="s">
        <v>1662</v>
      </c>
      <c r="BA107">
        <v>10</v>
      </c>
      <c r="BD107">
        <v>1000000000</v>
      </c>
      <c r="BE107">
        <v>0</v>
      </c>
      <c r="BF107">
        <v>0</v>
      </c>
      <c r="BG107">
        <v>0</v>
      </c>
      <c r="BH107">
        <v>0</v>
      </c>
      <c r="BI107">
        <v>0</v>
      </c>
      <c r="BJ107">
        <v>0</v>
      </c>
      <c r="BK107">
        <v>0</v>
      </c>
      <c r="BL107">
        <v>0</v>
      </c>
      <c r="BM107">
        <v>0</v>
      </c>
      <c r="BN107">
        <v>0</v>
      </c>
      <c r="BR107">
        <v>0</v>
      </c>
      <c r="BS107">
        <v>0</v>
      </c>
      <c r="BX107">
        <v>0</v>
      </c>
      <c r="BY107">
        <v>0</v>
      </c>
      <c r="BZ107">
        <v>0</v>
      </c>
      <c r="CA107">
        <v>0</v>
      </c>
      <c r="CC107">
        <v>0</v>
      </c>
      <c r="CD107" s="55">
        <v>42815</v>
      </c>
      <c r="CE107" s="55"/>
      <c r="CF107" s="55">
        <v>42825</v>
      </c>
      <c r="CG107" s="55">
        <v>42874</v>
      </c>
      <c r="CH107" s="55">
        <v>0</v>
      </c>
      <c r="CI107" s="55">
        <v>0</v>
      </c>
      <c r="CJ107">
        <v>1</v>
      </c>
      <c r="CK107">
        <v>0</v>
      </c>
      <c r="CL107">
        <v>0.96</v>
      </c>
      <c r="CM107">
        <v>0</v>
      </c>
      <c r="CN107">
        <v>0</v>
      </c>
      <c r="CO107">
        <v>0</v>
      </c>
      <c r="CP107">
        <v>0</v>
      </c>
      <c r="CQ107" t="s">
        <v>1664</v>
      </c>
      <c r="CR107" t="s">
        <v>1368</v>
      </c>
      <c r="CS107" t="s">
        <v>1665</v>
      </c>
      <c r="CT107" t="s">
        <v>1959</v>
      </c>
      <c r="CU107" t="s">
        <v>1966</v>
      </c>
      <c r="CV107" t="s">
        <v>2167</v>
      </c>
      <c r="DB107" t="s">
        <v>2150</v>
      </c>
      <c r="DE107" t="s">
        <v>1959</v>
      </c>
    </row>
    <row r="108" spans="1:109" x14ac:dyDescent="0.25">
      <c r="A108" t="s">
        <v>1664</v>
      </c>
      <c r="B108">
        <v>2</v>
      </c>
      <c r="C108" s="55">
        <v>42874</v>
      </c>
      <c r="D108" t="s">
        <v>1658</v>
      </c>
      <c r="E108" t="s">
        <v>2168</v>
      </c>
      <c r="G108" t="s">
        <v>1659</v>
      </c>
      <c r="H108" t="s">
        <v>1659</v>
      </c>
      <c r="I108" t="s">
        <v>1659</v>
      </c>
      <c r="J108" t="s">
        <v>1659</v>
      </c>
      <c r="K108" t="s">
        <v>1659</v>
      </c>
      <c r="L108">
        <v>21.58</v>
      </c>
      <c r="M108">
        <v>0</v>
      </c>
      <c r="N108">
        <v>0</v>
      </c>
      <c r="O108" s="55"/>
      <c r="P108" s="55"/>
      <c r="Q108">
        <v>13730</v>
      </c>
      <c r="R108">
        <v>15</v>
      </c>
      <c r="S108">
        <v>7</v>
      </c>
      <c r="T108">
        <v>3</v>
      </c>
      <c r="U108">
        <v>4</v>
      </c>
      <c r="V108">
        <v>1</v>
      </c>
      <c r="X108" t="s">
        <v>1690</v>
      </c>
      <c r="AA108">
        <v>0</v>
      </c>
      <c r="AB108">
        <v>0</v>
      </c>
      <c r="AC108">
        <v>0</v>
      </c>
      <c r="AD108">
        <v>0</v>
      </c>
      <c r="AE108">
        <v>0</v>
      </c>
      <c r="AF108">
        <v>0</v>
      </c>
      <c r="AG108">
        <v>0</v>
      </c>
      <c r="AJ108" s="55">
        <v>42666</v>
      </c>
      <c r="AK108" s="55"/>
      <c r="AL108" s="55"/>
      <c r="AO108">
        <v>1</v>
      </c>
      <c r="AP108" t="s">
        <v>1660</v>
      </c>
      <c r="AR108">
        <v>10</v>
      </c>
      <c r="AS108" t="s">
        <v>1661</v>
      </c>
      <c r="AT108">
        <v>1</v>
      </c>
      <c r="AV108">
        <v>0</v>
      </c>
      <c r="AW108">
        <v>0</v>
      </c>
      <c r="AX108">
        <v>0</v>
      </c>
      <c r="AY108" t="s">
        <v>1662</v>
      </c>
      <c r="AZ108" t="s">
        <v>1662</v>
      </c>
      <c r="BA108">
        <v>10</v>
      </c>
      <c r="BD108">
        <v>1000000000</v>
      </c>
      <c r="BE108">
        <v>22</v>
      </c>
      <c r="BF108">
        <v>0</v>
      </c>
      <c r="BG108">
        <v>0</v>
      </c>
      <c r="BH108">
        <v>0</v>
      </c>
      <c r="BI108">
        <v>0</v>
      </c>
      <c r="BJ108">
        <v>0</v>
      </c>
      <c r="BK108">
        <v>0</v>
      </c>
      <c r="BL108">
        <v>0</v>
      </c>
      <c r="BM108">
        <v>22</v>
      </c>
      <c r="BN108">
        <v>0</v>
      </c>
      <c r="BR108">
        <v>0</v>
      </c>
      <c r="BS108">
        <v>0</v>
      </c>
      <c r="BX108">
        <v>0</v>
      </c>
      <c r="BY108">
        <v>0</v>
      </c>
      <c r="BZ108">
        <v>0</v>
      </c>
      <c r="CA108">
        <v>0</v>
      </c>
      <c r="CC108">
        <v>0</v>
      </c>
      <c r="CD108" s="55">
        <v>42816</v>
      </c>
      <c r="CE108" s="55"/>
      <c r="CF108" s="55">
        <v>42825</v>
      </c>
      <c r="CG108" s="55">
        <v>42874</v>
      </c>
      <c r="CH108" s="55">
        <v>0</v>
      </c>
      <c r="CI108" s="55">
        <v>0</v>
      </c>
      <c r="CJ108">
        <v>0</v>
      </c>
      <c r="CK108">
        <v>0</v>
      </c>
      <c r="CL108">
        <v>0</v>
      </c>
      <c r="CM108">
        <v>0</v>
      </c>
      <c r="CN108">
        <v>0</v>
      </c>
      <c r="CO108">
        <v>0</v>
      </c>
      <c r="CP108">
        <v>0.96</v>
      </c>
      <c r="CQ108" t="s">
        <v>1664</v>
      </c>
      <c r="CR108" t="s">
        <v>1368</v>
      </c>
      <c r="CS108" t="s">
        <v>1665</v>
      </c>
      <c r="CT108" t="s">
        <v>1959</v>
      </c>
      <c r="CU108" t="s">
        <v>1966</v>
      </c>
      <c r="CV108" t="s">
        <v>2169</v>
      </c>
      <c r="DB108" t="s">
        <v>2036</v>
      </c>
      <c r="DE108" t="s">
        <v>1959</v>
      </c>
    </row>
    <row r="109" spans="1:109" x14ac:dyDescent="0.25">
      <c r="A109" t="s">
        <v>1664</v>
      </c>
      <c r="B109">
        <v>2</v>
      </c>
      <c r="C109" s="55">
        <v>42874</v>
      </c>
      <c r="D109" t="s">
        <v>1658</v>
      </c>
      <c r="E109" t="s">
        <v>2170</v>
      </c>
      <c r="G109" t="s">
        <v>1659</v>
      </c>
      <c r="H109" t="s">
        <v>1659</v>
      </c>
      <c r="I109" t="s">
        <v>1659</v>
      </c>
      <c r="J109" t="s">
        <v>1659</v>
      </c>
      <c r="K109" t="s">
        <v>1659</v>
      </c>
      <c r="L109">
        <v>0</v>
      </c>
      <c r="M109">
        <v>0</v>
      </c>
      <c r="N109">
        <v>0</v>
      </c>
      <c r="O109" s="55"/>
      <c r="P109" s="55"/>
      <c r="Q109">
        <v>13730</v>
      </c>
      <c r="R109">
        <v>15</v>
      </c>
      <c r="S109">
        <v>7</v>
      </c>
      <c r="T109">
        <v>3</v>
      </c>
      <c r="U109">
        <v>4</v>
      </c>
      <c r="V109">
        <v>1</v>
      </c>
      <c r="X109" t="s">
        <v>1981</v>
      </c>
      <c r="AA109">
        <v>0</v>
      </c>
      <c r="AB109">
        <v>0</v>
      </c>
      <c r="AC109">
        <v>0</v>
      </c>
      <c r="AD109">
        <v>0</v>
      </c>
      <c r="AE109">
        <v>0</v>
      </c>
      <c r="AF109">
        <v>0</v>
      </c>
      <c r="AG109">
        <v>0</v>
      </c>
      <c r="AJ109" s="55"/>
      <c r="AK109" s="55"/>
      <c r="AL109" s="55"/>
      <c r="AO109">
        <v>1</v>
      </c>
      <c r="AP109" t="s">
        <v>1660</v>
      </c>
      <c r="AR109">
        <v>10</v>
      </c>
      <c r="AS109" t="s">
        <v>1661</v>
      </c>
      <c r="AT109">
        <v>1</v>
      </c>
      <c r="AV109">
        <v>0</v>
      </c>
      <c r="AW109">
        <v>0</v>
      </c>
      <c r="AX109">
        <v>0</v>
      </c>
      <c r="AY109" t="s">
        <v>1662</v>
      </c>
      <c r="AZ109" t="s">
        <v>1662</v>
      </c>
      <c r="BA109">
        <v>10</v>
      </c>
      <c r="BD109">
        <v>1000000000</v>
      </c>
      <c r="BE109">
        <v>0</v>
      </c>
      <c r="BF109">
        <v>0</v>
      </c>
      <c r="BG109">
        <v>0</v>
      </c>
      <c r="BH109">
        <v>0</v>
      </c>
      <c r="BI109">
        <v>0</v>
      </c>
      <c r="BJ109">
        <v>0</v>
      </c>
      <c r="BK109">
        <v>0</v>
      </c>
      <c r="BL109">
        <v>0</v>
      </c>
      <c r="BM109">
        <v>0</v>
      </c>
      <c r="BN109">
        <v>0</v>
      </c>
      <c r="BR109">
        <v>0</v>
      </c>
      <c r="BS109">
        <v>0</v>
      </c>
      <c r="BX109">
        <v>0</v>
      </c>
      <c r="BY109">
        <v>0</v>
      </c>
      <c r="BZ109">
        <v>0</v>
      </c>
      <c r="CA109">
        <v>0</v>
      </c>
      <c r="CC109">
        <v>0</v>
      </c>
      <c r="CD109" s="55">
        <v>42815</v>
      </c>
      <c r="CE109" s="55"/>
      <c r="CF109" s="55">
        <v>42825</v>
      </c>
      <c r="CG109" s="55">
        <v>42874</v>
      </c>
      <c r="CH109" s="55">
        <v>0</v>
      </c>
      <c r="CI109" s="55">
        <v>0</v>
      </c>
      <c r="CJ109">
        <v>1</v>
      </c>
      <c r="CK109">
        <v>0</v>
      </c>
      <c r="CL109">
        <v>0.96</v>
      </c>
      <c r="CM109">
        <v>0</v>
      </c>
      <c r="CN109">
        <v>0</v>
      </c>
      <c r="CO109">
        <v>0</v>
      </c>
      <c r="CP109">
        <v>0</v>
      </c>
      <c r="CQ109" t="s">
        <v>1664</v>
      </c>
      <c r="CR109" t="s">
        <v>1368</v>
      </c>
      <c r="CS109" t="s">
        <v>1665</v>
      </c>
      <c r="CT109" t="s">
        <v>1959</v>
      </c>
      <c r="CU109" t="s">
        <v>1966</v>
      </c>
      <c r="CV109" t="s">
        <v>2171</v>
      </c>
      <c r="DB109" t="s">
        <v>2150</v>
      </c>
      <c r="DE109" t="s">
        <v>1959</v>
      </c>
    </row>
    <row r="110" spans="1:109" x14ac:dyDescent="0.25">
      <c r="A110" t="s">
        <v>1664</v>
      </c>
      <c r="B110">
        <v>2</v>
      </c>
      <c r="C110" s="55">
        <v>42874</v>
      </c>
      <c r="D110" t="s">
        <v>1658</v>
      </c>
      <c r="E110" t="s">
        <v>2172</v>
      </c>
      <c r="G110" t="s">
        <v>1659</v>
      </c>
      <c r="H110" t="s">
        <v>1659</v>
      </c>
      <c r="I110" t="s">
        <v>1659</v>
      </c>
      <c r="J110" t="s">
        <v>1659</v>
      </c>
      <c r="K110" t="s">
        <v>1659</v>
      </c>
      <c r="L110">
        <v>18.68</v>
      </c>
      <c r="M110">
        <v>36.200000000000003</v>
      </c>
      <c r="N110">
        <v>0</v>
      </c>
      <c r="O110" s="55"/>
      <c r="P110" s="55"/>
      <c r="Q110">
        <v>13730</v>
      </c>
      <c r="R110">
        <v>15</v>
      </c>
      <c r="S110">
        <v>7</v>
      </c>
      <c r="T110">
        <v>3</v>
      </c>
      <c r="U110">
        <v>4</v>
      </c>
      <c r="V110">
        <v>1</v>
      </c>
      <c r="X110" t="s">
        <v>1690</v>
      </c>
      <c r="AA110">
        <v>0</v>
      </c>
      <c r="AB110">
        <v>0</v>
      </c>
      <c r="AC110">
        <v>0</v>
      </c>
      <c r="AD110">
        <v>0</v>
      </c>
      <c r="AE110">
        <v>0</v>
      </c>
      <c r="AF110">
        <v>0</v>
      </c>
      <c r="AG110">
        <v>0</v>
      </c>
      <c r="AJ110" s="55"/>
      <c r="AK110" s="55"/>
      <c r="AL110" s="55"/>
      <c r="AO110">
        <v>1</v>
      </c>
      <c r="AP110" t="s">
        <v>1660</v>
      </c>
      <c r="AR110">
        <v>10</v>
      </c>
      <c r="AS110" t="s">
        <v>1661</v>
      </c>
      <c r="AT110">
        <v>1</v>
      </c>
      <c r="AV110">
        <v>10</v>
      </c>
      <c r="AW110">
        <v>7</v>
      </c>
      <c r="AX110">
        <v>3</v>
      </c>
      <c r="AY110" t="s">
        <v>1670</v>
      </c>
      <c r="AZ110" t="s">
        <v>1670</v>
      </c>
      <c r="BA110">
        <v>14</v>
      </c>
      <c r="BD110">
        <v>1000000000</v>
      </c>
      <c r="BE110">
        <v>18</v>
      </c>
      <c r="BF110">
        <v>-0.8</v>
      </c>
      <c r="BG110">
        <v>0</v>
      </c>
      <c r="BH110">
        <v>0</v>
      </c>
      <c r="BI110">
        <v>0</v>
      </c>
      <c r="BJ110">
        <v>0</v>
      </c>
      <c r="BK110">
        <v>0</v>
      </c>
      <c r="BL110">
        <v>0</v>
      </c>
      <c r="BM110">
        <v>18</v>
      </c>
      <c r="BN110">
        <v>-0.8</v>
      </c>
      <c r="BR110">
        <v>0</v>
      </c>
      <c r="BS110">
        <v>6</v>
      </c>
      <c r="BX110">
        <v>0</v>
      </c>
      <c r="BY110">
        <v>149.44</v>
      </c>
      <c r="BZ110">
        <v>0</v>
      </c>
      <c r="CA110">
        <v>6.43</v>
      </c>
      <c r="CC110">
        <v>0</v>
      </c>
      <c r="CD110" s="55">
        <v>42816</v>
      </c>
      <c r="CE110" s="55"/>
      <c r="CF110" s="55">
        <v>42825</v>
      </c>
      <c r="CG110" s="55">
        <v>42874</v>
      </c>
      <c r="CH110" s="55">
        <v>0</v>
      </c>
      <c r="CI110" s="55">
        <v>0</v>
      </c>
      <c r="CJ110">
        <v>0</v>
      </c>
      <c r="CK110">
        <v>0</v>
      </c>
      <c r="CL110">
        <v>0</v>
      </c>
      <c r="CM110">
        <v>0</v>
      </c>
      <c r="CN110">
        <v>0</v>
      </c>
      <c r="CO110">
        <v>0</v>
      </c>
      <c r="CP110">
        <v>0.96</v>
      </c>
      <c r="CQ110" t="s">
        <v>1664</v>
      </c>
      <c r="CR110" t="s">
        <v>1368</v>
      </c>
      <c r="CS110" t="s">
        <v>1665</v>
      </c>
      <c r="CT110" t="s">
        <v>1959</v>
      </c>
      <c r="CU110" t="s">
        <v>1966</v>
      </c>
      <c r="CV110" t="s">
        <v>2173</v>
      </c>
      <c r="DB110" t="s">
        <v>2174</v>
      </c>
      <c r="DE110" t="s">
        <v>1959</v>
      </c>
    </row>
    <row r="111" spans="1:109" x14ac:dyDescent="0.25">
      <c r="A111" t="s">
        <v>1664</v>
      </c>
      <c r="B111">
        <v>2</v>
      </c>
      <c r="C111" s="55">
        <v>42874</v>
      </c>
      <c r="D111" t="s">
        <v>1658</v>
      </c>
      <c r="E111" t="s">
        <v>2175</v>
      </c>
      <c r="G111" t="s">
        <v>1659</v>
      </c>
      <c r="H111" t="s">
        <v>1659</v>
      </c>
      <c r="I111" t="s">
        <v>1659</v>
      </c>
      <c r="J111" t="s">
        <v>1659</v>
      </c>
      <c r="K111" t="s">
        <v>1659</v>
      </c>
      <c r="L111">
        <v>19.989999999999998</v>
      </c>
      <c r="M111">
        <v>36.200000000000003</v>
      </c>
      <c r="N111">
        <v>0</v>
      </c>
      <c r="O111" s="55"/>
      <c r="P111" s="55"/>
      <c r="Q111">
        <v>13730</v>
      </c>
      <c r="R111">
        <v>15</v>
      </c>
      <c r="S111">
        <v>7</v>
      </c>
      <c r="T111">
        <v>3</v>
      </c>
      <c r="U111">
        <v>4</v>
      </c>
      <c r="V111">
        <v>1</v>
      </c>
      <c r="X111" t="s">
        <v>1690</v>
      </c>
      <c r="AA111">
        <v>0</v>
      </c>
      <c r="AB111">
        <v>0</v>
      </c>
      <c r="AC111">
        <v>0</v>
      </c>
      <c r="AD111">
        <v>0</v>
      </c>
      <c r="AE111">
        <v>0</v>
      </c>
      <c r="AF111">
        <v>0</v>
      </c>
      <c r="AG111">
        <v>0</v>
      </c>
      <c r="AJ111" s="55"/>
      <c r="AK111" s="55"/>
      <c r="AL111" s="55"/>
      <c r="AO111">
        <v>1</v>
      </c>
      <c r="AP111" t="s">
        <v>1660</v>
      </c>
      <c r="AR111">
        <v>10</v>
      </c>
      <c r="AS111" t="s">
        <v>1661</v>
      </c>
      <c r="AT111">
        <v>1</v>
      </c>
      <c r="AV111">
        <v>10</v>
      </c>
      <c r="AW111">
        <v>7</v>
      </c>
      <c r="AX111">
        <v>3</v>
      </c>
      <c r="AY111" t="s">
        <v>1670</v>
      </c>
      <c r="AZ111" t="s">
        <v>1670</v>
      </c>
      <c r="BA111">
        <v>20</v>
      </c>
      <c r="BD111">
        <v>1000000000</v>
      </c>
      <c r="BE111">
        <v>22</v>
      </c>
      <c r="BF111">
        <v>-1.2</v>
      </c>
      <c r="BG111">
        <v>0</v>
      </c>
      <c r="BH111">
        <v>0</v>
      </c>
      <c r="BI111">
        <v>0</v>
      </c>
      <c r="BJ111">
        <v>0</v>
      </c>
      <c r="BK111">
        <v>0</v>
      </c>
      <c r="BL111">
        <v>0</v>
      </c>
      <c r="BM111">
        <v>22</v>
      </c>
      <c r="BN111">
        <v>-1.2</v>
      </c>
      <c r="BR111">
        <v>0</v>
      </c>
      <c r="BS111">
        <v>6</v>
      </c>
      <c r="BX111">
        <v>0</v>
      </c>
      <c r="BY111">
        <v>239.88</v>
      </c>
      <c r="BZ111">
        <v>0</v>
      </c>
      <c r="CA111">
        <v>5.56</v>
      </c>
      <c r="CC111">
        <v>0</v>
      </c>
      <c r="CD111" s="55">
        <v>42816</v>
      </c>
      <c r="CE111" s="55"/>
      <c r="CF111" s="55">
        <v>42825</v>
      </c>
      <c r="CG111" s="55">
        <v>42874</v>
      </c>
      <c r="CH111" s="55">
        <v>0</v>
      </c>
      <c r="CI111" s="55">
        <v>0</v>
      </c>
      <c r="CJ111">
        <v>0.02</v>
      </c>
      <c r="CK111">
        <v>0</v>
      </c>
      <c r="CL111">
        <v>0</v>
      </c>
      <c r="CM111">
        <v>0</v>
      </c>
      <c r="CN111">
        <v>0</v>
      </c>
      <c r="CO111">
        <v>0</v>
      </c>
      <c r="CP111">
        <v>0.96</v>
      </c>
      <c r="CQ111" t="s">
        <v>1664</v>
      </c>
      <c r="CR111" t="s">
        <v>1368</v>
      </c>
      <c r="CS111" t="s">
        <v>1665</v>
      </c>
      <c r="CT111" t="s">
        <v>1959</v>
      </c>
      <c r="CU111" t="s">
        <v>1966</v>
      </c>
      <c r="CV111" t="s">
        <v>2176</v>
      </c>
      <c r="DB111" t="s">
        <v>2174</v>
      </c>
      <c r="DE111" t="s">
        <v>1959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1231"/>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1035</v>
      </c>
      <c r="D1" t="s">
        <v>1037</v>
      </c>
      <c r="F1" t="s">
        <v>1036</v>
      </c>
      <c r="G1" t="s">
        <v>1037</v>
      </c>
    </row>
    <row r="2" spans="1:7" x14ac:dyDescent="0.25">
      <c r="A2" t="s">
        <v>1691</v>
      </c>
      <c r="B2">
        <v>2</v>
      </c>
      <c r="C2" s="46">
        <v>42767</v>
      </c>
      <c r="D2" s="3" t="str">
        <f>YEAR(Datos_Consumo[[#This Row],[FECHA]])&amp;"-"&amp;MONTH(Datos_Consumo[[#This Row],[FECHA]])</f>
        <v>2017-2</v>
      </c>
      <c r="F2" s="46">
        <v>42705</v>
      </c>
      <c r="G2" s="52" t="str">
        <f>YEAR(Fecha_Consumo[[#This Row],[FECHAS_CONSUMO]])&amp;"-"&amp;MONTH(Fecha_Consumo[[#This Row],[FECHAS_CONSUMO]])</f>
        <v>2016-12</v>
      </c>
    </row>
    <row r="3" spans="1:7" x14ac:dyDescent="0.25">
      <c r="A3" t="s">
        <v>1692</v>
      </c>
      <c r="B3">
        <v>2</v>
      </c>
      <c r="C3" s="55">
        <v>42767</v>
      </c>
      <c r="D3" s="3" t="str">
        <f>YEAR(Datos_Consumo[[#This Row],[FECHA]])&amp;"-"&amp;MONTH(Datos_Consumo[[#This Row],[FECHA]])</f>
        <v>2017-2</v>
      </c>
      <c r="F3" s="55">
        <v>42736</v>
      </c>
      <c r="G3" s="52" t="str">
        <f>YEAR(Fecha_Consumo[[#This Row],[FECHAS_CONSUMO]])&amp;"-"&amp;MONTH(Fecha_Consumo[[#This Row],[FECHAS_CONSUMO]])</f>
        <v>2017-1</v>
      </c>
    </row>
    <row r="4" spans="1:7" x14ac:dyDescent="0.25">
      <c r="A4" t="s">
        <v>1693</v>
      </c>
      <c r="B4">
        <v>2</v>
      </c>
      <c r="C4" s="55">
        <v>42767</v>
      </c>
      <c r="D4" s="3" t="str">
        <f>YEAR(Datos_Consumo[[#This Row],[FECHA]])&amp;"-"&amp;MONTH(Datos_Consumo[[#This Row],[FECHA]])</f>
        <v>2017-2</v>
      </c>
      <c r="F4" s="55">
        <v>42767</v>
      </c>
      <c r="G4" s="52" t="str">
        <f>YEAR(Fecha_Consumo[[#This Row],[FECHAS_CONSUMO]])&amp;"-"&amp;MONTH(Fecha_Consumo[[#This Row],[FECHAS_CONSUMO]])</f>
        <v>2017-2</v>
      </c>
    </row>
    <row r="5" spans="1:7" x14ac:dyDescent="0.25">
      <c r="A5" t="s">
        <v>1569</v>
      </c>
      <c r="B5">
        <v>8</v>
      </c>
      <c r="C5" s="55">
        <v>42736</v>
      </c>
      <c r="D5" s="3" t="str">
        <f>YEAR(Datos_Consumo[[#This Row],[FECHA]])&amp;"-"&amp;MONTH(Datos_Consumo[[#This Row],[FECHA]])</f>
        <v>2017-1</v>
      </c>
      <c r="F5" s="55">
        <v>42795</v>
      </c>
      <c r="G5" s="52" t="str">
        <f>YEAR(Fecha_Consumo[[#This Row],[FECHAS_CONSUMO]])&amp;"-"&amp;MONTH(Fecha_Consumo[[#This Row],[FECHAS_CONSUMO]])</f>
        <v>2017-3</v>
      </c>
    </row>
    <row r="6" spans="1:7" x14ac:dyDescent="0.25">
      <c r="A6" t="s">
        <v>1569</v>
      </c>
      <c r="B6">
        <v>5</v>
      </c>
      <c r="C6" s="55">
        <v>42767</v>
      </c>
      <c r="D6" s="3" t="str">
        <f>YEAR(Datos_Consumo[[#This Row],[FECHA]])&amp;"-"&amp;MONTH(Datos_Consumo[[#This Row],[FECHA]])</f>
        <v>2017-2</v>
      </c>
      <c r="F6" s="55">
        <v>42826</v>
      </c>
      <c r="G6" s="52" t="str">
        <f>YEAR(Fecha_Consumo[[#This Row],[FECHAS_CONSUMO]])&amp;"-"&amp;MONTH(Fecha_Consumo[[#This Row],[FECHAS_CONSUMO]])</f>
        <v>2017-4</v>
      </c>
    </row>
    <row r="7" spans="1:7" x14ac:dyDescent="0.25">
      <c r="A7" t="s">
        <v>1570</v>
      </c>
      <c r="B7">
        <v>4</v>
      </c>
      <c r="C7" s="55">
        <v>42705</v>
      </c>
      <c r="D7" s="3" t="str">
        <f>YEAR(Datos_Consumo[[#This Row],[FECHA]])&amp;"-"&amp;MONTH(Datos_Consumo[[#This Row],[FECHA]])</f>
        <v>2016-12</v>
      </c>
      <c r="F7" s="55">
        <v>42856</v>
      </c>
      <c r="G7" s="52" t="str">
        <f>YEAR(Fecha_Consumo[[#This Row],[FECHAS_CONSUMO]])&amp;"-"&amp;MONTH(Fecha_Consumo[[#This Row],[FECHAS_CONSUMO]])</f>
        <v>2017-5</v>
      </c>
    </row>
    <row r="8" spans="1:7" x14ac:dyDescent="0.25">
      <c r="A8" t="s">
        <v>1570</v>
      </c>
      <c r="B8">
        <v>108</v>
      </c>
      <c r="C8" s="55">
        <v>42736</v>
      </c>
      <c r="D8" s="3" t="str">
        <f>YEAR(Datos_Consumo[[#This Row],[FECHA]])&amp;"-"&amp;MONTH(Datos_Consumo[[#This Row],[FECHA]])</f>
        <v>2017-1</v>
      </c>
    </row>
    <row r="9" spans="1:7" x14ac:dyDescent="0.25">
      <c r="A9" t="s">
        <v>1570</v>
      </c>
      <c r="B9">
        <v>191</v>
      </c>
      <c r="C9" s="55">
        <v>42767</v>
      </c>
      <c r="D9" s="3" t="str">
        <f>YEAR(Datos_Consumo[[#This Row],[FECHA]])&amp;"-"&amp;MONTH(Datos_Consumo[[#This Row],[FECHA]])</f>
        <v>2017-2</v>
      </c>
    </row>
    <row r="10" spans="1:7" x14ac:dyDescent="0.25">
      <c r="A10" t="s">
        <v>1570</v>
      </c>
      <c r="B10">
        <v>34</v>
      </c>
      <c r="C10" s="55">
        <v>42795</v>
      </c>
      <c r="D10" s="3" t="str">
        <f>YEAR(Datos_Consumo[[#This Row],[FECHA]])&amp;"-"&amp;MONTH(Datos_Consumo[[#This Row],[FECHA]])</f>
        <v>2017-3</v>
      </c>
    </row>
    <row r="11" spans="1:7" x14ac:dyDescent="0.25">
      <c r="A11" t="s">
        <v>1570</v>
      </c>
      <c r="B11">
        <v>23</v>
      </c>
      <c r="C11" s="55">
        <v>42826</v>
      </c>
      <c r="D11" s="3" t="str">
        <f>YEAR(Datos_Consumo[[#This Row],[FECHA]])&amp;"-"&amp;MONTH(Datos_Consumo[[#This Row],[FECHA]])</f>
        <v>2017-4</v>
      </c>
    </row>
    <row r="12" spans="1:7" x14ac:dyDescent="0.25">
      <c r="A12" t="s">
        <v>1570</v>
      </c>
      <c r="B12">
        <v>27</v>
      </c>
      <c r="C12" s="55">
        <v>42856</v>
      </c>
      <c r="D12" s="3" t="str">
        <f>YEAR(Datos_Consumo[[#This Row],[FECHA]])&amp;"-"&amp;MONTH(Datos_Consumo[[#This Row],[FECHA]])</f>
        <v>2017-5</v>
      </c>
    </row>
    <row r="13" spans="1:7" x14ac:dyDescent="0.25">
      <c r="A13" t="s">
        <v>1558</v>
      </c>
      <c r="B13">
        <v>2</v>
      </c>
      <c r="C13" s="55">
        <v>42705</v>
      </c>
      <c r="D13" s="3" t="str">
        <f>YEAR(Datos_Consumo[[#This Row],[FECHA]])&amp;"-"&amp;MONTH(Datos_Consumo[[#This Row],[FECHA]])</f>
        <v>2016-12</v>
      </c>
    </row>
    <row r="14" spans="1:7" x14ac:dyDescent="0.25">
      <c r="A14" t="s">
        <v>1558</v>
      </c>
      <c r="B14">
        <v>11</v>
      </c>
      <c r="C14" s="55">
        <v>42736</v>
      </c>
      <c r="D14" s="3" t="str">
        <f>YEAR(Datos_Consumo[[#This Row],[FECHA]])&amp;"-"&amp;MONTH(Datos_Consumo[[#This Row],[FECHA]])</f>
        <v>2017-1</v>
      </c>
    </row>
    <row r="15" spans="1:7" x14ac:dyDescent="0.25">
      <c r="A15" t="s">
        <v>1558</v>
      </c>
      <c r="B15">
        <v>5</v>
      </c>
      <c r="C15" s="55">
        <v>42767</v>
      </c>
      <c r="D15" s="3" t="str">
        <f>YEAR(Datos_Consumo[[#This Row],[FECHA]])&amp;"-"&amp;MONTH(Datos_Consumo[[#This Row],[FECHA]])</f>
        <v>2017-2</v>
      </c>
    </row>
    <row r="16" spans="1:7" x14ac:dyDescent="0.25">
      <c r="A16" t="s">
        <v>1558</v>
      </c>
      <c r="B16">
        <v>3</v>
      </c>
      <c r="C16" s="55">
        <v>42795</v>
      </c>
      <c r="D16" s="3" t="str">
        <f>YEAR(Datos_Consumo[[#This Row],[FECHA]])&amp;"-"&amp;MONTH(Datos_Consumo[[#This Row],[FECHA]])</f>
        <v>2017-3</v>
      </c>
    </row>
    <row r="17" spans="1:4" x14ac:dyDescent="0.25">
      <c r="A17" t="s">
        <v>1694</v>
      </c>
      <c r="B17">
        <v>22</v>
      </c>
      <c r="C17" s="55">
        <v>42767</v>
      </c>
      <c r="D17" s="3" t="str">
        <f>YEAR(Datos_Consumo[[#This Row],[FECHA]])&amp;"-"&amp;MONTH(Datos_Consumo[[#This Row],[FECHA]])</f>
        <v>2017-2</v>
      </c>
    </row>
    <row r="18" spans="1:4" x14ac:dyDescent="0.25">
      <c r="A18" t="s">
        <v>1695</v>
      </c>
      <c r="B18">
        <v>5</v>
      </c>
      <c r="C18" s="55">
        <v>42767</v>
      </c>
      <c r="D18" s="3" t="str">
        <f>YEAR(Datos_Consumo[[#This Row],[FECHA]])&amp;"-"&amp;MONTH(Datos_Consumo[[#This Row],[FECHA]])</f>
        <v>2017-2</v>
      </c>
    </row>
    <row r="19" spans="1:4" x14ac:dyDescent="0.25">
      <c r="A19" t="s">
        <v>1696</v>
      </c>
      <c r="B19">
        <v>15</v>
      </c>
      <c r="C19" s="55">
        <v>42767</v>
      </c>
      <c r="D19" s="3" t="str">
        <f>YEAR(Datos_Consumo[[#This Row],[FECHA]])&amp;"-"&amp;MONTH(Datos_Consumo[[#This Row],[FECHA]])</f>
        <v>2017-2</v>
      </c>
    </row>
    <row r="20" spans="1:4" x14ac:dyDescent="0.25">
      <c r="A20" t="s">
        <v>1697</v>
      </c>
      <c r="B20">
        <v>4</v>
      </c>
      <c r="C20" s="55">
        <v>42767</v>
      </c>
      <c r="D20" s="3" t="str">
        <f>YEAR(Datos_Consumo[[#This Row],[FECHA]])&amp;"-"&amp;MONTH(Datos_Consumo[[#This Row],[FECHA]])</f>
        <v>2017-2</v>
      </c>
    </row>
    <row r="21" spans="1:4" x14ac:dyDescent="0.25">
      <c r="A21" t="s">
        <v>1698</v>
      </c>
      <c r="B21">
        <v>2</v>
      </c>
      <c r="C21" s="55">
        <v>42767</v>
      </c>
      <c r="D21" s="3" t="str">
        <f>YEAR(Datos_Consumo[[#This Row],[FECHA]])&amp;"-"&amp;MONTH(Datos_Consumo[[#This Row],[FECHA]])</f>
        <v>2017-2</v>
      </c>
    </row>
    <row r="22" spans="1:4" x14ac:dyDescent="0.25">
      <c r="A22" t="s">
        <v>1699</v>
      </c>
      <c r="B22">
        <v>17</v>
      </c>
      <c r="C22" s="55">
        <v>42767</v>
      </c>
      <c r="D22" s="3" t="str">
        <f>YEAR(Datos_Consumo[[#This Row],[FECHA]])&amp;"-"&amp;MONTH(Datos_Consumo[[#This Row],[FECHA]])</f>
        <v>2017-2</v>
      </c>
    </row>
    <row r="23" spans="1:4" x14ac:dyDescent="0.25">
      <c r="A23" t="s">
        <v>1699</v>
      </c>
      <c r="B23">
        <v>1</v>
      </c>
      <c r="C23" s="55">
        <v>42826</v>
      </c>
      <c r="D23" s="3" t="str">
        <f>YEAR(Datos_Consumo[[#This Row],[FECHA]])&amp;"-"&amp;MONTH(Datos_Consumo[[#This Row],[FECHA]])</f>
        <v>2017-4</v>
      </c>
    </row>
    <row r="24" spans="1:4" x14ac:dyDescent="0.25">
      <c r="A24" t="s">
        <v>1700</v>
      </c>
      <c r="B24">
        <v>12</v>
      </c>
      <c r="C24" s="55">
        <v>42767</v>
      </c>
      <c r="D24" s="3" t="str">
        <f>YEAR(Datos_Consumo[[#This Row],[FECHA]])&amp;"-"&amp;MONTH(Datos_Consumo[[#This Row],[FECHA]])</f>
        <v>2017-2</v>
      </c>
    </row>
    <row r="25" spans="1:4" x14ac:dyDescent="0.25">
      <c r="A25" t="s">
        <v>1559</v>
      </c>
      <c r="B25">
        <v>42</v>
      </c>
      <c r="C25" s="55">
        <v>42705</v>
      </c>
      <c r="D25" s="3" t="str">
        <f>YEAR(Datos_Consumo[[#This Row],[FECHA]])&amp;"-"&amp;MONTH(Datos_Consumo[[#This Row],[FECHA]])</f>
        <v>2016-12</v>
      </c>
    </row>
    <row r="26" spans="1:4" x14ac:dyDescent="0.25">
      <c r="A26" t="s">
        <v>1559</v>
      </c>
      <c r="B26">
        <v>12</v>
      </c>
      <c r="C26" s="55">
        <v>42736</v>
      </c>
      <c r="D26" s="3" t="str">
        <f>YEAR(Datos_Consumo[[#This Row],[FECHA]])&amp;"-"&amp;MONTH(Datos_Consumo[[#This Row],[FECHA]])</f>
        <v>2017-1</v>
      </c>
    </row>
    <row r="27" spans="1:4" x14ac:dyDescent="0.25">
      <c r="A27" t="s">
        <v>1559</v>
      </c>
      <c r="B27">
        <v>21</v>
      </c>
      <c r="C27" s="55">
        <v>42767</v>
      </c>
      <c r="D27" s="3" t="str">
        <f>YEAR(Datos_Consumo[[#This Row],[FECHA]])&amp;"-"&amp;MONTH(Datos_Consumo[[#This Row],[FECHA]])</f>
        <v>2017-2</v>
      </c>
    </row>
    <row r="28" spans="1:4" x14ac:dyDescent="0.25">
      <c r="A28" t="s">
        <v>1559</v>
      </c>
      <c r="B28">
        <v>47</v>
      </c>
      <c r="C28" s="55">
        <v>42795</v>
      </c>
      <c r="D28" s="3" t="str">
        <f>YEAR(Datos_Consumo[[#This Row],[FECHA]])&amp;"-"&amp;MONTH(Datos_Consumo[[#This Row],[FECHA]])</f>
        <v>2017-3</v>
      </c>
    </row>
    <row r="29" spans="1:4" x14ac:dyDescent="0.25">
      <c r="A29" t="s">
        <v>1559</v>
      </c>
      <c r="B29">
        <v>36</v>
      </c>
      <c r="C29" s="55">
        <v>42826</v>
      </c>
      <c r="D29" s="3" t="str">
        <f>YEAR(Datos_Consumo[[#This Row],[FECHA]])&amp;"-"&amp;MONTH(Datos_Consumo[[#This Row],[FECHA]])</f>
        <v>2017-4</v>
      </c>
    </row>
    <row r="30" spans="1:4" x14ac:dyDescent="0.25">
      <c r="A30" t="s">
        <v>1559</v>
      </c>
      <c r="B30">
        <v>38</v>
      </c>
      <c r="C30" s="55">
        <v>42856</v>
      </c>
      <c r="D30" s="3" t="str">
        <f>YEAR(Datos_Consumo[[#This Row],[FECHA]])&amp;"-"&amp;MONTH(Datos_Consumo[[#This Row],[FECHA]])</f>
        <v>2017-5</v>
      </c>
    </row>
    <row r="31" spans="1:4" x14ac:dyDescent="0.25">
      <c r="A31" t="s">
        <v>1560</v>
      </c>
      <c r="B31">
        <v>12</v>
      </c>
      <c r="C31" s="55">
        <v>42705</v>
      </c>
      <c r="D31" s="3" t="str">
        <f>YEAR(Datos_Consumo[[#This Row],[FECHA]])&amp;"-"&amp;MONTH(Datos_Consumo[[#This Row],[FECHA]])</f>
        <v>2016-12</v>
      </c>
    </row>
    <row r="32" spans="1:4" x14ac:dyDescent="0.25">
      <c r="A32" t="s">
        <v>1560</v>
      </c>
      <c r="B32">
        <v>28</v>
      </c>
      <c r="C32" s="55">
        <v>42795</v>
      </c>
      <c r="D32" s="3" t="str">
        <f>YEAR(Datos_Consumo[[#This Row],[FECHA]])&amp;"-"&amp;MONTH(Datos_Consumo[[#This Row],[FECHA]])</f>
        <v>2017-3</v>
      </c>
    </row>
    <row r="33" spans="1:4" x14ac:dyDescent="0.25">
      <c r="A33" t="s">
        <v>1701</v>
      </c>
      <c r="B33">
        <v>135</v>
      </c>
      <c r="C33" s="55">
        <v>42795</v>
      </c>
      <c r="D33" s="3" t="str">
        <f>YEAR(Datos_Consumo[[#This Row],[FECHA]])&amp;"-"&amp;MONTH(Datos_Consumo[[#This Row],[FECHA]])</f>
        <v>2017-3</v>
      </c>
    </row>
    <row r="34" spans="1:4" x14ac:dyDescent="0.25">
      <c r="A34" t="s">
        <v>1702</v>
      </c>
      <c r="B34">
        <v>35</v>
      </c>
      <c r="C34" s="55">
        <v>42795</v>
      </c>
      <c r="D34" s="3" t="str">
        <f>YEAR(Datos_Consumo[[#This Row],[FECHA]])&amp;"-"&amp;MONTH(Datos_Consumo[[#This Row],[FECHA]])</f>
        <v>2017-3</v>
      </c>
    </row>
    <row r="35" spans="1:4" x14ac:dyDescent="0.25">
      <c r="A35" t="s">
        <v>1571</v>
      </c>
      <c r="B35">
        <v>2</v>
      </c>
      <c r="C35" s="55">
        <v>42736</v>
      </c>
      <c r="D35" s="3" t="str">
        <f>YEAR(Datos_Consumo[[#This Row],[FECHA]])&amp;"-"&amp;MONTH(Datos_Consumo[[#This Row],[FECHA]])</f>
        <v>2017-1</v>
      </c>
    </row>
    <row r="36" spans="1:4" x14ac:dyDescent="0.25">
      <c r="A36" t="s">
        <v>1571</v>
      </c>
      <c r="B36">
        <v>4</v>
      </c>
      <c r="C36" s="55">
        <v>42767</v>
      </c>
      <c r="D36" s="3" t="str">
        <f>YEAR(Datos_Consumo[[#This Row],[FECHA]])&amp;"-"&amp;MONTH(Datos_Consumo[[#This Row],[FECHA]])</f>
        <v>2017-2</v>
      </c>
    </row>
    <row r="37" spans="1:4" x14ac:dyDescent="0.25">
      <c r="A37" t="s">
        <v>1703</v>
      </c>
      <c r="B37">
        <v>2</v>
      </c>
      <c r="C37" s="55">
        <v>42826</v>
      </c>
      <c r="D37" s="3" t="str">
        <f>YEAR(Datos_Consumo[[#This Row],[FECHA]])&amp;"-"&amp;MONTH(Datos_Consumo[[#This Row],[FECHA]])</f>
        <v>2017-4</v>
      </c>
    </row>
    <row r="38" spans="1:4" x14ac:dyDescent="0.25">
      <c r="A38" t="s">
        <v>1704</v>
      </c>
      <c r="B38">
        <v>4</v>
      </c>
      <c r="C38" s="55">
        <v>42767</v>
      </c>
      <c r="D38" s="3" t="str">
        <f>YEAR(Datos_Consumo[[#This Row],[FECHA]])&amp;"-"&amp;MONTH(Datos_Consumo[[#This Row],[FECHA]])</f>
        <v>2017-2</v>
      </c>
    </row>
    <row r="39" spans="1:4" x14ac:dyDescent="0.25">
      <c r="A39" t="s">
        <v>1705</v>
      </c>
      <c r="B39">
        <v>1</v>
      </c>
      <c r="C39" s="55">
        <v>42767</v>
      </c>
      <c r="D39" s="3" t="str">
        <f>YEAR(Datos_Consumo[[#This Row],[FECHA]])&amp;"-"&amp;MONTH(Datos_Consumo[[#This Row],[FECHA]])</f>
        <v>2017-2</v>
      </c>
    </row>
    <row r="40" spans="1:4" x14ac:dyDescent="0.25">
      <c r="A40" t="s">
        <v>1706</v>
      </c>
      <c r="B40">
        <v>9</v>
      </c>
      <c r="C40" s="55">
        <v>42767</v>
      </c>
      <c r="D40" s="3" t="str">
        <f>YEAR(Datos_Consumo[[#This Row],[FECHA]])&amp;"-"&amp;MONTH(Datos_Consumo[[#This Row],[FECHA]])</f>
        <v>2017-2</v>
      </c>
    </row>
    <row r="41" spans="1:4" x14ac:dyDescent="0.25">
      <c r="A41" t="s">
        <v>1707</v>
      </c>
      <c r="B41">
        <v>1</v>
      </c>
      <c r="C41" s="55">
        <v>42767</v>
      </c>
      <c r="D41" s="3" t="str">
        <f>YEAR(Datos_Consumo[[#This Row],[FECHA]])&amp;"-"&amp;MONTH(Datos_Consumo[[#This Row],[FECHA]])</f>
        <v>2017-2</v>
      </c>
    </row>
    <row r="42" spans="1:4" x14ac:dyDescent="0.25">
      <c r="A42" t="s">
        <v>1708</v>
      </c>
      <c r="B42">
        <v>11</v>
      </c>
      <c r="C42" s="55">
        <v>42767</v>
      </c>
      <c r="D42" s="3" t="str">
        <f>YEAR(Datos_Consumo[[#This Row],[FECHA]])&amp;"-"&amp;MONTH(Datos_Consumo[[#This Row],[FECHA]])</f>
        <v>2017-2</v>
      </c>
    </row>
    <row r="43" spans="1:4" x14ac:dyDescent="0.25">
      <c r="A43" t="s">
        <v>1709</v>
      </c>
      <c r="B43">
        <v>4</v>
      </c>
      <c r="C43" s="55">
        <v>42767</v>
      </c>
      <c r="D43" s="3" t="str">
        <f>YEAR(Datos_Consumo[[#This Row],[FECHA]])&amp;"-"&amp;MONTH(Datos_Consumo[[#This Row],[FECHA]])</f>
        <v>2017-2</v>
      </c>
    </row>
    <row r="44" spans="1:4" x14ac:dyDescent="0.25">
      <c r="A44" t="s">
        <v>1710</v>
      </c>
      <c r="B44">
        <v>1</v>
      </c>
      <c r="C44" s="55">
        <v>42767</v>
      </c>
      <c r="D44" s="3" t="str">
        <f>YEAR(Datos_Consumo[[#This Row],[FECHA]])&amp;"-"&amp;MONTH(Datos_Consumo[[#This Row],[FECHA]])</f>
        <v>2017-2</v>
      </c>
    </row>
    <row r="45" spans="1:4" x14ac:dyDescent="0.25">
      <c r="A45" t="s">
        <v>1572</v>
      </c>
      <c r="B45">
        <v>1</v>
      </c>
      <c r="C45" s="55">
        <v>42736</v>
      </c>
      <c r="D45" s="3" t="str">
        <f>YEAR(Datos_Consumo[[#This Row],[FECHA]])&amp;"-"&amp;MONTH(Datos_Consumo[[#This Row],[FECHA]])</f>
        <v>2017-1</v>
      </c>
    </row>
    <row r="46" spans="1:4" x14ac:dyDescent="0.25">
      <c r="A46" t="s">
        <v>1711</v>
      </c>
      <c r="B46">
        <v>2</v>
      </c>
      <c r="C46" s="55">
        <v>42767</v>
      </c>
      <c r="D46" s="3" t="str">
        <f>YEAR(Datos_Consumo[[#This Row],[FECHA]])&amp;"-"&amp;MONTH(Datos_Consumo[[#This Row],[FECHA]])</f>
        <v>2017-2</v>
      </c>
    </row>
    <row r="47" spans="1:4" x14ac:dyDescent="0.25">
      <c r="A47" t="s">
        <v>1573</v>
      </c>
      <c r="B47">
        <v>1</v>
      </c>
      <c r="C47" s="55">
        <v>42736</v>
      </c>
      <c r="D47" s="3" t="str">
        <f>YEAR(Datos_Consumo[[#This Row],[FECHA]])&amp;"-"&amp;MONTH(Datos_Consumo[[#This Row],[FECHA]])</f>
        <v>2017-1</v>
      </c>
    </row>
    <row r="48" spans="1:4" x14ac:dyDescent="0.25">
      <c r="A48" t="s">
        <v>1573</v>
      </c>
      <c r="B48">
        <v>1</v>
      </c>
      <c r="C48" s="55">
        <v>42767</v>
      </c>
      <c r="D48" s="3" t="str">
        <f>YEAR(Datos_Consumo[[#This Row],[FECHA]])&amp;"-"&amp;MONTH(Datos_Consumo[[#This Row],[FECHA]])</f>
        <v>2017-2</v>
      </c>
    </row>
    <row r="49" spans="1:4" x14ac:dyDescent="0.25">
      <c r="A49" t="s">
        <v>1574</v>
      </c>
      <c r="B49">
        <v>8</v>
      </c>
      <c r="C49" s="55">
        <v>42705</v>
      </c>
      <c r="D49" s="3" t="str">
        <f>YEAR(Datos_Consumo[[#This Row],[FECHA]])&amp;"-"&amp;MONTH(Datos_Consumo[[#This Row],[FECHA]])</f>
        <v>2016-12</v>
      </c>
    </row>
    <row r="50" spans="1:4" x14ac:dyDescent="0.25">
      <c r="A50" t="s">
        <v>1574</v>
      </c>
      <c r="B50">
        <v>62</v>
      </c>
      <c r="C50" s="55">
        <v>42795</v>
      </c>
      <c r="D50" s="3" t="str">
        <f>YEAR(Datos_Consumo[[#This Row],[FECHA]])&amp;"-"&amp;MONTH(Datos_Consumo[[#This Row],[FECHA]])</f>
        <v>2017-3</v>
      </c>
    </row>
    <row r="51" spans="1:4" x14ac:dyDescent="0.25">
      <c r="A51" t="s">
        <v>1574</v>
      </c>
      <c r="B51">
        <v>27</v>
      </c>
      <c r="C51" s="55">
        <v>42826</v>
      </c>
      <c r="D51" s="3" t="str">
        <f>YEAR(Datos_Consumo[[#This Row],[FECHA]])&amp;"-"&amp;MONTH(Datos_Consumo[[#This Row],[FECHA]])</f>
        <v>2017-4</v>
      </c>
    </row>
    <row r="52" spans="1:4" x14ac:dyDescent="0.25">
      <c r="A52" t="s">
        <v>1575</v>
      </c>
      <c r="B52">
        <v>1</v>
      </c>
      <c r="C52" s="55">
        <v>42795</v>
      </c>
      <c r="D52" s="3" t="str">
        <f>YEAR(Datos_Consumo[[#This Row],[FECHA]])&amp;"-"&amp;MONTH(Datos_Consumo[[#This Row],[FECHA]])</f>
        <v>2017-3</v>
      </c>
    </row>
    <row r="53" spans="1:4" x14ac:dyDescent="0.25">
      <c r="A53" t="s">
        <v>1712</v>
      </c>
      <c r="B53">
        <v>7</v>
      </c>
      <c r="C53" s="55">
        <v>42767</v>
      </c>
      <c r="D53" s="3" t="str">
        <f>YEAR(Datos_Consumo[[#This Row],[FECHA]])&amp;"-"&amp;MONTH(Datos_Consumo[[#This Row],[FECHA]])</f>
        <v>2017-2</v>
      </c>
    </row>
    <row r="54" spans="1:4" x14ac:dyDescent="0.25">
      <c r="A54" t="s">
        <v>1713</v>
      </c>
      <c r="B54">
        <v>9</v>
      </c>
      <c r="C54" s="55">
        <v>42767</v>
      </c>
      <c r="D54" s="3" t="str">
        <f>YEAR(Datos_Consumo[[#This Row],[FECHA]])&amp;"-"&amp;MONTH(Datos_Consumo[[#This Row],[FECHA]])</f>
        <v>2017-2</v>
      </c>
    </row>
    <row r="55" spans="1:4" x14ac:dyDescent="0.25">
      <c r="A55" t="s">
        <v>1714</v>
      </c>
      <c r="B55">
        <v>30</v>
      </c>
      <c r="C55" s="55">
        <v>42767</v>
      </c>
      <c r="D55" s="3" t="str">
        <f>YEAR(Datos_Consumo[[#This Row],[FECHA]])&amp;"-"&amp;MONTH(Datos_Consumo[[#This Row],[FECHA]])</f>
        <v>2017-2</v>
      </c>
    </row>
    <row r="56" spans="1:4" x14ac:dyDescent="0.25">
      <c r="A56" t="s">
        <v>1715</v>
      </c>
      <c r="B56">
        <v>7</v>
      </c>
      <c r="C56" s="55">
        <v>42767</v>
      </c>
      <c r="D56" s="3" t="str">
        <f>YEAR(Datos_Consumo[[#This Row],[FECHA]])&amp;"-"&amp;MONTH(Datos_Consumo[[#This Row],[FECHA]])</f>
        <v>2017-2</v>
      </c>
    </row>
    <row r="57" spans="1:4" x14ac:dyDescent="0.25">
      <c r="A57" t="s">
        <v>1576</v>
      </c>
      <c r="B57">
        <v>7</v>
      </c>
      <c r="C57" s="55">
        <v>42767</v>
      </c>
      <c r="D57" s="3" t="str">
        <f>YEAR(Datos_Consumo[[#This Row],[FECHA]])&amp;"-"&amp;MONTH(Datos_Consumo[[#This Row],[FECHA]])</f>
        <v>2017-2</v>
      </c>
    </row>
    <row r="58" spans="1:4" x14ac:dyDescent="0.25">
      <c r="A58" t="s">
        <v>1577</v>
      </c>
      <c r="B58">
        <v>1</v>
      </c>
      <c r="C58" s="55">
        <v>42736</v>
      </c>
      <c r="D58" s="3" t="str">
        <f>YEAR(Datos_Consumo[[#This Row],[FECHA]])&amp;"-"&amp;MONTH(Datos_Consumo[[#This Row],[FECHA]])</f>
        <v>2017-1</v>
      </c>
    </row>
    <row r="59" spans="1:4" x14ac:dyDescent="0.25">
      <c r="A59" t="s">
        <v>1577</v>
      </c>
      <c r="B59">
        <v>13</v>
      </c>
      <c r="C59" s="55">
        <v>42767</v>
      </c>
      <c r="D59" s="3" t="str">
        <f>YEAR(Datos_Consumo[[#This Row],[FECHA]])&amp;"-"&amp;MONTH(Datos_Consumo[[#This Row],[FECHA]])</f>
        <v>2017-2</v>
      </c>
    </row>
    <row r="60" spans="1:4" x14ac:dyDescent="0.25">
      <c r="A60" t="s">
        <v>1577</v>
      </c>
      <c r="B60">
        <v>1</v>
      </c>
      <c r="C60" s="55">
        <v>42826</v>
      </c>
      <c r="D60" s="3" t="str">
        <f>YEAR(Datos_Consumo[[#This Row],[FECHA]])&amp;"-"&amp;MONTH(Datos_Consumo[[#This Row],[FECHA]])</f>
        <v>2017-4</v>
      </c>
    </row>
    <row r="61" spans="1:4" x14ac:dyDescent="0.25">
      <c r="A61" t="s">
        <v>1578</v>
      </c>
      <c r="B61">
        <v>1</v>
      </c>
      <c r="C61" s="55">
        <v>42736</v>
      </c>
      <c r="D61" s="3" t="str">
        <f>YEAR(Datos_Consumo[[#This Row],[FECHA]])&amp;"-"&amp;MONTH(Datos_Consumo[[#This Row],[FECHA]])</f>
        <v>2017-1</v>
      </c>
    </row>
    <row r="62" spans="1:4" x14ac:dyDescent="0.25">
      <c r="A62" t="s">
        <v>1578</v>
      </c>
      <c r="B62">
        <v>18</v>
      </c>
      <c r="C62" s="55">
        <v>42767</v>
      </c>
      <c r="D62" s="3" t="str">
        <f>YEAR(Datos_Consumo[[#This Row],[FECHA]])&amp;"-"&amp;MONTH(Datos_Consumo[[#This Row],[FECHA]])</f>
        <v>2017-2</v>
      </c>
    </row>
    <row r="63" spans="1:4" x14ac:dyDescent="0.25">
      <c r="A63" t="s">
        <v>1716</v>
      </c>
      <c r="B63">
        <v>3</v>
      </c>
      <c r="C63" s="55">
        <v>42795</v>
      </c>
      <c r="D63" s="3" t="str">
        <f>YEAR(Datos_Consumo[[#This Row],[FECHA]])&amp;"-"&amp;MONTH(Datos_Consumo[[#This Row],[FECHA]])</f>
        <v>2017-3</v>
      </c>
    </row>
    <row r="64" spans="1:4" x14ac:dyDescent="0.25">
      <c r="A64" t="s">
        <v>1579</v>
      </c>
      <c r="B64">
        <v>500</v>
      </c>
      <c r="C64" s="55">
        <v>42736</v>
      </c>
      <c r="D64" s="3" t="str">
        <f>YEAR(Datos_Consumo[[#This Row],[FECHA]])&amp;"-"&amp;MONTH(Datos_Consumo[[#This Row],[FECHA]])</f>
        <v>2017-1</v>
      </c>
    </row>
    <row r="65" spans="1:4" x14ac:dyDescent="0.25">
      <c r="A65" t="s">
        <v>1675</v>
      </c>
      <c r="B65">
        <v>500</v>
      </c>
      <c r="C65" s="55">
        <v>42795</v>
      </c>
      <c r="D65" s="3" t="str">
        <f>YEAR(Datos_Consumo[[#This Row],[FECHA]])&amp;"-"&amp;MONTH(Datos_Consumo[[#This Row],[FECHA]])</f>
        <v>2017-3</v>
      </c>
    </row>
    <row r="66" spans="1:4" x14ac:dyDescent="0.25">
      <c r="A66" t="s">
        <v>1580</v>
      </c>
      <c r="B66">
        <v>500</v>
      </c>
      <c r="C66" s="55">
        <v>42705</v>
      </c>
      <c r="D66" s="3" t="str">
        <f>YEAR(Datos_Consumo[[#This Row],[FECHA]])&amp;"-"&amp;MONTH(Datos_Consumo[[#This Row],[FECHA]])</f>
        <v>2016-12</v>
      </c>
    </row>
    <row r="67" spans="1:4" x14ac:dyDescent="0.25">
      <c r="A67" t="s">
        <v>1676</v>
      </c>
      <c r="B67">
        <v>500</v>
      </c>
      <c r="C67" s="55">
        <v>42795</v>
      </c>
      <c r="D67" s="3" t="str">
        <f>YEAR(Datos_Consumo[[#This Row],[FECHA]])&amp;"-"&amp;MONTH(Datos_Consumo[[#This Row],[FECHA]])</f>
        <v>2017-3</v>
      </c>
    </row>
    <row r="68" spans="1:4" x14ac:dyDescent="0.25">
      <c r="A68" t="s">
        <v>1581</v>
      </c>
      <c r="B68">
        <v>500</v>
      </c>
      <c r="C68" s="55">
        <v>42705</v>
      </c>
      <c r="D68" s="3" t="str">
        <f>YEAR(Datos_Consumo[[#This Row],[FECHA]])&amp;"-"&amp;MONTH(Datos_Consumo[[#This Row],[FECHA]])</f>
        <v>2016-12</v>
      </c>
    </row>
    <row r="69" spans="1:4" x14ac:dyDescent="0.25">
      <c r="A69" t="s">
        <v>1677</v>
      </c>
      <c r="B69">
        <v>12</v>
      </c>
      <c r="C69" s="55">
        <v>42826</v>
      </c>
      <c r="D69" s="3" t="str">
        <f>YEAR(Datos_Consumo[[#This Row],[FECHA]])&amp;"-"&amp;MONTH(Datos_Consumo[[#This Row],[FECHA]])</f>
        <v>2017-4</v>
      </c>
    </row>
    <row r="70" spans="1:4" x14ac:dyDescent="0.25">
      <c r="A70" t="s">
        <v>1582</v>
      </c>
      <c r="B70">
        <v>500</v>
      </c>
      <c r="C70" s="55">
        <v>42705</v>
      </c>
      <c r="D70" s="3" t="str">
        <f>YEAR(Datos_Consumo[[#This Row],[FECHA]])&amp;"-"&amp;MONTH(Datos_Consumo[[#This Row],[FECHA]])</f>
        <v>2016-12</v>
      </c>
    </row>
    <row r="71" spans="1:4" x14ac:dyDescent="0.25">
      <c r="A71" t="s">
        <v>1582</v>
      </c>
      <c r="B71">
        <v>500</v>
      </c>
      <c r="C71" s="55">
        <v>42736</v>
      </c>
      <c r="D71" s="3" t="str">
        <f>YEAR(Datos_Consumo[[#This Row],[FECHA]])&amp;"-"&amp;MONTH(Datos_Consumo[[#This Row],[FECHA]])</f>
        <v>2017-1</v>
      </c>
    </row>
    <row r="72" spans="1:4" x14ac:dyDescent="0.25">
      <c r="A72" t="s">
        <v>1678</v>
      </c>
      <c r="B72">
        <v>74</v>
      </c>
      <c r="C72" s="55">
        <v>42826</v>
      </c>
      <c r="D72" s="3" t="str">
        <f>YEAR(Datos_Consumo[[#This Row],[FECHA]])&amp;"-"&amp;MONTH(Datos_Consumo[[#This Row],[FECHA]])</f>
        <v>2017-4</v>
      </c>
    </row>
    <row r="73" spans="1:4" x14ac:dyDescent="0.25">
      <c r="A73" t="s">
        <v>1583</v>
      </c>
      <c r="B73">
        <v>500</v>
      </c>
      <c r="C73" s="55">
        <v>42705</v>
      </c>
      <c r="D73" s="3" t="str">
        <f>YEAR(Datos_Consumo[[#This Row],[FECHA]])&amp;"-"&amp;MONTH(Datos_Consumo[[#This Row],[FECHA]])</f>
        <v>2016-12</v>
      </c>
    </row>
    <row r="74" spans="1:4" x14ac:dyDescent="0.25">
      <c r="A74" t="s">
        <v>1583</v>
      </c>
      <c r="B74">
        <v>500</v>
      </c>
      <c r="C74" s="55">
        <v>42736</v>
      </c>
      <c r="D74" s="3" t="str">
        <f>YEAR(Datos_Consumo[[#This Row],[FECHA]])&amp;"-"&amp;MONTH(Datos_Consumo[[#This Row],[FECHA]])</f>
        <v>2017-1</v>
      </c>
    </row>
    <row r="75" spans="1:4" x14ac:dyDescent="0.25">
      <c r="A75" t="s">
        <v>1399</v>
      </c>
      <c r="B75">
        <v>2</v>
      </c>
      <c r="C75" s="55">
        <v>42767</v>
      </c>
      <c r="D75" s="3" t="str">
        <f>YEAR(Datos_Consumo[[#This Row],[FECHA]])&amp;"-"&amp;MONTH(Datos_Consumo[[#This Row],[FECHA]])</f>
        <v>2017-2</v>
      </c>
    </row>
    <row r="76" spans="1:4" x14ac:dyDescent="0.25">
      <c r="A76" t="s">
        <v>1399</v>
      </c>
      <c r="B76">
        <v>1</v>
      </c>
      <c r="C76" s="55">
        <v>42826</v>
      </c>
      <c r="D76" s="3" t="str">
        <f>YEAR(Datos_Consumo[[#This Row],[FECHA]])&amp;"-"&amp;MONTH(Datos_Consumo[[#This Row],[FECHA]])</f>
        <v>2017-4</v>
      </c>
    </row>
    <row r="77" spans="1:4" x14ac:dyDescent="0.25">
      <c r="A77" t="s">
        <v>1399</v>
      </c>
      <c r="B77">
        <v>1</v>
      </c>
      <c r="C77" s="55">
        <v>42856</v>
      </c>
      <c r="D77" s="3" t="str">
        <f>YEAR(Datos_Consumo[[#This Row],[FECHA]])&amp;"-"&amp;MONTH(Datos_Consumo[[#This Row],[FECHA]])</f>
        <v>2017-5</v>
      </c>
    </row>
    <row r="78" spans="1:4" x14ac:dyDescent="0.25">
      <c r="A78" t="s">
        <v>1400</v>
      </c>
      <c r="B78">
        <v>1</v>
      </c>
      <c r="C78" s="55">
        <v>42705</v>
      </c>
      <c r="D78" s="3" t="str">
        <f>YEAR(Datos_Consumo[[#This Row],[FECHA]])&amp;"-"&amp;MONTH(Datos_Consumo[[#This Row],[FECHA]])</f>
        <v>2016-12</v>
      </c>
    </row>
    <row r="79" spans="1:4" x14ac:dyDescent="0.25">
      <c r="A79" t="s">
        <v>1717</v>
      </c>
      <c r="B79">
        <v>1</v>
      </c>
      <c r="C79" s="55">
        <v>42795</v>
      </c>
      <c r="D79" s="3" t="str">
        <f>YEAR(Datos_Consumo[[#This Row],[FECHA]])&amp;"-"&amp;MONTH(Datos_Consumo[[#This Row],[FECHA]])</f>
        <v>2017-3</v>
      </c>
    </row>
    <row r="80" spans="1:4" x14ac:dyDescent="0.25">
      <c r="A80" t="s">
        <v>1718</v>
      </c>
      <c r="B80">
        <v>1</v>
      </c>
      <c r="C80" s="55">
        <v>42767</v>
      </c>
      <c r="D80" s="3" t="str">
        <f>YEAR(Datos_Consumo[[#This Row],[FECHA]])&amp;"-"&amp;MONTH(Datos_Consumo[[#This Row],[FECHA]])</f>
        <v>2017-2</v>
      </c>
    </row>
    <row r="81" spans="1:4" x14ac:dyDescent="0.25">
      <c r="A81" t="s">
        <v>1401</v>
      </c>
      <c r="B81">
        <v>5</v>
      </c>
      <c r="C81" s="55">
        <v>42767</v>
      </c>
      <c r="D81" s="3" t="str">
        <f>YEAR(Datos_Consumo[[#This Row],[FECHA]])&amp;"-"&amp;MONTH(Datos_Consumo[[#This Row],[FECHA]])</f>
        <v>2017-2</v>
      </c>
    </row>
    <row r="82" spans="1:4" x14ac:dyDescent="0.25">
      <c r="A82" t="s">
        <v>1719</v>
      </c>
      <c r="B82">
        <v>3</v>
      </c>
      <c r="C82" s="55">
        <v>42767</v>
      </c>
      <c r="D82" s="3" t="str">
        <f>YEAR(Datos_Consumo[[#This Row],[FECHA]])&amp;"-"&amp;MONTH(Datos_Consumo[[#This Row],[FECHA]])</f>
        <v>2017-2</v>
      </c>
    </row>
    <row r="83" spans="1:4" x14ac:dyDescent="0.25">
      <c r="A83" t="s">
        <v>1720</v>
      </c>
      <c r="B83">
        <v>5</v>
      </c>
      <c r="C83" s="55">
        <v>42767</v>
      </c>
      <c r="D83" s="3" t="str">
        <f>YEAR(Datos_Consumo[[#This Row],[FECHA]])&amp;"-"&amp;MONTH(Datos_Consumo[[#This Row],[FECHA]])</f>
        <v>2017-2</v>
      </c>
    </row>
    <row r="84" spans="1:4" x14ac:dyDescent="0.25">
      <c r="A84" t="s">
        <v>1720</v>
      </c>
      <c r="B84">
        <v>200</v>
      </c>
      <c r="C84" s="55">
        <v>42826</v>
      </c>
      <c r="D84" s="3" t="str">
        <f>YEAR(Datos_Consumo[[#This Row],[FECHA]])&amp;"-"&amp;MONTH(Datos_Consumo[[#This Row],[FECHA]])</f>
        <v>2017-4</v>
      </c>
    </row>
    <row r="85" spans="1:4" x14ac:dyDescent="0.25">
      <c r="A85" t="s">
        <v>1721</v>
      </c>
      <c r="B85">
        <v>300</v>
      </c>
      <c r="C85" s="55">
        <v>42736</v>
      </c>
      <c r="D85" s="3" t="str">
        <f>YEAR(Datos_Consumo[[#This Row],[FECHA]])&amp;"-"&amp;MONTH(Datos_Consumo[[#This Row],[FECHA]])</f>
        <v>2017-1</v>
      </c>
    </row>
    <row r="86" spans="1:4" x14ac:dyDescent="0.25">
      <c r="A86" t="s">
        <v>1721</v>
      </c>
      <c r="B86">
        <v>1</v>
      </c>
      <c r="C86" s="55">
        <v>42767</v>
      </c>
      <c r="D86" s="3" t="str">
        <f>YEAR(Datos_Consumo[[#This Row],[FECHA]])&amp;"-"&amp;MONTH(Datos_Consumo[[#This Row],[FECHA]])</f>
        <v>2017-2</v>
      </c>
    </row>
    <row r="87" spans="1:4" x14ac:dyDescent="0.25">
      <c r="A87" t="s">
        <v>1584</v>
      </c>
      <c r="B87">
        <v>15</v>
      </c>
      <c r="C87" s="55">
        <v>42705</v>
      </c>
      <c r="D87" s="3" t="str">
        <f>YEAR(Datos_Consumo[[#This Row],[FECHA]])&amp;"-"&amp;MONTH(Datos_Consumo[[#This Row],[FECHA]])</f>
        <v>2016-12</v>
      </c>
    </row>
    <row r="88" spans="1:4" x14ac:dyDescent="0.25">
      <c r="A88" t="s">
        <v>1584</v>
      </c>
      <c r="B88">
        <v>200</v>
      </c>
      <c r="C88" s="55">
        <v>42736</v>
      </c>
      <c r="D88" s="3" t="str">
        <f>YEAR(Datos_Consumo[[#This Row],[FECHA]])&amp;"-"&amp;MONTH(Datos_Consumo[[#This Row],[FECHA]])</f>
        <v>2017-1</v>
      </c>
    </row>
    <row r="89" spans="1:4" x14ac:dyDescent="0.25">
      <c r="A89" t="s">
        <v>1584</v>
      </c>
      <c r="B89">
        <v>15</v>
      </c>
      <c r="C89" s="55">
        <v>42795</v>
      </c>
      <c r="D89" s="3" t="str">
        <f>YEAR(Datos_Consumo[[#This Row],[FECHA]])&amp;"-"&amp;MONTH(Datos_Consumo[[#This Row],[FECHA]])</f>
        <v>2017-3</v>
      </c>
    </row>
    <row r="90" spans="1:4" x14ac:dyDescent="0.25">
      <c r="A90" t="s">
        <v>1584</v>
      </c>
      <c r="B90">
        <v>20</v>
      </c>
      <c r="C90" s="55">
        <v>42826</v>
      </c>
      <c r="D90" s="3" t="str">
        <f>YEAR(Datos_Consumo[[#This Row],[FECHA]])&amp;"-"&amp;MONTH(Datos_Consumo[[#This Row],[FECHA]])</f>
        <v>2017-4</v>
      </c>
    </row>
    <row r="91" spans="1:4" x14ac:dyDescent="0.25">
      <c r="A91" t="s">
        <v>1584</v>
      </c>
      <c r="B91">
        <v>30</v>
      </c>
      <c r="C91" s="55">
        <v>42856</v>
      </c>
      <c r="D91" s="3" t="str">
        <f>YEAR(Datos_Consumo[[#This Row],[FECHA]])&amp;"-"&amp;MONTH(Datos_Consumo[[#This Row],[FECHA]])</f>
        <v>2017-5</v>
      </c>
    </row>
    <row r="92" spans="1:4" x14ac:dyDescent="0.25">
      <c r="A92" t="s">
        <v>1585</v>
      </c>
      <c r="B92">
        <v>15</v>
      </c>
      <c r="C92" s="55">
        <v>42705</v>
      </c>
      <c r="D92" s="3" t="str">
        <f>YEAR(Datos_Consumo[[#This Row],[FECHA]])&amp;"-"&amp;MONTH(Datos_Consumo[[#This Row],[FECHA]])</f>
        <v>2016-12</v>
      </c>
    </row>
    <row r="93" spans="1:4" x14ac:dyDescent="0.25">
      <c r="A93" t="s">
        <v>1585</v>
      </c>
      <c r="B93">
        <v>5</v>
      </c>
      <c r="C93" s="55">
        <v>42767</v>
      </c>
      <c r="D93" s="3" t="str">
        <f>YEAR(Datos_Consumo[[#This Row],[FECHA]])&amp;"-"&amp;MONTH(Datos_Consumo[[#This Row],[FECHA]])</f>
        <v>2017-2</v>
      </c>
    </row>
    <row r="94" spans="1:4" x14ac:dyDescent="0.25">
      <c r="A94" t="s">
        <v>1585</v>
      </c>
      <c r="B94">
        <v>21</v>
      </c>
      <c r="C94" s="55">
        <v>42795</v>
      </c>
      <c r="D94" s="3" t="str">
        <f>YEAR(Datos_Consumo[[#This Row],[FECHA]])&amp;"-"&amp;MONTH(Datos_Consumo[[#This Row],[FECHA]])</f>
        <v>2017-3</v>
      </c>
    </row>
    <row r="95" spans="1:4" x14ac:dyDescent="0.25">
      <c r="A95" t="s">
        <v>1369</v>
      </c>
      <c r="B95">
        <v>1</v>
      </c>
      <c r="C95" s="55">
        <v>42826</v>
      </c>
      <c r="D95" s="3" t="str">
        <f>YEAR(Datos_Consumo[[#This Row],[FECHA]])&amp;"-"&amp;MONTH(Datos_Consumo[[#This Row],[FECHA]])</f>
        <v>2017-4</v>
      </c>
    </row>
    <row r="96" spans="1:4" x14ac:dyDescent="0.25">
      <c r="A96" t="s">
        <v>1586</v>
      </c>
      <c r="B96">
        <v>80</v>
      </c>
      <c r="C96" s="55">
        <v>42705</v>
      </c>
      <c r="D96" s="3" t="str">
        <f>YEAR(Datos_Consumo[[#This Row],[FECHA]])&amp;"-"&amp;MONTH(Datos_Consumo[[#This Row],[FECHA]])</f>
        <v>2016-12</v>
      </c>
    </row>
    <row r="97" spans="1:4" x14ac:dyDescent="0.25">
      <c r="A97" t="s">
        <v>1586</v>
      </c>
      <c r="B97">
        <v>80</v>
      </c>
      <c r="C97" s="55">
        <v>42736</v>
      </c>
      <c r="D97" s="3" t="str">
        <f>YEAR(Datos_Consumo[[#This Row],[FECHA]])&amp;"-"&amp;MONTH(Datos_Consumo[[#This Row],[FECHA]])</f>
        <v>2017-1</v>
      </c>
    </row>
    <row r="98" spans="1:4" x14ac:dyDescent="0.25">
      <c r="A98" t="s">
        <v>1722</v>
      </c>
      <c r="B98">
        <v>5</v>
      </c>
      <c r="C98" s="55">
        <v>42767</v>
      </c>
      <c r="D98" s="3" t="str">
        <f>YEAR(Datos_Consumo[[#This Row],[FECHA]])&amp;"-"&amp;MONTH(Datos_Consumo[[#This Row],[FECHA]])</f>
        <v>2017-2</v>
      </c>
    </row>
    <row r="99" spans="1:4" x14ac:dyDescent="0.25">
      <c r="A99" t="s">
        <v>1722</v>
      </c>
      <c r="B99">
        <v>50</v>
      </c>
      <c r="C99" s="55">
        <v>42795</v>
      </c>
      <c r="D99" s="3" t="str">
        <f>YEAR(Datos_Consumo[[#This Row],[FECHA]])&amp;"-"&amp;MONTH(Datos_Consumo[[#This Row],[FECHA]])</f>
        <v>2017-3</v>
      </c>
    </row>
    <row r="100" spans="1:4" x14ac:dyDescent="0.25">
      <c r="A100" t="s">
        <v>1722</v>
      </c>
      <c r="B100">
        <v>100</v>
      </c>
      <c r="C100" s="55">
        <v>42826</v>
      </c>
      <c r="D100" s="3" t="str">
        <f>YEAR(Datos_Consumo[[#This Row],[FECHA]])&amp;"-"&amp;MONTH(Datos_Consumo[[#This Row],[FECHA]])</f>
        <v>2017-4</v>
      </c>
    </row>
    <row r="101" spans="1:4" x14ac:dyDescent="0.25">
      <c r="A101" t="s">
        <v>1402</v>
      </c>
      <c r="B101">
        <v>25</v>
      </c>
      <c r="C101" s="55">
        <v>42736</v>
      </c>
      <c r="D101" s="3" t="str">
        <f>YEAR(Datos_Consumo[[#This Row],[FECHA]])&amp;"-"&amp;MONTH(Datos_Consumo[[#This Row],[FECHA]])</f>
        <v>2017-1</v>
      </c>
    </row>
    <row r="102" spans="1:4" x14ac:dyDescent="0.25">
      <c r="A102" t="s">
        <v>1402</v>
      </c>
      <c r="B102">
        <v>30</v>
      </c>
      <c r="C102" s="55">
        <v>42767</v>
      </c>
      <c r="D102" s="3" t="str">
        <f>YEAR(Datos_Consumo[[#This Row],[FECHA]])&amp;"-"&amp;MONTH(Datos_Consumo[[#This Row],[FECHA]])</f>
        <v>2017-2</v>
      </c>
    </row>
    <row r="103" spans="1:4" x14ac:dyDescent="0.25">
      <c r="A103" t="s">
        <v>1402</v>
      </c>
      <c r="B103">
        <v>25</v>
      </c>
      <c r="C103" s="55">
        <v>42826</v>
      </c>
      <c r="D103" s="3" t="str">
        <f>YEAR(Datos_Consumo[[#This Row],[FECHA]])&amp;"-"&amp;MONTH(Datos_Consumo[[#This Row],[FECHA]])</f>
        <v>2017-4</v>
      </c>
    </row>
    <row r="104" spans="1:4" x14ac:dyDescent="0.25">
      <c r="A104" t="s">
        <v>1587</v>
      </c>
      <c r="B104">
        <v>1</v>
      </c>
      <c r="C104" s="55">
        <v>42705</v>
      </c>
      <c r="D104" s="3" t="str">
        <f>YEAR(Datos_Consumo[[#This Row],[FECHA]])&amp;"-"&amp;MONTH(Datos_Consumo[[#This Row],[FECHA]])</f>
        <v>2016-12</v>
      </c>
    </row>
    <row r="105" spans="1:4" x14ac:dyDescent="0.25">
      <c r="A105" t="s">
        <v>1587</v>
      </c>
      <c r="B105">
        <v>4</v>
      </c>
      <c r="C105" s="55">
        <v>42736</v>
      </c>
      <c r="D105" s="3" t="str">
        <f>YEAR(Datos_Consumo[[#This Row],[FECHA]])&amp;"-"&amp;MONTH(Datos_Consumo[[#This Row],[FECHA]])</f>
        <v>2017-1</v>
      </c>
    </row>
    <row r="106" spans="1:4" x14ac:dyDescent="0.25">
      <c r="A106" t="s">
        <v>1587</v>
      </c>
      <c r="B106">
        <v>2</v>
      </c>
      <c r="C106" s="55">
        <v>42826</v>
      </c>
      <c r="D106" s="3" t="str">
        <f>YEAR(Datos_Consumo[[#This Row],[FECHA]])&amp;"-"&amp;MONTH(Datos_Consumo[[#This Row],[FECHA]])</f>
        <v>2017-4</v>
      </c>
    </row>
    <row r="107" spans="1:4" x14ac:dyDescent="0.25">
      <c r="A107" t="s">
        <v>1587</v>
      </c>
      <c r="B107">
        <v>1</v>
      </c>
      <c r="C107" s="55">
        <v>42856</v>
      </c>
      <c r="D107" s="3" t="str">
        <f>YEAR(Datos_Consumo[[#This Row],[FECHA]])&amp;"-"&amp;MONTH(Datos_Consumo[[#This Row],[FECHA]])</f>
        <v>2017-5</v>
      </c>
    </row>
    <row r="108" spans="1:4" x14ac:dyDescent="0.25">
      <c r="A108" t="s">
        <v>1723</v>
      </c>
      <c r="B108">
        <v>10</v>
      </c>
      <c r="C108" s="55">
        <v>42795</v>
      </c>
      <c r="D108" s="3" t="str">
        <f>YEAR(Datos_Consumo[[#This Row],[FECHA]])&amp;"-"&amp;MONTH(Datos_Consumo[[#This Row],[FECHA]])</f>
        <v>2017-3</v>
      </c>
    </row>
    <row r="109" spans="1:4" x14ac:dyDescent="0.25">
      <c r="A109" t="s">
        <v>1403</v>
      </c>
      <c r="B109">
        <v>1</v>
      </c>
      <c r="C109" s="55">
        <v>42705</v>
      </c>
      <c r="D109" s="3" t="str">
        <f>YEAR(Datos_Consumo[[#This Row],[FECHA]])&amp;"-"&amp;MONTH(Datos_Consumo[[#This Row],[FECHA]])</f>
        <v>2016-12</v>
      </c>
    </row>
    <row r="110" spans="1:4" x14ac:dyDescent="0.25">
      <c r="A110" t="s">
        <v>1403</v>
      </c>
      <c r="B110">
        <v>2</v>
      </c>
      <c r="C110" s="55">
        <v>42736</v>
      </c>
      <c r="D110" s="3" t="str">
        <f>YEAR(Datos_Consumo[[#This Row],[FECHA]])&amp;"-"&amp;MONTH(Datos_Consumo[[#This Row],[FECHA]])</f>
        <v>2017-1</v>
      </c>
    </row>
    <row r="111" spans="1:4" x14ac:dyDescent="0.25">
      <c r="A111" t="s">
        <v>1403</v>
      </c>
      <c r="B111">
        <v>2</v>
      </c>
      <c r="C111" s="55">
        <v>42795</v>
      </c>
      <c r="D111" s="3" t="str">
        <f>YEAR(Datos_Consumo[[#This Row],[FECHA]])&amp;"-"&amp;MONTH(Datos_Consumo[[#This Row],[FECHA]])</f>
        <v>2017-3</v>
      </c>
    </row>
    <row r="112" spans="1:4" x14ac:dyDescent="0.25">
      <c r="A112" t="s">
        <v>1403</v>
      </c>
      <c r="B112">
        <v>7</v>
      </c>
      <c r="C112" s="55">
        <v>42856</v>
      </c>
      <c r="D112" s="3" t="str">
        <f>YEAR(Datos_Consumo[[#This Row],[FECHA]])&amp;"-"&amp;MONTH(Datos_Consumo[[#This Row],[FECHA]])</f>
        <v>2017-5</v>
      </c>
    </row>
    <row r="113" spans="1:4" x14ac:dyDescent="0.25">
      <c r="A113" t="s">
        <v>1404</v>
      </c>
      <c r="B113">
        <v>0.4</v>
      </c>
      <c r="C113" s="55">
        <v>42705</v>
      </c>
      <c r="D113" s="3" t="str">
        <f>YEAR(Datos_Consumo[[#This Row],[FECHA]])&amp;"-"&amp;MONTH(Datos_Consumo[[#This Row],[FECHA]])</f>
        <v>2016-12</v>
      </c>
    </row>
    <row r="114" spans="1:4" x14ac:dyDescent="0.25">
      <c r="A114" t="s">
        <v>1404</v>
      </c>
      <c r="B114">
        <v>2</v>
      </c>
      <c r="C114" s="55">
        <v>42736</v>
      </c>
      <c r="D114" s="3" t="str">
        <f>YEAR(Datos_Consumo[[#This Row],[FECHA]])&amp;"-"&amp;MONTH(Datos_Consumo[[#This Row],[FECHA]])</f>
        <v>2017-1</v>
      </c>
    </row>
    <row r="115" spans="1:4" x14ac:dyDescent="0.25">
      <c r="A115" t="s">
        <v>1404</v>
      </c>
      <c r="B115">
        <v>2</v>
      </c>
      <c r="C115" s="55">
        <v>42795</v>
      </c>
      <c r="D115" s="3" t="str">
        <f>YEAR(Datos_Consumo[[#This Row],[FECHA]])&amp;"-"&amp;MONTH(Datos_Consumo[[#This Row],[FECHA]])</f>
        <v>2017-3</v>
      </c>
    </row>
    <row r="116" spans="1:4" x14ac:dyDescent="0.25">
      <c r="A116" t="s">
        <v>1404</v>
      </c>
      <c r="B116">
        <v>1</v>
      </c>
      <c r="C116" s="55">
        <v>42826</v>
      </c>
      <c r="D116" s="3" t="str">
        <f>YEAR(Datos_Consumo[[#This Row],[FECHA]])&amp;"-"&amp;MONTH(Datos_Consumo[[#This Row],[FECHA]])</f>
        <v>2017-4</v>
      </c>
    </row>
    <row r="117" spans="1:4" x14ac:dyDescent="0.25">
      <c r="A117" t="s">
        <v>1405</v>
      </c>
      <c r="B117">
        <v>0.4</v>
      </c>
      <c r="C117" s="55">
        <v>42705</v>
      </c>
      <c r="D117" s="3" t="str">
        <f>YEAR(Datos_Consumo[[#This Row],[FECHA]])&amp;"-"&amp;MONTH(Datos_Consumo[[#This Row],[FECHA]])</f>
        <v>2016-12</v>
      </c>
    </row>
    <row r="118" spans="1:4" x14ac:dyDescent="0.25">
      <c r="A118" t="s">
        <v>1405</v>
      </c>
      <c r="B118">
        <v>3</v>
      </c>
      <c r="C118" s="55">
        <v>42736</v>
      </c>
      <c r="D118" s="3" t="str">
        <f>YEAR(Datos_Consumo[[#This Row],[FECHA]])&amp;"-"&amp;MONTH(Datos_Consumo[[#This Row],[FECHA]])</f>
        <v>2017-1</v>
      </c>
    </row>
    <row r="119" spans="1:4" x14ac:dyDescent="0.25">
      <c r="A119" t="s">
        <v>1405</v>
      </c>
      <c r="B119">
        <v>3</v>
      </c>
      <c r="C119" s="55">
        <v>42767</v>
      </c>
      <c r="D119" s="3" t="str">
        <f>YEAR(Datos_Consumo[[#This Row],[FECHA]])&amp;"-"&amp;MONTH(Datos_Consumo[[#This Row],[FECHA]])</f>
        <v>2017-2</v>
      </c>
    </row>
    <row r="120" spans="1:4" x14ac:dyDescent="0.25">
      <c r="A120" t="s">
        <v>1405</v>
      </c>
      <c r="B120">
        <v>4.5999999999999996</v>
      </c>
      <c r="C120" s="55">
        <v>42826</v>
      </c>
      <c r="D120" s="3" t="str">
        <f>YEAR(Datos_Consumo[[#This Row],[FECHA]])&amp;"-"&amp;MONTH(Datos_Consumo[[#This Row],[FECHA]])</f>
        <v>2017-4</v>
      </c>
    </row>
    <row r="121" spans="1:4" x14ac:dyDescent="0.25">
      <c r="A121" t="s">
        <v>1405</v>
      </c>
      <c r="B121">
        <v>10</v>
      </c>
      <c r="C121" s="55">
        <v>42856</v>
      </c>
      <c r="D121" s="3" t="str">
        <f>YEAR(Datos_Consumo[[#This Row],[FECHA]])&amp;"-"&amp;MONTH(Datos_Consumo[[#This Row],[FECHA]])</f>
        <v>2017-5</v>
      </c>
    </row>
    <row r="122" spans="1:4" x14ac:dyDescent="0.25">
      <c r="A122" t="s">
        <v>1378</v>
      </c>
      <c r="B122">
        <v>0.4</v>
      </c>
      <c r="C122" s="55">
        <v>42705</v>
      </c>
      <c r="D122" s="3" t="str">
        <f>YEAR(Datos_Consumo[[#This Row],[FECHA]])&amp;"-"&amp;MONTH(Datos_Consumo[[#This Row],[FECHA]])</f>
        <v>2016-12</v>
      </c>
    </row>
    <row r="123" spans="1:4" x14ac:dyDescent="0.25">
      <c r="A123" t="s">
        <v>1378</v>
      </c>
      <c r="B123">
        <v>12</v>
      </c>
      <c r="C123" s="55">
        <v>42736</v>
      </c>
      <c r="D123" s="3" t="str">
        <f>YEAR(Datos_Consumo[[#This Row],[FECHA]])&amp;"-"&amp;MONTH(Datos_Consumo[[#This Row],[FECHA]])</f>
        <v>2017-1</v>
      </c>
    </row>
    <row r="124" spans="1:4" x14ac:dyDescent="0.25">
      <c r="A124" t="s">
        <v>1378</v>
      </c>
      <c r="B124">
        <v>2</v>
      </c>
      <c r="C124" s="55">
        <v>42767</v>
      </c>
      <c r="D124" s="3" t="str">
        <f>YEAR(Datos_Consumo[[#This Row],[FECHA]])&amp;"-"&amp;MONTH(Datos_Consumo[[#This Row],[FECHA]])</f>
        <v>2017-2</v>
      </c>
    </row>
    <row r="125" spans="1:4" x14ac:dyDescent="0.25">
      <c r="A125" t="s">
        <v>1378</v>
      </c>
      <c r="B125">
        <v>5</v>
      </c>
      <c r="C125" s="55">
        <v>42826</v>
      </c>
      <c r="D125" s="3" t="str">
        <f>YEAR(Datos_Consumo[[#This Row],[FECHA]])&amp;"-"&amp;MONTH(Datos_Consumo[[#This Row],[FECHA]])</f>
        <v>2017-4</v>
      </c>
    </row>
    <row r="126" spans="1:4" x14ac:dyDescent="0.25">
      <c r="A126" t="s">
        <v>1378</v>
      </c>
      <c r="B126">
        <v>1.6</v>
      </c>
      <c r="C126" s="55">
        <v>42856</v>
      </c>
      <c r="D126" s="3" t="str">
        <f>YEAR(Datos_Consumo[[#This Row],[FECHA]])&amp;"-"&amp;MONTH(Datos_Consumo[[#This Row],[FECHA]])</f>
        <v>2017-5</v>
      </c>
    </row>
    <row r="127" spans="1:4" x14ac:dyDescent="0.25">
      <c r="A127" t="s">
        <v>1379</v>
      </c>
      <c r="B127">
        <v>150</v>
      </c>
      <c r="C127" s="55">
        <v>42705</v>
      </c>
      <c r="D127" s="3" t="str">
        <f>YEAR(Datos_Consumo[[#This Row],[FECHA]])&amp;"-"&amp;MONTH(Datos_Consumo[[#This Row],[FECHA]])</f>
        <v>2016-12</v>
      </c>
    </row>
    <row r="128" spans="1:4" x14ac:dyDescent="0.25">
      <c r="A128" t="s">
        <v>1379</v>
      </c>
      <c r="B128">
        <v>149</v>
      </c>
      <c r="C128" s="55">
        <v>42736</v>
      </c>
      <c r="D128" s="3" t="str">
        <f>YEAR(Datos_Consumo[[#This Row],[FECHA]])&amp;"-"&amp;MONTH(Datos_Consumo[[#This Row],[FECHA]])</f>
        <v>2017-1</v>
      </c>
    </row>
    <row r="129" spans="1:4" x14ac:dyDescent="0.25">
      <c r="A129" t="s">
        <v>1379</v>
      </c>
      <c r="B129">
        <v>300</v>
      </c>
      <c r="C129" s="55">
        <v>42795</v>
      </c>
      <c r="D129" s="3" t="str">
        <f>YEAR(Datos_Consumo[[#This Row],[FECHA]])&amp;"-"&amp;MONTH(Datos_Consumo[[#This Row],[FECHA]])</f>
        <v>2017-3</v>
      </c>
    </row>
    <row r="130" spans="1:4" x14ac:dyDescent="0.25">
      <c r="A130" t="s">
        <v>1406</v>
      </c>
      <c r="B130">
        <v>2014</v>
      </c>
      <c r="C130" s="55">
        <v>42705</v>
      </c>
      <c r="D130" s="3" t="str">
        <f>YEAR(Datos_Consumo[[#This Row],[FECHA]])&amp;"-"&amp;MONTH(Datos_Consumo[[#This Row],[FECHA]])</f>
        <v>2016-12</v>
      </c>
    </row>
    <row r="131" spans="1:4" x14ac:dyDescent="0.25">
      <c r="A131" t="s">
        <v>1406</v>
      </c>
      <c r="B131">
        <v>80</v>
      </c>
      <c r="C131" s="55">
        <v>42736</v>
      </c>
      <c r="D131" s="3" t="str">
        <f>YEAR(Datos_Consumo[[#This Row],[FECHA]])&amp;"-"&amp;MONTH(Datos_Consumo[[#This Row],[FECHA]])</f>
        <v>2017-1</v>
      </c>
    </row>
    <row r="132" spans="1:4" x14ac:dyDescent="0.25">
      <c r="A132" t="s">
        <v>1406</v>
      </c>
      <c r="B132">
        <v>1600</v>
      </c>
      <c r="C132" s="55">
        <v>42767</v>
      </c>
      <c r="D132" s="3" t="str">
        <f>YEAR(Datos_Consumo[[#This Row],[FECHA]])&amp;"-"&amp;MONTH(Datos_Consumo[[#This Row],[FECHA]])</f>
        <v>2017-2</v>
      </c>
    </row>
    <row r="133" spans="1:4" x14ac:dyDescent="0.25">
      <c r="A133" t="s">
        <v>1406</v>
      </c>
      <c r="B133">
        <v>260</v>
      </c>
      <c r="C133" s="55">
        <v>42795</v>
      </c>
      <c r="D133" s="3" t="str">
        <f>YEAR(Datos_Consumo[[#This Row],[FECHA]])&amp;"-"&amp;MONTH(Datos_Consumo[[#This Row],[FECHA]])</f>
        <v>2017-3</v>
      </c>
    </row>
    <row r="134" spans="1:4" x14ac:dyDescent="0.25">
      <c r="A134" t="s">
        <v>1588</v>
      </c>
      <c r="B134">
        <v>60</v>
      </c>
      <c r="C134" s="55">
        <v>42736</v>
      </c>
      <c r="D134" s="3" t="str">
        <f>YEAR(Datos_Consumo[[#This Row],[FECHA]])&amp;"-"&amp;MONTH(Datos_Consumo[[#This Row],[FECHA]])</f>
        <v>2017-1</v>
      </c>
    </row>
    <row r="135" spans="1:4" x14ac:dyDescent="0.25">
      <c r="A135" t="s">
        <v>1588</v>
      </c>
      <c r="B135">
        <v>60</v>
      </c>
      <c r="C135" s="55">
        <v>42767</v>
      </c>
      <c r="D135" s="3" t="str">
        <f>YEAR(Datos_Consumo[[#This Row],[FECHA]])&amp;"-"&amp;MONTH(Datos_Consumo[[#This Row],[FECHA]])</f>
        <v>2017-2</v>
      </c>
    </row>
    <row r="136" spans="1:4" x14ac:dyDescent="0.25">
      <c r="A136" t="s">
        <v>1588</v>
      </c>
      <c r="B136">
        <v>53</v>
      </c>
      <c r="C136" s="55">
        <v>42795</v>
      </c>
      <c r="D136" s="3" t="str">
        <f>YEAR(Datos_Consumo[[#This Row],[FECHA]])&amp;"-"&amp;MONTH(Datos_Consumo[[#This Row],[FECHA]])</f>
        <v>2017-3</v>
      </c>
    </row>
    <row r="137" spans="1:4" x14ac:dyDescent="0.25">
      <c r="A137" t="s">
        <v>1588</v>
      </c>
      <c r="B137">
        <v>70</v>
      </c>
      <c r="C137" s="55">
        <v>42826</v>
      </c>
      <c r="D137" s="3" t="str">
        <f>YEAR(Datos_Consumo[[#This Row],[FECHA]])&amp;"-"&amp;MONTH(Datos_Consumo[[#This Row],[FECHA]])</f>
        <v>2017-4</v>
      </c>
    </row>
    <row r="138" spans="1:4" x14ac:dyDescent="0.25">
      <c r="A138" t="s">
        <v>1588</v>
      </c>
      <c r="B138">
        <v>10</v>
      </c>
      <c r="C138" s="55">
        <v>42856</v>
      </c>
      <c r="D138" s="3" t="str">
        <f>YEAR(Datos_Consumo[[#This Row],[FECHA]])&amp;"-"&amp;MONTH(Datos_Consumo[[#This Row],[FECHA]])</f>
        <v>2017-5</v>
      </c>
    </row>
    <row r="139" spans="1:4" x14ac:dyDescent="0.25">
      <c r="A139" t="s">
        <v>1407</v>
      </c>
      <c r="B139">
        <v>20</v>
      </c>
      <c r="C139" s="55">
        <v>42736</v>
      </c>
      <c r="D139" s="3" t="str">
        <f>YEAR(Datos_Consumo[[#This Row],[FECHA]])&amp;"-"&amp;MONTH(Datos_Consumo[[#This Row],[FECHA]])</f>
        <v>2017-1</v>
      </c>
    </row>
    <row r="140" spans="1:4" x14ac:dyDescent="0.25">
      <c r="A140" t="s">
        <v>1407</v>
      </c>
      <c r="B140">
        <v>12</v>
      </c>
      <c r="C140" s="55">
        <v>42795</v>
      </c>
      <c r="D140" s="3" t="str">
        <f>YEAR(Datos_Consumo[[#This Row],[FECHA]])&amp;"-"&amp;MONTH(Datos_Consumo[[#This Row],[FECHA]])</f>
        <v>2017-3</v>
      </c>
    </row>
    <row r="141" spans="1:4" x14ac:dyDescent="0.25">
      <c r="A141" t="s">
        <v>1407</v>
      </c>
      <c r="B141">
        <v>13</v>
      </c>
      <c r="C141" s="55">
        <v>42826</v>
      </c>
      <c r="D141" s="3" t="str">
        <f>YEAR(Datos_Consumo[[#This Row],[FECHA]])&amp;"-"&amp;MONTH(Datos_Consumo[[#This Row],[FECHA]])</f>
        <v>2017-4</v>
      </c>
    </row>
    <row r="142" spans="1:4" x14ac:dyDescent="0.25">
      <c r="A142" t="s">
        <v>1407</v>
      </c>
      <c r="B142">
        <v>5</v>
      </c>
      <c r="C142" s="55">
        <v>42856</v>
      </c>
      <c r="D142" s="3" t="str">
        <f>YEAR(Datos_Consumo[[#This Row],[FECHA]])&amp;"-"&amp;MONTH(Datos_Consumo[[#This Row],[FECHA]])</f>
        <v>2017-5</v>
      </c>
    </row>
    <row r="143" spans="1:4" x14ac:dyDescent="0.25">
      <c r="A143" t="s">
        <v>1408</v>
      </c>
      <c r="B143">
        <v>28</v>
      </c>
      <c r="C143" s="55">
        <v>42705</v>
      </c>
      <c r="D143" s="3" t="str">
        <f>YEAR(Datos_Consumo[[#This Row],[FECHA]])&amp;"-"&amp;MONTH(Datos_Consumo[[#This Row],[FECHA]])</f>
        <v>2016-12</v>
      </c>
    </row>
    <row r="144" spans="1:4" x14ac:dyDescent="0.25">
      <c r="A144" t="s">
        <v>1408</v>
      </c>
      <c r="B144">
        <v>29</v>
      </c>
      <c r="C144" s="55">
        <v>42736</v>
      </c>
      <c r="D144" s="3" t="str">
        <f>YEAR(Datos_Consumo[[#This Row],[FECHA]])&amp;"-"&amp;MONTH(Datos_Consumo[[#This Row],[FECHA]])</f>
        <v>2017-1</v>
      </c>
    </row>
    <row r="145" spans="1:4" x14ac:dyDescent="0.25">
      <c r="A145" t="s">
        <v>1408</v>
      </c>
      <c r="B145">
        <v>51</v>
      </c>
      <c r="C145" s="55">
        <v>42795</v>
      </c>
      <c r="D145" s="3" t="str">
        <f>YEAR(Datos_Consumo[[#This Row],[FECHA]])&amp;"-"&amp;MONTH(Datos_Consumo[[#This Row],[FECHA]])</f>
        <v>2017-3</v>
      </c>
    </row>
    <row r="146" spans="1:4" x14ac:dyDescent="0.25">
      <c r="A146" t="s">
        <v>1408</v>
      </c>
      <c r="B146">
        <v>41</v>
      </c>
      <c r="C146" s="55">
        <v>42826</v>
      </c>
      <c r="D146" s="3" t="str">
        <f>YEAR(Datos_Consumo[[#This Row],[FECHA]])&amp;"-"&amp;MONTH(Datos_Consumo[[#This Row],[FECHA]])</f>
        <v>2017-4</v>
      </c>
    </row>
    <row r="147" spans="1:4" x14ac:dyDescent="0.25">
      <c r="A147" t="s">
        <v>1409</v>
      </c>
      <c r="B147">
        <v>1</v>
      </c>
      <c r="C147" s="55">
        <v>42736</v>
      </c>
      <c r="D147" s="3" t="str">
        <f>YEAR(Datos_Consumo[[#This Row],[FECHA]])&amp;"-"&amp;MONTH(Datos_Consumo[[#This Row],[FECHA]])</f>
        <v>2017-1</v>
      </c>
    </row>
    <row r="148" spans="1:4" x14ac:dyDescent="0.25">
      <c r="A148" t="s">
        <v>1409</v>
      </c>
      <c r="B148">
        <v>1</v>
      </c>
      <c r="C148" s="55">
        <v>42795</v>
      </c>
      <c r="D148" s="3" t="str">
        <f>YEAR(Datos_Consumo[[#This Row],[FECHA]])&amp;"-"&amp;MONTH(Datos_Consumo[[#This Row],[FECHA]])</f>
        <v>2017-3</v>
      </c>
    </row>
    <row r="149" spans="1:4" x14ac:dyDescent="0.25">
      <c r="A149" t="s">
        <v>1589</v>
      </c>
      <c r="B149">
        <v>1</v>
      </c>
      <c r="C149" s="55">
        <v>42736</v>
      </c>
      <c r="D149" s="3" t="str">
        <f>YEAR(Datos_Consumo[[#This Row],[FECHA]])&amp;"-"&amp;MONTH(Datos_Consumo[[#This Row],[FECHA]])</f>
        <v>2017-1</v>
      </c>
    </row>
    <row r="150" spans="1:4" x14ac:dyDescent="0.25">
      <c r="A150" t="s">
        <v>1589</v>
      </c>
      <c r="B150">
        <v>2</v>
      </c>
      <c r="C150" s="55">
        <v>42767</v>
      </c>
      <c r="D150" s="3" t="str">
        <f>YEAR(Datos_Consumo[[#This Row],[FECHA]])&amp;"-"&amp;MONTH(Datos_Consumo[[#This Row],[FECHA]])</f>
        <v>2017-2</v>
      </c>
    </row>
    <row r="151" spans="1:4" x14ac:dyDescent="0.25">
      <c r="A151" t="s">
        <v>1590</v>
      </c>
      <c r="B151">
        <v>2</v>
      </c>
      <c r="C151" s="55">
        <v>42736</v>
      </c>
      <c r="D151" s="3" t="str">
        <f>YEAR(Datos_Consumo[[#This Row],[FECHA]])&amp;"-"&amp;MONTH(Datos_Consumo[[#This Row],[FECHA]])</f>
        <v>2017-1</v>
      </c>
    </row>
    <row r="152" spans="1:4" x14ac:dyDescent="0.25">
      <c r="A152" t="s">
        <v>1591</v>
      </c>
      <c r="B152">
        <v>2</v>
      </c>
      <c r="C152" s="55">
        <v>42736</v>
      </c>
      <c r="D152" s="3" t="str">
        <f>YEAR(Datos_Consumo[[#This Row],[FECHA]])&amp;"-"&amp;MONTH(Datos_Consumo[[#This Row],[FECHA]])</f>
        <v>2017-1</v>
      </c>
    </row>
    <row r="153" spans="1:4" x14ac:dyDescent="0.25">
      <c r="A153" t="s">
        <v>1591</v>
      </c>
      <c r="B153">
        <v>12</v>
      </c>
      <c r="C153" s="55">
        <v>42767</v>
      </c>
      <c r="D153" s="3" t="str">
        <f>YEAR(Datos_Consumo[[#This Row],[FECHA]])&amp;"-"&amp;MONTH(Datos_Consumo[[#This Row],[FECHA]])</f>
        <v>2017-2</v>
      </c>
    </row>
    <row r="154" spans="1:4" x14ac:dyDescent="0.25">
      <c r="A154" t="s">
        <v>1591</v>
      </c>
      <c r="B154">
        <v>2</v>
      </c>
      <c r="C154" s="55">
        <v>42826</v>
      </c>
      <c r="D154" s="3" t="str">
        <f>YEAR(Datos_Consumo[[#This Row],[FECHA]])&amp;"-"&amp;MONTH(Datos_Consumo[[#This Row],[FECHA]])</f>
        <v>2017-4</v>
      </c>
    </row>
    <row r="155" spans="1:4" x14ac:dyDescent="0.25">
      <c r="A155" t="s">
        <v>1592</v>
      </c>
      <c r="B155">
        <v>1</v>
      </c>
      <c r="C155" s="55">
        <v>42736</v>
      </c>
      <c r="D155" s="3" t="str">
        <f>YEAR(Datos_Consumo[[#This Row],[FECHA]])&amp;"-"&amp;MONTH(Datos_Consumo[[#This Row],[FECHA]])</f>
        <v>2017-1</v>
      </c>
    </row>
    <row r="156" spans="1:4" x14ac:dyDescent="0.25">
      <c r="A156" t="s">
        <v>1592</v>
      </c>
      <c r="B156">
        <v>11</v>
      </c>
      <c r="C156" s="55">
        <v>42767</v>
      </c>
      <c r="D156" s="3" t="str">
        <f>YEAR(Datos_Consumo[[#This Row],[FECHA]])&amp;"-"&amp;MONTH(Datos_Consumo[[#This Row],[FECHA]])</f>
        <v>2017-2</v>
      </c>
    </row>
    <row r="157" spans="1:4" x14ac:dyDescent="0.25">
      <c r="A157" t="s">
        <v>1380</v>
      </c>
      <c r="B157">
        <v>328</v>
      </c>
      <c r="C157" s="55">
        <v>42705</v>
      </c>
      <c r="D157" s="3" t="str">
        <f>YEAR(Datos_Consumo[[#This Row],[FECHA]])&amp;"-"&amp;MONTH(Datos_Consumo[[#This Row],[FECHA]])</f>
        <v>2016-12</v>
      </c>
    </row>
    <row r="158" spans="1:4" x14ac:dyDescent="0.25">
      <c r="A158" t="s">
        <v>1380</v>
      </c>
      <c r="B158">
        <v>182</v>
      </c>
      <c r="C158" s="55">
        <v>42736</v>
      </c>
      <c r="D158" s="3" t="str">
        <f>YEAR(Datos_Consumo[[#This Row],[FECHA]])&amp;"-"&amp;MONTH(Datos_Consumo[[#This Row],[FECHA]])</f>
        <v>2017-1</v>
      </c>
    </row>
    <row r="159" spans="1:4" x14ac:dyDescent="0.25">
      <c r="A159" t="s">
        <v>1380</v>
      </c>
      <c r="B159">
        <v>150</v>
      </c>
      <c r="C159" s="55">
        <v>42856</v>
      </c>
      <c r="D159" s="3" t="str">
        <f>YEAR(Datos_Consumo[[#This Row],[FECHA]])&amp;"-"&amp;MONTH(Datos_Consumo[[#This Row],[FECHA]])</f>
        <v>2017-5</v>
      </c>
    </row>
    <row r="160" spans="1:4" x14ac:dyDescent="0.25">
      <c r="A160" t="s">
        <v>1410</v>
      </c>
      <c r="B160">
        <v>420</v>
      </c>
      <c r="C160" s="55">
        <v>42705</v>
      </c>
      <c r="D160" s="3" t="str">
        <f>YEAR(Datos_Consumo[[#This Row],[FECHA]])&amp;"-"&amp;MONTH(Datos_Consumo[[#This Row],[FECHA]])</f>
        <v>2016-12</v>
      </c>
    </row>
    <row r="161" spans="1:4" x14ac:dyDescent="0.25">
      <c r="A161" t="s">
        <v>1410</v>
      </c>
      <c r="B161">
        <v>2</v>
      </c>
      <c r="C161" s="55">
        <v>42795</v>
      </c>
      <c r="D161" s="3" t="str">
        <f>YEAR(Datos_Consumo[[#This Row],[FECHA]])&amp;"-"&amp;MONTH(Datos_Consumo[[#This Row],[FECHA]])</f>
        <v>2017-3</v>
      </c>
    </row>
    <row r="162" spans="1:4" x14ac:dyDescent="0.25">
      <c r="A162" t="s">
        <v>1411</v>
      </c>
      <c r="B162">
        <v>95</v>
      </c>
      <c r="C162" s="55">
        <v>42705</v>
      </c>
      <c r="D162" s="3" t="str">
        <f>YEAR(Datos_Consumo[[#This Row],[FECHA]])&amp;"-"&amp;MONTH(Datos_Consumo[[#This Row],[FECHA]])</f>
        <v>2016-12</v>
      </c>
    </row>
    <row r="163" spans="1:4" x14ac:dyDescent="0.25">
      <c r="A163" t="s">
        <v>1411</v>
      </c>
      <c r="B163">
        <v>20</v>
      </c>
      <c r="C163" s="55">
        <v>42736</v>
      </c>
      <c r="D163" s="3" t="str">
        <f>YEAR(Datos_Consumo[[#This Row],[FECHA]])&amp;"-"&amp;MONTH(Datos_Consumo[[#This Row],[FECHA]])</f>
        <v>2017-1</v>
      </c>
    </row>
    <row r="164" spans="1:4" x14ac:dyDescent="0.25">
      <c r="A164" t="s">
        <v>1411</v>
      </c>
      <c r="B164">
        <v>7</v>
      </c>
      <c r="C164" s="55">
        <v>42767</v>
      </c>
      <c r="D164" s="3" t="str">
        <f>YEAR(Datos_Consumo[[#This Row],[FECHA]])&amp;"-"&amp;MONTH(Datos_Consumo[[#This Row],[FECHA]])</f>
        <v>2017-2</v>
      </c>
    </row>
    <row r="165" spans="1:4" x14ac:dyDescent="0.25">
      <c r="A165" t="s">
        <v>1411</v>
      </c>
      <c r="B165">
        <v>20</v>
      </c>
      <c r="C165" s="55">
        <v>42795</v>
      </c>
      <c r="D165" s="3" t="str">
        <f>YEAR(Datos_Consumo[[#This Row],[FECHA]])&amp;"-"&amp;MONTH(Datos_Consumo[[#This Row],[FECHA]])</f>
        <v>2017-3</v>
      </c>
    </row>
    <row r="166" spans="1:4" x14ac:dyDescent="0.25">
      <c r="A166" t="s">
        <v>1411</v>
      </c>
      <c r="B166">
        <v>2</v>
      </c>
      <c r="C166" s="55">
        <v>42826</v>
      </c>
      <c r="D166" s="3" t="str">
        <f>YEAR(Datos_Consumo[[#This Row],[FECHA]])&amp;"-"&amp;MONTH(Datos_Consumo[[#This Row],[FECHA]])</f>
        <v>2017-4</v>
      </c>
    </row>
    <row r="167" spans="1:4" x14ac:dyDescent="0.25">
      <c r="A167" t="s">
        <v>1724</v>
      </c>
      <c r="B167">
        <v>1</v>
      </c>
      <c r="C167" s="55">
        <v>42767</v>
      </c>
      <c r="D167" s="3" t="str">
        <f>YEAR(Datos_Consumo[[#This Row],[FECHA]])&amp;"-"&amp;MONTH(Datos_Consumo[[#This Row],[FECHA]])</f>
        <v>2017-2</v>
      </c>
    </row>
    <row r="168" spans="1:4" x14ac:dyDescent="0.25">
      <c r="A168" t="s">
        <v>1412</v>
      </c>
      <c r="B168">
        <v>1690</v>
      </c>
      <c r="C168" s="55">
        <v>42705</v>
      </c>
      <c r="D168" s="3" t="str">
        <f>YEAR(Datos_Consumo[[#This Row],[FECHA]])&amp;"-"&amp;MONTH(Datos_Consumo[[#This Row],[FECHA]])</f>
        <v>2016-12</v>
      </c>
    </row>
    <row r="169" spans="1:4" x14ac:dyDescent="0.25">
      <c r="A169" t="s">
        <v>1412</v>
      </c>
      <c r="B169">
        <v>2</v>
      </c>
      <c r="C169" s="55">
        <v>42767</v>
      </c>
      <c r="D169" s="3" t="str">
        <f>YEAR(Datos_Consumo[[#This Row],[FECHA]])&amp;"-"&amp;MONTH(Datos_Consumo[[#This Row],[FECHA]])</f>
        <v>2017-2</v>
      </c>
    </row>
    <row r="170" spans="1:4" x14ac:dyDescent="0.25">
      <c r="A170" t="s">
        <v>1412</v>
      </c>
      <c r="B170">
        <v>1440</v>
      </c>
      <c r="C170" s="55">
        <v>42795</v>
      </c>
      <c r="D170" s="3" t="str">
        <f>YEAR(Datos_Consumo[[#This Row],[FECHA]])&amp;"-"&amp;MONTH(Datos_Consumo[[#This Row],[FECHA]])</f>
        <v>2017-3</v>
      </c>
    </row>
    <row r="171" spans="1:4" x14ac:dyDescent="0.25">
      <c r="A171" t="s">
        <v>1412</v>
      </c>
      <c r="B171">
        <v>81</v>
      </c>
      <c r="C171" s="55">
        <v>42826</v>
      </c>
      <c r="D171" s="3" t="str">
        <f>YEAR(Datos_Consumo[[#This Row],[FECHA]])&amp;"-"&amp;MONTH(Datos_Consumo[[#This Row],[FECHA]])</f>
        <v>2017-4</v>
      </c>
    </row>
    <row r="172" spans="1:4" x14ac:dyDescent="0.25">
      <c r="A172" t="s">
        <v>1413</v>
      </c>
      <c r="B172">
        <v>50</v>
      </c>
      <c r="C172" s="55">
        <v>42705</v>
      </c>
      <c r="D172" s="3" t="str">
        <f>YEAR(Datos_Consumo[[#This Row],[FECHA]])&amp;"-"&amp;MONTH(Datos_Consumo[[#This Row],[FECHA]])</f>
        <v>2016-12</v>
      </c>
    </row>
    <row r="173" spans="1:4" x14ac:dyDescent="0.25">
      <c r="A173" t="s">
        <v>1413</v>
      </c>
      <c r="B173">
        <v>2</v>
      </c>
      <c r="C173" s="55">
        <v>42767</v>
      </c>
      <c r="D173" s="3" t="str">
        <f>YEAR(Datos_Consumo[[#This Row],[FECHA]])&amp;"-"&amp;MONTH(Datos_Consumo[[#This Row],[FECHA]])</f>
        <v>2017-2</v>
      </c>
    </row>
    <row r="174" spans="1:4" x14ac:dyDescent="0.25">
      <c r="A174" t="s">
        <v>1413</v>
      </c>
      <c r="B174">
        <v>81</v>
      </c>
      <c r="C174" s="55">
        <v>42826</v>
      </c>
      <c r="D174" s="3" t="str">
        <f>YEAR(Datos_Consumo[[#This Row],[FECHA]])&amp;"-"&amp;MONTH(Datos_Consumo[[#This Row],[FECHA]])</f>
        <v>2017-4</v>
      </c>
    </row>
    <row r="175" spans="1:4" x14ac:dyDescent="0.25">
      <c r="A175" t="s">
        <v>1414</v>
      </c>
      <c r="B175">
        <v>35</v>
      </c>
      <c r="C175" s="55">
        <v>42705</v>
      </c>
      <c r="D175" s="3" t="str">
        <f>YEAR(Datos_Consumo[[#This Row],[FECHA]])&amp;"-"&amp;MONTH(Datos_Consumo[[#This Row],[FECHA]])</f>
        <v>2016-12</v>
      </c>
    </row>
    <row r="176" spans="1:4" x14ac:dyDescent="0.25">
      <c r="A176" t="s">
        <v>1414</v>
      </c>
      <c r="B176">
        <v>30</v>
      </c>
      <c r="C176" s="55">
        <v>42736</v>
      </c>
      <c r="D176" s="3" t="str">
        <f>YEAR(Datos_Consumo[[#This Row],[FECHA]])&amp;"-"&amp;MONTH(Datos_Consumo[[#This Row],[FECHA]])</f>
        <v>2017-1</v>
      </c>
    </row>
    <row r="177" spans="1:4" x14ac:dyDescent="0.25">
      <c r="A177" t="s">
        <v>1414</v>
      </c>
      <c r="B177">
        <v>16</v>
      </c>
      <c r="C177" s="55">
        <v>42767</v>
      </c>
      <c r="D177" s="3" t="str">
        <f>YEAR(Datos_Consumo[[#This Row],[FECHA]])&amp;"-"&amp;MONTH(Datos_Consumo[[#This Row],[FECHA]])</f>
        <v>2017-2</v>
      </c>
    </row>
    <row r="178" spans="1:4" x14ac:dyDescent="0.25">
      <c r="A178" t="s">
        <v>1414</v>
      </c>
      <c r="B178">
        <v>12</v>
      </c>
      <c r="C178" s="55">
        <v>42795</v>
      </c>
      <c r="D178" s="3" t="str">
        <f>YEAR(Datos_Consumo[[#This Row],[FECHA]])&amp;"-"&amp;MONTH(Datos_Consumo[[#This Row],[FECHA]])</f>
        <v>2017-3</v>
      </c>
    </row>
    <row r="179" spans="1:4" x14ac:dyDescent="0.25">
      <c r="A179" t="s">
        <v>1414</v>
      </c>
      <c r="B179">
        <v>232</v>
      </c>
      <c r="C179" s="55">
        <v>42826</v>
      </c>
      <c r="D179" s="3" t="str">
        <f>YEAR(Datos_Consumo[[#This Row],[FECHA]])&amp;"-"&amp;MONTH(Datos_Consumo[[#This Row],[FECHA]])</f>
        <v>2017-4</v>
      </c>
    </row>
    <row r="180" spans="1:4" x14ac:dyDescent="0.25">
      <c r="A180" t="s">
        <v>1415</v>
      </c>
      <c r="B180">
        <v>455</v>
      </c>
      <c r="C180" s="55">
        <v>42705</v>
      </c>
      <c r="D180" s="3" t="str">
        <f>YEAR(Datos_Consumo[[#This Row],[FECHA]])&amp;"-"&amp;MONTH(Datos_Consumo[[#This Row],[FECHA]])</f>
        <v>2016-12</v>
      </c>
    </row>
    <row r="181" spans="1:4" x14ac:dyDescent="0.25">
      <c r="A181" t="s">
        <v>1415</v>
      </c>
      <c r="B181">
        <v>38</v>
      </c>
      <c r="C181" s="55">
        <v>42736</v>
      </c>
      <c r="D181" s="3" t="str">
        <f>YEAR(Datos_Consumo[[#This Row],[FECHA]])&amp;"-"&amp;MONTH(Datos_Consumo[[#This Row],[FECHA]])</f>
        <v>2017-1</v>
      </c>
    </row>
    <row r="182" spans="1:4" x14ac:dyDescent="0.25">
      <c r="A182" t="s">
        <v>1415</v>
      </c>
      <c r="B182">
        <v>19</v>
      </c>
      <c r="C182" s="55">
        <v>42767</v>
      </c>
      <c r="D182" s="3" t="str">
        <f>YEAR(Datos_Consumo[[#This Row],[FECHA]])&amp;"-"&amp;MONTH(Datos_Consumo[[#This Row],[FECHA]])</f>
        <v>2017-2</v>
      </c>
    </row>
    <row r="183" spans="1:4" x14ac:dyDescent="0.25">
      <c r="A183" t="s">
        <v>1415</v>
      </c>
      <c r="B183">
        <v>64</v>
      </c>
      <c r="C183" s="55">
        <v>42795</v>
      </c>
      <c r="D183" s="3" t="str">
        <f>YEAR(Datos_Consumo[[#This Row],[FECHA]])&amp;"-"&amp;MONTH(Datos_Consumo[[#This Row],[FECHA]])</f>
        <v>2017-3</v>
      </c>
    </row>
    <row r="184" spans="1:4" x14ac:dyDescent="0.25">
      <c r="A184" t="s">
        <v>1415</v>
      </c>
      <c r="B184">
        <v>459</v>
      </c>
      <c r="C184" s="55">
        <v>42826</v>
      </c>
      <c r="D184" s="3" t="str">
        <f>YEAR(Datos_Consumo[[#This Row],[FECHA]])&amp;"-"&amp;MONTH(Datos_Consumo[[#This Row],[FECHA]])</f>
        <v>2017-4</v>
      </c>
    </row>
    <row r="185" spans="1:4" x14ac:dyDescent="0.25">
      <c r="A185" t="s">
        <v>1416</v>
      </c>
      <c r="B185">
        <v>20</v>
      </c>
      <c r="C185" s="55">
        <v>42705</v>
      </c>
      <c r="D185" s="3" t="str">
        <f>YEAR(Datos_Consumo[[#This Row],[FECHA]])&amp;"-"&amp;MONTH(Datos_Consumo[[#This Row],[FECHA]])</f>
        <v>2016-12</v>
      </c>
    </row>
    <row r="186" spans="1:4" x14ac:dyDescent="0.25">
      <c r="A186" t="s">
        <v>1416</v>
      </c>
      <c r="B186">
        <v>25</v>
      </c>
      <c r="C186" s="55">
        <v>42736</v>
      </c>
      <c r="D186" s="3" t="str">
        <f>YEAR(Datos_Consumo[[#This Row],[FECHA]])&amp;"-"&amp;MONTH(Datos_Consumo[[#This Row],[FECHA]])</f>
        <v>2017-1</v>
      </c>
    </row>
    <row r="187" spans="1:4" x14ac:dyDescent="0.25">
      <c r="A187" t="s">
        <v>1416</v>
      </c>
      <c r="B187">
        <v>10</v>
      </c>
      <c r="C187" s="55">
        <v>42767</v>
      </c>
      <c r="D187" s="3" t="str">
        <f>YEAR(Datos_Consumo[[#This Row],[FECHA]])&amp;"-"&amp;MONTH(Datos_Consumo[[#This Row],[FECHA]])</f>
        <v>2017-2</v>
      </c>
    </row>
    <row r="188" spans="1:4" x14ac:dyDescent="0.25">
      <c r="A188" t="s">
        <v>1416</v>
      </c>
      <c r="B188">
        <v>40</v>
      </c>
      <c r="C188" s="55">
        <v>42795</v>
      </c>
      <c r="D188" s="3" t="str">
        <f>YEAR(Datos_Consumo[[#This Row],[FECHA]])&amp;"-"&amp;MONTH(Datos_Consumo[[#This Row],[FECHA]])</f>
        <v>2017-3</v>
      </c>
    </row>
    <row r="189" spans="1:4" x14ac:dyDescent="0.25">
      <c r="A189" t="s">
        <v>1416</v>
      </c>
      <c r="B189">
        <v>88</v>
      </c>
      <c r="C189" s="55">
        <v>42826</v>
      </c>
      <c r="D189" s="3" t="str">
        <f>YEAR(Datos_Consumo[[#This Row],[FECHA]])&amp;"-"&amp;MONTH(Datos_Consumo[[#This Row],[FECHA]])</f>
        <v>2017-4</v>
      </c>
    </row>
    <row r="190" spans="1:4" x14ac:dyDescent="0.25">
      <c r="A190" t="s">
        <v>1416</v>
      </c>
      <c r="B190">
        <v>5</v>
      </c>
      <c r="C190" s="55">
        <v>42856</v>
      </c>
      <c r="D190" s="3" t="str">
        <f>YEAR(Datos_Consumo[[#This Row],[FECHA]])&amp;"-"&amp;MONTH(Datos_Consumo[[#This Row],[FECHA]])</f>
        <v>2017-5</v>
      </c>
    </row>
    <row r="191" spans="1:4" x14ac:dyDescent="0.25">
      <c r="A191" t="s">
        <v>1725</v>
      </c>
      <c r="B191">
        <v>3</v>
      </c>
      <c r="C191" s="55">
        <v>42826</v>
      </c>
      <c r="D191" s="3" t="str">
        <f>YEAR(Datos_Consumo[[#This Row],[FECHA]])&amp;"-"&amp;MONTH(Datos_Consumo[[#This Row],[FECHA]])</f>
        <v>2017-4</v>
      </c>
    </row>
    <row r="192" spans="1:4" x14ac:dyDescent="0.25">
      <c r="A192" t="s">
        <v>1417</v>
      </c>
      <c r="B192">
        <v>8</v>
      </c>
      <c r="C192" s="55">
        <v>42736</v>
      </c>
      <c r="D192" s="3" t="str">
        <f>YEAR(Datos_Consumo[[#This Row],[FECHA]])&amp;"-"&amp;MONTH(Datos_Consumo[[#This Row],[FECHA]])</f>
        <v>2017-1</v>
      </c>
    </row>
    <row r="193" spans="1:4" x14ac:dyDescent="0.25">
      <c r="A193" t="s">
        <v>1726</v>
      </c>
      <c r="B193">
        <v>5</v>
      </c>
      <c r="C193" s="55">
        <v>42767</v>
      </c>
      <c r="D193" s="3" t="str">
        <f>YEAR(Datos_Consumo[[#This Row],[FECHA]])&amp;"-"&amp;MONTH(Datos_Consumo[[#This Row],[FECHA]])</f>
        <v>2017-2</v>
      </c>
    </row>
    <row r="194" spans="1:4" x14ac:dyDescent="0.25">
      <c r="A194" t="s">
        <v>1381</v>
      </c>
      <c r="B194">
        <v>5</v>
      </c>
      <c r="C194" s="55">
        <v>42767</v>
      </c>
      <c r="D194" s="3" t="str">
        <f>YEAR(Datos_Consumo[[#This Row],[FECHA]])&amp;"-"&amp;MONTH(Datos_Consumo[[#This Row],[FECHA]])</f>
        <v>2017-2</v>
      </c>
    </row>
    <row r="195" spans="1:4" x14ac:dyDescent="0.25">
      <c r="A195" t="s">
        <v>1381</v>
      </c>
      <c r="B195">
        <v>5</v>
      </c>
      <c r="C195" s="55">
        <v>42795</v>
      </c>
      <c r="D195" s="3" t="str">
        <f>YEAR(Datos_Consumo[[#This Row],[FECHA]])&amp;"-"&amp;MONTH(Datos_Consumo[[#This Row],[FECHA]])</f>
        <v>2017-3</v>
      </c>
    </row>
    <row r="196" spans="1:4" x14ac:dyDescent="0.25">
      <c r="A196" t="s">
        <v>1381</v>
      </c>
      <c r="B196">
        <v>5</v>
      </c>
      <c r="C196" s="55">
        <v>42826</v>
      </c>
      <c r="D196" s="3" t="str">
        <f>YEAR(Datos_Consumo[[#This Row],[FECHA]])&amp;"-"&amp;MONTH(Datos_Consumo[[#This Row],[FECHA]])</f>
        <v>2017-4</v>
      </c>
    </row>
    <row r="197" spans="1:4" x14ac:dyDescent="0.25">
      <c r="A197" t="s">
        <v>1727</v>
      </c>
      <c r="B197">
        <v>1</v>
      </c>
      <c r="C197" s="55">
        <v>42767</v>
      </c>
      <c r="D197" s="3" t="str">
        <f>YEAR(Datos_Consumo[[#This Row],[FECHA]])&amp;"-"&amp;MONTH(Datos_Consumo[[#This Row],[FECHA]])</f>
        <v>2017-2</v>
      </c>
    </row>
    <row r="198" spans="1:4" x14ac:dyDescent="0.25">
      <c r="A198" t="s">
        <v>1382</v>
      </c>
      <c r="B198">
        <v>5</v>
      </c>
      <c r="C198" s="55">
        <v>42736</v>
      </c>
      <c r="D198" s="3" t="str">
        <f>YEAR(Datos_Consumo[[#This Row],[FECHA]])&amp;"-"&amp;MONTH(Datos_Consumo[[#This Row],[FECHA]])</f>
        <v>2017-1</v>
      </c>
    </row>
    <row r="199" spans="1:4" x14ac:dyDescent="0.25">
      <c r="A199" t="s">
        <v>1382</v>
      </c>
      <c r="B199">
        <v>3</v>
      </c>
      <c r="C199" s="55">
        <v>42826</v>
      </c>
      <c r="D199" s="3" t="str">
        <f>YEAR(Datos_Consumo[[#This Row],[FECHA]])&amp;"-"&amp;MONTH(Datos_Consumo[[#This Row],[FECHA]])</f>
        <v>2017-4</v>
      </c>
    </row>
    <row r="200" spans="1:4" x14ac:dyDescent="0.25">
      <c r="A200" t="s">
        <v>1382</v>
      </c>
      <c r="B200">
        <v>1</v>
      </c>
      <c r="C200" s="55">
        <v>42856</v>
      </c>
      <c r="D200" s="3" t="str">
        <f>YEAR(Datos_Consumo[[#This Row],[FECHA]])&amp;"-"&amp;MONTH(Datos_Consumo[[#This Row],[FECHA]])</f>
        <v>2017-5</v>
      </c>
    </row>
    <row r="201" spans="1:4" x14ac:dyDescent="0.25">
      <c r="A201" t="s">
        <v>1418</v>
      </c>
      <c r="B201">
        <v>8</v>
      </c>
      <c r="C201" s="55">
        <v>42705</v>
      </c>
      <c r="D201" s="3" t="str">
        <f>YEAR(Datos_Consumo[[#This Row],[FECHA]])&amp;"-"&amp;MONTH(Datos_Consumo[[#This Row],[FECHA]])</f>
        <v>2016-12</v>
      </c>
    </row>
    <row r="202" spans="1:4" x14ac:dyDescent="0.25">
      <c r="A202" t="s">
        <v>1418</v>
      </c>
      <c r="B202">
        <v>58</v>
      </c>
      <c r="C202" s="55">
        <v>42736</v>
      </c>
      <c r="D202" s="3" t="str">
        <f>YEAR(Datos_Consumo[[#This Row],[FECHA]])&amp;"-"&amp;MONTH(Datos_Consumo[[#This Row],[FECHA]])</f>
        <v>2017-1</v>
      </c>
    </row>
    <row r="203" spans="1:4" x14ac:dyDescent="0.25">
      <c r="A203" t="s">
        <v>1418</v>
      </c>
      <c r="B203">
        <v>7</v>
      </c>
      <c r="C203" s="55">
        <v>42767</v>
      </c>
      <c r="D203" s="3" t="str">
        <f>YEAR(Datos_Consumo[[#This Row],[FECHA]])&amp;"-"&amp;MONTH(Datos_Consumo[[#This Row],[FECHA]])</f>
        <v>2017-2</v>
      </c>
    </row>
    <row r="204" spans="1:4" x14ac:dyDescent="0.25">
      <c r="A204" t="s">
        <v>1418</v>
      </c>
      <c r="B204">
        <v>12</v>
      </c>
      <c r="C204" s="55">
        <v>42795</v>
      </c>
      <c r="D204" s="3" t="str">
        <f>YEAR(Datos_Consumo[[#This Row],[FECHA]])&amp;"-"&amp;MONTH(Datos_Consumo[[#This Row],[FECHA]])</f>
        <v>2017-3</v>
      </c>
    </row>
    <row r="205" spans="1:4" x14ac:dyDescent="0.25">
      <c r="A205" t="s">
        <v>1418</v>
      </c>
      <c r="B205">
        <v>3</v>
      </c>
      <c r="C205" s="55">
        <v>42826</v>
      </c>
      <c r="D205" s="3" t="str">
        <f>YEAR(Datos_Consumo[[#This Row],[FECHA]])&amp;"-"&amp;MONTH(Datos_Consumo[[#This Row],[FECHA]])</f>
        <v>2017-4</v>
      </c>
    </row>
    <row r="206" spans="1:4" x14ac:dyDescent="0.25">
      <c r="A206" t="s">
        <v>1418</v>
      </c>
      <c r="B206">
        <v>13</v>
      </c>
      <c r="C206" s="55">
        <v>42856</v>
      </c>
      <c r="D206" s="3" t="str">
        <f>YEAR(Datos_Consumo[[#This Row],[FECHA]])&amp;"-"&amp;MONTH(Datos_Consumo[[#This Row],[FECHA]])</f>
        <v>2017-5</v>
      </c>
    </row>
    <row r="207" spans="1:4" x14ac:dyDescent="0.25">
      <c r="A207" t="s">
        <v>1419</v>
      </c>
      <c r="B207">
        <v>6</v>
      </c>
      <c r="C207" s="55">
        <v>42705</v>
      </c>
      <c r="D207" s="3" t="str">
        <f>YEAR(Datos_Consumo[[#This Row],[FECHA]])&amp;"-"&amp;MONTH(Datos_Consumo[[#This Row],[FECHA]])</f>
        <v>2016-12</v>
      </c>
    </row>
    <row r="208" spans="1:4" x14ac:dyDescent="0.25">
      <c r="A208" t="s">
        <v>1419</v>
      </c>
      <c r="B208">
        <v>20</v>
      </c>
      <c r="C208" s="55">
        <v>42736</v>
      </c>
      <c r="D208" s="3" t="str">
        <f>YEAR(Datos_Consumo[[#This Row],[FECHA]])&amp;"-"&amp;MONTH(Datos_Consumo[[#This Row],[FECHA]])</f>
        <v>2017-1</v>
      </c>
    </row>
    <row r="209" spans="1:4" x14ac:dyDescent="0.25">
      <c r="A209" t="s">
        <v>1419</v>
      </c>
      <c r="B209">
        <v>5</v>
      </c>
      <c r="C209" s="55">
        <v>42767</v>
      </c>
      <c r="D209" s="3" t="str">
        <f>YEAR(Datos_Consumo[[#This Row],[FECHA]])&amp;"-"&amp;MONTH(Datos_Consumo[[#This Row],[FECHA]])</f>
        <v>2017-2</v>
      </c>
    </row>
    <row r="210" spans="1:4" x14ac:dyDescent="0.25">
      <c r="A210" t="s">
        <v>1419</v>
      </c>
      <c r="B210">
        <v>15</v>
      </c>
      <c r="C210" s="55">
        <v>42795</v>
      </c>
      <c r="D210" s="3" t="str">
        <f>YEAR(Datos_Consumo[[#This Row],[FECHA]])&amp;"-"&amp;MONTH(Datos_Consumo[[#This Row],[FECHA]])</f>
        <v>2017-3</v>
      </c>
    </row>
    <row r="211" spans="1:4" x14ac:dyDescent="0.25">
      <c r="A211" t="s">
        <v>1419</v>
      </c>
      <c r="B211">
        <v>34</v>
      </c>
      <c r="C211" s="55">
        <v>42826</v>
      </c>
      <c r="D211" s="3" t="str">
        <f>YEAR(Datos_Consumo[[#This Row],[FECHA]])&amp;"-"&amp;MONTH(Datos_Consumo[[#This Row],[FECHA]])</f>
        <v>2017-4</v>
      </c>
    </row>
    <row r="212" spans="1:4" x14ac:dyDescent="0.25">
      <c r="A212" t="s">
        <v>1419</v>
      </c>
      <c r="B212">
        <v>19</v>
      </c>
      <c r="C212" s="55">
        <v>42856</v>
      </c>
      <c r="D212" s="3" t="str">
        <f>YEAR(Datos_Consumo[[#This Row],[FECHA]])&amp;"-"&amp;MONTH(Datos_Consumo[[#This Row],[FECHA]])</f>
        <v>2017-5</v>
      </c>
    </row>
    <row r="213" spans="1:4" x14ac:dyDescent="0.25">
      <c r="A213" t="s">
        <v>1420</v>
      </c>
      <c r="B213">
        <v>10</v>
      </c>
      <c r="C213" s="55">
        <v>42705</v>
      </c>
      <c r="D213" s="3" t="str">
        <f>YEAR(Datos_Consumo[[#This Row],[FECHA]])&amp;"-"&amp;MONTH(Datos_Consumo[[#This Row],[FECHA]])</f>
        <v>2016-12</v>
      </c>
    </row>
    <row r="214" spans="1:4" x14ac:dyDescent="0.25">
      <c r="A214" t="s">
        <v>1420</v>
      </c>
      <c r="B214">
        <v>620</v>
      </c>
      <c r="C214" s="55">
        <v>42736</v>
      </c>
      <c r="D214" s="3" t="str">
        <f>YEAR(Datos_Consumo[[#This Row],[FECHA]])&amp;"-"&amp;MONTH(Datos_Consumo[[#This Row],[FECHA]])</f>
        <v>2017-1</v>
      </c>
    </row>
    <row r="215" spans="1:4" x14ac:dyDescent="0.25">
      <c r="A215" t="s">
        <v>1420</v>
      </c>
      <c r="B215">
        <v>620</v>
      </c>
      <c r="C215" s="55">
        <v>42767</v>
      </c>
      <c r="D215" s="3" t="str">
        <f>YEAR(Datos_Consumo[[#This Row],[FECHA]])&amp;"-"&amp;MONTH(Datos_Consumo[[#This Row],[FECHA]])</f>
        <v>2017-2</v>
      </c>
    </row>
    <row r="216" spans="1:4" x14ac:dyDescent="0.25">
      <c r="A216" t="s">
        <v>1420</v>
      </c>
      <c r="B216">
        <v>1200</v>
      </c>
      <c r="C216" s="55">
        <v>42795</v>
      </c>
      <c r="D216" s="3" t="str">
        <f>YEAR(Datos_Consumo[[#This Row],[FECHA]])&amp;"-"&amp;MONTH(Datos_Consumo[[#This Row],[FECHA]])</f>
        <v>2017-3</v>
      </c>
    </row>
    <row r="217" spans="1:4" x14ac:dyDescent="0.25">
      <c r="A217" t="s">
        <v>1420</v>
      </c>
      <c r="B217">
        <v>5</v>
      </c>
      <c r="C217" s="55">
        <v>42826</v>
      </c>
      <c r="D217" s="3" t="str">
        <f>YEAR(Datos_Consumo[[#This Row],[FECHA]])&amp;"-"&amp;MONTH(Datos_Consumo[[#This Row],[FECHA]])</f>
        <v>2017-4</v>
      </c>
    </row>
    <row r="218" spans="1:4" x14ac:dyDescent="0.25">
      <c r="A218" t="s">
        <v>1420</v>
      </c>
      <c r="B218">
        <v>3</v>
      </c>
      <c r="C218" s="55">
        <v>42856</v>
      </c>
      <c r="D218" s="3" t="str">
        <f>YEAR(Datos_Consumo[[#This Row],[FECHA]])&amp;"-"&amp;MONTH(Datos_Consumo[[#This Row],[FECHA]])</f>
        <v>2017-5</v>
      </c>
    </row>
    <row r="219" spans="1:4" x14ac:dyDescent="0.25">
      <c r="A219" t="s">
        <v>1728</v>
      </c>
      <c r="B219">
        <v>5</v>
      </c>
      <c r="C219" s="55">
        <v>42767</v>
      </c>
      <c r="D219" s="3" t="str">
        <f>YEAR(Datos_Consumo[[#This Row],[FECHA]])&amp;"-"&amp;MONTH(Datos_Consumo[[#This Row],[FECHA]])</f>
        <v>2017-2</v>
      </c>
    </row>
    <row r="220" spans="1:4" x14ac:dyDescent="0.25">
      <c r="A220" t="s">
        <v>1728</v>
      </c>
      <c r="B220">
        <v>3</v>
      </c>
      <c r="C220" s="55">
        <v>42826</v>
      </c>
      <c r="D220" s="3" t="str">
        <f>YEAR(Datos_Consumo[[#This Row],[FECHA]])&amp;"-"&amp;MONTH(Datos_Consumo[[#This Row],[FECHA]])</f>
        <v>2017-4</v>
      </c>
    </row>
    <row r="221" spans="1:4" x14ac:dyDescent="0.25">
      <c r="A221" t="s">
        <v>1421</v>
      </c>
      <c r="B221">
        <v>5</v>
      </c>
      <c r="C221" s="55">
        <v>42736</v>
      </c>
      <c r="D221" s="3" t="str">
        <f>YEAR(Datos_Consumo[[#This Row],[FECHA]])&amp;"-"&amp;MONTH(Datos_Consumo[[#This Row],[FECHA]])</f>
        <v>2017-1</v>
      </c>
    </row>
    <row r="222" spans="1:4" x14ac:dyDescent="0.25">
      <c r="A222" t="s">
        <v>1421</v>
      </c>
      <c r="B222">
        <v>5</v>
      </c>
      <c r="C222" s="55">
        <v>42826</v>
      </c>
      <c r="D222" s="3" t="str">
        <f>YEAR(Datos_Consumo[[#This Row],[FECHA]])&amp;"-"&amp;MONTH(Datos_Consumo[[#This Row],[FECHA]])</f>
        <v>2017-4</v>
      </c>
    </row>
    <row r="223" spans="1:4" x14ac:dyDescent="0.25">
      <c r="A223" t="s">
        <v>1422</v>
      </c>
      <c r="B223">
        <v>13</v>
      </c>
      <c r="C223" s="55">
        <v>42705</v>
      </c>
      <c r="D223" s="3" t="str">
        <f>YEAR(Datos_Consumo[[#This Row],[FECHA]])&amp;"-"&amp;MONTH(Datos_Consumo[[#This Row],[FECHA]])</f>
        <v>2016-12</v>
      </c>
    </row>
    <row r="224" spans="1:4" x14ac:dyDescent="0.25">
      <c r="A224" t="s">
        <v>1422</v>
      </c>
      <c r="B224">
        <v>21</v>
      </c>
      <c r="C224" s="55">
        <v>42736</v>
      </c>
      <c r="D224" s="3" t="str">
        <f>YEAR(Datos_Consumo[[#This Row],[FECHA]])&amp;"-"&amp;MONTH(Datos_Consumo[[#This Row],[FECHA]])</f>
        <v>2017-1</v>
      </c>
    </row>
    <row r="225" spans="1:4" x14ac:dyDescent="0.25">
      <c r="A225" t="s">
        <v>1422</v>
      </c>
      <c r="B225">
        <v>32</v>
      </c>
      <c r="C225" s="55">
        <v>42767</v>
      </c>
      <c r="D225" s="3" t="str">
        <f>YEAR(Datos_Consumo[[#This Row],[FECHA]])&amp;"-"&amp;MONTH(Datos_Consumo[[#This Row],[FECHA]])</f>
        <v>2017-2</v>
      </c>
    </row>
    <row r="226" spans="1:4" x14ac:dyDescent="0.25">
      <c r="A226" t="s">
        <v>1422</v>
      </c>
      <c r="B226">
        <v>13</v>
      </c>
      <c r="C226" s="55">
        <v>42795</v>
      </c>
      <c r="D226" s="3" t="str">
        <f>YEAR(Datos_Consumo[[#This Row],[FECHA]])&amp;"-"&amp;MONTH(Datos_Consumo[[#This Row],[FECHA]])</f>
        <v>2017-3</v>
      </c>
    </row>
    <row r="227" spans="1:4" x14ac:dyDescent="0.25">
      <c r="A227" t="s">
        <v>1422</v>
      </c>
      <c r="B227">
        <v>53</v>
      </c>
      <c r="C227" s="55">
        <v>42826</v>
      </c>
      <c r="D227" s="3" t="str">
        <f>YEAR(Datos_Consumo[[#This Row],[FECHA]])&amp;"-"&amp;MONTH(Datos_Consumo[[#This Row],[FECHA]])</f>
        <v>2017-4</v>
      </c>
    </row>
    <row r="228" spans="1:4" x14ac:dyDescent="0.25">
      <c r="A228" t="s">
        <v>1422</v>
      </c>
      <c r="B228">
        <v>9</v>
      </c>
      <c r="C228" s="55">
        <v>42856</v>
      </c>
      <c r="D228" s="3" t="str">
        <f>YEAR(Datos_Consumo[[#This Row],[FECHA]])&amp;"-"&amp;MONTH(Datos_Consumo[[#This Row],[FECHA]])</f>
        <v>2017-5</v>
      </c>
    </row>
    <row r="229" spans="1:4" x14ac:dyDescent="0.25">
      <c r="A229" t="s">
        <v>1729</v>
      </c>
      <c r="B229">
        <v>3</v>
      </c>
      <c r="C229" s="55">
        <v>42767</v>
      </c>
      <c r="D229" s="3" t="str">
        <f>YEAR(Datos_Consumo[[#This Row],[FECHA]])&amp;"-"&amp;MONTH(Datos_Consumo[[#This Row],[FECHA]])</f>
        <v>2017-2</v>
      </c>
    </row>
    <row r="230" spans="1:4" x14ac:dyDescent="0.25">
      <c r="A230" t="s">
        <v>1730</v>
      </c>
      <c r="B230">
        <v>20</v>
      </c>
      <c r="C230" s="55">
        <v>42767</v>
      </c>
      <c r="D230" s="3" t="str">
        <f>YEAR(Datos_Consumo[[#This Row],[FECHA]])&amp;"-"&amp;MONTH(Datos_Consumo[[#This Row],[FECHA]])</f>
        <v>2017-2</v>
      </c>
    </row>
    <row r="231" spans="1:4" x14ac:dyDescent="0.25">
      <c r="A231" t="s">
        <v>1423</v>
      </c>
      <c r="B231">
        <v>10</v>
      </c>
      <c r="C231" s="55">
        <v>42705</v>
      </c>
      <c r="D231" s="3" t="str">
        <f>YEAR(Datos_Consumo[[#This Row],[FECHA]])&amp;"-"&amp;MONTH(Datos_Consumo[[#This Row],[FECHA]])</f>
        <v>2016-12</v>
      </c>
    </row>
    <row r="232" spans="1:4" x14ac:dyDescent="0.25">
      <c r="A232" t="s">
        <v>1423</v>
      </c>
      <c r="B232">
        <v>8</v>
      </c>
      <c r="C232" s="55">
        <v>42736</v>
      </c>
      <c r="D232" s="3" t="str">
        <f>YEAR(Datos_Consumo[[#This Row],[FECHA]])&amp;"-"&amp;MONTH(Datos_Consumo[[#This Row],[FECHA]])</f>
        <v>2017-1</v>
      </c>
    </row>
    <row r="233" spans="1:4" x14ac:dyDescent="0.25">
      <c r="A233" t="s">
        <v>1423</v>
      </c>
      <c r="B233">
        <v>3</v>
      </c>
      <c r="C233" s="55">
        <v>42767</v>
      </c>
      <c r="D233" s="3" t="str">
        <f>YEAR(Datos_Consumo[[#This Row],[FECHA]])&amp;"-"&amp;MONTH(Datos_Consumo[[#This Row],[FECHA]])</f>
        <v>2017-2</v>
      </c>
    </row>
    <row r="234" spans="1:4" x14ac:dyDescent="0.25">
      <c r="A234" t="s">
        <v>1423</v>
      </c>
      <c r="B234">
        <v>4</v>
      </c>
      <c r="C234" s="55">
        <v>42795</v>
      </c>
      <c r="D234" s="3" t="str">
        <f>YEAR(Datos_Consumo[[#This Row],[FECHA]])&amp;"-"&amp;MONTH(Datos_Consumo[[#This Row],[FECHA]])</f>
        <v>2017-3</v>
      </c>
    </row>
    <row r="235" spans="1:4" x14ac:dyDescent="0.25">
      <c r="A235" t="s">
        <v>1423</v>
      </c>
      <c r="B235">
        <v>5</v>
      </c>
      <c r="C235" s="55">
        <v>42826</v>
      </c>
      <c r="D235" s="3" t="str">
        <f>YEAR(Datos_Consumo[[#This Row],[FECHA]])&amp;"-"&amp;MONTH(Datos_Consumo[[#This Row],[FECHA]])</f>
        <v>2017-4</v>
      </c>
    </row>
    <row r="236" spans="1:4" x14ac:dyDescent="0.25">
      <c r="A236" t="s">
        <v>1383</v>
      </c>
      <c r="B236">
        <v>18</v>
      </c>
      <c r="C236" s="55">
        <v>42705</v>
      </c>
      <c r="D236" s="3" t="str">
        <f>YEAR(Datos_Consumo[[#This Row],[FECHA]])&amp;"-"&amp;MONTH(Datos_Consumo[[#This Row],[FECHA]])</f>
        <v>2016-12</v>
      </c>
    </row>
    <row r="237" spans="1:4" x14ac:dyDescent="0.25">
      <c r="A237" t="s">
        <v>1383</v>
      </c>
      <c r="B237">
        <v>20</v>
      </c>
      <c r="C237" s="55">
        <v>42736</v>
      </c>
      <c r="D237" s="3" t="str">
        <f>YEAR(Datos_Consumo[[#This Row],[FECHA]])&amp;"-"&amp;MONTH(Datos_Consumo[[#This Row],[FECHA]])</f>
        <v>2017-1</v>
      </c>
    </row>
    <row r="238" spans="1:4" x14ac:dyDescent="0.25">
      <c r="A238" t="s">
        <v>1383</v>
      </c>
      <c r="B238">
        <v>10</v>
      </c>
      <c r="C238" s="55">
        <v>42767</v>
      </c>
      <c r="D238" s="3" t="str">
        <f>YEAR(Datos_Consumo[[#This Row],[FECHA]])&amp;"-"&amp;MONTH(Datos_Consumo[[#This Row],[FECHA]])</f>
        <v>2017-2</v>
      </c>
    </row>
    <row r="239" spans="1:4" x14ac:dyDescent="0.25">
      <c r="A239" t="s">
        <v>1383</v>
      </c>
      <c r="B239">
        <v>66</v>
      </c>
      <c r="C239" s="55">
        <v>42795</v>
      </c>
      <c r="D239" s="3" t="str">
        <f>YEAR(Datos_Consumo[[#This Row],[FECHA]])&amp;"-"&amp;MONTH(Datos_Consumo[[#This Row],[FECHA]])</f>
        <v>2017-3</v>
      </c>
    </row>
    <row r="240" spans="1:4" x14ac:dyDescent="0.25">
      <c r="A240" t="s">
        <v>1383</v>
      </c>
      <c r="B240">
        <v>76</v>
      </c>
      <c r="C240" s="55">
        <v>42826</v>
      </c>
      <c r="D240" s="3" t="str">
        <f>YEAR(Datos_Consumo[[#This Row],[FECHA]])&amp;"-"&amp;MONTH(Datos_Consumo[[#This Row],[FECHA]])</f>
        <v>2017-4</v>
      </c>
    </row>
    <row r="241" spans="1:4" x14ac:dyDescent="0.25">
      <c r="A241" t="s">
        <v>1383</v>
      </c>
      <c r="B241">
        <v>13</v>
      </c>
      <c r="C241" s="55">
        <v>42856</v>
      </c>
      <c r="D241" s="3" t="str">
        <f>YEAR(Datos_Consumo[[#This Row],[FECHA]])&amp;"-"&amp;MONTH(Datos_Consumo[[#This Row],[FECHA]])</f>
        <v>2017-5</v>
      </c>
    </row>
    <row r="242" spans="1:4" x14ac:dyDescent="0.25">
      <c r="A242" t="s">
        <v>1384</v>
      </c>
      <c r="B242">
        <v>500</v>
      </c>
      <c r="C242" s="55">
        <v>42705</v>
      </c>
      <c r="D242" s="3" t="str">
        <f>YEAR(Datos_Consumo[[#This Row],[FECHA]])&amp;"-"&amp;MONTH(Datos_Consumo[[#This Row],[FECHA]])</f>
        <v>2016-12</v>
      </c>
    </row>
    <row r="243" spans="1:4" x14ac:dyDescent="0.25">
      <c r="A243" t="s">
        <v>1384</v>
      </c>
      <c r="B243">
        <v>70</v>
      </c>
      <c r="C243" s="55">
        <v>42826</v>
      </c>
      <c r="D243" s="3" t="str">
        <f>YEAR(Datos_Consumo[[#This Row],[FECHA]])&amp;"-"&amp;MONTH(Datos_Consumo[[#This Row],[FECHA]])</f>
        <v>2017-4</v>
      </c>
    </row>
    <row r="244" spans="1:4" x14ac:dyDescent="0.25">
      <c r="A244" t="s">
        <v>1424</v>
      </c>
      <c r="B244">
        <v>6</v>
      </c>
      <c r="C244" s="55">
        <v>42705</v>
      </c>
      <c r="D244" s="3" t="str">
        <f>YEAR(Datos_Consumo[[#This Row],[FECHA]])&amp;"-"&amp;MONTH(Datos_Consumo[[#This Row],[FECHA]])</f>
        <v>2016-12</v>
      </c>
    </row>
    <row r="245" spans="1:4" x14ac:dyDescent="0.25">
      <c r="A245" t="s">
        <v>1424</v>
      </c>
      <c r="B245">
        <v>10</v>
      </c>
      <c r="C245" s="55">
        <v>42795</v>
      </c>
      <c r="D245" s="3" t="str">
        <f>YEAR(Datos_Consumo[[#This Row],[FECHA]])&amp;"-"&amp;MONTH(Datos_Consumo[[#This Row],[FECHA]])</f>
        <v>2017-3</v>
      </c>
    </row>
    <row r="246" spans="1:4" x14ac:dyDescent="0.25">
      <c r="A246" t="s">
        <v>1425</v>
      </c>
      <c r="B246">
        <v>65</v>
      </c>
      <c r="C246" s="55">
        <v>42705</v>
      </c>
      <c r="D246" s="3" t="str">
        <f>YEAR(Datos_Consumo[[#This Row],[FECHA]])&amp;"-"&amp;MONTH(Datos_Consumo[[#This Row],[FECHA]])</f>
        <v>2016-12</v>
      </c>
    </row>
    <row r="247" spans="1:4" x14ac:dyDescent="0.25">
      <c r="A247" t="s">
        <v>1425</v>
      </c>
      <c r="B247">
        <v>10</v>
      </c>
      <c r="C247" s="55">
        <v>42736</v>
      </c>
      <c r="D247" s="3" t="str">
        <f>YEAR(Datos_Consumo[[#This Row],[FECHA]])&amp;"-"&amp;MONTH(Datos_Consumo[[#This Row],[FECHA]])</f>
        <v>2017-1</v>
      </c>
    </row>
    <row r="248" spans="1:4" x14ac:dyDescent="0.25">
      <c r="A248" t="s">
        <v>1425</v>
      </c>
      <c r="B248">
        <v>19</v>
      </c>
      <c r="C248" s="55">
        <v>42767</v>
      </c>
      <c r="D248" s="3" t="str">
        <f>YEAR(Datos_Consumo[[#This Row],[FECHA]])&amp;"-"&amp;MONTH(Datos_Consumo[[#This Row],[FECHA]])</f>
        <v>2017-2</v>
      </c>
    </row>
    <row r="249" spans="1:4" x14ac:dyDescent="0.25">
      <c r="A249" t="s">
        <v>1425</v>
      </c>
      <c r="B249">
        <v>12</v>
      </c>
      <c r="C249" s="55">
        <v>42795</v>
      </c>
      <c r="D249" s="3" t="str">
        <f>YEAR(Datos_Consumo[[#This Row],[FECHA]])&amp;"-"&amp;MONTH(Datos_Consumo[[#This Row],[FECHA]])</f>
        <v>2017-3</v>
      </c>
    </row>
    <row r="250" spans="1:4" x14ac:dyDescent="0.25">
      <c r="A250" t="s">
        <v>1425</v>
      </c>
      <c r="B250">
        <v>76</v>
      </c>
      <c r="C250" s="55">
        <v>42826</v>
      </c>
      <c r="D250" s="3" t="str">
        <f>YEAR(Datos_Consumo[[#This Row],[FECHA]])&amp;"-"&amp;MONTH(Datos_Consumo[[#This Row],[FECHA]])</f>
        <v>2017-4</v>
      </c>
    </row>
    <row r="251" spans="1:4" x14ac:dyDescent="0.25">
      <c r="A251" t="s">
        <v>1425</v>
      </c>
      <c r="B251">
        <v>16</v>
      </c>
      <c r="C251" s="55">
        <v>42856</v>
      </c>
      <c r="D251" s="3" t="str">
        <f>YEAR(Datos_Consumo[[#This Row],[FECHA]])&amp;"-"&amp;MONTH(Datos_Consumo[[#This Row],[FECHA]])</f>
        <v>2017-5</v>
      </c>
    </row>
    <row r="252" spans="1:4" x14ac:dyDescent="0.25">
      <c r="A252" t="s">
        <v>1385</v>
      </c>
      <c r="B252">
        <v>12</v>
      </c>
      <c r="C252" s="55">
        <v>42736</v>
      </c>
      <c r="D252" s="3" t="str">
        <f>YEAR(Datos_Consumo[[#This Row],[FECHA]])&amp;"-"&amp;MONTH(Datos_Consumo[[#This Row],[FECHA]])</f>
        <v>2017-1</v>
      </c>
    </row>
    <row r="253" spans="1:4" x14ac:dyDescent="0.25">
      <c r="A253" t="s">
        <v>1385</v>
      </c>
      <c r="B253">
        <v>12</v>
      </c>
      <c r="C253" s="55">
        <v>42767</v>
      </c>
      <c r="D253" s="3" t="str">
        <f>YEAR(Datos_Consumo[[#This Row],[FECHA]])&amp;"-"&amp;MONTH(Datos_Consumo[[#This Row],[FECHA]])</f>
        <v>2017-2</v>
      </c>
    </row>
    <row r="254" spans="1:4" x14ac:dyDescent="0.25">
      <c r="A254" t="s">
        <v>1385</v>
      </c>
      <c r="B254">
        <v>66</v>
      </c>
      <c r="C254" s="55">
        <v>42795</v>
      </c>
      <c r="D254" s="3" t="str">
        <f>YEAR(Datos_Consumo[[#This Row],[FECHA]])&amp;"-"&amp;MONTH(Datos_Consumo[[#This Row],[FECHA]])</f>
        <v>2017-3</v>
      </c>
    </row>
    <row r="255" spans="1:4" x14ac:dyDescent="0.25">
      <c r="A255" t="s">
        <v>1385</v>
      </c>
      <c r="B255">
        <v>25</v>
      </c>
      <c r="C255" s="55">
        <v>42826</v>
      </c>
      <c r="D255" s="3" t="str">
        <f>YEAR(Datos_Consumo[[#This Row],[FECHA]])&amp;"-"&amp;MONTH(Datos_Consumo[[#This Row],[FECHA]])</f>
        <v>2017-4</v>
      </c>
    </row>
    <row r="256" spans="1:4" x14ac:dyDescent="0.25">
      <c r="A256" t="s">
        <v>1385</v>
      </c>
      <c r="B256">
        <v>68</v>
      </c>
      <c r="C256" s="55">
        <v>42856</v>
      </c>
      <c r="D256" s="3" t="str">
        <f>YEAR(Datos_Consumo[[#This Row],[FECHA]])&amp;"-"&amp;MONTH(Datos_Consumo[[#This Row],[FECHA]])</f>
        <v>2017-5</v>
      </c>
    </row>
    <row r="257" spans="1:4" x14ac:dyDescent="0.25">
      <c r="A257" t="s">
        <v>1731</v>
      </c>
      <c r="B257">
        <v>6</v>
      </c>
      <c r="C257" s="55">
        <v>42767</v>
      </c>
      <c r="D257" s="3" t="str">
        <f>YEAR(Datos_Consumo[[#This Row],[FECHA]])&amp;"-"&amp;MONTH(Datos_Consumo[[#This Row],[FECHA]])</f>
        <v>2017-2</v>
      </c>
    </row>
    <row r="258" spans="1:4" x14ac:dyDescent="0.25">
      <c r="A258" t="s">
        <v>1386</v>
      </c>
      <c r="B258">
        <v>220</v>
      </c>
      <c r="C258" s="55">
        <v>42705</v>
      </c>
      <c r="D258" s="3" t="str">
        <f>YEAR(Datos_Consumo[[#This Row],[FECHA]])&amp;"-"&amp;MONTH(Datos_Consumo[[#This Row],[FECHA]])</f>
        <v>2016-12</v>
      </c>
    </row>
    <row r="259" spans="1:4" x14ac:dyDescent="0.25">
      <c r="A259" t="s">
        <v>1386</v>
      </c>
      <c r="B259">
        <v>2</v>
      </c>
      <c r="C259" s="55">
        <v>42736</v>
      </c>
      <c r="D259" s="3" t="str">
        <f>YEAR(Datos_Consumo[[#This Row],[FECHA]])&amp;"-"&amp;MONTH(Datos_Consumo[[#This Row],[FECHA]])</f>
        <v>2017-1</v>
      </c>
    </row>
    <row r="260" spans="1:4" x14ac:dyDescent="0.25">
      <c r="A260" t="s">
        <v>1386</v>
      </c>
      <c r="B260">
        <v>62</v>
      </c>
      <c r="C260" s="55">
        <v>42795</v>
      </c>
      <c r="D260" s="3" t="str">
        <f>YEAR(Datos_Consumo[[#This Row],[FECHA]])&amp;"-"&amp;MONTH(Datos_Consumo[[#This Row],[FECHA]])</f>
        <v>2017-3</v>
      </c>
    </row>
    <row r="261" spans="1:4" x14ac:dyDescent="0.25">
      <c r="A261" t="s">
        <v>1386</v>
      </c>
      <c r="B261">
        <v>40</v>
      </c>
      <c r="C261" s="55">
        <v>42826</v>
      </c>
      <c r="D261" s="3" t="str">
        <f>YEAR(Datos_Consumo[[#This Row],[FECHA]])&amp;"-"&amp;MONTH(Datos_Consumo[[#This Row],[FECHA]])</f>
        <v>2017-4</v>
      </c>
    </row>
    <row r="262" spans="1:4" x14ac:dyDescent="0.25">
      <c r="A262" t="s">
        <v>1732</v>
      </c>
      <c r="B262">
        <v>1</v>
      </c>
      <c r="C262" s="55">
        <v>42767</v>
      </c>
      <c r="D262" s="3" t="str">
        <f>YEAR(Datos_Consumo[[#This Row],[FECHA]])&amp;"-"&amp;MONTH(Datos_Consumo[[#This Row],[FECHA]])</f>
        <v>2017-2</v>
      </c>
    </row>
    <row r="263" spans="1:4" x14ac:dyDescent="0.25">
      <c r="A263" t="s">
        <v>1593</v>
      </c>
      <c r="B263">
        <v>40</v>
      </c>
      <c r="C263" s="55">
        <v>42736</v>
      </c>
      <c r="D263" s="3" t="str">
        <f>YEAR(Datos_Consumo[[#This Row],[FECHA]])&amp;"-"&amp;MONTH(Datos_Consumo[[#This Row],[FECHA]])</f>
        <v>2017-1</v>
      </c>
    </row>
    <row r="264" spans="1:4" x14ac:dyDescent="0.25">
      <c r="A264" t="s">
        <v>1593</v>
      </c>
      <c r="B264">
        <v>30</v>
      </c>
      <c r="C264" s="55">
        <v>42767</v>
      </c>
      <c r="D264" s="3" t="str">
        <f>YEAR(Datos_Consumo[[#This Row],[FECHA]])&amp;"-"&amp;MONTH(Datos_Consumo[[#This Row],[FECHA]])</f>
        <v>2017-2</v>
      </c>
    </row>
    <row r="265" spans="1:4" x14ac:dyDescent="0.25">
      <c r="A265" t="s">
        <v>1593</v>
      </c>
      <c r="B265">
        <v>14</v>
      </c>
      <c r="C265" s="55">
        <v>42795</v>
      </c>
      <c r="D265" s="3" t="str">
        <f>YEAR(Datos_Consumo[[#This Row],[FECHA]])&amp;"-"&amp;MONTH(Datos_Consumo[[#This Row],[FECHA]])</f>
        <v>2017-3</v>
      </c>
    </row>
    <row r="266" spans="1:4" x14ac:dyDescent="0.25">
      <c r="A266" t="s">
        <v>1594</v>
      </c>
      <c r="B266">
        <v>30</v>
      </c>
      <c r="C266" s="55">
        <v>42705</v>
      </c>
      <c r="D266" s="3" t="str">
        <f>YEAR(Datos_Consumo[[#This Row],[FECHA]])&amp;"-"&amp;MONTH(Datos_Consumo[[#This Row],[FECHA]])</f>
        <v>2016-12</v>
      </c>
    </row>
    <row r="267" spans="1:4" x14ac:dyDescent="0.25">
      <c r="A267" t="s">
        <v>1594</v>
      </c>
      <c r="B267">
        <v>5</v>
      </c>
      <c r="C267" s="55">
        <v>42736</v>
      </c>
      <c r="D267" s="3" t="str">
        <f>YEAR(Datos_Consumo[[#This Row],[FECHA]])&amp;"-"&amp;MONTH(Datos_Consumo[[#This Row],[FECHA]])</f>
        <v>2017-1</v>
      </c>
    </row>
    <row r="268" spans="1:4" x14ac:dyDescent="0.25">
      <c r="A268" t="s">
        <v>1594</v>
      </c>
      <c r="B268">
        <v>25</v>
      </c>
      <c r="C268" s="55">
        <v>42767</v>
      </c>
      <c r="D268" s="3" t="str">
        <f>YEAR(Datos_Consumo[[#This Row],[FECHA]])&amp;"-"&amp;MONTH(Datos_Consumo[[#This Row],[FECHA]])</f>
        <v>2017-2</v>
      </c>
    </row>
    <row r="269" spans="1:4" x14ac:dyDescent="0.25">
      <c r="A269" t="s">
        <v>1594</v>
      </c>
      <c r="B269">
        <v>45</v>
      </c>
      <c r="C269" s="55">
        <v>42826</v>
      </c>
      <c r="D269" s="3" t="str">
        <f>YEAR(Datos_Consumo[[#This Row],[FECHA]])&amp;"-"&amp;MONTH(Datos_Consumo[[#This Row],[FECHA]])</f>
        <v>2017-4</v>
      </c>
    </row>
    <row r="270" spans="1:4" x14ac:dyDescent="0.25">
      <c r="A270" t="s">
        <v>1594</v>
      </c>
      <c r="B270">
        <v>10</v>
      </c>
      <c r="C270" s="55">
        <v>42856</v>
      </c>
      <c r="D270" s="3" t="str">
        <f>YEAR(Datos_Consumo[[#This Row],[FECHA]])&amp;"-"&amp;MONTH(Datos_Consumo[[#This Row],[FECHA]])</f>
        <v>2017-5</v>
      </c>
    </row>
    <row r="271" spans="1:4" x14ac:dyDescent="0.25">
      <c r="A271" t="s">
        <v>1733</v>
      </c>
      <c r="B271">
        <v>5</v>
      </c>
      <c r="C271" s="55">
        <v>42795</v>
      </c>
      <c r="D271" s="3" t="str">
        <f>YEAR(Datos_Consumo[[#This Row],[FECHA]])&amp;"-"&amp;MONTH(Datos_Consumo[[#This Row],[FECHA]])</f>
        <v>2017-3</v>
      </c>
    </row>
    <row r="272" spans="1:4" x14ac:dyDescent="0.25">
      <c r="A272" t="s">
        <v>1595</v>
      </c>
      <c r="B272">
        <v>98</v>
      </c>
      <c r="C272" s="55">
        <v>42705</v>
      </c>
      <c r="D272" s="3" t="str">
        <f>YEAR(Datos_Consumo[[#This Row],[FECHA]])&amp;"-"&amp;MONTH(Datos_Consumo[[#This Row],[FECHA]])</f>
        <v>2016-12</v>
      </c>
    </row>
    <row r="273" spans="1:4" x14ac:dyDescent="0.25">
      <c r="A273" t="s">
        <v>1595</v>
      </c>
      <c r="B273">
        <v>136</v>
      </c>
      <c r="C273" s="55">
        <v>42736</v>
      </c>
      <c r="D273" s="3" t="str">
        <f>YEAR(Datos_Consumo[[#This Row],[FECHA]])&amp;"-"&amp;MONTH(Datos_Consumo[[#This Row],[FECHA]])</f>
        <v>2017-1</v>
      </c>
    </row>
    <row r="274" spans="1:4" x14ac:dyDescent="0.25">
      <c r="A274" t="s">
        <v>1595</v>
      </c>
      <c r="B274">
        <v>88</v>
      </c>
      <c r="C274" s="55">
        <v>42767</v>
      </c>
      <c r="D274" s="3" t="str">
        <f>YEAR(Datos_Consumo[[#This Row],[FECHA]])&amp;"-"&amp;MONTH(Datos_Consumo[[#This Row],[FECHA]])</f>
        <v>2017-2</v>
      </c>
    </row>
    <row r="275" spans="1:4" x14ac:dyDescent="0.25">
      <c r="A275" t="s">
        <v>1595</v>
      </c>
      <c r="B275">
        <v>60</v>
      </c>
      <c r="C275" s="55">
        <v>42795</v>
      </c>
      <c r="D275" s="3" t="str">
        <f>YEAR(Datos_Consumo[[#This Row],[FECHA]])&amp;"-"&amp;MONTH(Datos_Consumo[[#This Row],[FECHA]])</f>
        <v>2017-3</v>
      </c>
    </row>
    <row r="276" spans="1:4" x14ac:dyDescent="0.25">
      <c r="A276" t="s">
        <v>1595</v>
      </c>
      <c r="B276">
        <v>170</v>
      </c>
      <c r="C276" s="55">
        <v>42826</v>
      </c>
      <c r="D276" s="3" t="str">
        <f>YEAR(Datos_Consumo[[#This Row],[FECHA]])&amp;"-"&amp;MONTH(Datos_Consumo[[#This Row],[FECHA]])</f>
        <v>2017-4</v>
      </c>
    </row>
    <row r="277" spans="1:4" x14ac:dyDescent="0.25">
      <c r="A277" t="s">
        <v>1595</v>
      </c>
      <c r="B277">
        <v>52</v>
      </c>
      <c r="C277" s="55">
        <v>42856</v>
      </c>
      <c r="D277" s="3" t="str">
        <f>YEAR(Datos_Consumo[[#This Row],[FECHA]])&amp;"-"&amp;MONTH(Datos_Consumo[[#This Row],[FECHA]])</f>
        <v>2017-5</v>
      </c>
    </row>
    <row r="278" spans="1:4" x14ac:dyDescent="0.25">
      <c r="A278" t="s">
        <v>1596</v>
      </c>
      <c r="B278">
        <v>5</v>
      </c>
      <c r="C278" s="55">
        <v>42736</v>
      </c>
      <c r="D278" s="3" t="str">
        <f>YEAR(Datos_Consumo[[#This Row],[FECHA]])&amp;"-"&amp;MONTH(Datos_Consumo[[#This Row],[FECHA]])</f>
        <v>2017-1</v>
      </c>
    </row>
    <row r="279" spans="1:4" x14ac:dyDescent="0.25">
      <c r="A279" t="s">
        <v>1596</v>
      </c>
      <c r="B279">
        <v>3</v>
      </c>
      <c r="C279" s="55">
        <v>42767</v>
      </c>
      <c r="D279" s="3" t="str">
        <f>YEAR(Datos_Consumo[[#This Row],[FECHA]])&amp;"-"&amp;MONTH(Datos_Consumo[[#This Row],[FECHA]])</f>
        <v>2017-2</v>
      </c>
    </row>
    <row r="280" spans="1:4" x14ac:dyDescent="0.25">
      <c r="A280" t="s">
        <v>1596</v>
      </c>
      <c r="B280">
        <v>10</v>
      </c>
      <c r="C280" s="55">
        <v>42795</v>
      </c>
      <c r="D280" s="3" t="str">
        <f>YEAR(Datos_Consumo[[#This Row],[FECHA]])&amp;"-"&amp;MONTH(Datos_Consumo[[#This Row],[FECHA]])</f>
        <v>2017-3</v>
      </c>
    </row>
    <row r="281" spans="1:4" x14ac:dyDescent="0.25">
      <c r="A281" t="s">
        <v>1596</v>
      </c>
      <c r="B281">
        <v>10</v>
      </c>
      <c r="C281" s="55">
        <v>42826</v>
      </c>
      <c r="D281" s="3" t="str">
        <f>YEAR(Datos_Consumo[[#This Row],[FECHA]])&amp;"-"&amp;MONTH(Datos_Consumo[[#This Row],[FECHA]])</f>
        <v>2017-4</v>
      </c>
    </row>
    <row r="282" spans="1:4" x14ac:dyDescent="0.25">
      <c r="A282" t="s">
        <v>1596</v>
      </c>
      <c r="B282">
        <v>1</v>
      </c>
      <c r="C282" s="55">
        <v>42856</v>
      </c>
      <c r="D282" s="3" t="str">
        <f>YEAR(Datos_Consumo[[#This Row],[FECHA]])&amp;"-"&amp;MONTH(Datos_Consumo[[#This Row],[FECHA]])</f>
        <v>2017-5</v>
      </c>
    </row>
    <row r="283" spans="1:4" x14ac:dyDescent="0.25">
      <c r="A283" t="s">
        <v>1734</v>
      </c>
      <c r="B283">
        <v>6</v>
      </c>
      <c r="C283" s="55">
        <v>42856</v>
      </c>
      <c r="D283" s="3" t="str">
        <f>YEAR(Datos_Consumo[[#This Row],[FECHA]])&amp;"-"&amp;MONTH(Datos_Consumo[[#This Row],[FECHA]])</f>
        <v>2017-5</v>
      </c>
    </row>
    <row r="284" spans="1:4" x14ac:dyDescent="0.25">
      <c r="A284" t="s">
        <v>1426</v>
      </c>
      <c r="B284">
        <v>4</v>
      </c>
      <c r="C284" s="55">
        <v>42736</v>
      </c>
      <c r="D284" s="3" t="str">
        <f>YEAR(Datos_Consumo[[#This Row],[FECHA]])&amp;"-"&amp;MONTH(Datos_Consumo[[#This Row],[FECHA]])</f>
        <v>2017-1</v>
      </c>
    </row>
    <row r="285" spans="1:4" x14ac:dyDescent="0.25">
      <c r="A285" t="s">
        <v>1426</v>
      </c>
      <c r="B285">
        <v>10</v>
      </c>
      <c r="C285" s="55">
        <v>42767</v>
      </c>
      <c r="D285" s="3" t="str">
        <f>YEAR(Datos_Consumo[[#This Row],[FECHA]])&amp;"-"&amp;MONTH(Datos_Consumo[[#This Row],[FECHA]])</f>
        <v>2017-2</v>
      </c>
    </row>
    <row r="286" spans="1:4" x14ac:dyDescent="0.25">
      <c r="A286" t="s">
        <v>1426</v>
      </c>
      <c r="B286">
        <v>86</v>
      </c>
      <c r="C286" s="55">
        <v>42826</v>
      </c>
      <c r="D286" s="3" t="str">
        <f>YEAR(Datos_Consumo[[#This Row],[FECHA]])&amp;"-"&amp;MONTH(Datos_Consumo[[#This Row],[FECHA]])</f>
        <v>2017-4</v>
      </c>
    </row>
    <row r="287" spans="1:4" x14ac:dyDescent="0.25">
      <c r="A287" t="s">
        <v>1426</v>
      </c>
      <c r="B287">
        <v>14</v>
      </c>
      <c r="C287" s="55">
        <v>42856</v>
      </c>
      <c r="D287" s="3" t="str">
        <f>YEAR(Datos_Consumo[[#This Row],[FECHA]])&amp;"-"&amp;MONTH(Datos_Consumo[[#This Row],[FECHA]])</f>
        <v>2017-5</v>
      </c>
    </row>
    <row r="288" spans="1:4" x14ac:dyDescent="0.25">
      <c r="A288" t="s">
        <v>1427</v>
      </c>
      <c r="B288">
        <v>600</v>
      </c>
      <c r="C288" s="55">
        <v>42705</v>
      </c>
      <c r="D288" s="3" t="str">
        <f>YEAR(Datos_Consumo[[#This Row],[FECHA]])&amp;"-"&amp;MONTH(Datos_Consumo[[#This Row],[FECHA]])</f>
        <v>2016-12</v>
      </c>
    </row>
    <row r="289" spans="1:4" x14ac:dyDescent="0.25">
      <c r="A289" t="s">
        <v>1427</v>
      </c>
      <c r="B289">
        <v>604</v>
      </c>
      <c r="C289" s="55">
        <v>42736</v>
      </c>
      <c r="D289" s="3" t="str">
        <f>YEAR(Datos_Consumo[[#This Row],[FECHA]])&amp;"-"&amp;MONTH(Datos_Consumo[[#This Row],[FECHA]])</f>
        <v>2017-1</v>
      </c>
    </row>
    <row r="290" spans="1:4" x14ac:dyDescent="0.25">
      <c r="A290" t="s">
        <v>1427</v>
      </c>
      <c r="B290">
        <v>608</v>
      </c>
      <c r="C290" s="55">
        <v>42767</v>
      </c>
      <c r="D290" s="3" t="str">
        <f>YEAR(Datos_Consumo[[#This Row],[FECHA]])&amp;"-"&amp;MONTH(Datos_Consumo[[#This Row],[FECHA]])</f>
        <v>2017-2</v>
      </c>
    </row>
    <row r="291" spans="1:4" x14ac:dyDescent="0.25">
      <c r="A291" t="s">
        <v>1427</v>
      </c>
      <c r="B291">
        <v>600</v>
      </c>
      <c r="C291" s="55">
        <v>42795</v>
      </c>
      <c r="D291" s="3" t="str">
        <f>YEAR(Datos_Consumo[[#This Row],[FECHA]])&amp;"-"&amp;MONTH(Datos_Consumo[[#This Row],[FECHA]])</f>
        <v>2017-3</v>
      </c>
    </row>
    <row r="292" spans="1:4" x14ac:dyDescent="0.25">
      <c r="A292" t="s">
        <v>1427</v>
      </c>
      <c r="B292">
        <v>74</v>
      </c>
      <c r="C292" s="55">
        <v>42826</v>
      </c>
      <c r="D292" s="3" t="str">
        <f>YEAR(Datos_Consumo[[#This Row],[FECHA]])&amp;"-"&amp;MONTH(Datos_Consumo[[#This Row],[FECHA]])</f>
        <v>2017-4</v>
      </c>
    </row>
    <row r="293" spans="1:4" x14ac:dyDescent="0.25">
      <c r="A293" t="s">
        <v>1427</v>
      </c>
      <c r="B293">
        <v>150</v>
      </c>
      <c r="C293" s="55">
        <v>42856</v>
      </c>
      <c r="D293" s="3" t="str">
        <f>YEAR(Datos_Consumo[[#This Row],[FECHA]])&amp;"-"&amp;MONTH(Datos_Consumo[[#This Row],[FECHA]])</f>
        <v>2017-5</v>
      </c>
    </row>
    <row r="294" spans="1:4" x14ac:dyDescent="0.25">
      <c r="A294" t="s">
        <v>1735</v>
      </c>
      <c r="B294">
        <v>6</v>
      </c>
      <c r="C294" s="55">
        <v>42826</v>
      </c>
      <c r="D294" s="3" t="str">
        <f>YEAR(Datos_Consumo[[#This Row],[FECHA]])&amp;"-"&amp;MONTH(Datos_Consumo[[#This Row],[FECHA]])</f>
        <v>2017-4</v>
      </c>
    </row>
    <row r="295" spans="1:4" x14ac:dyDescent="0.25">
      <c r="A295" t="s">
        <v>1736</v>
      </c>
      <c r="B295">
        <v>1</v>
      </c>
      <c r="C295" s="55">
        <v>42856</v>
      </c>
      <c r="D295" s="3" t="str">
        <f>YEAR(Datos_Consumo[[#This Row],[FECHA]])&amp;"-"&amp;MONTH(Datos_Consumo[[#This Row],[FECHA]])</f>
        <v>2017-5</v>
      </c>
    </row>
    <row r="296" spans="1:4" x14ac:dyDescent="0.25">
      <c r="A296" t="s">
        <v>1737</v>
      </c>
      <c r="B296">
        <v>5</v>
      </c>
      <c r="C296" s="55">
        <v>42767</v>
      </c>
      <c r="D296" s="3" t="str">
        <f>YEAR(Datos_Consumo[[#This Row],[FECHA]])&amp;"-"&amp;MONTH(Datos_Consumo[[#This Row],[FECHA]])</f>
        <v>2017-2</v>
      </c>
    </row>
    <row r="297" spans="1:4" x14ac:dyDescent="0.25">
      <c r="A297" t="s">
        <v>1737</v>
      </c>
      <c r="B297">
        <v>10</v>
      </c>
      <c r="C297" s="55">
        <v>42826</v>
      </c>
      <c r="D297" s="3" t="str">
        <f>YEAR(Datos_Consumo[[#This Row],[FECHA]])&amp;"-"&amp;MONTH(Datos_Consumo[[#This Row],[FECHA]])</f>
        <v>2017-4</v>
      </c>
    </row>
    <row r="298" spans="1:4" x14ac:dyDescent="0.25">
      <c r="A298" t="s">
        <v>1428</v>
      </c>
      <c r="B298">
        <v>405</v>
      </c>
      <c r="C298" s="55">
        <v>42736</v>
      </c>
      <c r="D298" s="3" t="str">
        <f>YEAR(Datos_Consumo[[#This Row],[FECHA]])&amp;"-"&amp;MONTH(Datos_Consumo[[#This Row],[FECHA]])</f>
        <v>2017-1</v>
      </c>
    </row>
    <row r="299" spans="1:4" x14ac:dyDescent="0.25">
      <c r="A299" t="s">
        <v>1428</v>
      </c>
      <c r="B299">
        <v>400</v>
      </c>
      <c r="C299" s="55">
        <v>42736</v>
      </c>
      <c r="D299" s="3" t="str">
        <f>YEAR(Datos_Consumo[[#This Row],[FECHA]])&amp;"-"&amp;MONTH(Datos_Consumo[[#This Row],[FECHA]])</f>
        <v>2017-1</v>
      </c>
    </row>
    <row r="300" spans="1:4" x14ac:dyDescent="0.25">
      <c r="A300" t="s">
        <v>1428</v>
      </c>
      <c r="B300">
        <v>120</v>
      </c>
      <c r="C300" s="55">
        <v>42767</v>
      </c>
      <c r="D300" s="3" t="str">
        <f>YEAR(Datos_Consumo[[#This Row],[FECHA]])&amp;"-"&amp;MONTH(Datos_Consumo[[#This Row],[FECHA]])</f>
        <v>2017-2</v>
      </c>
    </row>
    <row r="301" spans="1:4" x14ac:dyDescent="0.25">
      <c r="A301" t="s">
        <v>1428</v>
      </c>
      <c r="B301">
        <v>200</v>
      </c>
      <c r="C301" s="55">
        <v>42795</v>
      </c>
      <c r="D301" s="3" t="str">
        <f>YEAR(Datos_Consumo[[#This Row],[FECHA]])&amp;"-"&amp;MONTH(Datos_Consumo[[#This Row],[FECHA]])</f>
        <v>2017-3</v>
      </c>
    </row>
    <row r="302" spans="1:4" x14ac:dyDescent="0.25">
      <c r="A302" t="s">
        <v>1428</v>
      </c>
      <c r="B302">
        <v>125</v>
      </c>
      <c r="C302" s="55">
        <v>42826</v>
      </c>
      <c r="D302" s="3" t="str">
        <f>YEAR(Datos_Consumo[[#This Row],[FECHA]])&amp;"-"&amp;MONTH(Datos_Consumo[[#This Row],[FECHA]])</f>
        <v>2017-4</v>
      </c>
    </row>
    <row r="303" spans="1:4" x14ac:dyDescent="0.25">
      <c r="A303" t="s">
        <v>1428</v>
      </c>
      <c r="B303">
        <v>5727</v>
      </c>
      <c r="C303" s="55">
        <v>42856</v>
      </c>
      <c r="D303" s="3" t="str">
        <f>YEAR(Datos_Consumo[[#This Row],[FECHA]])&amp;"-"&amp;MONTH(Datos_Consumo[[#This Row],[FECHA]])</f>
        <v>2017-5</v>
      </c>
    </row>
    <row r="304" spans="1:4" x14ac:dyDescent="0.25">
      <c r="A304" t="s">
        <v>1738</v>
      </c>
      <c r="B304">
        <v>1968</v>
      </c>
      <c r="C304" s="55">
        <v>42856</v>
      </c>
      <c r="D304" s="3" t="str">
        <f>YEAR(Datos_Consumo[[#This Row],[FECHA]])&amp;"-"&amp;MONTH(Datos_Consumo[[#This Row],[FECHA]])</f>
        <v>2017-5</v>
      </c>
    </row>
    <row r="305" spans="1:4" x14ac:dyDescent="0.25">
      <c r="A305" t="s">
        <v>1387</v>
      </c>
      <c r="B305">
        <v>5020</v>
      </c>
      <c r="C305" s="55">
        <v>42705</v>
      </c>
      <c r="D305" s="3" t="str">
        <f>YEAR(Datos_Consumo[[#This Row],[FECHA]])&amp;"-"&amp;MONTH(Datos_Consumo[[#This Row],[FECHA]])</f>
        <v>2016-12</v>
      </c>
    </row>
    <row r="306" spans="1:4" x14ac:dyDescent="0.25">
      <c r="A306" t="s">
        <v>1387</v>
      </c>
      <c r="B306">
        <v>5290</v>
      </c>
      <c r="C306" s="55">
        <v>42736</v>
      </c>
      <c r="D306" s="3" t="str">
        <f>YEAR(Datos_Consumo[[#This Row],[FECHA]])&amp;"-"&amp;MONTH(Datos_Consumo[[#This Row],[FECHA]])</f>
        <v>2017-1</v>
      </c>
    </row>
    <row r="307" spans="1:4" x14ac:dyDescent="0.25">
      <c r="A307" t="s">
        <v>1387</v>
      </c>
      <c r="B307">
        <v>6591</v>
      </c>
      <c r="C307" s="55">
        <v>42767</v>
      </c>
      <c r="D307" s="3" t="str">
        <f>YEAR(Datos_Consumo[[#This Row],[FECHA]])&amp;"-"&amp;MONTH(Datos_Consumo[[#This Row],[FECHA]])</f>
        <v>2017-2</v>
      </c>
    </row>
    <row r="308" spans="1:4" x14ac:dyDescent="0.25">
      <c r="A308" t="s">
        <v>1387</v>
      </c>
      <c r="B308">
        <v>7800</v>
      </c>
      <c r="C308" s="55">
        <v>42795</v>
      </c>
      <c r="D308" s="3" t="str">
        <f>YEAR(Datos_Consumo[[#This Row],[FECHA]])&amp;"-"&amp;MONTH(Datos_Consumo[[#This Row],[FECHA]])</f>
        <v>2017-3</v>
      </c>
    </row>
    <row r="309" spans="1:4" x14ac:dyDescent="0.25">
      <c r="A309" t="s">
        <v>1387</v>
      </c>
      <c r="B309">
        <v>18277</v>
      </c>
      <c r="C309" s="55">
        <v>42826</v>
      </c>
      <c r="D309" s="3" t="str">
        <f>YEAR(Datos_Consumo[[#This Row],[FECHA]])&amp;"-"&amp;MONTH(Datos_Consumo[[#This Row],[FECHA]])</f>
        <v>2017-4</v>
      </c>
    </row>
    <row r="310" spans="1:4" x14ac:dyDescent="0.25">
      <c r="A310" t="s">
        <v>1387</v>
      </c>
      <c r="B310">
        <v>11315</v>
      </c>
      <c r="C310" s="55">
        <v>42856</v>
      </c>
      <c r="D310" s="3" t="str">
        <f>YEAR(Datos_Consumo[[#This Row],[FECHA]])&amp;"-"&amp;MONTH(Datos_Consumo[[#This Row],[FECHA]])</f>
        <v>2017-5</v>
      </c>
    </row>
    <row r="311" spans="1:4" x14ac:dyDescent="0.25">
      <c r="A311" t="s">
        <v>1597</v>
      </c>
      <c r="B311">
        <v>10</v>
      </c>
      <c r="C311" s="55">
        <v>42736</v>
      </c>
      <c r="D311" s="3" t="str">
        <f>YEAR(Datos_Consumo[[#This Row],[FECHA]])&amp;"-"&amp;MONTH(Datos_Consumo[[#This Row],[FECHA]])</f>
        <v>2017-1</v>
      </c>
    </row>
    <row r="312" spans="1:4" x14ac:dyDescent="0.25">
      <c r="A312" t="s">
        <v>1597</v>
      </c>
      <c r="B312">
        <v>3</v>
      </c>
      <c r="C312" s="55">
        <v>42795</v>
      </c>
      <c r="D312" s="3" t="str">
        <f>YEAR(Datos_Consumo[[#This Row],[FECHA]])&amp;"-"&amp;MONTH(Datos_Consumo[[#This Row],[FECHA]])</f>
        <v>2017-3</v>
      </c>
    </row>
    <row r="313" spans="1:4" x14ac:dyDescent="0.25">
      <c r="A313" t="s">
        <v>1739</v>
      </c>
      <c r="B313">
        <v>5</v>
      </c>
      <c r="C313" s="55">
        <v>42767</v>
      </c>
      <c r="D313" s="3" t="str">
        <f>YEAR(Datos_Consumo[[#This Row],[FECHA]])&amp;"-"&amp;MONTH(Datos_Consumo[[#This Row],[FECHA]])</f>
        <v>2017-2</v>
      </c>
    </row>
    <row r="314" spans="1:4" x14ac:dyDescent="0.25">
      <c r="A314" t="s">
        <v>1598</v>
      </c>
      <c r="B314">
        <v>8</v>
      </c>
      <c r="C314" s="55">
        <v>42705</v>
      </c>
      <c r="D314" s="3" t="str">
        <f>YEAR(Datos_Consumo[[#This Row],[FECHA]])&amp;"-"&amp;MONTH(Datos_Consumo[[#This Row],[FECHA]])</f>
        <v>2016-12</v>
      </c>
    </row>
    <row r="315" spans="1:4" x14ac:dyDescent="0.25">
      <c r="A315" t="s">
        <v>1598</v>
      </c>
      <c r="B315">
        <v>12</v>
      </c>
      <c r="C315" s="55">
        <v>42795</v>
      </c>
      <c r="D315" s="3" t="str">
        <f>YEAR(Datos_Consumo[[#This Row],[FECHA]])&amp;"-"&amp;MONTH(Datos_Consumo[[#This Row],[FECHA]])</f>
        <v>2017-3</v>
      </c>
    </row>
    <row r="316" spans="1:4" x14ac:dyDescent="0.25">
      <c r="A316" t="s">
        <v>1598</v>
      </c>
      <c r="B316">
        <v>27</v>
      </c>
      <c r="C316" s="55">
        <v>42826</v>
      </c>
      <c r="D316" s="3" t="str">
        <f>YEAR(Datos_Consumo[[#This Row],[FECHA]])&amp;"-"&amp;MONTH(Datos_Consumo[[#This Row],[FECHA]])</f>
        <v>2017-4</v>
      </c>
    </row>
    <row r="317" spans="1:4" x14ac:dyDescent="0.25">
      <c r="A317" t="s">
        <v>1388</v>
      </c>
      <c r="B317">
        <v>40</v>
      </c>
      <c r="C317" s="55">
        <v>42705</v>
      </c>
      <c r="D317" s="3" t="str">
        <f>YEAR(Datos_Consumo[[#This Row],[FECHA]])&amp;"-"&amp;MONTH(Datos_Consumo[[#This Row],[FECHA]])</f>
        <v>2016-12</v>
      </c>
    </row>
    <row r="318" spans="1:4" x14ac:dyDescent="0.25">
      <c r="A318" t="s">
        <v>1388</v>
      </c>
      <c r="B318">
        <v>10</v>
      </c>
      <c r="C318" s="55">
        <v>42736</v>
      </c>
      <c r="D318" s="3" t="str">
        <f>YEAR(Datos_Consumo[[#This Row],[FECHA]])&amp;"-"&amp;MONTH(Datos_Consumo[[#This Row],[FECHA]])</f>
        <v>2017-1</v>
      </c>
    </row>
    <row r="319" spans="1:4" x14ac:dyDescent="0.25">
      <c r="A319" t="s">
        <v>1388</v>
      </c>
      <c r="B319">
        <v>13</v>
      </c>
      <c r="C319" s="55">
        <v>42795</v>
      </c>
      <c r="D319" s="3" t="str">
        <f>YEAR(Datos_Consumo[[#This Row],[FECHA]])&amp;"-"&amp;MONTH(Datos_Consumo[[#This Row],[FECHA]])</f>
        <v>2017-3</v>
      </c>
    </row>
    <row r="320" spans="1:4" x14ac:dyDescent="0.25">
      <c r="A320" t="s">
        <v>1429</v>
      </c>
      <c r="B320">
        <v>10</v>
      </c>
      <c r="C320" s="55">
        <v>42705</v>
      </c>
      <c r="D320" s="3" t="str">
        <f>YEAR(Datos_Consumo[[#This Row],[FECHA]])&amp;"-"&amp;MONTH(Datos_Consumo[[#This Row],[FECHA]])</f>
        <v>2016-12</v>
      </c>
    </row>
    <row r="321" spans="1:4" x14ac:dyDescent="0.25">
      <c r="A321" t="s">
        <v>1429</v>
      </c>
      <c r="B321">
        <v>30</v>
      </c>
      <c r="C321" s="55">
        <v>42736</v>
      </c>
      <c r="D321" s="3" t="str">
        <f>YEAR(Datos_Consumo[[#This Row],[FECHA]])&amp;"-"&amp;MONTH(Datos_Consumo[[#This Row],[FECHA]])</f>
        <v>2017-1</v>
      </c>
    </row>
    <row r="322" spans="1:4" x14ac:dyDescent="0.25">
      <c r="A322" t="s">
        <v>1429</v>
      </c>
      <c r="B322">
        <v>2</v>
      </c>
      <c r="C322" s="55">
        <v>42767</v>
      </c>
      <c r="D322" s="3" t="str">
        <f>YEAR(Datos_Consumo[[#This Row],[FECHA]])&amp;"-"&amp;MONTH(Datos_Consumo[[#This Row],[FECHA]])</f>
        <v>2017-2</v>
      </c>
    </row>
    <row r="323" spans="1:4" x14ac:dyDescent="0.25">
      <c r="A323" t="s">
        <v>1429</v>
      </c>
      <c r="B323">
        <v>41</v>
      </c>
      <c r="C323" s="55">
        <v>42795</v>
      </c>
      <c r="D323" s="3" t="str">
        <f>YEAR(Datos_Consumo[[#This Row],[FECHA]])&amp;"-"&amp;MONTH(Datos_Consumo[[#This Row],[FECHA]])</f>
        <v>2017-3</v>
      </c>
    </row>
    <row r="324" spans="1:4" x14ac:dyDescent="0.25">
      <c r="A324" t="s">
        <v>1429</v>
      </c>
      <c r="B324">
        <v>30</v>
      </c>
      <c r="C324" s="55">
        <v>42826</v>
      </c>
      <c r="D324" s="3" t="str">
        <f>YEAR(Datos_Consumo[[#This Row],[FECHA]])&amp;"-"&amp;MONTH(Datos_Consumo[[#This Row],[FECHA]])</f>
        <v>2017-4</v>
      </c>
    </row>
    <row r="325" spans="1:4" x14ac:dyDescent="0.25">
      <c r="A325" t="s">
        <v>1430</v>
      </c>
      <c r="B325">
        <v>20</v>
      </c>
      <c r="C325" s="55">
        <v>42705</v>
      </c>
      <c r="D325" s="3" t="str">
        <f>YEAR(Datos_Consumo[[#This Row],[FECHA]])&amp;"-"&amp;MONTH(Datos_Consumo[[#This Row],[FECHA]])</f>
        <v>2016-12</v>
      </c>
    </row>
    <row r="326" spans="1:4" x14ac:dyDescent="0.25">
      <c r="A326" t="s">
        <v>1430</v>
      </c>
      <c r="B326">
        <v>24</v>
      </c>
      <c r="C326" s="55">
        <v>42736</v>
      </c>
      <c r="D326" s="3" t="str">
        <f>YEAR(Datos_Consumo[[#This Row],[FECHA]])&amp;"-"&amp;MONTH(Datos_Consumo[[#This Row],[FECHA]])</f>
        <v>2017-1</v>
      </c>
    </row>
    <row r="327" spans="1:4" x14ac:dyDescent="0.25">
      <c r="A327" t="s">
        <v>1430</v>
      </c>
      <c r="B327">
        <v>40</v>
      </c>
      <c r="C327" s="55">
        <v>42795</v>
      </c>
      <c r="D327" s="3" t="str">
        <f>YEAR(Datos_Consumo[[#This Row],[FECHA]])&amp;"-"&amp;MONTH(Datos_Consumo[[#This Row],[FECHA]])</f>
        <v>2017-3</v>
      </c>
    </row>
    <row r="328" spans="1:4" x14ac:dyDescent="0.25">
      <c r="A328" t="s">
        <v>1430</v>
      </c>
      <c r="B328">
        <v>18</v>
      </c>
      <c r="C328" s="55">
        <v>42826</v>
      </c>
      <c r="D328" s="3" t="str">
        <f>YEAR(Datos_Consumo[[#This Row],[FECHA]])&amp;"-"&amp;MONTH(Datos_Consumo[[#This Row],[FECHA]])</f>
        <v>2017-4</v>
      </c>
    </row>
    <row r="329" spans="1:4" x14ac:dyDescent="0.25">
      <c r="A329" t="s">
        <v>1430</v>
      </c>
      <c r="B329">
        <v>20</v>
      </c>
      <c r="C329" s="55">
        <v>42856</v>
      </c>
      <c r="D329" s="3" t="str">
        <f>YEAR(Datos_Consumo[[#This Row],[FECHA]])&amp;"-"&amp;MONTH(Datos_Consumo[[#This Row],[FECHA]])</f>
        <v>2017-5</v>
      </c>
    </row>
    <row r="330" spans="1:4" x14ac:dyDescent="0.25">
      <c r="A330" t="s">
        <v>1431</v>
      </c>
      <c r="B330">
        <v>10</v>
      </c>
      <c r="C330" s="55">
        <v>42705</v>
      </c>
      <c r="D330" s="3" t="str">
        <f>YEAR(Datos_Consumo[[#This Row],[FECHA]])&amp;"-"&amp;MONTH(Datos_Consumo[[#This Row],[FECHA]])</f>
        <v>2016-12</v>
      </c>
    </row>
    <row r="331" spans="1:4" x14ac:dyDescent="0.25">
      <c r="A331" t="s">
        <v>1431</v>
      </c>
      <c r="B331">
        <v>23</v>
      </c>
      <c r="C331" s="55">
        <v>42736</v>
      </c>
      <c r="D331" s="3" t="str">
        <f>YEAR(Datos_Consumo[[#This Row],[FECHA]])&amp;"-"&amp;MONTH(Datos_Consumo[[#This Row],[FECHA]])</f>
        <v>2017-1</v>
      </c>
    </row>
    <row r="332" spans="1:4" x14ac:dyDescent="0.25">
      <c r="A332" t="s">
        <v>1431</v>
      </c>
      <c r="B332">
        <v>40</v>
      </c>
      <c r="C332" s="55">
        <v>42795</v>
      </c>
      <c r="D332" s="3" t="str">
        <f>YEAR(Datos_Consumo[[#This Row],[FECHA]])&amp;"-"&amp;MONTH(Datos_Consumo[[#This Row],[FECHA]])</f>
        <v>2017-3</v>
      </c>
    </row>
    <row r="333" spans="1:4" x14ac:dyDescent="0.25">
      <c r="A333" t="s">
        <v>1432</v>
      </c>
      <c r="B333">
        <v>4</v>
      </c>
      <c r="C333" s="55">
        <v>42767</v>
      </c>
      <c r="D333" s="3" t="str">
        <f>YEAR(Datos_Consumo[[#This Row],[FECHA]])&amp;"-"&amp;MONTH(Datos_Consumo[[#This Row],[FECHA]])</f>
        <v>2017-2</v>
      </c>
    </row>
    <row r="334" spans="1:4" x14ac:dyDescent="0.25">
      <c r="A334" t="s">
        <v>1432</v>
      </c>
      <c r="B334">
        <v>7</v>
      </c>
      <c r="C334" s="55">
        <v>42795</v>
      </c>
      <c r="D334" s="3" t="str">
        <f>YEAR(Datos_Consumo[[#This Row],[FECHA]])&amp;"-"&amp;MONTH(Datos_Consumo[[#This Row],[FECHA]])</f>
        <v>2017-3</v>
      </c>
    </row>
    <row r="335" spans="1:4" x14ac:dyDescent="0.25">
      <c r="A335" t="s">
        <v>1432</v>
      </c>
      <c r="B335">
        <v>10</v>
      </c>
      <c r="C335" s="55">
        <v>42856</v>
      </c>
      <c r="D335" s="3" t="str">
        <f>YEAR(Datos_Consumo[[#This Row],[FECHA]])&amp;"-"&amp;MONTH(Datos_Consumo[[#This Row],[FECHA]])</f>
        <v>2017-5</v>
      </c>
    </row>
    <row r="336" spans="1:4" x14ac:dyDescent="0.25">
      <c r="A336" t="s">
        <v>1433</v>
      </c>
      <c r="B336">
        <v>1</v>
      </c>
      <c r="C336" s="55">
        <v>42705</v>
      </c>
      <c r="D336" s="3" t="str">
        <f>YEAR(Datos_Consumo[[#This Row],[FECHA]])&amp;"-"&amp;MONTH(Datos_Consumo[[#This Row],[FECHA]])</f>
        <v>2016-12</v>
      </c>
    </row>
    <row r="337" spans="1:4" x14ac:dyDescent="0.25">
      <c r="A337" t="s">
        <v>1433</v>
      </c>
      <c r="B337">
        <v>34</v>
      </c>
      <c r="C337" s="55">
        <v>42736</v>
      </c>
      <c r="D337" s="3" t="str">
        <f>YEAR(Datos_Consumo[[#This Row],[FECHA]])&amp;"-"&amp;MONTH(Datos_Consumo[[#This Row],[FECHA]])</f>
        <v>2017-1</v>
      </c>
    </row>
    <row r="338" spans="1:4" x14ac:dyDescent="0.25">
      <c r="A338" t="s">
        <v>1433</v>
      </c>
      <c r="B338">
        <v>36</v>
      </c>
      <c r="C338" s="55">
        <v>42795</v>
      </c>
      <c r="D338" s="3" t="str">
        <f>YEAR(Datos_Consumo[[#This Row],[FECHA]])&amp;"-"&amp;MONTH(Datos_Consumo[[#This Row],[FECHA]])</f>
        <v>2017-3</v>
      </c>
    </row>
    <row r="339" spans="1:4" x14ac:dyDescent="0.25">
      <c r="A339" t="s">
        <v>1433</v>
      </c>
      <c r="B339">
        <v>12</v>
      </c>
      <c r="C339" s="55">
        <v>42826</v>
      </c>
      <c r="D339" s="3" t="str">
        <f>YEAR(Datos_Consumo[[#This Row],[FECHA]])&amp;"-"&amp;MONTH(Datos_Consumo[[#This Row],[FECHA]])</f>
        <v>2017-4</v>
      </c>
    </row>
    <row r="340" spans="1:4" x14ac:dyDescent="0.25">
      <c r="A340" t="s">
        <v>1389</v>
      </c>
      <c r="B340">
        <v>51</v>
      </c>
      <c r="C340" s="55">
        <v>42705</v>
      </c>
      <c r="D340" s="3" t="str">
        <f>YEAR(Datos_Consumo[[#This Row],[FECHA]])&amp;"-"&amp;MONTH(Datos_Consumo[[#This Row],[FECHA]])</f>
        <v>2016-12</v>
      </c>
    </row>
    <row r="341" spans="1:4" x14ac:dyDescent="0.25">
      <c r="A341" t="s">
        <v>1389</v>
      </c>
      <c r="B341">
        <v>2</v>
      </c>
      <c r="C341" s="55">
        <v>42736</v>
      </c>
      <c r="D341" s="3" t="str">
        <f>YEAR(Datos_Consumo[[#This Row],[FECHA]])&amp;"-"&amp;MONTH(Datos_Consumo[[#This Row],[FECHA]])</f>
        <v>2017-1</v>
      </c>
    </row>
    <row r="342" spans="1:4" x14ac:dyDescent="0.25">
      <c r="A342" t="s">
        <v>1389</v>
      </c>
      <c r="B342">
        <v>2</v>
      </c>
      <c r="C342" s="55">
        <v>42767</v>
      </c>
      <c r="D342" s="3" t="str">
        <f>YEAR(Datos_Consumo[[#This Row],[FECHA]])&amp;"-"&amp;MONTH(Datos_Consumo[[#This Row],[FECHA]])</f>
        <v>2017-2</v>
      </c>
    </row>
    <row r="343" spans="1:4" x14ac:dyDescent="0.25">
      <c r="A343" t="s">
        <v>1389</v>
      </c>
      <c r="B343">
        <v>3</v>
      </c>
      <c r="C343" s="55">
        <v>42795</v>
      </c>
      <c r="D343" s="3" t="str">
        <f>YEAR(Datos_Consumo[[#This Row],[FECHA]])&amp;"-"&amp;MONTH(Datos_Consumo[[#This Row],[FECHA]])</f>
        <v>2017-3</v>
      </c>
    </row>
    <row r="344" spans="1:4" x14ac:dyDescent="0.25">
      <c r="A344" t="s">
        <v>1389</v>
      </c>
      <c r="B344">
        <v>40</v>
      </c>
      <c r="C344" s="55">
        <v>42856</v>
      </c>
      <c r="D344" s="3" t="str">
        <f>YEAR(Datos_Consumo[[#This Row],[FECHA]])&amp;"-"&amp;MONTH(Datos_Consumo[[#This Row],[FECHA]])</f>
        <v>2017-5</v>
      </c>
    </row>
    <row r="345" spans="1:4" x14ac:dyDescent="0.25">
      <c r="A345" t="s">
        <v>1434</v>
      </c>
      <c r="B345">
        <v>1</v>
      </c>
      <c r="C345" s="55">
        <v>42736</v>
      </c>
      <c r="D345" s="3" t="str">
        <f>YEAR(Datos_Consumo[[#This Row],[FECHA]])&amp;"-"&amp;MONTH(Datos_Consumo[[#This Row],[FECHA]])</f>
        <v>2017-1</v>
      </c>
    </row>
    <row r="346" spans="1:4" x14ac:dyDescent="0.25">
      <c r="A346" t="s">
        <v>1434</v>
      </c>
      <c r="B346">
        <v>30</v>
      </c>
      <c r="C346" s="55">
        <v>42795</v>
      </c>
      <c r="D346" s="3" t="str">
        <f>YEAR(Datos_Consumo[[#This Row],[FECHA]])&amp;"-"&amp;MONTH(Datos_Consumo[[#This Row],[FECHA]])</f>
        <v>2017-3</v>
      </c>
    </row>
    <row r="347" spans="1:4" x14ac:dyDescent="0.25">
      <c r="A347" t="s">
        <v>1434</v>
      </c>
      <c r="B347">
        <v>11</v>
      </c>
      <c r="C347" s="55">
        <v>42826</v>
      </c>
      <c r="D347" s="3" t="str">
        <f>YEAR(Datos_Consumo[[#This Row],[FECHA]])&amp;"-"&amp;MONTH(Datos_Consumo[[#This Row],[FECHA]])</f>
        <v>2017-4</v>
      </c>
    </row>
    <row r="348" spans="1:4" x14ac:dyDescent="0.25">
      <c r="A348" t="s">
        <v>1435</v>
      </c>
      <c r="B348">
        <v>20</v>
      </c>
      <c r="C348" s="55">
        <v>42705</v>
      </c>
      <c r="D348" s="3" t="str">
        <f>YEAR(Datos_Consumo[[#This Row],[FECHA]])&amp;"-"&amp;MONTH(Datos_Consumo[[#This Row],[FECHA]])</f>
        <v>2016-12</v>
      </c>
    </row>
    <row r="349" spans="1:4" x14ac:dyDescent="0.25">
      <c r="A349" t="s">
        <v>1436</v>
      </c>
      <c r="B349">
        <v>50</v>
      </c>
      <c r="C349" s="55">
        <v>42705</v>
      </c>
      <c r="D349" s="3" t="str">
        <f>YEAR(Datos_Consumo[[#This Row],[FECHA]])&amp;"-"&amp;MONTH(Datos_Consumo[[#This Row],[FECHA]])</f>
        <v>2016-12</v>
      </c>
    </row>
    <row r="350" spans="1:4" x14ac:dyDescent="0.25">
      <c r="A350" t="s">
        <v>1437</v>
      </c>
      <c r="B350">
        <v>10</v>
      </c>
      <c r="C350" s="55">
        <v>42705</v>
      </c>
      <c r="D350" s="3" t="str">
        <f>YEAR(Datos_Consumo[[#This Row],[FECHA]])&amp;"-"&amp;MONTH(Datos_Consumo[[#This Row],[FECHA]])</f>
        <v>2016-12</v>
      </c>
    </row>
    <row r="351" spans="1:4" x14ac:dyDescent="0.25">
      <c r="A351" t="s">
        <v>1437</v>
      </c>
      <c r="B351">
        <v>5</v>
      </c>
      <c r="C351" s="55">
        <v>42736</v>
      </c>
      <c r="D351" s="3" t="str">
        <f>YEAR(Datos_Consumo[[#This Row],[FECHA]])&amp;"-"&amp;MONTH(Datos_Consumo[[#This Row],[FECHA]])</f>
        <v>2017-1</v>
      </c>
    </row>
    <row r="352" spans="1:4" x14ac:dyDescent="0.25">
      <c r="A352" t="s">
        <v>1438</v>
      </c>
      <c r="B352">
        <v>10</v>
      </c>
      <c r="C352" s="55">
        <v>42705</v>
      </c>
      <c r="D352" s="3" t="str">
        <f>YEAR(Datos_Consumo[[#This Row],[FECHA]])&amp;"-"&amp;MONTH(Datos_Consumo[[#This Row],[FECHA]])</f>
        <v>2016-12</v>
      </c>
    </row>
    <row r="353" spans="1:4" x14ac:dyDescent="0.25">
      <c r="A353" t="s">
        <v>1439</v>
      </c>
      <c r="B353">
        <v>20</v>
      </c>
      <c r="C353" s="55">
        <v>42705</v>
      </c>
      <c r="D353" s="3" t="str">
        <f>YEAR(Datos_Consumo[[#This Row],[FECHA]])&amp;"-"&amp;MONTH(Datos_Consumo[[#This Row],[FECHA]])</f>
        <v>2016-12</v>
      </c>
    </row>
    <row r="354" spans="1:4" x14ac:dyDescent="0.25">
      <c r="A354" t="s">
        <v>1440</v>
      </c>
      <c r="B354">
        <v>40</v>
      </c>
      <c r="C354" s="55">
        <v>42705</v>
      </c>
      <c r="D354" s="3" t="str">
        <f>YEAR(Datos_Consumo[[#This Row],[FECHA]])&amp;"-"&amp;MONTH(Datos_Consumo[[#This Row],[FECHA]])</f>
        <v>2016-12</v>
      </c>
    </row>
    <row r="355" spans="1:4" x14ac:dyDescent="0.25">
      <c r="A355" t="s">
        <v>1740</v>
      </c>
      <c r="B355">
        <v>10</v>
      </c>
      <c r="C355" s="55">
        <v>42826</v>
      </c>
      <c r="D355" s="3" t="str">
        <f>YEAR(Datos_Consumo[[#This Row],[FECHA]])&amp;"-"&amp;MONTH(Datos_Consumo[[#This Row],[FECHA]])</f>
        <v>2017-4</v>
      </c>
    </row>
    <row r="356" spans="1:4" x14ac:dyDescent="0.25">
      <c r="A356" t="s">
        <v>1441</v>
      </c>
      <c r="B356">
        <v>30</v>
      </c>
      <c r="C356" s="55">
        <v>42705</v>
      </c>
      <c r="D356" s="3" t="str">
        <f>YEAR(Datos_Consumo[[#This Row],[FECHA]])&amp;"-"&amp;MONTH(Datos_Consumo[[#This Row],[FECHA]])</f>
        <v>2016-12</v>
      </c>
    </row>
    <row r="357" spans="1:4" x14ac:dyDescent="0.25">
      <c r="A357" t="s">
        <v>1441</v>
      </c>
      <c r="B357">
        <v>4</v>
      </c>
      <c r="C357" s="55">
        <v>42736</v>
      </c>
      <c r="D357" s="3" t="str">
        <f>YEAR(Datos_Consumo[[#This Row],[FECHA]])&amp;"-"&amp;MONTH(Datos_Consumo[[#This Row],[FECHA]])</f>
        <v>2017-1</v>
      </c>
    </row>
    <row r="358" spans="1:4" x14ac:dyDescent="0.25">
      <c r="A358" t="s">
        <v>1441</v>
      </c>
      <c r="B358">
        <v>10</v>
      </c>
      <c r="C358" s="55">
        <v>42856</v>
      </c>
      <c r="D358" s="3" t="str">
        <f>YEAR(Datos_Consumo[[#This Row],[FECHA]])&amp;"-"&amp;MONTH(Datos_Consumo[[#This Row],[FECHA]])</f>
        <v>2017-5</v>
      </c>
    </row>
    <row r="359" spans="1:4" x14ac:dyDescent="0.25">
      <c r="A359" t="s">
        <v>1442</v>
      </c>
      <c r="B359">
        <v>20</v>
      </c>
      <c r="C359" s="55">
        <v>42705</v>
      </c>
      <c r="D359" s="3" t="str">
        <f>YEAR(Datos_Consumo[[#This Row],[FECHA]])&amp;"-"&amp;MONTH(Datos_Consumo[[#This Row],[FECHA]])</f>
        <v>2016-12</v>
      </c>
    </row>
    <row r="360" spans="1:4" x14ac:dyDescent="0.25">
      <c r="A360" t="s">
        <v>1442</v>
      </c>
      <c r="B360">
        <v>26</v>
      </c>
      <c r="C360" s="55">
        <v>42736</v>
      </c>
      <c r="D360" s="3" t="str">
        <f>YEAR(Datos_Consumo[[#This Row],[FECHA]])&amp;"-"&amp;MONTH(Datos_Consumo[[#This Row],[FECHA]])</f>
        <v>2017-1</v>
      </c>
    </row>
    <row r="361" spans="1:4" x14ac:dyDescent="0.25">
      <c r="A361" t="s">
        <v>1443</v>
      </c>
      <c r="B361">
        <v>10</v>
      </c>
      <c r="C361" s="55">
        <v>42705</v>
      </c>
      <c r="D361" s="3" t="str">
        <f>YEAR(Datos_Consumo[[#This Row],[FECHA]])&amp;"-"&amp;MONTH(Datos_Consumo[[#This Row],[FECHA]])</f>
        <v>2016-12</v>
      </c>
    </row>
    <row r="362" spans="1:4" x14ac:dyDescent="0.25">
      <c r="A362" t="s">
        <v>1443</v>
      </c>
      <c r="B362">
        <v>7</v>
      </c>
      <c r="C362" s="55">
        <v>42795</v>
      </c>
      <c r="D362" s="3" t="str">
        <f>YEAR(Datos_Consumo[[#This Row],[FECHA]])&amp;"-"&amp;MONTH(Datos_Consumo[[#This Row],[FECHA]])</f>
        <v>2017-3</v>
      </c>
    </row>
    <row r="363" spans="1:4" x14ac:dyDescent="0.25">
      <c r="A363" t="s">
        <v>1444</v>
      </c>
      <c r="B363">
        <v>1</v>
      </c>
      <c r="C363" s="55">
        <v>42736</v>
      </c>
      <c r="D363" s="3" t="str">
        <f>YEAR(Datos_Consumo[[#This Row],[FECHA]])&amp;"-"&amp;MONTH(Datos_Consumo[[#This Row],[FECHA]])</f>
        <v>2017-1</v>
      </c>
    </row>
    <row r="364" spans="1:4" x14ac:dyDescent="0.25">
      <c r="A364" t="s">
        <v>1444</v>
      </c>
      <c r="B364">
        <v>1</v>
      </c>
      <c r="C364" s="55">
        <v>42826</v>
      </c>
      <c r="D364" s="3" t="str">
        <f>YEAR(Datos_Consumo[[#This Row],[FECHA]])&amp;"-"&amp;MONTH(Datos_Consumo[[#This Row],[FECHA]])</f>
        <v>2017-4</v>
      </c>
    </row>
    <row r="365" spans="1:4" x14ac:dyDescent="0.25">
      <c r="A365" t="s">
        <v>1741</v>
      </c>
      <c r="B365">
        <v>3</v>
      </c>
      <c r="C365" s="55">
        <v>42767</v>
      </c>
      <c r="D365" s="3" t="str">
        <f>YEAR(Datos_Consumo[[#This Row],[FECHA]])&amp;"-"&amp;MONTH(Datos_Consumo[[#This Row],[FECHA]])</f>
        <v>2017-2</v>
      </c>
    </row>
    <row r="366" spans="1:4" x14ac:dyDescent="0.25">
      <c r="A366" t="s">
        <v>1390</v>
      </c>
      <c r="B366">
        <v>20</v>
      </c>
      <c r="C366" s="55">
        <v>42736</v>
      </c>
      <c r="D366" s="3" t="str">
        <f>YEAR(Datos_Consumo[[#This Row],[FECHA]])&amp;"-"&amp;MONTH(Datos_Consumo[[#This Row],[FECHA]])</f>
        <v>2017-1</v>
      </c>
    </row>
    <row r="367" spans="1:4" x14ac:dyDescent="0.25">
      <c r="A367" t="s">
        <v>1390</v>
      </c>
      <c r="B367">
        <v>13</v>
      </c>
      <c r="C367" s="55">
        <v>42767</v>
      </c>
      <c r="D367" s="3" t="str">
        <f>YEAR(Datos_Consumo[[#This Row],[FECHA]])&amp;"-"&amp;MONTH(Datos_Consumo[[#This Row],[FECHA]])</f>
        <v>2017-2</v>
      </c>
    </row>
    <row r="368" spans="1:4" x14ac:dyDescent="0.25">
      <c r="A368" t="s">
        <v>1390</v>
      </c>
      <c r="B368">
        <v>10</v>
      </c>
      <c r="C368" s="55">
        <v>42795</v>
      </c>
      <c r="D368" s="3" t="str">
        <f>YEAR(Datos_Consumo[[#This Row],[FECHA]])&amp;"-"&amp;MONTH(Datos_Consumo[[#This Row],[FECHA]])</f>
        <v>2017-3</v>
      </c>
    </row>
    <row r="369" spans="1:4" x14ac:dyDescent="0.25">
      <c r="A369" t="s">
        <v>1390</v>
      </c>
      <c r="B369">
        <v>10</v>
      </c>
      <c r="C369" s="55">
        <v>42856</v>
      </c>
      <c r="D369" s="3" t="str">
        <f>YEAR(Datos_Consumo[[#This Row],[FECHA]])&amp;"-"&amp;MONTH(Datos_Consumo[[#This Row],[FECHA]])</f>
        <v>2017-5</v>
      </c>
    </row>
    <row r="370" spans="1:4" x14ac:dyDescent="0.25">
      <c r="A370" t="s">
        <v>1599</v>
      </c>
      <c r="B370">
        <v>50</v>
      </c>
      <c r="C370" s="55">
        <v>42736</v>
      </c>
      <c r="D370" s="3" t="str">
        <f>YEAR(Datos_Consumo[[#This Row],[FECHA]])&amp;"-"&amp;MONTH(Datos_Consumo[[#This Row],[FECHA]])</f>
        <v>2017-1</v>
      </c>
    </row>
    <row r="371" spans="1:4" x14ac:dyDescent="0.25">
      <c r="A371" t="s">
        <v>1600</v>
      </c>
      <c r="B371">
        <v>50</v>
      </c>
      <c r="C371" s="55">
        <v>42736</v>
      </c>
      <c r="D371" s="3" t="str">
        <f>YEAR(Datos_Consumo[[#This Row],[FECHA]])&amp;"-"&amp;MONTH(Datos_Consumo[[#This Row],[FECHA]])</f>
        <v>2017-1</v>
      </c>
    </row>
    <row r="372" spans="1:4" x14ac:dyDescent="0.25">
      <c r="A372" t="s">
        <v>1600</v>
      </c>
      <c r="B372">
        <v>18</v>
      </c>
      <c r="C372" s="55">
        <v>42767</v>
      </c>
      <c r="D372" s="3" t="str">
        <f>YEAR(Datos_Consumo[[#This Row],[FECHA]])&amp;"-"&amp;MONTH(Datos_Consumo[[#This Row],[FECHA]])</f>
        <v>2017-2</v>
      </c>
    </row>
    <row r="373" spans="1:4" x14ac:dyDescent="0.25">
      <c r="A373" t="s">
        <v>1600</v>
      </c>
      <c r="B373">
        <v>3</v>
      </c>
      <c r="C373" s="55">
        <v>42795</v>
      </c>
      <c r="D373" s="3" t="str">
        <f>YEAR(Datos_Consumo[[#This Row],[FECHA]])&amp;"-"&amp;MONTH(Datos_Consumo[[#This Row],[FECHA]])</f>
        <v>2017-3</v>
      </c>
    </row>
    <row r="374" spans="1:4" x14ac:dyDescent="0.25">
      <c r="A374" t="s">
        <v>1600</v>
      </c>
      <c r="B374">
        <v>10</v>
      </c>
      <c r="C374" s="55">
        <v>42826</v>
      </c>
      <c r="D374" s="3" t="str">
        <f>YEAR(Datos_Consumo[[#This Row],[FECHA]])&amp;"-"&amp;MONTH(Datos_Consumo[[#This Row],[FECHA]])</f>
        <v>2017-4</v>
      </c>
    </row>
    <row r="375" spans="1:4" x14ac:dyDescent="0.25">
      <c r="A375" t="s">
        <v>1600</v>
      </c>
      <c r="B375">
        <v>15</v>
      </c>
      <c r="C375" s="55">
        <v>42856</v>
      </c>
      <c r="D375" s="3" t="str">
        <f>YEAR(Datos_Consumo[[#This Row],[FECHA]])&amp;"-"&amp;MONTH(Datos_Consumo[[#This Row],[FECHA]])</f>
        <v>2017-5</v>
      </c>
    </row>
    <row r="376" spans="1:4" x14ac:dyDescent="0.25">
      <c r="A376" t="s">
        <v>1742</v>
      </c>
      <c r="B376">
        <v>5</v>
      </c>
      <c r="C376" s="55">
        <v>42767</v>
      </c>
      <c r="D376" s="3" t="str">
        <f>YEAR(Datos_Consumo[[#This Row],[FECHA]])&amp;"-"&amp;MONTH(Datos_Consumo[[#This Row],[FECHA]])</f>
        <v>2017-2</v>
      </c>
    </row>
    <row r="377" spans="1:4" x14ac:dyDescent="0.25">
      <c r="A377" t="s">
        <v>1742</v>
      </c>
      <c r="B377">
        <v>5</v>
      </c>
      <c r="C377" s="55">
        <v>42856</v>
      </c>
      <c r="D377" s="3" t="str">
        <f>YEAR(Datos_Consumo[[#This Row],[FECHA]])&amp;"-"&amp;MONTH(Datos_Consumo[[#This Row],[FECHA]])</f>
        <v>2017-5</v>
      </c>
    </row>
    <row r="378" spans="1:4" x14ac:dyDescent="0.25">
      <c r="A378" t="s">
        <v>1445</v>
      </c>
      <c r="B378">
        <v>12</v>
      </c>
      <c r="C378" s="55">
        <v>42705</v>
      </c>
      <c r="D378" s="3" t="str">
        <f>YEAR(Datos_Consumo[[#This Row],[FECHA]])&amp;"-"&amp;MONTH(Datos_Consumo[[#This Row],[FECHA]])</f>
        <v>2016-12</v>
      </c>
    </row>
    <row r="379" spans="1:4" x14ac:dyDescent="0.25">
      <c r="A379" t="s">
        <v>1445</v>
      </c>
      <c r="B379">
        <v>38</v>
      </c>
      <c r="C379" s="55">
        <v>42736</v>
      </c>
      <c r="D379" s="3" t="str">
        <f>YEAR(Datos_Consumo[[#This Row],[FECHA]])&amp;"-"&amp;MONTH(Datos_Consumo[[#This Row],[FECHA]])</f>
        <v>2017-1</v>
      </c>
    </row>
    <row r="380" spans="1:4" x14ac:dyDescent="0.25">
      <c r="A380" t="s">
        <v>1445</v>
      </c>
      <c r="B380">
        <v>32</v>
      </c>
      <c r="C380" s="55">
        <v>42767</v>
      </c>
      <c r="D380" s="3" t="str">
        <f>YEAR(Datos_Consumo[[#This Row],[FECHA]])&amp;"-"&amp;MONTH(Datos_Consumo[[#This Row],[FECHA]])</f>
        <v>2017-2</v>
      </c>
    </row>
    <row r="381" spans="1:4" x14ac:dyDescent="0.25">
      <c r="A381" t="s">
        <v>1445</v>
      </c>
      <c r="B381">
        <v>30</v>
      </c>
      <c r="C381" s="55">
        <v>42795</v>
      </c>
      <c r="D381" s="3" t="str">
        <f>YEAR(Datos_Consumo[[#This Row],[FECHA]])&amp;"-"&amp;MONTH(Datos_Consumo[[#This Row],[FECHA]])</f>
        <v>2017-3</v>
      </c>
    </row>
    <row r="382" spans="1:4" x14ac:dyDescent="0.25">
      <c r="A382" t="s">
        <v>1445</v>
      </c>
      <c r="B382">
        <v>14</v>
      </c>
      <c r="C382" s="55">
        <v>42826</v>
      </c>
      <c r="D382" s="3" t="str">
        <f>YEAR(Datos_Consumo[[#This Row],[FECHA]])&amp;"-"&amp;MONTH(Datos_Consumo[[#This Row],[FECHA]])</f>
        <v>2017-4</v>
      </c>
    </row>
    <row r="383" spans="1:4" x14ac:dyDescent="0.25">
      <c r="A383" t="s">
        <v>1445</v>
      </c>
      <c r="B383">
        <v>13</v>
      </c>
      <c r="C383" s="55">
        <v>42856</v>
      </c>
      <c r="D383" s="3" t="str">
        <f>YEAR(Datos_Consumo[[#This Row],[FECHA]])&amp;"-"&amp;MONTH(Datos_Consumo[[#This Row],[FECHA]])</f>
        <v>2017-5</v>
      </c>
    </row>
    <row r="384" spans="1:4" x14ac:dyDescent="0.25">
      <c r="A384" t="s">
        <v>1391</v>
      </c>
      <c r="B384">
        <v>65</v>
      </c>
      <c r="C384" s="55">
        <v>42705</v>
      </c>
      <c r="D384" s="3" t="str">
        <f>YEAR(Datos_Consumo[[#This Row],[FECHA]])&amp;"-"&amp;MONTH(Datos_Consumo[[#This Row],[FECHA]])</f>
        <v>2016-12</v>
      </c>
    </row>
    <row r="385" spans="1:4" x14ac:dyDescent="0.25">
      <c r="A385" t="s">
        <v>1391</v>
      </c>
      <c r="B385">
        <v>139</v>
      </c>
      <c r="C385" s="55">
        <v>42736</v>
      </c>
      <c r="D385" s="3" t="str">
        <f>YEAR(Datos_Consumo[[#This Row],[FECHA]])&amp;"-"&amp;MONTH(Datos_Consumo[[#This Row],[FECHA]])</f>
        <v>2017-1</v>
      </c>
    </row>
    <row r="386" spans="1:4" x14ac:dyDescent="0.25">
      <c r="A386" t="s">
        <v>1391</v>
      </c>
      <c r="B386">
        <v>82</v>
      </c>
      <c r="C386" s="55">
        <v>42767</v>
      </c>
      <c r="D386" s="3" t="str">
        <f>YEAR(Datos_Consumo[[#This Row],[FECHA]])&amp;"-"&amp;MONTH(Datos_Consumo[[#This Row],[FECHA]])</f>
        <v>2017-2</v>
      </c>
    </row>
    <row r="387" spans="1:4" x14ac:dyDescent="0.25">
      <c r="A387" t="s">
        <v>1391</v>
      </c>
      <c r="B387">
        <v>102</v>
      </c>
      <c r="C387" s="55">
        <v>42795</v>
      </c>
      <c r="D387" s="3" t="str">
        <f>YEAR(Datos_Consumo[[#This Row],[FECHA]])&amp;"-"&amp;MONTH(Datos_Consumo[[#This Row],[FECHA]])</f>
        <v>2017-3</v>
      </c>
    </row>
    <row r="388" spans="1:4" x14ac:dyDescent="0.25">
      <c r="A388" t="s">
        <v>1391</v>
      </c>
      <c r="B388">
        <v>131</v>
      </c>
      <c r="C388" s="55">
        <v>42826</v>
      </c>
      <c r="D388" s="3" t="str">
        <f>YEAR(Datos_Consumo[[#This Row],[FECHA]])&amp;"-"&amp;MONTH(Datos_Consumo[[#This Row],[FECHA]])</f>
        <v>2017-4</v>
      </c>
    </row>
    <row r="389" spans="1:4" x14ac:dyDescent="0.25">
      <c r="A389" t="s">
        <v>1391</v>
      </c>
      <c r="B389">
        <v>79</v>
      </c>
      <c r="C389" s="55">
        <v>42856</v>
      </c>
      <c r="D389" s="3" t="str">
        <f>YEAR(Datos_Consumo[[#This Row],[FECHA]])&amp;"-"&amp;MONTH(Datos_Consumo[[#This Row],[FECHA]])</f>
        <v>2017-5</v>
      </c>
    </row>
    <row r="390" spans="1:4" x14ac:dyDescent="0.25">
      <c r="A390" t="s">
        <v>1392</v>
      </c>
      <c r="B390">
        <v>25</v>
      </c>
      <c r="C390" s="55">
        <v>42705</v>
      </c>
      <c r="D390" s="3" t="str">
        <f>YEAR(Datos_Consumo[[#This Row],[FECHA]])&amp;"-"&amp;MONTH(Datos_Consumo[[#This Row],[FECHA]])</f>
        <v>2016-12</v>
      </c>
    </row>
    <row r="391" spans="1:4" x14ac:dyDescent="0.25">
      <c r="A391" t="s">
        <v>1392</v>
      </c>
      <c r="B391">
        <v>115</v>
      </c>
      <c r="C391" s="55">
        <v>42736</v>
      </c>
      <c r="D391" s="3" t="str">
        <f>YEAR(Datos_Consumo[[#This Row],[FECHA]])&amp;"-"&amp;MONTH(Datos_Consumo[[#This Row],[FECHA]])</f>
        <v>2017-1</v>
      </c>
    </row>
    <row r="392" spans="1:4" x14ac:dyDescent="0.25">
      <c r="A392" t="s">
        <v>1392</v>
      </c>
      <c r="B392">
        <v>27</v>
      </c>
      <c r="C392" s="55">
        <v>42767</v>
      </c>
      <c r="D392" s="3" t="str">
        <f>YEAR(Datos_Consumo[[#This Row],[FECHA]])&amp;"-"&amp;MONTH(Datos_Consumo[[#This Row],[FECHA]])</f>
        <v>2017-2</v>
      </c>
    </row>
    <row r="393" spans="1:4" x14ac:dyDescent="0.25">
      <c r="A393" t="s">
        <v>1392</v>
      </c>
      <c r="B393">
        <v>104</v>
      </c>
      <c r="C393" s="55">
        <v>42795</v>
      </c>
      <c r="D393" s="3" t="str">
        <f>YEAR(Datos_Consumo[[#This Row],[FECHA]])&amp;"-"&amp;MONTH(Datos_Consumo[[#This Row],[FECHA]])</f>
        <v>2017-3</v>
      </c>
    </row>
    <row r="394" spans="1:4" x14ac:dyDescent="0.25">
      <c r="A394" t="s">
        <v>1392</v>
      </c>
      <c r="B394">
        <v>60</v>
      </c>
      <c r="C394" s="55">
        <v>42826</v>
      </c>
      <c r="D394" s="3" t="str">
        <f>YEAR(Datos_Consumo[[#This Row],[FECHA]])&amp;"-"&amp;MONTH(Datos_Consumo[[#This Row],[FECHA]])</f>
        <v>2017-4</v>
      </c>
    </row>
    <row r="395" spans="1:4" x14ac:dyDescent="0.25">
      <c r="A395" t="s">
        <v>1392</v>
      </c>
      <c r="B395">
        <v>50</v>
      </c>
      <c r="C395" s="55">
        <v>42856</v>
      </c>
      <c r="D395" s="3" t="str">
        <f>YEAR(Datos_Consumo[[#This Row],[FECHA]])&amp;"-"&amp;MONTH(Datos_Consumo[[#This Row],[FECHA]])</f>
        <v>2017-5</v>
      </c>
    </row>
    <row r="396" spans="1:4" x14ac:dyDescent="0.25">
      <c r="A396" t="s">
        <v>1743</v>
      </c>
      <c r="B396">
        <v>2</v>
      </c>
      <c r="C396" s="55">
        <v>42826</v>
      </c>
      <c r="D396" s="3" t="str">
        <f>YEAR(Datos_Consumo[[#This Row],[FECHA]])&amp;"-"&amp;MONTH(Datos_Consumo[[#This Row],[FECHA]])</f>
        <v>2017-4</v>
      </c>
    </row>
    <row r="397" spans="1:4" x14ac:dyDescent="0.25">
      <c r="A397" t="s">
        <v>1446</v>
      </c>
      <c r="B397">
        <v>5</v>
      </c>
      <c r="C397" s="55">
        <v>42736</v>
      </c>
      <c r="D397" s="3" t="str">
        <f>YEAR(Datos_Consumo[[#This Row],[FECHA]])&amp;"-"&amp;MONTH(Datos_Consumo[[#This Row],[FECHA]])</f>
        <v>2017-1</v>
      </c>
    </row>
    <row r="398" spans="1:4" x14ac:dyDescent="0.25">
      <c r="A398" t="s">
        <v>1446</v>
      </c>
      <c r="B398">
        <v>5</v>
      </c>
      <c r="C398" s="55">
        <v>42795</v>
      </c>
      <c r="D398" s="3" t="str">
        <f>YEAR(Datos_Consumo[[#This Row],[FECHA]])&amp;"-"&amp;MONTH(Datos_Consumo[[#This Row],[FECHA]])</f>
        <v>2017-3</v>
      </c>
    </row>
    <row r="399" spans="1:4" x14ac:dyDescent="0.25">
      <c r="A399" t="s">
        <v>1446</v>
      </c>
      <c r="B399">
        <v>2</v>
      </c>
      <c r="C399" s="55">
        <v>42856</v>
      </c>
      <c r="D399" s="3" t="str">
        <f>YEAR(Datos_Consumo[[#This Row],[FECHA]])&amp;"-"&amp;MONTH(Datos_Consumo[[#This Row],[FECHA]])</f>
        <v>2017-5</v>
      </c>
    </row>
    <row r="400" spans="1:4" x14ac:dyDescent="0.25">
      <c r="A400" t="s">
        <v>1447</v>
      </c>
      <c r="B400">
        <v>2</v>
      </c>
      <c r="C400" s="55">
        <v>42736</v>
      </c>
      <c r="D400" s="3" t="str">
        <f>YEAR(Datos_Consumo[[#This Row],[FECHA]])&amp;"-"&amp;MONTH(Datos_Consumo[[#This Row],[FECHA]])</f>
        <v>2017-1</v>
      </c>
    </row>
    <row r="401" spans="1:4" x14ac:dyDescent="0.25">
      <c r="A401" t="s">
        <v>1447</v>
      </c>
      <c r="B401">
        <v>2</v>
      </c>
      <c r="C401" s="55">
        <v>42826</v>
      </c>
      <c r="D401" s="3" t="str">
        <f>YEAR(Datos_Consumo[[#This Row],[FECHA]])&amp;"-"&amp;MONTH(Datos_Consumo[[#This Row],[FECHA]])</f>
        <v>2017-4</v>
      </c>
    </row>
    <row r="402" spans="1:4" x14ac:dyDescent="0.25">
      <c r="A402" t="s">
        <v>1448</v>
      </c>
      <c r="B402">
        <v>9</v>
      </c>
      <c r="C402" s="55">
        <v>42736</v>
      </c>
      <c r="D402" s="3" t="str">
        <f>YEAR(Datos_Consumo[[#This Row],[FECHA]])&amp;"-"&amp;MONTH(Datos_Consumo[[#This Row],[FECHA]])</f>
        <v>2017-1</v>
      </c>
    </row>
    <row r="403" spans="1:4" x14ac:dyDescent="0.25">
      <c r="A403" t="s">
        <v>1448</v>
      </c>
      <c r="B403">
        <v>10</v>
      </c>
      <c r="C403" s="55">
        <v>42767</v>
      </c>
      <c r="D403" s="3" t="str">
        <f>YEAR(Datos_Consumo[[#This Row],[FECHA]])&amp;"-"&amp;MONTH(Datos_Consumo[[#This Row],[FECHA]])</f>
        <v>2017-2</v>
      </c>
    </row>
    <row r="404" spans="1:4" x14ac:dyDescent="0.25">
      <c r="A404" t="s">
        <v>1448</v>
      </c>
      <c r="B404">
        <v>7</v>
      </c>
      <c r="C404" s="55">
        <v>42795</v>
      </c>
      <c r="D404" s="3" t="str">
        <f>YEAR(Datos_Consumo[[#This Row],[FECHA]])&amp;"-"&amp;MONTH(Datos_Consumo[[#This Row],[FECHA]])</f>
        <v>2017-3</v>
      </c>
    </row>
    <row r="405" spans="1:4" x14ac:dyDescent="0.25">
      <c r="A405" t="s">
        <v>1448</v>
      </c>
      <c r="B405">
        <v>3</v>
      </c>
      <c r="C405" s="55">
        <v>42856</v>
      </c>
      <c r="D405" s="3" t="str">
        <f>YEAR(Datos_Consumo[[#This Row],[FECHA]])&amp;"-"&amp;MONTH(Datos_Consumo[[#This Row],[FECHA]])</f>
        <v>2017-5</v>
      </c>
    </row>
    <row r="406" spans="1:4" x14ac:dyDescent="0.25">
      <c r="A406" t="s">
        <v>1744</v>
      </c>
      <c r="B406">
        <v>1</v>
      </c>
      <c r="C406" s="55">
        <v>42767</v>
      </c>
      <c r="D406" s="3" t="str">
        <f>YEAR(Datos_Consumo[[#This Row],[FECHA]])&amp;"-"&amp;MONTH(Datos_Consumo[[#This Row],[FECHA]])</f>
        <v>2017-2</v>
      </c>
    </row>
    <row r="407" spans="1:4" x14ac:dyDescent="0.25">
      <c r="A407" t="s">
        <v>1601</v>
      </c>
      <c r="B407">
        <v>1</v>
      </c>
      <c r="C407" s="55">
        <v>42736</v>
      </c>
      <c r="D407" s="3" t="str">
        <f>YEAR(Datos_Consumo[[#This Row],[FECHA]])&amp;"-"&amp;MONTH(Datos_Consumo[[#This Row],[FECHA]])</f>
        <v>2017-1</v>
      </c>
    </row>
    <row r="408" spans="1:4" x14ac:dyDescent="0.25">
      <c r="A408" t="s">
        <v>1745</v>
      </c>
      <c r="B408">
        <v>6</v>
      </c>
      <c r="C408" s="55">
        <v>42795</v>
      </c>
      <c r="D408" s="3" t="str">
        <f>YEAR(Datos_Consumo[[#This Row],[FECHA]])&amp;"-"&amp;MONTH(Datos_Consumo[[#This Row],[FECHA]])</f>
        <v>2017-3</v>
      </c>
    </row>
    <row r="409" spans="1:4" x14ac:dyDescent="0.25">
      <c r="A409" t="s">
        <v>1746</v>
      </c>
      <c r="B409">
        <v>1</v>
      </c>
      <c r="C409" s="55">
        <v>42856</v>
      </c>
      <c r="D409" s="3" t="str">
        <f>YEAR(Datos_Consumo[[#This Row],[FECHA]])&amp;"-"&amp;MONTH(Datos_Consumo[[#This Row],[FECHA]])</f>
        <v>2017-5</v>
      </c>
    </row>
    <row r="410" spans="1:4" x14ac:dyDescent="0.25">
      <c r="A410" t="s">
        <v>1747</v>
      </c>
      <c r="B410">
        <v>1</v>
      </c>
      <c r="C410" s="55">
        <v>42767</v>
      </c>
      <c r="D410" s="3" t="str">
        <f>YEAR(Datos_Consumo[[#This Row],[FECHA]])&amp;"-"&amp;MONTH(Datos_Consumo[[#This Row],[FECHA]])</f>
        <v>2017-2</v>
      </c>
    </row>
    <row r="411" spans="1:4" x14ac:dyDescent="0.25">
      <c r="A411" t="s">
        <v>1748</v>
      </c>
      <c r="B411">
        <v>4</v>
      </c>
      <c r="C411" s="55">
        <v>42767</v>
      </c>
      <c r="D411" s="3" t="str">
        <f>YEAR(Datos_Consumo[[#This Row],[FECHA]])&amp;"-"&amp;MONTH(Datos_Consumo[[#This Row],[FECHA]])</f>
        <v>2017-2</v>
      </c>
    </row>
    <row r="412" spans="1:4" x14ac:dyDescent="0.25">
      <c r="A412" t="s">
        <v>1602</v>
      </c>
      <c r="B412">
        <v>10</v>
      </c>
      <c r="C412" s="55">
        <v>42705</v>
      </c>
      <c r="D412" s="3" t="str">
        <f>YEAR(Datos_Consumo[[#This Row],[FECHA]])&amp;"-"&amp;MONTH(Datos_Consumo[[#This Row],[FECHA]])</f>
        <v>2016-12</v>
      </c>
    </row>
    <row r="413" spans="1:4" x14ac:dyDescent="0.25">
      <c r="A413" t="s">
        <v>1602</v>
      </c>
      <c r="B413">
        <v>10</v>
      </c>
      <c r="C413" s="55">
        <v>42767</v>
      </c>
      <c r="D413" s="3" t="str">
        <f>YEAR(Datos_Consumo[[#This Row],[FECHA]])&amp;"-"&amp;MONTH(Datos_Consumo[[#This Row],[FECHA]])</f>
        <v>2017-2</v>
      </c>
    </row>
    <row r="414" spans="1:4" x14ac:dyDescent="0.25">
      <c r="A414" t="s">
        <v>1602</v>
      </c>
      <c r="B414">
        <v>429</v>
      </c>
      <c r="C414" s="55">
        <v>42795</v>
      </c>
      <c r="D414" s="3" t="str">
        <f>YEAR(Datos_Consumo[[#This Row],[FECHA]])&amp;"-"&amp;MONTH(Datos_Consumo[[#This Row],[FECHA]])</f>
        <v>2017-3</v>
      </c>
    </row>
    <row r="415" spans="1:4" x14ac:dyDescent="0.25">
      <c r="A415" t="s">
        <v>1602</v>
      </c>
      <c r="B415">
        <v>56</v>
      </c>
      <c r="C415" s="55">
        <v>42826</v>
      </c>
      <c r="D415" s="3" t="str">
        <f>YEAR(Datos_Consumo[[#This Row],[FECHA]])&amp;"-"&amp;MONTH(Datos_Consumo[[#This Row],[FECHA]])</f>
        <v>2017-4</v>
      </c>
    </row>
    <row r="416" spans="1:4" x14ac:dyDescent="0.25">
      <c r="A416" t="s">
        <v>1602</v>
      </c>
      <c r="B416">
        <v>422</v>
      </c>
      <c r="C416" s="55">
        <v>42856</v>
      </c>
      <c r="D416" s="3" t="str">
        <f>YEAR(Datos_Consumo[[#This Row],[FECHA]])&amp;"-"&amp;MONTH(Datos_Consumo[[#This Row],[FECHA]])</f>
        <v>2017-5</v>
      </c>
    </row>
    <row r="417" spans="1:4" x14ac:dyDescent="0.25">
      <c r="A417" t="s">
        <v>1561</v>
      </c>
      <c r="B417">
        <v>119</v>
      </c>
      <c r="C417" s="55">
        <v>42705</v>
      </c>
      <c r="D417" s="3" t="str">
        <f>YEAR(Datos_Consumo[[#This Row],[FECHA]])&amp;"-"&amp;MONTH(Datos_Consumo[[#This Row],[FECHA]])</f>
        <v>2016-12</v>
      </c>
    </row>
    <row r="418" spans="1:4" x14ac:dyDescent="0.25">
      <c r="A418" t="s">
        <v>1561</v>
      </c>
      <c r="B418">
        <v>48</v>
      </c>
      <c r="C418" s="55">
        <v>42736</v>
      </c>
      <c r="D418" s="3" t="str">
        <f>YEAR(Datos_Consumo[[#This Row],[FECHA]])&amp;"-"&amp;MONTH(Datos_Consumo[[#This Row],[FECHA]])</f>
        <v>2017-1</v>
      </c>
    </row>
    <row r="419" spans="1:4" x14ac:dyDescent="0.25">
      <c r="A419" t="s">
        <v>1561</v>
      </c>
      <c r="B419">
        <v>100</v>
      </c>
      <c r="C419" s="55">
        <v>42767</v>
      </c>
      <c r="D419" s="3" t="str">
        <f>YEAR(Datos_Consumo[[#This Row],[FECHA]])&amp;"-"&amp;MONTH(Datos_Consumo[[#This Row],[FECHA]])</f>
        <v>2017-2</v>
      </c>
    </row>
    <row r="420" spans="1:4" x14ac:dyDescent="0.25">
      <c r="A420" t="s">
        <v>1561</v>
      </c>
      <c r="B420">
        <v>12</v>
      </c>
      <c r="C420" s="55">
        <v>42795</v>
      </c>
      <c r="D420" s="3" t="str">
        <f>YEAR(Datos_Consumo[[#This Row],[FECHA]])&amp;"-"&amp;MONTH(Datos_Consumo[[#This Row],[FECHA]])</f>
        <v>2017-3</v>
      </c>
    </row>
    <row r="421" spans="1:4" x14ac:dyDescent="0.25">
      <c r="A421" t="s">
        <v>1561</v>
      </c>
      <c r="B421">
        <v>27</v>
      </c>
      <c r="C421" s="55">
        <v>42826</v>
      </c>
      <c r="D421" s="3" t="str">
        <f>YEAR(Datos_Consumo[[#This Row],[FECHA]])&amp;"-"&amp;MONTH(Datos_Consumo[[#This Row],[FECHA]])</f>
        <v>2017-4</v>
      </c>
    </row>
    <row r="422" spans="1:4" x14ac:dyDescent="0.25">
      <c r="A422" t="s">
        <v>1561</v>
      </c>
      <c r="B422">
        <v>46</v>
      </c>
      <c r="C422" s="55">
        <v>42856</v>
      </c>
      <c r="D422" s="3" t="str">
        <f>YEAR(Datos_Consumo[[#This Row],[FECHA]])&amp;"-"&amp;MONTH(Datos_Consumo[[#This Row],[FECHA]])</f>
        <v>2017-5</v>
      </c>
    </row>
    <row r="423" spans="1:4" x14ac:dyDescent="0.25">
      <c r="A423" t="s">
        <v>1562</v>
      </c>
      <c r="B423">
        <v>75</v>
      </c>
      <c r="C423" s="55">
        <v>42705</v>
      </c>
      <c r="D423" s="3" t="str">
        <f>YEAR(Datos_Consumo[[#This Row],[FECHA]])&amp;"-"&amp;MONTH(Datos_Consumo[[#This Row],[FECHA]])</f>
        <v>2016-12</v>
      </c>
    </row>
    <row r="424" spans="1:4" x14ac:dyDescent="0.25">
      <c r="A424" t="s">
        <v>1562</v>
      </c>
      <c r="B424">
        <v>192</v>
      </c>
      <c r="C424" s="55">
        <v>42736</v>
      </c>
      <c r="D424" s="3" t="str">
        <f>YEAR(Datos_Consumo[[#This Row],[FECHA]])&amp;"-"&amp;MONTH(Datos_Consumo[[#This Row],[FECHA]])</f>
        <v>2017-1</v>
      </c>
    </row>
    <row r="425" spans="1:4" x14ac:dyDescent="0.25">
      <c r="A425" t="s">
        <v>1562</v>
      </c>
      <c r="B425">
        <v>540</v>
      </c>
      <c r="C425" s="55">
        <v>42767</v>
      </c>
      <c r="D425" s="3" t="str">
        <f>YEAR(Datos_Consumo[[#This Row],[FECHA]])&amp;"-"&amp;MONTH(Datos_Consumo[[#This Row],[FECHA]])</f>
        <v>2017-2</v>
      </c>
    </row>
    <row r="426" spans="1:4" x14ac:dyDescent="0.25">
      <c r="A426" t="s">
        <v>1562</v>
      </c>
      <c r="B426">
        <v>70</v>
      </c>
      <c r="C426" s="55">
        <v>42795</v>
      </c>
      <c r="D426" s="3" t="str">
        <f>YEAR(Datos_Consumo[[#This Row],[FECHA]])&amp;"-"&amp;MONTH(Datos_Consumo[[#This Row],[FECHA]])</f>
        <v>2017-3</v>
      </c>
    </row>
    <row r="427" spans="1:4" x14ac:dyDescent="0.25">
      <c r="A427" t="s">
        <v>1562</v>
      </c>
      <c r="B427">
        <v>240</v>
      </c>
      <c r="C427" s="55">
        <v>42826</v>
      </c>
      <c r="D427" s="3" t="str">
        <f>YEAR(Datos_Consumo[[#This Row],[FECHA]])&amp;"-"&amp;MONTH(Datos_Consumo[[#This Row],[FECHA]])</f>
        <v>2017-4</v>
      </c>
    </row>
    <row r="428" spans="1:4" x14ac:dyDescent="0.25">
      <c r="A428" t="s">
        <v>1562</v>
      </c>
      <c r="B428">
        <v>481</v>
      </c>
      <c r="C428" s="55">
        <v>42856</v>
      </c>
      <c r="D428" s="3" t="str">
        <f>YEAR(Datos_Consumo[[#This Row],[FECHA]])&amp;"-"&amp;MONTH(Datos_Consumo[[#This Row],[FECHA]])</f>
        <v>2017-5</v>
      </c>
    </row>
    <row r="429" spans="1:4" x14ac:dyDescent="0.25">
      <c r="A429" t="s">
        <v>1603</v>
      </c>
      <c r="B429">
        <v>508</v>
      </c>
      <c r="C429" s="55">
        <v>42705</v>
      </c>
      <c r="D429" s="3" t="str">
        <f>YEAR(Datos_Consumo[[#This Row],[FECHA]])&amp;"-"&amp;MONTH(Datos_Consumo[[#This Row],[FECHA]])</f>
        <v>2016-12</v>
      </c>
    </row>
    <row r="430" spans="1:4" x14ac:dyDescent="0.25">
      <c r="A430" t="s">
        <v>1603</v>
      </c>
      <c r="B430">
        <v>515</v>
      </c>
      <c r="C430" s="55">
        <v>42736</v>
      </c>
      <c r="D430" s="3" t="str">
        <f>YEAR(Datos_Consumo[[#This Row],[FECHA]])&amp;"-"&amp;MONTH(Datos_Consumo[[#This Row],[FECHA]])</f>
        <v>2017-1</v>
      </c>
    </row>
    <row r="431" spans="1:4" x14ac:dyDescent="0.25">
      <c r="A431" t="s">
        <v>1603</v>
      </c>
      <c r="B431">
        <v>6</v>
      </c>
      <c r="C431" s="55">
        <v>42767</v>
      </c>
      <c r="D431" s="3" t="str">
        <f>YEAR(Datos_Consumo[[#This Row],[FECHA]])&amp;"-"&amp;MONTH(Datos_Consumo[[#This Row],[FECHA]])</f>
        <v>2017-2</v>
      </c>
    </row>
    <row r="432" spans="1:4" x14ac:dyDescent="0.25">
      <c r="A432" t="s">
        <v>1603</v>
      </c>
      <c r="B432">
        <v>524</v>
      </c>
      <c r="C432" s="55">
        <v>42795</v>
      </c>
      <c r="D432" s="3" t="str">
        <f>YEAR(Datos_Consumo[[#This Row],[FECHA]])&amp;"-"&amp;MONTH(Datos_Consumo[[#This Row],[FECHA]])</f>
        <v>2017-3</v>
      </c>
    </row>
    <row r="433" spans="1:4" x14ac:dyDescent="0.25">
      <c r="A433" t="s">
        <v>1603</v>
      </c>
      <c r="B433">
        <v>500</v>
      </c>
      <c r="C433" s="55">
        <v>42826</v>
      </c>
      <c r="D433" s="3" t="str">
        <f>YEAR(Datos_Consumo[[#This Row],[FECHA]])&amp;"-"&amp;MONTH(Datos_Consumo[[#This Row],[FECHA]])</f>
        <v>2017-4</v>
      </c>
    </row>
    <row r="434" spans="1:4" x14ac:dyDescent="0.25">
      <c r="A434" t="s">
        <v>1603</v>
      </c>
      <c r="B434">
        <v>500</v>
      </c>
      <c r="C434" s="55">
        <v>42856</v>
      </c>
      <c r="D434" s="3" t="str">
        <f>YEAR(Datos_Consumo[[#This Row],[FECHA]])&amp;"-"&amp;MONTH(Datos_Consumo[[#This Row],[FECHA]])</f>
        <v>2017-5</v>
      </c>
    </row>
    <row r="435" spans="1:4" x14ac:dyDescent="0.25">
      <c r="A435" t="s">
        <v>1604</v>
      </c>
      <c r="B435">
        <v>100</v>
      </c>
      <c r="C435" s="55">
        <v>42736</v>
      </c>
      <c r="D435" s="3" t="str">
        <f>YEAR(Datos_Consumo[[#This Row],[FECHA]])&amp;"-"&amp;MONTH(Datos_Consumo[[#This Row],[FECHA]])</f>
        <v>2017-1</v>
      </c>
    </row>
    <row r="436" spans="1:4" x14ac:dyDescent="0.25">
      <c r="A436" t="s">
        <v>1604</v>
      </c>
      <c r="B436">
        <v>6</v>
      </c>
      <c r="C436" s="55">
        <v>42795</v>
      </c>
      <c r="D436" s="3" t="str">
        <f>YEAR(Datos_Consumo[[#This Row],[FECHA]])&amp;"-"&amp;MONTH(Datos_Consumo[[#This Row],[FECHA]])</f>
        <v>2017-3</v>
      </c>
    </row>
    <row r="437" spans="1:4" x14ac:dyDescent="0.25">
      <c r="A437" t="s">
        <v>1604</v>
      </c>
      <c r="B437">
        <v>100</v>
      </c>
      <c r="C437" s="55">
        <v>42826</v>
      </c>
      <c r="D437" s="3" t="str">
        <f>YEAR(Datos_Consumo[[#This Row],[FECHA]])&amp;"-"&amp;MONTH(Datos_Consumo[[#This Row],[FECHA]])</f>
        <v>2017-4</v>
      </c>
    </row>
    <row r="438" spans="1:4" x14ac:dyDescent="0.25">
      <c r="A438" t="s">
        <v>1605</v>
      </c>
      <c r="B438">
        <v>2000</v>
      </c>
      <c r="C438" s="55">
        <v>42705</v>
      </c>
      <c r="D438" s="3" t="str">
        <f>YEAR(Datos_Consumo[[#This Row],[FECHA]])&amp;"-"&amp;MONTH(Datos_Consumo[[#This Row],[FECHA]])</f>
        <v>2016-12</v>
      </c>
    </row>
    <row r="439" spans="1:4" x14ac:dyDescent="0.25">
      <c r="A439" t="s">
        <v>1605</v>
      </c>
      <c r="B439">
        <v>2019</v>
      </c>
      <c r="C439" s="55">
        <v>42736</v>
      </c>
      <c r="D439" s="3" t="str">
        <f>YEAR(Datos_Consumo[[#This Row],[FECHA]])&amp;"-"&amp;MONTH(Datos_Consumo[[#This Row],[FECHA]])</f>
        <v>2017-1</v>
      </c>
    </row>
    <row r="440" spans="1:4" x14ac:dyDescent="0.25">
      <c r="A440" t="s">
        <v>1605</v>
      </c>
      <c r="B440">
        <v>2000</v>
      </c>
      <c r="C440" s="55">
        <v>42767</v>
      </c>
      <c r="D440" s="3" t="str">
        <f>YEAR(Datos_Consumo[[#This Row],[FECHA]])&amp;"-"&amp;MONTH(Datos_Consumo[[#This Row],[FECHA]])</f>
        <v>2017-2</v>
      </c>
    </row>
    <row r="441" spans="1:4" x14ac:dyDescent="0.25">
      <c r="A441" t="s">
        <v>1605</v>
      </c>
      <c r="B441">
        <v>2010</v>
      </c>
      <c r="C441" s="55">
        <v>42795</v>
      </c>
      <c r="D441" s="3" t="str">
        <f>YEAR(Datos_Consumo[[#This Row],[FECHA]])&amp;"-"&amp;MONTH(Datos_Consumo[[#This Row],[FECHA]])</f>
        <v>2017-3</v>
      </c>
    </row>
    <row r="442" spans="1:4" x14ac:dyDescent="0.25">
      <c r="A442" t="s">
        <v>1605</v>
      </c>
      <c r="B442">
        <v>620</v>
      </c>
      <c r="C442" s="55">
        <v>42826</v>
      </c>
      <c r="D442" s="3" t="str">
        <f>YEAR(Datos_Consumo[[#This Row],[FECHA]])&amp;"-"&amp;MONTH(Datos_Consumo[[#This Row],[FECHA]])</f>
        <v>2017-4</v>
      </c>
    </row>
    <row r="443" spans="1:4" x14ac:dyDescent="0.25">
      <c r="A443" t="s">
        <v>1605</v>
      </c>
      <c r="B443">
        <v>2010</v>
      </c>
      <c r="C443" s="55">
        <v>42856</v>
      </c>
      <c r="D443" s="3" t="str">
        <f>YEAR(Datos_Consumo[[#This Row],[FECHA]])&amp;"-"&amp;MONTH(Datos_Consumo[[#This Row],[FECHA]])</f>
        <v>2017-5</v>
      </c>
    </row>
    <row r="444" spans="1:4" x14ac:dyDescent="0.25">
      <c r="A444" t="s">
        <v>1606</v>
      </c>
      <c r="B444">
        <v>2</v>
      </c>
      <c r="C444" s="55">
        <v>42795</v>
      </c>
      <c r="D444" s="3" t="str">
        <f>YEAR(Datos_Consumo[[#This Row],[FECHA]])&amp;"-"&amp;MONTH(Datos_Consumo[[#This Row],[FECHA]])</f>
        <v>2017-3</v>
      </c>
    </row>
    <row r="445" spans="1:4" x14ac:dyDescent="0.25">
      <c r="A445" t="s">
        <v>1607</v>
      </c>
      <c r="B445">
        <v>12</v>
      </c>
      <c r="C445" s="55">
        <v>42736</v>
      </c>
      <c r="D445" s="3" t="str">
        <f>YEAR(Datos_Consumo[[#This Row],[FECHA]])&amp;"-"&amp;MONTH(Datos_Consumo[[#This Row],[FECHA]])</f>
        <v>2017-1</v>
      </c>
    </row>
    <row r="446" spans="1:4" x14ac:dyDescent="0.25">
      <c r="A446" t="s">
        <v>1608</v>
      </c>
      <c r="B446">
        <v>24</v>
      </c>
      <c r="C446" s="55">
        <v>42705</v>
      </c>
      <c r="D446" s="3" t="str">
        <f>YEAR(Datos_Consumo[[#This Row],[FECHA]])&amp;"-"&amp;MONTH(Datos_Consumo[[#This Row],[FECHA]])</f>
        <v>2016-12</v>
      </c>
    </row>
    <row r="447" spans="1:4" x14ac:dyDescent="0.25">
      <c r="A447" t="s">
        <v>1608</v>
      </c>
      <c r="B447">
        <v>12</v>
      </c>
      <c r="C447" s="55">
        <v>42767</v>
      </c>
      <c r="D447" s="3" t="str">
        <f>YEAR(Datos_Consumo[[#This Row],[FECHA]])&amp;"-"&amp;MONTH(Datos_Consumo[[#This Row],[FECHA]])</f>
        <v>2017-2</v>
      </c>
    </row>
    <row r="448" spans="1:4" x14ac:dyDescent="0.25">
      <c r="A448" t="s">
        <v>1608</v>
      </c>
      <c r="B448">
        <v>24</v>
      </c>
      <c r="C448" s="55">
        <v>42795</v>
      </c>
      <c r="D448" s="3" t="str">
        <f>YEAR(Datos_Consumo[[#This Row],[FECHA]])&amp;"-"&amp;MONTH(Datos_Consumo[[#This Row],[FECHA]])</f>
        <v>2017-3</v>
      </c>
    </row>
    <row r="449" spans="1:4" x14ac:dyDescent="0.25">
      <c r="A449" t="s">
        <v>1608</v>
      </c>
      <c r="B449">
        <v>10</v>
      </c>
      <c r="C449" s="55">
        <v>42856</v>
      </c>
      <c r="D449" s="3" t="str">
        <f>YEAR(Datos_Consumo[[#This Row],[FECHA]])&amp;"-"&amp;MONTH(Datos_Consumo[[#This Row],[FECHA]])</f>
        <v>2017-5</v>
      </c>
    </row>
    <row r="450" spans="1:4" x14ac:dyDescent="0.25">
      <c r="A450" t="s">
        <v>1609</v>
      </c>
      <c r="B450">
        <v>1</v>
      </c>
      <c r="C450" s="55">
        <v>42705</v>
      </c>
      <c r="D450" s="3" t="str">
        <f>YEAR(Datos_Consumo[[#This Row],[FECHA]])&amp;"-"&amp;MONTH(Datos_Consumo[[#This Row],[FECHA]])</f>
        <v>2016-12</v>
      </c>
    </row>
    <row r="451" spans="1:4" x14ac:dyDescent="0.25">
      <c r="A451" t="s">
        <v>1563</v>
      </c>
      <c r="B451">
        <v>360</v>
      </c>
      <c r="C451" s="55">
        <v>42705</v>
      </c>
      <c r="D451" s="3" t="str">
        <f>YEAR(Datos_Consumo[[#This Row],[FECHA]])&amp;"-"&amp;MONTH(Datos_Consumo[[#This Row],[FECHA]])</f>
        <v>2016-12</v>
      </c>
    </row>
    <row r="452" spans="1:4" x14ac:dyDescent="0.25">
      <c r="A452" t="s">
        <v>1563</v>
      </c>
      <c r="B452">
        <v>81</v>
      </c>
      <c r="C452" s="55">
        <v>42736</v>
      </c>
      <c r="D452" s="3" t="str">
        <f>YEAR(Datos_Consumo[[#This Row],[FECHA]])&amp;"-"&amp;MONTH(Datos_Consumo[[#This Row],[FECHA]])</f>
        <v>2017-1</v>
      </c>
    </row>
    <row r="453" spans="1:4" x14ac:dyDescent="0.25">
      <c r="A453" t="s">
        <v>1563</v>
      </c>
      <c r="B453">
        <v>375</v>
      </c>
      <c r="C453" s="55">
        <v>42767</v>
      </c>
      <c r="D453" s="3" t="str">
        <f>YEAR(Datos_Consumo[[#This Row],[FECHA]])&amp;"-"&amp;MONTH(Datos_Consumo[[#This Row],[FECHA]])</f>
        <v>2017-2</v>
      </c>
    </row>
    <row r="454" spans="1:4" x14ac:dyDescent="0.25">
      <c r="A454" t="s">
        <v>1563</v>
      </c>
      <c r="B454">
        <v>24</v>
      </c>
      <c r="C454" s="55">
        <v>42795</v>
      </c>
      <c r="D454" s="3" t="str">
        <f>YEAR(Datos_Consumo[[#This Row],[FECHA]])&amp;"-"&amp;MONTH(Datos_Consumo[[#This Row],[FECHA]])</f>
        <v>2017-3</v>
      </c>
    </row>
    <row r="455" spans="1:4" x14ac:dyDescent="0.25">
      <c r="A455" t="s">
        <v>1563</v>
      </c>
      <c r="B455">
        <v>396</v>
      </c>
      <c r="C455" s="55">
        <v>42826</v>
      </c>
      <c r="D455" s="3" t="str">
        <f>YEAR(Datos_Consumo[[#This Row],[FECHA]])&amp;"-"&amp;MONTH(Datos_Consumo[[#This Row],[FECHA]])</f>
        <v>2017-4</v>
      </c>
    </row>
    <row r="456" spans="1:4" x14ac:dyDescent="0.25">
      <c r="A456" t="s">
        <v>1563</v>
      </c>
      <c r="B456">
        <v>390</v>
      </c>
      <c r="C456" s="55">
        <v>42856</v>
      </c>
      <c r="D456" s="3" t="str">
        <f>YEAR(Datos_Consumo[[#This Row],[FECHA]])&amp;"-"&amp;MONTH(Datos_Consumo[[#This Row],[FECHA]])</f>
        <v>2017-5</v>
      </c>
    </row>
    <row r="457" spans="1:4" x14ac:dyDescent="0.25">
      <c r="A457" t="s">
        <v>1610</v>
      </c>
      <c r="B457">
        <v>12</v>
      </c>
      <c r="C457" s="55">
        <v>42705</v>
      </c>
      <c r="D457" s="3" t="str">
        <f>YEAR(Datos_Consumo[[#This Row],[FECHA]])&amp;"-"&amp;MONTH(Datos_Consumo[[#This Row],[FECHA]])</f>
        <v>2016-12</v>
      </c>
    </row>
    <row r="458" spans="1:4" x14ac:dyDescent="0.25">
      <c r="A458" t="s">
        <v>1749</v>
      </c>
      <c r="B458">
        <v>15</v>
      </c>
      <c r="C458" s="55">
        <v>42767</v>
      </c>
      <c r="D458" s="3" t="str">
        <f>YEAR(Datos_Consumo[[#This Row],[FECHA]])&amp;"-"&amp;MONTH(Datos_Consumo[[#This Row],[FECHA]])</f>
        <v>2017-2</v>
      </c>
    </row>
    <row r="459" spans="1:4" x14ac:dyDescent="0.25">
      <c r="A459" t="s">
        <v>1750</v>
      </c>
      <c r="B459">
        <v>15</v>
      </c>
      <c r="C459" s="55">
        <v>42767</v>
      </c>
      <c r="D459" s="3" t="str">
        <f>YEAR(Datos_Consumo[[#This Row],[FECHA]])&amp;"-"&amp;MONTH(Datos_Consumo[[#This Row],[FECHA]])</f>
        <v>2017-2</v>
      </c>
    </row>
    <row r="460" spans="1:4" x14ac:dyDescent="0.25">
      <c r="A460" t="s">
        <v>1751</v>
      </c>
      <c r="B460">
        <v>10</v>
      </c>
      <c r="C460" s="55">
        <v>42826</v>
      </c>
      <c r="D460" s="3" t="str">
        <f>YEAR(Datos_Consumo[[#This Row],[FECHA]])&amp;"-"&amp;MONTH(Datos_Consumo[[#This Row],[FECHA]])</f>
        <v>2017-4</v>
      </c>
    </row>
    <row r="461" spans="1:4" x14ac:dyDescent="0.25">
      <c r="A461" t="s">
        <v>1611</v>
      </c>
      <c r="B461">
        <v>20</v>
      </c>
      <c r="C461" s="55">
        <v>42705</v>
      </c>
      <c r="D461" s="3" t="str">
        <f>YEAR(Datos_Consumo[[#This Row],[FECHA]])&amp;"-"&amp;MONTH(Datos_Consumo[[#This Row],[FECHA]])</f>
        <v>2016-12</v>
      </c>
    </row>
    <row r="462" spans="1:4" x14ac:dyDescent="0.25">
      <c r="A462" t="s">
        <v>1611</v>
      </c>
      <c r="B462">
        <v>5</v>
      </c>
      <c r="C462" s="55">
        <v>42736</v>
      </c>
      <c r="D462" s="3" t="str">
        <f>YEAR(Datos_Consumo[[#This Row],[FECHA]])&amp;"-"&amp;MONTH(Datos_Consumo[[#This Row],[FECHA]])</f>
        <v>2017-1</v>
      </c>
    </row>
    <row r="463" spans="1:4" x14ac:dyDescent="0.25">
      <c r="A463" t="s">
        <v>1611</v>
      </c>
      <c r="B463">
        <v>3</v>
      </c>
      <c r="C463" s="55">
        <v>42767</v>
      </c>
      <c r="D463" s="3" t="str">
        <f>YEAR(Datos_Consumo[[#This Row],[FECHA]])&amp;"-"&amp;MONTH(Datos_Consumo[[#This Row],[FECHA]])</f>
        <v>2017-2</v>
      </c>
    </row>
    <row r="464" spans="1:4" x14ac:dyDescent="0.25">
      <c r="A464" t="s">
        <v>1611</v>
      </c>
      <c r="B464">
        <v>12</v>
      </c>
      <c r="C464" s="55">
        <v>42795</v>
      </c>
      <c r="D464" s="3" t="str">
        <f>YEAR(Datos_Consumo[[#This Row],[FECHA]])&amp;"-"&amp;MONTH(Datos_Consumo[[#This Row],[FECHA]])</f>
        <v>2017-3</v>
      </c>
    </row>
    <row r="465" spans="1:4" x14ac:dyDescent="0.25">
      <c r="A465" t="s">
        <v>1611</v>
      </c>
      <c r="B465">
        <v>145</v>
      </c>
      <c r="C465" s="55">
        <v>42826</v>
      </c>
      <c r="D465" s="3" t="str">
        <f>YEAR(Datos_Consumo[[#This Row],[FECHA]])&amp;"-"&amp;MONTH(Datos_Consumo[[#This Row],[FECHA]])</f>
        <v>2017-4</v>
      </c>
    </row>
    <row r="466" spans="1:4" x14ac:dyDescent="0.25">
      <c r="A466" t="s">
        <v>1611</v>
      </c>
      <c r="B466">
        <v>77</v>
      </c>
      <c r="C466" s="55">
        <v>42856</v>
      </c>
      <c r="D466" s="3" t="str">
        <f>YEAR(Datos_Consumo[[#This Row],[FECHA]])&amp;"-"&amp;MONTH(Datos_Consumo[[#This Row],[FECHA]])</f>
        <v>2017-5</v>
      </c>
    </row>
    <row r="467" spans="1:4" x14ac:dyDescent="0.25">
      <c r="A467" t="s">
        <v>1612</v>
      </c>
      <c r="B467">
        <v>210</v>
      </c>
      <c r="C467" s="55">
        <v>42705</v>
      </c>
      <c r="D467" s="3" t="str">
        <f>YEAR(Datos_Consumo[[#This Row],[FECHA]])&amp;"-"&amp;MONTH(Datos_Consumo[[#This Row],[FECHA]])</f>
        <v>2016-12</v>
      </c>
    </row>
    <row r="468" spans="1:4" x14ac:dyDescent="0.25">
      <c r="A468" t="s">
        <v>1612</v>
      </c>
      <c r="B468">
        <v>28</v>
      </c>
      <c r="C468" s="55">
        <v>42736</v>
      </c>
      <c r="D468" s="3" t="str">
        <f>YEAR(Datos_Consumo[[#This Row],[FECHA]])&amp;"-"&amp;MONTH(Datos_Consumo[[#This Row],[FECHA]])</f>
        <v>2017-1</v>
      </c>
    </row>
    <row r="469" spans="1:4" x14ac:dyDescent="0.25">
      <c r="A469" t="s">
        <v>1612</v>
      </c>
      <c r="B469">
        <v>227</v>
      </c>
      <c r="C469" s="55">
        <v>42767</v>
      </c>
      <c r="D469" s="3" t="str">
        <f>YEAR(Datos_Consumo[[#This Row],[FECHA]])&amp;"-"&amp;MONTH(Datos_Consumo[[#This Row],[FECHA]])</f>
        <v>2017-2</v>
      </c>
    </row>
    <row r="470" spans="1:4" x14ac:dyDescent="0.25">
      <c r="A470" t="s">
        <v>1612</v>
      </c>
      <c r="B470">
        <v>28</v>
      </c>
      <c r="C470" s="55">
        <v>42795</v>
      </c>
      <c r="D470" s="3" t="str">
        <f>YEAR(Datos_Consumo[[#This Row],[FECHA]])&amp;"-"&amp;MONTH(Datos_Consumo[[#This Row],[FECHA]])</f>
        <v>2017-3</v>
      </c>
    </row>
    <row r="471" spans="1:4" x14ac:dyDescent="0.25">
      <c r="A471" t="s">
        <v>1612</v>
      </c>
      <c r="B471">
        <v>182</v>
      </c>
      <c r="C471" s="55">
        <v>42826</v>
      </c>
      <c r="D471" s="3" t="str">
        <f>YEAR(Datos_Consumo[[#This Row],[FECHA]])&amp;"-"&amp;MONTH(Datos_Consumo[[#This Row],[FECHA]])</f>
        <v>2017-4</v>
      </c>
    </row>
    <row r="472" spans="1:4" x14ac:dyDescent="0.25">
      <c r="A472" t="s">
        <v>1612</v>
      </c>
      <c r="B472">
        <v>20</v>
      </c>
      <c r="C472" s="55">
        <v>42856</v>
      </c>
      <c r="D472" s="3" t="str">
        <f>YEAR(Datos_Consumo[[#This Row],[FECHA]])&amp;"-"&amp;MONTH(Datos_Consumo[[#This Row],[FECHA]])</f>
        <v>2017-5</v>
      </c>
    </row>
    <row r="473" spans="1:4" x14ac:dyDescent="0.25">
      <c r="A473" t="s">
        <v>1752</v>
      </c>
      <c r="B473">
        <v>48</v>
      </c>
      <c r="C473" s="55">
        <v>42856</v>
      </c>
      <c r="D473" s="3" t="str">
        <f>YEAR(Datos_Consumo[[#This Row],[FECHA]])&amp;"-"&amp;MONTH(Datos_Consumo[[#This Row],[FECHA]])</f>
        <v>2017-5</v>
      </c>
    </row>
    <row r="474" spans="1:4" x14ac:dyDescent="0.25">
      <c r="A474" t="s">
        <v>1613</v>
      </c>
      <c r="B474">
        <v>120</v>
      </c>
      <c r="C474" s="55">
        <v>42736</v>
      </c>
      <c r="D474" s="3" t="str">
        <f>YEAR(Datos_Consumo[[#This Row],[FECHA]])&amp;"-"&amp;MONTH(Datos_Consumo[[#This Row],[FECHA]])</f>
        <v>2017-1</v>
      </c>
    </row>
    <row r="475" spans="1:4" x14ac:dyDescent="0.25">
      <c r="A475" t="s">
        <v>1613</v>
      </c>
      <c r="B475">
        <v>120</v>
      </c>
      <c r="C475" s="55">
        <v>42795</v>
      </c>
      <c r="D475" s="3" t="str">
        <f>YEAR(Datos_Consumo[[#This Row],[FECHA]])&amp;"-"&amp;MONTH(Datos_Consumo[[#This Row],[FECHA]])</f>
        <v>2017-3</v>
      </c>
    </row>
    <row r="476" spans="1:4" x14ac:dyDescent="0.25">
      <c r="A476" t="s">
        <v>1614</v>
      </c>
      <c r="B476">
        <v>160</v>
      </c>
      <c r="C476" s="55">
        <v>42705</v>
      </c>
      <c r="D476" s="3" t="str">
        <f>YEAR(Datos_Consumo[[#This Row],[FECHA]])&amp;"-"&amp;MONTH(Datos_Consumo[[#This Row],[FECHA]])</f>
        <v>2016-12</v>
      </c>
    </row>
    <row r="477" spans="1:4" x14ac:dyDescent="0.25">
      <c r="A477" t="s">
        <v>1614</v>
      </c>
      <c r="B477">
        <v>160</v>
      </c>
      <c r="C477" s="55">
        <v>42795</v>
      </c>
      <c r="D477" s="3" t="str">
        <f>YEAR(Datos_Consumo[[#This Row],[FECHA]])&amp;"-"&amp;MONTH(Datos_Consumo[[#This Row],[FECHA]])</f>
        <v>2017-3</v>
      </c>
    </row>
    <row r="478" spans="1:4" x14ac:dyDescent="0.25">
      <c r="A478" t="s">
        <v>1615</v>
      </c>
      <c r="B478">
        <v>160</v>
      </c>
      <c r="C478" s="55">
        <v>42705</v>
      </c>
      <c r="D478" s="3" t="str">
        <f>YEAR(Datos_Consumo[[#This Row],[FECHA]])&amp;"-"&amp;MONTH(Datos_Consumo[[#This Row],[FECHA]])</f>
        <v>2016-12</v>
      </c>
    </row>
    <row r="479" spans="1:4" x14ac:dyDescent="0.25">
      <c r="A479" t="s">
        <v>1615</v>
      </c>
      <c r="B479">
        <v>200</v>
      </c>
      <c r="C479" s="55">
        <v>42795</v>
      </c>
      <c r="D479" s="3" t="str">
        <f>YEAR(Datos_Consumo[[#This Row],[FECHA]])&amp;"-"&amp;MONTH(Datos_Consumo[[#This Row],[FECHA]])</f>
        <v>2017-3</v>
      </c>
    </row>
    <row r="480" spans="1:4" x14ac:dyDescent="0.25">
      <c r="A480" t="s">
        <v>1616</v>
      </c>
      <c r="B480">
        <v>160</v>
      </c>
      <c r="C480" s="55">
        <v>42736</v>
      </c>
      <c r="D480" s="3" t="str">
        <f>YEAR(Datos_Consumo[[#This Row],[FECHA]])&amp;"-"&amp;MONTH(Datos_Consumo[[#This Row],[FECHA]])</f>
        <v>2017-1</v>
      </c>
    </row>
    <row r="481" spans="1:4" x14ac:dyDescent="0.25">
      <c r="A481" t="s">
        <v>1616</v>
      </c>
      <c r="B481">
        <v>240</v>
      </c>
      <c r="C481" s="55">
        <v>42795</v>
      </c>
      <c r="D481" s="3" t="str">
        <f>YEAR(Datos_Consumo[[#This Row],[FECHA]])&amp;"-"&amp;MONTH(Datos_Consumo[[#This Row],[FECHA]])</f>
        <v>2017-3</v>
      </c>
    </row>
    <row r="482" spans="1:4" x14ac:dyDescent="0.25">
      <c r="A482" t="s">
        <v>1753</v>
      </c>
      <c r="B482">
        <v>4</v>
      </c>
      <c r="C482" s="55">
        <v>42795</v>
      </c>
      <c r="D482" s="3" t="str">
        <f>YEAR(Datos_Consumo[[#This Row],[FECHA]])&amp;"-"&amp;MONTH(Datos_Consumo[[#This Row],[FECHA]])</f>
        <v>2017-3</v>
      </c>
    </row>
    <row r="483" spans="1:4" x14ac:dyDescent="0.25">
      <c r="A483" t="s">
        <v>1617</v>
      </c>
      <c r="B483">
        <v>4</v>
      </c>
      <c r="C483" s="55">
        <v>42705</v>
      </c>
      <c r="D483" s="3" t="str">
        <f>YEAR(Datos_Consumo[[#This Row],[FECHA]])&amp;"-"&amp;MONTH(Datos_Consumo[[#This Row],[FECHA]])</f>
        <v>2016-12</v>
      </c>
    </row>
    <row r="484" spans="1:4" x14ac:dyDescent="0.25">
      <c r="A484" t="s">
        <v>1617</v>
      </c>
      <c r="B484">
        <v>6</v>
      </c>
      <c r="C484" s="55">
        <v>42736</v>
      </c>
      <c r="D484" s="3" t="str">
        <f>YEAR(Datos_Consumo[[#This Row],[FECHA]])&amp;"-"&amp;MONTH(Datos_Consumo[[#This Row],[FECHA]])</f>
        <v>2017-1</v>
      </c>
    </row>
    <row r="485" spans="1:4" x14ac:dyDescent="0.25">
      <c r="A485" t="s">
        <v>1617</v>
      </c>
      <c r="B485">
        <v>1</v>
      </c>
      <c r="C485" s="55">
        <v>42767</v>
      </c>
      <c r="D485" s="3" t="str">
        <f>YEAR(Datos_Consumo[[#This Row],[FECHA]])&amp;"-"&amp;MONTH(Datos_Consumo[[#This Row],[FECHA]])</f>
        <v>2017-2</v>
      </c>
    </row>
    <row r="486" spans="1:4" x14ac:dyDescent="0.25">
      <c r="A486" t="s">
        <v>1617</v>
      </c>
      <c r="B486">
        <v>41</v>
      </c>
      <c r="C486" s="55">
        <v>42795</v>
      </c>
      <c r="D486" s="3" t="str">
        <f>YEAR(Datos_Consumo[[#This Row],[FECHA]])&amp;"-"&amp;MONTH(Datos_Consumo[[#This Row],[FECHA]])</f>
        <v>2017-3</v>
      </c>
    </row>
    <row r="487" spans="1:4" x14ac:dyDescent="0.25">
      <c r="A487" t="s">
        <v>1617</v>
      </c>
      <c r="B487">
        <v>16</v>
      </c>
      <c r="C487" s="55">
        <v>42826</v>
      </c>
      <c r="D487" s="3" t="str">
        <f>YEAR(Datos_Consumo[[#This Row],[FECHA]])&amp;"-"&amp;MONTH(Datos_Consumo[[#This Row],[FECHA]])</f>
        <v>2017-4</v>
      </c>
    </row>
    <row r="488" spans="1:4" x14ac:dyDescent="0.25">
      <c r="A488" t="s">
        <v>1617</v>
      </c>
      <c r="B488">
        <v>16</v>
      </c>
      <c r="C488" s="55">
        <v>42856</v>
      </c>
      <c r="D488" s="3" t="str">
        <f>YEAR(Datos_Consumo[[#This Row],[FECHA]])&amp;"-"&amp;MONTH(Datos_Consumo[[#This Row],[FECHA]])</f>
        <v>2017-5</v>
      </c>
    </row>
    <row r="489" spans="1:4" x14ac:dyDescent="0.25">
      <c r="A489" t="s">
        <v>1754</v>
      </c>
      <c r="B489">
        <v>1500</v>
      </c>
      <c r="C489" s="55">
        <v>42826</v>
      </c>
      <c r="D489" s="3" t="str">
        <f>YEAR(Datos_Consumo[[#This Row],[FECHA]])&amp;"-"&amp;MONTH(Datos_Consumo[[#This Row],[FECHA]])</f>
        <v>2017-4</v>
      </c>
    </row>
    <row r="490" spans="1:4" x14ac:dyDescent="0.25">
      <c r="A490" t="s">
        <v>1449</v>
      </c>
      <c r="B490">
        <v>5</v>
      </c>
      <c r="C490" s="55">
        <v>42705</v>
      </c>
      <c r="D490" s="3" t="str">
        <f>YEAR(Datos_Consumo[[#This Row],[FECHA]])&amp;"-"&amp;MONTH(Datos_Consumo[[#This Row],[FECHA]])</f>
        <v>2016-12</v>
      </c>
    </row>
    <row r="491" spans="1:4" x14ac:dyDescent="0.25">
      <c r="A491" t="s">
        <v>1449</v>
      </c>
      <c r="B491">
        <v>5</v>
      </c>
      <c r="C491" s="55">
        <v>42767</v>
      </c>
      <c r="D491" s="3" t="str">
        <f>YEAR(Datos_Consumo[[#This Row],[FECHA]])&amp;"-"&amp;MONTH(Datos_Consumo[[#This Row],[FECHA]])</f>
        <v>2017-2</v>
      </c>
    </row>
    <row r="492" spans="1:4" x14ac:dyDescent="0.25">
      <c r="A492" t="s">
        <v>1618</v>
      </c>
      <c r="B492">
        <v>90</v>
      </c>
      <c r="C492" s="55">
        <v>42705</v>
      </c>
      <c r="D492" s="3" t="str">
        <f>YEAR(Datos_Consumo[[#This Row],[FECHA]])&amp;"-"&amp;MONTH(Datos_Consumo[[#This Row],[FECHA]])</f>
        <v>2016-12</v>
      </c>
    </row>
    <row r="493" spans="1:4" x14ac:dyDescent="0.25">
      <c r="A493" t="s">
        <v>1618</v>
      </c>
      <c r="B493">
        <v>90</v>
      </c>
      <c r="C493" s="55">
        <v>42736</v>
      </c>
      <c r="D493" s="3" t="str">
        <f>YEAR(Datos_Consumo[[#This Row],[FECHA]])&amp;"-"&amp;MONTH(Datos_Consumo[[#This Row],[FECHA]])</f>
        <v>2017-1</v>
      </c>
    </row>
    <row r="494" spans="1:4" x14ac:dyDescent="0.25">
      <c r="A494" t="s">
        <v>1618</v>
      </c>
      <c r="B494">
        <v>117</v>
      </c>
      <c r="C494" s="55">
        <v>42767</v>
      </c>
      <c r="D494" s="3" t="str">
        <f>YEAR(Datos_Consumo[[#This Row],[FECHA]])&amp;"-"&amp;MONTH(Datos_Consumo[[#This Row],[FECHA]])</f>
        <v>2017-2</v>
      </c>
    </row>
    <row r="495" spans="1:4" x14ac:dyDescent="0.25">
      <c r="A495" t="s">
        <v>1618</v>
      </c>
      <c r="B495">
        <v>110</v>
      </c>
      <c r="C495" s="55">
        <v>42795</v>
      </c>
      <c r="D495" s="3" t="str">
        <f>YEAR(Datos_Consumo[[#This Row],[FECHA]])&amp;"-"&amp;MONTH(Datos_Consumo[[#This Row],[FECHA]])</f>
        <v>2017-3</v>
      </c>
    </row>
    <row r="496" spans="1:4" x14ac:dyDescent="0.25">
      <c r="A496" t="s">
        <v>1618</v>
      </c>
      <c r="B496">
        <v>70</v>
      </c>
      <c r="C496" s="55">
        <v>42826</v>
      </c>
      <c r="D496" s="3" t="str">
        <f>YEAR(Datos_Consumo[[#This Row],[FECHA]])&amp;"-"&amp;MONTH(Datos_Consumo[[#This Row],[FECHA]])</f>
        <v>2017-4</v>
      </c>
    </row>
    <row r="497" spans="1:4" x14ac:dyDescent="0.25">
      <c r="A497" t="s">
        <v>1618</v>
      </c>
      <c r="B497">
        <v>50</v>
      </c>
      <c r="C497" s="55">
        <v>42856</v>
      </c>
      <c r="D497" s="3" t="str">
        <f>YEAR(Datos_Consumo[[#This Row],[FECHA]])&amp;"-"&amp;MONTH(Datos_Consumo[[#This Row],[FECHA]])</f>
        <v>2017-5</v>
      </c>
    </row>
    <row r="498" spans="1:4" x14ac:dyDescent="0.25">
      <c r="A498" t="s">
        <v>1450</v>
      </c>
      <c r="B498">
        <v>2</v>
      </c>
      <c r="C498" s="55">
        <v>42736</v>
      </c>
      <c r="D498" s="3" t="str">
        <f>YEAR(Datos_Consumo[[#This Row],[FECHA]])&amp;"-"&amp;MONTH(Datos_Consumo[[#This Row],[FECHA]])</f>
        <v>2017-1</v>
      </c>
    </row>
    <row r="499" spans="1:4" x14ac:dyDescent="0.25">
      <c r="A499" t="s">
        <v>1755</v>
      </c>
      <c r="B499">
        <v>3</v>
      </c>
      <c r="C499" s="55">
        <v>42826</v>
      </c>
      <c r="D499" s="3" t="str">
        <f>YEAR(Datos_Consumo[[#This Row],[FECHA]])&amp;"-"&amp;MONTH(Datos_Consumo[[#This Row],[FECHA]])</f>
        <v>2017-4</v>
      </c>
    </row>
    <row r="500" spans="1:4" x14ac:dyDescent="0.25">
      <c r="A500" t="s">
        <v>1451</v>
      </c>
      <c r="B500">
        <v>1</v>
      </c>
      <c r="C500" s="55">
        <v>42705</v>
      </c>
      <c r="D500" s="3" t="str">
        <f>YEAR(Datos_Consumo[[#This Row],[FECHA]])&amp;"-"&amp;MONTH(Datos_Consumo[[#This Row],[FECHA]])</f>
        <v>2016-12</v>
      </c>
    </row>
    <row r="501" spans="1:4" x14ac:dyDescent="0.25">
      <c r="A501" t="s">
        <v>1451</v>
      </c>
      <c r="B501">
        <v>1</v>
      </c>
      <c r="C501" s="55">
        <v>42795</v>
      </c>
      <c r="D501" s="3" t="str">
        <f>YEAR(Datos_Consumo[[#This Row],[FECHA]])&amp;"-"&amp;MONTH(Datos_Consumo[[#This Row],[FECHA]])</f>
        <v>2017-3</v>
      </c>
    </row>
    <row r="502" spans="1:4" x14ac:dyDescent="0.25">
      <c r="A502" t="s">
        <v>1451</v>
      </c>
      <c r="B502">
        <v>3</v>
      </c>
      <c r="C502" s="55">
        <v>42826</v>
      </c>
      <c r="D502" s="3" t="str">
        <f>YEAR(Datos_Consumo[[#This Row],[FECHA]])&amp;"-"&amp;MONTH(Datos_Consumo[[#This Row],[FECHA]])</f>
        <v>2017-4</v>
      </c>
    </row>
    <row r="503" spans="1:4" x14ac:dyDescent="0.25">
      <c r="A503" t="s">
        <v>1452</v>
      </c>
      <c r="B503">
        <v>40</v>
      </c>
      <c r="C503" s="55">
        <v>42736</v>
      </c>
      <c r="D503" s="3" t="str">
        <f>YEAR(Datos_Consumo[[#This Row],[FECHA]])&amp;"-"&amp;MONTH(Datos_Consumo[[#This Row],[FECHA]])</f>
        <v>2017-1</v>
      </c>
    </row>
    <row r="504" spans="1:4" x14ac:dyDescent="0.25">
      <c r="A504" t="s">
        <v>1452</v>
      </c>
      <c r="B504">
        <v>20</v>
      </c>
      <c r="C504" s="55">
        <v>42826</v>
      </c>
      <c r="D504" s="3" t="str">
        <f>YEAR(Datos_Consumo[[#This Row],[FECHA]])&amp;"-"&amp;MONTH(Datos_Consumo[[#This Row],[FECHA]])</f>
        <v>2017-4</v>
      </c>
    </row>
    <row r="505" spans="1:4" x14ac:dyDescent="0.25">
      <c r="A505" t="s">
        <v>1453</v>
      </c>
      <c r="B505">
        <v>120</v>
      </c>
      <c r="C505" s="55">
        <v>42705</v>
      </c>
      <c r="D505" s="3" t="str">
        <f>YEAR(Datos_Consumo[[#This Row],[FECHA]])&amp;"-"&amp;MONTH(Datos_Consumo[[#This Row],[FECHA]])</f>
        <v>2016-12</v>
      </c>
    </row>
    <row r="506" spans="1:4" x14ac:dyDescent="0.25">
      <c r="A506" t="s">
        <v>1454</v>
      </c>
      <c r="B506">
        <v>25000</v>
      </c>
      <c r="C506" s="55">
        <v>42736</v>
      </c>
      <c r="D506" s="3" t="str">
        <f>YEAR(Datos_Consumo[[#This Row],[FECHA]])&amp;"-"&amp;MONTH(Datos_Consumo[[#This Row],[FECHA]])</f>
        <v>2017-1</v>
      </c>
    </row>
    <row r="507" spans="1:4" x14ac:dyDescent="0.25">
      <c r="A507" t="s">
        <v>1454</v>
      </c>
      <c r="B507">
        <v>25000</v>
      </c>
      <c r="C507" s="55">
        <v>42856</v>
      </c>
      <c r="D507" s="3" t="str">
        <f>YEAR(Datos_Consumo[[#This Row],[FECHA]])&amp;"-"&amp;MONTH(Datos_Consumo[[#This Row],[FECHA]])</f>
        <v>2017-5</v>
      </c>
    </row>
    <row r="508" spans="1:4" x14ac:dyDescent="0.25">
      <c r="A508" t="s">
        <v>1455</v>
      </c>
      <c r="B508">
        <v>300</v>
      </c>
      <c r="C508" s="55">
        <v>42705</v>
      </c>
      <c r="D508" s="3" t="str">
        <f>YEAR(Datos_Consumo[[#This Row],[FECHA]])&amp;"-"&amp;MONTH(Datos_Consumo[[#This Row],[FECHA]])</f>
        <v>2016-12</v>
      </c>
    </row>
    <row r="509" spans="1:4" x14ac:dyDescent="0.25">
      <c r="A509" t="s">
        <v>1455</v>
      </c>
      <c r="B509">
        <v>7825</v>
      </c>
      <c r="C509" s="55">
        <v>42767</v>
      </c>
      <c r="D509" s="3" t="str">
        <f>YEAR(Datos_Consumo[[#This Row],[FECHA]])&amp;"-"&amp;MONTH(Datos_Consumo[[#This Row],[FECHA]])</f>
        <v>2017-2</v>
      </c>
    </row>
    <row r="510" spans="1:4" x14ac:dyDescent="0.25">
      <c r="A510" t="s">
        <v>1456</v>
      </c>
      <c r="B510">
        <v>15000</v>
      </c>
      <c r="C510" s="55">
        <v>42736</v>
      </c>
      <c r="D510" s="3" t="str">
        <f>YEAR(Datos_Consumo[[#This Row],[FECHA]])&amp;"-"&amp;MONTH(Datos_Consumo[[#This Row],[FECHA]])</f>
        <v>2017-1</v>
      </c>
    </row>
    <row r="511" spans="1:4" x14ac:dyDescent="0.25">
      <c r="A511" t="s">
        <v>1456</v>
      </c>
      <c r="B511">
        <v>15000</v>
      </c>
      <c r="C511" s="55">
        <v>42856</v>
      </c>
      <c r="D511" s="3" t="str">
        <f>YEAR(Datos_Consumo[[#This Row],[FECHA]])&amp;"-"&amp;MONTH(Datos_Consumo[[#This Row],[FECHA]])</f>
        <v>2017-5</v>
      </c>
    </row>
    <row r="512" spans="1:4" x14ac:dyDescent="0.25">
      <c r="A512" t="s">
        <v>1457</v>
      </c>
      <c r="B512">
        <v>300</v>
      </c>
      <c r="C512" s="55">
        <v>42705</v>
      </c>
      <c r="D512" s="3" t="str">
        <f>YEAR(Datos_Consumo[[#This Row],[FECHA]])&amp;"-"&amp;MONTH(Datos_Consumo[[#This Row],[FECHA]])</f>
        <v>2016-12</v>
      </c>
    </row>
    <row r="513" spans="1:4" x14ac:dyDescent="0.25">
      <c r="A513" t="s">
        <v>1457</v>
      </c>
      <c r="B513">
        <v>9610</v>
      </c>
      <c r="C513" s="55">
        <v>42826</v>
      </c>
      <c r="D513" s="3" t="str">
        <f>YEAR(Datos_Consumo[[#This Row],[FECHA]])&amp;"-"&amp;MONTH(Datos_Consumo[[#This Row],[FECHA]])</f>
        <v>2017-4</v>
      </c>
    </row>
    <row r="514" spans="1:4" x14ac:dyDescent="0.25">
      <c r="A514" t="s">
        <v>1457</v>
      </c>
      <c r="B514">
        <v>12</v>
      </c>
      <c r="C514" s="55">
        <v>42856</v>
      </c>
      <c r="D514" s="3" t="str">
        <f>YEAR(Datos_Consumo[[#This Row],[FECHA]])&amp;"-"&amp;MONTH(Datos_Consumo[[#This Row],[FECHA]])</f>
        <v>2017-5</v>
      </c>
    </row>
    <row r="515" spans="1:4" x14ac:dyDescent="0.25">
      <c r="A515" t="s">
        <v>1458</v>
      </c>
      <c r="B515">
        <v>10000</v>
      </c>
      <c r="C515" s="55">
        <v>42736</v>
      </c>
      <c r="D515" s="3" t="str">
        <f>YEAR(Datos_Consumo[[#This Row],[FECHA]])&amp;"-"&amp;MONTH(Datos_Consumo[[#This Row],[FECHA]])</f>
        <v>2017-1</v>
      </c>
    </row>
    <row r="516" spans="1:4" x14ac:dyDescent="0.25">
      <c r="A516" t="s">
        <v>1458</v>
      </c>
      <c r="B516">
        <v>10000</v>
      </c>
      <c r="C516" s="55">
        <v>42856</v>
      </c>
      <c r="D516" s="3" t="str">
        <f>YEAR(Datos_Consumo[[#This Row],[FECHA]])&amp;"-"&amp;MONTH(Datos_Consumo[[#This Row],[FECHA]])</f>
        <v>2017-5</v>
      </c>
    </row>
    <row r="517" spans="1:4" x14ac:dyDescent="0.25">
      <c r="A517" t="s">
        <v>1459</v>
      </c>
      <c r="B517">
        <v>1</v>
      </c>
      <c r="C517" s="55">
        <v>42767</v>
      </c>
      <c r="D517" s="3" t="str">
        <f>YEAR(Datos_Consumo[[#This Row],[FECHA]])&amp;"-"&amp;MONTH(Datos_Consumo[[#This Row],[FECHA]])</f>
        <v>2017-2</v>
      </c>
    </row>
    <row r="518" spans="1:4" x14ac:dyDescent="0.25">
      <c r="A518" t="s">
        <v>1756</v>
      </c>
      <c r="B518">
        <v>1</v>
      </c>
      <c r="C518" s="55">
        <v>42795</v>
      </c>
      <c r="D518" s="3" t="str">
        <f>YEAR(Datos_Consumo[[#This Row],[FECHA]])&amp;"-"&amp;MONTH(Datos_Consumo[[#This Row],[FECHA]])</f>
        <v>2017-3</v>
      </c>
    </row>
    <row r="519" spans="1:4" x14ac:dyDescent="0.25">
      <c r="A519" t="s">
        <v>1756</v>
      </c>
      <c r="B519">
        <v>1</v>
      </c>
      <c r="C519" s="55">
        <v>42826</v>
      </c>
      <c r="D519" s="3" t="str">
        <f>YEAR(Datos_Consumo[[#This Row],[FECHA]])&amp;"-"&amp;MONTH(Datos_Consumo[[#This Row],[FECHA]])</f>
        <v>2017-4</v>
      </c>
    </row>
    <row r="520" spans="1:4" x14ac:dyDescent="0.25">
      <c r="A520" t="s">
        <v>1756</v>
      </c>
      <c r="B520">
        <v>1</v>
      </c>
      <c r="C520" s="55">
        <v>42856</v>
      </c>
      <c r="D520" s="3" t="str">
        <f>YEAR(Datos_Consumo[[#This Row],[FECHA]])&amp;"-"&amp;MONTH(Datos_Consumo[[#This Row],[FECHA]])</f>
        <v>2017-5</v>
      </c>
    </row>
    <row r="521" spans="1:4" x14ac:dyDescent="0.25">
      <c r="A521" t="s">
        <v>1757</v>
      </c>
      <c r="B521">
        <v>5</v>
      </c>
      <c r="C521" s="55">
        <v>42856</v>
      </c>
      <c r="D521" s="3" t="str">
        <f>YEAR(Datos_Consumo[[#This Row],[FECHA]])&amp;"-"&amp;MONTH(Datos_Consumo[[#This Row],[FECHA]])</f>
        <v>2017-5</v>
      </c>
    </row>
    <row r="522" spans="1:4" x14ac:dyDescent="0.25">
      <c r="A522" t="s">
        <v>1460</v>
      </c>
      <c r="B522">
        <v>5</v>
      </c>
      <c r="C522" s="55">
        <v>42705</v>
      </c>
      <c r="D522" s="3" t="str">
        <f>YEAR(Datos_Consumo[[#This Row],[FECHA]])&amp;"-"&amp;MONTH(Datos_Consumo[[#This Row],[FECHA]])</f>
        <v>2016-12</v>
      </c>
    </row>
    <row r="523" spans="1:4" x14ac:dyDescent="0.25">
      <c r="A523" t="s">
        <v>1460</v>
      </c>
      <c r="B523">
        <v>3</v>
      </c>
      <c r="C523" s="55">
        <v>42767</v>
      </c>
      <c r="D523" s="3" t="str">
        <f>YEAR(Datos_Consumo[[#This Row],[FECHA]])&amp;"-"&amp;MONTH(Datos_Consumo[[#This Row],[FECHA]])</f>
        <v>2017-2</v>
      </c>
    </row>
    <row r="524" spans="1:4" x14ac:dyDescent="0.25">
      <c r="A524" t="s">
        <v>1461</v>
      </c>
      <c r="B524">
        <v>2</v>
      </c>
      <c r="C524" s="55">
        <v>42705</v>
      </c>
      <c r="D524" s="3" t="str">
        <f>YEAR(Datos_Consumo[[#This Row],[FECHA]])&amp;"-"&amp;MONTH(Datos_Consumo[[#This Row],[FECHA]])</f>
        <v>2016-12</v>
      </c>
    </row>
    <row r="525" spans="1:4" x14ac:dyDescent="0.25">
      <c r="A525" t="s">
        <v>1461</v>
      </c>
      <c r="B525">
        <v>1</v>
      </c>
      <c r="C525" s="55">
        <v>42736</v>
      </c>
      <c r="D525" s="3" t="str">
        <f>YEAR(Datos_Consumo[[#This Row],[FECHA]])&amp;"-"&amp;MONTH(Datos_Consumo[[#This Row],[FECHA]])</f>
        <v>2017-1</v>
      </c>
    </row>
    <row r="526" spans="1:4" x14ac:dyDescent="0.25">
      <c r="A526" t="s">
        <v>1461</v>
      </c>
      <c r="B526">
        <v>1</v>
      </c>
      <c r="C526" s="55">
        <v>42795</v>
      </c>
      <c r="D526" s="3" t="str">
        <f>YEAR(Datos_Consumo[[#This Row],[FECHA]])&amp;"-"&amp;MONTH(Datos_Consumo[[#This Row],[FECHA]])</f>
        <v>2017-3</v>
      </c>
    </row>
    <row r="527" spans="1:4" x14ac:dyDescent="0.25">
      <c r="A527" t="s">
        <v>1461</v>
      </c>
      <c r="B527">
        <v>1</v>
      </c>
      <c r="C527" s="55">
        <v>42826</v>
      </c>
      <c r="D527" s="3" t="str">
        <f>YEAR(Datos_Consumo[[#This Row],[FECHA]])&amp;"-"&amp;MONTH(Datos_Consumo[[#This Row],[FECHA]])</f>
        <v>2017-4</v>
      </c>
    </row>
    <row r="528" spans="1:4" x14ac:dyDescent="0.25">
      <c r="A528" t="s">
        <v>1462</v>
      </c>
      <c r="B528">
        <v>1</v>
      </c>
      <c r="C528" s="55">
        <v>42705</v>
      </c>
      <c r="D528" s="3" t="str">
        <f>YEAR(Datos_Consumo[[#This Row],[FECHA]])&amp;"-"&amp;MONTH(Datos_Consumo[[#This Row],[FECHA]])</f>
        <v>2016-12</v>
      </c>
    </row>
    <row r="529" spans="1:4" x14ac:dyDescent="0.25">
      <c r="A529" t="s">
        <v>1462</v>
      </c>
      <c r="B529">
        <v>1</v>
      </c>
      <c r="C529" s="55">
        <v>42767</v>
      </c>
      <c r="D529" s="3" t="str">
        <f>YEAR(Datos_Consumo[[#This Row],[FECHA]])&amp;"-"&amp;MONTH(Datos_Consumo[[#This Row],[FECHA]])</f>
        <v>2017-2</v>
      </c>
    </row>
    <row r="530" spans="1:4" x14ac:dyDescent="0.25">
      <c r="A530" t="s">
        <v>1463</v>
      </c>
      <c r="B530">
        <v>2</v>
      </c>
      <c r="C530" s="55">
        <v>42705</v>
      </c>
      <c r="D530" s="3" t="str">
        <f>YEAR(Datos_Consumo[[#This Row],[FECHA]])&amp;"-"&amp;MONTH(Datos_Consumo[[#This Row],[FECHA]])</f>
        <v>2016-12</v>
      </c>
    </row>
    <row r="531" spans="1:4" x14ac:dyDescent="0.25">
      <c r="A531" t="s">
        <v>1464</v>
      </c>
      <c r="B531">
        <v>1</v>
      </c>
      <c r="C531" s="55">
        <v>42705</v>
      </c>
      <c r="D531" s="3" t="str">
        <f>YEAR(Datos_Consumo[[#This Row],[FECHA]])&amp;"-"&amp;MONTH(Datos_Consumo[[#This Row],[FECHA]])</f>
        <v>2016-12</v>
      </c>
    </row>
    <row r="532" spans="1:4" x14ac:dyDescent="0.25">
      <c r="A532" t="s">
        <v>1464</v>
      </c>
      <c r="B532">
        <v>3</v>
      </c>
      <c r="C532" s="55">
        <v>42736</v>
      </c>
      <c r="D532" s="3" t="str">
        <f>YEAR(Datos_Consumo[[#This Row],[FECHA]])&amp;"-"&amp;MONTH(Datos_Consumo[[#This Row],[FECHA]])</f>
        <v>2017-1</v>
      </c>
    </row>
    <row r="533" spans="1:4" x14ac:dyDescent="0.25">
      <c r="A533" t="s">
        <v>1465</v>
      </c>
      <c r="B533">
        <v>2</v>
      </c>
      <c r="C533" s="55">
        <v>42767</v>
      </c>
      <c r="D533" s="3" t="str">
        <f>YEAR(Datos_Consumo[[#This Row],[FECHA]])&amp;"-"&amp;MONTH(Datos_Consumo[[#This Row],[FECHA]])</f>
        <v>2017-2</v>
      </c>
    </row>
    <row r="534" spans="1:4" x14ac:dyDescent="0.25">
      <c r="A534" t="s">
        <v>1466</v>
      </c>
      <c r="B534">
        <v>1</v>
      </c>
      <c r="C534" s="55">
        <v>42705</v>
      </c>
      <c r="D534" s="3" t="str">
        <f>YEAR(Datos_Consumo[[#This Row],[FECHA]])&amp;"-"&amp;MONTH(Datos_Consumo[[#This Row],[FECHA]])</f>
        <v>2016-12</v>
      </c>
    </row>
    <row r="535" spans="1:4" x14ac:dyDescent="0.25">
      <c r="A535" t="s">
        <v>1466</v>
      </c>
      <c r="B535">
        <v>1</v>
      </c>
      <c r="C535" s="55">
        <v>42826</v>
      </c>
      <c r="D535" s="3" t="str">
        <f>YEAR(Datos_Consumo[[#This Row],[FECHA]])&amp;"-"&amp;MONTH(Datos_Consumo[[#This Row],[FECHA]])</f>
        <v>2017-4</v>
      </c>
    </row>
    <row r="536" spans="1:4" x14ac:dyDescent="0.25">
      <c r="A536" t="s">
        <v>1758</v>
      </c>
      <c r="B536">
        <v>1</v>
      </c>
      <c r="C536" s="55">
        <v>42826</v>
      </c>
      <c r="D536" s="3" t="str">
        <f>YEAR(Datos_Consumo[[#This Row],[FECHA]])&amp;"-"&amp;MONTH(Datos_Consumo[[#This Row],[FECHA]])</f>
        <v>2017-4</v>
      </c>
    </row>
    <row r="537" spans="1:4" x14ac:dyDescent="0.25">
      <c r="A537" t="s">
        <v>1467</v>
      </c>
      <c r="B537">
        <v>7</v>
      </c>
      <c r="C537" s="55">
        <v>42736</v>
      </c>
      <c r="D537" s="3" t="str">
        <f>YEAR(Datos_Consumo[[#This Row],[FECHA]])&amp;"-"&amp;MONTH(Datos_Consumo[[#This Row],[FECHA]])</f>
        <v>2017-1</v>
      </c>
    </row>
    <row r="538" spans="1:4" x14ac:dyDescent="0.25">
      <c r="A538" t="s">
        <v>1468</v>
      </c>
      <c r="B538">
        <v>4</v>
      </c>
      <c r="C538" s="55">
        <v>42705</v>
      </c>
      <c r="D538" s="3" t="str">
        <f>YEAR(Datos_Consumo[[#This Row],[FECHA]])&amp;"-"&amp;MONTH(Datos_Consumo[[#This Row],[FECHA]])</f>
        <v>2016-12</v>
      </c>
    </row>
    <row r="539" spans="1:4" x14ac:dyDescent="0.25">
      <c r="A539" t="s">
        <v>1468</v>
      </c>
      <c r="B539">
        <v>8</v>
      </c>
      <c r="C539" s="55">
        <v>42736</v>
      </c>
      <c r="D539" s="3" t="str">
        <f>YEAR(Datos_Consumo[[#This Row],[FECHA]])&amp;"-"&amp;MONTH(Datos_Consumo[[#This Row],[FECHA]])</f>
        <v>2017-1</v>
      </c>
    </row>
    <row r="540" spans="1:4" x14ac:dyDescent="0.25">
      <c r="A540" t="s">
        <v>1468</v>
      </c>
      <c r="B540">
        <v>2</v>
      </c>
      <c r="C540" s="55">
        <v>42767</v>
      </c>
      <c r="D540" s="3" t="str">
        <f>YEAR(Datos_Consumo[[#This Row],[FECHA]])&amp;"-"&amp;MONTH(Datos_Consumo[[#This Row],[FECHA]])</f>
        <v>2017-2</v>
      </c>
    </row>
    <row r="541" spans="1:4" x14ac:dyDescent="0.25">
      <c r="A541" t="s">
        <v>1468</v>
      </c>
      <c r="B541">
        <v>3</v>
      </c>
      <c r="C541" s="55">
        <v>42795</v>
      </c>
      <c r="D541" s="3" t="str">
        <f>YEAR(Datos_Consumo[[#This Row],[FECHA]])&amp;"-"&amp;MONTH(Datos_Consumo[[#This Row],[FECHA]])</f>
        <v>2017-3</v>
      </c>
    </row>
    <row r="542" spans="1:4" x14ac:dyDescent="0.25">
      <c r="A542" t="s">
        <v>1468</v>
      </c>
      <c r="B542">
        <v>6</v>
      </c>
      <c r="C542" s="55">
        <v>42826</v>
      </c>
      <c r="D542" s="3" t="str">
        <f>YEAR(Datos_Consumo[[#This Row],[FECHA]])&amp;"-"&amp;MONTH(Datos_Consumo[[#This Row],[FECHA]])</f>
        <v>2017-4</v>
      </c>
    </row>
    <row r="543" spans="1:4" x14ac:dyDescent="0.25">
      <c r="A543" t="s">
        <v>1468</v>
      </c>
      <c r="B543">
        <v>2</v>
      </c>
      <c r="C543" s="55">
        <v>42856</v>
      </c>
      <c r="D543" s="3" t="str">
        <f>YEAR(Datos_Consumo[[#This Row],[FECHA]])&amp;"-"&amp;MONTH(Datos_Consumo[[#This Row],[FECHA]])</f>
        <v>2017-5</v>
      </c>
    </row>
    <row r="544" spans="1:4" x14ac:dyDescent="0.25">
      <c r="A544" t="s">
        <v>1469</v>
      </c>
      <c r="B544">
        <v>3</v>
      </c>
      <c r="C544" s="55">
        <v>42705</v>
      </c>
      <c r="D544" s="3" t="str">
        <f>YEAR(Datos_Consumo[[#This Row],[FECHA]])&amp;"-"&amp;MONTH(Datos_Consumo[[#This Row],[FECHA]])</f>
        <v>2016-12</v>
      </c>
    </row>
    <row r="545" spans="1:4" x14ac:dyDescent="0.25">
      <c r="A545" t="s">
        <v>1469</v>
      </c>
      <c r="B545">
        <v>1</v>
      </c>
      <c r="C545" s="55">
        <v>42856</v>
      </c>
      <c r="D545" s="3" t="str">
        <f>YEAR(Datos_Consumo[[#This Row],[FECHA]])&amp;"-"&amp;MONTH(Datos_Consumo[[#This Row],[FECHA]])</f>
        <v>2017-5</v>
      </c>
    </row>
    <row r="546" spans="1:4" x14ac:dyDescent="0.25">
      <c r="A546" t="s">
        <v>1470</v>
      </c>
      <c r="B546">
        <v>1</v>
      </c>
      <c r="C546" s="55">
        <v>42705</v>
      </c>
      <c r="D546" s="3" t="str">
        <f>YEAR(Datos_Consumo[[#This Row],[FECHA]])&amp;"-"&amp;MONTH(Datos_Consumo[[#This Row],[FECHA]])</f>
        <v>2016-12</v>
      </c>
    </row>
    <row r="547" spans="1:4" x14ac:dyDescent="0.25">
      <c r="A547" t="s">
        <v>1470</v>
      </c>
      <c r="B547">
        <v>1</v>
      </c>
      <c r="C547" s="55">
        <v>42795</v>
      </c>
      <c r="D547" s="3" t="str">
        <f>YEAR(Datos_Consumo[[#This Row],[FECHA]])&amp;"-"&amp;MONTH(Datos_Consumo[[#This Row],[FECHA]])</f>
        <v>2017-3</v>
      </c>
    </row>
    <row r="548" spans="1:4" x14ac:dyDescent="0.25">
      <c r="A548" t="s">
        <v>1471</v>
      </c>
      <c r="B548">
        <v>125</v>
      </c>
      <c r="C548" s="55">
        <v>42705</v>
      </c>
      <c r="D548" s="3" t="str">
        <f>YEAR(Datos_Consumo[[#This Row],[FECHA]])&amp;"-"&amp;MONTH(Datos_Consumo[[#This Row],[FECHA]])</f>
        <v>2016-12</v>
      </c>
    </row>
    <row r="549" spans="1:4" x14ac:dyDescent="0.25">
      <c r="A549" t="s">
        <v>1471</v>
      </c>
      <c r="B549">
        <v>6630</v>
      </c>
      <c r="C549" s="55">
        <v>42767</v>
      </c>
      <c r="D549" s="3" t="str">
        <f>YEAR(Datos_Consumo[[#This Row],[FECHA]])&amp;"-"&amp;MONTH(Datos_Consumo[[#This Row],[FECHA]])</f>
        <v>2017-2</v>
      </c>
    </row>
    <row r="550" spans="1:4" x14ac:dyDescent="0.25">
      <c r="A550" t="s">
        <v>1471</v>
      </c>
      <c r="B550">
        <v>6630</v>
      </c>
      <c r="C550" s="55">
        <v>42856</v>
      </c>
      <c r="D550" s="3" t="str">
        <f>YEAR(Datos_Consumo[[#This Row],[FECHA]])&amp;"-"&amp;MONTH(Datos_Consumo[[#This Row],[FECHA]])</f>
        <v>2017-5</v>
      </c>
    </row>
    <row r="551" spans="1:4" x14ac:dyDescent="0.25">
      <c r="A551" t="s">
        <v>1759</v>
      </c>
      <c r="B551">
        <v>1</v>
      </c>
      <c r="C551" s="55">
        <v>42795</v>
      </c>
      <c r="D551" s="3" t="str">
        <f>YEAR(Datos_Consumo[[#This Row],[FECHA]])&amp;"-"&amp;MONTH(Datos_Consumo[[#This Row],[FECHA]])</f>
        <v>2017-3</v>
      </c>
    </row>
    <row r="552" spans="1:4" x14ac:dyDescent="0.25">
      <c r="A552" t="s">
        <v>1759</v>
      </c>
      <c r="B552">
        <v>1</v>
      </c>
      <c r="C552" s="55">
        <v>42856</v>
      </c>
      <c r="D552" s="3" t="str">
        <f>YEAR(Datos_Consumo[[#This Row],[FECHA]])&amp;"-"&amp;MONTH(Datos_Consumo[[#This Row],[FECHA]])</f>
        <v>2017-5</v>
      </c>
    </row>
    <row r="553" spans="1:4" x14ac:dyDescent="0.25">
      <c r="A553" t="s">
        <v>1472</v>
      </c>
      <c r="B553">
        <v>1</v>
      </c>
      <c r="C553" s="55">
        <v>42736</v>
      </c>
      <c r="D553" s="3" t="str">
        <f>YEAR(Datos_Consumo[[#This Row],[FECHA]])&amp;"-"&amp;MONTH(Datos_Consumo[[#This Row],[FECHA]])</f>
        <v>2017-1</v>
      </c>
    </row>
    <row r="554" spans="1:4" x14ac:dyDescent="0.25">
      <c r="A554" t="s">
        <v>1760</v>
      </c>
      <c r="B554">
        <v>1</v>
      </c>
      <c r="C554" s="55">
        <v>42795</v>
      </c>
      <c r="D554" s="3" t="str">
        <f>YEAR(Datos_Consumo[[#This Row],[FECHA]])&amp;"-"&amp;MONTH(Datos_Consumo[[#This Row],[FECHA]])</f>
        <v>2017-3</v>
      </c>
    </row>
    <row r="555" spans="1:4" x14ac:dyDescent="0.25">
      <c r="A555" t="s">
        <v>1473</v>
      </c>
      <c r="B555">
        <v>1</v>
      </c>
      <c r="C555" s="55">
        <v>42705</v>
      </c>
      <c r="D555" s="3" t="str">
        <f>YEAR(Datos_Consumo[[#This Row],[FECHA]])&amp;"-"&amp;MONTH(Datos_Consumo[[#This Row],[FECHA]])</f>
        <v>2016-12</v>
      </c>
    </row>
    <row r="556" spans="1:4" x14ac:dyDescent="0.25">
      <c r="A556" t="s">
        <v>1474</v>
      </c>
      <c r="B556">
        <v>2</v>
      </c>
      <c r="C556" s="55">
        <v>42736</v>
      </c>
      <c r="D556" s="3" t="str">
        <f>YEAR(Datos_Consumo[[#This Row],[FECHA]])&amp;"-"&amp;MONTH(Datos_Consumo[[#This Row],[FECHA]])</f>
        <v>2017-1</v>
      </c>
    </row>
    <row r="557" spans="1:4" x14ac:dyDescent="0.25">
      <c r="A557" t="s">
        <v>1475</v>
      </c>
      <c r="B557">
        <v>1</v>
      </c>
      <c r="C557" s="55">
        <v>42767</v>
      </c>
      <c r="D557" s="3" t="str">
        <f>YEAR(Datos_Consumo[[#This Row],[FECHA]])&amp;"-"&amp;MONTH(Datos_Consumo[[#This Row],[FECHA]])</f>
        <v>2017-2</v>
      </c>
    </row>
    <row r="558" spans="1:4" x14ac:dyDescent="0.25">
      <c r="A558" t="s">
        <v>1476</v>
      </c>
      <c r="B558">
        <v>1</v>
      </c>
      <c r="C558" s="55">
        <v>42705</v>
      </c>
      <c r="D558" s="3" t="str">
        <f>YEAR(Datos_Consumo[[#This Row],[FECHA]])&amp;"-"&amp;MONTH(Datos_Consumo[[#This Row],[FECHA]])</f>
        <v>2016-12</v>
      </c>
    </row>
    <row r="559" spans="1:4" x14ac:dyDescent="0.25">
      <c r="A559" t="s">
        <v>1761</v>
      </c>
      <c r="B559">
        <v>143</v>
      </c>
      <c r="C559" s="55">
        <v>42795</v>
      </c>
      <c r="D559" s="3" t="str">
        <f>YEAR(Datos_Consumo[[#This Row],[FECHA]])&amp;"-"&amp;MONTH(Datos_Consumo[[#This Row],[FECHA]])</f>
        <v>2017-3</v>
      </c>
    </row>
    <row r="560" spans="1:4" x14ac:dyDescent="0.25">
      <c r="A560" t="s">
        <v>1679</v>
      </c>
      <c r="B560">
        <v>200</v>
      </c>
      <c r="C560" s="55">
        <v>42795</v>
      </c>
      <c r="D560" s="3" t="str">
        <f>YEAR(Datos_Consumo[[#This Row],[FECHA]])&amp;"-"&amp;MONTH(Datos_Consumo[[#This Row],[FECHA]])</f>
        <v>2017-3</v>
      </c>
    </row>
    <row r="561" spans="1:4" x14ac:dyDescent="0.25">
      <c r="A561" t="s">
        <v>1679</v>
      </c>
      <c r="B561">
        <v>350</v>
      </c>
      <c r="C561" s="55">
        <v>42826</v>
      </c>
      <c r="D561" s="3" t="str">
        <f>YEAR(Datos_Consumo[[#This Row],[FECHA]])&amp;"-"&amp;MONTH(Datos_Consumo[[#This Row],[FECHA]])</f>
        <v>2017-4</v>
      </c>
    </row>
    <row r="562" spans="1:4" x14ac:dyDescent="0.25">
      <c r="A562" t="s">
        <v>1762</v>
      </c>
      <c r="B562">
        <v>950</v>
      </c>
      <c r="C562" s="55">
        <v>42795</v>
      </c>
      <c r="D562" s="3" t="str">
        <f>YEAR(Datos_Consumo[[#This Row],[FECHA]])&amp;"-"&amp;MONTH(Datos_Consumo[[#This Row],[FECHA]])</f>
        <v>2017-3</v>
      </c>
    </row>
    <row r="563" spans="1:4" x14ac:dyDescent="0.25">
      <c r="A563" t="s">
        <v>1619</v>
      </c>
      <c r="B563">
        <v>4200</v>
      </c>
      <c r="C563" s="55">
        <v>42736</v>
      </c>
      <c r="D563" s="3" t="str">
        <f>YEAR(Datos_Consumo[[#This Row],[FECHA]])&amp;"-"&amp;MONTH(Datos_Consumo[[#This Row],[FECHA]])</f>
        <v>2017-1</v>
      </c>
    </row>
    <row r="564" spans="1:4" x14ac:dyDescent="0.25">
      <c r="A564" t="s">
        <v>1619</v>
      </c>
      <c r="B564">
        <v>200</v>
      </c>
      <c r="C564" s="55">
        <v>42767</v>
      </c>
      <c r="D564" s="3" t="str">
        <f>YEAR(Datos_Consumo[[#This Row],[FECHA]])&amp;"-"&amp;MONTH(Datos_Consumo[[#This Row],[FECHA]])</f>
        <v>2017-2</v>
      </c>
    </row>
    <row r="565" spans="1:4" x14ac:dyDescent="0.25">
      <c r="A565" t="s">
        <v>1680</v>
      </c>
      <c r="B565">
        <v>300</v>
      </c>
      <c r="C565" s="55">
        <v>42795</v>
      </c>
      <c r="D565" s="3" t="str">
        <f>YEAR(Datos_Consumo[[#This Row],[FECHA]])&amp;"-"&amp;MONTH(Datos_Consumo[[#This Row],[FECHA]])</f>
        <v>2017-3</v>
      </c>
    </row>
    <row r="566" spans="1:4" x14ac:dyDescent="0.25">
      <c r="A566" t="s">
        <v>1680</v>
      </c>
      <c r="B566">
        <v>750</v>
      </c>
      <c r="C566" s="55">
        <v>42826</v>
      </c>
      <c r="D566" s="3" t="str">
        <f>YEAR(Datos_Consumo[[#This Row],[FECHA]])&amp;"-"&amp;MONTH(Datos_Consumo[[#This Row],[FECHA]])</f>
        <v>2017-4</v>
      </c>
    </row>
    <row r="567" spans="1:4" x14ac:dyDescent="0.25">
      <c r="A567" t="s">
        <v>1680</v>
      </c>
      <c r="B567">
        <v>3500</v>
      </c>
      <c r="C567" s="55">
        <v>42856</v>
      </c>
      <c r="D567" s="3" t="str">
        <f>YEAR(Datos_Consumo[[#This Row],[FECHA]])&amp;"-"&amp;MONTH(Datos_Consumo[[#This Row],[FECHA]])</f>
        <v>2017-5</v>
      </c>
    </row>
    <row r="568" spans="1:4" x14ac:dyDescent="0.25">
      <c r="A568" t="s">
        <v>1763</v>
      </c>
      <c r="B568">
        <v>250</v>
      </c>
      <c r="C568" s="55">
        <v>42795</v>
      </c>
      <c r="D568" s="3" t="str">
        <f>YEAR(Datos_Consumo[[#This Row],[FECHA]])&amp;"-"&amp;MONTH(Datos_Consumo[[#This Row],[FECHA]])</f>
        <v>2017-3</v>
      </c>
    </row>
    <row r="569" spans="1:4" x14ac:dyDescent="0.25">
      <c r="A569" t="s">
        <v>1620</v>
      </c>
      <c r="B569">
        <v>14800</v>
      </c>
      <c r="C569" s="55">
        <v>42705</v>
      </c>
      <c r="D569" s="3" t="str">
        <f>YEAR(Datos_Consumo[[#This Row],[FECHA]])&amp;"-"&amp;MONTH(Datos_Consumo[[#This Row],[FECHA]])</f>
        <v>2016-12</v>
      </c>
    </row>
    <row r="570" spans="1:4" x14ac:dyDescent="0.25">
      <c r="A570" t="s">
        <v>1620</v>
      </c>
      <c r="B570">
        <v>2300</v>
      </c>
      <c r="C570" s="55">
        <v>42736</v>
      </c>
      <c r="D570" s="3" t="str">
        <f>YEAR(Datos_Consumo[[#This Row],[FECHA]])&amp;"-"&amp;MONTH(Datos_Consumo[[#This Row],[FECHA]])</f>
        <v>2017-1</v>
      </c>
    </row>
    <row r="571" spans="1:4" x14ac:dyDescent="0.25">
      <c r="A571" t="s">
        <v>1620</v>
      </c>
      <c r="B571">
        <v>300</v>
      </c>
      <c r="C571" s="55">
        <v>42767</v>
      </c>
      <c r="D571" s="3" t="str">
        <f>YEAR(Datos_Consumo[[#This Row],[FECHA]])&amp;"-"&amp;MONTH(Datos_Consumo[[#This Row],[FECHA]])</f>
        <v>2017-2</v>
      </c>
    </row>
    <row r="572" spans="1:4" x14ac:dyDescent="0.25">
      <c r="A572" t="s">
        <v>1620</v>
      </c>
      <c r="B572">
        <v>3000</v>
      </c>
      <c r="C572" s="55">
        <v>42795</v>
      </c>
      <c r="D572" s="3" t="str">
        <f>YEAR(Datos_Consumo[[#This Row],[FECHA]])&amp;"-"&amp;MONTH(Datos_Consumo[[#This Row],[FECHA]])</f>
        <v>2017-3</v>
      </c>
    </row>
    <row r="573" spans="1:4" x14ac:dyDescent="0.25">
      <c r="A573" t="s">
        <v>1681</v>
      </c>
      <c r="B573">
        <v>1200</v>
      </c>
      <c r="C573" s="55">
        <v>42826</v>
      </c>
      <c r="D573" s="3" t="str">
        <f>YEAR(Datos_Consumo[[#This Row],[FECHA]])&amp;"-"&amp;MONTH(Datos_Consumo[[#This Row],[FECHA]])</f>
        <v>2017-4</v>
      </c>
    </row>
    <row r="574" spans="1:4" x14ac:dyDescent="0.25">
      <c r="A574" t="s">
        <v>1681</v>
      </c>
      <c r="B574">
        <v>1000</v>
      </c>
      <c r="C574" s="55">
        <v>42856</v>
      </c>
      <c r="D574" s="3" t="str">
        <f>YEAR(Datos_Consumo[[#This Row],[FECHA]])&amp;"-"&amp;MONTH(Datos_Consumo[[#This Row],[FECHA]])</f>
        <v>2017-5</v>
      </c>
    </row>
    <row r="575" spans="1:4" x14ac:dyDescent="0.25">
      <c r="A575" t="s">
        <v>1764</v>
      </c>
      <c r="B575">
        <v>900</v>
      </c>
      <c r="C575" s="55">
        <v>42795</v>
      </c>
      <c r="D575" s="3" t="str">
        <f>YEAR(Datos_Consumo[[#This Row],[FECHA]])&amp;"-"&amp;MONTH(Datos_Consumo[[#This Row],[FECHA]])</f>
        <v>2017-3</v>
      </c>
    </row>
    <row r="576" spans="1:4" x14ac:dyDescent="0.25">
      <c r="A576" t="s">
        <v>1621</v>
      </c>
      <c r="B576">
        <v>2200</v>
      </c>
      <c r="C576" s="55">
        <v>42736</v>
      </c>
      <c r="D576" s="3" t="str">
        <f>YEAR(Datos_Consumo[[#This Row],[FECHA]])&amp;"-"&amp;MONTH(Datos_Consumo[[#This Row],[FECHA]])</f>
        <v>2017-1</v>
      </c>
    </row>
    <row r="577" spans="1:4" x14ac:dyDescent="0.25">
      <c r="A577" t="s">
        <v>1621</v>
      </c>
      <c r="B577">
        <v>200</v>
      </c>
      <c r="C577" s="55">
        <v>42767</v>
      </c>
      <c r="D577" s="3" t="str">
        <f>YEAR(Datos_Consumo[[#This Row],[FECHA]])&amp;"-"&amp;MONTH(Datos_Consumo[[#This Row],[FECHA]])</f>
        <v>2017-2</v>
      </c>
    </row>
    <row r="578" spans="1:4" x14ac:dyDescent="0.25">
      <c r="A578" t="s">
        <v>1622</v>
      </c>
      <c r="B578">
        <v>2</v>
      </c>
      <c r="C578" s="55">
        <v>42795</v>
      </c>
      <c r="D578" s="3" t="str">
        <f>YEAR(Datos_Consumo[[#This Row],[FECHA]])&amp;"-"&amp;MONTH(Datos_Consumo[[#This Row],[FECHA]])</f>
        <v>2017-3</v>
      </c>
    </row>
    <row r="579" spans="1:4" x14ac:dyDescent="0.25">
      <c r="A579" t="s">
        <v>1765</v>
      </c>
      <c r="B579">
        <v>1</v>
      </c>
      <c r="C579" s="55">
        <v>42795</v>
      </c>
      <c r="D579" s="3" t="str">
        <f>YEAR(Datos_Consumo[[#This Row],[FECHA]])&amp;"-"&amp;MONTH(Datos_Consumo[[#This Row],[FECHA]])</f>
        <v>2017-3</v>
      </c>
    </row>
    <row r="580" spans="1:4" x14ac:dyDescent="0.25">
      <c r="A580" t="s">
        <v>1623</v>
      </c>
      <c r="B580">
        <v>50</v>
      </c>
      <c r="C580" s="55">
        <v>42736</v>
      </c>
      <c r="D580" s="3" t="str">
        <f>YEAR(Datos_Consumo[[#This Row],[FECHA]])&amp;"-"&amp;MONTH(Datos_Consumo[[#This Row],[FECHA]])</f>
        <v>2017-1</v>
      </c>
    </row>
    <row r="581" spans="1:4" x14ac:dyDescent="0.25">
      <c r="A581" t="s">
        <v>1623</v>
      </c>
      <c r="B581">
        <v>60</v>
      </c>
      <c r="C581" s="55">
        <v>42826</v>
      </c>
      <c r="D581" s="3" t="str">
        <f>YEAR(Datos_Consumo[[#This Row],[FECHA]])&amp;"-"&amp;MONTH(Datos_Consumo[[#This Row],[FECHA]])</f>
        <v>2017-4</v>
      </c>
    </row>
    <row r="582" spans="1:4" x14ac:dyDescent="0.25">
      <c r="A582" t="s">
        <v>1624</v>
      </c>
      <c r="B582">
        <v>15</v>
      </c>
      <c r="C582" s="55">
        <v>42705</v>
      </c>
      <c r="D582" s="3" t="str">
        <f>YEAR(Datos_Consumo[[#This Row],[FECHA]])&amp;"-"&amp;MONTH(Datos_Consumo[[#This Row],[FECHA]])</f>
        <v>2016-12</v>
      </c>
    </row>
    <row r="583" spans="1:4" x14ac:dyDescent="0.25">
      <c r="A583" t="s">
        <v>1624</v>
      </c>
      <c r="B583">
        <v>15</v>
      </c>
      <c r="C583" s="55">
        <v>42736</v>
      </c>
      <c r="D583" s="3" t="str">
        <f>YEAR(Datos_Consumo[[#This Row],[FECHA]])&amp;"-"&amp;MONTH(Datos_Consumo[[#This Row],[FECHA]])</f>
        <v>2017-1</v>
      </c>
    </row>
    <row r="584" spans="1:4" x14ac:dyDescent="0.25">
      <c r="A584" t="s">
        <v>1624</v>
      </c>
      <c r="B584">
        <v>15</v>
      </c>
      <c r="C584" s="55">
        <v>42767</v>
      </c>
      <c r="D584" s="3" t="str">
        <f>YEAR(Datos_Consumo[[#This Row],[FECHA]])&amp;"-"&amp;MONTH(Datos_Consumo[[#This Row],[FECHA]])</f>
        <v>2017-2</v>
      </c>
    </row>
    <row r="585" spans="1:4" x14ac:dyDescent="0.25">
      <c r="A585" t="s">
        <v>1624</v>
      </c>
      <c r="B585">
        <v>12</v>
      </c>
      <c r="C585" s="55">
        <v>42795</v>
      </c>
      <c r="D585" s="3" t="str">
        <f>YEAR(Datos_Consumo[[#This Row],[FECHA]])&amp;"-"&amp;MONTH(Datos_Consumo[[#This Row],[FECHA]])</f>
        <v>2017-3</v>
      </c>
    </row>
    <row r="586" spans="1:4" x14ac:dyDescent="0.25">
      <c r="A586" t="s">
        <v>1624</v>
      </c>
      <c r="B586">
        <v>5</v>
      </c>
      <c r="C586" s="55">
        <v>42826</v>
      </c>
      <c r="D586" s="3" t="str">
        <f>YEAR(Datos_Consumo[[#This Row],[FECHA]])&amp;"-"&amp;MONTH(Datos_Consumo[[#This Row],[FECHA]])</f>
        <v>2017-4</v>
      </c>
    </row>
    <row r="587" spans="1:4" x14ac:dyDescent="0.25">
      <c r="A587" t="s">
        <v>1624</v>
      </c>
      <c r="B587">
        <v>5</v>
      </c>
      <c r="C587" s="55">
        <v>42856</v>
      </c>
      <c r="D587" s="3" t="str">
        <f>YEAR(Datos_Consumo[[#This Row],[FECHA]])&amp;"-"&amp;MONTH(Datos_Consumo[[#This Row],[FECHA]])</f>
        <v>2017-5</v>
      </c>
    </row>
    <row r="588" spans="1:4" x14ac:dyDescent="0.25">
      <c r="A588" t="s">
        <v>1625</v>
      </c>
      <c r="B588">
        <v>500</v>
      </c>
      <c r="C588" s="55">
        <v>42705</v>
      </c>
      <c r="D588" s="3" t="str">
        <f>YEAR(Datos_Consumo[[#This Row],[FECHA]])&amp;"-"&amp;MONTH(Datos_Consumo[[#This Row],[FECHA]])</f>
        <v>2016-12</v>
      </c>
    </row>
    <row r="589" spans="1:4" x14ac:dyDescent="0.25">
      <c r="A589" t="s">
        <v>1625</v>
      </c>
      <c r="B589">
        <v>500</v>
      </c>
      <c r="C589" s="55">
        <v>42736</v>
      </c>
      <c r="D589" s="3" t="str">
        <f>YEAR(Datos_Consumo[[#This Row],[FECHA]])&amp;"-"&amp;MONTH(Datos_Consumo[[#This Row],[FECHA]])</f>
        <v>2017-1</v>
      </c>
    </row>
    <row r="590" spans="1:4" x14ac:dyDescent="0.25">
      <c r="A590" t="s">
        <v>1626</v>
      </c>
      <c r="B590">
        <v>500</v>
      </c>
      <c r="C590" s="55">
        <v>42705</v>
      </c>
      <c r="D590" s="3" t="str">
        <f>YEAR(Datos_Consumo[[#This Row],[FECHA]])&amp;"-"&amp;MONTH(Datos_Consumo[[#This Row],[FECHA]])</f>
        <v>2016-12</v>
      </c>
    </row>
    <row r="591" spans="1:4" x14ac:dyDescent="0.25">
      <c r="A591" t="s">
        <v>1626</v>
      </c>
      <c r="B591">
        <v>500</v>
      </c>
      <c r="C591" s="55">
        <v>42736</v>
      </c>
      <c r="D591" s="3" t="str">
        <f>YEAR(Datos_Consumo[[#This Row],[FECHA]])&amp;"-"&amp;MONTH(Datos_Consumo[[#This Row],[FECHA]])</f>
        <v>2017-1</v>
      </c>
    </row>
    <row r="592" spans="1:4" x14ac:dyDescent="0.25">
      <c r="A592" t="s">
        <v>1627</v>
      </c>
      <c r="B592">
        <v>500</v>
      </c>
      <c r="C592" s="55">
        <v>42705</v>
      </c>
      <c r="D592" s="3" t="str">
        <f>YEAR(Datos_Consumo[[#This Row],[FECHA]])&amp;"-"&amp;MONTH(Datos_Consumo[[#This Row],[FECHA]])</f>
        <v>2016-12</v>
      </c>
    </row>
    <row r="593" spans="1:4" x14ac:dyDescent="0.25">
      <c r="A593" t="s">
        <v>1627</v>
      </c>
      <c r="B593">
        <v>500</v>
      </c>
      <c r="C593" s="55">
        <v>42736</v>
      </c>
      <c r="D593" s="3" t="str">
        <f>YEAR(Datos_Consumo[[#This Row],[FECHA]])&amp;"-"&amp;MONTH(Datos_Consumo[[#This Row],[FECHA]])</f>
        <v>2017-1</v>
      </c>
    </row>
    <row r="594" spans="1:4" x14ac:dyDescent="0.25">
      <c r="A594" t="s">
        <v>1766</v>
      </c>
      <c r="B594">
        <v>5</v>
      </c>
      <c r="C594" s="55">
        <v>42767</v>
      </c>
      <c r="D594" s="3" t="str">
        <f>YEAR(Datos_Consumo[[#This Row],[FECHA]])&amp;"-"&amp;MONTH(Datos_Consumo[[#This Row],[FECHA]])</f>
        <v>2017-2</v>
      </c>
    </row>
    <row r="595" spans="1:4" x14ac:dyDescent="0.25">
      <c r="A595" t="s">
        <v>1682</v>
      </c>
      <c r="B595">
        <v>8</v>
      </c>
      <c r="C595" s="55">
        <v>42826</v>
      </c>
      <c r="D595" s="3" t="str">
        <f>YEAR(Datos_Consumo[[#This Row],[FECHA]])&amp;"-"&amp;MONTH(Datos_Consumo[[#This Row],[FECHA]])</f>
        <v>2017-4</v>
      </c>
    </row>
    <row r="596" spans="1:4" x14ac:dyDescent="0.25">
      <c r="A596" t="s">
        <v>1477</v>
      </c>
      <c r="B596">
        <v>80</v>
      </c>
      <c r="C596" s="55">
        <v>42705</v>
      </c>
      <c r="D596" s="3" t="str">
        <f>YEAR(Datos_Consumo[[#This Row],[FECHA]])&amp;"-"&amp;MONTH(Datos_Consumo[[#This Row],[FECHA]])</f>
        <v>2016-12</v>
      </c>
    </row>
    <row r="597" spans="1:4" x14ac:dyDescent="0.25">
      <c r="A597" t="s">
        <v>1477</v>
      </c>
      <c r="B597">
        <v>48</v>
      </c>
      <c r="C597" s="55">
        <v>42736</v>
      </c>
      <c r="D597" s="3" t="str">
        <f>YEAR(Datos_Consumo[[#This Row],[FECHA]])&amp;"-"&amp;MONTH(Datos_Consumo[[#This Row],[FECHA]])</f>
        <v>2017-1</v>
      </c>
    </row>
    <row r="598" spans="1:4" x14ac:dyDescent="0.25">
      <c r="A598" t="s">
        <v>1477</v>
      </c>
      <c r="B598">
        <v>85</v>
      </c>
      <c r="C598" s="55">
        <v>42767</v>
      </c>
      <c r="D598" s="3" t="str">
        <f>YEAR(Datos_Consumo[[#This Row],[FECHA]])&amp;"-"&amp;MONTH(Datos_Consumo[[#This Row],[FECHA]])</f>
        <v>2017-2</v>
      </c>
    </row>
    <row r="599" spans="1:4" x14ac:dyDescent="0.25">
      <c r="A599" t="s">
        <v>1477</v>
      </c>
      <c r="B599">
        <v>28</v>
      </c>
      <c r="C599" s="55">
        <v>42795</v>
      </c>
      <c r="D599" s="3" t="str">
        <f>YEAR(Datos_Consumo[[#This Row],[FECHA]])&amp;"-"&amp;MONTH(Datos_Consumo[[#This Row],[FECHA]])</f>
        <v>2017-3</v>
      </c>
    </row>
    <row r="600" spans="1:4" x14ac:dyDescent="0.25">
      <c r="A600" t="s">
        <v>1477</v>
      </c>
      <c r="B600">
        <v>60</v>
      </c>
      <c r="C600" s="55">
        <v>42826</v>
      </c>
      <c r="D600" s="3" t="str">
        <f>YEAR(Datos_Consumo[[#This Row],[FECHA]])&amp;"-"&amp;MONTH(Datos_Consumo[[#This Row],[FECHA]])</f>
        <v>2017-4</v>
      </c>
    </row>
    <row r="601" spans="1:4" x14ac:dyDescent="0.25">
      <c r="A601" t="s">
        <v>1477</v>
      </c>
      <c r="B601">
        <v>16</v>
      </c>
      <c r="C601" s="55">
        <v>42856</v>
      </c>
      <c r="D601" s="3" t="str">
        <f>YEAR(Datos_Consumo[[#This Row],[FECHA]])&amp;"-"&amp;MONTH(Datos_Consumo[[#This Row],[FECHA]])</f>
        <v>2017-5</v>
      </c>
    </row>
    <row r="602" spans="1:4" x14ac:dyDescent="0.25">
      <c r="A602" t="s">
        <v>1767</v>
      </c>
      <c r="B602">
        <v>1</v>
      </c>
      <c r="C602" s="55">
        <v>42826</v>
      </c>
      <c r="D602" s="3" t="str">
        <f>YEAR(Datos_Consumo[[#This Row],[FECHA]])&amp;"-"&amp;MONTH(Datos_Consumo[[#This Row],[FECHA]])</f>
        <v>2017-4</v>
      </c>
    </row>
    <row r="603" spans="1:4" x14ac:dyDescent="0.25">
      <c r="A603" t="s">
        <v>1768</v>
      </c>
      <c r="B603">
        <v>1</v>
      </c>
      <c r="C603" s="55">
        <v>42856</v>
      </c>
      <c r="D603" s="3" t="str">
        <f>YEAR(Datos_Consumo[[#This Row],[FECHA]])&amp;"-"&amp;MONTH(Datos_Consumo[[#This Row],[FECHA]])</f>
        <v>2017-5</v>
      </c>
    </row>
    <row r="604" spans="1:4" x14ac:dyDescent="0.25">
      <c r="A604" t="s">
        <v>1769</v>
      </c>
      <c r="B604">
        <v>1</v>
      </c>
      <c r="C604" s="55">
        <v>42767</v>
      </c>
      <c r="D604" s="3" t="str">
        <f>YEAR(Datos_Consumo[[#This Row],[FECHA]])&amp;"-"&amp;MONTH(Datos_Consumo[[#This Row],[FECHA]])</f>
        <v>2017-2</v>
      </c>
    </row>
    <row r="605" spans="1:4" x14ac:dyDescent="0.25">
      <c r="A605" t="s">
        <v>1770</v>
      </c>
      <c r="B605">
        <v>1</v>
      </c>
      <c r="C605" s="55">
        <v>42795</v>
      </c>
      <c r="D605" s="3" t="str">
        <f>YEAR(Datos_Consumo[[#This Row],[FECHA]])&amp;"-"&amp;MONTH(Datos_Consumo[[#This Row],[FECHA]])</f>
        <v>2017-3</v>
      </c>
    </row>
    <row r="606" spans="1:4" x14ac:dyDescent="0.25">
      <c r="A606" t="s">
        <v>1771</v>
      </c>
      <c r="B606">
        <v>1</v>
      </c>
      <c r="C606" s="55">
        <v>42795</v>
      </c>
      <c r="D606" s="3" t="str">
        <f>YEAR(Datos_Consumo[[#This Row],[FECHA]])&amp;"-"&amp;MONTH(Datos_Consumo[[#This Row],[FECHA]])</f>
        <v>2017-3</v>
      </c>
    </row>
    <row r="607" spans="1:4" x14ac:dyDescent="0.25">
      <c r="A607" t="s">
        <v>1771</v>
      </c>
      <c r="B607">
        <v>1</v>
      </c>
      <c r="C607" s="55">
        <v>42826</v>
      </c>
      <c r="D607" s="3" t="str">
        <f>YEAR(Datos_Consumo[[#This Row],[FECHA]])&amp;"-"&amp;MONTH(Datos_Consumo[[#This Row],[FECHA]])</f>
        <v>2017-4</v>
      </c>
    </row>
    <row r="608" spans="1:4" x14ac:dyDescent="0.25">
      <c r="A608" t="s">
        <v>1478</v>
      </c>
      <c r="B608">
        <v>1</v>
      </c>
      <c r="C608" s="55">
        <v>42767</v>
      </c>
      <c r="D608" s="3" t="str">
        <f>YEAR(Datos_Consumo[[#This Row],[FECHA]])&amp;"-"&amp;MONTH(Datos_Consumo[[#This Row],[FECHA]])</f>
        <v>2017-2</v>
      </c>
    </row>
    <row r="609" spans="1:4" x14ac:dyDescent="0.25">
      <c r="A609" t="s">
        <v>1478</v>
      </c>
      <c r="B609">
        <v>1</v>
      </c>
      <c r="C609" s="55">
        <v>42795</v>
      </c>
      <c r="D609" s="3" t="str">
        <f>YEAR(Datos_Consumo[[#This Row],[FECHA]])&amp;"-"&amp;MONTH(Datos_Consumo[[#This Row],[FECHA]])</f>
        <v>2017-3</v>
      </c>
    </row>
    <row r="610" spans="1:4" x14ac:dyDescent="0.25">
      <c r="A610" t="s">
        <v>1772</v>
      </c>
      <c r="B610">
        <v>1</v>
      </c>
      <c r="C610" s="55">
        <v>42795</v>
      </c>
      <c r="D610" s="3" t="str">
        <f>YEAR(Datos_Consumo[[#This Row],[FECHA]])&amp;"-"&amp;MONTH(Datos_Consumo[[#This Row],[FECHA]])</f>
        <v>2017-3</v>
      </c>
    </row>
    <row r="611" spans="1:4" x14ac:dyDescent="0.25">
      <c r="A611" t="s">
        <v>1773</v>
      </c>
      <c r="B611">
        <v>1</v>
      </c>
      <c r="C611" s="55">
        <v>42795</v>
      </c>
      <c r="D611" s="3" t="str">
        <f>YEAR(Datos_Consumo[[#This Row],[FECHA]])&amp;"-"&amp;MONTH(Datos_Consumo[[#This Row],[FECHA]])</f>
        <v>2017-3</v>
      </c>
    </row>
    <row r="612" spans="1:4" x14ac:dyDescent="0.25">
      <c r="A612" t="s">
        <v>1773</v>
      </c>
      <c r="B612">
        <v>1</v>
      </c>
      <c r="C612" s="55">
        <v>42856</v>
      </c>
      <c r="D612" s="3" t="str">
        <f>YEAR(Datos_Consumo[[#This Row],[FECHA]])&amp;"-"&amp;MONTH(Datos_Consumo[[#This Row],[FECHA]])</f>
        <v>2017-5</v>
      </c>
    </row>
    <row r="613" spans="1:4" x14ac:dyDescent="0.25">
      <c r="A613" t="s">
        <v>1479</v>
      </c>
      <c r="B613">
        <v>1</v>
      </c>
      <c r="C613" s="55">
        <v>42767</v>
      </c>
      <c r="D613" s="3" t="str">
        <f>YEAR(Datos_Consumo[[#This Row],[FECHA]])&amp;"-"&amp;MONTH(Datos_Consumo[[#This Row],[FECHA]])</f>
        <v>2017-2</v>
      </c>
    </row>
    <row r="614" spans="1:4" x14ac:dyDescent="0.25">
      <c r="A614" t="s">
        <v>1479</v>
      </c>
      <c r="B614">
        <v>3</v>
      </c>
      <c r="C614" s="55">
        <v>42826</v>
      </c>
      <c r="D614" s="3" t="str">
        <f>YEAR(Datos_Consumo[[#This Row],[FECHA]])&amp;"-"&amp;MONTH(Datos_Consumo[[#This Row],[FECHA]])</f>
        <v>2017-4</v>
      </c>
    </row>
    <row r="615" spans="1:4" x14ac:dyDescent="0.25">
      <c r="A615" t="s">
        <v>1479</v>
      </c>
      <c r="B615">
        <v>1</v>
      </c>
      <c r="C615" s="55">
        <v>42856</v>
      </c>
      <c r="D615" s="3" t="str">
        <f>YEAR(Datos_Consumo[[#This Row],[FECHA]])&amp;"-"&amp;MONTH(Datos_Consumo[[#This Row],[FECHA]])</f>
        <v>2017-5</v>
      </c>
    </row>
    <row r="616" spans="1:4" x14ac:dyDescent="0.25">
      <c r="A616" t="s">
        <v>1774</v>
      </c>
      <c r="B616">
        <v>1</v>
      </c>
      <c r="C616" s="55">
        <v>42826</v>
      </c>
      <c r="D616" s="3" t="str">
        <f>YEAR(Datos_Consumo[[#This Row],[FECHA]])&amp;"-"&amp;MONTH(Datos_Consumo[[#This Row],[FECHA]])</f>
        <v>2017-4</v>
      </c>
    </row>
    <row r="617" spans="1:4" x14ac:dyDescent="0.25">
      <c r="A617" t="s">
        <v>1775</v>
      </c>
      <c r="B617">
        <v>1</v>
      </c>
      <c r="C617" s="55">
        <v>42795</v>
      </c>
      <c r="D617" s="3" t="str">
        <f>YEAR(Datos_Consumo[[#This Row],[FECHA]])&amp;"-"&amp;MONTH(Datos_Consumo[[#This Row],[FECHA]])</f>
        <v>2017-3</v>
      </c>
    </row>
    <row r="618" spans="1:4" x14ac:dyDescent="0.25">
      <c r="A618" t="s">
        <v>1775</v>
      </c>
      <c r="B618">
        <v>2</v>
      </c>
      <c r="C618" s="55">
        <v>42826</v>
      </c>
      <c r="D618" s="3" t="str">
        <f>YEAR(Datos_Consumo[[#This Row],[FECHA]])&amp;"-"&amp;MONTH(Datos_Consumo[[#This Row],[FECHA]])</f>
        <v>2017-4</v>
      </c>
    </row>
    <row r="619" spans="1:4" x14ac:dyDescent="0.25">
      <c r="A619" t="s">
        <v>1775</v>
      </c>
      <c r="B619">
        <v>1</v>
      </c>
      <c r="C619" s="55">
        <v>42856</v>
      </c>
      <c r="D619" s="3" t="str">
        <f>YEAR(Datos_Consumo[[#This Row],[FECHA]])&amp;"-"&amp;MONTH(Datos_Consumo[[#This Row],[FECHA]])</f>
        <v>2017-5</v>
      </c>
    </row>
    <row r="620" spans="1:4" x14ac:dyDescent="0.25">
      <c r="A620" t="s">
        <v>1776</v>
      </c>
      <c r="B620">
        <v>1</v>
      </c>
      <c r="C620" s="55">
        <v>42826</v>
      </c>
      <c r="D620" s="3" t="str">
        <f>YEAR(Datos_Consumo[[#This Row],[FECHA]])&amp;"-"&amp;MONTH(Datos_Consumo[[#This Row],[FECHA]])</f>
        <v>2017-4</v>
      </c>
    </row>
    <row r="621" spans="1:4" x14ac:dyDescent="0.25">
      <c r="A621" t="s">
        <v>1777</v>
      </c>
      <c r="B621">
        <v>1</v>
      </c>
      <c r="C621" s="55">
        <v>42767</v>
      </c>
      <c r="D621" s="3" t="str">
        <f>YEAR(Datos_Consumo[[#This Row],[FECHA]])&amp;"-"&amp;MONTH(Datos_Consumo[[#This Row],[FECHA]])</f>
        <v>2017-2</v>
      </c>
    </row>
    <row r="622" spans="1:4" x14ac:dyDescent="0.25">
      <c r="A622" t="s">
        <v>1777</v>
      </c>
      <c r="B622">
        <v>1</v>
      </c>
      <c r="C622" s="55">
        <v>42826</v>
      </c>
      <c r="D622" s="3" t="str">
        <f>YEAR(Datos_Consumo[[#This Row],[FECHA]])&amp;"-"&amp;MONTH(Datos_Consumo[[#This Row],[FECHA]])</f>
        <v>2017-4</v>
      </c>
    </row>
    <row r="623" spans="1:4" x14ac:dyDescent="0.25">
      <c r="A623" t="s">
        <v>1777</v>
      </c>
      <c r="B623">
        <v>2</v>
      </c>
      <c r="C623" s="55">
        <v>42856</v>
      </c>
      <c r="D623" s="3" t="str">
        <f>YEAR(Datos_Consumo[[#This Row],[FECHA]])&amp;"-"&amp;MONTH(Datos_Consumo[[#This Row],[FECHA]])</f>
        <v>2017-5</v>
      </c>
    </row>
    <row r="624" spans="1:4" x14ac:dyDescent="0.25">
      <c r="A624" t="s">
        <v>1778</v>
      </c>
      <c r="B624">
        <v>1</v>
      </c>
      <c r="C624" s="55">
        <v>42767</v>
      </c>
      <c r="D624" s="3" t="str">
        <f>YEAR(Datos_Consumo[[#This Row],[FECHA]])&amp;"-"&amp;MONTH(Datos_Consumo[[#This Row],[FECHA]])</f>
        <v>2017-2</v>
      </c>
    </row>
    <row r="625" spans="1:4" x14ac:dyDescent="0.25">
      <c r="A625" t="s">
        <v>1778</v>
      </c>
      <c r="B625">
        <v>1</v>
      </c>
      <c r="C625" s="55">
        <v>42795</v>
      </c>
      <c r="D625" s="3" t="str">
        <f>YEAR(Datos_Consumo[[#This Row],[FECHA]])&amp;"-"&amp;MONTH(Datos_Consumo[[#This Row],[FECHA]])</f>
        <v>2017-3</v>
      </c>
    </row>
    <row r="626" spans="1:4" x14ac:dyDescent="0.25">
      <c r="A626" t="s">
        <v>1778</v>
      </c>
      <c r="B626">
        <v>1</v>
      </c>
      <c r="C626" s="55">
        <v>42826</v>
      </c>
      <c r="D626" s="3" t="str">
        <f>YEAR(Datos_Consumo[[#This Row],[FECHA]])&amp;"-"&amp;MONTH(Datos_Consumo[[#This Row],[FECHA]])</f>
        <v>2017-4</v>
      </c>
    </row>
    <row r="627" spans="1:4" x14ac:dyDescent="0.25">
      <c r="A627" t="s">
        <v>1779</v>
      </c>
      <c r="B627">
        <v>1</v>
      </c>
      <c r="C627" s="55">
        <v>42856</v>
      </c>
      <c r="D627" s="3" t="str">
        <f>YEAR(Datos_Consumo[[#This Row],[FECHA]])&amp;"-"&amp;MONTH(Datos_Consumo[[#This Row],[FECHA]])</f>
        <v>2017-5</v>
      </c>
    </row>
    <row r="628" spans="1:4" x14ac:dyDescent="0.25">
      <c r="A628" t="s">
        <v>1780</v>
      </c>
      <c r="B628">
        <v>1</v>
      </c>
      <c r="C628" s="55">
        <v>42826</v>
      </c>
      <c r="D628" s="3" t="str">
        <f>YEAR(Datos_Consumo[[#This Row],[FECHA]])&amp;"-"&amp;MONTH(Datos_Consumo[[#This Row],[FECHA]])</f>
        <v>2017-4</v>
      </c>
    </row>
    <row r="629" spans="1:4" x14ac:dyDescent="0.25">
      <c r="A629" t="s">
        <v>1781</v>
      </c>
      <c r="B629">
        <v>1</v>
      </c>
      <c r="C629" s="55">
        <v>42767</v>
      </c>
      <c r="D629" s="3" t="str">
        <f>YEAR(Datos_Consumo[[#This Row],[FECHA]])&amp;"-"&amp;MONTH(Datos_Consumo[[#This Row],[FECHA]])</f>
        <v>2017-2</v>
      </c>
    </row>
    <row r="630" spans="1:4" x14ac:dyDescent="0.25">
      <c r="A630" t="s">
        <v>1781</v>
      </c>
      <c r="B630">
        <v>2</v>
      </c>
      <c r="C630" s="55">
        <v>42795</v>
      </c>
      <c r="D630" s="3" t="str">
        <f>YEAR(Datos_Consumo[[#This Row],[FECHA]])&amp;"-"&amp;MONTH(Datos_Consumo[[#This Row],[FECHA]])</f>
        <v>2017-3</v>
      </c>
    </row>
    <row r="631" spans="1:4" x14ac:dyDescent="0.25">
      <c r="A631" t="s">
        <v>1781</v>
      </c>
      <c r="B631">
        <v>1</v>
      </c>
      <c r="C631" s="55">
        <v>42826</v>
      </c>
      <c r="D631" s="3" t="str">
        <f>YEAR(Datos_Consumo[[#This Row],[FECHA]])&amp;"-"&amp;MONTH(Datos_Consumo[[#This Row],[FECHA]])</f>
        <v>2017-4</v>
      </c>
    </row>
    <row r="632" spans="1:4" x14ac:dyDescent="0.25">
      <c r="A632" t="s">
        <v>1782</v>
      </c>
      <c r="B632">
        <v>1</v>
      </c>
      <c r="C632" s="55">
        <v>42767</v>
      </c>
      <c r="D632" s="3" t="str">
        <f>YEAR(Datos_Consumo[[#This Row],[FECHA]])&amp;"-"&amp;MONTH(Datos_Consumo[[#This Row],[FECHA]])</f>
        <v>2017-2</v>
      </c>
    </row>
    <row r="633" spans="1:4" x14ac:dyDescent="0.25">
      <c r="A633" t="s">
        <v>1782</v>
      </c>
      <c r="B633">
        <v>1</v>
      </c>
      <c r="C633" s="55">
        <v>42795</v>
      </c>
      <c r="D633" s="3" t="str">
        <f>YEAR(Datos_Consumo[[#This Row],[FECHA]])&amp;"-"&amp;MONTH(Datos_Consumo[[#This Row],[FECHA]])</f>
        <v>2017-3</v>
      </c>
    </row>
    <row r="634" spans="1:4" x14ac:dyDescent="0.25">
      <c r="A634" t="s">
        <v>1782</v>
      </c>
      <c r="B634">
        <v>1</v>
      </c>
      <c r="C634" s="55">
        <v>42826</v>
      </c>
      <c r="D634" s="3" t="str">
        <f>YEAR(Datos_Consumo[[#This Row],[FECHA]])&amp;"-"&amp;MONTH(Datos_Consumo[[#This Row],[FECHA]])</f>
        <v>2017-4</v>
      </c>
    </row>
    <row r="635" spans="1:4" x14ac:dyDescent="0.25">
      <c r="A635" t="s">
        <v>1782</v>
      </c>
      <c r="B635">
        <v>2</v>
      </c>
      <c r="C635" s="55">
        <v>42856</v>
      </c>
      <c r="D635" s="3" t="str">
        <f>YEAR(Datos_Consumo[[#This Row],[FECHA]])&amp;"-"&amp;MONTH(Datos_Consumo[[#This Row],[FECHA]])</f>
        <v>2017-5</v>
      </c>
    </row>
    <row r="636" spans="1:4" x14ac:dyDescent="0.25">
      <c r="A636" t="s">
        <v>1783</v>
      </c>
      <c r="B636">
        <v>1</v>
      </c>
      <c r="C636" s="55">
        <v>42795</v>
      </c>
      <c r="D636" s="3" t="str">
        <f>YEAR(Datos_Consumo[[#This Row],[FECHA]])&amp;"-"&amp;MONTH(Datos_Consumo[[#This Row],[FECHA]])</f>
        <v>2017-3</v>
      </c>
    </row>
    <row r="637" spans="1:4" x14ac:dyDescent="0.25">
      <c r="A637" t="s">
        <v>1783</v>
      </c>
      <c r="B637">
        <v>3</v>
      </c>
      <c r="C637" s="55">
        <v>42826</v>
      </c>
      <c r="D637" s="3" t="str">
        <f>YEAR(Datos_Consumo[[#This Row],[FECHA]])&amp;"-"&amp;MONTH(Datos_Consumo[[#This Row],[FECHA]])</f>
        <v>2017-4</v>
      </c>
    </row>
    <row r="638" spans="1:4" x14ac:dyDescent="0.25">
      <c r="A638" t="s">
        <v>1783</v>
      </c>
      <c r="B638">
        <v>1</v>
      </c>
      <c r="C638" s="55">
        <v>42856</v>
      </c>
      <c r="D638" s="3" t="str">
        <f>YEAR(Datos_Consumo[[#This Row],[FECHA]])&amp;"-"&amp;MONTH(Datos_Consumo[[#This Row],[FECHA]])</f>
        <v>2017-5</v>
      </c>
    </row>
    <row r="639" spans="1:4" x14ac:dyDescent="0.25">
      <c r="A639" t="s">
        <v>1480</v>
      </c>
      <c r="B639">
        <v>1</v>
      </c>
      <c r="C639" s="55">
        <v>42795</v>
      </c>
      <c r="D639" s="3" t="str">
        <f>YEAR(Datos_Consumo[[#This Row],[FECHA]])&amp;"-"&amp;MONTH(Datos_Consumo[[#This Row],[FECHA]])</f>
        <v>2017-3</v>
      </c>
    </row>
    <row r="640" spans="1:4" x14ac:dyDescent="0.25">
      <c r="A640" t="s">
        <v>1480</v>
      </c>
      <c r="B640">
        <v>2</v>
      </c>
      <c r="C640" s="55">
        <v>42826</v>
      </c>
      <c r="D640" s="3" t="str">
        <f>YEAR(Datos_Consumo[[#This Row],[FECHA]])&amp;"-"&amp;MONTH(Datos_Consumo[[#This Row],[FECHA]])</f>
        <v>2017-4</v>
      </c>
    </row>
    <row r="641" spans="1:4" x14ac:dyDescent="0.25">
      <c r="A641" t="s">
        <v>1480</v>
      </c>
      <c r="B641">
        <v>1</v>
      </c>
      <c r="C641" s="55">
        <v>42856</v>
      </c>
      <c r="D641" s="3" t="str">
        <f>YEAR(Datos_Consumo[[#This Row],[FECHA]])&amp;"-"&amp;MONTH(Datos_Consumo[[#This Row],[FECHA]])</f>
        <v>2017-5</v>
      </c>
    </row>
    <row r="642" spans="1:4" x14ac:dyDescent="0.25">
      <c r="A642" t="s">
        <v>1481</v>
      </c>
      <c r="B642">
        <v>2</v>
      </c>
      <c r="C642" s="55">
        <v>42826</v>
      </c>
      <c r="D642" s="3" t="str">
        <f>YEAR(Datos_Consumo[[#This Row],[FECHA]])&amp;"-"&amp;MONTH(Datos_Consumo[[#This Row],[FECHA]])</f>
        <v>2017-4</v>
      </c>
    </row>
    <row r="643" spans="1:4" x14ac:dyDescent="0.25">
      <c r="A643" t="s">
        <v>1784</v>
      </c>
      <c r="B643">
        <v>1</v>
      </c>
      <c r="C643" s="55">
        <v>42795</v>
      </c>
      <c r="D643" s="3" t="str">
        <f>YEAR(Datos_Consumo[[#This Row],[FECHA]])&amp;"-"&amp;MONTH(Datos_Consumo[[#This Row],[FECHA]])</f>
        <v>2017-3</v>
      </c>
    </row>
    <row r="644" spans="1:4" x14ac:dyDescent="0.25">
      <c r="A644" t="s">
        <v>1784</v>
      </c>
      <c r="B644">
        <v>1</v>
      </c>
      <c r="C644" s="55">
        <v>42856</v>
      </c>
      <c r="D644" s="3" t="str">
        <f>YEAR(Datos_Consumo[[#This Row],[FECHA]])&amp;"-"&amp;MONTH(Datos_Consumo[[#This Row],[FECHA]])</f>
        <v>2017-5</v>
      </c>
    </row>
    <row r="645" spans="1:4" x14ac:dyDescent="0.25">
      <c r="A645" t="s">
        <v>1785</v>
      </c>
      <c r="B645">
        <v>2</v>
      </c>
      <c r="C645" s="55">
        <v>42826</v>
      </c>
      <c r="D645" s="3" t="str">
        <f>YEAR(Datos_Consumo[[#This Row],[FECHA]])&amp;"-"&amp;MONTH(Datos_Consumo[[#This Row],[FECHA]])</f>
        <v>2017-4</v>
      </c>
    </row>
    <row r="646" spans="1:4" x14ac:dyDescent="0.25">
      <c r="A646" t="s">
        <v>1786</v>
      </c>
      <c r="B646">
        <v>1</v>
      </c>
      <c r="C646" s="55">
        <v>42795</v>
      </c>
      <c r="D646" s="3" t="str">
        <f>YEAR(Datos_Consumo[[#This Row],[FECHA]])&amp;"-"&amp;MONTH(Datos_Consumo[[#This Row],[FECHA]])</f>
        <v>2017-3</v>
      </c>
    </row>
    <row r="647" spans="1:4" x14ac:dyDescent="0.25">
      <c r="A647" t="s">
        <v>1787</v>
      </c>
      <c r="B647">
        <v>1</v>
      </c>
      <c r="C647" s="55">
        <v>42826</v>
      </c>
      <c r="D647" s="3" t="str">
        <f>YEAR(Datos_Consumo[[#This Row],[FECHA]])&amp;"-"&amp;MONTH(Datos_Consumo[[#This Row],[FECHA]])</f>
        <v>2017-4</v>
      </c>
    </row>
    <row r="648" spans="1:4" x14ac:dyDescent="0.25">
      <c r="A648" t="s">
        <v>1788</v>
      </c>
      <c r="B648">
        <v>1</v>
      </c>
      <c r="C648" s="55">
        <v>42795</v>
      </c>
      <c r="D648" s="3" t="str">
        <f>YEAR(Datos_Consumo[[#This Row],[FECHA]])&amp;"-"&amp;MONTH(Datos_Consumo[[#This Row],[FECHA]])</f>
        <v>2017-3</v>
      </c>
    </row>
    <row r="649" spans="1:4" x14ac:dyDescent="0.25">
      <c r="A649" t="s">
        <v>1789</v>
      </c>
      <c r="B649">
        <v>1</v>
      </c>
      <c r="C649" s="55">
        <v>42826</v>
      </c>
      <c r="D649" s="3" t="str">
        <f>YEAR(Datos_Consumo[[#This Row],[FECHA]])&amp;"-"&amp;MONTH(Datos_Consumo[[#This Row],[FECHA]])</f>
        <v>2017-4</v>
      </c>
    </row>
    <row r="650" spans="1:4" x14ac:dyDescent="0.25">
      <c r="A650" t="s">
        <v>1790</v>
      </c>
      <c r="B650">
        <v>1</v>
      </c>
      <c r="C650" s="55">
        <v>42767</v>
      </c>
      <c r="D650" s="3" t="str">
        <f>YEAR(Datos_Consumo[[#This Row],[FECHA]])&amp;"-"&amp;MONTH(Datos_Consumo[[#This Row],[FECHA]])</f>
        <v>2017-2</v>
      </c>
    </row>
    <row r="651" spans="1:4" x14ac:dyDescent="0.25">
      <c r="A651" t="s">
        <v>1791</v>
      </c>
      <c r="B651">
        <v>1</v>
      </c>
      <c r="C651" s="55">
        <v>42795</v>
      </c>
      <c r="D651" s="3" t="str">
        <f>YEAR(Datos_Consumo[[#This Row],[FECHA]])&amp;"-"&amp;MONTH(Datos_Consumo[[#This Row],[FECHA]])</f>
        <v>2017-3</v>
      </c>
    </row>
    <row r="652" spans="1:4" x14ac:dyDescent="0.25">
      <c r="A652" t="s">
        <v>1791</v>
      </c>
      <c r="B652">
        <v>1</v>
      </c>
      <c r="C652" s="55">
        <v>42826</v>
      </c>
      <c r="D652" s="3" t="str">
        <f>YEAR(Datos_Consumo[[#This Row],[FECHA]])&amp;"-"&amp;MONTH(Datos_Consumo[[#This Row],[FECHA]])</f>
        <v>2017-4</v>
      </c>
    </row>
    <row r="653" spans="1:4" x14ac:dyDescent="0.25">
      <c r="A653" t="s">
        <v>1791</v>
      </c>
      <c r="B653">
        <v>1</v>
      </c>
      <c r="C653" s="55">
        <v>42856</v>
      </c>
      <c r="D653" s="3" t="str">
        <f>YEAR(Datos_Consumo[[#This Row],[FECHA]])&amp;"-"&amp;MONTH(Datos_Consumo[[#This Row],[FECHA]])</f>
        <v>2017-5</v>
      </c>
    </row>
    <row r="654" spans="1:4" x14ac:dyDescent="0.25">
      <c r="A654" t="s">
        <v>1482</v>
      </c>
      <c r="B654">
        <v>2</v>
      </c>
      <c r="C654" s="55">
        <v>42767</v>
      </c>
      <c r="D654" s="3" t="str">
        <f>YEAR(Datos_Consumo[[#This Row],[FECHA]])&amp;"-"&amp;MONTH(Datos_Consumo[[#This Row],[FECHA]])</f>
        <v>2017-2</v>
      </c>
    </row>
    <row r="655" spans="1:4" x14ac:dyDescent="0.25">
      <c r="A655" t="s">
        <v>1482</v>
      </c>
      <c r="B655">
        <v>3</v>
      </c>
      <c r="C655" s="55">
        <v>42795</v>
      </c>
      <c r="D655" s="3" t="str">
        <f>YEAR(Datos_Consumo[[#This Row],[FECHA]])&amp;"-"&amp;MONTH(Datos_Consumo[[#This Row],[FECHA]])</f>
        <v>2017-3</v>
      </c>
    </row>
    <row r="656" spans="1:4" x14ac:dyDescent="0.25">
      <c r="A656" t="s">
        <v>1482</v>
      </c>
      <c r="B656">
        <v>2</v>
      </c>
      <c r="C656" s="55">
        <v>42826</v>
      </c>
      <c r="D656" s="3" t="str">
        <f>YEAR(Datos_Consumo[[#This Row],[FECHA]])&amp;"-"&amp;MONTH(Datos_Consumo[[#This Row],[FECHA]])</f>
        <v>2017-4</v>
      </c>
    </row>
    <row r="657" spans="1:4" x14ac:dyDescent="0.25">
      <c r="A657" t="s">
        <v>1482</v>
      </c>
      <c r="B657">
        <v>2</v>
      </c>
      <c r="C657" s="55">
        <v>42856</v>
      </c>
      <c r="D657" s="3" t="str">
        <f>YEAR(Datos_Consumo[[#This Row],[FECHA]])&amp;"-"&amp;MONTH(Datos_Consumo[[#This Row],[FECHA]])</f>
        <v>2017-5</v>
      </c>
    </row>
    <row r="658" spans="1:4" x14ac:dyDescent="0.25">
      <c r="A658" t="s">
        <v>1483</v>
      </c>
      <c r="B658">
        <v>1</v>
      </c>
      <c r="C658" s="55">
        <v>42767</v>
      </c>
      <c r="D658" s="3" t="str">
        <f>YEAR(Datos_Consumo[[#This Row],[FECHA]])&amp;"-"&amp;MONTH(Datos_Consumo[[#This Row],[FECHA]])</f>
        <v>2017-2</v>
      </c>
    </row>
    <row r="659" spans="1:4" x14ac:dyDescent="0.25">
      <c r="A659" t="s">
        <v>1483</v>
      </c>
      <c r="B659">
        <v>1</v>
      </c>
      <c r="C659" s="55">
        <v>42795</v>
      </c>
      <c r="D659" s="3" t="str">
        <f>YEAR(Datos_Consumo[[#This Row],[FECHA]])&amp;"-"&amp;MONTH(Datos_Consumo[[#This Row],[FECHA]])</f>
        <v>2017-3</v>
      </c>
    </row>
    <row r="660" spans="1:4" x14ac:dyDescent="0.25">
      <c r="A660" t="s">
        <v>1483</v>
      </c>
      <c r="B660">
        <v>8</v>
      </c>
      <c r="C660" s="55">
        <v>42826</v>
      </c>
      <c r="D660" s="3" t="str">
        <f>YEAR(Datos_Consumo[[#This Row],[FECHA]])&amp;"-"&amp;MONTH(Datos_Consumo[[#This Row],[FECHA]])</f>
        <v>2017-4</v>
      </c>
    </row>
    <row r="661" spans="1:4" x14ac:dyDescent="0.25">
      <c r="A661" t="s">
        <v>1483</v>
      </c>
      <c r="B661">
        <v>3</v>
      </c>
      <c r="C661" s="55">
        <v>42856</v>
      </c>
      <c r="D661" s="3" t="str">
        <f>YEAR(Datos_Consumo[[#This Row],[FECHA]])&amp;"-"&amp;MONTH(Datos_Consumo[[#This Row],[FECHA]])</f>
        <v>2017-5</v>
      </c>
    </row>
    <row r="662" spans="1:4" x14ac:dyDescent="0.25">
      <c r="A662" t="s">
        <v>1484</v>
      </c>
      <c r="B662">
        <v>2</v>
      </c>
      <c r="C662" s="55">
        <v>42767</v>
      </c>
      <c r="D662" s="3" t="str">
        <f>YEAR(Datos_Consumo[[#This Row],[FECHA]])&amp;"-"&amp;MONTH(Datos_Consumo[[#This Row],[FECHA]])</f>
        <v>2017-2</v>
      </c>
    </row>
    <row r="663" spans="1:4" x14ac:dyDescent="0.25">
      <c r="A663" t="s">
        <v>1484</v>
      </c>
      <c r="B663">
        <v>5</v>
      </c>
      <c r="C663" s="55">
        <v>42795</v>
      </c>
      <c r="D663" s="3" t="str">
        <f>YEAR(Datos_Consumo[[#This Row],[FECHA]])&amp;"-"&amp;MONTH(Datos_Consumo[[#This Row],[FECHA]])</f>
        <v>2017-3</v>
      </c>
    </row>
    <row r="664" spans="1:4" x14ac:dyDescent="0.25">
      <c r="A664" t="s">
        <v>1484</v>
      </c>
      <c r="B664">
        <v>8</v>
      </c>
      <c r="C664" s="55">
        <v>42826</v>
      </c>
      <c r="D664" s="3" t="str">
        <f>YEAR(Datos_Consumo[[#This Row],[FECHA]])&amp;"-"&amp;MONTH(Datos_Consumo[[#This Row],[FECHA]])</f>
        <v>2017-4</v>
      </c>
    </row>
    <row r="665" spans="1:4" x14ac:dyDescent="0.25">
      <c r="A665" t="s">
        <v>1484</v>
      </c>
      <c r="B665">
        <v>3</v>
      </c>
      <c r="C665" s="55">
        <v>42856</v>
      </c>
      <c r="D665" s="3" t="str">
        <f>YEAR(Datos_Consumo[[#This Row],[FECHA]])&amp;"-"&amp;MONTH(Datos_Consumo[[#This Row],[FECHA]])</f>
        <v>2017-5</v>
      </c>
    </row>
    <row r="666" spans="1:4" x14ac:dyDescent="0.25">
      <c r="A666" t="s">
        <v>1792</v>
      </c>
      <c r="B666">
        <v>2</v>
      </c>
      <c r="C666" s="55">
        <v>42826</v>
      </c>
      <c r="D666" s="3" t="str">
        <f>YEAR(Datos_Consumo[[#This Row],[FECHA]])&amp;"-"&amp;MONTH(Datos_Consumo[[#This Row],[FECHA]])</f>
        <v>2017-4</v>
      </c>
    </row>
    <row r="667" spans="1:4" x14ac:dyDescent="0.25">
      <c r="A667" t="s">
        <v>1792</v>
      </c>
      <c r="B667">
        <v>1</v>
      </c>
      <c r="C667" s="55">
        <v>42856</v>
      </c>
      <c r="D667" s="3" t="str">
        <f>YEAR(Datos_Consumo[[#This Row],[FECHA]])&amp;"-"&amp;MONTH(Datos_Consumo[[#This Row],[FECHA]])</f>
        <v>2017-5</v>
      </c>
    </row>
    <row r="668" spans="1:4" x14ac:dyDescent="0.25">
      <c r="A668" t="s">
        <v>1793</v>
      </c>
      <c r="B668">
        <v>1</v>
      </c>
      <c r="C668" s="55">
        <v>42856</v>
      </c>
      <c r="D668" s="3" t="str">
        <f>YEAR(Datos_Consumo[[#This Row],[FECHA]])&amp;"-"&amp;MONTH(Datos_Consumo[[#This Row],[FECHA]])</f>
        <v>2017-5</v>
      </c>
    </row>
    <row r="669" spans="1:4" x14ac:dyDescent="0.25">
      <c r="A669" t="s">
        <v>1794</v>
      </c>
      <c r="B669">
        <v>1</v>
      </c>
      <c r="C669" s="55">
        <v>42826</v>
      </c>
      <c r="D669" s="3" t="str">
        <f>YEAR(Datos_Consumo[[#This Row],[FECHA]])&amp;"-"&amp;MONTH(Datos_Consumo[[#This Row],[FECHA]])</f>
        <v>2017-4</v>
      </c>
    </row>
    <row r="670" spans="1:4" x14ac:dyDescent="0.25">
      <c r="A670" t="s">
        <v>1795</v>
      </c>
      <c r="B670">
        <v>1</v>
      </c>
      <c r="C670" s="55">
        <v>42767</v>
      </c>
      <c r="D670" s="3" t="str">
        <f>YEAR(Datos_Consumo[[#This Row],[FECHA]])&amp;"-"&amp;MONTH(Datos_Consumo[[#This Row],[FECHA]])</f>
        <v>2017-2</v>
      </c>
    </row>
    <row r="671" spans="1:4" x14ac:dyDescent="0.25">
      <c r="A671" t="s">
        <v>1795</v>
      </c>
      <c r="B671">
        <v>2</v>
      </c>
      <c r="C671" s="55">
        <v>42795</v>
      </c>
      <c r="D671" s="3" t="str">
        <f>YEAR(Datos_Consumo[[#This Row],[FECHA]])&amp;"-"&amp;MONTH(Datos_Consumo[[#This Row],[FECHA]])</f>
        <v>2017-3</v>
      </c>
    </row>
    <row r="672" spans="1:4" x14ac:dyDescent="0.25">
      <c r="A672" t="s">
        <v>1795</v>
      </c>
      <c r="B672">
        <v>2</v>
      </c>
      <c r="C672" s="55">
        <v>42826</v>
      </c>
      <c r="D672" s="3" t="str">
        <f>YEAR(Datos_Consumo[[#This Row],[FECHA]])&amp;"-"&amp;MONTH(Datos_Consumo[[#This Row],[FECHA]])</f>
        <v>2017-4</v>
      </c>
    </row>
    <row r="673" spans="1:4" x14ac:dyDescent="0.25">
      <c r="A673" t="s">
        <v>1485</v>
      </c>
      <c r="B673">
        <v>1</v>
      </c>
      <c r="C673" s="55">
        <v>42826</v>
      </c>
      <c r="D673" s="3" t="str">
        <f>YEAR(Datos_Consumo[[#This Row],[FECHA]])&amp;"-"&amp;MONTH(Datos_Consumo[[#This Row],[FECHA]])</f>
        <v>2017-4</v>
      </c>
    </row>
    <row r="674" spans="1:4" x14ac:dyDescent="0.25">
      <c r="A674" t="s">
        <v>1796</v>
      </c>
      <c r="B674">
        <v>1</v>
      </c>
      <c r="C674" s="55">
        <v>42856</v>
      </c>
      <c r="D674" s="3" t="str">
        <f>YEAR(Datos_Consumo[[#This Row],[FECHA]])&amp;"-"&amp;MONTH(Datos_Consumo[[#This Row],[FECHA]])</f>
        <v>2017-5</v>
      </c>
    </row>
    <row r="675" spans="1:4" x14ac:dyDescent="0.25">
      <c r="A675" t="s">
        <v>1797</v>
      </c>
      <c r="B675">
        <v>1</v>
      </c>
      <c r="C675" s="55">
        <v>42795</v>
      </c>
      <c r="D675" s="3" t="str">
        <f>YEAR(Datos_Consumo[[#This Row],[FECHA]])&amp;"-"&amp;MONTH(Datos_Consumo[[#This Row],[FECHA]])</f>
        <v>2017-3</v>
      </c>
    </row>
    <row r="676" spans="1:4" x14ac:dyDescent="0.25">
      <c r="A676" t="s">
        <v>1798</v>
      </c>
      <c r="B676">
        <v>1</v>
      </c>
      <c r="C676" s="55">
        <v>42767</v>
      </c>
      <c r="D676" s="3" t="str">
        <f>YEAR(Datos_Consumo[[#This Row],[FECHA]])&amp;"-"&amp;MONTH(Datos_Consumo[[#This Row],[FECHA]])</f>
        <v>2017-2</v>
      </c>
    </row>
    <row r="677" spans="1:4" x14ac:dyDescent="0.25">
      <c r="A677" t="s">
        <v>1799</v>
      </c>
      <c r="B677">
        <v>1</v>
      </c>
      <c r="C677" s="55">
        <v>42856</v>
      </c>
      <c r="D677" s="3" t="str">
        <f>YEAR(Datos_Consumo[[#This Row],[FECHA]])&amp;"-"&amp;MONTH(Datos_Consumo[[#This Row],[FECHA]])</f>
        <v>2017-5</v>
      </c>
    </row>
    <row r="678" spans="1:4" x14ac:dyDescent="0.25">
      <c r="A678" t="s">
        <v>1800</v>
      </c>
      <c r="B678">
        <v>1</v>
      </c>
      <c r="C678" s="55">
        <v>42826</v>
      </c>
      <c r="D678" s="3" t="str">
        <f>YEAR(Datos_Consumo[[#This Row],[FECHA]])&amp;"-"&amp;MONTH(Datos_Consumo[[#This Row],[FECHA]])</f>
        <v>2017-4</v>
      </c>
    </row>
    <row r="679" spans="1:4" x14ac:dyDescent="0.25">
      <c r="A679" t="s">
        <v>1801</v>
      </c>
      <c r="B679">
        <v>2</v>
      </c>
      <c r="C679" s="55">
        <v>42767</v>
      </c>
      <c r="D679" s="3" t="str">
        <f>YEAR(Datos_Consumo[[#This Row],[FECHA]])&amp;"-"&amp;MONTH(Datos_Consumo[[#This Row],[FECHA]])</f>
        <v>2017-2</v>
      </c>
    </row>
    <row r="680" spans="1:4" x14ac:dyDescent="0.25">
      <c r="A680" t="s">
        <v>1801</v>
      </c>
      <c r="B680">
        <v>3</v>
      </c>
      <c r="C680" s="55">
        <v>42795</v>
      </c>
      <c r="D680" s="3" t="str">
        <f>YEAR(Datos_Consumo[[#This Row],[FECHA]])&amp;"-"&amp;MONTH(Datos_Consumo[[#This Row],[FECHA]])</f>
        <v>2017-3</v>
      </c>
    </row>
    <row r="681" spans="1:4" x14ac:dyDescent="0.25">
      <c r="A681" t="s">
        <v>1801</v>
      </c>
      <c r="B681">
        <v>2</v>
      </c>
      <c r="C681" s="55">
        <v>42826</v>
      </c>
      <c r="D681" s="3" t="str">
        <f>YEAR(Datos_Consumo[[#This Row],[FECHA]])&amp;"-"&amp;MONTH(Datos_Consumo[[#This Row],[FECHA]])</f>
        <v>2017-4</v>
      </c>
    </row>
    <row r="682" spans="1:4" x14ac:dyDescent="0.25">
      <c r="A682" t="s">
        <v>1486</v>
      </c>
      <c r="B682">
        <v>1</v>
      </c>
      <c r="C682" s="55">
        <v>42795</v>
      </c>
      <c r="D682" s="3" t="str">
        <f>YEAR(Datos_Consumo[[#This Row],[FECHA]])&amp;"-"&amp;MONTH(Datos_Consumo[[#This Row],[FECHA]])</f>
        <v>2017-3</v>
      </c>
    </row>
    <row r="683" spans="1:4" x14ac:dyDescent="0.25">
      <c r="A683" t="s">
        <v>1486</v>
      </c>
      <c r="B683">
        <v>4</v>
      </c>
      <c r="C683" s="55">
        <v>42826</v>
      </c>
      <c r="D683" s="3" t="str">
        <f>YEAR(Datos_Consumo[[#This Row],[FECHA]])&amp;"-"&amp;MONTH(Datos_Consumo[[#This Row],[FECHA]])</f>
        <v>2017-4</v>
      </c>
    </row>
    <row r="684" spans="1:4" x14ac:dyDescent="0.25">
      <c r="A684" t="s">
        <v>1802</v>
      </c>
      <c r="B684">
        <v>2</v>
      </c>
      <c r="C684" s="55">
        <v>42826</v>
      </c>
      <c r="D684" s="3" t="str">
        <f>YEAR(Datos_Consumo[[#This Row],[FECHA]])&amp;"-"&amp;MONTH(Datos_Consumo[[#This Row],[FECHA]])</f>
        <v>2017-4</v>
      </c>
    </row>
    <row r="685" spans="1:4" x14ac:dyDescent="0.25">
      <c r="A685" t="s">
        <v>1802</v>
      </c>
      <c r="B685">
        <v>3</v>
      </c>
      <c r="C685" s="55">
        <v>42856</v>
      </c>
      <c r="D685" s="3" t="str">
        <f>YEAR(Datos_Consumo[[#This Row],[FECHA]])&amp;"-"&amp;MONTH(Datos_Consumo[[#This Row],[FECHA]])</f>
        <v>2017-5</v>
      </c>
    </row>
    <row r="686" spans="1:4" x14ac:dyDescent="0.25">
      <c r="A686" t="s">
        <v>1803</v>
      </c>
      <c r="B686">
        <v>2</v>
      </c>
      <c r="C686" s="55">
        <v>42826</v>
      </c>
      <c r="D686" s="3" t="str">
        <f>YEAR(Datos_Consumo[[#This Row],[FECHA]])&amp;"-"&amp;MONTH(Datos_Consumo[[#This Row],[FECHA]])</f>
        <v>2017-4</v>
      </c>
    </row>
    <row r="687" spans="1:4" x14ac:dyDescent="0.25">
      <c r="A687" t="s">
        <v>1803</v>
      </c>
      <c r="B687">
        <v>1</v>
      </c>
      <c r="C687" s="55">
        <v>42856</v>
      </c>
      <c r="D687" s="3" t="str">
        <f>YEAR(Datos_Consumo[[#This Row],[FECHA]])&amp;"-"&amp;MONTH(Datos_Consumo[[#This Row],[FECHA]])</f>
        <v>2017-5</v>
      </c>
    </row>
    <row r="688" spans="1:4" x14ac:dyDescent="0.25">
      <c r="A688" t="s">
        <v>1804</v>
      </c>
      <c r="B688">
        <v>1</v>
      </c>
      <c r="C688" s="55">
        <v>42767</v>
      </c>
      <c r="D688" s="3" t="str">
        <f>YEAR(Datos_Consumo[[#This Row],[FECHA]])&amp;"-"&amp;MONTH(Datos_Consumo[[#This Row],[FECHA]])</f>
        <v>2017-2</v>
      </c>
    </row>
    <row r="689" spans="1:4" x14ac:dyDescent="0.25">
      <c r="A689" t="s">
        <v>1804</v>
      </c>
      <c r="B689">
        <v>3</v>
      </c>
      <c r="C689" s="55">
        <v>42795</v>
      </c>
      <c r="D689" s="3" t="str">
        <f>YEAR(Datos_Consumo[[#This Row],[FECHA]])&amp;"-"&amp;MONTH(Datos_Consumo[[#This Row],[FECHA]])</f>
        <v>2017-3</v>
      </c>
    </row>
    <row r="690" spans="1:4" x14ac:dyDescent="0.25">
      <c r="A690" t="s">
        <v>1804</v>
      </c>
      <c r="B690">
        <v>3</v>
      </c>
      <c r="C690" s="55">
        <v>42826</v>
      </c>
      <c r="D690" s="3" t="str">
        <f>YEAR(Datos_Consumo[[#This Row],[FECHA]])&amp;"-"&amp;MONTH(Datos_Consumo[[#This Row],[FECHA]])</f>
        <v>2017-4</v>
      </c>
    </row>
    <row r="691" spans="1:4" x14ac:dyDescent="0.25">
      <c r="A691" t="s">
        <v>1805</v>
      </c>
      <c r="B691">
        <v>1</v>
      </c>
      <c r="C691" s="55">
        <v>42856</v>
      </c>
      <c r="D691" s="3" t="str">
        <f>YEAR(Datos_Consumo[[#This Row],[FECHA]])&amp;"-"&amp;MONTH(Datos_Consumo[[#This Row],[FECHA]])</f>
        <v>2017-5</v>
      </c>
    </row>
    <row r="692" spans="1:4" x14ac:dyDescent="0.25">
      <c r="A692" t="s">
        <v>1806</v>
      </c>
      <c r="B692">
        <v>1</v>
      </c>
      <c r="C692" s="55">
        <v>42767</v>
      </c>
      <c r="D692" s="3" t="str">
        <f>YEAR(Datos_Consumo[[#This Row],[FECHA]])&amp;"-"&amp;MONTH(Datos_Consumo[[#This Row],[FECHA]])</f>
        <v>2017-2</v>
      </c>
    </row>
    <row r="693" spans="1:4" x14ac:dyDescent="0.25">
      <c r="A693" t="s">
        <v>1807</v>
      </c>
      <c r="B693">
        <v>1</v>
      </c>
      <c r="C693" s="55">
        <v>42795</v>
      </c>
      <c r="D693" s="3" t="str">
        <f>YEAR(Datos_Consumo[[#This Row],[FECHA]])&amp;"-"&amp;MONTH(Datos_Consumo[[#This Row],[FECHA]])</f>
        <v>2017-3</v>
      </c>
    </row>
    <row r="694" spans="1:4" x14ac:dyDescent="0.25">
      <c r="A694" t="s">
        <v>1807</v>
      </c>
      <c r="B694">
        <v>2</v>
      </c>
      <c r="C694" s="55">
        <v>42826</v>
      </c>
      <c r="D694" s="3" t="str">
        <f>YEAR(Datos_Consumo[[#This Row],[FECHA]])&amp;"-"&amp;MONTH(Datos_Consumo[[#This Row],[FECHA]])</f>
        <v>2017-4</v>
      </c>
    </row>
    <row r="695" spans="1:4" x14ac:dyDescent="0.25">
      <c r="A695" t="s">
        <v>1808</v>
      </c>
      <c r="B695">
        <v>2</v>
      </c>
      <c r="C695" s="55">
        <v>42826</v>
      </c>
      <c r="D695" s="3" t="str">
        <f>YEAR(Datos_Consumo[[#This Row],[FECHA]])&amp;"-"&amp;MONTH(Datos_Consumo[[#This Row],[FECHA]])</f>
        <v>2017-4</v>
      </c>
    </row>
    <row r="696" spans="1:4" x14ac:dyDescent="0.25">
      <c r="A696" t="s">
        <v>1808</v>
      </c>
      <c r="B696">
        <v>2</v>
      </c>
      <c r="C696" s="55">
        <v>42856</v>
      </c>
      <c r="D696" s="3" t="str">
        <f>YEAR(Datos_Consumo[[#This Row],[FECHA]])&amp;"-"&amp;MONTH(Datos_Consumo[[#This Row],[FECHA]])</f>
        <v>2017-5</v>
      </c>
    </row>
    <row r="697" spans="1:4" x14ac:dyDescent="0.25">
      <c r="A697" t="s">
        <v>1809</v>
      </c>
      <c r="B697">
        <v>1</v>
      </c>
      <c r="C697" s="55">
        <v>42826</v>
      </c>
      <c r="D697" s="3" t="str">
        <f>YEAR(Datos_Consumo[[#This Row],[FECHA]])&amp;"-"&amp;MONTH(Datos_Consumo[[#This Row],[FECHA]])</f>
        <v>2017-4</v>
      </c>
    </row>
    <row r="698" spans="1:4" x14ac:dyDescent="0.25">
      <c r="A698" t="s">
        <v>1809</v>
      </c>
      <c r="B698">
        <v>1</v>
      </c>
      <c r="C698" s="55">
        <v>42856</v>
      </c>
      <c r="D698" s="3" t="str">
        <f>YEAR(Datos_Consumo[[#This Row],[FECHA]])&amp;"-"&amp;MONTH(Datos_Consumo[[#This Row],[FECHA]])</f>
        <v>2017-5</v>
      </c>
    </row>
    <row r="699" spans="1:4" x14ac:dyDescent="0.25">
      <c r="A699" t="s">
        <v>1810</v>
      </c>
      <c r="B699">
        <v>1</v>
      </c>
      <c r="C699" s="55">
        <v>42767</v>
      </c>
      <c r="D699" s="3" t="str">
        <f>YEAR(Datos_Consumo[[#This Row],[FECHA]])&amp;"-"&amp;MONTH(Datos_Consumo[[#This Row],[FECHA]])</f>
        <v>2017-2</v>
      </c>
    </row>
    <row r="700" spans="1:4" x14ac:dyDescent="0.25">
      <c r="A700" t="s">
        <v>1810</v>
      </c>
      <c r="B700">
        <v>2</v>
      </c>
      <c r="C700" s="55">
        <v>42795</v>
      </c>
      <c r="D700" s="3" t="str">
        <f>YEAR(Datos_Consumo[[#This Row],[FECHA]])&amp;"-"&amp;MONTH(Datos_Consumo[[#This Row],[FECHA]])</f>
        <v>2017-3</v>
      </c>
    </row>
    <row r="701" spans="1:4" x14ac:dyDescent="0.25">
      <c r="A701" t="s">
        <v>1810</v>
      </c>
      <c r="B701">
        <v>1</v>
      </c>
      <c r="C701" s="55">
        <v>42826</v>
      </c>
      <c r="D701" s="3" t="str">
        <f>YEAR(Datos_Consumo[[#This Row],[FECHA]])&amp;"-"&amp;MONTH(Datos_Consumo[[#This Row],[FECHA]])</f>
        <v>2017-4</v>
      </c>
    </row>
    <row r="702" spans="1:4" x14ac:dyDescent="0.25">
      <c r="A702" t="s">
        <v>1811</v>
      </c>
      <c r="B702">
        <v>1</v>
      </c>
      <c r="C702" s="55">
        <v>42767</v>
      </c>
      <c r="D702" s="3" t="str">
        <f>YEAR(Datos_Consumo[[#This Row],[FECHA]])&amp;"-"&amp;MONTH(Datos_Consumo[[#This Row],[FECHA]])</f>
        <v>2017-2</v>
      </c>
    </row>
    <row r="703" spans="1:4" x14ac:dyDescent="0.25">
      <c r="A703" t="s">
        <v>1811</v>
      </c>
      <c r="B703">
        <v>1</v>
      </c>
      <c r="C703" s="55">
        <v>42795</v>
      </c>
      <c r="D703" s="3" t="str">
        <f>YEAR(Datos_Consumo[[#This Row],[FECHA]])&amp;"-"&amp;MONTH(Datos_Consumo[[#This Row],[FECHA]])</f>
        <v>2017-3</v>
      </c>
    </row>
    <row r="704" spans="1:4" x14ac:dyDescent="0.25">
      <c r="A704" t="s">
        <v>1812</v>
      </c>
      <c r="B704">
        <v>1</v>
      </c>
      <c r="C704" s="55">
        <v>42826</v>
      </c>
      <c r="D704" s="3" t="str">
        <f>YEAR(Datos_Consumo[[#This Row],[FECHA]])&amp;"-"&amp;MONTH(Datos_Consumo[[#This Row],[FECHA]])</f>
        <v>2017-4</v>
      </c>
    </row>
    <row r="705" spans="1:4" x14ac:dyDescent="0.25">
      <c r="A705" t="s">
        <v>1813</v>
      </c>
      <c r="B705">
        <v>1</v>
      </c>
      <c r="C705" s="55">
        <v>42826</v>
      </c>
      <c r="D705" s="3" t="str">
        <f>YEAR(Datos_Consumo[[#This Row],[FECHA]])&amp;"-"&amp;MONTH(Datos_Consumo[[#This Row],[FECHA]])</f>
        <v>2017-4</v>
      </c>
    </row>
    <row r="706" spans="1:4" x14ac:dyDescent="0.25">
      <c r="A706" t="s">
        <v>1814</v>
      </c>
      <c r="B706">
        <v>2</v>
      </c>
      <c r="C706" s="55">
        <v>42826</v>
      </c>
      <c r="D706" s="3" t="str">
        <f>YEAR(Datos_Consumo[[#This Row],[FECHA]])&amp;"-"&amp;MONTH(Datos_Consumo[[#This Row],[FECHA]])</f>
        <v>2017-4</v>
      </c>
    </row>
    <row r="707" spans="1:4" x14ac:dyDescent="0.25">
      <c r="A707" t="s">
        <v>1815</v>
      </c>
      <c r="B707">
        <v>1</v>
      </c>
      <c r="C707" s="55">
        <v>42856</v>
      </c>
      <c r="D707" s="3" t="str">
        <f>YEAR(Datos_Consumo[[#This Row],[FECHA]])&amp;"-"&amp;MONTH(Datos_Consumo[[#This Row],[FECHA]])</f>
        <v>2017-5</v>
      </c>
    </row>
    <row r="708" spans="1:4" x14ac:dyDescent="0.25">
      <c r="A708" t="s">
        <v>1816</v>
      </c>
      <c r="B708">
        <v>1</v>
      </c>
      <c r="C708" s="55">
        <v>42826</v>
      </c>
      <c r="D708" s="3" t="str">
        <f>YEAR(Datos_Consumo[[#This Row],[FECHA]])&amp;"-"&amp;MONTH(Datos_Consumo[[#This Row],[FECHA]])</f>
        <v>2017-4</v>
      </c>
    </row>
    <row r="709" spans="1:4" x14ac:dyDescent="0.25">
      <c r="A709" t="s">
        <v>1817</v>
      </c>
      <c r="B709">
        <v>1</v>
      </c>
      <c r="C709" s="55">
        <v>42826</v>
      </c>
      <c r="D709" s="3" t="str">
        <f>YEAR(Datos_Consumo[[#This Row],[FECHA]])&amp;"-"&amp;MONTH(Datos_Consumo[[#This Row],[FECHA]])</f>
        <v>2017-4</v>
      </c>
    </row>
    <row r="710" spans="1:4" x14ac:dyDescent="0.25">
      <c r="A710" t="s">
        <v>1818</v>
      </c>
      <c r="B710">
        <v>1</v>
      </c>
      <c r="C710" s="55">
        <v>42795</v>
      </c>
      <c r="D710" s="3" t="str">
        <f>YEAR(Datos_Consumo[[#This Row],[FECHA]])&amp;"-"&amp;MONTH(Datos_Consumo[[#This Row],[FECHA]])</f>
        <v>2017-3</v>
      </c>
    </row>
    <row r="711" spans="1:4" x14ac:dyDescent="0.25">
      <c r="A711" t="s">
        <v>1819</v>
      </c>
      <c r="B711">
        <v>1</v>
      </c>
      <c r="C711" s="55">
        <v>42795</v>
      </c>
      <c r="D711" s="3" t="str">
        <f>YEAR(Datos_Consumo[[#This Row],[FECHA]])&amp;"-"&amp;MONTH(Datos_Consumo[[#This Row],[FECHA]])</f>
        <v>2017-3</v>
      </c>
    </row>
    <row r="712" spans="1:4" x14ac:dyDescent="0.25">
      <c r="A712" t="s">
        <v>1819</v>
      </c>
      <c r="B712">
        <v>2</v>
      </c>
      <c r="C712" s="55">
        <v>42826</v>
      </c>
      <c r="D712" s="3" t="str">
        <f>YEAR(Datos_Consumo[[#This Row],[FECHA]])&amp;"-"&amp;MONTH(Datos_Consumo[[#This Row],[FECHA]])</f>
        <v>2017-4</v>
      </c>
    </row>
    <row r="713" spans="1:4" x14ac:dyDescent="0.25">
      <c r="A713" t="s">
        <v>1820</v>
      </c>
      <c r="B713">
        <v>1</v>
      </c>
      <c r="C713" s="55">
        <v>42826</v>
      </c>
      <c r="D713" s="3" t="str">
        <f>YEAR(Datos_Consumo[[#This Row],[FECHA]])&amp;"-"&amp;MONTH(Datos_Consumo[[#This Row],[FECHA]])</f>
        <v>2017-4</v>
      </c>
    </row>
    <row r="714" spans="1:4" x14ac:dyDescent="0.25">
      <c r="A714" t="s">
        <v>1821</v>
      </c>
      <c r="B714">
        <v>1</v>
      </c>
      <c r="C714" s="55">
        <v>42795</v>
      </c>
      <c r="D714" s="3" t="str">
        <f>YEAR(Datos_Consumo[[#This Row],[FECHA]])&amp;"-"&amp;MONTH(Datos_Consumo[[#This Row],[FECHA]])</f>
        <v>2017-3</v>
      </c>
    </row>
    <row r="715" spans="1:4" x14ac:dyDescent="0.25">
      <c r="A715" t="s">
        <v>1822</v>
      </c>
      <c r="B715">
        <v>1</v>
      </c>
      <c r="C715" s="55">
        <v>42767</v>
      </c>
      <c r="D715" s="3" t="str">
        <f>YEAR(Datos_Consumo[[#This Row],[FECHA]])&amp;"-"&amp;MONTH(Datos_Consumo[[#This Row],[FECHA]])</f>
        <v>2017-2</v>
      </c>
    </row>
    <row r="716" spans="1:4" x14ac:dyDescent="0.25">
      <c r="A716" t="s">
        <v>1822</v>
      </c>
      <c r="B716">
        <v>1</v>
      </c>
      <c r="C716" s="55">
        <v>42826</v>
      </c>
      <c r="D716" s="3" t="str">
        <f>YEAR(Datos_Consumo[[#This Row],[FECHA]])&amp;"-"&amp;MONTH(Datos_Consumo[[#This Row],[FECHA]])</f>
        <v>2017-4</v>
      </c>
    </row>
    <row r="717" spans="1:4" x14ac:dyDescent="0.25">
      <c r="A717" t="s">
        <v>1823</v>
      </c>
      <c r="B717">
        <v>5</v>
      </c>
      <c r="C717" s="55">
        <v>42767</v>
      </c>
      <c r="D717" s="3" t="str">
        <f>YEAR(Datos_Consumo[[#This Row],[FECHA]])&amp;"-"&amp;MONTH(Datos_Consumo[[#This Row],[FECHA]])</f>
        <v>2017-2</v>
      </c>
    </row>
    <row r="718" spans="1:4" x14ac:dyDescent="0.25">
      <c r="A718" t="s">
        <v>1487</v>
      </c>
      <c r="B718">
        <v>3</v>
      </c>
      <c r="C718" s="55">
        <v>42736</v>
      </c>
      <c r="D718" s="3" t="str">
        <f>YEAR(Datos_Consumo[[#This Row],[FECHA]])&amp;"-"&amp;MONTH(Datos_Consumo[[#This Row],[FECHA]])</f>
        <v>2017-1</v>
      </c>
    </row>
    <row r="719" spans="1:4" x14ac:dyDescent="0.25">
      <c r="A719" t="s">
        <v>1487</v>
      </c>
      <c r="B719">
        <v>4</v>
      </c>
      <c r="C719" s="55">
        <v>42767</v>
      </c>
      <c r="D719" s="3" t="str">
        <f>YEAR(Datos_Consumo[[#This Row],[FECHA]])&amp;"-"&amp;MONTH(Datos_Consumo[[#This Row],[FECHA]])</f>
        <v>2017-2</v>
      </c>
    </row>
    <row r="720" spans="1:4" x14ac:dyDescent="0.25">
      <c r="A720" t="s">
        <v>1487</v>
      </c>
      <c r="B720">
        <v>1</v>
      </c>
      <c r="C720" s="55">
        <v>42795</v>
      </c>
      <c r="D720" s="3" t="str">
        <f>YEAR(Datos_Consumo[[#This Row],[FECHA]])&amp;"-"&amp;MONTH(Datos_Consumo[[#This Row],[FECHA]])</f>
        <v>2017-3</v>
      </c>
    </row>
    <row r="721" spans="1:4" x14ac:dyDescent="0.25">
      <c r="A721" t="s">
        <v>1487</v>
      </c>
      <c r="B721">
        <v>3</v>
      </c>
      <c r="C721" s="55">
        <v>42826</v>
      </c>
      <c r="D721" s="3" t="str">
        <f>YEAR(Datos_Consumo[[#This Row],[FECHA]])&amp;"-"&amp;MONTH(Datos_Consumo[[#This Row],[FECHA]])</f>
        <v>2017-4</v>
      </c>
    </row>
    <row r="722" spans="1:4" x14ac:dyDescent="0.25">
      <c r="A722" t="s">
        <v>1487</v>
      </c>
      <c r="B722">
        <v>1</v>
      </c>
      <c r="C722" s="55">
        <v>42856</v>
      </c>
      <c r="D722" s="3" t="str">
        <f>YEAR(Datos_Consumo[[#This Row],[FECHA]])&amp;"-"&amp;MONTH(Datos_Consumo[[#This Row],[FECHA]])</f>
        <v>2017-5</v>
      </c>
    </row>
    <row r="723" spans="1:4" x14ac:dyDescent="0.25">
      <c r="A723" t="s">
        <v>1488</v>
      </c>
      <c r="B723">
        <v>1</v>
      </c>
      <c r="C723" s="55">
        <v>42705</v>
      </c>
      <c r="D723" s="3" t="str">
        <f>YEAR(Datos_Consumo[[#This Row],[FECHA]])&amp;"-"&amp;MONTH(Datos_Consumo[[#This Row],[FECHA]])</f>
        <v>2016-12</v>
      </c>
    </row>
    <row r="724" spans="1:4" x14ac:dyDescent="0.25">
      <c r="A724" t="s">
        <v>1488</v>
      </c>
      <c r="B724">
        <v>5</v>
      </c>
      <c r="C724" s="55">
        <v>42736</v>
      </c>
      <c r="D724" s="3" t="str">
        <f>YEAR(Datos_Consumo[[#This Row],[FECHA]])&amp;"-"&amp;MONTH(Datos_Consumo[[#This Row],[FECHA]])</f>
        <v>2017-1</v>
      </c>
    </row>
    <row r="725" spans="1:4" x14ac:dyDescent="0.25">
      <c r="A725" t="s">
        <v>1488</v>
      </c>
      <c r="B725">
        <v>5</v>
      </c>
      <c r="C725" s="55">
        <v>42767</v>
      </c>
      <c r="D725" s="3" t="str">
        <f>YEAR(Datos_Consumo[[#This Row],[FECHA]])&amp;"-"&amp;MONTH(Datos_Consumo[[#This Row],[FECHA]])</f>
        <v>2017-2</v>
      </c>
    </row>
    <row r="726" spans="1:4" x14ac:dyDescent="0.25">
      <c r="A726" t="s">
        <v>1488</v>
      </c>
      <c r="B726">
        <v>4</v>
      </c>
      <c r="C726" s="55">
        <v>42795</v>
      </c>
      <c r="D726" s="3" t="str">
        <f>YEAR(Datos_Consumo[[#This Row],[FECHA]])&amp;"-"&amp;MONTH(Datos_Consumo[[#This Row],[FECHA]])</f>
        <v>2017-3</v>
      </c>
    </row>
    <row r="727" spans="1:4" x14ac:dyDescent="0.25">
      <c r="A727" t="s">
        <v>1488</v>
      </c>
      <c r="B727">
        <v>6</v>
      </c>
      <c r="C727" s="55">
        <v>42826</v>
      </c>
      <c r="D727" s="3" t="str">
        <f>YEAR(Datos_Consumo[[#This Row],[FECHA]])&amp;"-"&amp;MONTH(Datos_Consumo[[#This Row],[FECHA]])</f>
        <v>2017-4</v>
      </c>
    </row>
    <row r="728" spans="1:4" x14ac:dyDescent="0.25">
      <c r="A728" t="s">
        <v>1489</v>
      </c>
      <c r="B728">
        <v>2</v>
      </c>
      <c r="C728" s="55">
        <v>42705</v>
      </c>
      <c r="D728" s="3" t="str">
        <f>YEAR(Datos_Consumo[[#This Row],[FECHA]])&amp;"-"&amp;MONTH(Datos_Consumo[[#This Row],[FECHA]])</f>
        <v>2016-12</v>
      </c>
    </row>
    <row r="729" spans="1:4" x14ac:dyDescent="0.25">
      <c r="A729" t="s">
        <v>1489</v>
      </c>
      <c r="B729">
        <v>3</v>
      </c>
      <c r="C729" s="55">
        <v>42736</v>
      </c>
      <c r="D729" s="3" t="str">
        <f>YEAR(Datos_Consumo[[#This Row],[FECHA]])&amp;"-"&amp;MONTH(Datos_Consumo[[#This Row],[FECHA]])</f>
        <v>2017-1</v>
      </c>
    </row>
    <row r="730" spans="1:4" x14ac:dyDescent="0.25">
      <c r="A730" t="s">
        <v>1489</v>
      </c>
      <c r="B730">
        <v>5</v>
      </c>
      <c r="C730" s="55">
        <v>42767</v>
      </c>
      <c r="D730" s="3" t="str">
        <f>YEAR(Datos_Consumo[[#This Row],[FECHA]])&amp;"-"&amp;MONTH(Datos_Consumo[[#This Row],[FECHA]])</f>
        <v>2017-2</v>
      </c>
    </row>
    <row r="731" spans="1:4" x14ac:dyDescent="0.25">
      <c r="A731" t="s">
        <v>1489</v>
      </c>
      <c r="B731">
        <v>4</v>
      </c>
      <c r="C731" s="55">
        <v>42795</v>
      </c>
      <c r="D731" s="3" t="str">
        <f>YEAR(Datos_Consumo[[#This Row],[FECHA]])&amp;"-"&amp;MONTH(Datos_Consumo[[#This Row],[FECHA]])</f>
        <v>2017-3</v>
      </c>
    </row>
    <row r="732" spans="1:4" x14ac:dyDescent="0.25">
      <c r="A732" t="s">
        <v>1489</v>
      </c>
      <c r="B732">
        <v>3</v>
      </c>
      <c r="C732" s="55">
        <v>42826</v>
      </c>
      <c r="D732" s="3" t="str">
        <f>YEAR(Datos_Consumo[[#This Row],[FECHA]])&amp;"-"&amp;MONTH(Datos_Consumo[[#This Row],[FECHA]])</f>
        <v>2017-4</v>
      </c>
    </row>
    <row r="733" spans="1:4" x14ac:dyDescent="0.25">
      <c r="A733" t="s">
        <v>1489</v>
      </c>
      <c r="B733">
        <v>5</v>
      </c>
      <c r="C733" s="55">
        <v>42856</v>
      </c>
      <c r="D733" s="3" t="str">
        <f>YEAR(Datos_Consumo[[#This Row],[FECHA]])&amp;"-"&amp;MONTH(Datos_Consumo[[#This Row],[FECHA]])</f>
        <v>2017-5</v>
      </c>
    </row>
    <row r="734" spans="1:4" x14ac:dyDescent="0.25">
      <c r="A734" t="s">
        <v>1490</v>
      </c>
      <c r="B734">
        <v>3</v>
      </c>
      <c r="C734" s="55">
        <v>42705</v>
      </c>
      <c r="D734" s="3" t="str">
        <f>YEAR(Datos_Consumo[[#This Row],[FECHA]])&amp;"-"&amp;MONTH(Datos_Consumo[[#This Row],[FECHA]])</f>
        <v>2016-12</v>
      </c>
    </row>
    <row r="735" spans="1:4" x14ac:dyDescent="0.25">
      <c r="A735" t="s">
        <v>1490</v>
      </c>
      <c r="B735">
        <v>3</v>
      </c>
      <c r="C735" s="55">
        <v>42736</v>
      </c>
      <c r="D735" s="3" t="str">
        <f>YEAR(Datos_Consumo[[#This Row],[FECHA]])&amp;"-"&amp;MONTH(Datos_Consumo[[#This Row],[FECHA]])</f>
        <v>2017-1</v>
      </c>
    </row>
    <row r="736" spans="1:4" x14ac:dyDescent="0.25">
      <c r="A736" t="s">
        <v>1490</v>
      </c>
      <c r="B736">
        <v>2</v>
      </c>
      <c r="C736" s="55">
        <v>42767</v>
      </c>
      <c r="D736" s="3" t="str">
        <f>YEAR(Datos_Consumo[[#This Row],[FECHA]])&amp;"-"&amp;MONTH(Datos_Consumo[[#This Row],[FECHA]])</f>
        <v>2017-2</v>
      </c>
    </row>
    <row r="737" spans="1:4" x14ac:dyDescent="0.25">
      <c r="A737" t="s">
        <v>1490</v>
      </c>
      <c r="B737">
        <v>3</v>
      </c>
      <c r="C737" s="55">
        <v>42826</v>
      </c>
      <c r="D737" s="3" t="str">
        <f>YEAR(Datos_Consumo[[#This Row],[FECHA]])&amp;"-"&amp;MONTH(Datos_Consumo[[#This Row],[FECHA]])</f>
        <v>2017-4</v>
      </c>
    </row>
    <row r="738" spans="1:4" x14ac:dyDescent="0.25">
      <c r="A738" t="s">
        <v>1490</v>
      </c>
      <c r="B738">
        <v>3</v>
      </c>
      <c r="C738" s="55">
        <v>42856</v>
      </c>
      <c r="D738" s="3" t="str">
        <f>YEAR(Datos_Consumo[[#This Row],[FECHA]])&amp;"-"&amp;MONTH(Datos_Consumo[[#This Row],[FECHA]])</f>
        <v>2017-5</v>
      </c>
    </row>
    <row r="739" spans="1:4" x14ac:dyDescent="0.25">
      <c r="A739" t="s">
        <v>1491</v>
      </c>
      <c r="B739">
        <v>1</v>
      </c>
      <c r="C739" s="55">
        <v>42705</v>
      </c>
      <c r="D739" s="3" t="str">
        <f>YEAR(Datos_Consumo[[#This Row],[FECHA]])&amp;"-"&amp;MONTH(Datos_Consumo[[#This Row],[FECHA]])</f>
        <v>2016-12</v>
      </c>
    </row>
    <row r="740" spans="1:4" x14ac:dyDescent="0.25">
      <c r="A740" t="s">
        <v>1491</v>
      </c>
      <c r="B740">
        <v>3</v>
      </c>
      <c r="C740" s="55">
        <v>42767</v>
      </c>
      <c r="D740" s="3" t="str">
        <f>YEAR(Datos_Consumo[[#This Row],[FECHA]])&amp;"-"&amp;MONTH(Datos_Consumo[[#This Row],[FECHA]])</f>
        <v>2017-2</v>
      </c>
    </row>
    <row r="741" spans="1:4" x14ac:dyDescent="0.25">
      <c r="A741" t="s">
        <v>1491</v>
      </c>
      <c r="B741">
        <v>1</v>
      </c>
      <c r="C741" s="55">
        <v>42795</v>
      </c>
      <c r="D741" s="3" t="str">
        <f>YEAR(Datos_Consumo[[#This Row],[FECHA]])&amp;"-"&amp;MONTH(Datos_Consumo[[#This Row],[FECHA]])</f>
        <v>2017-3</v>
      </c>
    </row>
    <row r="742" spans="1:4" x14ac:dyDescent="0.25">
      <c r="A742" t="s">
        <v>1491</v>
      </c>
      <c r="B742">
        <v>1</v>
      </c>
      <c r="C742" s="55">
        <v>42826</v>
      </c>
      <c r="D742" s="3" t="str">
        <f>YEAR(Datos_Consumo[[#This Row],[FECHA]])&amp;"-"&amp;MONTH(Datos_Consumo[[#This Row],[FECHA]])</f>
        <v>2017-4</v>
      </c>
    </row>
    <row r="743" spans="1:4" x14ac:dyDescent="0.25">
      <c r="A743" t="s">
        <v>1824</v>
      </c>
      <c r="B743">
        <v>3</v>
      </c>
      <c r="C743" s="55">
        <v>42767</v>
      </c>
      <c r="D743" s="3" t="str">
        <f>YEAR(Datos_Consumo[[#This Row],[FECHA]])&amp;"-"&amp;MONTH(Datos_Consumo[[#This Row],[FECHA]])</f>
        <v>2017-2</v>
      </c>
    </row>
    <row r="744" spans="1:4" x14ac:dyDescent="0.25">
      <c r="A744" t="s">
        <v>1492</v>
      </c>
      <c r="B744">
        <v>1</v>
      </c>
      <c r="C744" s="55">
        <v>42705</v>
      </c>
      <c r="D744" s="3" t="str">
        <f>YEAR(Datos_Consumo[[#This Row],[FECHA]])&amp;"-"&amp;MONTH(Datos_Consumo[[#This Row],[FECHA]])</f>
        <v>2016-12</v>
      </c>
    </row>
    <row r="745" spans="1:4" x14ac:dyDescent="0.25">
      <c r="A745" t="s">
        <v>1492</v>
      </c>
      <c r="B745">
        <v>1</v>
      </c>
      <c r="C745" s="55">
        <v>42736</v>
      </c>
      <c r="D745" s="3" t="str">
        <f>YEAR(Datos_Consumo[[#This Row],[FECHA]])&amp;"-"&amp;MONTH(Datos_Consumo[[#This Row],[FECHA]])</f>
        <v>2017-1</v>
      </c>
    </row>
    <row r="746" spans="1:4" x14ac:dyDescent="0.25">
      <c r="A746" t="s">
        <v>1492</v>
      </c>
      <c r="B746">
        <v>3</v>
      </c>
      <c r="C746" s="55">
        <v>42767</v>
      </c>
      <c r="D746" s="3" t="str">
        <f>YEAR(Datos_Consumo[[#This Row],[FECHA]])&amp;"-"&amp;MONTH(Datos_Consumo[[#This Row],[FECHA]])</f>
        <v>2017-2</v>
      </c>
    </row>
    <row r="747" spans="1:4" x14ac:dyDescent="0.25">
      <c r="A747" t="s">
        <v>1492</v>
      </c>
      <c r="B747">
        <v>1</v>
      </c>
      <c r="C747" s="55">
        <v>42795</v>
      </c>
      <c r="D747" s="3" t="str">
        <f>YEAR(Datos_Consumo[[#This Row],[FECHA]])&amp;"-"&amp;MONTH(Datos_Consumo[[#This Row],[FECHA]])</f>
        <v>2017-3</v>
      </c>
    </row>
    <row r="748" spans="1:4" x14ac:dyDescent="0.25">
      <c r="A748" t="s">
        <v>1492</v>
      </c>
      <c r="B748">
        <v>3</v>
      </c>
      <c r="C748" s="55">
        <v>42826</v>
      </c>
      <c r="D748" s="3" t="str">
        <f>YEAR(Datos_Consumo[[#This Row],[FECHA]])&amp;"-"&amp;MONTH(Datos_Consumo[[#This Row],[FECHA]])</f>
        <v>2017-4</v>
      </c>
    </row>
    <row r="749" spans="1:4" x14ac:dyDescent="0.25">
      <c r="A749" t="s">
        <v>1493</v>
      </c>
      <c r="B749">
        <v>4</v>
      </c>
      <c r="C749" s="55">
        <v>42705</v>
      </c>
      <c r="D749" s="3" t="str">
        <f>YEAR(Datos_Consumo[[#This Row],[FECHA]])&amp;"-"&amp;MONTH(Datos_Consumo[[#This Row],[FECHA]])</f>
        <v>2016-12</v>
      </c>
    </row>
    <row r="750" spans="1:4" x14ac:dyDescent="0.25">
      <c r="A750" t="s">
        <v>1493</v>
      </c>
      <c r="B750">
        <v>1</v>
      </c>
      <c r="C750" s="55">
        <v>42736</v>
      </c>
      <c r="D750" s="3" t="str">
        <f>YEAR(Datos_Consumo[[#This Row],[FECHA]])&amp;"-"&amp;MONTH(Datos_Consumo[[#This Row],[FECHA]])</f>
        <v>2017-1</v>
      </c>
    </row>
    <row r="751" spans="1:4" x14ac:dyDescent="0.25">
      <c r="A751" t="s">
        <v>1493</v>
      </c>
      <c r="B751">
        <v>5</v>
      </c>
      <c r="C751" s="55">
        <v>42767</v>
      </c>
      <c r="D751" s="3" t="str">
        <f>YEAR(Datos_Consumo[[#This Row],[FECHA]])&amp;"-"&amp;MONTH(Datos_Consumo[[#This Row],[FECHA]])</f>
        <v>2017-2</v>
      </c>
    </row>
    <row r="752" spans="1:4" x14ac:dyDescent="0.25">
      <c r="A752" t="s">
        <v>1493</v>
      </c>
      <c r="B752">
        <v>2</v>
      </c>
      <c r="C752" s="55">
        <v>42795</v>
      </c>
      <c r="D752" s="3" t="str">
        <f>YEAR(Datos_Consumo[[#This Row],[FECHA]])&amp;"-"&amp;MONTH(Datos_Consumo[[#This Row],[FECHA]])</f>
        <v>2017-3</v>
      </c>
    </row>
    <row r="753" spans="1:4" x14ac:dyDescent="0.25">
      <c r="A753" t="s">
        <v>1493</v>
      </c>
      <c r="B753">
        <v>1</v>
      </c>
      <c r="C753" s="55">
        <v>42826</v>
      </c>
      <c r="D753" s="3" t="str">
        <f>YEAR(Datos_Consumo[[#This Row],[FECHA]])&amp;"-"&amp;MONTH(Datos_Consumo[[#This Row],[FECHA]])</f>
        <v>2017-4</v>
      </c>
    </row>
    <row r="754" spans="1:4" x14ac:dyDescent="0.25">
      <c r="A754" t="s">
        <v>1493</v>
      </c>
      <c r="B754">
        <v>3</v>
      </c>
      <c r="C754" s="55">
        <v>42856</v>
      </c>
      <c r="D754" s="3" t="str">
        <f>YEAR(Datos_Consumo[[#This Row],[FECHA]])&amp;"-"&amp;MONTH(Datos_Consumo[[#This Row],[FECHA]])</f>
        <v>2017-5</v>
      </c>
    </row>
    <row r="755" spans="1:4" x14ac:dyDescent="0.25">
      <c r="A755" t="s">
        <v>1494</v>
      </c>
      <c r="B755">
        <v>1</v>
      </c>
      <c r="C755" s="55">
        <v>42705</v>
      </c>
      <c r="D755" s="3" t="str">
        <f>YEAR(Datos_Consumo[[#This Row],[FECHA]])&amp;"-"&amp;MONTH(Datos_Consumo[[#This Row],[FECHA]])</f>
        <v>2016-12</v>
      </c>
    </row>
    <row r="756" spans="1:4" x14ac:dyDescent="0.25">
      <c r="A756" t="s">
        <v>1494</v>
      </c>
      <c r="B756">
        <v>3</v>
      </c>
      <c r="C756" s="55">
        <v>42736</v>
      </c>
      <c r="D756" s="3" t="str">
        <f>YEAR(Datos_Consumo[[#This Row],[FECHA]])&amp;"-"&amp;MONTH(Datos_Consumo[[#This Row],[FECHA]])</f>
        <v>2017-1</v>
      </c>
    </row>
    <row r="757" spans="1:4" x14ac:dyDescent="0.25">
      <c r="A757" t="s">
        <v>1494</v>
      </c>
      <c r="B757">
        <v>3</v>
      </c>
      <c r="C757" s="55">
        <v>42767</v>
      </c>
      <c r="D757" s="3" t="str">
        <f>YEAR(Datos_Consumo[[#This Row],[FECHA]])&amp;"-"&amp;MONTH(Datos_Consumo[[#This Row],[FECHA]])</f>
        <v>2017-2</v>
      </c>
    </row>
    <row r="758" spans="1:4" x14ac:dyDescent="0.25">
      <c r="A758" t="s">
        <v>1494</v>
      </c>
      <c r="B758">
        <v>3</v>
      </c>
      <c r="C758" s="55">
        <v>42795</v>
      </c>
      <c r="D758" s="3" t="str">
        <f>YEAR(Datos_Consumo[[#This Row],[FECHA]])&amp;"-"&amp;MONTH(Datos_Consumo[[#This Row],[FECHA]])</f>
        <v>2017-3</v>
      </c>
    </row>
    <row r="759" spans="1:4" x14ac:dyDescent="0.25">
      <c r="A759" t="s">
        <v>1494</v>
      </c>
      <c r="B759">
        <v>6</v>
      </c>
      <c r="C759" s="55">
        <v>42826</v>
      </c>
      <c r="D759" s="3" t="str">
        <f>YEAR(Datos_Consumo[[#This Row],[FECHA]])&amp;"-"&amp;MONTH(Datos_Consumo[[#This Row],[FECHA]])</f>
        <v>2017-4</v>
      </c>
    </row>
    <row r="760" spans="1:4" x14ac:dyDescent="0.25">
      <c r="A760" t="s">
        <v>1494</v>
      </c>
      <c r="B760">
        <v>1</v>
      </c>
      <c r="C760" s="55">
        <v>42856</v>
      </c>
      <c r="D760" s="3" t="str">
        <f>YEAR(Datos_Consumo[[#This Row],[FECHA]])&amp;"-"&amp;MONTH(Datos_Consumo[[#This Row],[FECHA]])</f>
        <v>2017-5</v>
      </c>
    </row>
    <row r="761" spans="1:4" x14ac:dyDescent="0.25">
      <c r="A761" t="s">
        <v>1495</v>
      </c>
      <c r="B761">
        <v>4</v>
      </c>
      <c r="C761" s="55">
        <v>42705</v>
      </c>
      <c r="D761" s="3" t="str">
        <f>YEAR(Datos_Consumo[[#This Row],[FECHA]])&amp;"-"&amp;MONTH(Datos_Consumo[[#This Row],[FECHA]])</f>
        <v>2016-12</v>
      </c>
    </row>
    <row r="762" spans="1:4" x14ac:dyDescent="0.25">
      <c r="A762" t="s">
        <v>1495</v>
      </c>
      <c r="B762">
        <v>3</v>
      </c>
      <c r="C762" s="55">
        <v>42736</v>
      </c>
      <c r="D762" s="3" t="str">
        <f>YEAR(Datos_Consumo[[#This Row],[FECHA]])&amp;"-"&amp;MONTH(Datos_Consumo[[#This Row],[FECHA]])</f>
        <v>2017-1</v>
      </c>
    </row>
    <row r="763" spans="1:4" x14ac:dyDescent="0.25">
      <c r="A763" t="s">
        <v>1495</v>
      </c>
      <c r="B763">
        <v>5</v>
      </c>
      <c r="C763" s="55">
        <v>42767</v>
      </c>
      <c r="D763" s="3" t="str">
        <f>YEAR(Datos_Consumo[[#This Row],[FECHA]])&amp;"-"&amp;MONTH(Datos_Consumo[[#This Row],[FECHA]])</f>
        <v>2017-2</v>
      </c>
    </row>
    <row r="764" spans="1:4" x14ac:dyDescent="0.25">
      <c r="A764" t="s">
        <v>1495</v>
      </c>
      <c r="B764">
        <v>4</v>
      </c>
      <c r="C764" s="55">
        <v>42795</v>
      </c>
      <c r="D764" s="3" t="str">
        <f>YEAR(Datos_Consumo[[#This Row],[FECHA]])&amp;"-"&amp;MONTH(Datos_Consumo[[#This Row],[FECHA]])</f>
        <v>2017-3</v>
      </c>
    </row>
    <row r="765" spans="1:4" x14ac:dyDescent="0.25">
      <c r="A765" t="s">
        <v>1495</v>
      </c>
      <c r="B765">
        <v>2</v>
      </c>
      <c r="C765" s="55">
        <v>42826</v>
      </c>
      <c r="D765" s="3" t="str">
        <f>YEAR(Datos_Consumo[[#This Row],[FECHA]])&amp;"-"&amp;MONTH(Datos_Consumo[[#This Row],[FECHA]])</f>
        <v>2017-4</v>
      </c>
    </row>
    <row r="766" spans="1:4" x14ac:dyDescent="0.25">
      <c r="A766" t="s">
        <v>1495</v>
      </c>
      <c r="B766">
        <v>2</v>
      </c>
      <c r="C766" s="55">
        <v>42856</v>
      </c>
      <c r="D766" s="3" t="str">
        <f>YEAR(Datos_Consumo[[#This Row],[FECHA]])&amp;"-"&amp;MONTH(Datos_Consumo[[#This Row],[FECHA]])</f>
        <v>2017-5</v>
      </c>
    </row>
    <row r="767" spans="1:4" x14ac:dyDescent="0.25">
      <c r="A767" t="s">
        <v>1496</v>
      </c>
      <c r="B767">
        <v>2</v>
      </c>
      <c r="C767" s="55">
        <v>42705</v>
      </c>
      <c r="D767" s="3" t="str">
        <f>YEAR(Datos_Consumo[[#This Row],[FECHA]])&amp;"-"&amp;MONTH(Datos_Consumo[[#This Row],[FECHA]])</f>
        <v>2016-12</v>
      </c>
    </row>
    <row r="768" spans="1:4" x14ac:dyDescent="0.25">
      <c r="A768" t="s">
        <v>1496</v>
      </c>
      <c r="B768">
        <v>1</v>
      </c>
      <c r="C768" s="55">
        <v>42736</v>
      </c>
      <c r="D768" s="3" t="str">
        <f>YEAR(Datos_Consumo[[#This Row],[FECHA]])&amp;"-"&amp;MONTH(Datos_Consumo[[#This Row],[FECHA]])</f>
        <v>2017-1</v>
      </c>
    </row>
    <row r="769" spans="1:4" x14ac:dyDescent="0.25">
      <c r="A769" t="s">
        <v>1496</v>
      </c>
      <c r="B769">
        <v>2</v>
      </c>
      <c r="C769" s="55">
        <v>42767</v>
      </c>
      <c r="D769" s="3" t="str">
        <f>YEAR(Datos_Consumo[[#This Row],[FECHA]])&amp;"-"&amp;MONTH(Datos_Consumo[[#This Row],[FECHA]])</f>
        <v>2017-2</v>
      </c>
    </row>
    <row r="770" spans="1:4" x14ac:dyDescent="0.25">
      <c r="A770" t="s">
        <v>1496</v>
      </c>
      <c r="B770">
        <v>1</v>
      </c>
      <c r="C770" s="55">
        <v>42795</v>
      </c>
      <c r="D770" s="3" t="str">
        <f>YEAR(Datos_Consumo[[#This Row],[FECHA]])&amp;"-"&amp;MONTH(Datos_Consumo[[#This Row],[FECHA]])</f>
        <v>2017-3</v>
      </c>
    </row>
    <row r="771" spans="1:4" x14ac:dyDescent="0.25">
      <c r="A771" t="s">
        <v>1496</v>
      </c>
      <c r="B771">
        <v>2</v>
      </c>
      <c r="C771" s="55">
        <v>42826</v>
      </c>
      <c r="D771" s="3" t="str">
        <f>YEAR(Datos_Consumo[[#This Row],[FECHA]])&amp;"-"&amp;MONTH(Datos_Consumo[[#This Row],[FECHA]])</f>
        <v>2017-4</v>
      </c>
    </row>
    <row r="772" spans="1:4" x14ac:dyDescent="0.25">
      <c r="A772" t="s">
        <v>1496</v>
      </c>
      <c r="B772">
        <v>1</v>
      </c>
      <c r="C772" s="55">
        <v>42856</v>
      </c>
      <c r="D772" s="3" t="str">
        <f>YEAR(Datos_Consumo[[#This Row],[FECHA]])&amp;"-"&amp;MONTH(Datos_Consumo[[#This Row],[FECHA]])</f>
        <v>2017-5</v>
      </c>
    </row>
    <row r="773" spans="1:4" x14ac:dyDescent="0.25">
      <c r="A773" t="s">
        <v>1497</v>
      </c>
      <c r="B773">
        <v>1</v>
      </c>
      <c r="C773" s="55">
        <v>42705</v>
      </c>
      <c r="D773" s="3" t="str">
        <f>YEAR(Datos_Consumo[[#This Row],[FECHA]])&amp;"-"&amp;MONTH(Datos_Consumo[[#This Row],[FECHA]])</f>
        <v>2016-12</v>
      </c>
    </row>
    <row r="774" spans="1:4" x14ac:dyDescent="0.25">
      <c r="A774" t="s">
        <v>1497</v>
      </c>
      <c r="B774">
        <v>3</v>
      </c>
      <c r="C774" s="55">
        <v>42736</v>
      </c>
      <c r="D774" s="3" t="str">
        <f>YEAR(Datos_Consumo[[#This Row],[FECHA]])&amp;"-"&amp;MONTH(Datos_Consumo[[#This Row],[FECHA]])</f>
        <v>2017-1</v>
      </c>
    </row>
    <row r="775" spans="1:4" x14ac:dyDescent="0.25">
      <c r="A775" t="s">
        <v>1497</v>
      </c>
      <c r="B775">
        <v>7</v>
      </c>
      <c r="C775" s="55">
        <v>42767</v>
      </c>
      <c r="D775" s="3" t="str">
        <f>YEAR(Datos_Consumo[[#This Row],[FECHA]])&amp;"-"&amp;MONTH(Datos_Consumo[[#This Row],[FECHA]])</f>
        <v>2017-2</v>
      </c>
    </row>
    <row r="776" spans="1:4" x14ac:dyDescent="0.25">
      <c r="A776" t="s">
        <v>1497</v>
      </c>
      <c r="B776">
        <v>3</v>
      </c>
      <c r="C776" s="55">
        <v>42795</v>
      </c>
      <c r="D776" s="3" t="str">
        <f>YEAR(Datos_Consumo[[#This Row],[FECHA]])&amp;"-"&amp;MONTH(Datos_Consumo[[#This Row],[FECHA]])</f>
        <v>2017-3</v>
      </c>
    </row>
    <row r="777" spans="1:4" x14ac:dyDescent="0.25">
      <c r="A777" t="s">
        <v>1497</v>
      </c>
      <c r="B777">
        <v>5</v>
      </c>
      <c r="C777" s="55">
        <v>42826</v>
      </c>
      <c r="D777" s="3" t="str">
        <f>YEAR(Datos_Consumo[[#This Row],[FECHA]])&amp;"-"&amp;MONTH(Datos_Consumo[[#This Row],[FECHA]])</f>
        <v>2017-4</v>
      </c>
    </row>
    <row r="778" spans="1:4" x14ac:dyDescent="0.25">
      <c r="A778" t="s">
        <v>1497</v>
      </c>
      <c r="B778">
        <v>1</v>
      </c>
      <c r="C778" s="55">
        <v>42856</v>
      </c>
      <c r="D778" s="3" t="str">
        <f>YEAR(Datos_Consumo[[#This Row],[FECHA]])&amp;"-"&amp;MONTH(Datos_Consumo[[#This Row],[FECHA]])</f>
        <v>2017-5</v>
      </c>
    </row>
    <row r="779" spans="1:4" x14ac:dyDescent="0.25">
      <c r="A779" t="s">
        <v>1498</v>
      </c>
      <c r="B779">
        <v>1</v>
      </c>
      <c r="C779" s="55">
        <v>42705</v>
      </c>
      <c r="D779" s="3" t="str">
        <f>YEAR(Datos_Consumo[[#This Row],[FECHA]])&amp;"-"&amp;MONTH(Datos_Consumo[[#This Row],[FECHA]])</f>
        <v>2016-12</v>
      </c>
    </row>
    <row r="780" spans="1:4" x14ac:dyDescent="0.25">
      <c r="A780" t="s">
        <v>1498</v>
      </c>
      <c r="B780">
        <v>9</v>
      </c>
      <c r="C780" s="55">
        <v>42736</v>
      </c>
      <c r="D780" s="3" t="str">
        <f>YEAR(Datos_Consumo[[#This Row],[FECHA]])&amp;"-"&amp;MONTH(Datos_Consumo[[#This Row],[FECHA]])</f>
        <v>2017-1</v>
      </c>
    </row>
    <row r="781" spans="1:4" x14ac:dyDescent="0.25">
      <c r="A781" t="s">
        <v>1498</v>
      </c>
      <c r="B781">
        <v>5</v>
      </c>
      <c r="C781" s="55">
        <v>42767</v>
      </c>
      <c r="D781" s="3" t="str">
        <f>YEAR(Datos_Consumo[[#This Row],[FECHA]])&amp;"-"&amp;MONTH(Datos_Consumo[[#This Row],[FECHA]])</f>
        <v>2017-2</v>
      </c>
    </row>
    <row r="782" spans="1:4" x14ac:dyDescent="0.25">
      <c r="A782" t="s">
        <v>1498</v>
      </c>
      <c r="B782">
        <v>2</v>
      </c>
      <c r="C782" s="55">
        <v>42795</v>
      </c>
      <c r="D782" s="3" t="str">
        <f>YEAR(Datos_Consumo[[#This Row],[FECHA]])&amp;"-"&amp;MONTH(Datos_Consumo[[#This Row],[FECHA]])</f>
        <v>2017-3</v>
      </c>
    </row>
    <row r="783" spans="1:4" x14ac:dyDescent="0.25">
      <c r="A783" t="s">
        <v>1498</v>
      </c>
      <c r="B783">
        <v>5</v>
      </c>
      <c r="C783" s="55">
        <v>42826</v>
      </c>
      <c r="D783" s="3" t="str">
        <f>YEAR(Datos_Consumo[[#This Row],[FECHA]])&amp;"-"&amp;MONTH(Datos_Consumo[[#This Row],[FECHA]])</f>
        <v>2017-4</v>
      </c>
    </row>
    <row r="784" spans="1:4" x14ac:dyDescent="0.25">
      <c r="A784" t="s">
        <v>1498</v>
      </c>
      <c r="B784">
        <v>1</v>
      </c>
      <c r="C784" s="55">
        <v>42856</v>
      </c>
      <c r="D784" s="3" t="str">
        <f>YEAR(Datos_Consumo[[#This Row],[FECHA]])&amp;"-"&amp;MONTH(Datos_Consumo[[#This Row],[FECHA]])</f>
        <v>2017-5</v>
      </c>
    </row>
    <row r="785" spans="1:4" x14ac:dyDescent="0.25">
      <c r="A785" t="s">
        <v>1499</v>
      </c>
      <c r="B785">
        <v>3</v>
      </c>
      <c r="C785" s="55">
        <v>42705</v>
      </c>
      <c r="D785" s="3" t="str">
        <f>YEAR(Datos_Consumo[[#This Row],[FECHA]])&amp;"-"&amp;MONTH(Datos_Consumo[[#This Row],[FECHA]])</f>
        <v>2016-12</v>
      </c>
    </row>
    <row r="786" spans="1:4" x14ac:dyDescent="0.25">
      <c r="A786" t="s">
        <v>1499</v>
      </c>
      <c r="B786">
        <v>2</v>
      </c>
      <c r="C786" s="55">
        <v>42736</v>
      </c>
      <c r="D786" s="3" t="str">
        <f>YEAR(Datos_Consumo[[#This Row],[FECHA]])&amp;"-"&amp;MONTH(Datos_Consumo[[#This Row],[FECHA]])</f>
        <v>2017-1</v>
      </c>
    </row>
    <row r="787" spans="1:4" x14ac:dyDescent="0.25">
      <c r="A787" t="s">
        <v>1499</v>
      </c>
      <c r="B787">
        <v>8</v>
      </c>
      <c r="C787" s="55">
        <v>42767</v>
      </c>
      <c r="D787" s="3" t="str">
        <f>YEAR(Datos_Consumo[[#This Row],[FECHA]])&amp;"-"&amp;MONTH(Datos_Consumo[[#This Row],[FECHA]])</f>
        <v>2017-2</v>
      </c>
    </row>
    <row r="788" spans="1:4" x14ac:dyDescent="0.25">
      <c r="A788" t="s">
        <v>1499</v>
      </c>
      <c r="B788">
        <v>2</v>
      </c>
      <c r="C788" s="55">
        <v>42795</v>
      </c>
      <c r="D788" s="3" t="str">
        <f>YEAR(Datos_Consumo[[#This Row],[FECHA]])&amp;"-"&amp;MONTH(Datos_Consumo[[#This Row],[FECHA]])</f>
        <v>2017-3</v>
      </c>
    </row>
    <row r="789" spans="1:4" x14ac:dyDescent="0.25">
      <c r="A789" t="s">
        <v>1499</v>
      </c>
      <c r="B789">
        <v>3</v>
      </c>
      <c r="C789" s="55">
        <v>42826</v>
      </c>
      <c r="D789" s="3" t="str">
        <f>YEAR(Datos_Consumo[[#This Row],[FECHA]])&amp;"-"&amp;MONTH(Datos_Consumo[[#This Row],[FECHA]])</f>
        <v>2017-4</v>
      </c>
    </row>
    <row r="790" spans="1:4" x14ac:dyDescent="0.25">
      <c r="A790" t="s">
        <v>1499</v>
      </c>
      <c r="B790">
        <v>3</v>
      </c>
      <c r="C790" s="55">
        <v>42856</v>
      </c>
      <c r="D790" s="3" t="str">
        <f>YEAR(Datos_Consumo[[#This Row],[FECHA]])&amp;"-"&amp;MONTH(Datos_Consumo[[#This Row],[FECHA]])</f>
        <v>2017-5</v>
      </c>
    </row>
    <row r="791" spans="1:4" x14ac:dyDescent="0.25">
      <c r="A791" t="s">
        <v>1500</v>
      </c>
      <c r="B791">
        <v>1</v>
      </c>
      <c r="C791" s="55">
        <v>42705</v>
      </c>
      <c r="D791" s="3" t="str">
        <f>YEAR(Datos_Consumo[[#This Row],[FECHA]])&amp;"-"&amp;MONTH(Datos_Consumo[[#This Row],[FECHA]])</f>
        <v>2016-12</v>
      </c>
    </row>
    <row r="792" spans="1:4" x14ac:dyDescent="0.25">
      <c r="A792" t="s">
        <v>1500</v>
      </c>
      <c r="B792">
        <v>2</v>
      </c>
      <c r="C792" s="55">
        <v>42736</v>
      </c>
      <c r="D792" s="3" t="str">
        <f>YEAR(Datos_Consumo[[#This Row],[FECHA]])&amp;"-"&amp;MONTH(Datos_Consumo[[#This Row],[FECHA]])</f>
        <v>2017-1</v>
      </c>
    </row>
    <row r="793" spans="1:4" x14ac:dyDescent="0.25">
      <c r="A793" t="s">
        <v>1500</v>
      </c>
      <c r="B793">
        <v>5</v>
      </c>
      <c r="C793" s="55">
        <v>42767</v>
      </c>
      <c r="D793" s="3" t="str">
        <f>YEAR(Datos_Consumo[[#This Row],[FECHA]])&amp;"-"&amp;MONTH(Datos_Consumo[[#This Row],[FECHA]])</f>
        <v>2017-2</v>
      </c>
    </row>
    <row r="794" spans="1:4" x14ac:dyDescent="0.25">
      <c r="A794" t="s">
        <v>1500</v>
      </c>
      <c r="B794">
        <v>3</v>
      </c>
      <c r="C794" s="55">
        <v>42795</v>
      </c>
      <c r="D794" s="3" t="str">
        <f>YEAR(Datos_Consumo[[#This Row],[FECHA]])&amp;"-"&amp;MONTH(Datos_Consumo[[#This Row],[FECHA]])</f>
        <v>2017-3</v>
      </c>
    </row>
    <row r="795" spans="1:4" x14ac:dyDescent="0.25">
      <c r="A795" t="s">
        <v>1500</v>
      </c>
      <c r="B795">
        <v>1</v>
      </c>
      <c r="C795" s="55">
        <v>42826</v>
      </c>
      <c r="D795" s="3" t="str">
        <f>YEAR(Datos_Consumo[[#This Row],[FECHA]])&amp;"-"&amp;MONTH(Datos_Consumo[[#This Row],[FECHA]])</f>
        <v>2017-4</v>
      </c>
    </row>
    <row r="796" spans="1:4" x14ac:dyDescent="0.25">
      <c r="A796" t="s">
        <v>1500</v>
      </c>
      <c r="B796">
        <v>1</v>
      </c>
      <c r="C796" s="55">
        <v>42856</v>
      </c>
      <c r="D796" s="3" t="str">
        <f>YEAR(Datos_Consumo[[#This Row],[FECHA]])&amp;"-"&amp;MONTH(Datos_Consumo[[#This Row],[FECHA]])</f>
        <v>2017-5</v>
      </c>
    </row>
    <row r="797" spans="1:4" x14ac:dyDescent="0.25">
      <c r="A797" t="s">
        <v>1501</v>
      </c>
      <c r="B797">
        <v>1</v>
      </c>
      <c r="C797" s="55">
        <v>42705</v>
      </c>
      <c r="D797" s="3" t="str">
        <f>YEAR(Datos_Consumo[[#This Row],[FECHA]])&amp;"-"&amp;MONTH(Datos_Consumo[[#This Row],[FECHA]])</f>
        <v>2016-12</v>
      </c>
    </row>
    <row r="798" spans="1:4" x14ac:dyDescent="0.25">
      <c r="A798" t="s">
        <v>1501</v>
      </c>
      <c r="B798">
        <v>1</v>
      </c>
      <c r="C798" s="55">
        <v>42736</v>
      </c>
      <c r="D798" s="3" t="str">
        <f>YEAR(Datos_Consumo[[#This Row],[FECHA]])&amp;"-"&amp;MONTH(Datos_Consumo[[#This Row],[FECHA]])</f>
        <v>2017-1</v>
      </c>
    </row>
    <row r="799" spans="1:4" x14ac:dyDescent="0.25">
      <c r="A799" t="s">
        <v>1501</v>
      </c>
      <c r="B799">
        <v>4</v>
      </c>
      <c r="C799" s="55">
        <v>42767</v>
      </c>
      <c r="D799" s="3" t="str">
        <f>YEAR(Datos_Consumo[[#This Row],[FECHA]])&amp;"-"&amp;MONTH(Datos_Consumo[[#This Row],[FECHA]])</f>
        <v>2017-2</v>
      </c>
    </row>
    <row r="800" spans="1:4" x14ac:dyDescent="0.25">
      <c r="A800" t="s">
        <v>1501</v>
      </c>
      <c r="B800">
        <v>1</v>
      </c>
      <c r="C800" s="55">
        <v>42826</v>
      </c>
      <c r="D800" s="3" t="str">
        <f>YEAR(Datos_Consumo[[#This Row],[FECHA]])&amp;"-"&amp;MONTH(Datos_Consumo[[#This Row],[FECHA]])</f>
        <v>2017-4</v>
      </c>
    </row>
    <row r="801" spans="1:4" x14ac:dyDescent="0.25">
      <c r="A801" t="s">
        <v>1501</v>
      </c>
      <c r="B801">
        <v>2</v>
      </c>
      <c r="C801" s="55">
        <v>42856</v>
      </c>
      <c r="D801" s="3" t="str">
        <f>YEAR(Datos_Consumo[[#This Row],[FECHA]])&amp;"-"&amp;MONTH(Datos_Consumo[[#This Row],[FECHA]])</f>
        <v>2017-5</v>
      </c>
    </row>
    <row r="802" spans="1:4" x14ac:dyDescent="0.25">
      <c r="A802" t="s">
        <v>1502</v>
      </c>
      <c r="B802">
        <v>3</v>
      </c>
      <c r="C802" s="55">
        <v>42705</v>
      </c>
      <c r="D802" s="3" t="str">
        <f>YEAR(Datos_Consumo[[#This Row],[FECHA]])&amp;"-"&amp;MONTH(Datos_Consumo[[#This Row],[FECHA]])</f>
        <v>2016-12</v>
      </c>
    </row>
    <row r="803" spans="1:4" x14ac:dyDescent="0.25">
      <c r="A803" t="s">
        <v>1502</v>
      </c>
      <c r="B803">
        <v>1</v>
      </c>
      <c r="C803" s="55">
        <v>42736</v>
      </c>
      <c r="D803" s="3" t="str">
        <f>YEAR(Datos_Consumo[[#This Row],[FECHA]])&amp;"-"&amp;MONTH(Datos_Consumo[[#This Row],[FECHA]])</f>
        <v>2017-1</v>
      </c>
    </row>
    <row r="804" spans="1:4" x14ac:dyDescent="0.25">
      <c r="A804" t="s">
        <v>1502</v>
      </c>
      <c r="B804">
        <v>7</v>
      </c>
      <c r="C804" s="55">
        <v>42767</v>
      </c>
      <c r="D804" s="3" t="str">
        <f>YEAR(Datos_Consumo[[#This Row],[FECHA]])&amp;"-"&amp;MONTH(Datos_Consumo[[#This Row],[FECHA]])</f>
        <v>2017-2</v>
      </c>
    </row>
    <row r="805" spans="1:4" x14ac:dyDescent="0.25">
      <c r="A805" t="s">
        <v>1502</v>
      </c>
      <c r="B805">
        <v>1</v>
      </c>
      <c r="C805" s="55">
        <v>42826</v>
      </c>
      <c r="D805" s="3" t="str">
        <f>YEAR(Datos_Consumo[[#This Row],[FECHA]])&amp;"-"&amp;MONTH(Datos_Consumo[[#This Row],[FECHA]])</f>
        <v>2017-4</v>
      </c>
    </row>
    <row r="806" spans="1:4" x14ac:dyDescent="0.25">
      <c r="A806" t="s">
        <v>1502</v>
      </c>
      <c r="B806">
        <v>1</v>
      </c>
      <c r="C806" s="55">
        <v>42856</v>
      </c>
      <c r="D806" s="3" t="str">
        <f>YEAR(Datos_Consumo[[#This Row],[FECHA]])&amp;"-"&amp;MONTH(Datos_Consumo[[#This Row],[FECHA]])</f>
        <v>2017-5</v>
      </c>
    </row>
    <row r="807" spans="1:4" x14ac:dyDescent="0.25">
      <c r="A807" t="s">
        <v>1503</v>
      </c>
      <c r="B807">
        <v>2</v>
      </c>
      <c r="C807" s="55">
        <v>42705</v>
      </c>
      <c r="D807" s="3" t="str">
        <f>YEAR(Datos_Consumo[[#This Row],[FECHA]])&amp;"-"&amp;MONTH(Datos_Consumo[[#This Row],[FECHA]])</f>
        <v>2016-12</v>
      </c>
    </row>
    <row r="808" spans="1:4" x14ac:dyDescent="0.25">
      <c r="A808" t="s">
        <v>1503</v>
      </c>
      <c r="B808">
        <v>1</v>
      </c>
      <c r="C808" s="55">
        <v>42736</v>
      </c>
      <c r="D808" s="3" t="str">
        <f>YEAR(Datos_Consumo[[#This Row],[FECHA]])&amp;"-"&amp;MONTH(Datos_Consumo[[#This Row],[FECHA]])</f>
        <v>2017-1</v>
      </c>
    </row>
    <row r="809" spans="1:4" x14ac:dyDescent="0.25">
      <c r="A809" t="s">
        <v>1503</v>
      </c>
      <c r="B809">
        <v>3</v>
      </c>
      <c r="C809" s="55">
        <v>42767</v>
      </c>
      <c r="D809" s="3" t="str">
        <f>YEAR(Datos_Consumo[[#This Row],[FECHA]])&amp;"-"&amp;MONTH(Datos_Consumo[[#This Row],[FECHA]])</f>
        <v>2017-2</v>
      </c>
    </row>
    <row r="810" spans="1:4" x14ac:dyDescent="0.25">
      <c r="A810" t="s">
        <v>1503</v>
      </c>
      <c r="B810">
        <v>2</v>
      </c>
      <c r="C810" s="55">
        <v>42795</v>
      </c>
      <c r="D810" s="3" t="str">
        <f>YEAR(Datos_Consumo[[#This Row],[FECHA]])&amp;"-"&amp;MONTH(Datos_Consumo[[#This Row],[FECHA]])</f>
        <v>2017-3</v>
      </c>
    </row>
    <row r="811" spans="1:4" x14ac:dyDescent="0.25">
      <c r="A811" t="s">
        <v>1503</v>
      </c>
      <c r="B811">
        <v>4</v>
      </c>
      <c r="C811" s="55">
        <v>42826</v>
      </c>
      <c r="D811" s="3" t="str">
        <f>YEAR(Datos_Consumo[[#This Row],[FECHA]])&amp;"-"&amp;MONTH(Datos_Consumo[[#This Row],[FECHA]])</f>
        <v>2017-4</v>
      </c>
    </row>
    <row r="812" spans="1:4" x14ac:dyDescent="0.25">
      <c r="A812" t="s">
        <v>1504</v>
      </c>
      <c r="B812">
        <v>4</v>
      </c>
      <c r="C812" s="55">
        <v>42705</v>
      </c>
      <c r="D812" s="3" t="str">
        <f>YEAR(Datos_Consumo[[#This Row],[FECHA]])&amp;"-"&amp;MONTH(Datos_Consumo[[#This Row],[FECHA]])</f>
        <v>2016-12</v>
      </c>
    </row>
    <row r="813" spans="1:4" x14ac:dyDescent="0.25">
      <c r="A813" t="s">
        <v>1504</v>
      </c>
      <c r="B813">
        <v>1</v>
      </c>
      <c r="C813" s="55">
        <v>42736</v>
      </c>
      <c r="D813" s="3" t="str">
        <f>YEAR(Datos_Consumo[[#This Row],[FECHA]])&amp;"-"&amp;MONTH(Datos_Consumo[[#This Row],[FECHA]])</f>
        <v>2017-1</v>
      </c>
    </row>
    <row r="814" spans="1:4" x14ac:dyDescent="0.25">
      <c r="A814" t="s">
        <v>1504</v>
      </c>
      <c r="B814">
        <v>4</v>
      </c>
      <c r="C814" s="55">
        <v>42767</v>
      </c>
      <c r="D814" s="3" t="str">
        <f>YEAR(Datos_Consumo[[#This Row],[FECHA]])&amp;"-"&amp;MONTH(Datos_Consumo[[#This Row],[FECHA]])</f>
        <v>2017-2</v>
      </c>
    </row>
    <row r="815" spans="1:4" x14ac:dyDescent="0.25">
      <c r="A815" t="s">
        <v>1504</v>
      </c>
      <c r="B815">
        <v>3</v>
      </c>
      <c r="C815" s="55">
        <v>42795</v>
      </c>
      <c r="D815" s="3" t="str">
        <f>YEAR(Datos_Consumo[[#This Row],[FECHA]])&amp;"-"&amp;MONTH(Datos_Consumo[[#This Row],[FECHA]])</f>
        <v>2017-3</v>
      </c>
    </row>
    <row r="816" spans="1:4" x14ac:dyDescent="0.25">
      <c r="A816" t="s">
        <v>1504</v>
      </c>
      <c r="B816">
        <v>3</v>
      </c>
      <c r="C816" s="55">
        <v>42826</v>
      </c>
      <c r="D816" s="3" t="str">
        <f>YEAR(Datos_Consumo[[#This Row],[FECHA]])&amp;"-"&amp;MONTH(Datos_Consumo[[#This Row],[FECHA]])</f>
        <v>2017-4</v>
      </c>
    </row>
    <row r="817" spans="1:4" x14ac:dyDescent="0.25">
      <c r="A817" t="s">
        <v>1504</v>
      </c>
      <c r="B817">
        <v>2</v>
      </c>
      <c r="C817" s="55">
        <v>42856</v>
      </c>
      <c r="D817" s="3" t="str">
        <f>YEAR(Datos_Consumo[[#This Row],[FECHA]])&amp;"-"&amp;MONTH(Datos_Consumo[[#This Row],[FECHA]])</f>
        <v>2017-5</v>
      </c>
    </row>
    <row r="818" spans="1:4" x14ac:dyDescent="0.25">
      <c r="A818" t="s">
        <v>1505</v>
      </c>
      <c r="B818">
        <v>5</v>
      </c>
      <c r="C818" s="55">
        <v>42705</v>
      </c>
      <c r="D818" s="3" t="str">
        <f>YEAR(Datos_Consumo[[#This Row],[FECHA]])&amp;"-"&amp;MONTH(Datos_Consumo[[#This Row],[FECHA]])</f>
        <v>2016-12</v>
      </c>
    </row>
    <row r="819" spans="1:4" x14ac:dyDescent="0.25">
      <c r="A819" t="s">
        <v>1505</v>
      </c>
      <c r="B819">
        <v>4</v>
      </c>
      <c r="C819" s="55">
        <v>42736</v>
      </c>
      <c r="D819" s="3" t="str">
        <f>YEAR(Datos_Consumo[[#This Row],[FECHA]])&amp;"-"&amp;MONTH(Datos_Consumo[[#This Row],[FECHA]])</f>
        <v>2017-1</v>
      </c>
    </row>
    <row r="820" spans="1:4" x14ac:dyDescent="0.25">
      <c r="A820" t="s">
        <v>1505</v>
      </c>
      <c r="B820">
        <v>4</v>
      </c>
      <c r="C820" s="55">
        <v>42767</v>
      </c>
      <c r="D820" s="3" t="str">
        <f>YEAR(Datos_Consumo[[#This Row],[FECHA]])&amp;"-"&amp;MONTH(Datos_Consumo[[#This Row],[FECHA]])</f>
        <v>2017-2</v>
      </c>
    </row>
    <row r="821" spans="1:4" x14ac:dyDescent="0.25">
      <c r="A821" t="s">
        <v>1505</v>
      </c>
      <c r="B821">
        <v>1</v>
      </c>
      <c r="C821" s="55">
        <v>42795</v>
      </c>
      <c r="D821" s="3" t="str">
        <f>YEAR(Datos_Consumo[[#This Row],[FECHA]])&amp;"-"&amp;MONTH(Datos_Consumo[[#This Row],[FECHA]])</f>
        <v>2017-3</v>
      </c>
    </row>
    <row r="822" spans="1:4" x14ac:dyDescent="0.25">
      <c r="A822" t="s">
        <v>1505</v>
      </c>
      <c r="B822">
        <v>3</v>
      </c>
      <c r="C822" s="55">
        <v>42826</v>
      </c>
      <c r="D822" s="3" t="str">
        <f>YEAR(Datos_Consumo[[#This Row],[FECHA]])&amp;"-"&amp;MONTH(Datos_Consumo[[#This Row],[FECHA]])</f>
        <v>2017-4</v>
      </c>
    </row>
    <row r="823" spans="1:4" x14ac:dyDescent="0.25">
      <c r="A823" t="s">
        <v>1505</v>
      </c>
      <c r="B823">
        <v>1</v>
      </c>
      <c r="C823" s="55">
        <v>42856</v>
      </c>
      <c r="D823" s="3" t="str">
        <f>YEAR(Datos_Consumo[[#This Row],[FECHA]])&amp;"-"&amp;MONTH(Datos_Consumo[[#This Row],[FECHA]])</f>
        <v>2017-5</v>
      </c>
    </row>
    <row r="824" spans="1:4" x14ac:dyDescent="0.25">
      <c r="A824" t="s">
        <v>1506</v>
      </c>
      <c r="B824">
        <v>2</v>
      </c>
      <c r="C824" s="55">
        <v>42705</v>
      </c>
      <c r="D824" s="3" t="str">
        <f>YEAR(Datos_Consumo[[#This Row],[FECHA]])&amp;"-"&amp;MONTH(Datos_Consumo[[#This Row],[FECHA]])</f>
        <v>2016-12</v>
      </c>
    </row>
    <row r="825" spans="1:4" x14ac:dyDescent="0.25">
      <c r="A825" t="s">
        <v>1506</v>
      </c>
      <c r="B825">
        <v>2</v>
      </c>
      <c r="C825" s="55">
        <v>42736</v>
      </c>
      <c r="D825" s="3" t="str">
        <f>YEAR(Datos_Consumo[[#This Row],[FECHA]])&amp;"-"&amp;MONTH(Datos_Consumo[[#This Row],[FECHA]])</f>
        <v>2017-1</v>
      </c>
    </row>
    <row r="826" spans="1:4" x14ac:dyDescent="0.25">
      <c r="A826" t="s">
        <v>1506</v>
      </c>
      <c r="B826">
        <v>9</v>
      </c>
      <c r="C826" s="55">
        <v>42767</v>
      </c>
      <c r="D826" s="3" t="str">
        <f>YEAR(Datos_Consumo[[#This Row],[FECHA]])&amp;"-"&amp;MONTH(Datos_Consumo[[#This Row],[FECHA]])</f>
        <v>2017-2</v>
      </c>
    </row>
    <row r="827" spans="1:4" x14ac:dyDescent="0.25">
      <c r="A827" t="s">
        <v>1506</v>
      </c>
      <c r="B827">
        <v>4</v>
      </c>
      <c r="C827" s="55">
        <v>42795</v>
      </c>
      <c r="D827" s="3" t="str">
        <f>YEAR(Datos_Consumo[[#This Row],[FECHA]])&amp;"-"&amp;MONTH(Datos_Consumo[[#This Row],[FECHA]])</f>
        <v>2017-3</v>
      </c>
    </row>
    <row r="828" spans="1:4" x14ac:dyDescent="0.25">
      <c r="A828" t="s">
        <v>1506</v>
      </c>
      <c r="B828">
        <v>2</v>
      </c>
      <c r="C828" s="55">
        <v>42826</v>
      </c>
      <c r="D828" s="3" t="str">
        <f>YEAR(Datos_Consumo[[#This Row],[FECHA]])&amp;"-"&amp;MONTH(Datos_Consumo[[#This Row],[FECHA]])</f>
        <v>2017-4</v>
      </c>
    </row>
    <row r="829" spans="1:4" x14ac:dyDescent="0.25">
      <c r="A829" t="s">
        <v>1506</v>
      </c>
      <c r="B829">
        <v>2</v>
      </c>
      <c r="C829" s="55">
        <v>42856</v>
      </c>
      <c r="D829" s="3" t="str">
        <f>YEAR(Datos_Consumo[[#This Row],[FECHA]])&amp;"-"&amp;MONTH(Datos_Consumo[[#This Row],[FECHA]])</f>
        <v>2017-5</v>
      </c>
    </row>
    <row r="830" spans="1:4" x14ac:dyDescent="0.25">
      <c r="A830" t="s">
        <v>1507</v>
      </c>
      <c r="B830">
        <v>3</v>
      </c>
      <c r="C830" s="55">
        <v>42705</v>
      </c>
      <c r="D830" s="3" t="str">
        <f>YEAR(Datos_Consumo[[#This Row],[FECHA]])&amp;"-"&amp;MONTH(Datos_Consumo[[#This Row],[FECHA]])</f>
        <v>2016-12</v>
      </c>
    </row>
    <row r="831" spans="1:4" x14ac:dyDescent="0.25">
      <c r="A831" t="s">
        <v>1507</v>
      </c>
      <c r="B831">
        <v>1</v>
      </c>
      <c r="C831" s="55">
        <v>42736</v>
      </c>
      <c r="D831" s="3" t="str">
        <f>YEAR(Datos_Consumo[[#This Row],[FECHA]])&amp;"-"&amp;MONTH(Datos_Consumo[[#This Row],[FECHA]])</f>
        <v>2017-1</v>
      </c>
    </row>
    <row r="832" spans="1:4" x14ac:dyDescent="0.25">
      <c r="A832" t="s">
        <v>1507</v>
      </c>
      <c r="B832">
        <v>2</v>
      </c>
      <c r="C832" s="55">
        <v>42767</v>
      </c>
      <c r="D832" s="3" t="str">
        <f>YEAR(Datos_Consumo[[#This Row],[FECHA]])&amp;"-"&amp;MONTH(Datos_Consumo[[#This Row],[FECHA]])</f>
        <v>2017-2</v>
      </c>
    </row>
    <row r="833" spans="1:4" x14ac:dyDescent="0.25">
      <c r="A833" t="s">
        <v>1507</v>
      </c>
      <c r="B833">
        <v>1</v>
      </c>
      <c r="C833" s="55">
        <v>42795</v>
      </c>
      <c r="D833" s="3" t="str">
        <f>YEAR(Datos_Consumo[[#This Row],[FECHA]])&amp;"-"&amp;MONTH(Datos_Consumo[[#This Row],[FECHA]])</f>
        <v>2017-3</v>
      </c>
    </row>
    <row r="834" spans="1:4" x14ac:dyDescent="0.25">
      <c r="A834" t="s">
        <v>1507</v>
      </c>
      <c r="B834">
        <v>1</v>
      </c>
      <c r="C834" s="55">
        <v>42826</v>
      </c>
      <c r="D834" s="3" t="str">
        <f>YEAR(Datos_Consumo[[#This Row],[FECHA]])&amp;"-"&amp;MONTH(Datos_Consumo[[#This Row],[FECHA]])</f>
        <v>2017-4</v>
      </c>
    </row>
    <row r="835" spans="1:4" x14ac:dyDescent="0.25">
      <c r="A835" t="s">
        <v>1507</v>
      </c>
      <c r="B835">
        <v>2</v>
      </c>
      <c r="C835" s="55">
        <v>42856</v>
      </c>
      <c r="D835" s="3" t="str">
        <f>YEAR(Datos_Consumo[[#This Row],[FECHA]])&amp;"-"&amp;MONTH(Datos_Consumo[[#This Row],[FECHA]])</f>
        <v>2017-5</v>
      </c>
    </row>
    <row r="836" spans="1:4" x14ac:dyDescent="0.25">
      <c r="A836" t="s">
        <v>1508</v>
      </c>
      <c r="B836">
        <v>2</v>
      </c>
      <c r="C836" s="55">
        <v>42705</v>
      </c>
      <c r="D836" s="3" t="str">
        <f>YEAR(Datos_Consumo[[#This Row],[FECHA]])&amp;"-"&amp;MONTH(Datos_Consumo[[#This Row],[FECHA]])</f>
        <v>2016-12</v>
      </c>
    </row>
    <row r="837" spans="1:4" x14ac:dyDescent="0.25">
      <c r="A837" t="s">
        <v>1508</v>
      </c>
      <c r="B837">
        <v>1</v>
      </c>
      <c r="C837" s="55">
        <v>42736</v>
      </c>
      <c r="D837" s="3" t="str">
        <f>YEAR(Datos_Consumo[[#This Row],[FECHA]])&amp;"-"&amp;MONTH(Datos_Consumo[[#This Row],[FECHA]])</f>
        <v>2017-1</v>
      </c>
    </row>
    <row r="838" spans="1:4" x14ac:dyDescent="0.25">
      <c r="A838" t="s">
        <v>1508</v>
      </c>
      <c r="B838">
        <v>2</v>
      </c>
      <c r="C838" s="55">
        <v>42767</v>
      </c>
      <c r="D838" s="3" t="str">
        <f>YEAR(Datos_Consumo[[#This Row],[FECHA]])&amp;"-"&amp;MONTH(Datos_Consumo[[#This Row],[FECHA]])</f>
        <v>2017-2</v>
      </c>
    </row>
    <row r="839" spans="1:4" x14ac:dyDescent="0.25">
      <c r="A839" t="s">
        <v>1508</v>
      </c>
      <c r="B839">
        <v>1</v>
      </c>
      <c r="C839" s="55">
        <v>42795</v>
      </c>
      <c r="D839" s="3" t="str">
        <f>YEAR(Datos_Consumo[[#This Row],[FECHA]])&amp;"-"&amp;MONTH(Datos_Consumo[[#This Row],[FECHA]])</f>
        <v>2017-3</v>
      </c>
    </row>
    <row r="840" spans="1:4" x14ac:dyDescent="0.25">
      <c r="A840" t="s">
        <v>1508</v>
      </c>
      <c r="B840">
        <v>1</v>
      </c>
      <c r="C840" s="55">
        <v>42826</v>
      </c>
      <c r="D840" s="3" t="str">
        <f>YEAR(Datos_Consumo[[#This Row],[FECHA]])&amp;"-"&amp;MONTH(Datos_Consumo[[#This Row],[FECHA]])</f>
        <v>2017-4</v>
      </c>
    </row>
    <row r="841" spans="1:4" x14ac:dyDescent="0.25">
      <c r="A841" t="s">
        <v>1825</v>
      </c>
      <c r="B841">
        <v>2</v>
      </c>
      <c r="C841" s="55">
        <v>42826</v>
      </c>
      <c r="D841" s="3" t="str">
        <f>YEAR(Datos_Consumo[[#This Row],[FECHA]])&amp;"-"&amp;MONTH(Datos_Consumo[[#This Row],[FECHA]])</f>
        <v>2017-4</v>
      </c>
    </row>
    <row r="842" spans="1:4" x14ac:dyDescent="0.25">
      <c r="A842" t="s">
        <v>1509</v>
      </c>
      <c r="B842">
        <v>1</v>
      </c>
      <c r="C842" s="55">
        <v>42767</v>
      </c>
      <c r="D842" s="3" t="str">
        <f>YEAR(Datos_Consumo[[#This Row],[FECHA]])&amp;"-"&amp;MONTH(Datos_Consumo[[#This Row],[FECHA]])</f>
        <v>2017-2</v>
      </c>
    </row>
    <row r="843" spans="1:4" x14ac:dyDescent="0.25">
      <c r="A843" t="s">
        <v>1826</v>
      </c>
      <c r="B843">
        <v>1</v>
      </c>
      <c r="C843" s="55">
        <v>42767</v>
      </c>
      <c r="D843" s="3" t="str">
        <f>YEAR(Datos_Consumo[[#This Row],[FECHA]])&amp;"-"&amp;MONTH(Datos_Consumo[[#This Row],[FECHA]])</f>
        <v>2017-2</v>
      </c>
    </row>
    <row r="844" spans="1:4" x14ac:dyDescent="0.25">
      <c r="A844" t="s">
        <v>1827</v>
      </c>
      <c r="B844">
        <v>1</v>
      </c>
      <c r="C844" s="55">
        <v>42767</v>
      </c>
      <c r="D844" s="3" t="str">
        <f>YEAR(Datos_Consumo[[#This Row],[FECHA]])&amp;"-"&amp;MONTH(Datos_Consumo[[#This Row],[FECHA]])</f>
        <v>2017-2</v>
      </c>
    </row>
    <row r="845" spans="1:4" x14ac:dyDescent="0.25">
      <c r="A845" t="s">
        <v>1828</v>
      </c>
      <c r="B845">
        <v>2</v>
      </c>
      <c r="C845" s="55">
        <v>42767</v>
      </c>
      <c r="D845" s="3" t="str">
        <f>YEAR(Datos_Consumo[[#This Row],[FECHA]])&amp;"-"&amp;MONTH(Datos_Consumo[[#This Row],[FECHA]])</f>
        <v>2017-2</v>
      </c>
    </row>
    <row r="846" spans="1:4" x14ac:dyDescent="0.25">
      <c r="A846" t="s">
        <v>1510</v>
      </c>
      <c r="B846">
        <v>1</v>
      </c>
      <c r="C846" s="55">
        <v>42767</v>
      </c>
      <c r="D846" s="3" t="str">
        <f>YEAR(Datos_Consumo[[#This Row],[FECHA]])&amp;"-"&amp;MONTH(Datos_Consumo[[#This Row],[FECHA]])</f>
        <v>2017-2</v>
      </c>
    </row>
    <row r="847" spans="1:4" x14ac:dyDescent="0.25">
      <c r="A847" t="s">
        <v>1511</v>
      </c>
      <c r="B847">
        <v>3</v>
      </c>
      <c r="C847" s="55">
        <v>42736</v>
      </c>
      <c r="D847" s="3" t="str">
        <f>YEAR(Datos_Consumo[[#This Row],[FECHA]])&amp;"-"&amp;MONTH(Datos_Consumo[[#This Row],[FECHA]])</f>
        <v>2017-1</v>
      </c>
    </row>
    <row r="848" spans="1:4" x14ac:dyDescent="0.25">
      <c r="A848" t="s">
        <v>1511</v>
      </c>
      <c r="B848">
        <v>2</v>
      </c>
      <c r="C848" s="55">
        <v>42826</v>
      </c>
      <c r="D848" s="3" t="str">
        <f>YEAR(Datos_Consumo[[#This Row],[FECHA]])&amp;"-"&amp;MONTH(Datos_Consumo[[#This Row],[FECHA]])</f>
        <v>2017-4</v>
      </c>
    </row>
    <row r="849" spans="1:4" x14ac:dyDescent="0.25">
      <c r="A849" t="s">
        <v>1829</v>
      </c>
      <c r="B849">
        <v>1</v>
      </c>
      <c r="C849" s="55">
        <v>42767</v>
      </c>
      <c r="D849" s="3" t="str">
        <f>YEAR(Datos_Consumo[[#This Row],[FECHA]])&amp;"-"&amp;MONTH(Datos_Consumo[[#This Row],[FECHA]])</f>
        <v>2017-2</v>
      </c>
    </row>
    <row r="850" spans="1:4" x14ac:dyDescent="0.25">
      <c r="A850" t="s">
        <v>1829</v>
      </c>
      <c r="B850">
        <v>1</v>
      </c>
      <c r="C850" s="55">
        <v>42795</v>
      </c>
      <c r="D850" s="3" t="str">
        <f>YEAR(Datos_Consumo[[#This Row],[FECHA]])&amp;"-"&amp;MONTH(Datos_Consumo[[#This Row],[FECHA]])</f>
        <v>2017-3</v>
      </c>
    </row>
    <row r="851" spans="1:4" x14ac:dyDescent="0.25">
      <c r="A851" t="s">
        <v>1830</v>
      </c>
      <c r="B851">
        <v>1</v>
      </c>
      <c r="C851" s="55">
        <v>42767</v>
      </c>
      <c r="D851" s="3" t="str">
        <f>YEAR(Datos_Consumo[[#This Row],[FECHA]])&amp;"-"&amp;MONTH(Datos_Consumo[[#This Row],[FECHA]])</f>
        <v>2017-2</v>
      </c>
    </row>
    <row r="852" spans="1:4" x14ac:dyDescent="0.25">
      <c r="A852" t="s">
        <v>1830</v>
      </c>
      <c r="B852">
        <v>1</v>
      </c>
      <c r="C852" s="55">
        <v>42826</v>
      </c>
      <c r="D852" s="3" t="str">
        <f>YEAR(Datos_Consumo[[#This Row],[FECHA]])&amp;"-"&amp;MONTH(Datos_Consumo[[#This Row],[FECHA]])</f>
        <v>2017-4</v>
      </c>
    </row>
    <row r="853" spans="1:4" x14ac:dyDescent="0.25">
      <c r="A853" t="s">
        <v>1831</v>
      </c>
      <c r="B853">
        <v>1</v>
      </c>
      <c r="C853" s="55">
        <v>42767</v>
      </c>
      <c r="D853" s="3" t="str">
        <f>YEAR(Datos_Consumo[[#This Row],[FECHA]])&amp;"-"&amp;MONTH(Datos_Consumo[[#This Row],[FECHA]])</f>
        <v>2017-2</v>
      </c>
    </row>
    <row r="854" spans="1:4" x14ac:dyDescent="0.25">
      <c r="A854" t="s">
        <v>1831</v>
      </c>
      <c r="B854">
        <v>1</v>
      </c>
      <c r="C854" s="55">
        <v>42856</v>
      </c>
      <c r="D854" s="3" t="str">
        <f>YEAR(Datos_Consumo[[#This Row],[FECHA]])&amp;"-"&amp;MONTH(Datos_Consumo[[#This Row],[FECHA]])</f>
        <v>2017-5</v>
      </c>
    </row>
    <row r="855" spans="1:4" x14ac:dyDescent="0.25">
      <c r="A855" t="s">
        <v>1832</v>
      </c>
      <c r="B855">
        <v>1</v>
      </c>
      <c r="C855" s="55">
        <v>42767</v>
      </c>
      <c r="D855" s="3" t="str">
        <f>YEAR(Datos_Consumo[[#This Row],[FECHA]])&amp;"-"&amp;MONTH(Datos_Consumo[[#This Row],[FECHA]])</f>
        <v>2017-2</v>
      </c>
    </row>
    <row r="856" spans="1:4" x14ac:dyDescent="0.25">
      <c r="A856" t="s">
        <v>1833</v>
      </c>
      <c r="B856">
        <v>1</v>
      </c>
      <c r="C856" s="55">
        <v>42767</v>
      </c>
      <c r="D856" s="3" t="str">
        <f>YEAR(Datos_Consumo[[#This Row],[FECHA]])&amp;"-"&amp;MONTH(Datos_Consumo[[#This Row],[FECHA]])</f>
        <v>2017-2</v>
      </c>
    </row>
    <row r="857" spans="1:4" x14ac:dyDescent="0.25">
      <c r="A857" t="s">
        <v>1834</v>
      </c>
      <c r="B857">
        <v>1</v>
      </c>
      <c r="C857" s="55">
        <v>42767</v>
      </c>
      <c r="D857" s="3" t="str">
        <f>YEAR(Datos_Consumo[[#This Row],[FECHA]])&amp;"-"&amp;MONTH(Datos_Consumo[[#This Row],[FECHA]])</f>
        <v>2017-2</v>
      </c>
    </row>
    <row r="858" spans="1:4" x14ac:dyDescent="0.25">
      <c r="A858" t="s">
        <v>1835</v>
      </c>
      <c r="B858">
        <v>1</v>
      </c>
      <c r="C858" s="55">
        <v>42767</v>
      </c>
      <c r="D858" s="3" t="str">
        <f>YEAR(Datos_Consumo[[#This Row],[FECHA]])&amp;"-"&amp;MONTH(Datos_Consumo[[#This Row],[FECHA]])</f>
        <v>2017-2</v>
      </c>
    </row>
    <row r="859" spans="1:4" x14ac:dyDescent="0.25">
      <c r="A859" t="s">
        <v>1836</v>
      </c>
      <c r="B859">
        <v>1</v>
      </c>
      <c r="C859" s="55">
        <v>42767</v>
      </c>
      <c r="D859" s="3" t="str">
        <f>YEAR(Datos_Consumo[[#This Row],[FECHA]])&amp;"-"&amp;MONTH(Datos_Consumo[[#This Row],[FECHA]])</f>
        <v>2017-2</v>
      </c>
    </row>
    <row r="860" spans="1:4" x14ac:dyDescent="0.25">
      <c r="A860" t="s">
        <v>1512</v>
      </c>
      <c r="B860">
        <v>3</v>
      </c>
      <c r="C860" s="55">
        <v>42795</v>
      </c>
      <c r="D860" s="3" t="str">
        <f>YEAR(Datos_Consumo[[#This Row],[FECHA]])&amp;"-"&amp;MONTH(Datos_Consumo[[#This Row],[FECHA]])</f>
        <v>2017-3</v>
      </c>
    </row>
    <row r="861" spans="1:4" x14ac:dyDescent="0.25">
      <c r="A861" t="s">
        <v>1513</v>
      </c>
      <c r="B861">
        <v>1</v>
      </c>
      <c r="C861" s="55">
        <v>42705</v>
      </c>
      <c r="D861" s="3" t="str">
        <f>YEAR(Datos_Consumo[[#This Row],[FECHA]])&amp;"-"&amp;MONTH(Datos_Consumo[[#This Row],[FECHA]])</f>
        <v>2016-12</v>
      </c>
    </row>
    <row r="862" spans="1:4" x14ac:dyDescent="0.25">
      <c r="A862" t="s">
        <v>1513</v>
      </c>
      <c r="B862">
        <v>3</v>
      </c>
      <c r="C862" s="55">
        <v>42767</v>
      </c>
      <c r="D862" s="3" t="str">
        <f>YEAR(Datos_Consumo[[#This Row],[FECHA]])&amp;"-"&amp;MONTH(Datos_Consumo[[#This Row],[FECHA]])</f>
        <v>2017-2</v>
      </c>
    </row>
    <row r="863" spans="1:4" x14ac:dyDescent="0.25">
      <c r="A863" t="s">
        <v>1513</v>
      </c>
      <c r="B863">
        <v>1</v>
      </c>
      <c r="C863" s="55">
        <v>42795</v>
      </c>
      <c r="D863" s="3" t="str">
        <f>YEAR(Datos_Consumo[[#This Row],[FECHA]])&amp;"-"&amp;MONTH(Datos_Consumo[[#This Row],[FECHA]])</f>
        <v>2017-3</v>
      </c>
    </row>
    <row r="864" spans="1:4" x14ac:dyDescent="0.25">
      <c r="A864" t="s">
        <v>1513</v>
      </c>
      <c r="B864">
        <v>2</v>
      </c>
      <c r="C864" s="55">
        <v>42826</v>
      </c>
      <c r="D864" s="3" t="str">
        <f>YEAR(Datos_Consumo[[#This Row],[FECHA]])&amp;"-"&amp;MONTH(Datos_Consumo[[#This Row],[FECHA]])</f>
        <v>2017-4</v>
      </c>
    </row>
    <row r="865" spans="1:4" x14ac:dyDescent="0.25">
      <c r="A865" t="s">
        <v>1514</v>
      </c>
      <c r="B865">
        <v>2</v>
      </c>
      <c r="C865" s="55">
        <v>42705</v>
      </c>
      <c r="D865" s="3" t="str">
        <f>YEAR(Datos_Consumo[[#This Row],[FECHA]])&amp;"-"&amp;MONTH(Datos_Consumo[[#This Row],[FECHA]])</f>
        <v>2016-12</v>
      </c>
    </row>
    <row r="866" spans="1:4" x14ac:dyDescent="0.25">
      <c r="A866" t="s">
        <v>1837</v>
      </c>
      <c r="B866">
        <v>1</v>
      </c>
      <c r="C866" s="55">
        <v>42795</v>
      </c>
      <c r="D866" s="3" t="str">
        <f>YEAR(Datos_Consumo[[#This Row],[FECHA]])&amp;"-"&amp;MONTH(Datos_Consumo[[#This Row],[FECHA]])</f>
        <v>2017-3</v>
      </c>
    </row>
    <row r="867" spans="1:4" x14ac:dyDescent="0.25">
      <c r="A867" t="s">
        <v>1515</v>
      </c>
      <c r="B867">
        <v>2</v>
      </c>
      <c r="C867" s="55">
        <v>42705</v>
      </c>
      <c r="D867" s="3" t="str">
        <f>YEAR(Datos_Consumo[[#This Row],[FECHA]])&amp;"-"&amp;MONTH(Datos_Consumo[[#This Row],[FECHA]])</f>
        <v>2016-12</v>
      </c>
    </row>
    <row r="868" spans="1:4" x14ac:dyDescent="0.25">
      <c r="A868" t="s">
        <v>1515</v>
      </c>
      <c r="B868">
        <v>1</v>
      </c>
      <c r="C868" s="55">
        <v>42736</v>
      </c>
      <c r="D868" s="3" t="str">
        <f>YEAR(Datos_Consumo[[#This Row],[FECHA]])&amp;"-"&amp;MONTH(Datos_Consumo[[#This Row],[FECHA]])</f>
        <v>2017-1</v>
      </c>
    </row>
    <row r="869" spans="1:4" x14ac:dyDescent="0.25">
      <c r="A869" t="s">
        <v>1515</v>
      </c>
      <c r="B869">
        <v>2</v>
      </c>
      <c r="C869" s="55">
        <v>42767</v>
      </c>
      <c r="D869" s="3" t="str">
        <f>YEAR(Datos_Consumo[[#This Row],[FECHA]])&amp;"-"&amp;MONTH(Datos_Consumo[[#This Row],[FECHA]])</f>
        <v>2017-2</v>
      </c>
    </row>
    <row r="870" spans="1:4" x14ac:dyDescent="0.25">
      <c r="A870" t="s">
        <v>1515</v>
      </c>
      <c r="B870">
        <v>4</v>
      </c>
      <c r="C870" s="55">
        <v>42795</v>
      </c>
      <c r="D870" s="3" t="str">
        <f>YEAR(Datos_Consumo[[#This Row],[FECHA]])&amp;"-"&amp;MONTH(Datos_Consumo[[#This Row],[FECHA]])</f>
        <v>2017-3</v>
      </c>
    </row>
    <row r="871" spans="1:4" x14ac:dyDescent="0.25">
      <c r="A871" t="s">
        <v>1515</v>
      </c>
      <c r="B871">
        <v>5</v>
      </c>
      <c r="C871" s="55">
        <v>42826</v>
      </c>
      <c r="D871" s="3" t="str">
        <f>YEAR(Datos_Consumo[[#This Row],[FECHA]])&amp;"-"&amp;MONTH(Datos_Consumo[[#This Row],[FECHA]])</f>
        <v>2017-4</v>
      </c>
    </row>
    <row r="872" spans="1:4" x14ac:dyDescent="0.25">
      <c r="A872" t="s">
        <v>1515</v>
      </c>
      <c r="B872">
        <v>1</v>
      </c>
      <c r="C872" s="55">
        <v>42856</v>
      </c>
      <c r="D872" s="3" t="str">
        <f>YEAR(Datos_Consumo[[#This Row],[FECHA]])&amp;"-"&amp;MONTH(Datos_Consumo[[#This Row],[FECHA]])</f>
        <v>2017-5</v>
      </c>
    </row>
    <row r="873" spans="1:4" x14ac:dyDescent="0.25">
      <c r="A873" t="s">
        <v>1516</v>
      </c>
      <c r="B873">
        <v>1</v>
      </c>
      <c r="C873" s="55">
        <v>42705</v>
      </c>
      <c r="D873" s="3" t="str">
        <f>YEAR(Datos_Consumo[[#This Row],[FECHA]])&amp;"-"&amp;MONTH(Datos_Consumo[[#This Row],[FECHA]])</f>
        <v>2016-12</v>
      </c>
    </row>
    <row r="874" spans="1:4" x14ac:dyDescent="0.25">
      <c r="A874" t="s">
        <v>1516</v>
      </c>
      <c r="B874">
        <v>1</v>
      </c>
      <c r="C874" s="55">
        <v>42736</v>
      </c>
      <c r="D874" s="3" t="str">
        <f>YEAR(Datos_Consumo[[#This Row],[FECHA]])&amp;"-"&amp;MONTH(Datos_Consumo[[#This Row],[FECHA]])</f>
        <v>2017-1</v>
      </c>
    </row>
    <row r="875" spans="1:4" x14ac:dyDescent="0.25">
      <c r="A875" t="s">
        <v>1516</v>
      </c>
      <c r="B875">
        <v>2</v>
      </c>
      <c r="C875" s="55">
        <v>42767</v>
      </c>
      <c r="D875" s="3" t="str">
        <f>YEAR(Datos_Consumo[[#This Row],[FECHA]])&amp;"-"&amp;MONTH(Datos_Consumo[[#This Row],[FECHA]])</f>
        <v>2017-2</v>
      </c>
    </row>
    <row r="876" spans="1:4" x14ac:dyDescent="0.25">
      <c r="A876" t="s">
        <v>1517</v>
      </c>
      <c r="B876">
        <v>1</v>
      </c>
      <c r="C876" s="55">
        <v>42736</v>
      </c>
      <c r="D876" s="3" t="str">
        <f>YEAR(Datos_Consumo[[#This Row],[FECHA]])&amp;"-"&amp;MONTH(Datos_Consumo[[#This Row],[FECHA]])</f>
        <v>2017-1</v>
      </c>
    </row>
    <row r="877" spans="1:4" x14ac:dyDescent="0.25">
      <c r="A877" t="s">
        <v>1517</v>
      </c>
      <c r="B877">
        <v>1</v>
      </c>
      <c r="C877" s="55">
        <v>42826</v>
      </c>
      <c r="D877" s="3" t="str">
        <f>YEAR(Datos_Consumo[[#This Row],[FECHA]])&amp;"-"&amp;MONTH(Datos_Consumo[[#This Row],[FECHA]])</f>
        <v>2017-4</v>
      </c>
    </row>
    <row r="878" spans="1:4" x14ac:dyDescent="0.25">
      <c r="A878" t="s">
        <v>1838</v>
      </c>
      <c r="B878">
        <v>1</v>
      </c>
      <c r="C878" s="55">
        <v>42767</v>
      </c>
      <c r="D878" s="3" t="str">
        <f>YEAR(Datos_Consumo[[#This Row],[FECHA]])&amp;"-"&amp;MONTH(Datos_Consumo[[#This Row],[FECHA]])</f>
        <v>2017-2</v>
      </c>
    </row>
    <row r="879" spans="1:4" x14ac:dyDescent="0.25">
      <c r="A879" t="s">
        <v>1839</v>
      </c>
      <c r="B879">
        <v>1</v>
      </c>
      <c r="C879" s="55">
        <v>42767</v>
      </c>
      <c r="D879" s="3" t="str">
        <f>YEAR(Datos_Consumo[[#This Row],[FECHA]])&amp;"-"&amp;MONTH(Datos_Consumo[[#This Row],[FECHA]])</f>
        <v>2017-2</v>
      </c>
    </row>
    <row r="880" spans="1:4" x14ac:dyDescent="0.25">
      <c r="A880" t="s">
        <v>1840</v>
      </c>
      <c r="B880">
        <v>1</v>
      </c>
      <c r="C880" s="55">
        <v>42767</v>
      </c>
      <c r="D880" s="3" t="str">
        <f>YEAR(Datos_Consumo[[#This Row],[FECHA]])&amp;"-"&amp;MONTH(Datos_Consumo[[#This Row],[FECHA]])</f>
        <v>2017-2</v>
      </c>
    </row>
    <row r="881" spans="1:4" x14ac:dyDescent="0.25">
      <c r="A881" t="s">
        <v>1518</v>
      </c>
      <c r="B881">
        <v>1</v>
      </c>
      <c r="C881" s="55">
        <v>42767</v>
      </c>
      <c r="D881" s="3" t="str">
        <f>YEAR(Datos_Consumo[[#This Row],[FECHA]])&amp;"-"&amp;MONTH(Datos_Consumo[[#This Row],[FECHA]])</f>
        <v>2017-2</v>
      </c>
    </row>
    <row r="882" spans="1:4" x14ac:dyDescent="0.25">
      <c r="A882" t="s">
        <v>1519</v>
      </c>
      <c r="B882">
        <v>6</v>
      </c>
      <c r="C882" s="55">
        <v>42705</v>
      </c>
      <c r="D882" s="3" t="str">
        <f>YEAR(Datos_Consumo[[#This Row],[FECHA]])&amp;"-"&amp;MONTH(Datos_Consumo[[#This Row],[FECHA]])</f>
        <v>2016-12</v>
      </c>
    </row>
    <row r="883" spans="1:4" x14ac:dyDescent="0.25">
      <c r="A883" t="s">
        <v>1519</v>
      </c>
      <c r="B883">
        <v>6</v>
      </c>
      <c r="C883" s="55">
        <v>42736</v>
      </c>
      <c r="D883" s="3" t="str">
        <f>YEAR(Datos_Consumo[[#This Row],[FECHA]])&amp;"-"&amp;MONTH(Datos_Consumo[[#This Row],[FECHA]])</f>
        <v>2017-1</v>
      </c>
    </row>
    <row r="884" spans="1:4" x14ac:dyDescent="0.25">
      <c r="A884" t="s">
        <v>1519</v>
      </c>
      <c r="B884">
        <v>8</v>
      </c>
      <c r="C884" s="55">
        <v>42767</v>
      </c>
      <c r="D884" s="3" t="str">
        <f>YEAR(Datos_Consumo[[#This Row],[FECHA]])&amp;"-"&amp;MONTH(Datos_Consumo[[#This Row],[FECHA]])</f>
        <v>2017-2</v>
      </c>
    </row>
    <row r="885" spans="1:4" x14ac:dyDescent="0.25">
      <c r="A885" t="s">
        <v>1519</v>
      </c>
      <c r="B885">
        <v>6</v>
      </c>
      <c r="C885" s="55">
        <v>42795</v>
      </c>
      <c r="D885" s="3" t="str">
        <f>YEAR(Datos_Consumo[[#This Row],[FECHA]])&amp;"-"&amp;MONTH(Datos_Consumo[[#This Row],[FECHA]])</f>
        <v>2017-3</v>
      </c>
    </row>
    <row r="886" spans="1:4" x14ac:dyDescent="0.25">
      <c r="A886" t="s">
        <v>1519</v>
      </c>
      <c r="B886">
        <v>9</v>
      </c>
      <c r="C886" s="55">
        <v>42826</v>
      </c>
      <c r="D886" s="3" t="str">
        <f>YEAR(Datos_Consumo[[#This Row],[FECHA]])&amp;"-"&amp;MONTH(Datos_Consumo[[#This Row],[FECHA]])</f>
        <v>2017-4</v>
      </c>
    </row>
    <row r="887" spans="1:4" x14ac:dyDescent="0.25">
      <c r="A887" t="s">
        <v>1519</v>
      </c>
      <c r="B887">
        <v>6</v>
      </c>
      <c r="C887" s="55">
        <v>42856</v>
      </c>
      <c r="D887" s="3" t="str">
        <f>YEAR(Datos_Consumo[[#This Row],[FECHA]])&amp;"-"&amp;MONTH(Datos_Consumo[[#This Row],[FECHA]])</f>
        <v>2017-5</v>
      </c>
    </row>
    <row r="888" spans="1:4" x14ac:dyDescent="0.25">
      <c r="A888" t="s">
        <v>1520</v>
      </c>
      <c r="B888">
        <v>1</v>
      </c>
      <c r="C888" s="55">
        <v>42705</v>
      </c>
      <c r="D888" s="3" t="str">
        <f>YEAR(Datos_Consumo[[#This Row],[FECHA]])&amp;"-"&amp;MONTH(Datos_Consumo[[#This Row],[FECHA]])</f>
        <v>2016-12</v>
      </c>
    </row>
    <row r="889" spans="1:4" x14ac:dyDescent="0.25">
      <c r="A889" t="s">
        <v>1520</v>
      </c>
      <c r="B889">
        <v>3</v>
      </c>
      <c r="C889" s="55">
        <v>42736</v>
      </c>
      <c r="D889" s="3" t="str">
        <f>YEAR(Datos_Consumo[[#This Row],[FECHA]])&amp;"-"&amp;MONTH(Datos_Consumo[[#This Row],[FECHA]])</f>
        <v>2017-1</v>
      </c>
    </row>
    <row r="890" spans="1:4" x14ac:dyDescent="0.25">
      <c r="A890" t="s">
        <v>1520</v>
      </c>
      <c r="B890">
        <v>2</v>
      </c>
      <c r="C890" s="55">
        <v>42767</v>
      </c>
      <c r="D890" s="3" t="str">
        <f>YEAR(Datos_Consumo[[#This Row],[FECHA]])&amp;"-"&amp;MONTH(Datos_Consumo[[#This Row],[FECHA]])</f>
        <v>2017-2</v>
      </c>
    </row>
    <row r="891" spans="1:4" x14ac:dyDescent="0.25">
      <c r="A891" t="s">
        <v>1520</v>
      </c>
      <c r="B891">
        <v>3</v>
      </c>
      <c r="C891" s="55">
        <v>42826</v>
      </c>
      <c r="D891" s="3" t="str">
        <f>YEAR(Datos_Consumo[[#This Row],[FECHA]])&amp;"-"&amp;MONTH(Datos_Consumo[[#This Row],[FECHA]])</f>
        <v>2017-4</v>
      </c>
    </row>
    <row r="892" spans="1:4" x14ac:dyDescent="0.25">
      <c r="A892" t="s">
        <v>1520</v>
      </c>
      <c r="B892">
        <v>1</v>
      </c>
      <c r="C892" s="55">
        <v>42856</v>
      </c>
      <c r="D892" s="3" t="str">
        <f>YEAR(Datos_Consumo[[#This Row],[FECHA]])&amp;"-"&amp;MONTH(Datos_Consumo[[#This Row],[FECHA]])</f>
        <v>2017-5</v>
      </c>
    </row>
    <row r="893" spans="1:4" x14ac:dyDescent="0.25">
      <c r="A893" t="s">
        <v>1521</v>
      </c>
      <c r="B893">
        <v>1</v>
      </c>
      <c r="C893" s="55">
        <v>42705</v>
      </c>
      <c r="D893" s="3" t="str">
        <f>YEAR(Datos_Consumo[[#This Row],[FECHA]])&amp;"-"&amp;MONTH(Datos_Consumo[[#This Row],[FECHA]])</f>
        <v>2016-12</v>
      </c>
    </row>
    <row r="894" spans="1:4" x14ac:dyDescent="0.25">
      <c r="A894" t="s">
        <v>1521</v>
      </c>
      <c r="B894">
        <v>1</v>
      </c>
      <c r="C894" s="55">
        <v>42736</v>
      </c>
      <c r="D894" s="3" t="str">
        <f>YEAR(Datos_Consumo[[#This Row],[FECHA]])&amp;"-"&amp;MONTH(Datos_Consumo[[#This Row],[FECHA]])</f>
        <v>2017-1</v>
      </c>
    </row>
    <row r="895" spans="1:4" x14ac:dyDescent="0.25">
      <c r="A895" t="s">
        <v>1521</v>
      </c>
      <c r="B895">
        <v>1</v>
      </c>
      <c r="C895" s="55">
        <v>42795</v>
      </c>
      <c r="D895" s="3" t="str">
        <f>YEAR(Datos_Consumo[[#This Row],[FECHA]])&amp;"-"&amp;MONTH(Datos_Consumo[[#This Row],[FECHA]])</f>
        <v>2017-3</v>
      </c>
    </row>
    <row r="896" spans="1:4" x14ac:dyDescent="0.25">
      <c r="A896" t="s">
        <v>1522</v>
      </c>
      <c r="B896">
        <v>1</v>
      </c>
      <c r="C896" s="55">
        <v>42705</v>
      </c>
      <c r="D896" s="3" t="str">
        <f>YEAR(Datos_Consumo[[#This Row],[FECHA]])&amp;"-"&amp;MONTH(Datos_Consumo[[#This Row],[FECHA]])</f>
        <v>2016-12</v>
      </c>
    </row>
    <row r="897" spans="1:4" x14ac:dyDescent="0.25">
      <c r="A897" t="s">
        <v>1522</v>
      </c>
      <c r="B897">
        <v>2</v>
      </c>
      <c r="C897" s="55">
        <v>42736</v>
      </c>
      <c r="D897" s="3" t="str">
        <f>YEAR(Datos_Consumo[[#This Row],[FECHA]])&amp;"-"&amp;MONTH(Datos_Consumo[[#This Row],[FECHA]])</f>
        <v>2017-1</v>
      </c>
    </row>
    <row r="898" spans="1:4" x14ac:dyDescent="0.25">
      <c r="A898" t="s">
        <v>1522</v>
      </c>
      <c r="B898">
        <v>2</v>
      </c>
      <c r="C898" s="55">
        <v>42767</v>
      </c>
      <c r="D898" s="3" t="str">
        <f>YEAR(Datos_Consumo[[#This Row],[FECHA]])&amp;"-"&amp;MONTH(Datos_Consumo[[#This Row],[FECHA]])</f>
        <v>2017-2</v>
      </c>
    </row>
    <row r="899" spans="1:4" x14ac:dyDescent="0.25">
      <c r="A899" t="s">
        <v>1522</v>
      </c>
      <c r="B899">
        <v>1</v>
      </c>
      <c r="C899" s="55">
        <v>42826</v>
      </c>
      <c r="D899" s="3" t="str">
        <f>YEAR(Datos_Consumo[[#This Row],[FECHA]])&amp;"-"&amp;MONTH(Datos_Consumo[[#This Row],[FECHA]])</f>
        <v>2017-4</v>
      </c>
    </row>
    <row r="900" spans="1:4" x14ac:dyDescent="0.25">
      <c r="A900" t="s">
        <v>1841</v>
      </c>
      <c r="B900">
        <v>2</v>
      </c>
      <c r="C900" s="55">
        <v>42767</v>
      </c>
      <c r="D900" s="3" t="str">
        <f>YEAR(Datos_Consumo[[#This Row],[FECHA]])&amp;"-"&amp;MONTH(Datos_Consumo[[#This Row],[FECHA]])</f>
        <v>2017-2</v>
      </c>
    </row>
    <row r="901" spans="1:4" x14ac:dyDescent="0.25">
      <c r="A901" t="s">
        <v>1842</v>
      </c>
      <c r="B901">
        <v>1</v>
      </c>
      <c r="C901" s="55">
        <v>42767</v>
      </c>
      <c r="D901" s="3" t="str">
        <f>YEAR(Datos_Consumo[[#This Row],[FECHA]])&amp;"-"&amp;MONTH(Datos_Consumo[[#This Row],[FECHA]])</f>
        <v>2017-2</v>
      </c>
    </row>
    <row r="902" spans="1:4" x14ac:dyDescent="0.25">
      <c r="A902" t="s">
        <v>1843</v>
      </c>
      <c r="B902">
        <v>1</v>
      </c>
      <c r="C902" s="55">
        <v>42767</v>
      </c>
      <c r="D902" s="3" t="str">
        <f>YEAR(Datos_Consumo[[#This Row],[FECHA]])&amp;"-"&amp;MONTH(Datos_Consumo[[#This Row],[FECHA]])</f>
        <v>2017-2</v>
      </c>
    </row>
    <row r="903" spans="1:4" x14ac:dyDescent="0.25">
      <c r="A903" t="s">
        <v>1523</v>
      </c>
      <c r="B903">
        <v>3</v>
      </c>
      <c r="C903" s="55">
        <v>42705</v>
      </c>
      <c r="D903" s="3" t="str">
        <f>YEAR(Datos_Consumo[[#This Row],[FECHA]])&amp;"-"&amp;MONTH(Datos_Consumo[[#This Row],[FECHA]])</f>
        <v>2016-12</v>
      </c>
    </row>
    <row r="904" spans="1:4" x14ac:dyDescent="0.25">
      <c r="A904" t="s">
        <v>1523</v>
      </c>
      <c r="B904">
        <v>3</v>
      </c>
      <c r="C904" s="55">
        <v>42767</v>
      </c>
      <c r="D904" s="3" t="str">
        <f>YEAR(Datos_Consumo[[#This Row],[FECHA]])&amp;"-"&amp;MONTH(Datos_Consumo[[#This Row],[FECHA]])</f>
        <v>2017-2</v>
      </c>
    </row>
    <row r="905" spans="1:4" x14ac:dyDescent="0.25">
      <c r="A905" t="s">
        <v>1523</v>
      </c>
      <c r="B905">
        <v>6</v>
      </c>
      <c r="C905" s="55">
        <v>42795</v>
      </c>
      <c r="D905" s="3" t="str">
        <f>YEAR(Datos_Consumo[[#This Row],[FECHA]])&amp;"-"&amp;MONTH(Datos_Consumo[[#This Row],[FECHA]])</f>
        <v>2017-3</v>
      </c>
    </row>
    <row r="906" spans="1:4" x14ac:dyDescent="0.25">
      <c r="A906" t="s">
        <v>1523</v>
      </c>
      <c r="B906">
        <v>3</v>
      </c>
      <c r="C906" s="55">
        <v>42826</v>
      </c>
      <c r="D906" s="3" t="str">
        <f>YEAR(Datos_Consumo[[#This Row],[FECHA]])&amp;"-"&amp;MONTH(Datos_Consumo[[#This Row],[FECHA]])</f>
        <v>2017-4</v>
      </c>
    </row>
    <row r="907" spans="1:4" x14ac:dyDescent="0.25">
      <c r="A907" t="s">
        <v>1523</v>
      </c>
      <c r="B907">
        <v>5</v>
      </c>
      <c r="C907" s="55">
        <v>42856</v>
      </c>
      <c r="D907" s="3" t="str">
        <f>YEAR(Datos_Consumo[[#This Row],[FECHA]])&amp;"-"&amp;MONTH(Datos_Consumo[[#This Row],[FECHA]])</f>
        <v>2017-5</v>
      </c>
    </row>
    <row r="908" spans="1:4" x14ac:dyDescent="0.25">
      <c r="A908" t="s">
        <v>1524</v>
      </c>
      <c r="B908">
        <v>3</v>
      </c>
      <c r="C908" s="55">
        <v>42705</v>
      </c>
      <c r="D908" s="3" t="str">
        <f>YEAR(Datos_Consumo[[#This Row],[FECHA]])&amp;"-"&amp;MONTH(Datos_Consumo[[#This Row],[FECHA]])</f>
        <v>2016-12</v>
      </c>
    </row>
    <row r="909" spans="1:4" x14ac:dyDescent="0.25">
      <c r="A909" t="s">
        <v>1524</v>
      </c>
      <c r="B909">
        <v>1</v>
      </c>
      <c r="C909" s="55">
        <v>42736</v>
      </c>
      <c r="D909" s="3" t="str">
        <f>YEAR(Datos_Consumo[[#This Row],[FECHA]])&amp;"-"&amp;MONTH(Datos_Consumo[[#This Row],[FECHA]])</f>
        <v>2017-1</v>
      </c>
    </row>
    <row r="910" spans="1:4" x14ac:dyDescent="0.25">
      <c r="A910" t="s">
        <v>1524</v>
      </c>
      <c r="B910">
        <v>5</v>
      </c>
      <c r="C910" s="55">
        <v>42767</v>
      </c>
      <c r="D910" s="3" t="str">
        <f>YEAR(Datos_Consumo[[#This Row],[FECHA]])&amp;"-"&amp;MONTH(Datos_Consumo[[#This Row],[FECHA]])</f>
        <v>2017-2</v>
      </c>
    </row>
    <row r="911" spans="1:4" x14ac:dyDescent="0.25">
      <c r="A911" t="s">
        <v>1524</v>
      </c>
      <c r="B911">
        <v>2</v>
      </c>
      <c r="C911" s="55">
        <v>42795</v>
      </c>
      <c r="D911" s="3" t="str">
        <f>YEAR(Datos_Consumo[[#This Row],[FECHA]])&amp;"-"&amp;MONTH(Datos_Consumo[[#This Row],[FECHA]])</f>
        <v>2017-3</v>
      </c>
    </row>
    <row r="912" spans="1:4" x14ac:dyDescent="0.25">
      <c r="A912" t="s">
        <v>1525</v>
      </c>
      <c r="B912">
        <v>2</v>
      </c>
      <c r="C912" s="55">
        <v>42705</v>
      </c>
      <c r="D912" s="3" t="str">
        <f>YEAR(Datos_Consumo[[#This Row],[FECHA]])&amp;"-"&amp;MONTH(Datos_Consumo[[#This Row],[FECHA]])</f>
        <v>2016-12</v>
      </c>
    </row>
    <row r="913" spans="1:4" x14ac:dyDescent="0.25">
      <c r="A913" t="s">
        <v>1525</v>
      </c>
      <c r="B913">
        <v>2</v>
      </c>
      <c r="C913" s="55">
        <v>42736</v>
      </c>
      <c r="D913" s="3" t="str">
        <f>YEAR(Datos_Consumo[[#This Row],[FECHA]])&amp;"-"&amp;MONTH(Datos_Consumo[[#This Row],[FECHA]])</f>
        <v>2017-1</v>
      </c>
    </row>
    <row r="914" spans="1:4" x14ac:dyDescent="0.25">
      <c r="A914" t="s">
        <v>1525</v>
      </c>
      <c r="B914">
        <v>1</v>
      </c>
      <c r="C914" s="55">
        <v>42826</v>
      </c>
      <c r="D914" s="3" t="str">
        <f>YEAR(Datos_Consumo[[#This Row],[FECHA]])&amp;"-"&amp;MONTH(Datos_Consumo[[#This Row],[FECHA]])</f>
        <v>2017-4</v>
      </c>
    </row>
    <row r="915" spans="1:4" x14ac:dyDescent="0.25">
      <c r="A915" t="s">
        <v>1525</v>
      </c>
      <c r="B915">
        <v>1</v>
      </c>
      <c r="C915" s="55">
        <v>42856</v>
      </c>
      <c r="D915" s="3" t="str">
        <f>YEAR(Datos_Consumo[[#This Row],[FECHA]])&amp;"-"&amp;MONTH(Datos_Consumo[[#This Row],[FECHA]])</f>
        <v>2017-5</v>
      </c>
    </row>
    <row r="916" spans="1:4" x14ac:dyDescent="0.25">
      <c r="A916" t="s">
        <v>1844</v>
      </c>
      <c r="B916">
        <v>1</v>
      </c>
      <c r="C916" s="55">
        <v>42767</v>
      </c>
      <c r="D916" s="3" t="str">
        <f>YEAR(Datos_Consumo[[#This Row],[FECHA]])&amp;"-"&amp;MONTH(Datos_Consumo[[#This Row],[FECHA]])</f>
        <v>2017-2</v>
      </c>
    </row>
    <row r="917" spans="1:4" x14ac:dyDescent="0.25">
      <c r="A917" t="s">
        <v>1845</v>
      </c>
      <c r="B917">
        <v>2</v>
      </c>
      <c r="C917" s="55">
        <v>42767</v>
      </c>
      <c r="D917" s="3" t="str">
        <f>YEAR(Datos_Consumo[[#This Row],[FECHA]])&amp;"-"&amp;MONTH(Datos_Consumo[[#This Row],[FECHA]])</f>
        <v>2017-2</v>
      </c>
    </row>
    <row r="918" spans="1:4" x14ac:dyDescent="0.25">
      <c r="A918" t="s">
        <v>1846</v>
      </c>
      <c r="B918">
        <v>1</v>
      </c>
      <c r="C918" s="55">
        <v>42767</v>
      </c>
      <c r="D918" s="3" t="str">
        <f>YEAR(Datos_Consumo[[#This Row],[FECHA]])&amp;"-"&amp;MONTH(Datos_Consumo[[#This Row],[FECHA]])</f>
        <v>2017-2</v>
      </c>
    </row>
    <row r="919" spans="1:4" x14ac:dyDescent="0.25">
      <c r="A919" t="s">
        <v>1847</v>
      </c>
      <c r="B919">
        <v>1</v>
      </c>
      <c r="C919" s="55">
        <v>42767</v>
      </c>
      <c r="D919" s="3" t="str">
        <f>YEAR(Datos_Consumo[[#This Row],[FECHA]])&amp;"-"&amp;MONTH(Datos_Consumo[[#This Row],[FECHA]])</f>
        <v>2017-2</v>
      </c>
    </row>
    <row r="920" spans="1:4" x14ac:dyDescent="0.25">
      <c r="A920" t="s">
        <v>1526</v>
      </c>
      <c r="B920">
        <v>1</v>
      </c>
      <c r="C920" s="55">
        <v>42705</v>
      </c>
      <c r="D920" s="3" t="str">
        <f>YEAR(Datos_Consumo[[#This Row],[FECHA]])&amp;"-"&amp;MONTH(Datos_Consumo[[#This Row],[FECHA]])</f>
        <v>2016-12</v>
      </c>
    </row>
    <row r="921" spans="1:4" x14ac:dyDescent="0.25">
      <c r="A921" t="s">
        <v>1526</v>
      </c>
      <c r="B921">
        <v>2</v>
      </c>
      <c r="C921" s="55">
        <v>42736</v>
      </c>
      <c r="D921" s="3" t="str">
        <f>YEAR(Datos_Consumo[[#This Row],[FECHA]])&amp;"-"&amp;MONTH(Datos_Consumo[[#This Row],[FECHA]])</f>
        <v>2017-1</v>
      </c>
    </row>
    <row r="922" spans="1:4" x14ac:dyDescent="0.25">
      <c r="A922" t="s">
        <v>1526</v>
      </c>
      <c r="B922">
        <v>2</v>
      </c>
      <c r="C922" s="55">
        <v>42767</v>
      </c>
      <c r="D922" s="3" t="str">
        <f>YEAR(Datos_Consumo[[#This Row],[FECHA]])&amp;"-"&amp;MONTH(Datos_Consumo[[#This Row],[FECHA]])</f>
        <v>2017-2</v>
      </c>
    </row>
    <row r="923" spans="1:4" x14ac:dyDescent="0.25">
      <c r="A923" t="s">
        <v>1526</v>
      </c>
      <c r="B923">
        <v>1</v>
      </c>
      <c r="C923" s="55">
        <v>42795</v>
      </c>
      <c r="D923" s="3" t="str">
        <f>YEAR(Datos_Consumo[[#This Row],[FECHA]])&amp;"-"&amp;MONTH(Datos_Consumo[[#This Row],[FECHA]])</f>
        <v>2017-3</v>
      </c>
    </row>
    <row r="924" spans="1:4" x14ac:dyDescent="0.25">
      <c r="A924" t="s">
        <v>1526</v>
      </c>
      <c r="B924">
        <v>2</v>
      </c>
      <c r="C924" s="55">
        <v>42826</v>
      </c>
      <c r="D924" s="3" t="str">
        <f>YEAR(Datos_Consumo[[#This Row],[FECHA]])&amp;"-"&amp;MONTH(Datos_Consumo[[#This Row],[FECHA]])</f>
        <v>2017-4</v>
      </c>
    </row>
    <row r="925" spans="1:4" x14ac:dyDescent="0.25">
      <c r="A925" t="s">
        <v>1526</v>
      </c>
      <c r="B925">
        <v>1</v>
      </c>
      <c r="C925" s="55">
        <v>42856</v>
      </c>
      <c r="D925" s="3" t="str">
        <f>YEAR(Datos_Consumo[[#This Row],[FECHA]])&amp;"-"&amp;MONTH(Datos_Consumo[[#This Row],[FECHA]])</f>
        <v>2017-5</v>
      </c>
    </row>
    <row r="926" spans="1:4" x14ac:dyDescent="0.25">
      <c r="A926" t="s">
        <v>1527</v>
      </c>
      <c r="B926">
        <v>2</v>
      </c>
      <c r="C926" s="55">
        <v>42705</v>
      </c>
      <c r="D926" s="3" t="str">
        <f>YEAR(Datos_Consumo[[#This Row],[FECHA]])&amp;"-"&amp;MONTH(Datos_Consumo[[#This Row],[FECHA]])</f>
        <v>2016-12</v>
      </c>
    </row>
    <row r="927" spans="1:4" x14ac:dyDescent="0.25">
      <c r="A927" t="s">
        <v>1528</v>
      </c>
      <c r="B927">
        <v>2</v>
      </c>
      <c r="C927" s="55">
        <v>42705</v>
      </c>
      <c r="D927" s="3" t="str">
        <f>YEAR(Datos_Consumo[[#This Row],[FECHA]])&amp;"-"&amp;MONTH(Datos_Consumo[[#This Row],[FECHA]])</f>
        <v>2016-12</v>
      </c>
    </row>
    <row r="928" spans="1:4" x14ac:dyDescent="0.25">
      <c r="A928" t="s">
        <v>1848</v>
      </c>
      <c r="B928">
        <v>1</v>
      </c>
      <c r="C928" s="55">
        <v>42767</v>
      </c>
      <c r="D928" s="3" t="str">
        <f>YEAR(Datos_Consumo[[#This Row],[FECHA]])&amp;"-"&amp;MONTH(Datos_Consumo[[#This Row],[FECHA]])</f>
        <v>2017-2</v>
      </c>
    </row>
    <row r="929" spans="1:4" x14ac:dyDescent="0.25">
      <c r="A929" t="s">
        <v>1848</v>
      </c>
      <c r="B929">
        <v>2</v>
      </c>
      <c r="C929" s="55">
        <v>42826</v>
      </c>
      <c r="D929" s="3" t="str">
        <f>YEAR(Datos_Consumo[[#This Row],[FECHA]])&amp;"-"&amp;MONTH(Datos_Consumo[[#This Row],[FECHA]])</f>
        <v>2017-4</v>
      </c>
    </row>
    <row r="930" spans="1:4" x14ac:dyDescent="0.25">
      <c r="A930" t="s">
        <v>1849</v>
      </c>
      <c r="B930">
        <v>1</v>
      </c>
      <c r="C930" s="55">
        <v>42767</v>
      </c>
      <c r="D930" s="3" t="str">
        <f>YEAR(Datos_Consumo[[#This Row],[FECHA]])&amp;"-"&amp;MONTH(Datos_Consumo[[#This Row],[FECHA]])</f>
        <v>2017-2</v>
      </c>
    </row>
    <row r="931" spans="1:4" x14ac:dyDescent="0.25">
      <c r="A931" t="s">
        <v>1849</v>
      </c>
      <c r="B931">
        <v>1</v>
      </c>
      <c r="C931" s="55">
        <v>42826</v>
      </c>
      <c r="D931" s="3" t="str">
        <f>YEAR(Datos_Consumo[[#This Row],[FECHA]])&amp;"-"&amp;MONTH(Datos_Consumo[[#This Row],[FECHA]])</f>
        <v>2017-4</v>
      </c>
    </row>
    <row r="932" spans="1:4" x14ac:dyDescent="0.25">
      <c r="A932" t="s">
        <v>1850</v>
      </c>
      <c r="B932">
        <v>1</v>
      </c>
      <c r="C932" s="55">
        <v>42767</v>
      </c>
      <c r="D932" s="3" t="str">
        <f>YEAR(Datos_Consumo[[#This Row],[FECHA]])&amp;"-"&amp;MONTH(Datos_Consumo[[#This Row],[FECHA]])</f>
        <v>2017-2</v>
      </c>
    </row>
    <row r="933" spans="1:4" x14ac:dyDescent="0.25">
      <c r="A933" t="s">
        <v>1851</v>
      </c>
      <c r="B933">
        <v>1</v>
      </c>
      <c r="C933" s="55">
        <v>42767</v>
      </c>
      <c r="D933" s="3" t="str">
        <f>YEAR(Datos_Consumo[[#This Row],[FECHA]])&amp;"-"&amp;MONTH(Datos_Consumo[[#This Row],[FECHA]])</f>
        <v>2017-2</v>
      </c>
    </row>
    <row r="934" spans="1:4" x14ac:dyDescent="0.25">
      <c r="A934" t="s">
        <v>1529</v>
      </c>
      <c r="B934">
        <v>1</v>
      </c>
      <c r="C934" s="55">
        <v>42705</v>
      </c>
      <c r="D934" s="3" t="str">
        <f>YEAR(Datos_Consumo[[#This Row],[FECHA]])&amp;"-"&amp;MONTH(Datos_Consumo[[#This Row],[FECHA]])</f>
        <v>2016-12</v>
      </c>
    </row>
    <row r="935" spans="1:4" x14ac:dyDescent="0.25">
      <c r="A935" t="s">
        <v>1529</v>
      </c>
      <c r="B935">
        <v>2</v>
      </c>
      <c r="C935" s="55">
        <v>42767</v>
      </c>
      <c r="D935" s="3" t="str">
        <f>YEAR(Datos_Consumo[[#This Row],[FECHA]])&amp;"-"&amp;MONTH(Datos_Consumo[[#This Row],[FECHA]])</f>
        <v>2017-2</v>
      </c>
    </row>
    <row r="936" spans="1:4" x14ac:dyDescent="0.25">
      <c r="A936" t="s">
        <v>1852</v>
      </c>
      <c r="B936">
        <v>1</v>
      </c>
      <c r="C936" s="55">
        <v>42795</v>
      </c>
      <c r="D936" s="3" t="str">
        <f>YEAR(Datos_Consumo[[#This Row],[FECHA]])&amp;"-"&amp;MONTH(Datos_Consumo[[#This Row],[FECHA]])</f>
        <v>2017-3</v>
      </c>
    </row>
    <row r="937" spans="1:4" x14ac:dyDescent="0.25">
      <c r="A937" t="s">
        <v>1853</v>
      </c>
      <c r="B937">
        <v>2</v>
      </c>
      <c r="C937" s="55">
        <v>42767</v>
      </c>
      <c r="D937" s="3" t="str">
        <f>YEAR(Datos_Consumo[[#This Row],[FECHA]])&amp;"-"&amp;MONTH(Datos_Consumo[[#This Row],[FECHA]])</f>
        <v>2017-2</v>
      </c>
    </row>
    <row r="938" spans="1:4" x14ac:dyDescent="0.25">
      <c r="A938" t="s">
        <v>1854</v>
      </c>
      <c r="B938">
        <v>2</v>
      </c>
      <c r="C938" s="55">
        <v>42767</v>
      </c>
      <c r="D938" s="3" t="str">
        <f>YEAR(Datos_Consumo[[#This Row],[FECHA]])&amp;"-"&amp;MONTH(Datos_Consumo[[#This Row],[FECHA]])</f>
        <v>2017-2</v>
      </c>
    </row>
    <row r="939" spans="1:4" x14ac:dyDescent="0.25">
      <c r="A939" t="s">
        <v>1530</v>
      </c>
      <c r="B939">
        <v>1</v>
      </c>
      <c r="C939" s="55">
        <v>42705</v>
      </c>
      <c r="D939" s="3" t="str">
        <f>YEAR(Datos_Consumo[[#This Row],[FECHA]])&amp;"-"&amp;MONTH(Datos_Consumo[[#This Row],[FECHA]])</f>
        <v>2016-12</v>
      </c>
    </row>
    <row r="940" spans="1:4" x14ac:dyDescent="0.25">
      <c r="A940" t="s">
        <v>1530</v>
      </c>
      <c r="B940">
        <v>2</v>
      </c>
      <c r="C940" s="55">
        <v>42736</v>
      </c>
      <c r="D940" s="3" t="str">
        <f>YEAR(Datos_Consumo[[#This Row],[FECHA]])&amp;"-"&amp;MONTH(Datos_Consumo[[#This Row],[FECHA]])</f>
        <v>2017-1</v>
      </c>
    </row>
    <row r="941" spans="1:4" x14ac:dyDescent="0.25">
      <c r="A941" t="s">
        <v>1530</v>
      </c>
      <c r="B941">
        <v>1</v>
      </c>
      <c r="C941" s="55">
        <v>42767</v>
      </c>
      <c r="D941" s="3" t="str">
        <f>YEAR(Datos_Consumo[[#This Row],[FECHA]])&amp;"-"&amp;MONTH(Datos_Consumo[[#This Row],[FECHA]])</f>
        <v>2017-2</v>
      </c>
    </row>
    <row r="942" spans="1:4" x14ac:dyDescent="0.25">
      <c r="A942" t="s">
        <v>1531</v>
      </c>
      <c r="B942">
        <v>2</v>
      </c>
      <c r="C942" s="55">
        <v>42736</v>
      </c>
      <c r="D942" s="3" t="str">
        <f>YEAR(Datos_Consumo[[#This Row],[FECHA]])&amp;"-"&amp;MONTH(Datos_Consumo[[#This Row],[FECHA]])</f>
        <v>2017-1</v>
      </c>
    </row>
    <row r="943" spans="1:4" x14ac:dyDescent="0.25">
      <c r="A943" t="s">
        <v>1531</v>
      </c>
      <c r="B943">
        <v>1</v>
      </c>
      <c r="C943" s="55">
        <v>42767</v>
      </c>
      <c r="D943" s="3" t="str">
        <f>YEAR(Datos_Consumo[[#This Row],[FECHA]])&amp;"-"&amp;MONTH(Datos_Consumo[[#This Row],[FECHA]])</f>
        <v>2017-2</v>
      </c>
    </row>
    <row r="944" spans="1:4" x14ac:dyDescent="0.25">
      <c r="A944" t="s">
        <v>1532</v>
      </c>
      <c r="B944">
        <v>3</v>
      </c>
      <c r="C944" s="55">
        <v>42705</v>
      </c>
      <c r="D944" s="3" t="str">
        <f>YEAR(Datos_Consumo[[#This Row],[FECHA]])&amp;"-"&amp;MONTH(Datos_Consumo[[#This Row],[FECHA]])</f>
        <v>2016-12</v>
      </c>
    </row>
    <row r="945" spans="1:4" x14ac:dyDescent="0.25">
      <c r="A945" t="s">
        <v>1855</v>
      </c>
      <c r="B945">
        <v>2</v>
      </c>
      <c r="C945" s="55">
        <v>42767</v>
      </c>
      <c r="D945" s="3" t="str">
        <f>YEAR(Datos_Consumo[[#This Row],[FECHA]])&amp;"-"&amp;MONTH(Datos_Consumo[[#This Row],[FECHA]])</f>
        <v>2017-2</v>
      </c>
    </row>
    <row r="946" spans="1:4" x14ac:dyDescent="0.25">
      <c r="A946" t="s">
        <v>1856</v>
      </c>
      <c r="B946">
        <v>2</v>
      </c>
      <c r="C946" s="55">
        <v>42767</v>
      </c>
      <c r="D946" s="3" t="str">
        <f>YEAR(Datos_Consumo[[#This Row],[FECHA]])&amp;"-"&amp;MONTH(Datos_Consumo[[#This Row],[FECHA]])</f>
        <v>2017-2</v>
      </c>
    </row>
    <row r="947" spans="1:4" x14ac:dyDescent="0.25">
      <c r="A947" t="s">
        <v>1857</v>
      </c>
      <c r="B947">
        <v>3</v>
      </c>
      <c r="C947" s="55">
        <v>42767</v>
      </c>
      <c r="D947" s="3" t="str">
        <f>YEAR(Datos_Consumo[[#This Row],[FECHA]])&amp;"-"&amp;MONTH(Datos_Consumo[[#This Row],[FECHA]])</f>
        <v>2017-2</v>
      </c>
    </row>
    <row r="948" spans="1:4" x14ac:dyDescent="0.25">
      <c r="A948" t="s">
        <v>1533</v>
      </c>
      <c r="B948">
        <v>2</v>
      </c>
      <c r="C948" s="55">
        <v>42705</v>
      </c>
      <c r="D948" s="3" t="str">
        <f>YEAR(Datos_Consumo[[#This Row],[FECHA]])&amp;"-"&amp;MONTH(Datos_Consumo[[#This Row],[FECHA]])</f>
        <v>2016-12</v>
      </c>
    </row>
    <row r="949" spans="1:4" x14ac:dyDescent="0.25">
      <c r="A949" t="s">
        <v>1533</v>
      </c>
      <c r="B949">
        <v>1</v>
      </c>
      <c r="C949" s="55">
        <v>42736</v>
      </c>
      <c r="D949" s="3" t="str">
        <f>YEAR(Datos_Consumo[[#This Row],[FECHA]])&amp;"-"&amp;MONTH(Datos_Consumo[[#This Row],[FECHA]])</f>
        <v>2017-1</v>
      </c>
    </row>
    <row r="950" spans="1:4" x14ac:dyDescent="0.25">
      <c r="A950" t="s">
        <v>1533</v>
      </c>
      <c r="B950">
        <v>1</v>
      </c>
      <c r="C950" s="55">
        <v>42767</v>
      </c>
      <c r="D950" s="3" t="str">
        <f>YEAR(Datos_Consumo[[#This Row],[FECHA]])&amp;"-"&amp;MONTH(Datos_Consumo[[#This Row],[FECHA]])</f>
        <v>2017-2</v>
      </c>
    </row>
    <row r="951" spans="1:4" x14ac:dyDescent="0.25">
      <c r="A951" t="s">
        <v>1533</v>
      </c>
      <c r="B951">
        <v>1</v>
      </c>
      <c r="C951" s="55">
        <v>42795</v>
      </c>
      <c r="D951" s="3" t="str">
        <f>YEAR(Datos_Consumo[[#This Row],[FECHA]])&amp;"-"&amp;MONTH(Datos_Consumo[[#This Row],[FECHA]])</f>
        <v>2017-3</v>
      </c>
    </row>
    <row r="952" spans="1:4" x14ac:dyDescent="0.25">
      <c r="A952" t="s">
        <v>1534</v>
      </c>
      <c r="B952">
        <v>3</v>
      </c>
      <c r="C952" s="55">
        <v>42767</v>
      </c>
      <c r="D952" s="3" t="str">
        <f>YEAR(Datos_Consumo[[#This Row],[FECHA]])&amp;"-"&amp;MONTH(Datos_Consumo[[#This Row],[FECHA]])</f>
        <v>2017-2</v>
      </c>
    </row>
    <row r="953" spans="1:4" x14ac:dyDescent="0.25">
      <c r="A953" t="s">
        <v>1535</v>
      </c>
      <c r="B953">
        <v>1</v>
      </c>
      <c r="C953" s="55">
        <v>42705</v>
      </c>
      <c r="D953" s="3" t="str">
        <f>YEAR(Datos_Consumo[[#This Row],[FECHA]])&amp;"-"&amp;MONTH(Datos_Consumo[[#This Row],[FECHA]])</f>
        <v>2016-12</v>
      </c>
    </row>
    <row r="954" spans="1:4" x14ac:dyDescent="0.25">
      <c r="A954" t="s">
        <v>1535</v>
      </c>
      <c r="B954">
        <v>1</v>
      </c>
      <c r="C954" s="55">
        <v>42767</v>
      </c>
      <c r="D954" s="3" t="str">
        <f>YEAR(Datos_Consumo[[#This Row],[FECHA]])&amp;"-"&amp;MONTH(Datos_Consumo[[#This Row],[FECHA]])</f>
        <v>2017-2</v>
      </c>
    </row>
    <row r="955" spans="1:4" x14ac:dyDescent="0.25">
      <c r="A955" t="s">
        <v>1536</v>
      </c>
      <c r="B955">
        <v>3</v>
      </c>
      <c r="C955" s="55">
        <v>42705</v>
      </c>
      <c r="D955" s="3" t="str">
        <f>YEAR(Datos_Consumo[[#This Row],[FECHA]])&amp;"-"&amp;MONTH(Datos_Consumo[[#This Row],[FECHA]])</f>
        <v>2016-12</v>
      </c>
    </row>
    <row r="956" spans="1:4" x14ac:dyDescent="0.25">
      <c r="A956" t="s">
        <v>1536</v>
      </c>
      <c r="B956">
        <v>1</v>
      </c>
      <c r="C956" s="55">
        <v>42767</v>
      </c>
      <c r="D956" s="3" t="str">
        <f>YEAR(Datos_Consumo[[#This Row],[FECHA]])&amp;"-"&amp;MONTH(Datos_Consumo[[#This Row],[FECHA]])</f>
        <v>2017-2</v>
      </c>
    </row>
    <row r="957" spans="1:4" x14ac:dyDescent="0.25">
      <c r="A957" t="s">
        <v>1858</v>
      </c>
      <c r="B957">
        <v>1</v>
      </c>
      <c r="C957" s="55">
        <v>42767</v>
      </c>
      <c r="D957" s="3" t="str">
        <f>YEAR(Datos_Consumo[[#This Row],[FECHA]])&amp;"-"&amp;MONTH(Datos_Consumo[[#This Row],[FECHA]])</f>
        <v>2017-2</v>
      </c>
    </row>
    <row r="958" spans="1:4" x14ac:dyDescent="0.25">
      <c r="A958" t="s">
        <v>1858</v>
      </c>
      <c r="B958">
        <v>1</v>
      </c>
      <c r="C958" s="55">
        <v>42795</v>
      </c>
      <c r="D958" s="3" t="str">
        <f>YEAR(Datos_Consumo[[#This Row],[FECHA]])&amp;"-"&amp;MONTH(Datos_Consumo[[#This Row],[FECHA]])</f>
        <v>2017-3</v>
      </c>
    </row>
    <row r="959" spans="1:4" x14ac:dyDescent="0.25">
      <c r="A959" t="s">
        <v>1859</v>
      </c>
      <c r="B959">
        <v>1</v>
      </c>
      <c r="C959" s="55">
        <v>42767</v>
      </c>
      <c r="D959" s="3" t="str">
        <f>YEAR(Datos_Consumo[[#This Row],[FECHA]])&amp;"-"&amp;MONTH(Datos_Consumo[[#This Row],[FECHA]])</f>
        <v>2017-2</v>
      </c>
    </row>
    <row r="960" spans="1:4" x14ac:dyDescent="0.25">
      <c r="A960" t="s">
        <v>1860</v>
      </c>
      <c r="B960">
        <v>2</v>
      </c>
      <c r="C960" s="55">
        <v>42767</v>
      </c>
      <c r="D960" s="3" t="str">
        <f>YEAR(Datos_Consumo[[#This Row],[FECHA]])&amp;"-"&amp;MONTH(Datos_Consumo[[#This Row],[FECHA]])</f>
        <v>2017-2</v>
      </c>
    </row>
    <row r="961" spans="1:4" x14ac:dyDescent="0.25">
      <c r="A961" t="s">
        <v>1861</v>
      </c>
      <c r="B961">
        <v>2</v>
      </c>
      <c r="C961" s="55">
        <v>42767</v>
      </c>
      <c r="D961" s="3" t="str">
        <f>YEAR(Datos_Consumo[[#This Row],[FECHA]])&amp;"-"&amp;MONTH(Datos_Consumo[[#This Row],[FECHA]])</f>
        <v>2017-2</v>
      </c>
    </row>
    <row r="962" spans="1:4" x14ac:dyDescent="0.25">
      <c r="A962" t="s">
        <v>1862</v>
      </c>
      <c r="B962">
        <v>2</v>
      </c>
      <c r="C962" s="55">
        <v>42767</v>
      </c>
      <c r="D962" s="3" t="str">
        <f>YEAR(Datos_Consumo[[#This Row],[FECHA]])&amp;"-"&amp;MONTH(Datos_Consumo[[#This Row],[FECHA]])</f>
        <v>2017-2</v>
      </c>
    </row>
    <row r="963" spans="1:4" x14ac:dyDescent="0.25">
      <c r="A963" t="s">
        <v>1863</v>
      </c>
      <c r="B963">
        <v>1</v>
      </c>
      <c r="C963" s="55">
        <v>42767</v>
      </c>
      <c r="D963" s="3" t="str">
        <f>YEAR(Datos_Consumo[[#This Row],[FECHA]])&amp;"-"&amp;MONTH(Datos_Consumo[[#This Row],[FECHA]])</f>
        <v>2017-2</v>
      </c>
    </row>
    <row r="964" spans="1:4" x14ac:dyDescent="0.25">
      <c r="A964" t="s">
        <v>1864</v>
      </c>
      <c r="B964">
        <v>2</v>
      </c>
      <c r="C964" s="55">
        <v>42767</v>
      </c>
      <c r="D964" s="3" t="str">
        <f>YEAR(Datos_Consumo[[#This Row],[FECHA]])&amp;"-"&amp;MONTH(Datos_Consumo[[#This Row],[FECHA]])</f>
        <v>2017-2</v>
      </c>
    </row>
    <row r="965" spans="1:4" x14ac:dyDescent="0.25">
      <c r="A965" t="s">
        <v>1865</v>
      </c>
      <c r="B965">
        <v>1</v>
      </c>
      <c r="C965" s="55">
        <v>42767</v>
      </c>
      <c r="D965" s="3" t="str">
        <f>YEAR(Datos_Consumo[[#This Row],[FECHA]])&amp;"-"&amp;MONTH(Datos_Consumo[[#This Row],[FECHA]])</f>
        <v>2017-2</v>
      </c>
    </row>
    <row r="966" spans="1:4" x14ac:dyDescent="0.25">
      <c r="A966" t="s">
        <v>1866</v>
      </c>
      <c r="B966">
        <v>1</v>
      </c>
      <c r="C966" s="55">
        <v>42767</v>
      </c>
      <c r="D966" s="3" t="str">
        <f>YEAR(Datos_Consumo[[#This Row],[FECHA]])&amp;"-"&amp;MONTH(Datos_Consumo[[#This Row],[FECHA]])</f>
        <v>2017-2</v>
      </c>
    </row>
    <row r="967" spans="1:4" x14ac:dyDescent="0.25">
      <c r="A967" t="s">
        <v>1867</v>
      </c>
      <c r="B967">
        <v>2</v>
      </c>
      <c r="C967" s="55">
        <v>42767</v>
      </c>
      <c r="D967" s="3" t="str">
        <f>YEAR(Datos_Consumo[[#This Row],[FECHA]])&amp;"-"&amp;MONTH(Datos_Consumo[[#This Row],[FECHA]])</f>
        <v>2017-2</v>
      </c>
    </row>
    <row r="968" spans="1:4" x14ac:dyDescent="0.25">
      <c r="A968" t="s">
        <v>1868</v>
      </c>
      <c r="B968">
        <v>2</v>
      </c>
      <c r="C968" s="55">
        <v>42767</v>
      </c>
      <c r="D968" s="3" t="str">
        <f>YEAR(Datos_Consumo[[#This Row],[FECHA]])&amp;"-"&amp;MONTH(Datos_Consumo[[#This Row],[FECHA]])</f>
        <v>2017-2</v>
      </c>
    </row>
    <row r="969" spans="1:4" x14ac:dyDescent="0.25">
      <c r="A969" t="s">
        <v>1869</v>
      </c>
      <c r="B969">
        <v>1</v>
      </c>
      <c r="C969" s="55">
        <v>42795</v>
      </c>
      <c r="D969" s="3" t="str">
        <f>YEAR(Datos_Consumo[[#This Row],[FECHA]])&amp;"-"&amp;MONTH(Datos_Consumo[[#This Row],[FECHA]])</f>
        <v>2017-3</v>
      </c>
    </row>
    <row r="970" spans="1:4" x14ac:dyDescent="0.25">
      <c r="A970" t="s">
        <v>1870</v>
      </c>
      <c r="B970">
        <v>1</v>
      </c>
      <c r="C970" s="55">
        <v>42826</v>
      </c>
      <c r="D970" s="3" t="str">
        <f>YEAR(Datos_Consumo[[#This Row],[FECHA]])&amp;"-"&amp;MONTH(Datos_Consumo[[#This Row],[FECHA]])</f>
        <v>2017-4</v>
      </c>
    </row>
    <row r="971" spans="1:4" x14ac:dyDescent="0.25">
      <c r="A971" t="s">
        <v>1871</v>
      </c>
      <c r="B971">
        <v>1</v>
      </c>
      <c r="C971" s="55">
        <v>42856</v>
      </c>
      <c r="D971" s="3" t="str">
        <f>YEAR(Datos_Consumo[[#This Row],[FECHA]])&amp;"-"&amp;MONTH(Datos_Consumo[[#This Row],[FECHA]])</f>
        <v>2017-5</v>
      </c>
    </row>
    <row r="972" spans="1:4" x14ac:dyDescent="0.25">
      <c r="A972" t="s">
        <v>1872</v>
      </c>
      <c r="B972">
        <v>1</v>
      </c>
      <c r="C972" s="55">
        <v>42826</v>
      </c>
      <c r="D972" s="3" t="str">
        <f>YEAR(Datos_Consumo[[#This Row],[FECHA]])&amp;"-"&amp;MONTH(Datos_Consumo[[#This Row],[FECHA]])</f>
        <v>2017-4</v>
      </c>
    </row>
    <row r="973" spans="1:4" x14ac:dyDescent="0.25">
      <c r="A973" t="s">
        <v>1537</v>
      </c>
      <c r="B973">
        <v>1</v>
      </c>
      <c r="C973" s="55">
        <v>42767</v>
      </c>
      <c r="D973" s="3" t="str">
        <f>YEAR(Datos_Consumo[[#This Row],[FECHA]])&amp;"-"&amp;MONTH(Datos_Consumo[[#This Row],[FECHA]])</f>
        <v>2017-2</v>
      </c>
    </row>
    <row r="974" spans="1:4" x14ac:dyDescent="0.25">
      <c r="A974" t="s">
        <v>1873</v>
      </c>
      <c r="B974">
        <v>1</v>
      </c>
      <c r="C974" s="55">
        <v>42856</v>
      </c>
      <c r="D974" s="3" t="str">
        <f>YEAR(Datos_Consumo[[#This Row],[FECHA]])&amp;"-"&amp;MONTH(Datos_Consumo[[#This Row],[FECHA]])</f>
        <v>2017-5</v>
      </c>
    </row>
    <row r="975" spans="1:4" x14ac:dyDescent="0.25">
      <c r="A975" t="s">
        <v>1538</v>
      </c>
      <c r="B975">
        <v>1</v>
      </c>
      <c r="C975" s="55">
        <v>42767</v>
      </c>
      <c r="D975" s="3" t="str">
        <f>YEAR(Datos_Consumo[[#This Row],[FECHA]])&amp;"-"&amp;MONTH(Datos_Consumo[[#This Row],[FECHA]])</f>
        <v>2017-2</v>
      </c>
    </row>
    <row r="976" spans="1:4" x14ac:dyDescent="0.25">
      <c r="A976" t="s">
        <v>1538</v>
      </c>
      <c r="B976">
        <v>1</v>
      </c>
      <c r="C976" s="55">
        <v>42856</v>
      </c>
      <c r="D976" s="3" t="str">
        <f>YEAR(Datos_Consumo[[#This Row],[FECHA]])&amp;"-"&amp;MONTH(Datos_Consumo[[#This Row],[FECHA]])</f>
        <v>2017-5</v>
      </c>
    </row>
    <row r="977" spans="1:4" x14ac:dyDescent="0.25">
      <c r="A977" t="s">
        <v>1874</v>
      </c>
      <c r="B977">
        <v>2</v>
      </c>
      <c r="C977" s="55">
        <v>42767</v>
      </c>
      <c r="D977" s="3" t="str">
        <f>YEAR(Datos_Consumo[[#This Row],[FECHA]])&amp;"-"&amp;MONTH(Datos_Consumo[[#This Row],[FECHA]])</f>
        <v>2017-2</v>
      </c>
    </row>
    <row r="978" spans="1:4" x14ac:dyDescent="0.25">
      <c r="A978" t="s">
        <v>1874</v>
      </c>
      <c r="B978">
        <v>1</v>
      </c>
      <c r="C978" s="55">
        <v>42856</v>
      </c>
      <c r="D978" s="3" t="str">
        <f>YEAR(Datos_Consumo[[#This Row],[FECHA]])&amp;"-"&amp;MONTH(Datos_Consumo[[#This Row],[FECHA]])</f>
        <v>2017-5</v>
      </c>
    </row>
    <row r="979" spans="1:4" x14ac:dyDescent="0.25">
      <c r="A979" t="s">
        <v>1875</v>
      </c>
      <c r="B979">
        <v>1</v>
      </c>
      <c r="C979" s="55">
        <v>42826</v>
      </c>
      <c r="D979" s="3" t="str">
        <f>YEAR(Datos_Consumo[[#This Row],[FECHA]])&amp;"-"&amp;MONTH(Datos_Consumo[[#This Row],[FECHA]])</f>
        <v>2017-4</v>
      </c>
    </row>
    <row r="980" spans="1:4" x14ac:dyDescent="0.25">
      <c r="A980" t="s">
        <v>1876</v>
      </c>
      <c r="B980">
        <v>1</v>
      </c>
      <c r="C980" s="55">
        <v>42767</v>
      </c>
      <c r="D980" s="3" t="str">
        <f>YEAR(Datos_Consumo[[#This Row],[FECHA]])&amp;"-"&amp;MONTH(Datos_Consumo[[#This Row],[FECHA]])</f>
        <v>2017-2</v>
      </c>
    </row>
    <row r="981" spans="1:4" x14ac:dyDescent="0.25">
      <c r="A981" t="s">
        <v>1877</v>
      </c>
      <c r="B981">
        <v>1</v>
      </c>
      <c r="C981" s="55">
        <v>42767</v>
      </c>
      <c r="D981" s="3" t="str">
        <f>YEAR(Datos_Consumo[[#This Row],[FECHA]])&amp;"-"&amp;MONTH(Datos_Consumo[[#This Row],[FECHA]])</f>
        <v>2017-2</v>
      </c>
    </row>
    <row r="982" spans="1:4" x14ac:dyDescent="0.25">
      <c r="A982" t="s">
        <v>1878</v>
      </c>
      <c r="B982">
        <v>1</v>
      </c>
      <c r="C982" s="55">
        <v>42767</v>
      </c>
      <c r="D982" s="3" t="str">
        <f>YEAR(Datos_Consumo[[#This Row],[FECHA]])&amp;"-"&amp;MONTH(Datos_Consumo[[#This Row],[FECHA]])</f>
        <v>2017-2</v>
      </c>
    </row>
    <row r="983" spans="1:4" x14ac:dyDescent="0.25">
      <c r="A983" t="s">
        <v>1878</v>
      </c>
      <c r="B983">
        <v>1</v>
      </c>
      <c r="C983" s="55">
        <v>42856</v>
      </c>
      <c r="D983" s="3" t="str">
        <f>YEAR(Datos_Consumo[[#This Row],[FECHA]])&amp;"-"&amp;MONTH(Datos_Consumo[[#This Row],[FECHA]])</f>
        <v>2017-5</v>
      </c>
    </row>
    <row r="984" spans="1:4" x14ac:dyDescent="0.25">
      <c r="A984" t="s">
        <v>1879</v>
      </c>
      <c r="B984">
        <v>1</v>
      </c>
      <c r="C984" s="55">
        <v>42767</v>
      </c>
      <c r="D984" s="3" t="str">
        <f>YEAR(Datos_Consumo[[#This Row],[FECHA]])&amp;"-"&amp;MONTH(Datos_Consumo[[#This Row],[FECHA]])</f>
        <v>2017-2</v>
      </c>
    </row>
    <row r="985" spans="1:4" x14ac:dyDescent="0.25">
      <c r="A985" t="s">
        <v>1880</v>
      </c>
      <c r="B985">
        <v>1</v>
      </c>
      <c r="C985" s="55">
        <v>42767</v>
      </c>
      <c r="D985" s="3" t="str">
        <f>YEAR(Datos_Consumo[[#This Row],[FECHA]])&amp;"-"&amp;MONTH(Datos_Consumo[[#This Row],[FECHA]])</f>
        <v>2017-2</v>
      </c>
    </row>
    <row r="986" spans="1:4" x14ac:dyDescent="0.25">
      <c r="A986" t="s">
        <v>1881</v>
      </c>
      <c r="B986">
        <v>1</v>
      </c>
      <c r="C986" s="55">
        <v>42767</v>
      </c>
      <c r="D986" s="3" t="str">
        <f>YEAR(Datos_Consumo[[#This Row],[FECHA]])&amp;"-"&amp;MONTH(Datos_Consumo[[#This Row],[FECHA]])</f>
        <v>2017-2</v>
      </c>
    </row>
    <row r="987" spans="1:4" x14ac:dyDescent="0.25">
      <c r="A987" t="s">
        <v>1882</v>
      </c>
      <c r="B987">
        <v>1</v>
      </c>
      <c r="C987" s="55">
        <v>42767</v>
      </c>
      <c r="D987" s="3" t="str">
        <f>YEAR(Datos_Consumo[[#This Row],[FECHA]])&amp;"-"&amp;MONTH(Datos_Consumo[[#This Row],[FECHA]])</f>
        <v>2017-2</v>
      </c>
    </row>
    <row r="988" spans="1:4" x14ac:dyDescent="0.25">
      <c r="A988" t="s">
        <v>1882</v>
      </c>
      <c r="B988">
        <v>1</v>
      </c>
      <c r="C988" s="55">
        <v>42826</v>
      </c>
      <c r="D988" s="3" t="str">
        <f>YEAR(Datos_Consumo[[#This Row],[FECHA]])&amp;"-"&amp;MONTH(Datos_Consumo[[#This Row],[FECHA]])</f>
        <v>2017-4</v>
      </c>
    </row>
    <row r="989" spans="1:4" x14ac:dyDescent="0.25">
      <c r="A989" t="s">
        <v>1883</v>
      </c>
      <c r="B989">
        <v>1</v>
      </c>
      <c r="C989" s="55">
        <v>42767</v>
      </c>
      <c r="D989" s="3" t="str">
        <f>YEAR(Datos_Consumo[[#This Row],[FECHA]])&amp;"-"&amp;MONTH(Datos_Consumo[[#This Row],[FECHA]])</f>
        <v>2017-2</v>
      </c>
    </row>
    <row r="990" spans="1:4" x14ac:dyDescent="0.25">
      <c r="A990" t="s">
        <v>1539</v>
      </c>
      <c r="B990">
        <v>1</v>
      </c>
      <c r="C990" s="55">
        <v>42705</v>
      </c>
      <c r="D990" s="3" t="str">
        <f>YEAR(Datos_Consumo[[#This Row],[FECHA]])&amp;"-"&amp;MONTH(Datos_Consumo[[#This Row],[FECHA]])</f>
        <v>2016-12</v>
      </c>
    </row>
    <row r="991" spans="1:4" x14ac:dyDescent="0.25">
      <c r="A991" t="s">
        <v>1539</v>
      </c>
      <c r="B991">
        <v>2</v>
      </c>
      <c r="C991" s="55">
        <v>42767</v>
      </c>
      <c r="D991" s="3" t="str">
        <f>YEAR(Datos_Consumo[[#This Row],[FECHA]])&amp;"-"&amp;MONTH(Datos_Consumo[[#This Row],[FECHA]])</f>
        <v>2017-2</v>
      </c>
    </row>
    <row r="992" spans="1:4" x14ac:dyDescent="0.25">
      <c r="A992" t="s">
        <v>1539</v>
      </c>
      <c r="B992">
        <v>1</v>
      </c>
      <c r="C992" s="55">
        <v>42795</v>
      </c>
      <c r="D992" s="3" t="str">
        <f>YEAR(Datos_Consumo[[#This Row],[FECHA]])&amp;"-"&amp;MONTH(Datos_Consumo[[#This Row],[FECHA]])</f>
        <v>2017-3</v>
      </c>
    </row>
    <row r="993" spans="1:4" x14ac:dyDescent="0.25">
      <c r="A993" t="s">
        <v>1884</v>
      </c>
      <c r="B993">
        <v>3</v>
      </c>
      <c r="C993" s="55">
        <v>42767</v>
      </c>
      <c r="D993" s="3" t="str">
        <f>YEAR(Datos_Consumo[[#This Row],[FECHA]])&amp;"-"&amp;MONTH(Datos_Consumo[[#This Row],[FECHA]])</f>
        <v>2017-2</v>
      </c>
    </row>
    <row r="994" spans="1:4" x14ac:dyDescent="0.25">
      <c r="A994" t="s">
        <v>1885</v>
      </c>
      <c r="B994">
        <v>2</v>
      </c>
      <c r="C994" s="55">
        <v>42767</v>
      </c>
      <c r="D994" s="3" t="str">
        <f>YEAR(Datos_Consumo[[#This Row],[FECHA]])&amp;"-"&amp;MONTH(Datos_Consumo[[#This Row],[FECHA]])</f>
        <v>2017-2</v>
      </c>
    </row>
    <row r="995" spans="1:4" x14ac:dyDescent="0.25">
      <c r="A995" t="s">
        <v>1885</v>
      </c>
      <c r="B995">
        <v>1</v>
      </c>
      <c r="C995" s="55">
        <v>42826</v>
      </c>
      <c r="D995" s="3" t="str">
        <f>YEAR(Datos_Consumo[[#This Row],[FECHA]])&amp;"-"&amp;MONTH(Datos_Consumo[[#This Row],[FECHA]])</f>
        <v>2017-4</v>
      </c>
    </row>
    <row r="996" spans="1:4" x14ac:dyDescent="0.25">
      <c r="A996" t="s">
        <v>1886</v>
      </c>
      <c r="B996">
        <v>1</v>
      </c>
      <c r="C996" s="55">
        <v>42767</v>
      </c>
      <c r="D996" s="3" t="str">
        <f>YEAR(Datos_Consumo[[#This Row],[FECHA]])&amp;"-"&amp;MONTH(Datos_Consumo[[#This Row],[FECHA]])</f>
        <v>2017-2</v>
      </c>
    </row>
    <row r="997" spans="1:4" x14ac:dyDescent="0.25">
      <c r="A997" t="s">
        <v>1887</v>
      </c>
      <c r="B997">
        <v>3</v>
      </c>
      <c r="C997" s="55">
        <v>42767</v>
      </c>
      <c r="D997" s="3" t="str">
        <f>YEAR(Datos_Consumo[[#This Row],[FECHA]])&amp;"-"&amp;MONTH(Datos_Consumo[[#This Row],[FECHA]])</f>
        <v>2017-2</v>
      </c>
    </row>
    <row r="998" spans="1:4" x14ac:dyDescent="0.25">
      <c r="A998" t="s">
        <v>1887</v>
      </c>
      <c r="B998">
        <v>1</v>
      </c>
      <c r="C998" s="55">
        <v>42856</v>
      </c>
      <c r="D998" s="3" t="str">
        <f>YEAR(Datos_Consumo[[#This Row],[FECHA]])&amp;"-"&amp;MONTH(Datos_Consumo[[#This Row],[FECHA]])</f>
        <v>2017-5</v>
      </c>
    </row>
    <row r="999" spans="1:4" x14ac:dyDescent="0.25">
      <c r="A999" t="s">
        <v>1888</v>
      </c>
      <c r="B999">
        <v>2</v>
      </c>
      <c r="C999" s="55">
        <v>42767</v>
      </c>
      <c r="D999" s="3" t="str">
        <f>YEAR(Datos_Consumo[[#This Row],[FECHA]])&amp;"-"&amp;MONTH(Datos_Consumo[[#This Row],[FECHA]])</f>
        <v>2017-2</v>
      </c>
    </row>
    <row r="1000" spans="1:4" x14ac:dyDescent="0.25">
      <c r="A1000" t="s">
        <v>1889</v>
      </c>
      <c r="B1000">
        <v>2</v>
      </c>
      <c r="C1000" s="55">
        <v>42767</v>
      </c>
      <c r="D1000" s="3" t="str">
        <f>YEAR(Datos_Consumo[[#This Row],[FECHA]])&amp;"-"&amp;MONTH(Datos_Consumo[[#This Row],[FECHA]])</f>
        <v>2017-2</v>
      </c>
    </row>
    <row r="1001" spans="1:4" x14ac:dyDescent="0.25">
      <c r="A1001" t="s">
        <v>1540</v>
      </c>
      <c r="B1001">
        <v>2</v>
      </c>
      <c r="C1001" s="55">
        <v>42767</v>
      </c>
      <c r="D1001" s="3" t="str">
        <f>YEAR(Datos_Consumo[[#This Row],[FECHA]])&amp;"-"&amp;MONTH(Datos_Consumo[[#This Row],[FECHA]])</f>
        <v>2017-2</v>
      </c>
    </row>
    <row r="1002" spans="1:4" x14ac:dyDescent="0.25">
      <c r="A1002" t="s">
        <v>1890</v>
      </c>
      <c r="B1002">
        <v>2</v>
      </c>
      <c r="C1002" s="55">
        <v>42767</v>
      </c>
      <c r="D1002" s="3" t="str">
        <f>YEAR(Datos_Consumo[[#This Row],[FECHA]])&amp;"-"&amp;MONTH(Datos_Consumo[[#This Row],[FECHA]])</f>
        <v>2017-2</v>
      </c>
    </row>
    <row r="1003" spans="1:4" x14ac:dyDescent="0.25">
      <c r="A1003" t="s">
        <v>1891</v>
      </c>
      <c r="B1003">
        <v>1</v>
      </c>
      <c r="C1003" s="55">
        <v>42767</v>
      </c>
      <c r="D1003" s="3" t="str">
        <f>YEAR(Datos_Consumo[[#This Row],[FECHA]])&amp;"-"&amp;MONTH(Datos_Consumo[[#This Row],[FECHA]])</f>
        <v>2017-2</v>
      </c>
    </row>
    <row r="1004" spans="1:4" x14ac:dyDescent="0.25">
      <c r="A1004" t="s">
        <v>1891</v>
      </c>
      <c r="B1004">
        <v>2</v>
      </c>
      <c r="C1004" s="55">
        <v>42826</v>
      </c>
      <c r="D1004" s="3" t="str">
        <f>YEAR(Datos_Consumo[[#This Row],[FECHA]])&amp;"-"&amp;MONTH(Datos_Consumo[[#This Row],[FECHA]])</f>
        <v>2017-4</v>
      </c>
    </row>
    <row r="1005" spans="1:4" x14ac:dyDescent="0.25">
      <c r="A1005" t="s">
        <v>1892</v>
      </c>
      <c r="B1005">
        <v>2</v>
      </c>
      <c r="C1005" s="55">
        <v>42767</v>
      </c>
      <c r="D1005" s="3" t="str">
        <f>YEAR(Datos_Consumo[[#This Row],[FECHA]])&amp;"-"&amp;MONTH(Datos_Consumo[[#This Row],[FECHA]])</f>
        <v>2017-2</v>
      </c>
    </row>
    <row r="1006" spans="1:4" x14ac:dyDescent="0.25">
      <c r="A1006" t="s">
        <v>1892</v>
      </c>
      <c r="B1006">
        <v>1</v>
      </c>
      <c r="C1006" s="55">
        <v>42795</v>
      </c>
      <c r="D1006" s="3" t="str">
        <f>YEAR(Datos_Consumo[[#This Row],[FECHA]])&amp;"-"&amp;MONTH(Datos_Consumo[[#This Row],[FECHA]])</f>
        <v>2017-3</v>
      </c>
    </row>
    <row r="1007" spans="1:4" x14ac:dyDescent="0.25">
      <c r="A1007" t="s">
        <v>1893</v>
      </c>
      <c r="B1007">
        <v>2</v>
      </c>
      <c r="C1007" s="55">
        <v>42767</v>
      </c>
      <c r="D1007" s="3" t="str">
        <f>YEAR(Datos_Consumo[[#This Row],[FECHA]])&amp;"-"&amp;MONTH(Datos_Consumo[[#This Row],[FECHA]])</f>
        <v>2017-2</v>
      </c>
    </row>
    <row r="1008" spans="1:4" x14ac:dyDescent="0.25">
      <c r="A1008" t="s">
        <v>1541</v>
      </c>
      <c r="B1008">
        <v>1</v>
      </c>
      <c r="C1008" s="55">
        <v>42767</v>
      </c>
      <c r="D1008" s="3" t="str">
        <f>YEAR(Datos_Consumo[[#This Row],[FECHA]])&amp;"-"&amp;MONTH(Datos_Consumo[[#This Row],[FECHA]])</f>
        <v>2017-2</v>
      </c>
    </row>
    <row r="1009" spans="1:4" x14ac:dyDescent="0.25">
      <c r="A1009" t="s">
        <v>1894</v>
      </c>
      <c r="B1009">
        <v>2</v>
      </c>
      <c r="C1009" s="55">
        <v>42826</v>
      </c>
      <c r="D1009" s="3" t="str">
        <f>YEAR(Datos_Consumo[[#This Row],[FECHA]])&amp;"-"&amp;MONTH(Datos_Consumo[[#This Row],[FECHA]])</f>
        <v>2017-4</v>
      </c>
    </row>
    <row r="1010" spans="1:4" x14ac:dyDescent="0.25">
      <c r="A1010" t="s">
        <v>1542</v>
      </c>
      <c r="B1010">
        <v>1</v>
      </c>
      <c r="C1010" s="55">
        <v>42826</v>
      </c>
      <c r="D1010" s="3" t="str">
        <f>YEAR(Datos_Consumo[[#This Row],[FECHA]])&amp;"-"&amp;MONTH(Datos_Consumo[[#This Row],[FECHA]])</f>
        <v>2017-4</v>
      </c>
    </row>
    <row r="1011" spans="1:4" x14ac:dyDescent="0.25">
      <c r="A1011" t="s">
        <v>1895</v>
      </c>
      <c r="B1011">
        <v>1</v>
      </c>
      <c r="C1011" s="55">
        <v>42767</v>
      </c>
      <c r="D1011" s="3" t="str">
        <f>YEAR(Datos_Consumo[[#This Row],[FECHA]])&amp;"-"&amp;MONTH(Datos_Consumo[[#This Row],[FECHA]])</f>
        <v>2017-2</v>
      </c>
    </row>
    <row r="1012" spans="1:4" x14ac:dyDescent="0.25">
      <c r="A1012" t="s">
        <v>1896</v>
      </c>
      <c r="B1012">
        <v>1</v>
      </c>
      <c r="C1012" s="55">
        <v>42795</v>
      </c>
      <c r="D1012" s="3" t="str">
        <f>YEAR(Datos_Consumo[[#This Row],[FECHA]])&amp;"-"&amp;MONTH(Datos_Consumo[[#This Row],[FECHA]])</f>
        <v>2017-3</v>
      </c>
    </row>
    <row r="1013" spans="1:4" x14ac:dyDescent="0.25">
      <c r="A1013" t="s">
        <v>1543</v>
      </c>
      <c r="B1013">
        <v>1</v>
      </c>
      <c r="C1013" s="55">
        <v>42705</v>
      </c>
      <c r="D1013" s="3" t="str">
        <f>YEAR(Datos_Consumo[[#This Row],[FECHA]])&amp;"-"&amp;MONTH(Datos_Consumo[[#This Row],[FECHA]])</f>
        <v>2016-12</v>
      </c>
    </row>
    <row r="1014" spans="1:4" x14ac:dyDescent="0.25">
      <c r="A1014" t="s">
        <v>1543</v>
      </c>
      <c r="B1014">
        <v>1</v>
      </c>
      <c r="C1014" s="55">
        <v>42767</v>
      </c>
      <c r="D1014" s="3" t="str">
        <f>YEAR(Datos_Consumo[[#This Row],[FECHA]])&amp;"-"&amp;MONTH(Datos_Consumo[[#This Row],[FECHA]])</f>
        <v>2017-2</v>
      </c>
    </row>
    <row r="1015" spans="1:4" x14ac:dyDescent="0.25">
      <c r="A1015" t="s">
        <v>1897</v>
      </c>
      <c r="B1015">
        <v>2</v>
      </c>
      <c r="C1015" s="55">
        <v>42767</v>
      </c>
      <c r="D1015" s="3" t="str">
        <f>YEAR(Datos_Consumo[[#This Row],[FECHA]])&amp;"-"&amp;MONTH(Datos_Consumo[[#This Row],[FECHA]])</f>
        <v>2017-2</v>
      </c>
    </row>
    <row r="1016" spans="1:4" x14ac:dyDescent="0.25">
      <c r="A1016" t="s">
        <v>1544</v>
      </c>
      <c r="B1016">
        <v>1</v>
      </c>
      <c r="C1016" s="55">
        <v>42767</v>
      </c>
      <c r="D1016" s="3" t="str">
        <f>YEAR(Datos_Consumo[[#This Row],[FECHA]])&amp;"-"&amp;MONTH(Datos_Consumo[[#This Row],[FECHA]])</f>
        <v>2017-2</v>
      </c>
    </row>
    <row r="1017" spans="1:4" x14ac:dyDescent="0.25">
      <c r="A1017" t="s">
        <v>1544</v>
      </c>
      <c r="B1017">
        <v>1</v>
      </c>
      <c r="C1017" s="55">
        <v>42826</v>
      </c>
      <c r="D1017" s="3" t="str">
        <f>YEAR(Datos_Consumo[[#This Row],[FECHA]])&amp;"-"&amp;MONTH(Datos_Consumo[[#This Row],[FECHA]])</f>
        <v>2017-4</v>
      </c>
    </row>
    <row r="1018" spans="1:4" x14ac:dyDescent="0.25">
      <c r="A1018" t="s">
        <v>1898</v>
      </c>
      <c r="B1018">
        <v>1</v>
      </c>
      <c r="C1018" s="55">
        <v>42767</v>
      </c>
      <c r="D1018" s="3" t="str">
        <f>YEAR(Datos_Consumo[[#This Row],[FECHA]])&amp;"-"&amp;MONTH(Datos_Consumo[[#This Row],[FECHA]])</f>
        <v>2017-2</v>
      </c>
    </row>
    <row r="1019" spans="1:4" x14ac:dyDescent="0.25">
      <c r="A1019" t="s">
        <v>1898</v>
      </c>
      <c r="B1019">
        <v>1</v>
      </c>
      <c r="C1019" s="55">
        <v>42795</v>
      </c>
      <c r="D1019" s="3" t="str">
        <f>YEAR(Datos_Consumo[[#This Row],[FECHA]])&amp;"-"&amp;MONTH(Datos_Consumo[[#This Row],[FECHA]])</f>
        <v>2017-3</v>
      </c>
    </row>
    <row r="1020" spans="1:4" x14ac:dyDescent="0.25">
      <c r="A1020" t="s">
        <v>1898</v>
      </c>
      <c r="B1020">
        <v>1</v>
      </c>
      <c r="C1020" s="55">
        <v>42856</v>
      </c>
      <c r="D1020" s="3" t="str">
        <f>YEAR(Datos_Consumo[[#This Row],[FECHA]])&amp;"-"&amp;MONTH(Datos_Consumo[[#This Row],[FECHA]])</f>
        <v>2017-5</v>
      </c>
    </row>
    <row r="1021" spans="1:4" x14ac:dyDescent="0.25">
      <c r="A1021" t="s">
        <v>1899</v>
      </c>
      <c r="B1021">
        <v>2</v>
      </c>
      <c r="C1021" s="55">
        <v>42767</v>
      </c>
      <c r="D1021" s="3" t="str">
        <f>YEAR(Datos_Consumo[[#This Row],[FECHA]])&amp;"-"&amp;MONTH(Datos_Consumo[[#This Row],[FECHA]])</f>
        <v>2017-2</v>
      </c>
    </row>
    <row r="1022" spans="1:4" x14ac:dyDescent="0.25">
      <c r="A1022" t="s">
        <v>1899</v>
      </c>
      <c r="B1022">
        <v>1</v>
      </c>
      <c r="C1022" s="55">
        <v>42795</v>
      </c>
      <c r="D1022" s="3" t="str">
        <f>YEAR(Datos_Consumo[[#This Row],[FECHA]])&amp;"-"&amp;MONTH(Datos_Consumo[[#This Row],[FECHA]])</f>
        <v>2017-3</v>
      </c>
    </row>
    <row r="1023" spans="1:4" x14ac:dyDescent="0.25">
      <c r="A1023" t="s">
        <v>1899</v>
      </c>
      <c r="B1023">
        <v>2</v>
      </c>
      <c r="C1023" s="55">
        <v>42826</v>
      </c>
      <c r="D1023" s="3" t="str">
        <f>YEAR(Datos_Consumo[[#This Row],[FECHA]])&amp;"-"&amp;MONTH(Datos_Consumo[[#This Row],[FECHA]])</f>
        <v>2017-4</v>
      </c>
    </row>
    <row r="1024" spans="1:4" x14ac:dyDescent="0.25">
      <c r="A1024" t="s">
        <v>1900</v>
      </c>
      <c r="B1024">
        <v>2</v>
      </c>
      <c r="C1024" s="55">
        <v>42767</v>
      </c>
      <c r="D1024" s="3" t="str">
        <f>YEAR(Datos_Consumo[[#This Row],[FECHA]])&amp;"-"&amp;MONTH(Datos_Consumo[[#This Row],[FECHA]])</f>
        <v>2017-2</v>
      </c>
    </row>
    <row r="1025" spans="1:4" x14ac:dyDescent="0.25">
      <c r="A1025" t="s">
        <v>1900</v>
      </c>
      <c r="B1025">
        <v>1</v>
      </c>
      <c r="C1025" s="55">
        <v>42795</v>
      </c>
      <c r="D1025" s="3" t="str">
        <f>YEAR(Datos_Consumo[[#This Row],[FECHA]])&amp;"-"&amp;MONTH(Datos_Consumo[[#This Row],[FECHA]])</f>
        <v>2017-3</v>
      </c>
    </row>
    <row r="1026" spans="1:4" x14ac:dyDescent="0.25">
      <c r="A1026" t="s">
        <v>1900</v>
      </c>
      <c r="B1026">
        <v>1</v>
      </c>
      <c r="C1026" s="55">
        <v>42856</v>
      </c>
      <c r="D1026" s="3" t="str">
        <f>YEAR(Datos_Consumo[[#This Row],[FECHA]])&amp;"-"&amp;MONTH(Datos_Consumo[[#This Row],[FECHA]])</f>
        <v>2017-5</v>
      </c>
    </row>
    <row r="1027" spans="1:4" x14ac:dyDescent="0.25">
      <c r="A1027" t="s">
        <v>1901</v>
      </c>
      <c r="B1027">
        <v>1</v>
      </c>
      <c r="C1027" s="55">
        <v>42767</v>
      </c>
      <c r="D1027" s="3" t="str">
        <f>YEAR(Datos_Consumo[[#This Row],[FECHA]])&amp;"-"&amp;MONTH(Datos_Consumo[[#This Row],[FECHA]])</f>
        <v>2017-2</v>
      </c>
    </row>
    <row r="1028" spans="1:4" x14ac:dyDescent="0.25">
      <c r="A1028" t="s">
        <v>1902</v>
      </c>
      <c r="B1028">
        <v>2</v>
      </c>
      <c r="C1028" s="55">
        <v>42767</v>
      </c>
      <c r="D1028" s="3" t="str">
        <f>YEAR(Datos_Consumo[[#This Row],[FECHA]])&amp;"-"&amp;MONTH(Datos_Consumo[[#This Row],[FECHA]])</f>
        <v>2017-2</v>
      </c>
    </row>
    <row r="1029" spans="1:4" x14ac:dyDescent="0.25">
      <c r="A1029" t="s">
        <v>1903</v>
      </c>
      <c r="B1029">
        <v>2</v>
      </c>
      <c r="C1029" s="55">
        <v>42767</v>
      </c>
      <c r="D1029" s="3" t="str">
        <f>YEAR(Datos_Consumo[[#This Row],[FECHA]])&amp;"-"&amp;MONTH(Datos_Consumo[[#This Row],[FECHA]])</f>
        <v>2017-2</v>
      </c>
    </row>
    <row r="1030" spans="1:4" x14ac:dyDescent="0.25">
      <c r="A1030" t="s">
        <v>1904</v>
      </c>
      <c r="B1030">
        <v>1</v>
      </c>
      <c r="C1030" s="55">
        <v>42767</v>
      </c>
      <c r="D1030" s="3" t="str">
        <f>YEAR(Datos_Consumo[[#This Row],[FECHA]])&amp;"-"&amp;MONTH(Datos_Consumo[[#This Row],[FECHA]])</f>
        <v>2017-2</v>
      </c>
    </row>
    <row r="1031" spans="1:4" x14ac:dyDescent="0.25">
      <c r="A1031" t="s">
        <v>1905</v>
      </c>
      <c r="B1031">
        <v>2</v>
      </c>
      <c r="C1031" s="55">
        <v>42767</v>
      </c>
      <c r="D1031" s="3" t="str">
        <f>YEAR(Datos_Consumo[[#This Row],[FECHA]])&amp;"-"&amp;MONTH(Datos_Consumo[[#This Row],[FECHA]])</f>
        <v>2017-2</v>
      </c>
    </row>
    <row r="1032" spans="1:4" x14ac:dyDescent="0.25">
      <c r="A1032" t="s">
        <v>1906</v>
      </c>
      <c r="B1032">
        <v>1</v>
      </c>
      <c r="C1032" s="55">
        <v>42767</v>
      </c>
      <c r="D1032" s="3" t="str">
        <f>YEAR(Datos_Consumo[[#This Row],[FECHA]])&amp;"-"&amp;MONTH(Datos_Consumo[[#This Row],[FECHA]])</f>
        <v>2017-2</v>
      </c>
    </row>
    <row r="1033" spans="1:4" x14ac:dyDescent="0.25">
      <c r="A1033" t="s">
        <v>1907</v>
      </c>
      <c r="B1033">
        <v>1</v>
      </c>
      <c r="C1033" s="55">
        <v>42826</v>
      </c>
      <c r="D1033" s="3" t="str">
        <f>YEAR(Datos_Consumo[[#This Row],[FECHA]])&amp;"-"&amp;MONTH(Datos_Consumo[[#This Row],[FECHA]])</f>
        <v>2017-4</v>
      </c>
    </row>
    <row r="1034" spans="1:4" x14ac:dyDescent="0.25">
      <c r="A1034" t="s">
        <v>1545</v>
      </c>
      <c r="B1034">
        <v>2</v>
      </c>
      <c r="C1034" s="55">
        <v>42795</v>
      </c>
      <c r="D1034" s="3" t="str">
        <f>YEAR(Datos_Consumo[[#This Row],[FECHA]])&amp;"-"&amp;MONTH(Datos_Consumo[[#This Row],[FECHA]])</f>
        <v>2017-3</v>
      </c>
    </row>
    <row r="1035" spans="1:4" x14ac:dyDescent="0.25">
      <c r="A1035" t="s">
        <v>1545</v>
      </c>
      <c r="B1035">
        <v>1</v>
      </c>
      <c r="C1035" s="55">
        <v>42856</v>
      </c>
      <c r="D1035" s="3" t="str">
        <f>YEAR(Datos_Consumo[[#This Row],[FECHA]])&amp;"-"&amp;MONTH(Datos_Consumo[[#This Row],[FECHA]])</f>
        <v>2017-5</v>
      </c>
    </row>
    <row r="1036" spans="1:4" x14ac:dyDescent="0.25">
      <c r="A1036" t="s">
        <v>1546</v>
      </c>
      <c r="B1036">
        <v>1</v>
      </c>
      <c r="C1036" s="55">
        <v>42705</v>
      </c>
      <c r="D1036" s="3" t="str">
        <f>YEAR(Datos_Consumo[[#This Row],[FECHA]])&amp;"-"&amp;MONTH(Datos_Consumo[[#This Row],[FECHA]])</f>
        <v>2016-12</v>
      </c>
    </row>
    <row r="1037" spans="1:4" x14ac:dyDescent="0.25">
      <c r="A1037" t="s">
        <v>1546</v>
      </c>
      <c r="B1037">
        <v>2</v>
      </c>
      <c r="C1037" s="55">
        <v>42795</v>
      </c>
      <c r="D1037" s="3" t="str">
        <f>YEAR(Datos_Consumo[[#This Row],[FECHA]])&amp;"-"&amp;MONTH(Datos_Consumo[[#This Row],[FECHA]])</f>
        <v>2017-3</v>
      </c>
    </row>
    <row r="1038" spans="1:4" x14ac:dyDescent="0.25">
      <c r="A1038" t="s">
        <v>1546</v>
      </c>
      <c r="B1038">
        <v>2</v>
      </c>
      <c r="C1038" s="55">
        <v>42826</v>
      </c>
      <c r="D1038" s="3" t="str">
        <f>YEAR(Datos_Consumo[[#This Row],[FECHA]])&amp;"-"&amp;MONTH(Datos_Consumo[[#This Row],[FECHA]])</f>
        <v>2017-4</v>
      </c>
    </row>
    <row r="1039" spans="1:4" x14ac:dyDescent="0.25">
      <c r="A1039" t="s">
        <v>1908</v>
      </c>
      <c r="B1039">
        <v>1</v>
      </c>
      <c r="C1039" s="55">
        <v>42767</v>
      </c>
      <c r="D1039" s="3" t="str">
        <f>YEAR(Datos_Consumo[[#This Row],[FECHA]])&amp;"-"&amp;MONTH(Datos_Consumo[[#This Row],[FECHA]])</f>
        <v>2017-2</v>
      </c>
    </row>
    <row r="1040" spans="1:4" x14ac:dyDescent="0.25">
      <c r="A1040" t="s">
        <v>1909</v>
      </c>
      <c r="B1040">
        <v>1</v>
      </c>
      <c r="C1040" s="55">
        <v>42767</v>
      </c>
      <c r="D1040" s="3" t="str">
        <f>YEAR(Datos_Consumo[[#This Row],[FECHA]])&amp;"-"&amp;MONTH(Datos_Consumo[[#This Row],[FECHA]])</f>
        <v>2017-2</v>
      </c>
    </row>
    <row r="1041" spans="1:4" x14ac:dyDescent="0.25">
      <c r="A1041" t="s">
        <v>1909</v>
      </c>
      <c r="B1041">
        <v>1</v>
      </c>
      <c r="C1041" s="55">
        <v>42795</v>
      </c>
      <c r="D1041" s="3" t="str">
        <f>YEAR(Datos_Consumo[[#This Row],[FECHA]])&amp;"-"&amp;MONTH(Datos_Consumo[[#This Row],[FECHA]])</f>
        <v>2017-3</v>
      </c>
    </row>
    <row r="1042" spans="1:4" x14ac:dyDescent="0.25">
      <c r="A1042" t="s">
        <v>1910</v>
      </c>
      <c r="B1042">
        <v>1</v>
      </c>
      <c r="C1042" s="55">
        <v>42767</v>
      </c>
      <c r="D1042" s="3" t="str">
        <f>YEAR(Datos_Consumo[[#This Row],[FECHA]])&amp;"-"&amp;MONTH(Datos_Consumo[[#This Row],[FECHA]])</f>
        <v>2017-2</v>
      </c>
    </row>
    <row r="1043" spans="1:4" x14ac:dyDescent="0.25">
      <c r="A1043" t="s">
        <v>1911</v>
      </c>
      <c r="B1043">
        <v>1</v>
      </c>
      <c r="C1043" s="55">
        <v>42767</v>
      </c>
      <c r="D1043" s="3" t="str">
        <f>YEAR(Datos_Consumo[[#This Row],[FECHA]])&amp;"-"&amp;MONTH(Datos_Consumo[[#This Row],[FECHA]])</f>
        <v>2017-2</v>
      </c>
    </row>
    <row r="1044" spans="1:4" x14ac:dyDescent="0.25">
      <c r="A1044" t="s">
        <v>1911</v>
      </c>
      <c r="B1044">
        <v>1</v>
      </c>
      <c r="C1044" s="55">
        <v>42856</v>
      </c>
      <c r="D1044" s="3" t="str">
        <f>YEAR(Datos_Consumo[[#This Row],[FECHA]])&amp;"-"&amp;MONTH(Datos_Consumo[[#This Row],[FECHA]])</f>
        <v>2017-5</v>
      </c>
    </row>
    <row r="1045" spans="1:4" x14ac:dyDescent="0.25">
      <c r="A1045" t="s">
        <v>1912</v>
      </c>
      <c r="B1045">
        <v>1</v>
      </c>
      <c r="C1045" s="55">
        <v>42826</v>
      </c>
      <c r="D1045" s="3" t="str">
        <f>YEAR(Datos_Consumo[[#This Row],[FECHA]])&amp;"-"&amp;MONTH(Datos_Consumo[[#This Row],[FECHA]])</f>
        <v>2017-4</v>
      </c>
    </row>
    <row r="1046" spans="1:4" x14ac:dyDescent="0.25">
      <c r="A1046" t="s">
        <v>1913</v>
      </c>
      <c r="B1046">
        <v>2</v>
      </c>
      <c r="C1046" s="55">
        <v>42767</v>
      </c>
      <c r="D1046" s="3" t="str">
        <f>YEAR(Datos_Consumo[[#This Row],[FECHA]])&amp;"-"&amp;MONTH(Datos_Consumo[[#This Row],[FECHA]])</f>
        <v>2017-2</v>
      </c>
    </row>
    <row r="1047" spans="1:4" x14ac:dyDescent="0.25">
      <c r="A1047" t="s">
        <v>1547</v>
      </c>
      <c r="B1047">
        <v>1</v>
      </c>
      <c r="C1047" s="55">
        <v>42767</v>
      </c>
      <c r="D1047" s="3" t="str">
        <f>YEAR(Datos_Consumo[[#This Row],[FECHA]])&amp;"-"&amp;MONTH(Datos_Consumo[[#This Row],[FECHA]])</f>
        <v>2017-2</v>
      </c>
    </row>
    <row r="1048" spans="1:4" x14ac:dyDescent="0.25">
      <c r="A1048" t="s">
        <v>1914</v>
      </c>
      <c r="B1048">
        <v>1</v>
      </c>
      <c r="C1048" s="55">
        <v>42767</v>
      </c>
      <c r="D1048" s="3" t="str">
        <f>YEAR(Datos_Consumo[[#This Row],[FECHA]])&amp;"-"&amp;MONTH(Datos_Consumo[[#This Row],[FECHA]])</f>
        <v>2017-2</v>
      </c>
    </row>
    <row r="1049" spans="1:4" x14ac:dyDescent="0.25">
      <c r="A1049" t="s">
        <v>1914</v>
      </c>
      <c r="B1049">
        <v>1</v>
      </c>
      <c r="C1049" s="55">
        <v>42826</v>
      </c>
      <c r="D1049" s="3" t="str">
        <f>YEAR(Datos_Consumo[[#This Row],[FECHA]])&amp;"-"&amp;MONTH(Datos_Consumo[[#This Row],[FECHA]])</f>
        <v>2017-4</v>
      </c>
    </row>
    <row r="1050" spans="1:4" x14ac:dyDescent="0.25">
      <c r="A1050" t="s">
        <v>1915</v>
      </c>
      <c r="B1050">
        <v>1</v>
      </c>
      <c r="C1050" s="55">
        <v>42767</v>
      </c>
      <c r="D1050" s="3" t="str">
        <f>YEAR(Datos_Consumo[[#This Row],[FECHA]])&amp;"-"&amp;MONTH(Datos_Consumo[[#This Row],[FECHA]])</f>
        <v>2017-2</v>
      </c>
    </row>
    <row r="1051" spans="1:4" x14ac:dyDescent="0.25">
      <c r="A1051" t="s">
        <v>1915</v>
      </c>
      <c r="B1051">
        <v>1</v>
      </c>
      <c r="C1051" s="55">
        <v>42826</v>
      </c>
      <c r="D1051" s="3" t="str">
        <f>YEAR(Datos_Consumo[[#This Row],[FECHA]])&amp;"-"&amp;MONTH(Datos_Consumo[[#This Row],[FECHA]])</f>
        <v>2017-4</v>
      </c>
    </row>
    <row r="1052" spans="1:4" x14ac:dyDescent="0.25">
      <c r="A1052" t="s">
        <v>1916</v>
      </c>
      <c r="B1052">
        <v>1</v>
      </c>
      <c r="C1052" s="55">
        <v>42767</v>
      </c>
      <c r="D1052" s="3" t="str">
        <f>YEAR(Datos_Consumo[[#This Row],[FECHA]])&amp;"-"&amp;MONTH(Datos_Consumo[[#This Row],[FECHA]])</f>
        <v>2017-2</v>
      </c>
    </row>
    <row r="1053" spans="1:4" x14ac:dyDescent="0.25">
      <c r="A1053" t="s">
        <v>1917</v>
      </c>
      <c r="B1053">
        <v>1</v>
      </c>
      <c r="C1053" s="55">
        <v>42767</v>
      </c>
      <c r="D1053" s="3" t="str">
        <f>YEAR(Datos_Consumo[[#This Row],[FECHA]])&amp;"-"&amp;MONTH(Datos_Consumo[[#This Row],[FECHA]])</f>
        <v>2017-2</v>
      </c>
    </row>
    <row r="1054" spans="1:4" x14ac:dyDescent="0.25">
      <c r="A1054" t="s">
        <v>1917</v>
      </c>
      <c r="B1054">
        <v>1</v>
      </c>
      <c r="C1054" s="55">
        <v>42795</v>
      </c>
      <c r="D1054" s="3" t="str">
        <f>YEAR(Datos_Consumo[[#This Row],[FECHA]])&amp;"-"&amp;MONTH(Datos_Consumo[[#This Row],[FECHA]])</f>
        <v>2017-3</v>
      </c>
    </row>
    <row r="1055" spans="1:4" x14ac:dyDescent="0.25">
      <c r="A1055" t="s">
        <v>1548</v>
      </c>
      <c r="B1055">
        <v>1</v>
      </c>
      <c r="C1055" s="55">
        <v>42736</v>
      </c>
      <c r="D1055" s="3" t="str">
        <f>YEAR(Datos_Consumo[[#This Row],[FECHA]])&amp;"-"&amp;MONTH(Datos_Consumo[[#This Row],[FECHA]])</f>
        <v>2017-1</v>
      </c>
    </row>
    <row r="1056" spans="1:4" x14ac:dyDescent="0.25">
      <c r="A1056" t="s">
        <v>1548</v>
      </c>
      <c r="B1056">
        <v>1</v>
      </c>
      <c r="C1056" s="55">
        <v>42795</v>
      </c>
      <c r="D1056" s="3" t="str">
        <f>YEAR(Datos_Consumo[[#This Row],[FECHA]])&amp;"-"&amp;MONTH(Datos_Consumo[[#This Row],[FECHA]])</f>
        <v>2017-3</v>
      </c>
    </row>
    <row r="1057" spans="1:4" x14ac:dyDescent="0.25">
      <c r="A1057" t="s">
        <v>1918</v>
      </c>
      <c r="B1057">
        <v>4</v>
      </c>
      <c r="C1057" s="55">
        <v>42767</v>
      </c>
      <c r="D1057" s="3" t="str">
        <f>YEAR(Datos_Consumo[[#This Row],[FECHA]])&amp;"-"&amp;MONTH(Datos_Consumo[[#This Row],[FECHA]])</f>
        <v>2017-2</v>
      </c>
    </row>
    <row r="1058" spans="1:4" x14ac:dyDescent="0.25">
      <c r="A1058" t="s">
        <v>1919</v>
      </c>
      <c r="B1058">
        <v>2</v>
      </c>
      <c r="C1058" s="55">
        <v>42767</v>
      </c>
      <c r="D1058" s="3" t="str">
        <f>YEAR(Datos_Consumo[[#This Row],[FECHA]])&amp;"-"&amp;MONTH(Datos_Consumo[[#This Row],[FECHA]])</f>
        <v>2017-2</v>
      </c>
    </row>
    <row r="1059" spans="1:4" x14ac:dyDescent="0.25">
      <c r="A1059" t="s">
        <v>1920</v>
      </c>
      <c r="B1059">
        <v>3</v>
      </c>
      <c r="C1059" s="55">
        <v>42767</v>
      </c>
      <c r="D1059" s="3" t="str">
        <f>YEAR(Datos_Consumo[[#This Row],[FECHA]])&amp;"-"&amp;MONTH(Datos_Consumo[[#This Row],[FECHA]])</f>
        <v>2017-2</v>
      </c>
    </row>
    <row r="1060" spans="1:4" x14ac:dyDescent="0.25">
      <c r="A1060" t="s">
        <v>1549</v>
      </c>
      <c r="B1060">
        <v>4</v>
      </c>
      <c r="C1060" s="55">
        <v>42705</v>
      </c>
      <c r="D1060" s="3" t="str">
        <f>YEAR(Datos_Consumo[[#This Row],[FECHA]])&amp;"-"&amp;MONTH(Datos_Consumo[[#This Row],[FECHA]])</f>
        <v>2016-12</v>
      </c>
    </row>
    <row r="1061" spans="1:4" x14ac:dyDescent="0.25">
      <c r="A1061" t="s">
        <v>1549</v>
      </c>
      <c r="B1061">
        <v>4</v>
      </c>
      <c r="C1061" s="55">
        <v>42736</v>
      </c>
      <c r="D1061" s="3" t="str">
        <f>YEAR(Datos_Consumo[[#This Row],[FECHA]])&amp;"-"&amp;MONTH(Datos_Consumo[[#This Row],[FECHA]])</f>
        <v>2017-1</v>
      </c>
    </row>
    <row r="1062" spans="1:4" x14ac:dyDescent="0.25">
      <c r="A1062" t="s">
        <v>1550</v>
      </c>
      <c r="B1062">
        <v>1</v>
      </c>
      <c r="C1062" s="55">
        <v>42767</v>
      </c>
      <c r="D1062" s="3" t="str">
        <f>YEAR(Datos_Consumo[[#This Row],[FECHA]])&amp;"-"&amp;MONTH(Datos_Consumo[[#This Row],[FECHA]])</f>
        <v>2017-2</v>
      </c>
    </row>
    <row r="1063" spans="1:4" x14ac:dyDescent="0.25">
      <c r="A1063" t="s">
        <v>1551</v>
      </c>
      <c r="B1063">
        <v>1</v>
      </c>
      <c r="C1063" s="55">
        <v>42795</v>
      </c>
      <c r="D1063" s="3" t="str">
        <f>YEAR(Datos_Consumo[[#This Row],[FECHA]])&amp;"-"&amp;MONTH(Datos_Consumo[[#This Row],[FECHA]])</f>
        <v>2017-3</v>
      </c>
    </row>
    <row r="1064" spans="1:4" x14ac:dyDescent="0.25">
      <c r="A1064" t="s">
        <v>1921</v>
      </c>
      <c r="B1064">
        <v>2</v>
      </c>
      <c r="C1064" s="55">
        <v>42767</v>
      </c>
      <c r="D1064" s="3" t="str">
        <f>YEAR(Datos_Consumo[[#This Row],[FECHA]])&amp;"-"&amp;MONTH(Datos_Consumo[[#This Row],[FECHA]])</f>
        <v>2017-2</v>
      </c>
    </row>
    <row r="1065" spans="1:4" x14ac:dyDescent="0.25">
      <c r="A1065" t="s">
        <v>1552</v>
      </c>
      <c r="B1065">
        <v>1</v>
      </c>
      <c r="C1065" s="55">
        <v>42767</v>
      </c>
      <c r="D1065" s="3" t="str">
        <f>YEAR(Datos_Consumo[[#This Row],[FECHA]])&amp;"-"&amp;MONTH(Datos_Consumo[[#This Row],[FECHA]])</f>
        <v>2017-2</v>
      </c>
    </row>
    <row r="1066" spans="1:4" x14ac:dyDescent="0.25">
      <c r="A1066" t="s">
        <v>1552</v>
      </c>
      <c r="B1066">
        <v>1</v>
      </c>
      <c r="C1066" s="55">
        <v>42856</v>
      </c>
      <c r="D1066" s="3" t="str">
        <f>YEAR(Datos_Consumo[[#This Row],[FECHA]])&amp;"-"&amp;MONTH(Datos_Consumo[[#This Row],[FECHA]])</f>
        <v>2017-5</v>
      </c>
    </row>
    <row r="1067" spans="1:4" x14ac:dyDescent="0.25">
      <c r="A1067" t="s">
        <v>1553</v>
      </c>
      <c r="B1067">
        <v>2</v>
      </c>
      <c r="C1067" s="55">
        <v>42767</v>
      </c>
      <c r="D1067" s="3" t="str">
        <f>YEAR(Datos_Consumo[[#This Row],[FECHA]])&amp;"-"&amp;MONTH(Datos_Consumo[[#This Row],[FECHA]])</f>
        <v>2017-2</v>
      </c>
    </row>
    <row r="1068" spans="1:4" x14ac:dyDescent="0.25">
      <c r="A1068" t="s">
        <v>1922</v>
      </c>
      <c r="B1068">
        <v>3</v>
      </c>
      <c r="C1068" s="55">
        <v>42767</v>
      </c>
      <c r="D1068" s="3" t="str">
        <f>YEAR(Datos_Consumo[[#This Row],[FECHA]])&amp;"-"&amp;MONTH(Datos_Consumo[[#This Row],[FECHA]])</f>
        <v>2017-2</v>
      </c>
    </row>
    <row r="1069" spans="1:4" x14ac:dyDescent="0.25">
      <c r="A1069" t="s">
        <v>1923</v>
      </c>
      <c r="B1069">
        <v>2</v>
      </c>
      <c r="C1069" s="55">
        <v>42767</v>
      </c>
      <c r="D1069" s="3" t="str">
        <f>YEAR(Datos_Consumo[[#This Row],[FECHA]])&amp;"-"&amp;MONTH(Datos_Consumo[[#This Row],[FECHA]])</f>
        <v>2017-2</v>
      </c>
    </row>
    <row r="1070" spans="1:4" x14ac:dyDescent="0.25">
      <c r="A1070" t="s">
        <v>1924</v>
      </c>
      <c r="B1070">
        <v>3</v>
      </c>
      <c r="C1070" s="55">
        <v>42767</v>
      </c>
      <c r="D1070" s="3" t="str">
        <f>YEAR(Datos_Consumo[[#This Row],[FECHA]])&amp;"-"&amp;MONTH(Datos_Consumo[[#This Row],[FECHA]])</f>
        <v>2017-2</v>
      </c>
    </row>
    <row r="1071" spans="1:4" x14ac:dyDescent="0.25">
      <c r="A1071" t="s">
        <v>1925</v>
      </c>
      <c r="B1071">
        <v>1</v>
      </c>
      <c r="C1071" s="55">
        <v>42767</v>
      </c>
      <c r="D1071" s="3" t="str">
        <f>YEAR(Datos_Consumo[[#This Row],[FECHA]])&amp;"-"&amp;MONTH(Datos_Consumo[[#This Row],[FECHA]])</f>
        <v>2017-2</v>
      </c>
    </row>
    <row r="1072" spans="1:4" x14ac:dyDescent="0.25">
      <c r="A1072" t="s">
        <v>1926</v>
      </c>
      <c r="B1072">
        <v>1</v>
      </c>
      <c r="C1072" s="55">
        <v>42767</v>
      </c>
      <c r="D1072" s="3" t="str">
        <f>YEAR(Datos_Consumo[[#This Row],[FECHA]])&amp;"-"&amp;MONTH(Datos_Consumo[[#This Row],[FECHA]])</f>
        <v>2017-2</v>
      </c>
    </row>
    <row r="1073" spans="1:4" x14ac:dyDescent="0.25">
      <c r="A1073" t="s">
        <v>1628</v>
      </c>
      <c r="B1073">
        <v>1</v>
      </c>
      <c r="C1073" s="55">
        <v>42705</v>
      </c>
      <c r="D1073" s="3" t="str">
        <f>YEAR(Datos_Consumo[[#This Row],[FECHA]])&amp;"-"&amp;MONTH(Datos_Consumo[[#This Row],[FECHA]])</f>
        <v>2016-12</v>
      </c>
    </row>
    <row r="1074" spans="1:4" x14ac:dyDescent="0.25">
      <c r="A1074" t="s">
        <v>1628</v>
      </c>
      <c r="B1074">
        <v>1</v>
      </c>
      <c r="C1074" s="55">
        <v>42767</v>
      </c>
      <c r="D1074" s="3" t="str">
        <f>YEAR(Datos_Consumo[[#This Row],[FECHA]])&amp;"-"&amp;MONTH(Datos_Consumo[[#This Row],[FECHA]])</f>
        <v>2017-2</v>
      </c>
    </row>
    <row r="1075" spans="1:4" x14ac:dyDescent="0.25">
      <c r="A1075" t="s">
        <v>1628</v>
      </c>
      <c r="B1075">
        <v>3</v>
      </c>
      <c r="C1075" s="55">
        <v>42795</v>
      </c>
      <c r="D1075" s="3" t="str">
        <f>YEAR(Datos_Consumo[[#This Row],[FECHA]])&amp;"-"&amp;MONTH(Datos_Consumo[[#This Row],[FECHA]])</f>
        <v>2017-3</v>
      </c>
    </row>
    <row r="1076" spans="1:4" x14ac:dyDescent="0.25">
      <c r="A1076" t="s">
        <v>1629</v>
      </c>
      <c r="B1076">
        <v>1</v>
      </c>
      <c r="C1076" s="55">
        <v>42705</v>
      </c>
      <c r="D1076" s="3" t="str">
        <f>YEAR(Datos_Consumo[[#This Row],[FECHA]])&amp;"-"&amp;MONTH(Datos_Consumo[[#This Row],[FECHA]])</f>
        <v>2016-12</v>
      </c>
    </row>
    <row r="1077" spans="1:4" x14ac:dyDescent="0.25">
      <c r="A1077" t="s">
        <v>1629</v>
      </c>
      <c r="B1077">
        <v>1</v>
      </c>
      <c r="C1077" s="55">
        <v>42767</v>
      </c>
      <c r="D1077" s="3" t="str">
        <f>YEAR(Datos_Consumo[[#This Row],[FECHA]])&amp;"-"&amp;MONTH(Datos_Consumo[[#This Row],[FECHA]])</f>
        <v>2017-2</v>
      </c>
    </row>
    <row r="1078" spans="1:4" x14ac:dyDescent="0.25">
      <c r="A1078" t="s">
        <v>1629</v>
      </c>
      <c r="B1078">
        <v>1</v>
      </c>
      <c r="C1078" s="55">
        <v>42795</v>
      </c>
      <c r="D1078" s="3" t="str">
        <f>YEAR(Datos_Consumo[[#This Row],[FECHA]])&amp;"-"&amp;MONTH(Datos_Consumo[[#This Row],[FECHA]])</f>
        <v>2017-3</v>
      </c>
    </row>
    <row r="1079" spans="1:4" x14ac:dyDescent="0.25">
      <c r="A1079" t="s">
        <v>1629</v>
      </c>
      <c r="B1079">
        <v>1</v>
      </c>
      <c r="C1079" s="55">
        <v>42826</v>
      </c>
      <c r="D1079" s="3" t="str">
        <f>YEAR(Datos_Consumo[[#This Row],[FECHA]])&amp;"-"&amp;MONTH(Datos_Consumo[[#This Row],[FECHA]])</f>
        <v>2017-4</v>
      </c>
    </row>
    <row r="1080" spans="1:4" x14ac:dyDescent="0.25">
      <c r="A1080" t="s">
        <v>1630</v>
      </c>
      <c r="B1080">
        <v>1</v>
      </c>
      <c r="C1080" s="55">
        <v>42705</v>
      </c>
      <c r="D1080" s="3" t="str">
        <f>YEAR(Datos_Consumo[[#This Row],[FECHA]])&amp;"-"&amp;MONTH(Datos_Consumo[[#This Row],[FECHA]])</f>
        <v>2016-12</v>
      </c>
    </row>
    <row r="1081" spans="1:4" x14ac:dyDescent="0.25">
      <c r="A1081" t="s">
        <v>1630</v>
      </c>
      <c r="B1081">
        <v>1</v>
      </c>
      <c r="C1081" s="55">
        <v>42826</v>
      </c>
      <c r="D1081" s="3" t="str">
        <f>YEAR(Datos_Consumo[[#This Row],[FECHA]])&amp;"-"&amp;MONTH(Datos_Consumo[[#This Row],[FECHA]])</f>
        <v>2017-4</v>
      </c>
    </row>
    <row r="1082" spans="1:4" x14ac:dyDescent="0.25">
      <c r="A1082" t="s">
        <v>1631</v>
      </c>
      <c r="B1082">
        <v>1</v>
      </c>
      <c r="C1082" s="55">
        <v>42767</v>
      </c>
      <c r="D1082" s="3" t="str">
        <f>YEAR(Datos_Consumo[[#This Row],[FECHA]])&amp;"-"&amp;MONTH(Datos_Consumo[[#This Row],[FECHA]])</f>
        <v>2017-2</v>
      </c>
    </row>
    <row r="1083" spans="1:4" x14ac:dyDescent="0.25">
      <c r="A1083" t="s">
        <v>1927</v>
      </c>
      <c r="B1083">
        <v>1</v>
      </c>
      <c r="C1083" s="55">
        <v>42767</v>
      </c>
      <c r="D1083" s="3" t="str">
        <f>YEAR(Datos_Consumo[[#This Row],[FECHA]])&amp;"-"&amp;MONTH(Datos_Consumo[[#This Row],[FECHA]])</f>
        <v>2017-2</v>
      </c>
    </row>
    <row r="1084" spans="1:4" x14ac:dyDescent="0.25">
      <c r="A1084" t="s">
        <v>1928</v>
      </c>
      <c r="B1084">
        <v>5</v>
      </c>
      <c r="C1084" s="55">
        <v>42767</v>
      </c>
      <c r="D1084" s="3" t="str">
        <f>YEAR(Datos_Consumo[[#This Row],[FECHA]])&amp;"-"&amp;MONTH(Datos_Consumo[[#This Row],[FECHA]])</f>
        <v>2017-2</v>
      </c>
    </row>
    <row r="1085" spans="1:4" x14ac:dyDescent="0.25">
      <c r="A1085" t="s">
        <v>1929</v>
      </c>
      <c r="B1085">
        <v>50</v>
      </c>
      <c r="C1085" s="55">
        <v>42767</v>
      </c>
      <c r="D1085" s="3" t="str">
        <f>YEAR(Datos_Consumo[[#This Row],[FECHA]])&amp;"-"&amp;MONTH(Datos_Consumo[[#This Row],[FECHA]])</f>
        <v>2017-2</v>
      </c>
    </row>
    <row r="1086" spans="1:4" x14ac:dyDescent="0.25">
      <c r="A1086" t="s">
        <v>1929</v>
      </c>
      <c r="B1086">
        <v>1</v>
      </c>
      <c r="C1086" s="55">
        <v>42795</v>
      </c>
      <c r="D1086" s="3" t="str">
        <f>YEAR(Datos_Consumo[[#This Row],[FECHA]])&amp;"-"&amp;MONTH(Datos_Consumo[[#This Row],[FECHA]])</f>
        <v>2017-3</v>
      </c>
    </row>
    <row r="1087" spans="1:4" x14ac:dyDescent="0.25">
      <c r="A1087" t="s">
        <v>1930</v>
      </c>
      <c r="B1087">
        <v>2</v>
      </c>
      <c r="C1087" s="55">
        <v>42795</v>
      </c>
      <c r="D1087" s="3" t="str">
        <f>YEAR(Datos_Consumo[[#This Row],[FECHA]])&amp;"-"&amp;MONTH(Datos_Consumo[[#This Row],[FECHA]])</f>
        <v>2017-3</v>
      </c>
    </row>
    <row r="1088" spans="1:4" x14ac:dyDescent="0.25">
      <c r="A1088" t="s">
        <v>1931</v>
      </c>
      <c r="B1088">
        <v>1</v>
      </c>
      <c r="C1088" s="55">
        <v>42795</v>
      </c>
      <c r="D1088" s="3" t="str">
        <f>YEAR(Datos_Consumo[[#This Row],[FECHA]])&amp;"-"&amp;MONTH(Datos_Consumo[[#This Row],[FECHA]])</f>
        <v>2017-3</v>
      </c>
    </row>
    <row r="1089" spans="1:4" x14ac:dyDescent="0.25">
      <c r="A1089" t="s">
        <v>1932</v>
      </c>
      <c r="B1089">
        <v>1</v>
      </c>
      <c r="C1089" s="55">
        <v>42767</v>
      </c>
      <c r="D1089" s="3" t="str">
        <f>YEAR(Datos_Consumo[[#This Row],[FECHA]])&amp;"-"&amp;MONTH(Datos_Consumo[[#This Row],[FECHA]])</f>
        <v>2017-2</v>
      </c>
    </row>
    <row r="1090" spans="1:4" x14ac:dyDescent="0.25">
      <c r="A1090" t="s">
        <v>1632</v>
      </c>
      <c r="B1090">
        <v>1</v>
      </c>
      <c r="C1090" s="55">
        <v>42736</v>
      </c>
      <c r="D1090" s="3" t="str">
        <f>YEAR(Datos_Consumo[[#This Row],[FECHA]])&amp;"-"&amp;MONTH(Datos_Consumo[[#This Row],[FECHA]])</f>
        <v>2017-1</v>
      </c>
    </row>
    <row r="1091" spans="1:4" x14ac:dyDescent="0.25">
      <c r="A1091" t="s">
        <v>1632</v>
      </c>
      <c r="B1091">
        <v>17</v>
      </c>
      <c r="C1091" s="55">
        <v>42767</v>
      </c>
      <c r="D1091" s="3" t="str">
        <f>YEAR(Datos_Consumo[[#This Row],[FECHA]])&amp;"-"&amp;MONTH(Datos_Consumo[[#This Row],[FECHA]])</f>
        <v>2017-2</v>
      </c>
    </row>
    <row r="1092" spans="1:4" x14ac:dyDescent="0.25">
      <c r="A1092" t="s">
        <v>1933</v>
      </c>
      <c r="B1092">
        <v>15</v>
      </c>
      <c r="C1092" s="55">
        <v>42767</v>
      </c>
      <c r="D1092" s="3" t="str">
        <f>YEAR(Datos_Consumo[[#This Row],[FECHA]])&amp;"-"&amp;MONTH(Datos_Consumo[[#This Row],[FECHA]])</f>
        <v>2017-2</v>
      </c>
    </row>
    <row r="1093" spans="1:4" x14ac:dyDescent="0.25">
      <c r="A1093" t="s">
        <v>1934</v>
      </c>
      <c r="B1093">
        <v>1</v>
      </c>
      <c r="C1093" s="55">
        <v>42795</v>
      </c>
      <c r="D1093" s="3" t="str">
        <f>YEAR(Datos_Consumo[[#This Row],[FECHA]])&amp;"-"&amp;MONTH(Datos_Consumo[[#This Row],[FECHA]])</f>
        <v>2017-3</v>
      </c>
    </row>
    <row r="1094" spans="1:4" x14ac:dyDescent="0.25">
      <c r="A1094" t="s">
        <v>1935</v>
      </c>
      <c r="B1094">
        <v>1</v>
      </c>
      <c r="C1094" s="55">
        <v>42795</v>
      </c>
      <c r="D1094" s="3" t="str">
        <f>YEAR(Datos_Consumo[[#This Row],[FECHA]])&amp;"-"&amp;MONTH(Datos_Consumo[[#This Row],[FECHA]])</f>
        <v>2017-3</v>
      </c>
    </row>
    <row r="1095" spans="1:4" x14ac:dyDescent="0.25">
      <c r="A1095" t="s">
        <v>1936</v>
      </c>
      <c r="B1095">
        <v>15</v>
      </c>
      <c r="C1095" s="55">
        <v>42767</v>
      </c>
      <c r="D1095" s="3" t="str">
        <f>YEAR(Datos_Consumo[[#This Row],[FECHA]])&amp;"-"&amp;MONTH(Datos_Consumo[[#This Row],[FECHA]])</f>
        <v>2017-2</v>
      </c>
    </row>
    <row r="1096" spans="1:4" x14ac:dyDescent="0.25">
      <c r="A1096" t="s">
        <v>1554</v>
      </c>
      <c r="B1096">
        <v>2</v>
      </c>
      <c r="C1096" s="55">
        <v>42705</v>
      </c>
      <c r="D1096" s="3" t="str">
        <f>YEAR(Datos_Consumo[[#This Row],[FECHA]])&amp;"-"&amp;MONTH(Datos_Consumo[[#This Row],[FECHA]])</f>
        <v>2016-12</v>
      </c>
    </row>
    <row r="1097" spans="1:4" x14ac:dyDescent="0.25">
      <c r="A1097" t="s">
        <v>1554</v>
      </c>
      <c r="B1097">
        <v>4</v>
      </c>
      <c r="C1097" s="55">
        <v>42736</v>
      </c>
      <c r="D1097" s="3" t="str">
        <f>YEAR(Datos_Consumo[[#This Row],[FECHA]])&amp;"-"&amp;MONTH(Datos_Consumo[[#This Row],[FECHA]])</f>
        <v>2017-1</v>
      </c>
    </row>
    <row r="1098" spans="1:4" x14ac:dyDescent="0.25">
      <c r="A1098" t="s">
        <v>1554</v>
      </c>
      <c r="B1098">
        <v>1</v>
      </c>
      <c r="C1098" s="55">
        <v>42767</v>
      </c>
      <c r="D1098" s="3" t="str">
        <f>YEAR(Datos_Consumo[[#This Row],[FECHA]])&amp;"-"&amp;MONTH(Datos_Consumo[[#This Row],[FECHA]])</f>
        <v>2017-2</v>
      </c>
    </row>
    <row r="1099" spans="1:4" x14ac:dyDescent="0.25">
      <c r="A1099" t="s">
        <v>1554</v>
      </c>
      <c r="B1099">
        <v>1</v>
      </c>
      <c r="C1099" s="55">
        <v>42795</v>
      </c>
      <c r="D1099" s="3" t="str">
        <f>YEAR(Datos_Consumo[[#This Row],[FECHA]])&amp;"-"&amp;MONTH(Datos_Consumo[[#This Row],[FECHA]])</f>
        <v>2017-3</v>
      </c>
    </row>
    <row r="1100" spans="1:4" x14ac:dyDescent="0.25">
      <c r="A1100" t="s">
        <v>1554</v>
      </c>
      <c r="B1100">
        <v>3</v>
      </c>
      <c r="C1100" s="55">
        <v>42826</v>
      </c>
      <c r="D1100" s="3" t="str">
        <f>YEAR(Datos_Consumo[[#This Row],[FECHA]])&amp;"-"&amp;MONTH(Datos_Consumo[[#This Row],[FECHA]])</f>
        <v>2017-4</v>
      </c>
    </row>
    <row r="1101" spans="1:4" x14ac:dyDescent="0.25">
      <c r="A1101" t="s">
        <v>1555</v>
      </c>
      <c r="B1101">
        <v>4</v>
      </c>
      <c r="C1101" s="55">
        <v>42705</v>
      </c>
      <c r="D1101" s="3" t="str">
        <f>YEAR(Datos_Consumo[[#This Row],[FECHA]])&amp;"-"&amp;MONTH(Datos_Consumo[[#This Row],[FECHA]])</f>
        <v>2016-12</v>
      </c>
    </row>
    <row r="1102" spans="1:4" x14ac:dyDescent="0.25">
      <c r="A1102" t="s">
        <v>1937</v>
      </c>
      <c r="B1102">
        <v>3</v>
      </c>
      <c r="C1102" s="55">
        <v>42767</v>
      </c>
      <c r="D1102" s="3" t="str">
        <f>YEAR(Datos_Consumo[[#This Row],[FECHA]])&amp;"-"&amp;MONTH(Datos_Consumo[[#This Row],[FECHA]])</f>
        <v>2017-2</v>
      </c>
    </row>
    <row r="1103" spans="1:4" x14ac:dyDescent="0.25">
      <c r="A1103" t="s">
        <v>1633</v>
      </c>
      <c r="B1103">
        <v>2071</v>
      </c>
      <c r="C1103" s="55">
        <v>42705</v>
      </c>
      <c r="D1103" s="3" t="str">
        <f>YEAR(Datos_Consumo[[#This Row],[FECHA]])&amp;"-"&amp;MONTH(Datos_Consumo[[#This Row],[FECHA]])</f>
        <v>2016-12</v>
      </c>
    </row>
    <row r="1104" spans="1:4" x14ac:dyDescent="0.25">
      <c r="A1104" t="s">
        <v>1633</v>
      </c>
      <c r="B1104">
        <v>2926</v>
      </c>
      <c r="C1104" s="55">
        <v>42736</v>
      </c>
      <c r="D1104" s="3" t="str">
        <f>YEAR(Datos_Consumo[[#This Row],[FECHA]])&amp;"-"&amp;MONTH(Datos_Consumo[[#This Row],[FECHA]])</f>
        <v>2017-1</v>
      </c>
    </row>
    <row r="1105" spans="1:4" x14ac:dyDescent="0.25">
      <c r="A1105" t="s">
        <v>1633</v>
      </c>
      <c r="B1105">
        <v>5808</v>
      </c>
      <c r="C1105" s="55">
        <v>42767</v>
      </c>
      <c r="D1105" s="3" t="str">
        <f>YEAR(Datos_Consumo[[#This Row],[FECHA]])&amp;"-"&amp;MONTH(Datos_Consumo[[#This Row],[FECHA]])</f>
        <v>2017-2</v>
      </c>
    </row>
    <row r="1106" spans="1:4" x14ac:dyDescent="0.25">
      <c r="A1106" t="s">
        <v>1633</v>
      </c>
      <c r="B1106">
        <v>92</v>
      </c>
      <c r="C1106" s="55">
        <v>42795</v>
      </c>
      <c r="D1106" s="3" t="str">
        <f>YEAR(Datos_Consumo[[#This Row],[FECHA]])&amp;"-"&amp;MONTH(Datos_Consumo[[#This Row],[FECHA]])</f>
        <v>2017-3</v>
      </c>
    </row>
    <row r="1107" spans="1:4" x14ac:dyDescent="0.25">
      <c r="A1107" t="s">
        <v>1633</v>
      </c>
      <c r="B1107">
        <v>2585</v>
      </c>
      <c r="C1107" s="55">
        <v>42826</v>
      </c>
      <c r="D1107" s="3" t="str">
        <f>YEAR(Datos_Consumo[[#This Row],[FECHA]])&amp;"-"&amp;MONTH(Datos_Consumo[[#This Row],[FECHA]])</f>
        <v>2017-4</v>
      </c>
    </row>
    <row r="1108" spans="1:4" x14ac:dyDescent="0.25">
      <c r="A1108" t="s">
        <v>1633</v>
      </c>
      <c r="B1108">
        <v>161</v>
      </c>
      <c r="C1108" s="55">
        <v>42856</v>
      </c>
      <c r="D1108" s="3" t="str">
        <f>YEAR(Datos_Consumo[[#This Row],[FECHA]])&amp;"-"&amp;MONTH(Datos_Consumo[[#This Row],[FECHA]])</f>
        <v>2017-5</v>
      </c>
    </row>
    <row r="1109" spans="1:4" x14ac:dyDescent="0.25">
      <c r="A1109" t="s">
        <v>1938</v>
      </c>
      <c r="B1109">
        <v>800</v>
      </c>
      <c r="C1109" s="55">
        <v>42826</v>
      </c>
      <c r="D1109" s="3" t="str">
        <f>YEAR(Datos_Consumo[[#This Row],[FECHA]])&amp;"-"&amp;MONTH(Datos_Consumo[[#This Row],[FECHA]])</f>
        <v>2017-4</v>
      </c>
    </row>
    <row r="1110" spans="1:4" x14ac:dyDescent="0.25">
      <c r="A1110" t="s">
        <v>1939</v>
      </c>
      <c r="B1110">
        <v>1100</v>
      </c>
      <c r="C1110" s="55">
        <v>42826</v>
      </c>
      <c r="D1110" s="3" t="str">
        <f>YEAR(Datos_Consumo[[#This Row],[FECHA]])&amp;"-"&amp;MONTH(Datos_Consumo[[#This Row],[FECHA]])</f>
        <v>2017-4</v>
      </c>
    </row>
    <row r="1111" spans="1:4" x14ac:dyDescent="0.25">
      <c r="A1111" t="s">
        <v>1940</v>
      </c>
      <c r="B1111">
        <v>800</v>
      </c>
      <c r="C1111" s="55">
        <v>42826</v>
      </c>
      <c r="D1111" s="3" t="str">
        <f>YEAR(Datos_Consumo[[#This Row],[FECHA]])&amp;"-"&amp;MONTH(Datos_Consumo[[#This Row],[FECHA]])</f>
        <v>2017-4</v>
      </c>
    </row>
    <row r="1112" spans="1:4" x14ac:dyDescent="0.25">
      <c r="A1112" t="s">
        <v>1941</v>
      </c>
      <c r="B1112">
        <v>2</v>
      </c>
      <c r="C1112" s="55">
        <v>42767</v>
      </c>
      <c r="D1112" s="3" t="str">
        <f>YEAR(Datos_Consumo[[#This Row],[FECHA]])&amp;"-"&amp;MONTH(Datos_Consumo[[#This Row],[FECHA]])</f>
        <v>2017-2</v>
      </c>
    </row>
    <row r="1113" spans="1:4" x14ac:dyDescent="0.25">
      <c r="A1113" t="s">
        <v>1683</v>
      </c>
      <c r="B1113">
        <v>3</v>
      </c>
      <c r="C1113" s="55">
        <v>42795</v>
      </c>
      <c r="D1113" s="3" t="str">
        <f>YEAR(Datos_Consumo[[#This Row],[FECHA]])&amp;"-"&amp;MONTH(Datos_Consumo[[#This Row],[FECHA]])</f>
        <v>2017-3</v>
      </c>
    </row>
    <row r="1114" spans="1:4" x14ac:dyDescent="0.25">
      <c r="A1114" t="s">
        <v>1942</v>
      </c>
      <c r="B1114">
        <v>1</v>
      </c>
      <c r="C1114" s="55">
        <v>42795</v>
      </c>
      <c r="D1114" s="3" t="str">
        <f>YEAR(Datos_Consumo[[#This Row],[FECHA]])&amp;"-"&amp;MONTH(Datos_Consumo[[#This Row],[FECHA]])</f>
        <v>2017-3</v>
      </c>
    </row>
    <row r="1115" spans="1:4" x14ac:dyDescent="0.25">
      <c r="A1115" t="s">
        <v>1564</v>
      </c>
      <c r="B1115">
        <v>1</v>
      </c>
      <c r="C1115" s="55">
        <v>42705</v>
      </c>
      <c r="D1115" s="3" t="str">
        <f>YEAR(Datos_Consumo[[#This Row],[FECHA]])&amp;"-"&amp;MONTH(Datos_Consumo[[#This Row],[FECHA]])</f>
        <v>2016-12</v>
      </c>
    </row>
    <row r="1116" spans="1:4" x14ac:dyDescent="0.25">
      <c r="A1116" t="s">
        <v>1564</v>
      </c>
      <c r="B1116">
        <v>2</v>
      </c>
      <c r="C1116" s="55">
        <v>42767</v>
      </c>
      <c r="D1116" s="3" t="str">
        <f>YEAR(Datos_Consumo[[#This Row],[FECHA]])&amp;"-"&amp;MONTH(Datos_Consumo[[#This Row],[FECHA]])</f>
        <v>2017-2</v>
      </c>
    </row>
    <row r="1117" spans="1:4" x14ac:dyDescent="0.25">
      <c r="A1117" t="s">
        <v>1634</v>
      </c>
      <c r="B1117">
        <v>7</v>
      </c>
      <c r="C1117" s="55">
        <v>42705</v>
      </c>
      <c r="D1117" s="3" t="str">
        <f>YEAR(Datos_Consumo[[#This Row],[FECHA]])&amp;"-"&amp;MONTH(Datos_Consumo[[#This Row],[FECHA]])</f>
        <v>2016-12</v>
      </c>
    </row>
    <row r="1118" spans="1:4" x14ac:dyDescent="0.25">
      <c r="A1118" t="s">
        <v>1634</v>
      </c>
      <c r="B1118">
        <v>9</v>
      </c>
      <c r="C1118" s="55">
        <v>42736</v>
      </c>
      <c r="D1118" s="3" t="str">
        <f>YEAR(Datos_Consumo[[#This Row],[FECHA]])&amp;"-"&amp;MONTH(Datos_Consumo[[#This Row],[FECHA]])</f>
        <v>2017-1</v>
      </c>
    </row>
    <row r="1119" spans="1:4" x14ac:dyDescent="0.25">
      <c r="A1119" t="s">
        <v>1634</v>
      </c>
      <c r="B1119">
        <v>7</v>
      </c>
      <c r="C1119" s="55">
        <v>42767</v>
      </c>
      <c r="D1119" s="3" t="str">
        <f>YEAR(Datos_Consumo[[#This Row],[FECHA]])&amp;"-"&amp;MONTH(Datos_Consumo[[#This Row],[FECHA]])</f>
        <v>2017-2</v>
      </c>
    </row>
    <row r="1120" spans="1:4" x14ac:dyDescent="0.25">
      <c r="A1120" t="s">
        <v>1634</v>
      </c>
      <c r="B1120">
        <v>10</v>
      </c>
      <c r="C1120" s="55">
        <v>42795</v>
      </c>
      <c r="D1120" s="3" t="str">
        <f>YEAR(Datos_Consumo[[#This Row],[FECHA]])&amp;"-"&amp;MONTH(Datos_Consumo[[#This Row],[FECHA]])</f>
        <v>2017-3</v>
      </c>
    </row>
    <row r="1121" spans="1:4" x14ac:dyDescent="0.25">
      <c r="A1121" t="s">
        <v>1634</v>
      </c>
      <c r="B1121">
        <v>10</v>
      </c>
      <c r="C1121" s="55">
        <v>42826</v>
      </c>
      <c r="D1121" s="3" t="str">
        <f>YEAR(Datos_Consumo[[#This Row],[FECHA]])&amp;"-"&amp;MONTH(Datos_Consumo[[#This Row],[FECHA]])</f>
        <v>2017-4</v>
      </c>
    </row>
    <row r="1122" spans="1:4" x14ac:dyDescent="0.25">
      <c r="A1122" t="s">
        <v>1634</v>
      </c>
      <c r="B1122">
        <v>10</v>
      </c>
      <c r="C1122" s="55">
        <v>42856</v>
      </c>
      <c r="D1122" s="3" t="str">
        <f>YEAR(Datos_Consumo[[#This Row],[FECHA]])&amp;"-"&amp;MONTH(Datos_Consumo[[#This Row],[FECHA]])</f>
        <v>2017-5</v>
      </c>
    </row>
    <row r="1123" spans="1:4" x14ac:dyDescent="0.25">
      <c r="A1123" t="s">
        <v>1635</v>
      </c>
      <c r="B1123">
        <v>3</v>
      </c>
      <c r="C1123" s="55">
        <v>42795</v>
      </c>
      <c r="D1123" s="3" t="str">
        <f>YEAR(Datos_Consumo[[#This Row],[FECHA]])&amp;"-"&amp;MONTH(Datos_Consumo[[#This Row],[FECHA]])</f>
        <v>2017-3</v>
      </c>
    </row>
    <row r="1124" spans="1:4" x14ac:dyDescent="0.25">
      <c r="A1124" t="s">
        <v>1943</v>
      </c>
      <c r="B1124">
        <v>8</v>
      </c>
      <c r="C1124" s="55">
        <v>42767</v>
      </c>
      <c r="D1124" s="3" t="str">
        <f>YEAR(Datos_Consumo[[#This Row],[FECHA]])&amp;"-"&amp;MONTH(Datos_Consumo[[#This Row],[FECHA]])</f>
        <v>2017-2</v>
      </c>
    </row>
    <row r="1125" spans="1:4" x14ac:dyDescent="0.25">
      <c r="A1125" t="s">
        <v>1943</v>
      </c>
      <c r="B1125">
        <v>6</v>
      </c>
      <c r="C1125" s="55">
        <v>42795</v>
      </c>
      <c r="D1125" s="3" t="str">
        <f>YEAR(Datos_Consumo[[#This Row],[FECHA]])&amp;"-"&amp;MONTH(Datos_Consumo[[#This Row],[FECHA]])</f>
        <v>2017-3</v>
      </c>
    </row>
    <row r="1126" spans="1:4" x14ac:dyDescent="0.25">
      <c r="A1126" t="s">
        <v>1684</v>
      </c>
      <c r="B1126">
        <v>15</v>
      </c>
      <c r="C1126" s="55">
        <v>42795</v>
      </c>
      <c r="D1126" s="3" t="str">
        <f>YEAR(Datos_Consumo[[#This Row],[FECHA]])&amp;"-"&amp;MONTH(Datos_Consumo[[#This Row],[FECHA]])</f>
        <v>2017-3</v>
      </c>
    </row>
    <row r="1127" spans="1:4" x14ac:dyDescent="0.25">
      <c r="A1127" t="s">
        <v>1684</v>
      </c>
      <c r="B1127">
        <v>24</v>
      </c>
      <c r="C1127" s="55">
        <v>42826</v>
      </c>
      <c r="D1127" s="3" t="str">
        <f>YEAR(Datos_Consumo[[#This Row],[FECHA]])&amp;"-"&amp;MONTH(Datos_Consumo[[#This Row],[FECHA]])</f>
        <v>2017-4</v>
      </c>
    </row>
    <row r="1128" spans="1:4" x14ac:dyDescent="0.25">
      <c r="A1128" t="s">
        <v>1684</v>
      </c>
      <c r="B1128">
        <v>7</v>
      </c>
      <c r="C1128" s="55">
        <v>42856</v>
      </c>
      <c r="D1128" s="3" t="str">
        <f>YEAR(Datos_Consumo[[#This Row],[FECHA]])&amp;"-"&amp;MONTH(Datos_Consumo[[#This Row],[FECHA]])</f>
        <v>2017-5</v>
      </c>
    </row>
    <row r="1129" spans="1:4" x14ac:dyDescent="0.25">
      <c r="A1129" t="s">
        <v>1565</v>
      </c>
      <c r="B1129">
        <v>10</v>
      </c>
      <c r="C1129" s="55">
        <v>42705</v>
      </c>
      <c r="D1129" s="3" t="str">
        <f>YEAR(Datos_Consumo[[#This Row],[FECHA]])&amp;"-"&amp;MONTH(Datos_Consumo[[#This Row],[FECHA]])</f>
        <v>2016-12</v>
      </c>
    </row>
    <row r="1130" spans="1:4" x14ac:dyDescent="0.25">
      <c r="A1130" t="s">
        <v>1565</v>
      </c>
      <c r="B1130">
        <v>7</v>
      </c>
      <c r="C1130" s="55">
        <v>42736</v>
      </c>
      <c r="D1130" s="3" t="str">
        <f>YEAR(Datos_Consumo[[#This Row],[FECHA]])&amp;"-"&amp;MONTH(Datos_Consumo[[#This Row],[FECHA]])</f>
        <v>2017-1</v>
      </c>
    </row>
    <row r="1131" spans="1:4" x14ac:dyDescent="0.25">
      <c r="A1131" t="s">
        <v>1565</v>
      </c>
      <c r="B1131">
        <v>22</v>
      </c>
      <c r="C1131" s="55">
        <v>42767</v>
      </c>
      <c r="D1131" s="3" t="str">
        <f>YEAR(Datos_Consumo[[#This Row],[FECHA]])&amp;"-"&amp;MONTH(Datos_Consumo[[#This Row],[FECHA]])</f>
        <v>2017-2</v>
      </c>
    </row>
    <row r="1132" spans="1:4" x14ac:dyDescent="0.25">
      <c r="A1132" t="s">
        <v>1565</v>
      </c>
      <c r="B1132">
        <v>11</v>
      </c>
      <c r="C1132" s="55">
        <v>42795</v>
      </c>
      <c r="D1132" s="3" t="str">
        <f>YEAR(Datos_Consumo[[#This Row],[FECHA]])&amp;"-"&amp;MONTH(Datos_Consumo[[#This Row],[FECHA]])</f>
        <v>2017-3</v>
      </c>
    </row>
    <row r="1133" spans="1:4" x14ac:dyDescent="0.25">
      <c r="A1133" t="s">
        <v>1944</v>
      </c>
      <c r="B1133">
        <v>5</v>
      </c>
      <c r="C1133" s="55">
        <v>42795</v>
      </c>
      <c r="D1133" s="3" t="str">
        <f>YEAR(Datos_Consumo[[#This Row],[FECHA]])&amp;"-"&amp;MONTH(Datos_Consumo[[#This Row],[FECHA]])</f>
        <v>2017-3</v>
      </c>
    </row>
    <row r="1134" spans="1:4" x14ac:dyDescent="0.25">
      <c r="A1134" t="s">
        <v>1673</v>
      </c>
      <c r="B1134">
        <v>1</v>
      </c>
      <c r="C1134" s="55">
        <v>42826</v>
      </c>
      <c r="D1134" s="3" t="str">
        <f>YEAR(Datos_Consumo[[#This Row],[FECHA]])&amp;"-"&amp;MONTH(Datos_Consumo[[#This Row],[FECHA]])</f>
        <v>2017-4</v>
      </c>
    </row>
    <row r="1135" spans="1:4" x14ac:dyDescent="0.25">
      <c r="A1135" t="s">
        <v>1673</v>
      </c>
      <c r="B1135">
        <v>2</v>
      </c>
      <c r="C1135" s="55">
        <v>42856</v>
      </c>
      <c r="D1135" s="3" t="str">
        <f>YEAR(Datos_Consumo[[#This Row],[FECHA]])&amp;"-"&amp;MONTH(Datos_Consumo[[#This Row],[FECHA]])</f>
        <v>2017-5</v>
      </c>
    </row>
    <row r="1136" spans="1:4" x14ac:dyDescent="0.25">
      <c r="A1136" t="s">
        <v>1636</v>
      </c>
      <c r="B1136">
        <v>1</v>
      </c>
      <c r="C1136" s="55">
        <v>42767</v>
      </c>
      <c r="D1136" s="3" t="str">
        <f>YEAR(Datos_Consumo[[#This Row],[FECHA]])&amp;"-"&amp;MONTH(Datos_Consumo[[#This Row],[FECHA]])</f>
        <v>2017-2</v>
      </c>
    </row>
    <row r="1137" spans="1:4" x14ac:dyDescent="0.25">
      <c r="A1137" t="s">
        <v>1685</v>
      </c>
      <c r="B1137">
        <v>10</v>
      </c>
      <c r="C1137" s="55">
        <v>42795</v>
      </c>
      <c r="D1137" s="3" t="str">
        <f>YEAR(Datos_Consumo[[#This Row],[FECHA]])&amp;"-"&amp;MONTH(Datos_Consumo[[#This Row],[FECHA]])</f>
        <v>2017-3</v>
      </c>
    </row>
    <row r="1138" spans="1:4" x14ac:dyDescent="0.25">
      <c r="A1138" t="s">
        <v>1685</v>
      </c>
      <c r="B1138">
        <v>15</v>
      </c>
      <c r="C1138" s="55">
        <v>42856</v>
      </c>
      <c r="D1138" s="3" t="str">
        <f>YEAR(Datos_Consumo[[#This Row],[FECHA]])&amp;"-"&amp;MONTH(Datos_Consumo[[#This Row],[FECHA]])</f>
        <v>2017-5</v>
      </c>
    </row>
    <row r="1139" spans="1:4" x14ac:dyDescent="0.25">
      <c r="A1139" t="s">
        <v>1637</v>
      </c>
      <c r="B1139">
        <v>10</v>
      </c>
      <c r="C1139" s="55">
        <v>42705</v>
      </c>
      <c r="D1139" s="3" t="str">
        <f>YEAR(Datos_Consumo[[#This Row],[FECHA]])&amp;"-"&amp;MONTH(Datos_Consumo[[#This Row],[FECHA]])</f>
        <v>2016-12</v>
      </c>
    </row>
    <row r="1140" spans="1:4" x14ac:dyDescent="0.25">
      <c r="A1140" t="s">
        <v>1945</v>
      </c>
      <c r="B1140">
        <v>90</v>
      </c>
      <c r="C1140" s="55">
        <v>42795</v>
      </c>
      <c r="D1140" s="3" t="str">
        <f>YEAR(Datos_Consumo[[#This Row],[FECHA]])&amp;"-"&amp;MONTH(Datos_Consumo[[#This Row],[FECHA]])</f>
        <v>2017-3</v>
      </c>
    </row>
    <row r="1141" spans="1:4" x14ac:dyDescent="0.25">
      <c r="A1141" t="s">
        <v>1393</v>
      </c>
      <c r="B1141">
        <v>2985</v>
      </c>
      <c r="C1141" s="55">
        <v>42705</v>
      </c>
      <c r="D1141" s="3" t="str">
        <f>YEAR(Datos_Consumo[[#This Row],[FECHA]])&amp;"-"&amp;MONTH(Datos_Consumo[[#This Row],[FECHA]])</f>
        <v>2016-12</v>
      </c>
    </row>
    <row r="1142" spans="1:4" x14ac:dyDescent="0.25">
      <c r="A1142" t="s">
        <v>1393</v>
      </c>
      <c r="B1142">
        <v>1317</v>
      </c>
      <c r="C1142" s="55">
        <v>42736</v>
      </c>
      <c r="D1142" s="3" t="str">
        <f>YEAR(Datos_Consumo[[#This Row],[FECHA]])&amp;"-"&amp;MONTH(Datos_Consumo[[#This Row],[FECHA]])</f>
        <v>2017-1</v>
      </c>
    </row>
    <row r="1143" spans="1:4" x14ac:dyDescent="0.25">
      <c r="A1143" t="s">
        <v>1393</v>
      </c>
      <c r="B1143">
        <v>642</v>
      </c>
      <c r="C1143" s="55">
        <v>42767</v>
      </c>
      <c r="D1143" s="3" t="str">
        <f>YEAR(Datos_Consumo[[#This Row],[FECHA]])&amp;"-"&amp;MONTH(Datos_Consumo[[#This Row],[FECHA]])</f>
        <v>2017-2</v>
      </c>
    </row>
    <row r="1144" spans="1:4" x14ac:dyDescent="0.25">
      <c r="A1144" t="s">
        <v>1393</v>
      </c>
      <c r="B1144">
        <v>2382</v>
      </c>
      <c r="C1144" s="55">
        <v>42795</v>
      </c>
      <c r="D1144" s="3" t="str">
        <f>YEAR(Datos_Consumo[[#This Row],[FECHA]])&amp;"-"&amp;MONTH(Datos_Consumo[[#This Row],[FECHA]])</f>
        <v>2017-3</v>
      </c>
    </row>
    <row r="1145" spans="1:4" x14ac:dyDescent="0.25">
      <c r="A1145" t="s">
        <v>1393</v>
      </c>
      <c r="B1145">
        <v>2100</v>
      </c>
      <c r="C1145" s="55">
        <v>42826</v>
      </c>
      <c r="D1145" s="3" t="str">
        <f>YEAR(Datos_Consumo[[#This Row],[FECHA]])&amp;"-"&amp;MONTH(Datos_Consumo[[#This Row],[FECHA]])</f>
        <v>2017-4</v>
      </c>
    </row>
    <row r="1146" spans="1:4" x14ac:dyDescent="0.25">
      <c r="A1146" t="s">
        <v>1393</v>
      </c>
      <c r="B1146">
        <v>2720</v>
      </c>
      <c r="C1146" s="55">
        <v>42856</v>
      </c>
      <c r="D1146" s="3" t="str">
        <f>YEAR(Datos_Consumo[[#This Row],[FECHA]])&amp;"-"&amp;MONTH(Datos_Consumo[[#This Row],[FECHA]])</f>
        <v>2017-5</v>
      </c>
    </row>
    <row r="1147" spans="1:4" x14ac:dyDescent="0.25">
      <c r="A1147" t="s">
        <v>1394</v>
      </c>
      <c r="B1147">
        <v>4791</v>
      </c>
      <c r="C1147" s="55">
        <v>42705</v>
      </c>
      <c r="D1147" s="3" t="str">
        <f>YEAR(Datos_Consumo[[#This Row],[FECHA]])&amp;"-"&amp;MONTH(Datos_Consumo[[#This Row],[FECHA]])</f>
        <v>2016-12</v>
      </c>
    </row>
    <row r="1148" spans="1:4" x14ac:dyDescent="0.25">
      <c r="A1148" t="s">
        <v>1394</v>
      </c>
      <c r="B1148">
        <v>2126</v>
      </c>
      <c r="C1148" s="55">
        <v>42736</v>
      </c>
      <c r="D1148" s="3" t="str">
        <f>YEAR(Datos_Consumo[[#This Row],[FECHA]])&amp;"-"&amp;MONTH(Datos_Consumo[[#This Row],[FECHA]])</f>
        <v>2017-1</v>
      </c>
    </row>
    <row r="1149" spans="1:4" x14ac:dyDescent="0.25">
      <c r="A1149" t="s">
        <v>1394</v>
      </c>
      <c r="B1149">
        <v>2644</v>
      </c>
      <c r="C1149" s="55">
        <v>42767</v>
      </c>
      <c r="D1149" s="3" t="str">
        <f>YEAR(Datos_Consumo[[#This Row],[FECHA]])&amp;"-"&amp;MONTH(Datos_Consumo[[#This Row],[FECHA]])</f>
        <v>2017-2</v>
      </c>
    </row>
    <row r="1150" spans="1:4" x14ac:dyDescent="0.25">
      <c r="A1150" t="s">
        <v>1394</v>
      </c>
      <c r="B1150">
        <v>2838</v>
      </c>
      <c r="C1150" s="55">
        <v>42795</v>
      </c>
      <c r="D1150" s="3" t="str">
        <f>YEAR(Datos_Consumo[[#This Row],[FECHA]])&amp;"-"&amp;MONTH(Datos_Consumo[[#This Row],[FECHA]])</f>
        <v>2017-3</v>
      </c>
    </row>
    <row r="1151" spans="1:4" x14ac:dyDescent="0.25">
      <c r="A1151" t="s">
        <v>1394</v>
      </c>
      <c r="B1151">
        <v>1958</v>
      </c>
      <c r="C1151" s="55">
        <v>42826</v>
      </c>
      <c r="D1151" s="3" t="str">
        <f>YEAR(Datos_Consumo[[#This Row],[FECHA]])&amp;"-"&amp;MONTH(Datos_Consumo[[#This Row],[FECHA]])</f>
        <v>2017-4</v>
      </c>
    </row>
    <row r="1152" spans="1:4" x14ac:dyDescent="0.25">
      <c r="A1152" t="s">
        <v>1394</v>
      </c>
      <c r="B1152">
        <v>2809</v>
      </c>
      <c r="C1152" s="55">
        <v>42856</v>
      </c>
      <c r="D1152" s="3" t="str">
        <f>YEAR(Datos_Consumo[[#This Row],[FECHA]])&amp;"-"&amp;MONTH(Datos_Consumo[[#This Row],[FECHA]])</f>
        <v>2017-5</v>
      </c>
    </row>
    <row r="1153" spans="1:4" x14ac:dyDescent="0.25">
      <c r="A1153" t="s">
        <v>1395</v>
      </c>
      <c r="B1153">
        <v>3170</v>
      </c>
      <c r="C1153" s="55">
        <v>42705</v>
      </c>
      <c r="D1153" s="3" t="str">
        <f>YEAR(Datos_Consumo[[#This Row],[FECHA]])&amp;"-"&amp;MONTH(Datos_Consumo[[#This Row],[FECHA]])</f>
        <v>2016-12</v>
      </c>
    </row>
    <row r="1154" spans="1:4" x14ac:dyDescent="0.25">
      <c r="A1154" t="s">
        <v>1395</v>
      </c>
      <c r="B1154">
        <v>740</v>
      </c>
      <c r="C1154" s="55">
        <v>42736</v>
      </c>
      <c r="D1154" s="3" t="str">
        <f>YEAR(Datos_Consumo[[#This Row],[FECHA]])&amp;"-"&amp;MONTH(Datos_Consumo[[#This Row],[FECHA]])</f>
        <v>2017-1</v>
      </c>
    </row>
    <row r="1155" spans="1:4" x14ac:dyDescent="0.25">
      <c r="A1155" t="s">
        <v>1395</v>
      </c>
      <c r="B1155">
        <v>149</v>
      </c>
      <c r="C1155" s="55">
        <v>42767</v>
      </c>
      <c r="D1155" s="3" t="str">
        <f>YEAR(Datos_Consumo[[#This Row],[FECHA]])&amp;"-"&amp;MONTH(Datos_Consumo[[#This Row],[FECHA]])</f>
        <v>2017-2</v>
      </c>
    </row>
    <row r="1156" spans="1:4" x14ac:dyDescent="0.25">
      <c r="A1156" t="s">
        <v>1395</v>
      </c>
      <c r="B1156">
        <v>832</v>
      </c>
      <c r="C1156" s="55">
        <v>42795</v>
      </c>
      <c r="D1156" s="3" t="str">
        <f>YEAR(Datos_Consumo[[#This Row],[FECHA]])&amp;"-"&amp;MONTH(Datos_Consumo[[#This Row],[FECHA]])</f>
        <v>2017-3</v>
      </c>
    </row>
    <row r="1157" spans="1:4" x14ac:dyDescent="0.25">
      <c r="A1157" t="s">
        <v>1395</v>
      </c>
      <c r="B1157">
        <v>1171</v>
      </c>
      <c r="C1157" s="55">
        <v>42826</v>
      </c>
      <c r="D1157" s="3" t="str">
        <f>YEAR(Datos_Consumo[[#This Row],[FECHA]])&amp;"-"&amp;MONTH(Datos_Consumo[[#This Row],[FECHA]])</f>
        <v>2017-4</v>
      </c>
    </row>
    <row r="1158" spans="1:4" x14ac:dyDescent="0.25">
      <c r="A1158" t="s">
        <v>1395</v>
      </c>
      <c r="B1158">
        <v>1655</v>
      </c>
      <c r="C1158" s="55">
        <v>42856</v>
      </c>
      <c r="D1158" s="3" t="str">
        <f>YEAR(Datos_Consumo[[#This Row],[FECHA]])&amp;"-"&amp;MONTH(Datos_Consumo[[#This Row],[FECHA]])</f>
        <v>2017-5</v>
      </c>
    </row>
    <row r="1159" spans="1:4" x14ac:dyDescent="0.25">
      <c r="A1159" t="s">
        <v>1946</v>
      </c>
      <c r="B1159">
        <v>1</v>
      </c>
      <c r="C1159" s="55">
        <v>42826</v>
      </c>
      <c r="D1159" s="3" t="str">
        <f>YEAR(Datos_Consumo[[#This Row],[FECHA]])&amp;"-"&amp;MONTH(Datos_Consumo[[#This Row],[FECHA]])</f>
        <v>2017-4</v>
      </c>
    </row>
    <row r="1160" spans="1:4" x14ac:dyDescent="0.25">
      <c r="A1160" t="s">
        <v>1638</v>
      </c>
      <c r="B1160">
        <v>10</v>
      </c>
      <c r="C1160" s="55">
        <v>42795</v>
      </c>
      <c r="D1160" s="3" t="str">
        <f>YEAR(Datos_Consumo[[#This Row],[FECHA]])&amp;"-"&amp;MONTH(Datos_Consumo[[#This Row],[FECHA]])</f>
        <v>2017-3</v>
      </c>
    </row>
    <row r="1161" spans="1:4" x14ac:dyDescent="0.25">
      <c r="A1161" t="s">
        <v>1674</v>
      </c>
      <c r="B1161">
        <v>137</v>
      </c>
      <c r="C1161" s="55">
        <v>42795</v>
      </c>
      <c r="D1161" s="3" t="str">
        <f>YEAR(Datos_Consumo[[#This Row],[FECHA]])&amp;"-"&amp;MONTH(Datos_Consumo[[#This Row],[FECHA]])</f>
        <v>2017-3</v>
      </c>
    </row>
    <row r="1162" spans="1:4" x14ac:dyDescent="0.25">
      <c r="A1162" t="s">
        <v>1674</v>
      </c>
      <c r="B1162">
        <v>90</v>
      </c>
      <c r="C1162" s="55">
        <v>42856</v>
      </c>
      <c r="D1162" s="3" t="str">
        <f>YEAR(Datos_Consumo[[#This Row],[FECHA]])&amp;"-"&amp;MONTH(Datos_Consumo[[#This Row],[FECHA]])</f>
        <v>2017-5</v>
      </c>
    </row>
    <row r="1163" spans="1:4" x14ac:dyDescent="0.25">
      <c r="A1163" t="s">
        <v>1639</v>
      </c>
      <c r="B1163">
        <v>20</v>
      </c>
      <c r="C1163" s="55">
        <v>42705</v>
      </c>
      <c r="D1163" s="3" t="str">
        <f>YEAR(Datos_Consumo[[#This Row],[FECHA]])&amp;"-"&amp;MONTH(Datos_Consumo[[#This Row],[FECHA]])</f>
        <v>2016-12</v>
      </c>
    </row>
    <row r="1164" spans="1:4" x14ac:dyDescent="0.25">
      <c r="A1164" t="s">
        <v>1639</v>
      </c>
      <c r="B1164">
        <v>3</v>
      </c>
      <c r="C1164" s="55">
        <v>42736</v>
      </c>
      <c r="D1164" s="3" t="str">
        <f>YEAR(Datos_Consumo[[#This Row],[FECHA]])&amp;"-"&amp;MONTH(Datos_Consumo[[#This Row],[FECHA]])</f>
        <v>2017-1</v>
      </c>
    </row>
    <row r="1165" spans="1:4" x14ac:dyDescent="0.25">
      <c r="A1165" t="s">
        <v>1639</v>
      </c>
      <c r="B1165">
        <v>1</v>
      </c>
      <c r="C1165" s="55">
        <v>42767</v>
      </c>
      <c r="D1165" s="3" t="str">
        <f>YEAR(Datos_Consumo[[#This Row],[FECHA]])&amp;"-"&amp;MONTH(Datos_Consumo[[#This Row],[FECHA]])</f>
        <v>2017-2</v>
      </c>
    </row>
    <row r="1166" spans="1:4" x14ac:dyDescent="0.25">
      <c r="A1166" t="s">
        <v>1566</v>
      </c>
      <c r="B1166">
        <v>24</v>
      </c>
      <c r="C1166" s="55">
        <v>42736</v>
      </c>
      <c r="D1166" s="3" t="str">
        <f>YEAR(Datos_Consumo[[#This Row],[FECHA]])&amp;"-"&amp;MONTH(Datos_Consumo[[#This Row],[FECHA]])</f>
        <v>2017-1</v>
      </c>
    </row>
    <row r="1167" spans="1:4" x14ac:dyDescent="0.25">
      <c r="A1167" t="s">
        <v>1566</v>
      </c>
      <c r="B1167">
        <v>69</v>
      </c>
      <c r="C1167" s="55">
        <v>42767</v>
      </c>
      <c r="D1167" s="3" t="str">
        <f>YEAR(Datos_Consumo[[#This Row],[FECHA]])&amp;"-"&amp;MONTH(Datos_Consumo[[#This Row],[FECHA]])</f>
        <v>2017-2</v>
      </c>
    </row>
    <row r="1168" spans="1:4" x14ac:dyDescent="0.25">
      <c r="A1168" t="s">
        <v>1566</v>
      </c>
      <c r="B1168">
        <v>10</v>
      </c>
      <c r="C1168" s="55">
        <v>42795</v>
      </c>
      <c r="D1168" s="3" t="str">
        <f>YEAR(Datos_Consumo[[#This Row],[FECHA]])&amp;"-"&amp;MONTH(Datos_Consumo[[#This Row],[FECHA]])</f>
        <v>2017-3</v>
      </c>
    </row>
    <row r="1169" spans="1:4" x14ac:dyDescent="0.25">
      <c r="A1169" t="s">
        <v>1687</v>
      </c>
      <c r="B1169">
        <v>12</v>
      </c>
      <c r="C1169" s="55">
        <v>42795</v>
      </c>
      <c r="D1169" s="3" t="str">
        <f>YEAR(Datos_Consumo[[#This Row],[FECHA]])&amp;"-"&amp;MONTH(Datos_Consumo[[#This Row],[FECHA]])</f>
        <v>2017-3</v>
      </c>
    </row>
    <row r="1170" spans="1:4" x14ac:dyDescent="0.25">
      <c r="A1170" t="s">
        <v>1687</v>
      </c>
      <c r="B1170">
        <v>42</v>
      </c>
      <c r="C1170" s="55">
        <v>42826</v>
      </c>
      <c r="D1170" s="3" t="str">
        <f>YEAR(Datos_Consumo[[#This Row],[FECHA]])&amp;"-"&amp;MONTH(Datos_Consumo[[#This Row],[FECHA]])</f>
        <v>2017-4</v>
      </c>
    </row>
    <row r="1171" spans="1:4" x14ac:dyDescent="0.25">
      <c r="A1171" t="s">
        <v>1687</v>
      </c>
      <c r="B1171">
        <v>50</v>
      </c>
      <c r="C1171" s="55">
        <v>42856</v>
      </c>
      <c r="D1171" s="3" t="str">
        <f>YEAR(Datos_Consumo[[#This Row],[FECHA]])&amp;"-"&amp;MONTH(Datos_Consumo[[#This Row],[FECHA]])</f>
        <v>2017-5</v>
      </c>
    </row>
    <row r="1172" spans="1:4" x14ac:dyDescent="0.25">
      <c r="A1172" t="s">
        <v>1640</v>
      </c>
      <c r="B1172">
        <v>10</v>
      </c>
      <c r="C1172" s="55">
        <v>42705</v>
      </c>
      <c r="D1172" s="3" t="str">
        <f>YEAR(Datos_Consumo[[#This Row],[FECHA]])&amp;"-"&amp;MONTH(Datos_Consumo[[#This Row],[FECHA]])</f>
        <v>2016-12</v>
      </c>
    </row>
    <row r="1173" spans="1:4" x14ac:dyDescent="0.25">
      <c r="A1173" t="s">
        <v>1640</v>
      </c>
      <c r="B1173">
        <v>10</v>
      </c>
      <c r="C1173" s="55">
        <v>42736</v>
      </c>
      <c r="D1173" s="3" t="str">
        <f>YEAR(Datos_Consumo[[#This Row],[FECHA]])&amp;"-"&amp;MONTH(Datos_Consumo[[#This Row],[FECHA]])</f>
        <v>2017-1</v>
      </c>
    </row>
    <row r="1174" spans="1:4" x14ac:dyDescent="0.25">
      <c r="A1174" t="s">
        <v>1640</v>
      </c>
      <c r="B1174">
        <v>12</v>
      </c>
      <c r="C1174" s="55">
        <v>42767</v>
      </c>
      <c r="D1174" s="3" t="str">
        <f>YEAR(Datos_Consumo[[#This Row],[FECHA]])&amp;"-"&amp;MONTH(Datos_Consumo[[#This Row],[FECHA]])</f>
        <v>2017-2</v>
      </c>
    </row>
    <row r="1175" spans="1:4" x14ac:dyDescent="0.25">
      <c r="A1175" t="s">
        <v>1640</v>
      </c>
      <c r="B1175">
        <v>20</v>
      </c>
      <c r="C1175" s="55">
        <v>42795</v>
      </c>
      <c r="D1175" s="3" t="str">
        <f>YEAR(Datos_Consumo[[#This Row],[FECHA]])&amp;"-"&amp;MONTH(Datos_Consumo[[#This Row],[FECHA]])</f>
        <v>2017-3</v>
      </c>
    </row>
    <row r="1176" spans="1:4" x14ac:dyDescent="0.25">
      <c r="A1176" t="s">
        <v>1641</v>
      </c>
      <c r="B1176">
        <v>30</v>
      </c>
      <c r="C1176" s="55">
        <v>42736</v>
      </c>
      <c r="D1176" s="3" t="str">
        <f>YEAR(Datos_Consumo[[#This Row],[FECHA]])&amp;"-"&amp;MONTH(Datos_Consumo[[#This Row],[FECHA]])</f>
        <v>2017-1</v>
      </c>
    </row>
    <row r="1177" spans="1:4" x14ac:dyDescent="0.25">
      <c r="A1177" t="s">
        <v>1641</v>
      </c>
      <c r="B1177">
        <v>16</v>
      </c>
      <c r="C1177" s="55">
        <v>42767</v>
      </c>
      <c r="D1177" s="3" t="str">
        <f>YEAR(Datos_Consumo[[#This Row],[FECHA]])&amp;"-"&amp;MONTH(Datos_Consumo[[#This Row],[FECHA]])</f>
        <v>2017-2</v>
      </c>
    </row>
    <row r="1178" spans="1:4" x14ac:dyDescent="0.25">
      <c r="A1178" t="s">
        <v>1641</v>
      </c>
      <c r="B1178">
        <v>10</v>
      </c>
      <c r="C1178" s="55">
        <v>42795</v>
      </c>
      <c r="D1178" s="3" t="str">
        <f>YEAR(Datos_Consumo[[#This Row],[FECHA]])&amp;"-"&amp;MONTH(Datos_Consumo[[#This Row],[FECHA]])</f>
        <v>2017-3</v>
      </c>
    </row>
    <row r="1179" spans="1:4" x14ac:dyDescent="0.25">
      <c r="A1179" t="s">
        <v>1556</v>
      </c>
      <c r="B1179">
        <v>12</v>
      </c>
      <c r="C1179" s="55">
        <v>42705</v>
      </c>
      <c r="D1179" s="3" t="str">
        <f>YEAR(Datos_Consumo[[#This Row],[FECHA]])&amp;"-"&amp;MONTH(Datos_Consumo[[#This Row],[FECHA]])</f>
        <v>2016-12</v>
      </c>
    </row>
    <row r="1180" spans="1:4" x14ac:dyDescent="0.25">
      <c r="A1180" t="s">
        <v>1396</v>
      </c>
      <c r="B1180">
        <v>352</v>
      </c>
      <c r="C1180" s="55">
        <v>42705</v>
      </c>
      <c r="D1180" s="3" t="str">
        <f>YEAR(Datos_Consumo[[#This Row],[FECHA]])&amp;"-"&amp;MONTH(Datos_Consumo[[#This Row],[FECHA]])</f>
        <v>2016-12</v>
      </c>
    </row>
    <row r="1181" spans="1:4" x14ac:dyDescent="0.25">
      <c r="A1181" t="s">
        <v>1396</v>
      </c>
      <c r="B1181">
        <v>502</v>
      </c>
      <c r="C1181" s="55">
        <v>42736</v>
      </c>
      <c r="D1181" s="3" t="str">
        <f>YEAR(Datos_Consumo[[#This Row],[FECHA]])&amp;"-"&amp;MONTH(Datos_Consumo[[#This Row],[FECHA]])</f>
        <v>2017-1</v>
      </c>
    </row>
    <row r="1182" spans="1:4" x14ac:dyDescent="0.25">
      <c r="A1182" t="s">
        <v>1396</v>
      </c>
      <c r="B1182">
        <v>171</v>
      </c>
      <c r="C1182" s="55">
        <v>42767</v>
      </c>
      <c r="D1182" s="3" t="str">
        <f>YEAR(Datos_Consumo[[#This Row],[FECHA]])&amp;"-"&amp;MONTH(Datos_Consumo[[#This Row],[FECHA]])</f>
        <v>2017-2</v>
      </c>
    </row>
    <row r="1183" spans="1:4" x14ac:dyDescent="0.25">
      <c r="A1183" t="s">
        <v>1396</v>
      </c>
      <c r="B1183">
        <v>406</v>
      </c>
      <c r="C1183" s="55">
        <v>42795</v>
      </c>
      <c r="D1183" s="3" t="str">
        <f>YEAR(Datos_Consumo[[#This Row],[FECHA]])&amp;"-"&amp;MONTH(Datos_Consumo[[#This Row],[FECHA]])</f>
        <v>2017-3</v>
      </c>
    </row>
    <row r="1184" spans="1:4" x14ac:dyDescent="0.25">
      <c r="A1184" t="s">
        <v>1396</v>
      </c>
      <c r="B1184">
        <v>726</v>
      </c>
      <c r="C1184" s="55">
        <v>42826</v>
      </c>
      <c r="D1184" s="3" t="str">
        <f>YEAR(Datos_Consumo[[#This Row],[FECHA]])&amp;"-"&amp;MONTH(Datos_Consumo[[#This Row],[FECHA]])</f>
        <v>2017-4</v>
      </c>
    </row>
    <row r="1185" spans="1:4" x14ac:dyDescent="0.25">
      <c r="A1185" t="s">
        <v>1396</v>
      </c>
      <c r="B1185">
        <v>1584</v>
      </c>
      <c r="C1185" s="55">
        <v>42856</v>
      </c>
      <c r="D1185" s="3" t="str">
        <f>YEAR(Datos_Consumo[[#This Row],[FECHA]])&amp;"-"&amp;MONTH(Datos_Consumo[[#This Row],[FECHA]])</f>
        <v>2017-5</v>
      </c>
    </row>
    <row r="1186" spans="1:4" x14ac:dyDescent="0.25">
      <c r="A1186" t="s">
        <v>1397</v>
      </c>
      <c r="B1186">
        <v>5238</v>
      </c>
      <c r="C1186" s="55">
        <v>42705</v>
      </c>
      <c r="D1186" s="3" t="str">
        <f>YEAR(Datos_Consumo[[#This Row],[FECHA]])&amp;"-"&amp;MONTH(Datos_Consumo[[#This Row],[FECHA]])</f>
        <v>2016-12</v>
      </c>
    </row>
    <row r="1187" spans="1:4" x14ac:dyDescent="0.25">
      <c r="A1187" t="s">
        <v>1397</v>
      </c>
      <c r="B1187">
        <v>710</v>
      </c>
      <c r="C1187" s="55">
        <v>42736</v>
      </c>
      <c r="D1187" s="3" t="str">
        <f>YEAR(Datos_Consumo[[#This Row],[FECHA]])&amp;"-"&amp;MONTH(Datos_Consumo[[#This Row],[FECHA]])</f>
        <v>2017-1</v>
      </c>
    </row>
    <row r="1188" spans="1:4" x14ac:dyDescent="0.25">
      <c r="A1188" t="s">
        <v>1397</v>
      </c>
      <c r="B1188">
        <v>285</v>
      </c>
      <c r="C1188" s="55">
        <v>42767</v>
      </c>
      <c r="D1188" s="3" t="str">
        <f>YEAR(Datos_Consumo[[#This Row],[FECHA]])&amp;"-"&amp;MONTH(Datos_Consumo[[#This Row],[FECHA]])</f>
        <v>2017-2</v>
      </c>
    </row>
    <row r="1189" spans="1:4" x14ac:dyDescent="0.25">
      <c r="A1189" t="s">
        <v>1397</v>
      </c>
      <c r="B1189">
        <v>420</v>
      </c>
      <c r="C1189" s="55">
        <v>42795</v>
      </c>
      <c r="D1189" s="3" t="str">
        <f>YEAR(Datos_Consumo[[#This Row],[FECHA]])&amp;"-"&amp;MONTH(Datos_Consumo[[#This Row],[FECHA]])</f>
        <v>2017-3</v>
      </c>
    </row>
    <row r="1190" spans="1:4" x14ac:dyDescent="0.25">
      <c r="A1190" t="s">
        <v>1397</v>
      </c>
      <c r="B1190">
        <v>1610</v>
      </c>
      <c r="C1190" s="55">
        <v>42826</v>
      </c>
      <c r="D1190" s="3" t="str">
        <f>YEAR(Datos_Consumo[[#This Row],[FECHA]])&amp;"-"&amp;MONTH(Datos_Consumo[[#This Row],[FECHA]])</f>
        <v>2017-4</v>
      </c>
    </row>
    <row r="1191" spans="1:4" x14ac:dyDescent="0.25">
      <c r="A1191" t="s">
        <v>1397</v>
      </c>
      <c r="B1191">
        <v>171</v>
      </c>
      <c r="C1191" s="55">
        <v>42856</v>
      </c>
      <c r="D1191" s="3" t="str">
        <f>YEAR(Datos_Consumo[[#This Row],[FECHA]])&amp;"-"&amp;MONTH(Datos_Consumo[[#This Row],[FECHA]])</f>
        <v>2017-5</v>
      </c>
    </row>
    <row r="1192" spans="1:4" x14ac:dyDescent="0.25">
      <c r="A1192" t="s">
        <v>1398</v>
      </c>
      <c r="B1192">
        <v>20</v>
      </c>
      <c r="C1192" s="55">
        <v>42736</v>
      </c>
      <c r="D1192" s="3" t="str">
        <f>YEAR(Datos_Consumo[[#This Row],[FECHA]])&amp;"-"&amp;MONTH(Datos_Consumo[[#This Row],[FECHA]])</f>
        <v>2017-1</v>
      </c>
    </row>
    <row r="1193" spans="1:4" x14ac:dyDescent="0.25">
      <c r="A1193" t="s">
        <v>1398</v>
      </c>
      <c r="B1193">
        <v>25</v>
      </c>
      <c r="C1193" s="55">
        <v>42795</v>
      </c>
      <c r="D1193" s="3" t="str">
        <f>YEAR(Datos_Consumo[[#This Row],[FECHA]])&amp;"-"&amp;MONTH(Datos_Consumo[[#This Row],[FECHA]])</f>
        <v>2017-3</v>
      </c>
    </row>
    <row r="1194" spans="1:4" x14ac:dyDescent="0.25">
      <c r="A1194" t="s">
        <v>1398</v>
      </c>
      <c r="B1194">
        <v>800</v>
      </c>
      <c r="C1194" s="55">
        <v>42826</v>
      </c>
      <c r="D1194" s="3" t="str">
        <f>YEAR(Datos_Consumo[[#This Row],[FECHA]])&amp;"-"&amp;MONTH(Datos_Consumo[[#This Row],[FECHA]])</f>
        <v>2017-4</v>
      </c>
    </row>
    <row r="1195" spans="1:4" x14ac:dyDescent="0.25">
      <c r="A1195" t="s">
        <v>1398</v>
      </c>
      <c r="B1195">
        <v>300</v>
      </c>
      <c r="C1195" s="55">
        <v>42856</v>
      </c>
      <c r="D1195" s="3" t="str">
        <f>YEAR(Datos_Consumo[[#This Row],[FECHA]])&amp;"-"&amp;MONTH(Datos_Consumo[[#This Row],[FECHA]])</f>
        <v>2017-5</v>
      </c>
    </row>
    <row r="1196" spans="1:4" x14ac:dyDescent="0.25">
      <c r="A1196" t="s">
        <v>1947</v>
      </c>
      <c r="B1196">
        <v>1</v>
      </c>
      <c r="C1196" s="55">
        <v>42767</v>
      </c>
      <c r="D1196" s="3" t="str">
        <f>YEAR(Datos_Consumo[[#This Row],[FECHA]])&amp;"-"&amp;MONTH(Datos_Consumo[[#This Row],[FECHA]])</f>
        <v>2017-2</v>
      </c>
    </row>
    <row r="1197" spans="1:4" x14ac:dyDescent="0.25">
      <c r="A1197" t="s">
        <v>1948</v>
      </c>
      <c r="B1197">
        <v>1</v>
      </c>
      <c r="C1197" s="55">
        <v>42767</v>
      </c>
      <c r="D1197" s="3" t="str">
        <f>YEAR(Datos_Consumo[[#This Row],[FECHA]])&amp;"-"&amp;MONTH(Datos_Consumo[[#This Row],[FECHA]])</f>
        <v>2017-2</v>
      </c>
    </row>
    <row r="1198" spans="1:4" x14ac:dyDescent="0.25">
      <c r="A1198" t="s">
        <v>1949</v>
      </c>
      <c r="B1198">
        <v>1</v>
      </c>
      <c r="C1198" s="55">
        <v>42767</v>
      </c>
      <c r="D1198" s="3" t="str">
        <f>YEAR(Datos_Consumo[[#This Row],[FECHA]])&amp;"-"&amp;MONTH(Datos_Consumo[[#This Row],[FECHA]])</f>
        <v>2017-2</v>
      </c>
    </row>
    <row r="1199" spans="1:4" x14ac:dyDescent="0.25">
      <c r="A1199" t="s">
        <v>1688</v>
      </c>
      <c r="B1199">
        <v>22</v>
      </c>
      <c r="C1199" s="55">
        <v>42795</v>
      </c>
      <c r="D1199" s="3" t="str">
        <f>YEAR(Datos_Consumo[[#This Row],[FECHA]])&amp;"-"&amp;MONTH(Datos_Consumo[[#This Row],[FECHA]])</f>
        <v>2017-3</v>
      </c>
    </row>
    <row r="1200" spans="1:4" x14ac:dyDescent="0.25">
      <c r="A1200" t="s">
        <v>1688</v>
      </c>
      <c r="B1200">
        <v>50</v>
      </c>
      <c r="C1200" s="55">
        <v>42826</v>
      </c>
      <c r="D1200" s="3" t="str">
        <f>YEAR(Datos_Consumo[[#This Row],[FECHA]])&amp;"-"&amp;MONTH(Datos_Consumo[[#This Row],[FECHA]])</f>
        <v>2017-4</v>
      </c>
    </row>
    <row r="1201" spans="1:4" x14ac:dyDescent="0.25">
      <c r="A1201" t="s">
        <v>1688</v>
      </c>
      <c r="B1201">
        <v>40</v>
      </c>
      <c r="C1201" s="55">
        <v>42856</v>
      </c>
      <c r="D1201" s="3" t="str">
        <f>YEAR(Datos_Consumo[[#This Row],[FECHA]])&amp;"-"&amp;MONTH(Datos_Consumo[[#This Row],[FECHA]])</f>
        <v>2017-5</v>
      </c>
    </row>
    <row r="1202" spans="1:4" x14ac:dyDescent="0.25">
      <c r="A1202" t="s">
        <v>1642</v>
      </c>
      <c r="B1202">
        <v>20</v>
      </c>
      <c r="C1202" s="55">
        <v>42705</v>
      </c>
      <c r="D1202" s="3" t="str">
        <f>YEAR(Datos_Consumo[[#This Row],[FECHA]])&amp;"-"&amp;MONTH(Datos_Consumo[[#This Row],[FECHA]])</f>
        <v>2016-12</v>
      </c>
    </row>
    <row r="1203" spans="1:4" x14ac:dyDescent="0.25">
      <c r="A1203" t="s">
        <v>1642</v>
      </c>
      <c r="B1203">
        <v>20</v>
      </c>
      <c r="C1203" s="55">
        <v>42736</v>
      </c>
      <c r="D1203" s="3" t="str">
        <f>YEAR(Datos_Consumo[[#This Row],[FECHA]])&amp;"-"&amp;MONTH(Datos_Consumo[[#This Row],[FECHA]])</f>
        <v>2017-1</v>
      </c>
    </row>
    <row r="1204" spans="1:4" x14ac:dyDescent="0.25">
      <c r="A1204" t="s">
        <v>1642</v>
      </c>
      <c r="B1204">
        <v>40</v>
      </c>
      <c r="C1204" s="55">
        <v>42767</v>
      </c>
      <c r="D1204" s="3" t="str">
        <f>YEAR(Datos_Consumo[[#This Row],[FECHA]])&amp;"-"&amp;MONTH(Datos_Consumo[[#This Row],[FECHA]])</f>
        <v>2017-2</v>
      </c>
    </row>
    <row r="1205" spans="1:4" x14ac:dyDescent="0.25">
      <c r="A1205" t="s">
        <v>1642</v>
      </c>
      <c r="B1205">
        <v>26</v>
      </c>
      <c r="C1205" s="55">
        <v>42795</v>
      </c>
      <c r="D1205" s="3" t="str">
        <f>YEAR(Datos_Consumo[[#This Row],[FECHA]])&amp;"-"&amp;MONTH(Datos_Consumo[[#This Row],[FECHA]])</f>
        <v>2017-3</v>
      </c>
    </row>
    <row r="1206" spans="1:4" x14ac:dyDescent="0.25">
      <c r="A1206" t="s">
        <v>1643</v>
      </c>
      <c r="B1206">
        <v>10</v>
      </c>
      <c r="C1206" s="55">
        <v>42705</v>
      </c>
      <c r="D1206" s="3" t="str">
        <f>YEAR(Datos_Consumo[[#This Row],[FECHA]])&amp;"-"&amp;MONTH(Datos_Consumo[[#This Row],[FECHA]])</f>
        <v>2016-12</v>
      </c>
    </row>
    <row r="1207" spans="1:4" x14ac:dyDescent="0.25">
      <c r="A1207" t="s">
        <v>1643</v>
      </c>
      <c r="B1207">
        <v>20</v>
      </c>
      <c r="C1207" s="55">
        <v>42736</v>
      </c>
      <c r="D1207" s="3" t="str">
        <f>YEAR(Datos_Consumo[[#This Row],[FECHA]])&amp;"-"&amp;MONTH(Datos_Consumo[[#This Row],[FECHA]])</f>
        <v>2017-1</v>
      </c>
    </row>
    <row r="1208" spans="1:4" x14ac:dyDescent="0.25">
      <c r="A1208" t="s">
        <v>1643</v>
      </c>
      <c r="B1208">
        <v>20</v>
      </c>
      <c r="C1208" s="55">
        <v>42767</v>
      </c>
      <c r="D1208" s="3" t="str">
        <f>YEAR(Datos_Consumo[[#This Row],[FECHA]])&amp;"-"&amp;MONTH(Datos_Consumo[[#This Row],[FECHA]])</f>
        <v>2017-2</v>
      </c>
    </row>
    <row r="1209" spans="1:4" x14ac:dyDescent="0.25">
      <c r="A1209" t="s">
        <v>1950</v>
      </c>
      <c r="B1209">
        <v>35</v>
      </c>
      <c r="C1209" s="55">
        <v>42767</v>
      </c>
      <c r="D1209" s="3" t="str">
        <f>YEAR(Datos_Consumo[[#This Row],[FECHA]])&amp;"-"&amp;MONTH(Datos_Consumo[[#This Row],[FECHA]])</f>
        <v>2017-2</v>
      </c>
    </row>
    <row r="1210" spans="1:4" x14ac:dyDescent="0.25">
      <c r="A1210" t="s">
        <v>1951</v>
      </c>
      <c r="B1210">
        <v>40</v>
      </c>
      <c r="C1210" s="55">
        <v>42767</v>
      </c>
      <c r="D1210" s="3" t="str">
        <f>YEAR(Datos_Consumo[[#This Row],[FECHA]])&amp;"-"&amp;MONTH(Datos_Consumo[[#This Row],[FECHA]])</f>
        <v>2017-2</v>
      </c>
    </row>
    <row r="1211" spans="1:4" x14ac:dyDescent="0.25">
      <c r="A1211" t="s">
        <v>1952</v>
      </c>
      <c r="B1211">
        <v>5</v>
      </c>
      <c r="C1211" s="55">
        <v>42767</v>
      </c>
      <c r="D1211" s="3" t="str">
        <f>YEAR(Datos_Consumo[[#This Row],[FECHA]])&amp;"-"&amp;MONTH(Datos_Consumo[[#This Row],[FECHA]])</f>
        <v>2017-2</v>
      </c>
    </row>
    <row r="1212" spans="1:4" x14ac:dyDescent="0.25">
      <c r="A1212" t="s">
        <v>1567</v>
      </c>
      <c r="B1212">
        <v>3</v>
      </c>
      <c r="C1212" s="55">
        <v>42705</v>
      </c>
      <c r="D1212" s="3" t="str">
        <f>YEAR(Datos_Consumo[[#This Row],[FECHA]])&amp;"-"&amp;MONTH(Datos_Consumo[[#This Row],[FECHA]])</f>
        <v>2016-12</v>
      </c>
    </row>
    <row r="1213" spans="1:4" x14ac:dyDescent="0.25">
      <c r="A1213" t="s">
        <v>1953</v>
      </c>
      <c r="B1213">
        <v>1</v>
      </c>
      <c r="C1213" s="55">
        <v>42767</v>
      </c>
      <c r="D1213" s="3" t="str">
        <f>YEAR(Datos_Consumo[[#This Row],[FECHA]])&amp;"-"&amp;MONTH(Datos_Consumo[[#This Row],[FECHA]])</f>
        <v>2017-2</v>
      </c>
    </row>
    <row r="1214" spans="1:4" x14ac:dyDescent="0.25">
      <c r="A1214" t="s">
        <v>1644</v>
      </c>
      <c r="B1214">
        <v>2</v>
      </c>
      <c r="C1214" s="55">
        <v>42767</v>
      </c>
      <c r="D1214" s="3" t="str">
        <f>YEAR(Datos_Consumo[[#This Row],[FECHA]])&amp;"-"&amp;MONTH(Datos_Consumo[[#This Row],[FECHA]])</f>
        <v>2017-2</v>
      </c>
    </row>
    <row r="1215" spans="1:4" x14ac:dyDescent="0.25">
      <c r="A1215" t="s">
        <v>1644</v>
      </c>
      <c r="B1215">
        <v>2</v>
      </c>
      <c r="C1215" s="55">
        <v>42826</v>
      </c>
      <c r="D1215" s="3" t="str">
        <f>YEAR(Datos_Consumo[[#This Row],[FECHA]])&amp;"-"&amp;MONTH(Datos_Consumo[[#This Row],[FECHA]])</f>
        <v>2017-4</v>
      </c>
    </row>
    <row r="1216" spans="1:4" x14ac:dyDescent="0.25">
      <c r="A1216" t="s">
        <v>1644</v>
      </c>
      <c r="B1216">
        <v>3</v>
      </c>
      <c r="C1216" s="55">
        <v>42856</v>
      </c>
      <c r="D1216" s="3" t="str">
        <f>YEAR(Datos_Consumo[[#This Row],[FECHA]])&amp;"-"&amp;MONTH(Datos_Consumo[[#This Row],[FECHA]])</f>
        <v>2017-5</v>
      </c>
    </row>
    <row r="1217" spans="1:4" x14ac:dyDescent="0.25">
      <c r="A1217" t="s">
        <v>1954</v>
      </c>
      <c r="B1217">
        <v>2</v>
      </c>
      <c r="C1217" s="55">
        <v>42795</v>
      </c>
      <c r="D1217" s="3" t="str">
        <f>YEAR(Datos_Consumo[[#This Row],[FECHA]])&amp;"-"&amp;MONTH(Datos_Consumo[[#This Row],[FECHA]])</f>
        <v>2017-3</v>
      </c>
    </row>
    <row r="1218" spans="1:4" x14ac:dyDescent="0.25">
      <c r="A1218" t="s">
        <v>1645</v>
      </c>
      <c r="B1218">
        <v>10</v>
      </c>
      <c r="C1218" s="55">
        <v>42736</v>
      </c>
      <c r="D1218" s="3" t="str">
        <f>YEAR(Datos_Consumo[[#This Row],[FECHA]])&amp;"-"&amp;MONTH(Datos_Consumo[[#This Row],[FECHA]])</f>
        <v>2017-1</v>
      </c>
    </row>
    <row r="1219" spans="1:4" x14ac:dyDescent="0.25">
      <c r="A1219" t="s">
        <v>1645</v>
      </c>
      <c r="B1219">
        <v>2</v>
      </c>
      <c r="C1219" s="55">
        <v>42767</v>
      </c>
      <c r="D1219" s="3" t="str">
        <f>YEAR(Datos_Consumo[[#This Row],[FECHA]])&amp;"-"&amp;MONTH(Datos_Consumo[[#This Row],[FECHA]])</f>
        <v>2017-2</v>
      </c>
    </row>
    <row r="1220" spans="1:4" x14ac:dyDescent="0.25">
      <c r="A1220" t="s">
        <v>1646</v>
      </c>
      <c r="B1220">
        <v>59</v>
      </c>
      <c r="C1220" s="55">
        <v>42705</v>
      </c>
      <c r="D1220" s="3" t="str">
        <f>YEAR(Datos_Consumo[[#This Row],[FECHA]])&amp;"-"&amp;MONTH(Datos_Consumo[[#This Row],[FECHA]])</f>
        <v>2016-12</v>
      </c>
    </row>
    <row r="1221" spans="1:4" x14ac:dyDescent="0.25">
      <c r="A1221" t="s">
        <v>1646</v>
      </c>
      <c r="B1221">
        <v>26</v>
      </c>
      <c r="C1221" s="55">
        <v>42736</v>
      </c>
      <c r="D1221" s="3" t="str">
        <f>YEAR(Datos_Consumo[[#This Row],[FECHA]])&amp;"-"&amp;MONTH(Datos_Consumo[[#This Row],[FECHA]])</f>
        <v>2017-1</v>
      </c>
    </row>
    <row r="1222" spans="1:4" x14ac:dyDescent="0.25">
      <c r="A1222" t="s">
        <v>1646</v>
      </c>
      <c r="B1222">
        <v>25</v>
      </c>
      <c r="C1222" s="55">
        <v>42767</v>
      </c>
      <c r="D1222" s="3" t="str">
        <f>YEAR(Datos_Consumo[[#This Row],[FECHA]])&amp;"-"&amp;MONTH(Datos_Consumo[[#This Row],[FECHA]])</f>
        <v>2017-2</v>
      </c>
    </row>
    <row r="1223" spans="1:4" x14ac:dyDescent="0.25">
      <c r="A1223" t="s">
        <v>1646</v>
      </c>
      <c r="B1223">
        <v>25</v>
      </c>
      <c r="C1223" s="55">
        <v>42795</v>
      </c>
      <c r="D1223" s="3" t="str">
        <f>YEAR(Datos_Consumo[[#This Row],[FECHA]])&amp;"-"&amp;MONTH(Datos_Consumo[[#This Row],[FECHA]])</f>
        <v>2017-3</v>
      </c>
    </row>
    <row r="1224" spans="1:4" x14ac:dyDescent="0.25">
      <c r="A1224" t="s">
        <v>1646</v>
      </c>
      <c r="B1224">
        <v>5</v>
      </c>
      <c r="C1224" s="55">
        <v>42826</v>
      </c>
      <c r="D1224" s="3" t="str">
        <f>YEAR(Datos_Consumo[[#This Row],[FECHA]])&amp;"-"&amp;MONTH(Datos_Consumo[[#This Row],[FECHA]])</f>
        <v>2017-4</v>
      </c>
    </row>
    <row r="1225" spans="1:4" x14ac:dyDescent="0.25">
      <c r="A1225" t="s">
        <v>1647</v>
      </c>
      <c r="B1225">
        <v>83</v>
      </c>
      <c r="C1225" s="55">
        <v>42705</v>
      </c>
      <c r="D1225" s="3" t="str">
        <f>YEAR(Datos_Consumo[[#This Row],[FECHA]])&amp;"-"&amp;MONTH(Datos_Consumo[[#This Row],[FECHA]])</f>
        <v>2016-12</v>
      </c>
    </row>
    <row r="1226" spans="1:4" x14ac:dyDescent="0.25">
      <c r="A1226" t="s">
        <v>1647</v>
      </c>
      <c r="B1226">
        <v>36</v>
      </c>
      <c r="C1226" s="55">
        <v>42736</v>
      </c>
      <c r="D1226" s="3" t="str">
        <f>YEAR(Datos_Consumo[[#This Row],[FECHA]])&amp;"-"&amp;MONTH(Datos_Consumo[[#This Row],[FECHA]])</f>
        <v>2017-1</v>
      </c>
    </row>
    <row r="1227" spans="1:4" x14ac:dyDescent="0.25">
      <c r="A1227" t="s">
        <v>1647</v>
      </c>
      <c r="B1227">
        <v>33</v>
      </c>
      <c r="C1227" s="55">
        <v>42767</v>
      </c>
      <c r="D1227" s="3" t="str">
        <f>YEAR(Datos_Consumo[[#This Row],[FECHA]])&amp;"-"&amp;MONTH(Datos_Consumo[[#This Row],[FECHA]])</f>
        <v>2017-2</v>
      </c>
    </row>
    <row r="1228" spans="1:4" x14ac:dyDescent="0.25">
      <c r="A1228" t="s">
        <v>1647</v>
      </c>
      <c r="B1228">
        <v>42</v>
      </c>
      <c r="C1228" s="55">
        <v>42795</v>
      </c>
      <c r="D1228" s="3" t="str">
        <f>YEAR(Datos_Consumo[[#This Row],[FECHA]])&amp;"-"&amp;MONTH(Datos_Consumo[[#This Row],[FECHA]])</f>
        <v>2017-3</v>
      </c>
    </row>
    <row r="1229" spans="1:4" x14ac:dyDescent="0.25">
      <c r="A1229" t="s">
        <v>1647</v>
      </c>
      <c r="B1229">
        <v>34</v>
      </c>
      <c r="C1229" s="55">
        <v>42826</v>
      </c>
      <c r="D1229" s="3" t="str">
        <f>YEAR(Datos_Consumo[[#This Row],[FECHA]])&amp;"-"&amp;MONTH(Datos_Consumo[[#This Row],[FECHA]])</f>
        <v>2017-4</v>
      </c>
    </row>
    <row r="1230" spans="1:4" x14ac:dyDescent="0.25">
      <c r="A1230" t="s">
        <v>1647</v>
      </c>
      <c r="B1230">
        <v>12</v>
      </c>
      <c r="C1230" s="55">
        <v>42856</v>
      </c>
      <c r="D1230" s="3" t="str">
        <f>YEAR(Datos_Consumo[[#This Row],[FECHA]])&amp;"-"&amp;MONTH(Datos_Consumo[[#This Row],[FECHA]])</f>
        <v>2017-5</v>
      </c>
    </row>
    <row r="1231" spans="1:4" x14ac:dyDescent="0.25">
      <c r="A1231" t="s">
        <v>1955</v>
      </c>
      <c r="B1231">
        <v>10</v>
      </c>
      <c r="C1231" s="55">
        <v>42767</v>
      </c>
      <c r="D1231" s="3" t="str">
        <f>YEAR(Datos_Consumo[[#This Row],[FECHA]])&amp;"-"&amp;MONTH(Datos_Consumo[[#This Row],[FECHA]])</f>
        <v>2017-2</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31</vt:i4>
      </vt:variant>
    </vt:vector>
  </HeadingPairs>
  <TitlesOfParts>
    <vt:vector size="48" baseType="lpstr">
      <vt:lpstr>TRANSFERENCIA</vt:lpstr>
      <vt:lpstr>AUX</vt:lpstr>
      <vt:lpstr>Form</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error1</vt:lpstr>
      <vt:lpstr>error2</vt:lpstr>
      <vt:lpstr>error3</vt:lpstr>
      <vt:lpstr>ESTADO</vt:lpstr>
      <vt:lpstr>FaltaCausa</vt:lpstr>
      <vt:lpstr>FECHAARRIBO</vt:lpstr>
      <vt:lpstr>FECHACIERRE</vt:lpstr>
      <vt:lpstr>FECHANOMBRE</vt:lpstr>
      <vt:lpstr>FECHAORIGEN</vt:lpstr>
      <vt:lpstr>ImprEmpresa</vt:lpstr>
      <vt:lpstr>ImprFecha</vt:lpstr>
      <vt:lpstr>INI_PERIODO</vt:lpstr>
      <vt:lpstr>INICIO</vt:lpstr>
      <vt:lpstr>lista_errores</vt:lpstr>
      <vt:lpstr>mensaje</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lpstr>YA_EJECUTADO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2012-09-10T17:11:01Z</cp:lastPrinted>
  <dcterms:created xsi:type="dcterms:W3CDTF">2010-03-30T06:48:36Z</dcterms:created>
  <dcterms:modified xsi:type="dcterms:W3CDTF">2017-06-01T01:14:25Z</dcterms:modified>
</cp:coreProperties>
</file>