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TRANSFERENCIA!$A$8:$CB$16</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TRANSFERENCIA!$A$8:$BX$16</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8" r:id="rId22"/>
  </pivotCaches>
</workbook>
</file>

<file path=xl/calcChain.xml><?xml version="1.0" encoding="utf-8"?>
<calcChain xmlns="http://schemas.openxmlformats.org/spreadsheetml/2006/main">
  <c r="BV16" i="1" l="1"/>
  <c r="BV15" i="1"/>
  <c r="BV14" i="1"/>
  <c r="BV13" i="1"/>
  <c r="BV12" i="1"/>
  <c r="BV11" i="1"/>
  <c r="BV10" i="1"/>
  <c r="BV9" i="1"/>
  <c r="AX9" i="1" a="1"/>
  <c r="AX9" i="1" s="1"/>
  <c r="AX10" i="1" a="1"/>
  <c r="AX10" i="1" s="1"/>
  <c r="AX11" i="1" a="1"/>
  <c r="AX11" i="1" s="1"/>
  <c r="AX12" i="1" a="1"/>
  <c r="AX12" i="1" s="1"/>
  <c r="AX13" i="1" a="1"/>
  <c r="AX13" i="1" s="1"/>
  <c r="AX14" i="1" a="1"/>
  <c r="AX14" i="1" s="1"/>
  <c r="AX15" i="1" a="1"/>
  <c r="AX15" i="1" s="1"/>
  <c r="AX16" i="1" a="1"/>
  <c r="AX16" i="1" s="1"/>
  <c r="AY9" i="1" a="1"/>
  <c r="AY9" i="1" s="1"/>
  <c r="AY10" i="1" a="1"/>
  <c r="AY10" i="1" s="1"/>
  <c r="AY11" i="1" a="1"/>
  <c r="AY11" i="1" s="1"/>
  <c r="AY12" i="1" a="1"/>
  <c r="AY12" i="1" s="1"/>
  <c r="AY13" i="1" a="1"/>
  <c r="AY13" i="1" s="1"/>
  <c r="AY14" i="1" a="1"/>
  <c r="AY14" i="1" s="1"/>
  <c r="AY15" i="1" a="1"/>
  <c r="AY15" i="1" s="1"/>
  <c r="AY16" i="1" a="1"/>
  <c r="AY16" i="1" s="1"/>
  <c r="AZ9" i="1" a="1"/>
  <c r="AZ9" i="1" s="1"/>
  <c r="AZ10" i="1" a="1"/>
  <c r="AZ10" i="1" s="1"/>
  <c r="AZ11" i="1" a="1"/>
  <c r="AZ11" i="1" s="1"/>
  <c r="AZ12" i="1" a="1"/>
  <c r="AZ12" i="1" s="1"/>
  <c r="AZ13" i="1" a="1"/>
  <c r="AZ13" i="1" s="1"/>
  <c r="AZ14" i="1" a="1"/>
  <c r="AZ14" i="1" s="1"/>
  <c r="AZ15" i="1" a="1"/>
  <c r="AZ15" i="1" s="1"/>
  <c r="AZ16" i="1" a="1"/>
  <c r="AZ16" i="1" s="1"/>
  <c r="BA9" i="1" a="1"/>
  <c r="BA9" i="1" s="1"/>
  <c r="BA10" i="1" a="1"/>
  <c r="BA10" i="1" s="1"/>
  <c r="BA11" i="1" a="1"/>
  <c r="BA11" i="1" s="1"/>
  <c r="BA12" i="1" a="1"/>
  <c r="BA12" i="1" s="1"/>
  <c r="BA13" i="1" a="1"/>
  <c r="BA13" i="1" s="1"/>
  <c r="BA14" i="1" a="1"/>
  <c r="BA14" i="1" s="1"/>
  <c r="BA15" i="1" a="1"/>
  <c r="BA15" i="1" s="1"/>
  <c r="BA16" i="1" a="1"/>
  <c r="BA16" i="1" s="1"/>
  <c r="BB9" i="1" a="1"/>
  <c r="BB9" i="1" s="1"/>
  <c r="BB10" i="1" a="1"/>
  <c r="BB10" i="1" s="1"/>
  <c r="BB11" i="1" a="1"/>
  <c r="BB11" i="1" s="1"/>
  <c r="BB12" i="1" a="1"/>
  <c r="BB12" i="1" s="1"/>
  <c r="BB13" i="1" a="1"/>
  <c r="BB13" i="1" s="1"/>
  <c r="BB14" i="1" a="1"/>
  <c r="BB14" i="1" s="1"/>
  <c r="BB15" i="1" a="1"/>
  <c r="BB15" i="1" s="1"/>
  <c r="BB16" i="1" a="1"/>
  <c r="BB16" i="1" s="1"/>
  <c r="BC9" i="1" a="1"/>
  <c r="BC9" i="1" s="1"/>
  <c r="BC10" i="1" a="1"/>
  <c r="BC10" i="1" s="1"/>
  <c r="BC11" i="1" a="1"/>
  <c r="BC11" i="1" s="1"/>
  <c r="BC12" i="1" a="1"/>
  <c r="BC12" i="1" s="1"/>
  <c r="BC13" i="1" a="1"/>
  <c r="BC13" i="1" s="1"/>
  <c r="BC14" i="1" a="1"/>
  <c r="BC14" i="1" s="1"/>
  <c r="BC15" i="1" a="1"/>
  <c r="BC15" i="1" s="1"/>
  <c r="BC16" i="1" a="1"/>
  <c r="BC16" i="1" s="1"/>
  <c r="BJ9" i="1"/>
  <c r="BJ10" i="1"/>
  <c r="BJ11" i="1"/>
  <c r="BJ12" i="1"/>
  <c r="BJ13" i="1"/>
  <c r="BJ14" i="1"/>
  <c r="BJ15" i="1"/>
  <c r="BJ16" i="1"/>
  <c r="BK9" i="1"/>
  <c r="BK10" i="1"/>
  <c r="BK11" i="1"/>
  <c r="BK12" i="1"/>
  <c r="BK13" i="1"/>
  <c r="BK14" i="1"/>
  <c r="BK15" i="1"/>
  <c r="BK16" i="1"/>
  <c r="BL9" i="1"/>
  <c r="BL10" i="1"/>
  <c r="BL11" i="1"/>
  <c r="BL12" i="1"/>
  <c r="BL13" i="1"/>
  <c r="BL14" i="1"/>
  <c r="BL15" i="1"/>
  <c r="BL16" i="1"/>
  <c r="BM9" i="1"/>
  <c r="BM10" i="1"/>
  <c r="BM11" i="1"/>
  <c r="BM12" i="1"/>
  <c r="BM13" i="1"/>
  <c r="BM14" i="1"/>
  <c r="BM15" i="1"/>
  <c r="BM16" i="1"/>
  <c r="BN9" i="1"/>
  <c r="BN10" i="1"/>
  <c r="BN11" i="1"/>
  <c r="BN12" i="1"/>
  <c r="BN13" i="1"/>
  <c r="BN14" i="1"/>
  <c r="BN15" i="1"/>
  <c r="BN16" i="1"/>
  <c r="BP9" i="1"/>
  <c r="BP10" i="1"/>
  <c r="BP11" i="1"/>
  <c r="BP12" i="1"/>
  <c r="BP13" i="1"/>
  <c r="BP14" i="1"/>
  <c r="BP15" i="1"/>
  <c r="BP16" i="1"/>
  <c r="BS9" i="1"/>
  <c r="BS10" i="1"/>
  <c r="BS11" i="1"/>
  <c r="BS12" i="1"/>
  <c r="BS13" i="1"/>
  <c r="BS14" i="1"/>
  <c r="BS15" i="1"/>
  <c r="BS16" i="1"/>
  <c r="BX9" i="1" a="1"/>
  <c r="BX9" i="1" s="1"/>
  <c r="BX10" i="1" a="1"/>
  <c r="BX10" i="1" s="1"/>
  <c r="BX11" i="1" a="1"/>
  <c r="BX11" i="1" s="1"/>
  <c r="BX12" i="1" a="1"/>
  <c r="BX12" i="1" s="1"/>
  <c r="BX13" i="1" a="1"/>
  <c r="BX13" i="1" s="1"/>
  <c r="BX14" i="1" a="1"/>
  <c r="BX14" i="1" s="1"/>
  <c r="BX15" i="1" a="1"/>
  <c r="BX15" i="1" s="1"/>
  <c r="BX16" i="1" a="1"/>
  <c r="BX16" i="1" s="1"/>
  <c r="BY9" i="1"/>
  <c r="BY10" i="1"/>
  <c r="BY11" i="1"/>
  <c r="BY12" i="1"/>
  <c r="BY13" i="1"/>
  <c r="BY14" i="1"/>
  <c r="BY15" i="1"/>
  <c r="BY16" i="1"/>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I2" i="21"/>
  <c r="V2" i="21"/>
  <c r="AN2" i="21"/>
  <c r="J2" i="21"/>
  <c r="AM2" i="21"/>
  <c r="B2" i="21"/>
  <c r="P2" i="21"/>
  <c r="C2" i="21"/>
  <c r="AA2" i="21"/>
  <c r="AV2" i="21"/>
  <c r="O2" i="21"/>
  <c r="BV2" i="21"/>
  <c r="AK2" i="21"/>
  <c r="E2" i="21"/>
  <c r="D2" i="21"/>
  <c r="AU2" i="21"/>
  <c r="AE2" i="21"/>
  <c r="K2" i="21"/>
  <c r="BW2" i="21"/>
  <c r="AP2" i="21"/>
  <c r="AJ2" i="21"/>
  <c r="X2" i="21"/>
  <c r="Y2" i="21"/>
  <c r="AQ2" i="21"/>
  <c r="AH2" i="21"/>
  <c r="U2" i="21"/>
  <c r="L2" i="21"/>
  <c r="Q2" i="21"/>
  <c r="G2" i="21"/>
  <c r="AF2" i="21"/>
  <c r="AC2" i="21"/>
  <c r="Z2" i="21"/>
  <c r="AL2" i="21"/>
  <c r="AI2" i="21"/>
  <c r="N2" i="21"/>
  <c r="AD2" i="21"/>
  <c r="AB2" i="21"/>
  <c r="AT2" i="21"/>
  <c r="W2" i="21"/>
  <c r="F2" i="21"/>
  <c r="S2" i="21"/>
  <c r="R2" i="21"/>
  <c r="AW2" i="21"/>
  <c r="AO2" i="21"/>
  <c r="AR2" i="21"/>
  <c r="H2" i="21"/>
  <c r="M2" i="21"/>
  <c r="T2" i="21"/>
  <c r="AS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<sst xmlns="http://schemas.openxmlformats.org/spreadsheetml/2006/main" count="6221" uniqueCount="2178">
  <si>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</si>
  <si>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</si>
  <si>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</si>
  <si>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</si>
  <si>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</si>
  <si>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</si>
  <si>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</si>
  <si>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</si>
  <si>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</si>
  <si>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</si>
  <si>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</si>
  <si>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</si>
  <si>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</si>
  <si>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</si>
  <si>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</si>
  <si>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</si>
  <si>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</si>
  <si>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</si>
  <si>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</si>
  <si>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</si>
  <si>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</si>
  <si>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</si>
  <si>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</si>
  <si>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</si>
  <si>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</si>
  <si>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</si>
  <si>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</si>
  <si>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</si>
  <si>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</si>
  <si>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</si>
  <si>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</si>
  <si>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</si>
  <si>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</si>
  <si>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</si>
  <si>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</si>
  <si>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</si>
  <si>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</si>
  <si>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</si>
  <si>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</si>
  <si>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</si>
  <si>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</si>
  <si>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</si>
  <si>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</si>
  <si>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</si>
  <si>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</si>
  <si>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</si>
  <si>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</si>
  <si>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</si>
  <si>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</si>
  <si>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</si>
  <si>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</si>
  <si>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</si>
  <si>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</si>
  <si>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</si>
  <si>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</si>
  <si>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</si>
  <si>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</si>
  <si>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</si>
  <si>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</si>
  <si>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</si>
  <si>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</si>
  <si>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</si>
  <si>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</si>
  <si>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</si>
  <si>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</si>
  <si>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</si>
  <si>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</si>
  <si>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</si>
  <si>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</si>
  <si>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</si>
  <si>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</si>
  <si>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</si>
  <si>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</si>
  <si>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</si>
  <si>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</si>
  <si>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</si>
  <si>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</si>
  <si>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</si>
  <si>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</si>
  <si>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</si>
  <si>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</si>
  <si>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</si>
  <si>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</si>
  <si>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</si>
  <si>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</si>
  <si>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</si>
  <si>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</si>
  <si>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</si>
  <si>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</si>
  <si>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</si>
  <si>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</si>
  <si>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</si>
  <si>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</si>
  <si>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</si>
  <si>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</si>
  <si>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</si>
  <si>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</si>
  <si>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</si>
  <si>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</si>
  <si>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</si>
  <si>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</si>
  <si>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</si>
  <si>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</si>
  <si>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</si>
  <si>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</si>
  <si>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</si>
  <si>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</si>
  <si>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</si>
  <si>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</si>
  <si>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</si>
  <si>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</si>
  <si>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</si>
  <si>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</si>
  <si>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</si>
  <si>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</si>
  <si>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</si>
  <si>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</si>
  <si>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</si>
  <si>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</si>
  <si>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</si>
  <si>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</si>
  <si>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</si>
  <si>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</si>
  <si>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</si>
  <si>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</si>
  <si>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</si>
  <si>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</si>
  <si>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</si>
  <si>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</si>
  <si>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</si>
  <si>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</si>
  <si>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</si>
  <si>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</si>
  <si>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</si>
  <si>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</si>
  <si>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</si>
  <si>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</si>
  <si>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</si>
  <si>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</si>
  <si>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</si>
  <si>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</si>
  <si>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</si>
  <si>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</si>
  <si>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</si>
  <si>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</si>
  <si>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</si>
  <si>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</si>
  <si>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</si>
  <si>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</si>
  <si>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</si>
  <si>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</si>
  <si>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</si>
  <si>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</si>
  <si>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</si>
  <si>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</si>
  <si>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</si>
  <si>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</si>
  <si>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</si>
  <si>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</si>
  <si>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</si>
  <si>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</si>
  <si>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</si>
  <si>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</si>
  <si>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</si>
  <si>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</si>
  <si>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</si>
  <si>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</si>
  <si>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</si>
  <si>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</si>
  <si>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</si>
  <si>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</si>
  <si>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</si>
  <si>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</si>
  <si>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</si>
  <si>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</si>
  <si>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</si>
  <si>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</si>
  <si>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</si>
  <si>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</si>
  <si>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</si>
  <si>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</si>
  <si>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</si>
  <si>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</si>
  <si>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</si>
  <si>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</si>
  <si>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</si>
  <si>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</si>
  <si>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</si>
  <si>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</si>
  <si>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</si>
  <si>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</si>
  <si>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</si>
  <si>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</si>
  <si>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</si>
  <si>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</si>
  <si>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</si>
  <si>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</si>
  <si>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</si>
  <si>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</si>
  <si>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</si>
  <si>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</si>
  <si>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</si>
  <si>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</si>
  <si>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</si>
  <si>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</si>
  <si>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</si>
  <si>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</si>
  <si>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</si>
  <si>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</si>
  <si>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</si>
  <si>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</si>
  <si>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</si>
  <si>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</si>
  <si>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</si>
  <si>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</si>
  <si>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</si>
  <si>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</si>
  <si>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</si>
  <si>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</si>
  <si>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</si>
  <si>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</si>
  <si>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</si>
  <si>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</si>
  <si>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</si>
  <si>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</si>
  <si>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</si>
  <si>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</si>
  <si>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</si>
  <si>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</si>
  <si>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</si>
  <si>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</si>
  <si>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</si>
  <si>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</si>
  <si>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</si>
  <si>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</si>
  <si>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</si>
  <si>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</si>
  <si>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</si>
  <si>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</si>
  <si>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</si>
  <si>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</si>
  <si>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</si>
  <si>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</si>
  <si>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</si>
  <si>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</si>
  <si>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</si>
  <si>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</si>
  <si>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</si>
  <si>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</si>
  <si>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</si>
  <si>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</si>
  <si>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</si>
  <si>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</si>
  <si>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</si>
  <si>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</si>
  <si>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</si>
  <si>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</si>
  <si>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</si>
  <si>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</si>
  <si>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</si>
  <si>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</si>
  <si>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</si>
  <si>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</si>
  <si>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</si>
  <si>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</si>
  <si>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</si>
  <si>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</si>
  <si>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</si>
  <si>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</si>
  <si>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</si>
  <si>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</si>
  <si>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</si>
  <si>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</si>
  <si>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</si>
  <si>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</si>
  <si>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</si>
  <si>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</si>
  <si>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</si>
  <si>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</si>
  <si>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</si>
  <si>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</si>
  <si>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</si>
  <si>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</si>
  <si>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</si>
  <si>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</si>
  <si>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</si>
  <si>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</si>
  <si>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</si>
  <si>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</si>
  <si>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</si>
  <si>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</si>
  <si>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</si>
  <si>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</si>
  <si>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</si>
  <si>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</si>
  <si>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</si>
  <si>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</si>
  <si>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</si>
  <si>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</si>
  <si>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</si>
  <si>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</si>
  <si>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</si>
  <si>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</si>
  <si>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</si>
  <si>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</si>
  <si>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</si>
  <si>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</si>
  <si>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</si>
  <si>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</si>
  <si>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</si>
  <si>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</si>
  <si>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</si>
  <si>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</si>
  <si>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</si>
  <si>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</si>
  <si>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</si>
  <si>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</si>
  <si>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</si>
  <si>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</si>
  <si>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</si>
  <si>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</si>
  <si>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</si>
  <si>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</si>
  <si>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</si>
  <si>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</si>
  <si>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</si>
  <si>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</si>
  <si>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</si>
  <si>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</si>
  <si>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</si>
  <si>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</si>
  <si>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</si>
  <si>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</si>
  <si>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</si>
  <si>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</si>
  <si>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</si>
  <si>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</si>
  <si>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</si>
  <si>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</si>
  <si>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</si>
  <si>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</si>
  <si>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</si>
  <si>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</si>
  <si>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</si>
  <si>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</si>
  <si>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</si>
  <si>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</si>
  <si>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</si>
  <si>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</si>
  <si>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</si>
  <si>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</si>
  <si>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</si>
  <si>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</si>
  <si>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</si>
  <si>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</si>
  <si>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</si>
  <si>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</si>
  <si>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</si>
  <si>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</si>
  <si>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</si>
  <si>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</si>
  <si>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</si>
  <si>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</si>
  <si>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</si>
  <si>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</si>
  <si>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</si>
  <si>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</si>
  <si>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</si>
  <si>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</si>
  <si>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</si>
  <si>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</si>
  <si>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</si>
  <si>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</si>
  <si>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</si>
  <si>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</si>
  <si>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</si>
  <si>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</si>
  <si>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</si>
  <si>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</si>
  <si>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</si>
  <si>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</si>
  <si>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</si>
  <si>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</si>
  <si>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</si>
  <si>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</si>
  <si>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</si>
  <si>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</si>
  <si>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</si>
  <si>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</si>
  <si>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</si>
  <si>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</si>
  <si>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</si>
  <si>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</si>
  <si>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</si>
  <si>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</si>
  <si>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</si>
  <si>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</si>
  <si>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</si>
  <si>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</si>
  <si>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</si>
  <si>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</si>
  <si>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</si>
  <si>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</si>
  <si>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</si>
  <si>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</si>
  <si>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</si>
  <si>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</si>
  <si>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</si>
  <si>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</si>
  <si>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</si>
  <si>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</si>
  <si>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</si>
  <si>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</si>
  <si>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</si>
  <si>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</si>
  <si>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</si>
  <si>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</si>
  <si>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</si>
  <si>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</si>
  <si>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</si>
  <si>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</si>
  <si>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</si>
  <si>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</si>
  <si>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</si>
  <si>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</si>
  <si>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</si>
  <si>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</si>
  <si>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</si>
  <si>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</si>
  <si>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</si>
  <si>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</si>
  <si>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</si>
  <si>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</si>
  <si>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</si>
  <si>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</si>
  <si>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</si>
  <si>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</si>
  <si>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</si>
  <si>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</si>
  <si>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</si>
  <si>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</si>
  <si>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</si>
  <si>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</si>
  <si>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</si>
  <si>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</si>
  <si>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</si>
  <si>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</si>
  <si>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</si>
  <si>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</si>
  <si>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</si>
  <si>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</si>
  <si>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</si>
  <si>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</si>
  <si>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</si>
  <si>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</si>
  <si>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</si>
  <si>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</si>
  <si>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</si>
  <si>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</si>
  <si>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</si>
  <si>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</si>
  <si>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</si>
  <si>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</si>
  <si>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</si>
  <si>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</si>
  <si>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</si>
  <si>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</si>
  <si>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</si>
  <si>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</si>
  <si>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</si>
  <si>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</si>
  <si>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</si>
  <si>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</si>
  <si>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</si>
  <si>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</si>
  <si>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</si>
  <si>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</si>
  <si>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</si>
  <si>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</si>
  <si>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</si>
  <si>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</si>
  <si>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</si>
  <si>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</si>
  <si>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</si>
  <si>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</si>
  <si>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</si>
  <si>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</si>
  <si>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</si>
  <si>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</si>
  <si>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</si>
  <si>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</si>
  <si>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</si>
  <si>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</si>
  <si>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</si>
  <si>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</si>
  <si>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</si>
  <si>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</si>
  <si>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</si>
  <si>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</si>
  <si>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</si>
  <si>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</si>
  <si>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</si>
  <si>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</si>
  <si>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</si>
  <si>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</si>
  <si>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</si>
  <si>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</si>
  <si>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</si>
  <si>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</si>
  <si>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</si>
  <si>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</si>
  <si>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</si>
  <si>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</si>
  <si>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</si>
  <si>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</si>
  <si>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</si>
  <si>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</si>
  <si>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</si>
  <si>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</si>
  <si>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</si>
  <si>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</si>
  <si>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</si>
  <si>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</si>
  <si>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</si>
  <si>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</si>
  <si>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</si>
  <si>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</si>
  <si>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</si>
  <si>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</si>
  <si>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</si>
  <si>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</si>
  <si>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</si>
  <si>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</si>
  <si>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</si>
  <si>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</si>
  <si>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</si>
  <si>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</si>
  <si>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</si>
  <si>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</si>
  <si>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</si>
  <si>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</si>
  <si>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</si>
  <si>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</si>
  <si>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</si>
  <si>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</si>
  <si>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</si>
  <si>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</si>
  <si>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</si>
  <si>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</si>
  <si>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</si>
  <si>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</si>
  <si>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</si>
  <si>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</si>
  <si>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</si>
  <si>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</si>
  <si>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</si>
  <si>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</si>
  <si>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</si>
  <si>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</si>
  <si>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</si>
  <si>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</si>
  <si>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</si>
  <si>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</si>
  <si>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</si>
  <si>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</si>
  <si>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</si>
  <si>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</si>
  <si>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</si>
  <si>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</si>
  <si>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</si>
  <si>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</si>
  <si>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</si>
  <si>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</si>
  <si>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</si>
  <si>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</si>
  <si>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</si>
  <si>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</si>
  <si>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</si>
  <si>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</si>
  <si>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</si>
  <si>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</si>
  <si>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</si>
  <si>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</si>
  <si>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</si>
  <si>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</si>
  <si>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</si>
  <si>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</si>
  <si>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</si>
  <si>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</si>
  <si>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</si>
  <si>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</si>
  <si>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</si>
  <si>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</si>
  <si>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</si>
  <si>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</si>
  <si>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</si>
  <si>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</si>
  <si>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</si>
  <si>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</si>
  <si>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</si>
  <si>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</si>
  <si>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</si>
  <si>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</si>
  <si>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</si>
  <si>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</si>
  <si>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</si>
  <si>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</si>
  <si>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</si>
  <si>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</si>
  <si>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</si>
  <si>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</si>
  <si>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</si>
  <si>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</si>
  <si>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</si>
  <si>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</si>
  <si>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</si>
  <si>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</si>
  <si>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</si>
  <si>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</si>
  <si>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</si>
  <si>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</si>
  <si>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</si>
  <si>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</si>
  <si>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</si>
  <si>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</si>
  <si>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</si>
  <si>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</si>
  <si>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</si>
  <si>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</si>
  <si>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</si>
  <si>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</si>
  <si>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</si>
  <si>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</si>
  <si>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</si>
  <si>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</si>
  <si>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</si>
  <si>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</si>
  <si>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</si>
  <si>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</si>
  <si>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</si>
  <si>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</si>
  <si>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</si>
  <si>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</si>
  <si>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</si>
  <si>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</si>
  <si>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</si>
  <si>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</si>
  <si>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</si>
  <si>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</si>
  <si>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</si>
  <si>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</si>
  <si>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</si>
  <si>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</si>
  <si>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</si>
  <si>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</si>
  <si>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</si>
  <si>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</si>
  <si>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</si>
  <si>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</si>
  <si>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</si>
  <si>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</si>
  <si>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</si>
  <si>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</si>
  <si>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</si>
  <si>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</si>
  <si>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</si>
  <si>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</si>
  <si>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</si>
  <si>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</si>
  <si>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</si>
  <si>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</si>
  <si>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</si>
  <si>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</si>
  <si>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</si>
  <si>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</si>
  <si>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</si>
  <si>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</si>
  <si>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</si>
  <si>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</si>
  <si>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</si>
  <si>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</si>
  <si>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</si>
  <si>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</si>
  <si>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</si>
  <si>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</si>
  <si>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</si>
  <si>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</si>
  <si>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</si>
  <si>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</si>
  <si>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</si>
  <si>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</si>
  <si>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</si>
  <si>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</si>
  <si>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</si>
  <si>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</si>
  <si>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</si>
  <si>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</si>
  <si>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</si>
  <si>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</si>
  <si>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</si>
  <si>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</si>
  <si>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</si>
  <si>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</si>
  <si>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</si>
  <si>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</si>
  <si>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</si>
  <si>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</si>
  <si>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</si>
  <si>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</si>
  <si>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</si>
  <si>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</si>
  <si>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</si>
  <si>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</si>
  <si>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</si>
  <si>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</si>
  <si>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</si>
  <si>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</si>
  <si>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</si>
  <si>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</si>
  <si>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</si>
  <si>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</si>
  <si>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</si>
  <si>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</si>
  <si>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</si>
  <si>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</si>
  <si>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</si>
  <si>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</si>
  <si>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</si>
  <si>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</si>
  <si>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</si>
  <si>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</si>
  <si>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</si>
  <si>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</si>
  <si>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</si>
  <si>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</si>
  <si>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</si>
  <si>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</si>
  <si>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</si>
  <si>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</si>
  <si>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</si>
  <si>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</si>
  <si>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</si>
  <si>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</si>
  <si>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</si>
  <si>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</si>
  <si>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</si>
  <si>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</si>
  <si>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</si>
  <si>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</si>
  <si>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</si>
  <si>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</si>
  <si>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</si>
  <si>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</si>
  <si>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</si>
  <si>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</si>
  <si>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</si>
  <si>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</si>
  <si>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</si>
  <si>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</si>
  <si>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</si>
  <si>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</si>
  <si>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</si>
  <si>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</si>
  <si>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</si>
  <si>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</si>
  <si>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</si>
  <si>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</si>
  <si>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</si>
  <si>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</si>
  <si>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</si>
  <si>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</si>
  <si>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</si>
  <si>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</si>
  <si>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</si>
  <si>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</si>
  <si>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</si>
  <si>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</si>
  <si>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</si>
  <si>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</si>
  <si>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</si>
  <si>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</si>
  <si>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</si>
  <si>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</si>
  <si>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</si>
  <si>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</si>
  <si>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</si>
  <si>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</si>
  <si>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</si>
  <si>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</si>
  <si>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</si>
  <si>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</si>
  <si>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</si>
  <si>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</si>
  <si>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</si>
  <si>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</si>
  <si>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</si>
  <si>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</si>
  <si>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</si>
  <si>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</si>
  <si>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</si>
  <si>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</si>
  <si>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</si>
  <si>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</si>
  <si>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</si>
  <si>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</si>
  <si>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</si>
  <si>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</si>
  <si>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</si>
  <si>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</si>
  <si>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</si>
  <si>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</si>
  <si>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</si>
  <si>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</si>
  <si>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</si>
  <si>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</si>
  <si>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</si>
  <si>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</si>
  <si>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</si>
  <si>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</si>
  <si>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</si>
  <si>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</si>
  <si>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</si>
  <si>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</si>
  <si>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</si>
  <si>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</si>
  <si>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</si>
  <si>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</si>
  <si>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</si>
  <si>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</si>
  <si>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</si>
  <si>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</si>
  <si>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</si>
  <si>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</si>
  <si>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</si>
  <si>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</si>
  <si>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</si>
  <si>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</si>
  <si>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</si>
  <si>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</si>
  <si>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</si>
  <si>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</si>
  <si>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</si>
  <si>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</si>
  <si>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</si>
  <si>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</si>
  <si>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</si>
  <si>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</si>
  <si>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</si>
  <si>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</si>
  <si>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</si>
  <si>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</si>
  <si>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</si>
  <si>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</si>
  <si>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</si>
  <si>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</si>
  <si>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</si>
  <si>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</si>
  <si>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</si>
  <si>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</si>
  <si>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</si>
  <si>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</si>
  <si>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</si>
  <si>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</si>
  <si>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</si>
  <si>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</si>
  <si>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</si>
  <si>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</si>
  <si>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</si>
  <si>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</si>
  <si>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</si>
  <si>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</si>
  <si>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</si>
  <si>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</si>
  <si>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</si>
  <si>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</si>
  <si>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</si>
  <si>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</si>
  <si>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</si>
  <si>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</si>
  <si>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</si>
  <si>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</si>
  <si>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</si>
  <si>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</si>
  <si>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</si>
  <si>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</si>
  <si>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</si>
  <si>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</si>
  <si>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</si>
  <si>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</si>
  <si>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</si>
  <si>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</si>
  <si>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</si>
  <si>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</si>
  <si>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</si>
  <si>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</si>
  <si>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</si>
  <si>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</si>
  <si>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</si>
  <si>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</si>
  <si>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</si>
  <si>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</si>
  <si>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</si>
  <si>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</si>
  <si>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</si>
  <si>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</si>
  <si>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</si>
  <si>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</si>
  <si>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</si>
  <si>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</si>
  <si>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</si>
  <si>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</si>
  <si>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</si>
  <si>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</si>
  <si>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</si>
  <si>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</si>
  <si>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</si>
  <si>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</si>
  <si>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</si>
  <si>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</si>
  <si>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</si>
  <si>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</si>
  <si>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</si>
  <si>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</si>
  <si>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</si>
  <si>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</si>
  <si>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</si>
  <si>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</si>
  <si>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</si>
  <si>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</si>
  <si>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</si>
  <si>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</si>
  <si>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</si>
  <si>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</si>
  <si>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</si>
  <si>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</si>
  <si>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</si>
  <si>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</si>
  <si>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</si>
  <si>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</si>
  <si>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</si>
  <si>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</si>
  <si>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</si>
  <si>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</si>
  <si>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</si>
  <si>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</si>
  <si>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</si>
  <si>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</si>
  <si>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</si>
  <si>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</si>
  <si>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</si>
  <si>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</si>
  <si>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</si>
  <si>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</si>
  <si>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</si>
  <si>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</si>
  <si>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</si>
  <si>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</si>
  <si>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</si>
  <si>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</si>
  <si>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</si>
  <si>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</si>
  <si>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</si>
  <si>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</si>
  <si>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</si>
  <si>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</si>
  <si>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</si>
  <si>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</si>
  <si>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</si>
  <si>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</si>
  <si>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</si>
  <si>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</si>
  <si>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</si>
  <si>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</si>
  <si>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</si>
  <si>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</si>
  <si>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</si>
  <si>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</si>
  <si>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</si>
  <si>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</si>
  <si>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</si>
  <si>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</si>
  <si>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</si>
  <si>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</si>
  <si>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</si>
  <si>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</si>
  <si>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</si>
  <si>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</si>
  <si>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</si>
  <si>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</si>
  <si>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</si>
  <si>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</si>
  <si>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</si>
  <si>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</si>
  <si>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</si>
  <si>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</si>
  <si>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</si>
  <si>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</si>
  <si>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</si>
  <si>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</si>
  <si>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</si>
  <si>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</si>
  <si>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</si>
  <si>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</si>
  <si>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</si>
  <si>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</si>
  <si>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</si>
  <si>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</si>
  <si>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</si>
  <si>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</si>
  <si>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</si>
  <si>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</si>
  <si>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</si>
  <si>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</si>
  <si>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</si>
  <si>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</si>
  <si>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</si>
  <si>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</si>
  <si>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</si>
  <si>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</si>
  <si>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</si>
  <si>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</si>
  <si>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</si>
  <si>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</si>
  <si>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</si>
  <si>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</si>
  <si>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</si>
  <si>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</si>
  <si>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</si>
  <si>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</si>
  <si>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</si>
  <si>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</si>
  <si>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</si>
  <si>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</si>
  <si>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</si>
  <si>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</si>
  <si>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</si>
  <si>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</si>
  <si>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</si>
  <si>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</si>
  <si>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</si>
  <si>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</si>
  <si>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</si>
  <si>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</si>
  <si>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</si>
  <si>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</si>
  <si>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</si>
  <si>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</si>
  <si>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</si>
  <si>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</si>
  <si>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</si>
  <si>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</si>
  <si>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</si>
  <si>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</si>
  <si>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</si>
  <si>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</si>
  <si>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</si>
  <si>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</si>
  <si>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</si>
  <si>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</si>
  <si>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</si>
  <si>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</si>
  <si>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</si>
  <si>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</si>
  <si>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</si>
  <si>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</si>
  <si>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</si>
  <si>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</si>
  <si>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</si>
  <si>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</si>
  <si>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</si>
  <si>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</si>
  <si>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</si>
  <si>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</si>
  <si>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</si>
  <si>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</si>
  <si>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</si>
  <si>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</si>
  <si>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</si>
  <si>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</si>
  <si>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</si>
  <si>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</si>
  <si>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</si>
  <si>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</si>
  <si>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</si>
  <si>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</si>
  <si>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</si>
  <si>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</si>
  <si>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</si>
  <si>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</si>
  <si>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</si>
  <si>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</si>
  <si>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</si>
  <si>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</si>
  <si>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</si>
  <si>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</si>
  <si>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</si>
  <si>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</si>
  <si>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</si>
  <si>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</si>
  <si>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</si>
  <si>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</si>
  <si>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</si>
  <si>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</si>
  <si>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</si>
  <si>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</si>
  <si>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</si>
  <si>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</si>
  <si>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</si>
  <si>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</si>
  <si>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</si>
  <si>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</si>
  <si>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</si>
  <si>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</si>
  <si>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</si>
  <si>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</si>
  <si>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</si>
  <si>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</si>
  <si>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</si>
  <si>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</si>
  <si>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</si>
  <si>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</si>
  <si>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</si>
  <si>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</si>
  <si>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</si>
  <si>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</si>
  <si>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</si>
  <si>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</si>
  <si>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</si>
  <si>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</si>
  <si>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</si>
  <si>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</si>
  <si>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</si>
  <si>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</si>
  <si>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</si>
  <si>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</si>
  <si>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</si>
  <si>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</si>
  <si>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</si>
  <si>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</si>
  <si>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</si>
  <si>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</si>
  <si>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</si>
  <si>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</si>
  <si>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</si>
  <si>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</si>
  <si>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</si>
  <si>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</si>
  <si>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</si>
  <si>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</si>
  <si>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</si>
  <si>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</si>
  <si>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</si>
  <si>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</si>
  <si>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</si>
  <si>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</si>
  <si>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</si>
  <si>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</si>
  <si>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</si>
  <si>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</si>
  <si>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</si>
  <si>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</si>
  <si>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</si>
  <si>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</si>
  <si>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</si>
  <si>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</si>
  <si>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</si>
  <si>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</si>
  <si>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</si>
  <si>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</si>
  <si>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</si>
  <si>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</si>
  <si>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</si>
  <si>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</si>
  <si>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</si>
  <si>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</si>
  <si>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</si>
  <si>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</si>
  <si>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</si>
  <si>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</si>
  <si>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</si>
  <si>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</si>
  <si>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</si>
  <si>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</si>
  <si>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</si>
  <si>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</si>
  <si>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</si>
  <si>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</si>
  <si>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</si>
  <si>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</si>
  <si>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</si>
  <si>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</si>
  <si>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</si>
  <si>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</si>
  <si>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</si>
  <si>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</si>
  <si>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</si>
  <si>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</si>
  <si>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</si>
  <si>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</si>
  <si>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</si>
  <si>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</si>
  <si>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</si>
  <si>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</si>
  <si>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</si>
  <si>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</si>
  <si>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</si>
  <si>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</si>
  <si>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</si>
  <si>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</si>
  <si>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</si>
  <si>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</si>
  <si>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</si>
  <si>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</si>
  <si>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</si>
  <si>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</si>
  <si>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</si>
  <si>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</si>
  <si>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</si>
  <si>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</si>
  <si>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</si>
  <si>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</si>
  <si>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</si>
  <si>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</si>
  <si>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</si>
  <si>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</si>
  <si>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</si>
  <si>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</si>
  <si>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</si>
  <si>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</si>
  <si>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</si>
  <si>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</si>
  <si>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</si>
  <si>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</si>
  <si>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</si>
  <si>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</si>
  <si>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</si>
  <si>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</si>
  <si>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</si>
  <si>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</si>
  <si>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</si>
  <si>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</si>
  <si>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</si>
  <si>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</si>
  <si>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</si>
  <si>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</si>
  <si>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</si>
  <si>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</si>
  <si>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</si>
  <si>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</si>
  <si>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</si>
  <si>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</si>
  <si>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</si>
  <si>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</si>
  <si>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</si>
  <si>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</si>
  <si>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</si>
  <si>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</si>
  <si>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</si>
  <si>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</si>
  <si>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</si>
  <si>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</si>
  <si>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</si>
  <si>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</si>
  <si>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</si>
  <si>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</si>
  <si>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</si>
  <si>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</si>
  <si>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</si>
  <si>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</si>
  <si>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</si>
  <si>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</si>
  <si>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</si>
  <si>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</si>
  <si>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</si>
  <si>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</si>
  <si>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</si>
  <si>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</si>
  <si>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</si>
  <si>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</si>
  <si>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</si>
  <si>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</si>
  <si>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</si>
  <si>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</si>
  <si>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</si>
  <si>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</si>
  <si>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</si>
  <si>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</si>
  <si>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</si>
  <si>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</si>
  <si>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</si>
  <si>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</si>
  <si>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</si>
  <si>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</si>
  <si>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</si>
  <si>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</si>
  <si>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</si>
  <si>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</si>
  <si>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</si>
  <si>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</si>
  <si>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</si>
  <si>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</si>
  <si>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</si>
  <si>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</si>
  <si>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</si>
  <si>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</si>
  <si>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</si>
  <si>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</si>
  <si>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</si>
  <si>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</si>
  <si>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</si>
  <si>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</si>
  <si>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</si>
  <si>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</si>
  <si>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</si>
  <si>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</si>
  <si>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</si>
  <si>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</si>
  <si>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</si>
  <si>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</si>
  <si>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</si>
  <si>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</si>
  <si>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</si>
  <si>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</si>
  <si>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</si>
  <si>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</si>
  <si>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</si>
  <si>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</si>
  <si>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</si>
  <si>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</si>
  <si>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</si>
  <si>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</si>
  <si>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</si>
  <si>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</si>
  <si>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</si>
  <si>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</si>
  <si>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</si>
  <si>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</si>
  <si>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</si>
  <si>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</si>
  <si>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</si>
  <si>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</si>
  <si>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</si>
  <si>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</si>
  <si>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</si>
  <si>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</si>
  <si>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</si>
  <si>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</si>
  <si>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</si>
  <si>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</si>
  <si>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</si>
  <si>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</si>
  <si>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</si>
  <si>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</si>
  <si>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</si>
  <si>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</si>
  <si>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</si>
  <si>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</si>
  <si>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</si>
  <si>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</si>
  <si>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</si>
  <si>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</si>
  <si>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</si>
  <si>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</si>
  <si>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</si>
  <si>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</si>
  <si>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</si>
  <si>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</si>
  <si>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</si>
  <si>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</si>
  <si>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</si>
  <si>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</si>
  <si>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</si>
  <si>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</si>
  <si>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</si>
  <si>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</si>
  <si>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</si>
  <si>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</si>
  <si>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</si>
  <si>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</si>
  <si>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</si>
  <si>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</si>
  <si>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</si>
  <si>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</si>
  <si>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</si>
  <si>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</si>
  <si>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</si>
  <si>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</si>
  <si>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</si>
  <si>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</si>
  <si>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</si>
  <si>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</si>
  <si>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</si>
  <si>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</si>
  <si>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</si>
  <si>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</si>
  <si>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</si>
  <si>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</si>
  <si>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</si>
  <si>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</si>
  <si>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</si>
  <si>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</si>
  <si>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</si>
  <si>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</si>
  <si>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</si>
  <si>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</si>
  <si>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</si>
  <si>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</si>
  <si>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</si>
  <si>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</si>
  <si>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</si>
  <si>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</si>
  <si>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</si>
  <si>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</si>
  <si>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</si>
  <si>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</si>
  <si>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</si>
  <si>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</si>
  <si>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</si>
  <si>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</si>
  <si>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</si>
  <si>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</si>
  <si>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</si>
  <si>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</si>
  <si>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</si>
  <si>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</si>
  <si>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</si>
  <si>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</si>
  <si>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</si>
  <si>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</si>
  <si>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</si>
  <si>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</si>
  <si>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</si>
  <si>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</si>
  <si>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</si>
  <si>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</si>
  <si>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</si>
  <si>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</si>
  <si>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</si>
  <si>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</si>
  <si>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</si>
  <si>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</si>
  <si>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</si>
  <si>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</si>
  <si>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</si>
  <si>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</si>
  <si>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</si>
  <si>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</si>
  <si>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</si>
  <si>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</si>
  <si>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</si>
  <si>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</si>
  <si>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</si>
  <si>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</si>
  <si>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</si>
  <si>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</si>
  <si>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</si>
  <si>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</si>
  <si>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</si>
  <si>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</si>
  <si>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</si>
  <si>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</si>
  <si>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</si>
  <si>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</si>
  <si>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</si>
  <si>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</si>
  <si>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</si>
  <si>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</si>
  <si>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</si>
  <si>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</si>
  <si>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</si>
  <si>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</si>
  <si>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</si>
  <si>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</si>
  <si>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</si>
  <si>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</si>
  <si>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</si>
  <si>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</si>
  <si>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</si>
  <si>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</si>
  <si>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</si>
  <si>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</si>
  <si>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</si>
  <si>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</si>
  <si>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</si>
  <si>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</si>
  <si>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</si>
  <si>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</si>
  <si>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</si>
  <si>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</si>
  <si>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</si>
  <si>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</si>
  <si>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</si>
  <si>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</si>
  <si>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</si>
  <si>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</si>
  <si>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</si>
  <si>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</si>
  <si>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</si>
  <si>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</si>
  <si>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</si>
  <si>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</si>
  <si>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</si>
  <si>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</si>
  <si>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</si>
  <si>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</si>
  <si>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</si>
  <si>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</si>
  <si>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</si>
  <si>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</si>
  <si>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</si>
  <si>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</si>
  <si>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</si>
  <si>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</si>
  <si>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</si>
  <si>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</si>
  <si>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</si>
  <si>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</si>
  <si>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</si>
  <si>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</si>
  <si>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</si>
  <si>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</si>
  <si>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</si>
  <si>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</si>
  <si>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</si>
  <si>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</si>
  <si>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</si>
  <si>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</si>
  <si>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</si>
  <si>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</si>
  <si>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</si>
  <si>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</si>
  <si>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</si>
  <si>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</si>
  <si>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</si>
  <si>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</si>
  <si>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</si>
  <si>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</si>
  <si>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</si>
  <si>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</si>
  <si>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</si>
  <si>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</si>
  <si>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</si>
  <si>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</si>
  <si>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</si>
  <si>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</si>
  <si>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</si>
  <si>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</si>
  <si>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</si>
  <si>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</si>
  <si>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</si>
  <si>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</si>
  <si>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</si>
  <si>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</si>
  <si>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</si>
  <si>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</si>
  <si>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</si>
  <si>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</si>
  <si>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</si>
  <si>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</si>
  <si>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</si>
  <si>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</si>
  <si>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</si>
  <si>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</si>
  <si>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</si>
  <si>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</si>
  <si>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</si>
  <si>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</si>
  <si>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</si>
  <si>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</si>
  <si>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</si>
  <si>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</si>
  <si>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</si>
  <si>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</si>
  <si>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</si>
  <si>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</si>
  <si>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</si>
  <si>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</si>
  <si>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</si>
  <si>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</si>
  <si>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</si>
  <si>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</si>
  <si>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</si>
  <si>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</si>
  <si>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</si>
  <si>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</si>
  <si>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</si>
  <si>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</si>
  <si>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</si>
  <si>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</si>
  <si>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</si>
  <si>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</si>
  <si>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</si>
  <si>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</si>
  <si>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</si>
  <si>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</si>
  <si>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</si>
  <si>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</si>
  <si>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</si>
  <si>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</si>
  <si>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</si>
  <si>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</si>
  <si>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</si>
  <si>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</si>
  <si>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</si>
  <si>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</si>
  <si>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</si>
  <si>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</si>
  <si>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</si>
  <si>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</si>
  <si>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</si>
  <si>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</si>
  <si>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</si>
  <si>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</si>
  <si>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</si>
  <si>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</si>
  <si>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</si>
  <si>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</si>
  <si>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</si>
  <si>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</si>
  <si>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</si>
  <si>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</si>
  <si>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</si>
  <si>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</si>
  <si>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</si>
  <si>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</si>
  <si>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</si>
  <si>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</si>
  <si>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</si>
  <si>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</si>
  <si>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</si>
  <si>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</si>
  <si>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</si>
  <si>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</si>
  <si>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</si>
  <si>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</si>
  <si>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</si>
  <si>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</si>
  <si>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</si>
  <si>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</si>
  <si>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</si>
  <si>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</si>
  <si>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</si>
  <si>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</si>
  <si>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</si>
  <si>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</si>
  <si>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</si>
  <si>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</si>
  <si>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</si>
  <si>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</si>
  <si>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</si>
  <si>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</si>
  <si>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</si>
  <si>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</si>
  <si>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</si>
  <si>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</si>
  <si>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</si>
  <si>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</si>
  <si>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</si>
  <si>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</si>
  <si>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</si>
  <si>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</si>
  <si>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</si>
  <si>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</si>
  <si>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</si>
  <si>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</si>
  <si>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</si>
  <si>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</si>
  <si>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</si>
  <si>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</si>
  <si>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</si>
  <si>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</si>
  <si>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</si>
  <si>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</si>
  <si>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</si>
  <si>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</si>
  <si>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</si>
  <si>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</si>
  <si>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</si>
  <si>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</si>
  <si>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</si>
  <si>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</si>
  <si>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</si>
  <si>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</si>
  <si>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</si>
  <si>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</si>
  <si>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</si>
  <si>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</si>
  <si>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</si>
  <si>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</si>
  <si>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</si>
  <si>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</si>
  <si>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</si>
  <si>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</si>
  <si>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</si>
  <si>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</si>
  <si>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</si>
  <si>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</si>
  <si>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</si>
  <si>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</si>
  <si>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</si>
  <si>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</si>
  <si>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</si>
  <si>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</si>
  <si>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</si>
  <si>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</si>
  <si>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</si>
  <si>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</si>
  <si>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</si>
  <si>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</si>
  <si>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</si>
  <si>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</si>
  <si>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</si>
  <si>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</si>
  <si>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</si>
  <si>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</si>
  <si>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</si>
  <si>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</si>
  <si>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</si>
  <si>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</si>
  <si>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</si>
  <si>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</si>
  <si>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</si>
  <si>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</si>
  <si>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</si>
  <si>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</si>
  <si>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</si>
  <si>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</si>
  <si>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</si>
  <si>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</si>
  <si>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</si>
  <si>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</si>
  <si>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</si>
  <si>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</si>
  <si>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</si>
  <si>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</si>
  <si>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</si>
  <si>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</si>
  <si>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</si>
  <si>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</si>
  <si>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</si>
  <si>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</si>
  <si>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</si>
  <si>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</si>
  <si>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</si>
  <si>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</si>
  <si>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</si>
  <si>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</si>
  <si>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</si>
  <si>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</si>
  <si>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</si>
  <si>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</si>
  <si>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</si>
  <si>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</si>
  <si>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</si>
  <si>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</si>
  <si>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</si>
  <si>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</si>
  <si>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</si>
  <si>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</si>
  <si>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</si>
  <si>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</si>
  <si>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</si>
  <si>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</si>
  <si>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</si>
  <si>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</si>
  <si>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</si>
  <si>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</si>
  <si>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</si>
  <si>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</si>
  <si>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</si>
  <si>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</si>
  <si>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</si>
  <si>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</si>
  <si>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</si>
  <si>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</si>
  <si>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</si>
  <si>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</si>
  <si>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</si>
  <si>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</si>
  <si>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</si>
  <si>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</si>
  <si>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</si>
  <si>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</si>
  <si>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</si>
  <si>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</si>
  <si>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</si>
  <si>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</si>
  <si>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</si>
  <si>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</si>
  <si>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</si>
  <si>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</si>
  <si>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</si>
  <si>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</si>
  <si>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</si>
  <si>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</si>
  <si>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</si>
  <si>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</si>
  <si>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</si>
  <si>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</si>
  <si>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</si>
  <si>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</si>
  <si>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</si>
  <si>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</si>
  <si>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</si>
  <si>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</si>
  <si>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</si>
  <si>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</si>
  <si>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</si>
  <si>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</si>
  <si>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</si>
  <si>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</si>
  <si>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</si>
  <si>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</si>
  <si>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</si>
  <si>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</si>
  <si>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</si>
  <si>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</si>
  <si>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</si>
  <si>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</si>
  <si>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</si>
  <si>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</si>
  <si>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</si>
  <si>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</si>
  <si>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</si>
  <si>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</si>
  <si>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</si>
  <si>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</si>
  <si>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</si>
  <si>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</si>
  <si>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</si>
  <si>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</si>
  <si>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</si>
  <si>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</si>
  <si>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</si>
  <si>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</si>
  <si>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</si>
  <si>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</si>
  <si>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</si>
  <si>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</si>
  <si>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</si>
  <si>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</si>
  <si>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</si>
  <si>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</si>
  <si>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</si>
  <si>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</si>
  <si>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</si>
  <si>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</si>
  <si>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</si>
  <si>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</si>
  <si>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</si>
  <si>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</si>
  <si>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</si>
  <si>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</si>
  <si>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</si>
  <si>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</si>
  <si>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</si>
  <si>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</si>
  <si>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</si>
  <si>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</si>
  <si>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</si>
  <si>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</si>
  <si>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</si>
  <si>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</si>
  <si>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</si>
  <si>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</si>
  <si>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</si>
  <si>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</si>
  <si>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</si>
  <si>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</si>
  <si>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</si>
  <si>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</si>
  <si>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</si>
  <si>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</si>
  <si>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</si>
  <si>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</si>
  <si>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</si>
  <si>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</si>
  <si>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</si>
  <si>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</si>
  <si>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</si>
  <si>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</si>
  <si>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</si>
  <si>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</si>
  <si>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</si>
  <si>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</si>
  <si>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</si>
  <si>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</si>
  <si>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</si>
  <si>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</si>
  <si>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</si>
  <si>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</si>
  <si>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</si>
  <si>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</si>
  <si>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</si>
  <si>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</si>
  <si>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</si>
  <si>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</si>
  <si>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</si>
  <si>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</si>
  <si>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</si>
  <si>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</si>
  <si>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</si>
  <si>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</si>
  <si>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</si>
  <si>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</si>
  <si>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</si>
  <si>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</si>
  <si>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</si>
  <si>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</si>
  <si>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</si>
  <si>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</si>
  <si>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</si>
  <si>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</si>
  <si>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</si>
  <si>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</si>
  <si>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</si>
  <si>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</si>
  <si>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</si>
  <si>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</si>
  <si>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</si>
  <si>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</si>
  <si>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</si>
  <si>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</si>
  <si>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</si>
  <si>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</si>
  <si>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</si>
  <si>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</si>
  <si>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</si>
  <si>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</si>
  <si>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</si>
  <si>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</si>
  <si>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</si>
  <si>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</si>
  <si>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</si>
  <si>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</si>
  <si>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</si>
  <si>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</si>
  <si>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</si>
  <si>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</si>
  <si>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</si>
  <si>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</si>
  <si>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</si>
  <si>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</si>
  <si>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</si>
  <si>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</si>
  <si>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</si>
  <si>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</si>
  <si>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</si>
  <si>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</si>
  <si>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</si>
  <si>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</si>
  <si>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</si>
  <si>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</si>
  <si>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</si>
  <si>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</si>
  <si>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</si>
  <si>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</si>
  <si>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</si>
  <si>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</si>
  <si>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</si>
  <si>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</si>
  <si>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</si>
  <si>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</si>
  <si>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</si>
  <si>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</si>
  <si>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</si>
  <si>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</si>
  <si>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</si>
  <si>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</si>
  <si>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</si>
  <si>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</si>
  <si>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</si>
  <si>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</si>
  <si>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</si>
  <si>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</si>
  <si>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</si>
  <si>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</si>
  <si>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</si>
  <si>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</si>
  <si>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</si>
  <si>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</si>
  <si>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</si>
  <si>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</si>
  <si>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</si>
  <si>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</si>
  <si>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</si>
  <si>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</si>
  <si>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</si>
  <si>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</si>
  <si>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</si>
  <si>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</si>
  <si>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</si>
  <si>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</si>
  <si>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</si>
  <si>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</si>
  <si>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</si>
  <si>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</si>
  <si>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</si>
  <si>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</si>
  <si>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</si>
  <si>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</si>
  <si>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</si>
  <si>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</si>
  <si>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</si>
  <si>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</si>
  <si>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</si>
  <si>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</si>
  <si>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</si>
  <si>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</si>
  <si>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</si>
  <si>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</si>
  <si>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</si>
  <si>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</si>
  <si>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</si>
  <si>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</si>
  <si>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</si>
  <si>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</si>
  <si>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</si>
  <si>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</si>
  <si>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</si>
  <si>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</si>
  <si>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</si>
  <si>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</si>
  <si>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</si>
  <si>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</si>
  <si>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</si>
  <si>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</si>
  <si>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</si>
  <si>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</si>
  <si>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</si>
  <si>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</si>
  <si>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</si>
  <si>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</si>
  <si>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</si>
  <si>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</si>
  <si>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</si>
  <si>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</si>
  <si>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</si>
  <si>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</si>
  <si>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</si>
  <si>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</si>
  <si>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</si>
  <si>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</si>
  <si>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</si>
  <si>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</si>
  <si>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</si>
  <si>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</si>
  <si>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</si>
  <si>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</si>
  <si>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</si>
  <si>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</si>
  <si>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</si>
  <si>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</si>
  <si>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</si>
  <si>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</si>
  <si>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</si>
  <si>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</si>
  <si>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</si>
  <si>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</si>
  <si>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</si>
  <si>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</si>
  <si>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</si>
  <si>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</si>
  <si>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</si>
  <si>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</si>
  <si>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</si>
  <si>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</si>
  <si>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</si>
  <si>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</si>
  <si>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</si>
  <si>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</si>
  <si>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</si>
  <si>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</si>
  <si>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</si>
  <si>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</si>
  <si>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</si>
  <si>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</si>
  <si>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</si>
  <si>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</si>
  <si>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</si>
  <si>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</si>
  <si>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</si>
  <si>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</si>
  <si>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</si>
  <si>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</si>
  <si>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</si>
  <si>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</si>
  <si>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</si>
  <si>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</si>
  <si>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</si>
  <si>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</si>
  <si>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</si>
  <si>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</si>
  <si>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</si>
  <si>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</si>
  <si>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</si>
  <si>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</si>
  <si>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</si>
  <si>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</si>
  <si>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</si>
  <si>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</si>
  <si>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</si>
  <si>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</si>
  <si>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</si>
  <si>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</si>
  <si>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</si>
  <si>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</si>
  <si>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</si>
  <si>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</si>
  <si>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</si>
  <si>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</si>
  <si>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</si>
  <si>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</si>
  <si>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</si>
  <si>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</si>
  <si>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</si>
  <si>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</si>
  <si>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</si>
  <si>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</si>
  <si>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</si>
  <si>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</si>
  <si>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</si>
  <si>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</si>
  <si>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</si>
  <si>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</si>
  <si>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</si>
  <si>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</si>
  <si>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</si>
  <si>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</si>
  <si>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</si>
  <si>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</si>
  <si>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</si>
  <si>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</si>
  <si>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</si>
  <si>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</si>
  <si>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</si>
  <si>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</si>
  <si>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</si>
  <si>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</si>
  <si>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</si>
  <si>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</si>
  <si>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</si>
  <si>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</si>
  <si>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</si>
  <si>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</si>
  <si>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</si>
  <si>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</si>
  <si>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</si>
  <si>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</si>
  <si>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</si>
  <si>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</si>
  <si>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</si>
  <si>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</si>
  <si>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</si>
  <si>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</si>
  <si>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</si>
  <si>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</si>
  <si>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</si>
  <si>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</si>
  <si>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</si>
  <si>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</si>
  <si>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</si>
  <si>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</si>
  <si>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</si>
  <si>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</si>
  <si>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</si>
  <si>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</si>
  <si>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</si>
  <si>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</si>
  <si>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</si>
  <si>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</si>
  <si>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</si>
  <si>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</si>
  <si>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</si>
  <si>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</si>
  <si>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</si>
  <si>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</si>
  <si>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HALYARD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</si>
</sst>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8"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6" totalsRowShown="0" headerRowDxfId="212">
  <autoFilter ref="A8:CB16"/>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6-12" dataDxfId="162">
      <calculatedColumnFormula array="1">IFERROR(INDEX(Datos_Consumo[CANTIDAD],MATCH(TABLATRANSFERENCIA[[#This Row],[CODIGO]]&amp;TABLATRANSFERENCIA[[#Headers],[2016-12]],Datos_Consumo[CODIGO]&amp;Datos_Consumo[FECHA_FORMATO],0)),0)</calculatedColumnFormula>
    </tableColumn>
    <tableColumn id="63" name="2017-1" dataDxfId="161">
      <calculatedColumnFormula array="1">IFERROR(INDEX(Datos_Consumo[CANTIDAD],MATCH(TABLATRANSFERENCIA[[#This Row],[CODIGO]]&amp;TABLATRANSFERENCIA[[#Headers],[2017-1]],Datos_Consumo[CODIGO]&amp;Datos_Consumo[FECHA_FORMATO],0)),0)</calculatedColumnFormula>
    </tableColumn>
    <tableColumn id="62" name="2017-2" dataDxfId="160">
      <calculatedColumnFormula array="1">IFERROR(INDEX(Datos_Consumo[CANTIDAD],MATCH(TABLATRANSFERENCIA[[#This Row],[CODIGO]]&amp;TABLATRANSFERENCIA[[#Headers],[2017-2]],Datos_Consumo[CODIGO]&amp;Datos_Consumo[FECHA_FORMATO],0)),0)</calculatedColumnFormula>
    </tableColumn>
    <tableColumn id="61" name="2017-3" dataDxfId="159">
      <calculatedColumnFormula array="1">IFERROR(INDEX(Datos_Consumo[CANTIDAD],MATCH(TABLATRANSFERENCIA[[#This Row],[CODIGO]]&amp;TABLATRANSFERENCIA[[#Headers],[2017-3]],Datos_Consumo[CODIGO]&amp;Datos_Consumo[FECHA_FORMATO],0)),0)</calculatedColumnFormula>
    </tableColumn>
    <tableColumn id="60" name="2017-4" dataDxfId="158">
      <calculatedColumnFormula array="1">IFERROR(INDEX(Datos_Consumo[CANTIDAD],MATCH(TABLATRANSFERENCIA[[#This Row],[CODIGO]]&amp;TABLATRANSFERENCIA[[#Headers],[2017-4]],Datos_Consumo[CODIGO]&amp;Datos_Consumo[FECHA_FORMATO],0)),0)</calculatedColumnFormula>
    </tableColumn>
    <tableColumn id="59" name="2017-5" dataDxfId="157">
      <calculatedColumnFormula array="1">IFERROR(INDEX(Datos_Consumo[CANTIDAD],MATCH(TABLATRANSFERENCIA[[#This Row],[CODIGO]]&amp;TABLATRANSFERENCIA[[#Headers],[2017-5]],Datos_Consumo[CODIGO]&amp;Datos_Consumo[FECHA_FORMATO],0)),0)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7">
  <autoFilter ref="A5:D6"/>
  <tableColumns count="4">
    <tableColumn id="1" name="CÓDIGO"/>
    <tableColumn id="2" name="DESCRIPCIÓN"/>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6"/>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33</v>
      </c>
      <c r="C2" s="19" t="s">
        <v>0</v>
      </c>
      <c r="D2" s="20">
        <v>42873</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2177</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8-8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1680</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6"/>
      <c r="AW9" s="66"/>
      <c r="AX9" s="6">
        <f t="array" ref="AX9">IFERROR(INDEX(Datos_Consumo[CANTIDAD],MATCH(TABLATRANSFERENCIA[[#This Row],[CODIGO]]&amp;TABLATRANSFERENCIA[[#Headers],[2016-12]],Datos_Consumo[CODIGO]&amp;Datos_Consumo[FECHA_FORMATO],0)),0)</f>
        <v>0</v>
      </c>
      <c r="AY9" s="6">
        <f t="array" ref="AY9">IFERROR(INDEX(Datos_Consumo[CANTIDAD],MATCH(TABLATRANSFERENCIA[[#This Row],[CODIGO]]&amp;TABLATRANSFERENCIA[[#Headers],[2017-1]],Datos_Consumo[CODIGO]&amp;Datos_Consumo[FECHA_FORMATO],0)),0)</f>
        <v>0</v>
      </c>
      <c r="AZ9" s="6">
        <f t="array" ref="AZ9">IFERROR(INDEX(Datos_Consumo[CANTIDAD],MATCH(TABLATRANSFERENCIA[[#This Row],[CODIGO]]&amp;TABLATRANSFERENCIA[[#Headers],[2017-2]],Datos_Consumo[CODIGO]&amp;Datos_Consumo[FECHA_FORMATO],0)),0)</f>
        <v>0</v>
      </c>
      <c r="BA9" s="6">
        <f t="array" ref="BA9">IFERROR(INDEX(Datos_Consumo[CANTIDAD],MATCH(TABLATRANSFERENCIA[[#This Row],[CODIGO]]&amp;TABLATRANSFERENCIA[[#Headers],[2017-3]],Datos_Consumo[CODIGO]&amp;Datos_Consumo[FECHA_FORMATO],0)),0)</f>
        <v>300</v>
      </c>
      <c r="BB9" s="6">
        <f t="array" ref="BB9">IFERROR(INDEX(Datos_Consumo[CANTIDAD],MATCH(TABLATRANSFERENCIA[[#This Row],[CODIGO]]&amp;TABLATRANSFERENCIA[[#Headers],[2017-4]],Datos_Consumo[CODIGO]&amp;Datos_Consumo[FECHA_FORMATO],0)),0)</f>
        <v>750</v>
      </c>
      <c r="BC9" s="6">
        <f t="array" ref="BC9">IFERROR(INDEX(Datos_Consumo[CANTIDAD],MATCH(TABLATRANSFERENCIA[[#This Row],[CODIGO]]&amp;TABLATRANSFERENCIA[[#Headers],[2017-5]],Datos_Consumo[CODIGO]&amp;Datos_Consumo[FECHA_FORMATO],0)),0)</f>
        <v>3500</v>
      </c>
      <c r="BD9" s="49">
        <v>3500</v>
      </c>
      <c r="BE9" s="54">
        <v>3500</v>
      </c>
      <c r="BF9" s="63">
        <v>42873</v>
      </c>
      <c r="BG9" s="61">
        <v>42901</v>
      </c>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3500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3500</v>
      </c>
      <c r="BT9" s="49"/>
      <c r="BU9" s="49"/>
      <c r="BV9" s="49" t="str">
        <f>"N"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1683</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6"/>
      <c r="AW10" s="66"/>
      <c r="AX10" s="6">
        <f t="array" ref="AX10">IFERROR(INDEX(Datos_Consumo[CANTIDAD],MATCH(TABLATRANSFERENCIA[[#This Row],[CODIGO]]&amp;TABLATRANSFERENCIA[[#Headers],[2016-12]],Datos_Consumo[CODIGO]&amp;Datos_Consumo[FECHA_FORMATO],0)),0)</f>
        <v>0</v>
      </c>
      <c r="AY10" s="6">
        <f t="array" ref="AY10">IFERROR(INDEX(Datos_Consumo[CANTIDAD],MATCH(TABLATRANSFERENCIA[[#This Row],[CODIGO]]&amp;TABLATRANSFERENCIA[[#Headers],[2017-1]],Datos_Consumo[CODIGO]&amp;Datos_Consumo[FECHA_FORMATO],0)),0)</f>
        <v>0</v>
      </c>
      <c r="AZ10" s="6">
        <f t="array" ref="AZ10">IFERROR(INDEX(Datos_Consumo[CANTIDAD],MATCH(TABLATRANSFERENCIA[[#This Row],[CODIGO]]&amp;TABLATRANSFERENCIA[[#Headers],[2017-2]],Datos_Consumo[CODIGO]&amp;Datos_Consumo[FECHA_FORMATO],0)),0)</f>
        <v>0</v>
      </c>
      <c r="BA10" s="6">
        <f t="array" ref="BA10">IFERROR(INDEX(Datos_Consumo[CANTIDAD],MATCH(TABLATRANSFERENCIA[[#This Row],[CODIGO]]&amp;TABLATRANSFERENCIA[[#Headers],[2017-3]],Datos_Consumo[CODIGO]&amp;Datos_Consumo[FECHA_FORMATO],0)),0)</f>
        <v>3</v>
      </c>
      <c r="BB10" s="6">
        <f t="array" ref="BB10">IFERROR(INDEX(Datos_Consumo[CANTIDAD],MATCH(TABLATRANSFERENCIA[[#This Row],[CODIGO]]&amp;TABLATRANSFERENCIA[[#Headers],[2017-4]],Datos_Consumo[CODIGO]&amp;Datos_Consumo[FECHA_FORMATO],0)),0)</f>
        <v>0</v>
      </c>
      <c r="BC10" s="6">
        <f t="array" ref="BC10">IFERROR(INDEX(Datos_Consumo[CANTIDAD],MATCH(TABLATRANSFERENCIA[[#This Row],[CODIGO]]&amp;TABLATRANSFERENCIA[[#Headers],[2017-5]],Datos_Consumo[CODIGO]&amp;Datos_Consumo[FECHA_FORMATO],0)),0)</f>
        <v>0</v>
      </c>
      <c r="BD10" s="49">
        <v>6</v>
      </c>
      <c r="BE10" s="54">
        <v>6</v>
      </c>
      <c r="BF10" s="63">
        <v>42873</v>
      </c>
      <c r="BG10" s="61">
        <v>42901</v>
      </c>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6</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6</v>
      </c>
      <c r="BT10" s="49"/>
      <c r="BU10" s="49"/>
      <c r="BV10" s="49" t="str">
        <f t="shared" ref="BV10:BV16" si="0">"N"</f>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1634</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6"/>
      <c r="AW11" s="66"/>
      <c r="AX11" s="6">
        <f t="array" ref="AX11">IFERROR(INDEX(Datos_Consumo[CANTIDAD],MATCH(TABLATRANSFERENCIA[[#This Row],[CODIGO]]&amp;TABLATRANSFERENCIA[[#Headers],[2016-12]],Datos_Consumo[CODIGO]&amp;Datos_Consumo[FECHA_FORMATO],0)),0)</f>
        <v>7</v>
      </c>
      <c r="AY11" s="6">
        <f t="array" ref="AY11">IFERROR(INDEX(Datos_Consumo[CANTIDAD],MATCH(TABLATRANSFERENCIA[[#This Row],[CODIGO]]&amp;TABLATRANSFERENCIA[[#Headers],[2017-1]],Datos_Consumo[CODIGO]&amp;Datos_Consumo[FECHA_FORMATO],0)),0)</f>
        <v>9</v>
      </c>
      <c r="AZ11" s="6">
        <f t="array" ref="AZ11">IFERROR(INDEX(Datos_Consumo[CANTIDAD],MATCH(TABLATRANSFERENCIA[[#This Row],[CODIGO]]&amp;TABLATRANSFERENCIA[[#Headers],[2017-2]],Datos_Consumo[CODIGO]&amp;Datos_Consumo[FECHA_FORMATO],0)),0)</f>
        <v>7</v>
      </c>
      <c r="BA11" s="6">
        <f t="array" ref="BA11">IFERROR(INDEX(Datos_Consumo[CANTIDAD],MATCH(TABLATRANSFERENCIA[[#This Row],[CODIGO]]&amp;TABLATRANSFERENCIA[[#Headers],[2017-3]],Datos_Consumo[CODIGO]&amp;Datos_Consumo[FECHA_FORMATO],0)),0)</f>
        <v>10</v>
      </c>
      <c r="BB11" s="6">
        <f t="array" ref="BB11">IFERROR(INDEX(Datos_Consumo[CANTIDAD],MATCH(TABLATRANSFERENCIA[[#This Row],[CODIGO]]&amp;TABLATRANSFERENCIA[[#Headers],[2017-4]],Datos_Consumo[CODIGO]&amp;Datos_Consumo[FECHA_FORMATO],0)),0)</f>
        <v>10</v>
      </c>
      <c r="BC11" s="6">
        <f t="array" ref="BC11">IFERROR(INDEX(Datos_Consumo[CANTIDAD],MATCH(TABLATRANSFERENCIA[[#This Row],[CODIGO]]&amp;TABLATRANSFERENCIA[[#Headers],[2017-5]],Datos_Consumo[CODIGO]&amp;Datos_Consumo[FECHA_FORMATO],0)),0)</f>
        <v>10</v>
      </c>
      <c r="BD11" s="49">
        <v>10</v>
      </c>
      <c r="BE11" s="54">
        <v>10</v>
      </c>
      <c r="BF11" s="63">
        <v>42873</v>
      </c>
      <c r="BG11" s="61">
        <v>42901</v>
      </c>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10</v>
      </c>
      <c r="BT11" s="49"/>
      <c r="BU11" s="49"/>
      <c r="BV11" s="49" t="str">
        <f t="shared" si="0"/>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1684</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6"/>
      <c r="AW12" s="66"/>
      <c r="AX12" s="6">
        <f t="array" ref="AX12">IFERROR(INDEX(Datos_Consumo[CANTIDAD],MATCH(TABLATRANSFERENCIA[[#This Row],[CODIGO]]&amp;TABLATRANSFERENCIA[[#Headers],[2016-12]],Datos_Consumo[CODIGO]&amp;Datos_Consumo[FECHA_FORMATO],0)),0)</f>
        <v>0</v>
      </c>
      <c r="AY12" s="6">
        <f t="array" ref="AY12">IFERROR(INDEX(Datos_Consumo[CANTIDAD],MATCH(TABLATRANSFERENCIA[[#This Row],[CODIGO]]&amp;TABLATRANSFERENCIA[[#Headers],[2017-1]],Datos_Consumo[CODIGO]&amp;Datos_Consumo[FECHA_FORMATO],0)),0)</f>
        <v>0</v>
      </c>
      <c r="AZ12" s="6">
        <f t="array" ref="AZ12">IFERROR(INDEX(Datos_Consumo[CANTIDAD],MATCH(TABLATRANSFERENCIA[[#This Row],[CODIGO]]&amp;TABLATRANSFERENCIA[[#Headers],[2017-2]],Datos_Consumo[CODIGO]&amp;Datos_Consumo[FECHA_FORMATO],0)),0)</f>
        <v>0</v>
      </c>
      <c r="BA12" s="6">
        <f t="array" ref="BA12">IFERROR(INDEX(Datos_Consumo[CANTIDAD],MATCH(TABLATRANSFERENCIA[[#This Row],[CODIGO]]&amp;TABLATRANSFERENCIA[[#Headers],[2017-3]],Datos_Consumo[CODIGO]&amp;Datos_Consumo[FECHA_FORMATO],0)),0)</f>
        <v>15</v>
      </c>
      <c r="BB12" s="6">
        <f t="array" ref="BB12">IFERROR(INDEX(Datos_Consumo[CANTIDAD],MATCH(TABLATRANSFERENCIA[[#This Row],[CODIGO]]&amp;TABLATRANSFERENCIA[[#Headers],[2017-4]],Datos_Consumo[CODIGO]&amp;Datos_Consumo[FECHA_FORMATO],0)),0)</f>
        <v>24</v>
      </c>
      <c r="BC12" s="6">
        <f t="array" ref="BC12">IFERROR(INDEX(Datos_Consumo[CANTIDAD],MATCH(TABLATRANSFERENCIA[[#This Row],[CODIGO]]&amp;TABLATRANSFERENCIA[[#Headers],[2017-5]],Datos_Consumo[CODIGO]&amp;Datos_Consumo[FECHA_FORMATO],0)),0)</f>
        <v>7</v>
      </c>
      <c r="BD12" s="49">
        <v>5</v>
      </c>
      <c r="BE12" s="54">
        <v>5</v>
      </c>
      <c r="BF12" s="63">
        <v>42873</v>
      </c>
      <c r="BG12" s="61">
        <v>42901</v>
      </c>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5</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5</v>
      </c>
      <c r="BT12" s="49"/>
      <c r="BU12" s="49"/>
      <c r="BV12" s="49" t="str">
        <f t="shared" si="0"/>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row r="13" spans="1:80" x14ac:dyDescent="0.25">
      <c r="A13" s="53" t="s">
        <v>1673</v>
      </c>
      <c r="B13" s="3"/>
      <c r="C13" s="3"/>
      <c r="D13" s="3"/>
      <c r="E13" s="3"/>
      <c r="F13" s="3"/>
      <c r="G13" s="3"/>
      <c r="H13" s="3"/>
      <c r="I13" s="3"/>
      <c r="J13" s="3"/>
      <c r="K13" s="3"/>
      <c r="L13" s="3"/>
      <c r="M13" s="3"/>
      <c r="N13" s="3"/>
      <c r="O13" s="5"/>
      <c r="P13" s="5"/>
      <c r="Q13" s="5"/>
      <c r="R13" s="45"/>
      <c r="S13" s="45"/>
      <c r="T13" s="45"/>
      <c r="U13" s="45"/>
      <c r="V13" s="48"/>
      <c r="W13" s="48"/>
      <c r="X13" s="50"/>
      <c r="Y13" s="50"/>
      <c r="Z13" s="6"/>
      <c r="AA13" s="6"/>
      <c r="AB13" s="6"/>
      <c r="AC13" s="4"/>
      <c r="AD13" s="6"/>
      <c r="AE13" s="6"/>
      <c r="AF13" s="6"/>
      <c r="AG13" s="6"/>
      <c r="AH13" s="6"/>
      <c r="AI13" s="6"/>
      <c r="AJ13" s="6"/>
      <c r="AK13" s="6"/>
      <c r="AL13" s="4"/>
      <c r="AM13" s="6"/>
      <c r="AN13" s="6"/>
      <c r="AO13" s="6"/>
      <c r="AP13" s="6"/>
      <c r="AQ13" s="6"/>
      <c r="AR13" s="6"/>
      <c r="AS13" s="6"/>
      <c r="AT13" s="6"/>
      <c r="AU13" s="6"/>
      <c r="AV13" s="66"/>
      <c r="AW13" s="66"/>
      <c r="AX13" s="6">
        <f t="array" ref="AX13">IFERROR(INDEX(Datos_Consumo[CANTIDAD],MATCH(TABLATRANSFERENCIA[[#This Row],[CODIGO]]&amp;TABLATRANSFERENCIA[[#Headers],[2016-12]],Datos_Consumo[CODIGO]&amp;Datos_Consumo[FECHA_FORMATO],0)),0)</f>
        <v>0</v>
      </c>
      <c r="AY13" s="6">
        <f t="array" ref="AY13">IFERROR(INDEX(Datos_Consumo[CANTIDAD],MATCH(TABLATRANSFERENCIA[[#This Row],[CODIGO]]&amp;TABLATRANSFERENCIA[[#Headers],[2017-1]],Datos_Consumo[CODIGO]&amp;Datos_Consumo[FECHA_FORMATO],0)),0)</f>
        <v>0</v>
      </c>
      <c r="AZ13" s="6">
        <f t="array" ref="AZ13">IFERROR(INDEX(Datos_Consumo[CANTIDAD],MATCH(TABLATRANSFERENCIA[[#This Row],[CODIGO]]&amp;TABLATRANSFERENCIA[[#Headers],[2017-2]],Datos_Consumo[CODIGO]&amp;Datos_Consumo[FECHA_FORMATO],0)),0)</f>
        <v>0</v>
      </c>
      <c r="BA13" s="6">
        <f t="array" ref="BA13">IFERROR(INDEX(Datos_Consumo[CANTIDAD],MATCH(TABLATRANSFERENCIA[[#This Row],[CODIGO]]&amp;TABLATRANSFERENCIA[[#Headers],[2017-3]],Datos_Consumo[CODIGO]&amp;Datos_Consumo[FECHA_FORMATO],0)),0)</f>
        <v>0</v>
      </c>
      <c r="BB13" s="6">
        <f t="array" ref="BB13">IFERROR(INDEX(Datos_Consumo[CANTIDAD],MATCH(TABLATRANSFERENCIA[[#This Row],[CODIGO]]&amp;TABLATRANSFERENCIA[[#Headers],[2017-4]],Datos_Consumo[CODIGO]&amp;Datos_Consumo[FECHA_FORMATO],0)),0)</f>
        <v>1</v>
      </c>
      <c r="BC13" s="6">
        <f t="array" ref="BC13">IFERROR(INDEX(Datos_Consumo[CANTIDAD],MATCH(TABLATRANSFERENCIA[[#This Row],[CODIGO]]&amp;TABLATRANSFERENCIA[[#Headers],[2017-5]],Datos_Consumo[CODIGO]&amp;Datos_Consumo[FECHA_FORMATO],0)),0)</f>
        <v>2</v>
      </c>
      <c r="BD13" s="49">
        <v>10</v>
      </c>
      <c r="BE13" s="54">
        <v>10</v>
      </c>
      <c r="BF13" s="63">
        <v>42873</v>
      </c>
      <c r="BG13" s="61">
        <v>42901</v>
      </c>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0</v>
      </c>
      <c r="BQ13" s="50"/>
      <c r="BR13" s="59"/>
      <c r="BS13" s="3">
        <f>IF(TABLATRANSFERENCIA[[#This Row],[RECIBIDO]]&lt;&gt;"",0,IF(TABLATRANSFERENCIA[[#This Row],[DESPACHO]]&lt;&gt;"",TABLATRANSFERENCIA[[#This Row],[DESPACHO]],TABLATRANSFERENCIA[[#This Row],[REQUERIM]]))</f>
        <v>10</v>
      </c>
      <c r="BT13" s="49"/>
      <c r="BU13" s="49"/>
      <c r="BV13" s="49" t="str">
        <f t="shared" si="0"/>
        <v>N</v>
      </c>
      <c r="BW13" s="50" t="s">
        <v>1667</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3" s="50"/>
      <c r="CA13" s="50"/>
      <c r="CB13" s="50"/>
    </row>
    <row r="14" spans="1:80" x14ac:dyDescent="0.25">
      <c r="A14" s="53" t="s">
        <v>1674</v>
      </c>
      <c r="B14" s="3"/>
      <c r="C14" s="3"/>
      <c r="D14" s="3"/>
      <c r="E14" s="3"/>
      <c r="F14" s="3"/>
      <c r="G14" s="3"/>
      <c r="H14" s="3"/>
      <c r="I14" s="3"/>
      <c r="J14" s="3"/>
      <c r="K14" s="3"/>
      <c r="L14" s="3"/>
      <c r="M14" s="3"/>
      <c r="N14" s="3"/>
      <c r="O14" s="5"/>
      <c r="P14" s="5"/>
      <c r="Q14" s="5"/>
      <c r="R14" s="45"/>
      <c r="S14" s="45"/>
      <c r="T14" s="45"/>
      <c r="U14" s="45"/>
      <c r="V14" s="48"/>
      <c r="W14" s="48"/>
      <c r="X14" s="50"/>
      <c r="Y14" s="50"/>
      <c r="Z14" s="6"/>
      <c r="AA14" s="6"/>
      <c r="AB14" s="6"/>
      <c r="AC14" s="4"/>
      <c r="AD14" s="6"/>
      <c r="AE14" s="6"/>
      <c r="AF14" s="6"/>
      <c r="AG14" s="6"/>
      <c r="AH14" s="6"/>
      <c r="AI14" s="6"/>
      <c r="AJ14" s="6"/>
      <c r="AK14" s="6"/>
      <c r="AL14" s="4"/>
      <c r="AM14" s="6"/>
      <c r="AN14" s="6"/>
      <c r="AO14" s="6"/>
      <c r="AP14" s="6"/>
      <c r="AQ14" s="6"/>
      <c r="AR14" s="6"/>
      <c r="AS14" s="6"/>
      <c r="AT14" s="6"/>
      <c r="AU14" s="6"/>
      <c r="AV14" s="66"/>
      <c r="AW14" s="66"/>
      <c r="AX14" s="6">
        <f t="array" ref="AX14">IFERROR(INDEX(Datos_Consumo[CANTIDAD],MATCH(TABLATRANSFERENCIA[[#This Row],[CODIGO]]&amp;TABLATRANSFERENCIA[[#Headers],[2016-12]],Datos_Consumo[CODIGO]&amp;Datos_Consumo[FECHA_FORMATO],0)),0)</f>
        <v>0</v>
      </c>
      <c r="AY14" s="6">
        <f t="array" ref="AY14">IFERROR(INDEX(Datos_Consumo[CANTIDAD],MATCH(TABLATRANSFERENCIA[[#This Row],[CODIGO]]&amp;TABLATRANSFERENCIA[[#Headers],[2017-1]],Datos_Consumo[CODIGO]&amp;Datos_Consumo[FECHA_FORMATO],0)),0)</f>
        <v>0</v>
      </c>
      <c r="AZ14" s="6">
        <f t="array" ref="AZ14">IFERROR(INDEX(Datos_Consumo[CANTIDAD],MATCH(TABLATRANSFERENCIA[[#This Row],[CODIGO]]&amp;TABLATRANSFERENCIA[[#Headers],[2017-2]],Datos_Consumo[CODIGO]&amp;Datos_Consumo[FECHA_FORMATO],0)),0)</f>
        <v>0</v>
      </c>
      <c r="BA14" s="6">
        <f t="array" ref="BA14">IFERROR(INDEX(Datos_Consumo[CANTIDAD],MATCH(TABLATRANSFERENCIA[[#This Row],[CODIGO]]&amp;TABLATRANSFERENCIA[[#Headers],[2017-3]],Datos_Consumo[CODIGO]&amp;Datos_Consumo[FECHA_FORMATO],0)),0)</f>
        <v>137</v>
      </c>
      <c r="BB14" s="6">
        <f t="array" ref="BB14">IFERROR(INDEX(Datos_Consumo[CANTIDAD],MATCH(TABLATRANSFERENCIA[[#This Row],[CODIGO]]&amp;TABLATRANSFERENCIA[[#Headers],[2017-4]],Datos_Consumo[CODIGO]&amp;Datos_Consumo[FECHA_FORMATO],0)),0)</f>
        <v>0</v>
      </c>
      <c r="BC14" s="6">
        <f t="array" ref="BC14">IFERROR(INDEX(Datos_Consumo[CANTIDAD],MATCH(TABLATRANSFERENCIA[[#This Row],[CODIGO]]&amp;TABLATRANSFERENCIA[[#Headers],[2017-5]],Datos_Consumo[CODIGO]&amp;Datos_Consumo[FECHA_FORMATO],0)),0)</f>
        <v>90</v>
      </c>
      <c r="BD14" s="49">
        <v>120</v>
      </c>
      <c r="BE14" s="54">
        <v>120</v>
      </c>
      <c r="BF14" s="63">
        <v>42873</v>
      </c>
      <c r="BG14" s="61">
        <v>42901</v>
      </c>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120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0</v>
      </c>
      <c r="BQ14" s="50"/>
      <c r="BR14" s="59"/>
      <c r="BS14" s="3">
        <f>IF(TABLATRANSFERENCIA[[#This Row],[RECIBIDO]]&lt;&gt;"",0,IF(TABLATRANSFERENCIA[[#This Row],[DESPACHO]]&lt;&gt;"",TABLATRANSFERENCIA[[#This Row],[DESPACHO]],TABLATRANSFERENCIA[[#This Row],[REQUERIM]]))</f>
        <v>120</v>
      </c>
      <c r="BT14" s="49"/>
      <c r="BU14" s="49"/>
      <c r="BV14" s="49" t="str">
        <f t="shared" si="0"/>
        <v>N</v>
      </c>
      <c r="BW14" s="50" t="s">
        <v>1667</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4" s="50"/>
      <c r="CA14" s="50"/>
      <c r="CB14" s="50"/>
    </row>
    <row r="15" spans="1:80" x14ac:dyDescent="0.25">
      <c r="A15" s="53" t="s">
        <v>1687</v>
      </c>
      <c r="B15" s="3"/>
      <c r="C15" s="3"/>
      <c r="D15" s="3"/>
      <c r="E15" s="3"/>
      <c r="F15" s="3"/>
      <c r="G15" s="3"/>
      <c r="H15" s="3"/>
      <c r="I15" s="3"/>
      <c r="J15" s="3"/>
      <c r="K15" s="3"/>
      <c r="L15" s="3"/>
      <c r="M15" s="3"/>
      <c r="N15" s="3"/>
      <c r="O15" s="5"/>
      <c r="P15" s="5"/>
      <c r="Q15" s="5"/>
      <c r="R15" s="45"/>
      <c r="S15" s="45"/>
      <c r="T15" s="45"/>
      <c r="U15" s="45"/>
      <c r="V15" s="48"/>
      <c r="W15" s="48"/>
      <c r="X15" s="50"/>
      <c r="Y15" s="50"/>
      <c r="Z15" s="6"/>
      <c r="AA15" s="6"/>
      <c r="AB15" s="6"/>
      <c r="AC15" s="4"/>
      <c r="AD15" s="6"/>
      <c r="AE15" s="6"/>
      <c r="AF15" s="6"/>
      <c r="AG15" s="6"/>
      <c r="AH15" s="6"/>
      <c r="AI15" s="6"/>
      <c r="AJ15" s="6"/>
      <c r="AK15" s="6"/>
      <c r="AL15" s="4"/>
      <c r="AM15" s="6"/>
      <c r="AN15" s="6"/>
      <c r="AO15" s="6"/>
      <c r="AP15" s="6"/>
      <c r="AQ15" s="6"/>
      <c r="AR15" s="6"/>
      <c r="AS15" s="6"/>
      <c r="AT15" s="6"/>
      <c r="AU15" s="6"/>
      <c r="AV15" s="66"/>
      <c r="AW15" s="66"/>
      <c r="AX15" s="6">
        <f t="array" ref="AX15">IFERROR(INDEX(Datos_Consumo[CANTIDAD],MATCH(TABLATRANSFERENCIA[[#This Row],[CODIGO]]&amp;TABLATRANSFERENCIA[[#Headers],[2016-12]],Datos_Consumo[CODIGO]&amp;Datos_Consumo[FECHA_FORMATO],0)),0)</f>
        <v>0</v>
      </c>
      <c r="AY15" s="6">
        <f t="array" ref="AY15">IFERROR(INDEX(Datos_Consumo[CANTIDAD],MATCH(TABLATRANSFERENCIA[[#This Row],[CODIGO]]&amp;TABLATRANSFERENCIA[[#Headers],[2017-1]],Datos_Consumo[CODIGO]&amp;Datos_Consumo[FECHA_FORMATO],0)),0)</f>
        <v>0</v>
      </c>
      <c r="AZ15" s="6">
        <f t="array" ref="AZ15">IFERROR(INDEX(Datos_Consumo[CANTIDAD],MATCH(TABLATRANSFERENCIA[[#This Row],[CODIGO]]&amp;TABLATRANSFERENCIA[[#Headers],[2017-2]],Datos_Consumo[CODIGO]&amp;Datos_Consumo[FECHA_FORMATO],0)),0)</f>
        <v>0</v>
      </c>
      <c r="BA15" s="6">
        <f t="array" ref="BA15">IFERROR(INDEX(Datos_Consumo[CANTIDAD],MATCH(TABLATRANSFERENCIA[[#This Row],[CODIGO]]&amp;TABLATRANSFERENCIA[[#Headers],[2017-3]],Datos_Consumo[CODIGO]&amp;Datos_Consumo[FECHA_FORMATO],0)),0)</f>
        <v>12</v>
      </c>
      <c r="BB15" s="6">
        <f t="array" ref="BB15">IFERROR(INDEX(Datos_Consumo[CANTIDAD],MATCH(TABLATRANSFERENCIA[[#This Row],[CODIGO]]&amp;TABLATRANSFERENCIA[[#Headers],[2017-4]],Datos_Consumo[CODIGO]&amp;Datos_Consumo[FECHA_FORMATO],0)),0)</f>
        <v>42</v>
      </c>
      <c r="BC15" s="6">
        <f t="array" ref="BC15">IFERROR(INDEX(Datos_Consumo[CANTIDAD],MATCH(TABLATRANSFERENCIA[[#This Row],[CODIGO]]&amp;TABLATRANSFERENCIA[[#Headers],[2017-5]],Datos_Consumo[CODIGO]&amp;Datos_Consumo[FECHA_FORMATO],0)),0)</f>
        <v>50</v>
      </c>
      <c r="BD15" s="49">
        <v>56</v>
      </c>
      <c r="BE15" s="54">
        <v>56</v>
      </c>
      <c r="BF15" s="63">
        <v>42873</v>
      </c>
      <c r="BG15" s="61">
        <v>42901</v>
      </c>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56</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0</v>
      </c>
      <c r="BQ15" s="50"/>
      <c r="BR15" s="59"/>
      <c r="BS15" s="3">
        <f>IF(TABLATRANSFERENCIA[[#This Row],[RECIBIDO]]&lt;&gt;"",0,IF(TABLATRANSFERENCIA[[#This Row],[DESPACHO]]&lt;&gt;"",TABLATRANSFERENCIA[[#This Row],[DESPACHO]],TABLATRANSFERENCIA[[#This Row],[REQUERIM]]))</f>
        <v>56</v>
      </c>
      <c r="BT15" s="49"/>
      <c r="BU15" s="49"/>
      <c r="BV15" s="49" t="str">
        <f t="shared" si="0"/>
        <v>N</v>
      </c>
      <c r="BW15" s="50" t="s">
        <v>1667</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5" s="50"/>
      <c r="CA15" s="50"/>
      <c r="CB15" s="50"/>
    </row>
    <row r="16" spans="1:80" x14ac:dyDescent="0.25">
      <c r="A16" s="53" t="s">
        <v>1688</v>
      </c>
      <c r="B16" s="3"/>
      <c r="C16" s="3"/>
      <c r="D16" s="3"/>
      <c r="E16" s="3"/>
      <c r="F16" s="3"/>
      <c r="G16" s="3"/>
      <c r="H16" s="3"/>
      <c r="I16" s="3"/>
      <c r="J16" s="3"/>
      <c r="K16" s="3"/>
      <c r="L16" s="3"/>
      <c r="M16" s="3"/>
      <c r="N16" s="3"/>
      <c r="O16" s="5"/>
      <c r="P16" s="5"/>
      <c r="Q16" s="5"/>
      <c r="R16" s="45"/>
      <c r="S16" s="45"/>
      <c r="T16" s="45"/>
      <c r="U16" s="45"/>
      <c r="V16" s="48"/>
      <c r="W16" s="48"/>
      <c r="X16" s="50"/>
      <c r="Y16" s="50"/>
      <c r="Z16" s="6"/>
      <c r="AA16" s="6"/>
      <c r="AB16" s="6"/>
      <c r="AC16" s="4"/>
      <c r="AD16" s="6"/>
      <c r="AE16" s="6"/>
      <c r="AF16" s="6"/>
      <c r="AG16" s="6"/>
      <c r="AH16" s="6"/>
      <c r="AI16" s="6"/>
      <c r="AJ16" s="6"/>
      <c r="AK16" s="6"/>
      <c r="AL16" s="4"/>
      <c r="AM16" s="6"/>
      <c r="AN16" s="6"/>
      <c r="AO16" s="6"/>
      <c r="AP16" s="6"/>
      <c r="AQ16" s="6"/>
      <c r="AR16" s="6"/>
      <c r="AS16" s="6"/>
      <c r="AT16" s="6"/>
      <c r="AU16" s="6"/>
      <c r="AV16" s="66"/>
      <c r="AW16" s="66"/>
      <c r="AX16" s="6">
        <f t="array" ref="AX16">IFERROR(INDEX(Datos_Consumo[CANTIDAD],MATCH(TABLATRANSFERENCIA[[#This Row],[CODIGO]]&amp;TABLATRANSFERENCIA[[#Headers],[2016-12]],Datos_Consumo[CODIGO]&amp;Datos_Consumo[FECHA_FORMATO],0)),0)</f>
        <v>0</v>
      </c>
      <c r="AY16" s="6">
        <f t="array" ref="AY16">IFERROR(INDEX(Datos_Consumo[CANTIDAD],MATCH(TABLATRANSFERENCIA[[#This Row],[CODIGO]]&amp;TABLATRANSFERENCIA[[#Headers],[2017-1]],Datos_Consumo[CODIGO]&amp;Datos_Consumo[FECHA_FORMATO],0)),0)</f>
        <v>0</v>
      </c>
      <c r="AZ16" s="6">
        <f t="array" ref="AZ16">IFERROR(INDEX(Datos_Consumo[CANTIDAD],MATCH(TABLATRANSFERENCIA[[#This Row],[CODIGO]]&amp;TABLATRANSFERENCIA[[#Headers],[2017-2]],Datos_Consumo[CODIGO]&amp;Datos_Consumo[FECHA_FORMATO],0)),0)</f>
        <v>0</v>
      </c>
      <c r="BA16" s="6">
        <f t="array" ref="BA16">IFERROR(INDEX(Datos_Consumo[CANTIDAD],MATCH(TABLATRANSFERENCIA[[#This Row],[CODIGO]]&amp;TABLATRANSFERENCIA[[#Headers],[2017-3]],Datos_Consumo[CODIGO]&amp;Datos_Consumo[FECHA_FORMATO],0)),0)</f>
        <v>22</v>
      </c>
      <c r="BB16" s="6">
        <f t="array" ref="BB16">IFERROR(INDEX(Datos_Consumo[CANTIDAD],MATCH(TABLATRANSFERENCIA[[#This Row],[CODIGO]]&amp;TABLATRANSFERENCIA[[#Headers],[2017-4]],Datos_Consumo[CODIGO]&amp;Datos_Consumo[FECHA_FORMATO],0)),0)</f>
        <v>50</v>
      </c>
      <c r="BC16" s="6">
        <f t="array" ref="BC16">IFERROR(INDEX(Datos_Consumo[CANTIDAD],MATCH(TABLATRANSFERENCIA[[#This Row],[CODIGO]]&amp;TABLATRANSFERENCIA[[#Headers],[2017-5]],Datos_Consumo[CODIGO]&amp;Datos_Consumo[FECHA_FORMATO],0)),0)</f>
        <v>40</v>
      </c>
      <c r="BD16" s="49">
        <v>32</v>
      </c>
      <c r="BE16" s="54">
        <v>32</v>
      </c>
      <c r="BF16" s="63">
        <v>42873</v>
      </c>
      <c r="BG16" s="61">
        <v>42901</v>
      </c>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32</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0</v>
      </c>
      <c r="BQ16" s="50"/>
      <c r="BR16" s="59"/>
      <c r="BS16" s="3">
        <f>IF(TABLATRANSFERENCIA[[#This Row],[RECIBIDO]]&lt;&gt;"",0,IF(TABLATRANSFERENCIA[[#This Row],[DESPACHO]]&lt;&gt;"",TABLATRANSFERENCIA[[#This Row],[DESPACHO]],TABLATRANSFERENCIA[[#This Row],[REQUERIM]]))</f>
        <v>32</v>
      </c>
      <c r="BT16" s="49"/>
      <c r="BU16" s="49"/>
      <c r="BV16" s="49" t="str">
        <f t="shared" si="0"/>
        <v>N</v>
      </c>
      <c r="BW16" s="50" t="s">
        <v>1667</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6" s="50"/>
      <c r="CA16" s="50"/>
      <c r="CB16" s="50"/>
    </row>
  </sheetData>
  <sheetProtection algorithmName="SHA-512" hashValue="kBuOSJ+HgYG/HYghLXEGcCcE3mzTRPAYklshdSSiI/cTPu3Yu2Q6NwMvlFoJw7rJL7clzkUjmVH/KK4W9HSH0w==" saltValue="2HotDtRRoRALyamWlH/3rw==" spinCount="100000" sheet="1" objects="1" scenarios="1" formatCells="0" sort="0" autoFilter="0"/>
  <conditionalFormatting sqref="BQ9:BR16">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6 AB9:AB16">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6">
    <cfRule type="expression" dxfId="28" priority="17386">
      <formula>AND(ISNUMBER($BR9),$BQ9&lt;&gt;$BR9)</formula>
    </cfRule>
  </conditionalFormatting>
  <conditionalFormatting sqref="AO9:AO16">
    <cfRule type="expression" dxfId="27" priority="10">
      <formula>$BX9=1</formula>
    </cfRule>
  </conditionalFormatting>
  <conditionalFormatting sqref="BD9:BD16">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6">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636">
      <formula>COUNTA($BR$9:$BR$16)=0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6">
      <formula1>RangoCausas</formula1>
    </dataValidation>
    <dataValidation type="whole" allowBlank="1" showErrorMessage="1" promptTitle="Número de Embarques" sqref="BJ9:BN16">
      <formula1>0</formula1>
      <formula2>1000000</formula2>
    </dataValidation>
    <dataValidation type="whole" allowBlank="1" showErrorMessage="1" promptTitle="Número de Embarques" sqref="BI9:BI16">
      <formula1>1</formula1>
      <formula2>5</formula2>
    </dataValidation>
    <dataValidation allowBlank="1" showErrorMessage="1" promptTitle="Número de Embarques" sqref="BO9:BO16"/>
    <dataValidation type="list" allowBlank="1" showInputMessage="1" showErrorMessage="1" sqref="BW9:BW16">
      <formula1>"ACT,INA"</formula1>
    </dataValidation>
    <dataValidation type="custom" operator="greaterThan" allowBlank="1" showInputMessage="1" showErrorMessage="1" error="No puede ser menor a la fecha de inicio." sqref="BG9:BG16">
      <formula1>BG9&gt;=BF9</formula1>
    </dataValidation>
    <dataValidation type="custom" operator="greaterThanOrEqual" allowBlank="1" showInputMessage="1" showErrorMessage="1" error="No puede ser anterior a la fecha de creación de la transferencia ni menor a la fecha de finalización." sqref="BF9:BF16">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disabled="1"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disabled="1"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18-5-2017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2017-06-01T01:14:54Z</dcterms:modified>
</cp:coreProperties>
</file>